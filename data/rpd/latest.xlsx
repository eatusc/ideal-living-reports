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LMART_weekly_reporting_2026-B" sheetId="1" r:id="rId5"/>
    <sheet state="visible" name="SEM campaigns summary + total f" sheetId="2" r:id="rId6"/>
    <sheet state="visible" name="SEM Campaigns Data 2026" sheetId="3" r:id="rId7"/>
    <sheet state="visible" name="WALMART_weekly_reporting_2025-B" sheetId="4" r:id="rId8"/>
    <sheet state="visible" name="Sheet4" sheetId="5" r:id="rId9"/>
    <sheet state="visible" name="SEM Campaigns Data 2025" sheetId="6" r:id="rId10"/>
    <sheet state="hidden" name="WALMART_weekly_reporting_2024-B" sheetId="7" r:id="rId11"/>
  </sheets>
  <definedNames/>
  <calcPr/>
</workbook>
</file>

<file path=xl/sharedStrings.xml><?xml version="1.0" encoding="utf-8"?>
<sst xmlns="http://schemas.openxmlformats.org/spreadsheetml/2006/main" count="3713" uniqueCount="142">
  <si>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</si>
  <si>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</si>
  <si>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</si>
  <si>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</si>
  <si>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</si>
  <si>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</si>
  <si>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</si>
  <si>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</si>
  <si>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</si>
  <si>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</si>
  <si>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</si>
  <si>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</si>
  <si>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</si>
  <si>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</si>
  <si>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</si>
  <si>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</si>
  <si>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Average Sales Price by Brand</t>
  </si>
  <si>
    <t>UNITS SOLD</t>
  </si>
  <si>
    <t>ORDERED ITEMS</t>
  </si>
  <si>
    <t>UNITS PER ORDER</t>
  </si>
  <si>
    <t>SALES PER ORDER</t>
  </si>
  <si>
    <t>ASP</t>
  </si>
  <si>
    <t>SP AD SPEND</t>
  </si>
  <si>
    <t>IMPRESSIONS</t>
  </si>
  <si>
    <t>UNIT SALES</t>
  </si>
  <si>
    <t>AD SALES</t>
  </si>
  <si>
    <t>ROAS (return on ad send)</t>
  </si>
  <si>
    <t>TACoS (Total Advertsing Cost of Sales)</t>
  </si>
  <si>
    <t>REVENUE PERCENTAGE OF AD SALES</t>
  </si>
  <si>
    <t>ORGANIC SALES</t>
  </si>
  <si>
    <t>CPO</t>
  </si>
  <si>
    <t>UNITS</t>
  </si>
  <si>
    <t>AirDoctor</t>
  </si>
  <si>
    <t>AquaTru</t>
  </si>
  <si>
    <t>Beflexible</t>
  </si>
  <si>
    <t>Better Bladder</t>
  </si>
  <si>
    <t>Ideal Prostate</t>
  </si>
  <si>
    <t>to</t>
  </si>
  <si>
    <t>Miracle Blade</t>
  </si>
  <si>
    <t>Paint Zoom</t>
  </si>
  <si>
    <t>Profemin</t>
  </si>
  <si>
    <t>Prosvent</t>
  </si>
  <si>
    <t>SaniTru</t>
  </si>
  <si>
    <t>Rotorazer Saw</t>
  </si>
  <si>
    <t>Superthotics</t>
  </si>
  <si>
    <t>Therabotanics</t>
  </si>
  <si>
    <t>WALKFIT</t>
  </si>
  <si>
    <t>Ultmax</t>
  </si>
  <si>
    <t>Ionic Pro</t>
  </si>
  <si>
    <t>AromaTru</t>
  </si>
  <si>
    <t>2025 - Week 52</t>
  </si>
  <si>
    <t>2026 - Week 1</t>
  </si>
  <si>
    <t>2026 - Week 2</t>
  </si>
  <si>
    <t>2026 - Week 3</t>
  </si>
  <si>
    <t>2026 - Week 4</t>
  </si>
  <si>
    <t>2026 - Week 5</t>
  </si>
  <si>
    <t>2026 - Week 6</t>
  </si>
  <si>
    <t>2026 - Week 7</t>
  </si>
  <si>
    <t>2026 - Week 8</t>
  </si>
  <si>
    <t>2026 - Week 9</t>
  </si>
  <si>
    <t>2026 - Week 10</t>
  </si>
  <si>
    <t>Previous Week</t>
  </si>
  <si>
    <t>Current Week</t>
  </si>
  <si>
    <t>BeFlexible</t>
  </si>
  <si>
    <t>Grown American</t>
  </si>
  <si>
    <t>Cebria</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</si>
  <si>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</si>
  <si>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SEM Campaigns</t>
  </si>
  <si>
    <r>
      <rPr>
        <rFont val="Calibri"/>
        <color rgb="FF000000"/>
        <sz val="10.0"/>
        <u/>
      </rPr>
      <t xml:space="preserve">WALMART - DATA SOURCES: </t>
    </r>
    <r>
      <rPr>
        <rFont val="Calibri"/>
        <color rgb="FF1155CC"/>
        <sz val="10.0"/>
        <u/>
      </rPr>
      <t>https://seller.walmart.com/advertising/search-engine-marketing/</t>
    </r>
  </si>
  <si>
    <t>Campaign Name</t>
  </si>
  <si>
    <t>Dielon - AquaTru - Highly Recommended</t>
  </si>
  <si>
    <t>Dielon - Ideal Prostate - Highly Recommended</t>
  </si>
  <si>
    <t>Dielon - Prosvent - Highly Recommended</t>
  </si>
  <si>
    <t>Dielon - Better Bladder - Highly Recommended</t>
  </si>
  <si>
    <t>Dielon - Rotorazer - Highly Recommended</t>
  </si>
  <si>
    <t>Dielon - Superthotics - Highly Recommended</t>
  </si>
  <si>
    <t>Dielon - AirDoctor Filter - Highly Recommended</t>
  </si>
  <si>
    <t>Dielon - AquaTru Filters- Highly Recommended</t>
  </si>
  <si>
    <t>Dielon - AirDoctor Main - Highly Recommended</t>
  </si>
  <si>
    <t>Dielon - Walkfit Platinum - Highly Recommended</t>
  </si>
  <si>
    <t>Dielon - Ionic Pro - Highly Suggested</t>
  </si>
  <si>
    <t>Dielon - Grown American - Highly Recommended</t>
  </si>
  <si>
    <t>Dielon - AirDoctor Main - Suggested</t>
  </si>
  <si>
    <t>Dielon - Aquatru Main - Suggested</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</si>
  <si>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</si>
  <si>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t>GA Grown American</t>
  </si>
  <si>
    <t>2024 - Week 51</t>
  </si>
  <si>
    <t>2024 - Week 52</t>
  </si>
  <si>
    <t>2025 - Week 1</t>
  </si>
  <si>
    <t>2025 - Week 2</t>
  </si>
  <si>
    <t>2025 - Week 3</t>
  </si>
  <si>
    <t>2025 - Week 4</t>
  </si>
  <si>
    <t>2025 - Week 5</t>
  </si>
  <si>
    <t>2025 - Week 6</t>
  </si>
  <si>
    <t>2025 - Week 7</t>
  </si>
  <si>
    <t>2025 - Week 8</t>
  </si>
  <si>
    <t>2025 - 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</si>
  <si>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</si>
  <si>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</si>
  <si>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</si>
  <si>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</si>
  <si>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</si>
  <si>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</si>
  <si>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</si>
  <si>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</si>
  <si>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</si>
  <si>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</si>
  <si>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</si>
  <si>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</si>
  <si>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</si>
  <si>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</si>
  <si>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</si>
  <si>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</si>
  <si>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</si>
  <si>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</si>
  <si>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</si>
  <si>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</si>
  <si>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</si>
  <si>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</si>
  <si>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</si>
  <si>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</si>
  <si>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</si>
  <si>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</si>
  <si>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</si>
  <si>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</si>
  <si>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</si>
  <si>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</si>
  <si>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</si>
  <si>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</si>
  <si>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</si>
  <si>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</si>
  <si>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</si>
  <si>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</si>
  <si>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</si>
  <si>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</si>
  <si>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</si>
  <si>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</si>
  <si>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</si>
  <si>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</si>
  <si>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</si>
  <si>
    <r>
      <rPr>
        <rFont val="Calibri"/>
        <color rgb="FF000000"/>
        <sz val="10.0"/>
        <u/>
      </rPr>
      <t xml:space="preserve">WALMART - DATA SOURCES: </t>
    </r>
    <r>
      <rPr>
        <rFont val="Calibri"/>
        <color rgb="FF1155CC"/>
        <sz val="10.0"/>
        <u/>
      </rPr>
      <t>https://seller.walmart.com/advertising/search-engine-marketing/</t>
    </r>
  </si>
  <si>
    <r>
      <rPr>
        <rFont val="Calibri"/>
        <color rgb="FF000000"/>
        <sz val="10.0"/>
        <u/>
      </rPr>
      <t xml:space="preserve">WALMART - DATA SOURCES: </t>
    </r>
    <r>
      <rPr>
        <rFont val="Calibri"/>
        <color rgb="FF1155CC"/>
        <sz val="10.0"/>
        <u/>
      </rPr>
      <t>https://seller.walmart.com/analytics/overview/item-sale</t>
    </r>
    <r>
      <rPr>
        <rFont val="Calibri"/>
        <color rgb="FF1155CC"/>
        <sz val="10.0"/>
        <u/>
      </rPr>
      <t xml:space="preserve">;
</t>
    </r>
    <r>
      <rPr>
        <rFont val="Calibri"/>
        <color rgb="FF1155CC"/>
        <sz val="10.0"/>
        <u/>
      </rPr>
      <t>https://seller.walmart.com/analytics/reports</t>
    </r>
    <r>
      <rPr>
        <rFont val="Calibri"/>
        <color rgb="FF1155CC"/>
        <sz val="10.0"/>
        <u/>
      </rPr>
      <t xml:space="preserve">;
</t>
    </r>
    <r>
      <rPr>
        <rFont val="Calibri"/>
        <color rgb="FF000000"/>
        <sz val="10.0"/>
        <u/>
      </rPr>
      <t>And Intentwise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</si>
</sst>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d/yyyy"/>
    <numFmt numFmtId="167" formatCode="m-yyyy"/>
  </numFmts>
  <fonts count="26">
    <font>
      <sz val="10.0"/>
      <color rgb="FF000000"/>
      <name val="Arial"/>
      <scheme val="minor"/>
    </font>
    <font>
      <u/>
      <sz val="10.0"/>
      <color rgb="FF1155CC"/>
      <name val="Calibri"/>
    </font>
    <font/>
    <font>
      <sz val="10.0"/>
      <color theme="1"/>
      <name val="Calibri"/>
    </font>
    <font>
      <sz val="10.0"/>
      <color rgb="FF000000"/>
      <name val="Calibri"/>
    </font>
    <font>
      <sz val="15.0"/>
      <color theme="1"/>
      <name val="Calibri"/>
    </font>
    <font>
      <sz val="15.0"/>
      <color rgb="FF757171"/>
      <name val="Calibri"/>
    </font>
    <font>
      <sz val="13.0"/>
      <color theme="1"/>
      <name val="Calibri"/>
    </font>
    <font>
      <b/>
      <sz val="13.0"/>
      <color theme="1"/>
      <name val="Calibri"/>
    </font>
    <font>
      <b/>
      <sz val="10.0"/>
      <color rgb="FF008000"/>
      <name val="Calibri"/>
    </font>
    <font>
      <b/>
      <sz val="10.0"/>
      <color theme="1"/>
      <name val="Calibri"/>
    </font>
    <font>
      <sz val="13.0"/>
      <color rgb="FF757171"/>
      <name val="Calibri"/>
    </font>
    <font>
      <b/>
      <sz val="10.0"/>
      <color theme="7"/>
      <name val="Calibri"/>
    </font>
    <font>
      <b/>
      <sz val="10.0"/>
      <color rgb="FFFF0000"/>
      <name val="Calibri"/>
    </font>
    <font>
      <color theme="1"/>
      <name val="Calibri"/>
    </font>
    <font>
      <color theme="1"/>
      <name val="Arial"/>
    </font>
    <font>
      <b/>
      <color theme="1"/>
      <name val="Calibri"/>
    </font>
    <font>
      <b/>
      <color rgb="FF34A853"/>
      <name val="Calibri"/>
    </font>
    <font>
      <b/>
      <sz val="10.0"/>
      <color rgb="FF000000"/>
      <name val="Calibri"/>
    </font>
    <font>
      <b/>
      <sz val="13.0"/>
      <color rgb="FF008000"/>
      <name val="Calibri"/>
    </font>
    <font>
      <b/>
      <sz val="13.0"/>
      <color theme="7"/>
      <name val="Calibri"/>
    </font>
    <font>
      <b/>
      <sz val="13.0"/>
      <color rgb="FFFF0000"/>
      <name val="Calibri"/>
    </font>
    <font>
      <b/>
      <sz val="12.0"/>
      <color theme="1"/>
      <name val="Calibri"/>
    </font>
    <font>
      <b/>
      <sz val="10.0"/>
      <color rgb="FF34A853"/>
      <name val="Calibri"/>
    </font>
    <font>
      <b/>
      <color rgb="FFEA4335"/>
      <name val="Calibri"/>
    </font>
    <font>
      <sz val="10.0"/>
      <color rgb="FF757171"/>
      <name val="Calibri"/>
    </font>
  </fonts>
  <fills count="18">
    <fill>
      <patternFill patternType="none"/>
    </fill>
    <fill>
      <patternFill patternType="lightGray"/>
    </fill>
    <fill>
      <patternFill patternType="solid">
        <fgColor rgb="FFB7E1CD"/>
        <bgColor rgb="FFB7E1CD"/>
      </patternFill>
    </fill>
    <fill>
      <patternFill patternType="solid">
        <fgColor rgb="FFFFE599"/>
        <bgColor rgb="FFFFE599"/>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D9D9D9"/>
        <bgColor rgb="FFD9D9D9"/>
      </patternFill>
    </fill>
    <fill>
      <patternFill patternType="solid">
        <fgColor rgb="FFF6CEAD"/>
        <bgColor rgb="FFF6CEA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6B26B"/>
        <bgColor rgb="FFF6B26B"/>
      </patternFill>
    </fill>
    <fill>
      <patternFill patternType="solid">
        <fgColor rgb="FF55BDCB"/>
        <bgColor rgb="FF55BDCB"/>
      </patternFill>
    </fill>
    <fill>
      <patternFill patternType="solid">
        <fgColor rgb="FFB6D7A8"/>
        <bgColor rgb="FFB6D7A8"/>
      </patternFill>
    </fill>
    <fill>
      <patternFill patternType="solid">
        <fgColor rgb="FFF1C232"/>
        <bgColor rgb="FFF1C232"/>
      </patternFill>
    </fill>
  </fills>
  <borders count="26">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
      <bottom style="thin">
        <color rgb="FFFFFFFF"/>
      </bottom>
    </border>
    <border>
      <left style="thin">
        <color rgb="FFFFFFFF"/>
      </left>
      <right style="thin">
        <color rgb="FFFFFFFF"/>
      </right>
      <bottom style="thin">
        <color rgb="FFFFFFFF"/>
      </bottom>
    </border>
    <border>
      <right style="thin">
        <color rgb="FFFFFFFF"/>
      </right>
    </border>
    <border>
      <left style="thin">
        <color rgb="FFFFFFFF"/>
      </left>
      <bottom style="thin">
        <color rgb="FFFFFFFF"/>
      </bottom>
    </border>
    <border>
      <left style="thin">
        <color rgb="FF000000"/>
      </left>
      <right style="thin">
        <color rgb="FF000000"/>
      </right>
      <top style="thin">
        <color rgb="FF000000"/>
      </top>
      <bottom style="thin">
        <color rgb="FFFFFFFF"/>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top style="thin">
        <color rgb="FF000000"/>
      </top>
    </border>
    <border>
      <left style="thin">
        <color rgb="FF000000"/>
      </left>
      <top style="thin">
        <color rgb="FF000000"/>
      </top>
    </border>
    <border>
      <right style="thin">
        <color rgb="FF000000"/>
      </right>
      <top style="thin">
        <color rgb="FF000000"/>
      </top>
    </border>
    <border>
      <left style="thin">
        <color rgb="FFFFFFFF"/>
      </left>
    </border>
    <border>
      <left style="thin">
        <color rgb="FF000000"/>
      </left>
      <right style="thin">
        <color rgb="FFFFFFFF"/>
      </right>
    </border>
    <border>
      <right style="thin">
        <color rgb="FF000000"/>
      </right>
    </border>
    <border>
      <left style="thin">
        <color rgb="FF000000"/>
      </left>
    </border>
    <border>
      <left style="thin">
        <color rgb="FF000000"/>
      </left>
      <right style="thin">
        <color rgb="FFFFFFFF"/>
      </righ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right style="thin">
        <color rgb="FF000000"/>
      </right>
      <bottom style="thin">
        <color rgb="FFFFFFFF"/>
      </bottom>
    </border>
    <border>
      <left style="thin">
        <color rgb="FF000000"/>
      </left>
      <right style="thin">
        <color rgb="FFFFFFFF"/>
      </right>
      <bottom style="thin">
        <color rgb="FFFFFFFF"/>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3" numFmtId="0" xfId="0" applyBorder="1" applyFont="1"/>
    <xf borderId="2" fillId="0" fontId="3" numFmtId="0" xfId="0" applyAlignment="1" applyBorder="1" applyFont="1">
      <alignment vertical="bottom"/>
    </xf>
    <xf borderId="2" fillId="0" fontId="3" numFmtId="164" xfId="0" applyAlignment="1" applyBorder="1" applyFont="1" applyNumberFormat="1">
      <alignment vertical="bottom"/>
    </xf>
    <xf borderId="2" fillId="0" fontId="3" numFmtId="0" xfId="0" applyAlignment="1" applyBorder="1" applyFont="1">
      <alignment vertical="bottom"/>
    </xf>
    <xf borderId="2" fillId="0" fontId="3" numFmtId="165" xfId="0" applyAlignment="1" applyBorder="1" applyFont="1" applyNumberFormat="1">
      <alignment vertical="bottom"/>
    </xf>
    <xf borderId="4" fillId="2" fontId="3" numFmtId="0" xfId="0" applyAlignment="1" applyBorder="1" applyFill="1" applyFont="1">
      <alignment horizontal="center" vertical="bottom"/>
    </xf>
    <xf borderId="3" fillId="0" fontId="2" numFmtId="0" xfId="0" applyBorder="1" applyFont="1"/>
    <xf borderId="4" fillId="2" fontId="4" numFmtId="0" xfId="0" applyAlignment="1" applyBorder="1" applyFont="1">
      <alignment horizontal="center" readingOrder="0" vertical="bottom"/>
    </xf>
    <xf borderId="4" fillId="0" fontId="2" numFmtId="0" xfId="0" applyBorder="1" applyFont="1"/>
    <xf borderId="3" fillId="2" fontId="4" numFmtId="0" xfId="0" applyAlignment="1" applyBorder="1" applyFont="1">
      <alignment horizontal="center" readingOrder="0" vertical="center"/>
    </xf>
    <xf borderId="3" fillId="2" fontId="4" numFmtId="10" xfId="0" applyAlignment="1" applyBorder="1" applyFont="1" applyNumberFormat="1">
      <alignment horizontal="center" readingOrder="0" vertical="center"/>
    </xf>
    <xf borderId="3" fillId="0" fontId="3" numFmtId="0" xfId="0" applyAlignment="1" applyBorder="1" applyFont="1">
      <alignment vertical="bottom"/>
    </xf>
    <xf borderId="0" fillId="0" fontId="5" numFmtId="0" xfId="0" applyAlignment="1" applyFont="1">
      <alignment horizontal="center" vertical="bottom"/>
    </xf>
    <xf borderId="5" fillId="0" fontId="5" numFmtId="0" xfId="0" applyAlignment="1" applyBorder="1" applyFont="1">
      <alignment horizontal="center" vertical="bottom"/>
    </xf>
    <xf borderId="3" fillId="0" fontId="6" numFmtId="0" xfId="0" applyAlignment="1" applyBorder="1" applyFont="1">
      <alignment vertical="bottom"/>
    </xf>
    <xf borderId="0" fillId="0" fontId="5" numFmtId="0" xfId="0" applyFont="1"/>
    <xf borderId="0" fillId="0" fontId="5" numFmtId="164" xfId="0" applyFont="1" applyNumberFormat="1"/>
    <xf borderId="4" fillId="0" fontId="6" numFmtId="10" xfId="0" applyAlignment="1" applyBorder="1" applyFont="1" applyNumberFormat="1">
      <alignment vertical="bottom"/>
    </xf>
    <xf borderId="4" fillId="0" fontId="6" numFmtId="0" xfId="0" applyAlignment="1" applyBorder="1" applyFont="1">
      <alignment vertical="bottom"/>
    </xf>
    <xf borderId="3" fillId="0" fontId="5" numFmtId="0" xfId="0" applyAlignment="1" applyBorder="1" applyFont="1">
      <alignment vertical="bottom"/>
    </xf>
    <xf borderId="3" fillId="0" fontId="5" numFmtId="165" xfId="0" applyAlignment="1" applyBorder="1" applyFont="1" applyNumberFormat="1">
      <alignment vertical="bottom"/>
    </xf>
    <xf borderId="0" fillId="0" fontId="7" numFmtId="0" xfId="0" applyAlignment="1" applyFont="1">
      <alignment horizontal="center" vertical="bottom"/>
    </xf>
    <xf borderId="5" fillId="0" fontId="7" numFmtId="0" xfId="0" applyAlignment="1" applyBorder="1" applyFont="1">
      <alignment horizontal="center" vertical="bottom"/>
    </xf>
    <xf borderId="3" fillId="0" fontId="7" numFmtId="165" xfId="0" applyAlignment="1" applyBorder="1" applyFont="1" applyNumberFormat="1">
      <alignment horizontal="left" vertical="bottom"/>
    </xf>
    <xf borderId="0" fillId="0" fontId="7" numFmtId="0" xfId="0" applyFont="1"/>
    <xf borderId="0" fillId="0" fontId="7" numFmtId="164" xfId="0" applyFont="1" applyNumberFormat="1"/>
    <xf borderId="4" fillId="0" fontId="7" numFmtId="1" xfId="0" applyAlignment="1" applyBorder="1" applyFont="1" applyNumberFormat="1">
      <alignment horizontal="left" vertical="bottom"/>
    </xf>
    <xf borderId="3" fillId="0" fontId="7" numFmtId="0" xfId="0" applyAlignment="1" applyBorder="1" applyFont="1">
      <alignment vertical="bottom"/>
    </xf>
    <xf borderId="3" fillId="0" fontId="7" numFmtId="165" xfId="0" applyAlignment="1" applyBorder="1" applyFont="1" applyNumberFormat="1">
      <alignment vertical="bottom"/>
    </xf>
    <xf borderId="0" fillId="0" fontId="8" numFmtId="9" xfId="0" applyAlignment="1" applyFont="1" applyNumberFormat="1">
      <alignment horizontal="center" vertical="bottom"/>
    </xf>
    <xf borderId="5" fillId="0" fontId="8" numFmtId="9" xfId="0" applyAlignment="1" applyBorder="1" applyFont="1" applyNumberFormat="1">
      <alignment horizontal="center" vertical="bottom"/>
    </xf>
    <xf borderId="3" fillId="0" fontId="9" numFmtId="10" xfId="0" applyAlignment="1" applyBorder="1" applyFont="1" applyNumberFormat="1">
      <alignment horizontal="left" readingOrder="0" vertical="bottom"/>
    </xf>
    <xf borderId="0" fillId="0" fontId="10" numFmtId="0" xfId="0" applyFont="1"/>
    <xf borderId="0" fillId="0" fontId="10" numFmtId="164" xfId="0" applyFont="1" applyNumberFormat="1"/>
    <xf borderId="4" fillId="0" fontId="9" numFmtId="10" xfId="0" applyAlignment="1" applyBorder="1" applyFont="1" applyNumberFormat="1">
      <alignment horizontal="left" vertical="bottom"/>
    </xf>
    <xf borderId="3" fillId="0" fontId="8" numFmtId="9" xfId="0" applyAlignment="1" applyBorder="1" applyFont="1" applyNumberFormat="1">
      <alignment vertical="bottom"/>
    </xf>
    <xf borderId="3" fillId="0" fontId="11" numFmtId="0" xfId="0" applyAlignment="1" applyBorder="1" applyFont="1">
      <alignment vertical="bottom"/>
    </xf>
    <xf borderId="4" fillId="0" fontId="6" numFmtId="0" xfId="0" applyAlignment="1" applyBorder="1" applyFont="1">
      <alignment readingOrder="0" vertical="bottom"/>
    </xf>
    <xf borderId="4" fillId="0" fontId="7" numFmtId="165" xfId="0" applyAlignment="1" applyBorder="1" applyFont="1" applyNumberFormat="1">
      <alignment horizontal="left" vertical="bottom"/>
    </xf>
    <xf borderId="4" fillId="0" fontId="7" numFmtId="10" xfId="0" applyAlignment="1" applyBorder="1" applyFont="1" applyNumberFormat="1">
      <alignment horizontal="left" vertical="bottom"/>
    </xf>
    <xf borderId="0" fillId="0" fontId="8" numFmtId="0" xfId="0" applyAlignment="1" applyFont="1">
      <alignment horizontal="center" vertical="bottom"/>
    </xf>
    <xf borderId="5" fillId="0" fontId="8" numFmtId="0" xfId="0" applyAlignment="1" applyBorder="1" applyFont="1">
      <alignment horizontal="center" vertical="bottom"/>
    </xf>
    <xf borderId="6" fillId="0" fontId="10" numFmtId="10" xfId="0" applyAlignment="1" applyBorder="1" applyFont="1" applyNumberFormat="1">
      <alignment horizontal="left"/>
    </xf>
    <xf borderId="0" fillId="0" fontId="12" numFmtId="10" xfId="0" applyAlignment="1" applyFont="1" applyNumberFormat="1">
      <alignment horizontal="left"/>
    </xf>
    <xf borderId="6" fillId="0" fontId="2" numFmtId="0" xfId="0" applyBorder="1" applyFont="1"/>
    <xf borderId="0" fillId="0" fontId="13" numFmtId="10" xfId="0" applyAlignment="1" applyFont="1" applyNumberFormat="1">
      <alignment horizontal="left"/>
    </xf>
    <xf borderId="6" fillId="0" fontId="8" numFmtId="0" xfId="0" applyAlignment="1" applyBorder="1" applyFont="1">
      <alignment vertical="bottom"/>
    </xf>
    <xf borderId="6" fillId="0" fontId="8" numFmtId="165" xfId="0" applyAlignment="1" applyBorder="1" applyFont="1" applyNumberFormat="1">
      <alignment vertical="bottom"/>
    </xf>
    <xf borderId="3" fillId="0" fontId="8" numFmtId="0" xfId="0" applyAlignment="1" applyBorder="1" applyFont="1">
      <alignment vertical="bottom"/>
    </xf>
    <xf borderId="0" fillId="0" fontId="3" numFmtId="0" xfId="0" applyAlignment="1" applyFont="1">
      <alignment horizontal="center" vertical="bottom"/>
    </xf>
    <xf borderId="7" fillId="0" fontId="3" numFmtId="0" xfId="0" applyAlignment="1" applyBorder="1" applyFon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vertical="bottom"/>
    </xf>
    <xf borderId="10" fillId="0" fontId="2" numFmtId="0" xfId="0" applyBorder="1" applyFont="1"/>
    <xf borderId="11" fillId="0" fontId="2" numFmtId="0" xfId="0" applyBorder="1" applyFont="1"/>
    <xf borderId="12" fillId="0" fontId="3" numFmtId="0" xfId="0" applyAlignment="1" applyBorder="1" applyFont="1">
      <alignment horizontal="center" vertical="bottom"/>
    </xf>
    <xf borderId="10" fillId="0" fontId="3" numFmtId="164" xfId="0" applyAlignment="1" applyBorder="1" applyFont="1" applyNumberFormat="1">
      <alignment horizontal="center" shrinkToFit="0" vertical="bottom" wrapText="1"/>
    </xf>
    <xf borderId="13" fillId="0" fontId="3" numFmtId="165" xfId="0" applyAlignment="1" applyBorder="1" applyFont="1" applyNumberFormat="1">
      <alignment horizontal="center" vertical="bottom"/>
    </xf>
    <xf borderId="14" fillId="0" fontId="3" numFmtId="165" xfId="0" applyAlignment="1" applyBorder="1" applyFont="1" applyNumberFormat="1">
      <alignment horizontal="center" vertical="bottom"/>
    </xf>
    <xf borderId="10" fillId="0" fontId="3" numFmtId="0" xfId="0" applyAlignment="1" applyBorder="1" applyFont="1">
      <alignment horizontal="center" readingOrder="0" vertical="bottom"/>
    </xf>
    <xf borderId="9" fillId="0" fontId="3" numFmtId="0" xfId="0" applyAlignment="1" applyBorder="1" applyFont="1">
      <alignment horizontal="center" readingOrder="0" vertical="bottom"/>
    </xf>
    <xf borderId="0" fillId="0" fontId="10" numFmtId="0" xfId="0" applyAlignment="1" applyFont="1">
      <alignment horizontal="center" readingOrder="0" shrinkToFit="0" vertical="bottom" wrapText="1"/>
    </xf>
    <xf borderId="15" fillId="0" fontId="10" numFmtId="0" xfId="0" applyAlignment="1" applyBorder="1" applyFont="1">
      <alignment horizontal="center" shrinkToFit="0" vertical="bottom" wrapText="1"/>
    </xf>
    <xf borderId="16" fillId="0" fontId="10" numFmtId="0" xfId="0" applyAlignment="1" applyBorder="1" applyFont="1">
      <alignment horizontal="center" readingOrder="0" shrinkToFit="0" vertical="bottom" wrapText="1"/>
    </xf>
    <xf borderId="16" fillId="0" fontId="10" numFmtId="0" xfId="0" applyAlignment="1" applyBorder="1" applyFont="1">
      <alignment horizontal="center" shrinkToFit="0" vertical="bottom" wrapText="1"/>
    </xf>
    <xf borderId="6" fillId="3" fontId="10" numFmtId="164" xfId="0" applyAlignment="1" applyBorder="1" applyFill="1" applyFont="1" applyNumberFormat="1">
      <alignment horizontal="center" readingOrder="0" shrinkToFit="0" vertical="bottom" wrapText="1"/>
    </xf>
    <xf borderId="6" fillId="0" fontId="10" numFmtId="0" xfId="0" applyAlignment="1" applyBorder="1" applyFont="1">
      <alignment horizontal="center" shrinkToFit="0" vertical="bottom" wrapText="1"/>
    </xf>
    <xf borderId="6" fillId="0" fontId="10" numFmtId="0" xfId="0" applyAlignment="1" applyBorder="1" applyFont="1">
      <alignment horizontal="center" readingOrder="0" shrinkToFit="0" vertical="bottom" wrapText="1"/>
    </xf>
    <xf borderId="0" fillId="0" fontId="10" numFmtId="0" xfId="0" applyAlignment="1" applyFont="1">
      <alignment horizontal="center" shrinkToFit="0" vertical="bottom" wrapText="1"/>
    </xf>
    <xf borderId="16" fillId="0" fontId="10" numFmtId="164" xfId="0" applyAlignment="1" applyBorder="1" applyFont="1" applyNumberFormat="1">
      <alignment horizontal="center" shrinkToFit="0" vertical="bottom" wrapText="1"/>
    </xf>
    <xf borderId="6" fillId="0" fontId="10" numFmtId="0" xfId="0" applyAlignment="1" applyBorder="1" applyFont="1">
      <alignment horizontal="center" shrinkToFit="0" vertical="bottom" wrapText="1"/>
    </xf>
    <xf borderId="17" fillId="0" fontId="10" numFmtId="0" xfId="0" applyAlignment="1" applyBorder="1" applyFont="1">
      <alignment horizontal="center" shrinkToFit="0" vertical="bottom" wrapText="1"/>
    </xf>
    <xf borderId="0" fillId="0" fontId="10" numFmtId="165" xfId="0" applyAlignment="1" applyFont="1" applyNumberFormat="1">
      <alignment horizontal="center" readingOrder="0" shrinkToFit="0" vertical="bottom" wrapText="1"/>
    </xf>
    <xf borderId="18" fillId="0" fontId="10" numFmtId="0" xfId="0" applyAlignment="1" applyBorder="1" applyFont="1">
      <alignment horizontal="center" shrinkToFit="0" vertical="bottom" wrapText="1"/>
    </xf>
    <xf borderId="17" fillId="0" fontId="10" numFmtId="0" xfId="0" applyAlignment="1" applyBorder="1" applyFont="1">
      <alignment horizontal="center" readingOrder="0" shrinkToFit="0" vertical="bottom" wrapText="1"/>
    </xf>
    <xf borderId="0" fillId="0" fontId="14" numFmtId="0" xfId="0" applyFont="1"/>
    <xf borderId="0" fillId="2" fontId="3" numFmtId="0" xfId="0" applyAlignment="1" applyFont="1">
      <alignment horizontal="center" readingOrder="0" vertical="bottom"/>
    </xf>
    <xf borderId="1" fillId="2" fontId="10" numFmtId="0" xfId="0" applyAlignment="1" applyBorder="1" applyFont="1">
      <alignment horizontal="center" readingOrder="0" vertical="bottom"/>
    </xf>
    <xf borderId="19" fillId="2" fontId="10" numFmtId="0" xfId="0" applyAlignment="1" applyBorder="1" applyFont="1">
      <alignment horizontal="center" vertical="bottom"/>
    </xf>
    <xf borderId="19" fillId="2" fontId="10" numFmtId="165" xfId="0" applyAlignment="1" applyBorder="1" applyFont="1" applyNumberFormat="1">
      <alignment horizontal="center" readingOrder="0" vertical="bottom"/>
    </xf>
    <xf borderId="2" fillId="2" fontId="10" numFmtId="164" xfId="0" applyAlignment="1" applyBorder="1" applyFont="1" applyNumberFormat="1">
      <alignment horizontal="center" readingOrder="0" vertical="bottom"/>
    </xf>
    <xf borderId="2" fillId="2" fontId="10" numFmtId="0" xfId="0" applyAlignment="1" applyBorder="1" applyFont="1">
      <alignment horizontal="center" readingOrder="0" vertical="bottom"/>
    </xf>
    <xf borderId="2" fillId="2" fontId="10" numFmtId="2" xfId="0" applyAlignment="1" applyBorder="1" applyFont="1" applyNumberFormat="1">
      <alignment horizontal="center" vertical="bottom"/>
    </xf>
    <xf borderId="2" fillId="2" fontId="10" numFmtId="164" xfId="0" applyAlignment="1" applyBorder="1" applyFont="1" applyNumberFormat="1">
      <alignment horizontal="center" vertical="bottom"/>
    </xf>
    <xf borderId="20" fillId="2" fontId="10" numFmtId="164" xfId="0" applyAlignment="1" applyBorder="1" applyFont="1" applyNumberFormat="1">
      <alignment horizontal="center" vertical="bottom"/>
    </xf>
    <xf borderId="2" fillId="2" fontId="10" numFmtId="0" xfId="0" applyAlignment="1" applyBorder="1" applyFont="1">
      <alignment horizontal="center" vertical="bottom"/>
    </xf>
    <xf borderId="2" fillId="2" fontId="10" numFmtId="165" xfId="0" applyAlignment="1" applyBorder="1" applyFont="1" applyNumberFormat="1">
      <alignment horizontal="center" readingOrder="0" vertical="bottom"/>
    </xf>
    <xf borderId="2" fillId="2" fontId="10" numFmtId="10" xfId="0" applyAlignment="1" applyBorder="1" applyFont="1" applyNumberFormat="1">
      <alignment horizontal="center" vertical="bottom"/>
    </xf>
    <xf borderId="2" fillId="2" fontId="10" numFmtId="4" xfId="0" applyAlignment="1" applyBorder="1" applyFont="1" applyNumberFormat="1">
      <alignment horizontal="center" vertical="bottom"/>
    </xf>
    <xf borderId="21" fillId="2" fontId="10" numFmtId="10" xfId="0" applyAlignment="1" applyBorder="1" applyFont="1" applyNumberFormat="1">
      <alignment horizontal="center" vertical="bottom"/>
    </xf>
    <xf borderId="20" fillId="2" fontId="10" numFmtId="165" xfId="0" applyAlignment="1" applyBorder="1" applyFont="1" applyNumberFormat="1">
      <alignment horizontal="center" vertical="bottom"/>
    </xf>
    <xf borderId="21" fillId="2" fontId="10" numFmtId="164" xfId="0" applyAlignment="1" applyBorder="1" applyFont="1" applyNumberFormat="1">
      <alignment horizontal="center" vertical="bottom"/>
    </xf>
    <xf borderId="19" fillId="2" fontId="3" numFmtId="10" xfId="0" applyAlignment="1" applyBorder="1" applyFont="1" applyNumberFormat="1">
      <alignment horizontal="center" vertical="bottom"/>
    </xf>
    <xf borderId="19" fillId="2" fontId="10" numFmtId="10" xfId="0" applyAlignment="1" applyBorder="1" applyFont="1" applyNumberFormat="1">
      <alignment horizontal="center" vertical="bottom"/>
    </xf>
    <xf borderId="0" fillId="0" fontId="3" numFmtId="0" xfId="0" applyAlignment="1" applyFont="1">
      <alignment vertical="bottom"/>
    </xf>
    <xf borderId="0" fillId="0" fontId="15" numFmtId="0" xfId="0" applyAlignment="1" applyFont="1">
      <alignment vertical="bottom"/>
    </xf>
    <xf borderId="1" fillId="0" fontId="14" numFmtId="166" xfId="0" applyAlignment="1" applyBorder="1" applyFont="1" applyNumberFormat="1">
      <alignment horizontal="center" vertical="bottom"/>
    </xf>
    <xf borderId="19" fillId="0" fontId="14" numFmtId="0" xfId="0" applyAlignment="1" applyBorder="1" applyFont="1">
      <alignment horizontal="center" vertical="bottom"/>
    </xf>
    <xf borderId="19" fillId="4" fontId="14" numFmtId="165" xfId="0" applyAlignment="1" applyBorder="1" applyFill="1" applyFont="1" applyNumberFormat="1">
      <alignment horizontal="center" vertical="bottom"/>
    </xf>
    <xf borderId="2" fillId="0" fontId="15" numFmtId="164" xfId="0" applyAlignment="1" applyBorder="1" applyFont="1" applyNumberFormat="1">
      <alignment vertical="bottom"/>
    </xf>
    <xf borderId="22" fillId="0" fontId="14" numFmtId="0" xfId="0" applyAlignment="1" applyBorder="1" applyFont="1">
      <alignment horizontal="center" vertical="bottom"/>
    </xf>
    <xf borderId="2" fillId="0" fontId="14" numFmtId="2" xfId="0" applyAlignment="1" applyBorder="1" applyFont="1" applyNumberFormat="1">
      <alignment horizontal="center" vertical="bottom"/>
    </xf>
    <xf borderId="2" fillId="0" fontId="14" numFmtId="164" xfId="0" applyAlignment="1" applyBorder="1" applyFont="1" applyNumberFormat="1">
      <alignment horizontal="center" vertical="bottom"/>
    </xf>
    <xf borderId="20" fillId="0" fontId="14" numFmtId="164" xfId="0" applyAlignment="1" applyBorder="1" applyFont="1" applyNumberFormat="1">
      <alignment horizontal="center" vertical="bottom"/>
    </xf>
    <xf borderId="19" fillId="4" fontId="14" numFmtId="165" xfId="0" applyAlignment="1" applyBorder="1" applyFont="1" applyNumberFormat="1">
      <alignment horizontal="center" shrinkToFit="0" vertical="bottom" wrapText="1"/>
    </xf>
    <xf borderId="22" fillId="4" fontId="14" numFmtId="165" xfId="0" applyAlignment="1" applyBorder="1" applyFont="1" applyNumberFormat="1">
      <alignment horizontal="center" vertical="bottom"/>
    </xf>
    <xf borderId="2" fillId="0" fontId="14" numFmtId="10" xfId="0" applyAlignment="1" applyBorder="1" applyFont="1" applyNumberFormat="1">
      <alignment horizontal="center" vertical="bottom"/>
    </xf>
    <xf borderId="2" fillId="0" fontId="14" numFmtId="4" xfId="0" applyAlignment="1" applyBorder="1" applyFont="1" applyNumberFormat="1">
      <alignment horizontal="center" vertical="bottom"/>
    </xf>
    <xf borderId="21" fillId="0" fontId="14" numFmtId="10" xfId="0" applyAlignment="1" applyBorder="1" applyFont="1" applyNumberFormat="1">
      <alignment horizontal="center" vertical="bottom"/>
    </xf>
    <xf borderId="20" fillId="4" fontId="14" numFmtId="165" xfId="0" applyAlignment="1" applyBorder="1" applyFont="1" applyNumberFormat="1">
      <alignment horizontal="center" vertical="bottom"/>
    </xf>
    <xf borderId="21" fillId="0" fontId="14" numFmtId="164" xfId="0" applyAlignment="1" applyBorder="1" applyFont="1" applyNumberFormat="1">
      <alignment horizontal="center" vertical="bottom"/>
    </xf>
    <xf borderId="19" fillId="0" fontId="15" numFmtId="10" xfId="0" applyAlignment="1" applyBorder="1" applyFont="1" applyNumberFormat="1">
      <alignment vertical="bottom"/>
    </xf>
    <xf borderId="3" fillId="0" fontId="15" numFmtId="0" xfId="0" applyAlignment="1" applyBorder="1" applyFont="1">
      <alignment vertical="bottom"/>
    </xf>
    <xf borderId="1" fillId="0" fontId="15" numFmtId="166" xfId="0" applyAlignment="1" applyBorder="1" applyFont="1" applyNumberFormat="1">
      <alignment vertical="bottom"/>
    </xf>
    <xf borderId="19" fillId="5" fontId="14" numFmtId="165" xfId="0" applyAlignment="1" applyBorder="1" applyFill="1" applyFont="1" applyNumberFormat="1">
      <alignment horizontal="center" vertical="bottom"/>
    </xf>
    <xf borderId="22" fillId="5" fontId="14" numFmtId="165" xfId="0" applyAlignment="1" applyBorder="1" applyFont="1" applyNumberFormat="1">
      <alignment horizontal="center" vertical="bottom"/>
    </xf>
    <xf borderId="20" fillId="5" fontId="14" numFmtId="165" xfId="0" applyAlignment="1" applyBorder="1" applyFont="1" applyNumberFormat="1">
      <alignment horizontal="center" vertical="bottom"/>
    </xf>
    <xf borderId="19" fillId="6" fontId="14" numFmtId="165" xfId="0" applyAlignment="1" applyBorder="1" applyFill="1" applyFont="1" applyNumberFormat="1">
      <alignment horizontal="center" vertical="bottom"/>
    </xf>
    <xf borderId="22" fillId="6" fontId="14" numFmtId="165" xfId="0" applyAlignment="1" applyBorder="1" applyFont="1" applyNumberFormat="1">
      <alignment horizontal="center" vertical="bottom"/>
    </xf>
    <xf borderId="20" fillId="6" fontId="14" numFmtId="165" xfId="0" applyAlignment="1" applyBorder="1" applyFont="1" applyNumberFormat="1">
      <alignment horizontal="center" vertical="bottom"/>
    </xf>
    <xf borderId="19" fillId="2" fontId="14" numFmtId="165" xfId="0" applyAlignment="1" applyBorder="1" applyFont="1" applyNumberFormat="1">
      <alignment horizontal="center" vertical="bottom"/>
    </xf>
    <xf borderId="22" fillId="2" fontId="14" numFmtId="165" xfId="0" applyAlignment="1" applyBorder="1" applyFont="1" applyNumberFormat="1">
      <alignment horizontal="center" vertical="bottom"/>
    </xf>
    <xf borderId="20" fillId="2" fontId="14" numFmtId="165" xfId="0" applyAlignment="1" applyBorder="1" applyFont="1" applyNumberFormat="1">
      <alignment horizontal="center" vertical="bottom"/>
    </xf>
    <xf borderId="19" fillId="7" fontId="14" numFmtId="165" xfId="0" applyAlignment="1" applyBorder="1" applyFill="1" applyFont="1" applyNumberFormat="1">
      <alignment horizontal="center" vertical="bottom"/>
    </xf>
    <xf borderId="22" fillId="7" fontId="14" numFmtId="165" xfId="0" applyAlignment="1" applyBorder="1" applyFont="1" applyNumberFormat="1">
      <alignment horizontal="center" vertical="bottom"/>
    </xf>
    <xf borderId="20" fillId="7" fontId="14" numFmtId="165" xfId="0" applyAlignment="1" applyBorder="1" applyFont="1" applyNumberFormat="1">
      <alignment horizontal="center" vertical="bottom"/>
    </xf>
    <xf borderId="19" fillId="8" fontId="14" numFmtId="165" xfId="0" applyAlignment="1" applyBorder="1" applyFill="1" applyFont="1" applyNumberFormat="1">
      <alignment horizontal="center" vertical="bottom"/>
    </xf>
    <xf borderId="22" fillId="8" fontId="14" numFmtId="165" xfId="0" applyAlignment="1" applyBorder="1" applyFont="1" applyNumberFormat="1">
      <alignment horizontal="center" vertical="bottom"/>
    </xf>
    <xf borderId="20" fillId="8" fontId="14" numFmtId="165" xfId="0" applyAlignment="1" applyBorder="1" applyFont="1" applyNumberFormat="1">
      <alignment horizontal="center" vertical="bottom"/>
    </xf>
    <xf borderId="19" fillId="9" fontId="14" numFmtId="165" xfId="0" applyAlignment="1" applyBorder="1" applyFill="1" applyFont="1" applyNumberFormat="1">
      <alignment horizontal="center" vertical="bottom"/>
    </xf>
    <xf borderId="22" fillId="9" fontId="14" numFmtId="165" xfId="0" applyAlignment="1" applyBorder="1" applyFont="1" applyNumberFormat="1">
      <alignment horizontal="center" vertical="bottom"/>
    </xf>
    <xf borderId="20" fillId="9" fontId="14" numFmtId="165" xfId="0" applyAlignment="1" applyBorder="1" applyFont="1" applyNumberFormat="1">
      <alignment horizontal="center" vertical="bottom"/>
    </xf>
    <xf borderId="19" fillId="10" fontId="14" numFmtId="165" xfId="0" applyAlignment="1" applyBorder="1" applyFill="1" applyFont="1" applyNumberFormat="1">
      <alignment horizontal="center" vertical="bottom"/>
    </xf>
    <xf borderId="22" fillId="10" fontId="14" numFmtId="165" xfId="0" applyAlignment="1" applyBorder="1" applyFont="1" applyNumberFormat="1">
      <alignment horizontal="center" vertical="bottom"/>
    </xf>
    <xf borderId="20" fillId="10" fontId="14" numFmtId="165" xfId="0" applyAlignment="1" applyBorder="1" applyFont="1" applyNumberFormat="1">
      <alignment horizontal="center" vertical="bottom"/>
    </xf>
    <xf borderId="19" fillId="11" fontId="14" numFmtId="165" xfId="0" applyAlignment="1" applyBorder="1" applyFill="1" applyFont="1" applyNumberFormat="1">
      <alignment horizontal="center" vertical="bottom"/>
    </xf>
    <xf borderId="22" fillId="11" fontId="14" numFmtId="165" xfId="0" applyAlignment="1" applyBorder="1" applyFont="1" applyNumberFormat="1">
      <alignment horizontal="center" vertical="bottom"/>
    </xf>
    <xf borderId="20" fillId="12" fontId="14" numFmtId="165" xfId="0" applyAlignment="1" applyBorder="1" applyFill="1" applyFont="1" applyNumberFormat="1">
      <alignment horizontal="center" vertical="bottom"/>
    </xf>
    <xf borderId="6" fillId="0" fontId="15" numFmtId="0" xfId="0" applyAlignment="1" applyBorder="1" applyFont="1">
      <alignment vertical="bottom"/>
    </xf>
    <xf borderId="21" fillId="0" fontId="14" numFmtId="0" xfId="0" applyAlignment="1" applyBorder="1" applyFont="1">
      <alignment horizontal="center" vertical="bottom"/>
    </xf>
    <xf borderId="21" fillId="0" fontId="15" numFmtId="10" xfId="0" applyAlignment="1" applyBorder="1" applyFont="1" applyNumberFormat="1">
      <alignment vertical="bottom"/>
    </xf>
    <xf borderId="2" fillId="0" fontId="15" numFmtId="10" xfId="0" applyAlignment="1" applyBorder="1" applyFont="1" applyNumberFormat="1">
      <alignment vertical="bottom"/>
    </xf>
    <xf borderId="2" fillId="0" fontId="15" numFmtId="0" xfId="0" applyAlignment="1" applyBorder="1" applyFont="1">
      <alignment vertical="bottom"/>
    </xf>
    <xf borderId="19" fillId="13" fontId="14" numFmtId="165" xfId="0" applyAlignment="1" applyBorder="1" applyFill="1" applyFont="1" applyNumberFormat="1">
      <alignment horizontal="center" vertical="bottom"/>
    </xf>
    <xf borderId="22" fillId="13" fontId="14" numFmtId="165" xfId="0" applyAlignment="1" applyBorder="1" applyFont="1" applyNumberFormat="1">
      <alignment horizontal="center" vertical="bottom"/>
    </xf>
    <xf borderId="0" fillId="0" fontId="14" numFmtId="0" xfId="0" applyAlignment="1" applyFont="1">
      <alignment horizontal="center" vertical="bottom"/>
    </xf>
    <xf borderId="1" fillId="2" fontId="16" numFmtId="0" xfId="0" applyAlignment="1" applyBorder="1" applyFont="1">
      <alignment horizontal="center" readingOrder="0" vertical="bottom"/>
    </xf>
    <xf borderId="19" fillId="2" fontId="15" numFmtId="0" xfId="0" applyAlignment="1" applyBorder="1" applyFont="1">
      <alignment vertical="bottom"/>
    </xf>
    <xf borderId="19" fillId="2" fontId="16" numFmtId="165" xfId="0" applyAlignment="1" applyBorder="1" applyFont="1" applyNumberFormat="1">
      <alignment horizontal="center" vertical="bottom"/>
    </xf>
    <xf borderId="2" fillId="2" fontId="15" numFmtId="164" xfId="0" applyAlignment="1" applyBorder="1" applyFont="1" applyNumberFormat="1">
      <alignment vertical="bottom"/>
    </xf>
    <xf borderId="2" fillId="2" fontId="16" numFmtId="0" xfId="0" applyAlignment="1" applyBorder="1" applyFont="1">
      <alignment horizontal="center" vertical="bottom"/>
    </xf>
    <xf borderId="2" fillId="2" fontId="16" numFmtId="2" xfId="0" applyAlignment="1" applyBorder="1" applyFont="1" applyNumberFormat="1">
      <alignment horizontal="center" vertical="bottom"/>
    </xf>
    <xf borderId="2" fillId="2" fontId="16" numFmtId="164" xfId="0" applyAlignment="1" applyBorder="1" applyFont="1" applyNumberFormat="1">
      <alignment horizontal="center" vertical="bottom"/>
    </xf>
    <xf borderId="20" fillId="2" fontId="16" numFmtId="164" xfId="0" applyAlignment="1" applyBorder="1" applyFont="1" applyNumberFormat="1">
      <alignment horizontal="center" vertical="bottom"/>
    </xf>
    <xf borderId="2" fillId="2" fontId="16" numFmtId="165" xfId="0" applyAlignment="1" applyBorder="1" applyFont="1" applyNumberFormat="1">
      <alignment horizontal="center" vertical="bottom"/>
    </xf>
    <xf borderId="2" fillId="2" fontId="16" numFmtId="10" xfId="0" applyAlignment="1" applyBorder="1" applyFont="1" applyNumberFormat="1">
      <alignment horizontal="center" vertical="bottom"/>
    </xf>
    <xf borderId="2" fillId="2" fontId="16" numFmtId="4" xfId="0" applyAlignment="1" applyBorder="1" applyFont="1" applyNumberFormat="1">
      <alignment horizontal="center" vertical="bottom"/>
    </xf>
    <xf borderId="21" fillId="2" fontId="16" numFmtId="10" xfId="0" applyAlignment="1" applyBorder="1" applyFont="1" applyNumberFormat="1">
      <alignment horizontal="center" vertical="bottom"/>
    </xf>
    <xf borderId="20" fillId="2" fontId="16" numFmtId="165" xfId="0" applyAlignment="1" applyBorder="1" applyFont="1" applyNumberFormat="1">
      <alignment horizontal="center" vertical="bottom"/>
    </xf>
    <xf borderId="21" fillId="2" fontId="16" numFmtId="164" xfId="0" applyAlignment="1" applyBorder="1" applyFont="1" applyNumberFormat="1">
      <alignment horizontal="center" vertical="bottom"/>
    </xf>
    <xf borderId="19" fillId="2" fontId="17" numFmtId="10" xfId="0" applyAlignment="1" applyBorder="1" applyFont="1" applyNumberFormat="1">
      <alignment horizontal="center" vertical="bottom"/>
    </xf>
    <xf borderId="19" fillId="2" fontId="15" numFmtId="10" xfId="0" applyAlignment="1" applyBorder="1" applyFont="1" applyNumberFormat="1">
      <alignment vertical="bottom"/>
    </xf>
    <xf borderId="0" fillId="0" fontId="14" numFmtId="0" xfId="0" applyAlignment="1" applyFont="1">
      <alignment vertical="bottom"/>
    </xf>
    <xf borderId="1" fillId="0" fontId="14" numFmtId="166" xfId="0" applyAlignment="1" applyBorder="1" applyFont="1" applyNumberFormat="1">
      <alignment horizontal="center" readingOrder="0" vertical="bottom"/>
    </xf>
    <xf borderId="19" fillId="4" fontId="14" numFmtId="165" xfId="0" applyAlignment="1" applyBorder="1" applyFont="1" applyNumberFormat="1">
      <alignment horizontal="center" readingOrder="0" vertical="bottom"/>
    </xf>
    <xf borderId="2" fillId="0" fontId="14" numFmtId="164" xfId="0" applyAlignment="1" applyBorder="1" applyFont="1" applyNumberFormat="1">
      <alignment horizontal="center" readingOrder="0" vertical="bottom"/>
    </xf>
    <xf borderId="22" fillId="0" fontId="14" numFmtId="0" xfId="0" applyAlignment="1" applyBorder="1" applyFont="1">
      <alignment horizontal="center" readingOrder="0" vertical="bottom"/>
    </xf>
    <xf borderId="19" fillId="4" fontId="14" numFmtId="165" xfId="0" applyAlignment="1" applyBorder="1" applyFont="1" applyNumberFormat="1">
      <alignment horizontal="center" readingOrder="0" shrinkToFit="0" vertical="bottom" wrapText="1"/>
    </xf>
    <xf borderId="22" fillId="4" fontId="14" numFmtId="165" xfId="0" applyAlignment="1" applyBorder="1" applyFont="1" applyNumberFormat="1">
      <alignment horizontal="center" readingOrder="0" vertical="bottom"/>
    </xf>
    <xf borderId="19" fillId="0" fontId="14" numFmtId="10" xfId="0" applyAlignment="1" applyBorder="1" applyFont="1" applyNumberFormat="1">
      <alignment vertical="bottom"/>
    </xf>
    <xf borderId="3" fillId="0" fontId="14" numFmtId="0" xfId="0" applyAlignment="1" applyBorder="1" applyFont="1">
      <alignment vertical="bottom"/>
    </xf>
    <xf borderId="1" fillId="0" fontId="14" numFmtId="166" xfId="0" applyAlignment="1" applyBorder="1" applyFont="1" applyNumberFormat="1">
      <alignment vertical="bottom"/>
    </xf>
    <xf borderId="19" fillId="5" fontId="14" numFmtId="165" xfId="0" applyAlignment="1" applyBorder="1" applyFont="1" applyNumberFormat="1">
      <alignment horizontal="center" readingOrder="0" vertical="bottom"/>
    </xf>
    <xf borderId="22" fillId="5" fontId="14" numFmtId="165" xfId="0" applyAlignment="1" applyBorder="1" applyFont="1" applyNumberFormat="1">
      <alignment horizontal="center" readingOrder="0" vertical="bottom"/>
    </xf>
    <xf borderId="19" fillId="6" fontId="14" numFmtId="165" xfId="0" applyAlignment="1" applyBorder="1" applyFont="1" applyNumberFormat="1">
      <alignment horizontal="center" readingOrder="0" vertical="bottom"/>
    </xf>
    <xf borderId="22" fillId="6" fontId="14" numFmtId="165" xfId="0" applyAlignment="1" applyBorder="1" applyFont="1" applyNumberFormat="1">
      <alignment horizontal="center" readingOrder="0" vertical="bottom"/>
    </xf>
    <xf borderId="1" fillId="0" fontId="14" numFmtId="0" xfId="0" applyAlignment="1" applyBorder="1" applyFont="1">
      <alignment horizontal="center" vertical="bottom"/>
    </xf>
    <xf borderId="19" fillId="2" fontId="14" numFmtId="165" xfId="0" applyAlignment="1" applyBorder="1" applyFont="1" applyNumberFormat="1">
      <alignment horizontal="center" readingOrder="0" vertical="bottom"/>
    </xf>
    <xf borderId="22" fillId="2" fontId="14" numFmtId="165" xfId="0" applyAlignment="1" applyBorder="1" applyFont="1" applyNumberFormat="1">
      <alignment horizontal="center" readingOrder="0" vertical="bottom"/>
    </xf>
    <xf borderId="19" fillId="7" fontId="14" numFmtId="165" xfId="0" applyAlignment="1" applyBorder="1" applyFont="1" applyNumberFormat="1">
      <alignment horizontal="center" readingOrder="0" vertical="bottom"/>
    </xf>
    <xf borderId="22" fillId="7" fontId="14" numFmtId="165" xfId="0" applyAlignment="1" applyBorder="1" applyFont="1" applyNumberFormat="1">
      <alignment horizontal="center" readingOrder="0" vertical="bottom"/>
    </xf>
    <xf borderId="19" fillId="8" fontId="14" numFmtId="165" xfId="0" applyAlignment="1" applyBorder="1" applyFont="1" applyNumberFormat="1">
      <alignment horizontal="center" readingOrder="0" vertical="bottom"/>
    </xf>
    <xf borderId="22" fillId="8" fontId="14" numFmtId="165" xfId="0" applyAlignment="1" applyBorder="1" applyFont="1" applyNumberFormat="1">
      <alignment horizontal="center" readingOrder="0" vertical="bottom"/>
    </xf>
    <xf borderId="19" fillId="9" fontId="14" numFmtId="165" xfId="0" applyAlignment="1" applyBorder="1" applyFont="1" applyNumberFormat="1">
      <alignment horizontal="center" readingOrder="0" vertical="bottom"/>
    </xf>
    <xf borderId="22" fillId="9" fontId="14" numFmtId="165" xfId="0" applyAlignment="1" applyBorder="1" applyFont="1" applyNumberFormat="1">
      <alignment horizontal="center" readingOrder="0" vertical="bottom"/>
    </xf>
    <xf borderId="19" fillId="10" fontId="14" numFmtId="165" xfId="0" applyAlignment="1" applyBorder="1" applyFont="1" applyNumberFormat="1">
      <alignment horizontal="center" readingOrder="0" vertical="bottom"/>
    </xf>
    <xf borderId="22" fillId="10" fontId="14" numFmtId="165" xfId="0" applyAlignment="1" applyBorder="1" applyFont="1" applyNumberFormat="1">
      <alignment horizontal="center" readingOrder="0" vertical="bottom"/>
    </xf>
    <xf borderId="19" fillId="11" fontId="14" numFmtId="165" xfId="0" applyAlignment="1" applyBorder="1" applyFont="1" applyNumberFormat="1">
      <alignment horizontal="center" readingOrder="0" vertical="bottom"/>
    </xf>
    <xf borderId="22" fillId="11" fontId="14" numFmtId="165" xfId="0" applyAlignment="1" applyBorder="1" applyFont="1" applyNumberFormat="1">
      <alignment horizontal="center" readingOrder="0" vertical="bottom"/>
    </xf>
    <xf borderId="6" fillId="0" fontId="14" numFmtId="0" xfId="0" applyAlignment="1" applyBorder="1" applyFont="1">
      <alignment vertical="bottom"/>
    </xf>
    <xf borderId="21" fillId="0" fontId="14" numFmtId="10" xfId="0" applyAlignment="1" applyBorder="1" applyFont="1" applyNumberFormat="1">
      <alignment vertical="bottom"/>
    </xf>
    <xf borderId="2" fillId="0" fontId="14" numFmtId="10" xfId="0" applyAlignment="1" applyBorder="1" applyFont="1" applyNumberFormat="1">
      <alignment vertical="bottom"/>
    </xf>
    <xf borderId="2" fillId="0" fontId="14" numFmtId="0" xfId="0" applyAlignment="1" applyBorder="1" applyFont="1">
      <alignment vertical="bottom"/>
    </xf>
    <xf borderId="19" fillId="13" fontId="14" numFmtId="165" xfId="0" applyAlignment="1" applyBorder="1" applyFont="1" applyNumberFormat="1">
      <alignment horizontal="center" readingOrder="0" vertical="bottom"/>
    </xf>
    <xf borderId="22" fillId="13" fontId="14" numFmtId="165" xfId="0" applyAlignment="1" applyBorder="1" applyFont="1" applyNumberFormat="1">
      <alignment horizontal="center" readingOrder="0" vertical="bottom"/>
    </xf>
    <xf borderId="19" fillId="0" fontId="14" numFmtId="10" xfId="0" applyAlignment="1" applyBorder="1" applyFont="1" applyNumberFormat="1">
      <alignment horizontal="center" vertical="bottom"/>
    </xf>
    <xf borderId="3" fillId="0" fontId="14" numFmtId="0" xfId="0" applyAlignment="1" applyBorder="1" applyFont="1">
      <alignment horizontal="center" vertical="bottom"/>
    </xf>
    <xf borderId="19" fillId="0" fontId="14" numFmtId="0" xfId="0" applyAlignment="1" applyBorder="1" applyFont="1">
      <alignment horizontal="center" readingOrder="0" vertical="bottom"/>
    </xf>
    <xf borderId="19" fillId="2" fontId="14" numFmtId="0" xfId="0" applyAlignment="1" applyBorder="1" applyFont="1">
      <alignment vertical="bottom"/>
    </xf>
    <xf borderId="2" fillId="2" fontId="16" numFmtId="0" xfId="0" applyAlignment="1" applyBorder="1" applyFont="1">
      <alignment horizontal="center" vertical="bottom"/>
    </xf>
    <xf borderId="1" fillId="2" fontId="16" numFmtId="0" xfId="0" applyAlignment="1" applyBorder="1" applyFont="1">
      <alignment horizontal="center" vertical="bottom"/>
    </xf>
    <xf borderId="0" fillId="0" fontId="14" numFmtId="164" xfId="0" applyFont="1" applyNumberFormat="1"/>
    <xf borderId="0" fillId="0" fontId="3" numFmtId="0" xfId="0" applyAlignment="1" applyFont="1">
      <alignment horizontal="center" readingOrder="0" vertical="bottom"/>
    </xf>
    <xf borderId="1" fillId="0" fontId="3" numFmtId="166" xfId="0" applyAlignment="1" applyBorder="1" applyFont="1" applyNumberFormat="1">
      <alignment horizontal="center" readingOrder="0" vertical="bottom"/>
    </xf>
    <xf borderId="19" fillId="0" fontId="3" numFmtId="0" xfId="0" applyAlignment="1" applyBorder="1" applyFont="1">
      <alignment horizontal="center" readingOrder="0" vertical="bottom"/>
    </xf>
    <xf borderId="19" fillId="4" fontId="3" numFmtId="165" xfId="0" applyAlignment="1" applyBorder="1" applyFont="1" applyNumberFormat="1">
      <alignment horizontal="center" readingOrder="0"/>
    </xf>
    <xf borderId="2" fillId="0" fontId="3" numFmtId="164" xfId="0" applyAlignment="1" applyBorder="1" applyFont="1" applyNumberFormat="1">
      <alignment horizontal="center" readingOrder="0"/>
    </xf>
    <xf borderId="22" fillId="0" fontId="3" numFmtId="0" xfId="0" applyAlignment="1" applyBorder="1" applyFont="1">
      <alignment horizontal="center" readingOrder="0"/>
    </xf>
    <xf borderId="2" fillId="0" fontId="3" numFmtId="2" xfId="0" applyAlignment="1" applyBorder="1" applyFont="1" applyNumberFormat="1">
      <alignment horizontal="center" vertical="bottom"/>
    </xf>
    <xf borderId="2" fillId="0" fontId="3" numFmtId="164" xfId="0" applyAlignment="1" applyBorder="1" applyFont="1" applyNumberFormat="1">
      <alignment horizontal="center" vertical="bottom"/>
    </xf>
    <xf borderId="19" fillId="0" fontId="3" numFmtId="165" xfId="0" applyAlignment="1" applyBorder="1" applyFont="1" applyNumberFormat="1">
      <alignment horizontal="center" readingOrder="0" vertical="bottom"/>
    </xf>
    <xf borderId="22" fillId="0" fontId="3" numFmtId="0" xfId="0" applyAlignment="1" applyBorder="1" applyFont="1">
      <alignment horizontal="center" readingOrder="0" vertical="bottom"/>
    </xf>
    <xf borderId="22" fillId="5" fontId="3" numFmtId="165" xfId="0" applyAlignment="1" applyBorder="1" applyFont="1" applyNumberFormat="1">
      <alignment horizontal="center" readingOrder="0" vertical="bottom"/>
    </xf>
    <xf borderId="2" fillId="0" fontId="3" numFmtId="10" xfId="0" applyAlignment="1" applyBorder="1" applyFont="1" applyNumberFormat="1">
      <alignment horizontal="center" vertical="bottom"/>
    </xf>
    <xf borderId="2" fillId="0" fontId="3" numFmtId="4" xfId="0" applyAlignment="1" applyBorder="1" applyFont="1" applyNumberFormat="1">
      <alignment horizontal="center" vertical="bottom"/>
    </xf>
    <xf borderId="21" fillId="0" fontId="3" numFmtId="10" xfId="0" applyAlignment="1" applyBorder="1" applyFont="1" applyNumberFormat="1">
      <alignment vertical="bottom"/>
    </xf>
    <xf borderId="20" fillId="0" fontId="3" numFmtId="165" xfId="0" applyAlignment="1" applyBorder="1" applyFont="1" applyNumberFormat="1">
      <alignment horizontal="center" vertical="bottom"/>
    </xf>
    <xf borderId="21" fillId="0" fontId="3" numFmtId="164" xfId="0" applyAlignment="1" applyBorder="1" applyFont="1" applyNumberFormat="1">
      <alignment vertical="bottom"/>
    </xf>
    <xf borderId="19" fillId="0" fontId="3" numFmtId="10" xfId="0" applyAlignment="1" applyBorder="1" applyFont="1" applyNumberFormat="1">
      <alignment horizontal="center" vertical="bottom"/>
    </xf>
    <xf borderId="0" fillId="0" fontId="3" numFmtId="167" xfId="0" applyAlignment="1" applyFont="1" applyNumberFormat="1">
      <alignment horizontal="center" readingOrder="0" vertical="bottom"/>
    </xf>
    <xf borderId="19" fillId="5" fontId="3" numFmtId="165" xfId="0" applyAlignment="1" applyBorder="1" applyFont="1" applyNumberFormat="1">
      <alignment horizontal="center" readingOrder="0"/>
    </xf>
    <xf borderId="19" fillId="9" fontId="3" numFmtId="165" xfId="0" applyAlignment="1" applyBorder="1" applyFont="1" applyNumberFormat="1">
      <alignment horizontal="center" readingOrder="0"/>
    </xf>
    <xf borderId="22" fillId="9" fontId="3" numFmtId="165" xfId="0" applyAlignment="1" applyBorder="1" applyFont="1" applyNumberFormat="1">
      <alignment horizontal="center" readingOrder="0" vertical="bottom"/>
    </xf>
    <xf borderId="19" fillId="10" fontId="3" numFmtId="165" xfId="0" applyAlignment="1" applyBorder="1" applyFont="1" applyNumberFormat="1">
      <alignment horizontal="center" readingOrder="0"/>
    </xf>
    <xf borderId="22" fillId="10" fontId="3" numFmtId="165" xfId="0" applyAlignment="1" applyBorder="1" applyFont="1" applyNumberFormat="1">
      <alignment horizontal="center" readingOrder="0" vertical="bottom"/>
    </xf>
    <xf borderId="19" fillId="12" fontId="3" numFmtId="165" xfId="0" applyAlignment="1" applyBorder="1" applyFont="1" applyNumberFormat="1">
      <alignment horizontal="center" readingOrder="0"/>
    </xf>
    <xf borderId="22" fillId="12" fontId="3" numFmtId="165" xfId="0" applyAlignment="1" applyBorder="1" applyFont="1" applyNumberFormat="1">
      <alignment horizontal="center" readingOrder="0" vertical="bottom"/>
    </xf>
    <xf borderId="19" fillId="2" fontId="10" numFmtId="164" xfId="0" applyAlignment="1" applyBorder="1" applyFont="1" applyNumberFormat="1">
      <alignment horizontal="center" readingOrder="0" vertical="bottom"/>
    </xf>
    <xf borderId="19" fillId="2" fontId="10" numFmtId="0" xfId="0" applyAlignment="1" applyBorder="1" applyFont="1">
      <alignment horizontal="center" readingOrder="0" vertical="bottom"/>
    </xf>
    <xf borderId="21" fillId="2" fontId="10" numFmtId="10" xfId="0" applyAlignment="1" applyBorder="1" applyFont="1" applyNumberFormat="1">
      <alignment vertical="bottom"/>
    </xf>
    <xf borderId="20" fillId="2" fontId="18" numFmtId="165" xfId="0" applyAlignment="1" applyBorder="1" applyFont="1" applyNumberFormat="1">
      <alignment horizontal="center" readingOrder="0" vertical="bottom"/>
    </xf>
    <xf borderId="21" fillId="2" fontId="10" numFmtId="164" xfId="0" applyAlignment="1" applyBorder="1" applyFont="1" applyNumberFormat="1">
      <alignment vertical="bottom"/>
    </xf>
    <xf borderId="0" fillId="0" fontId="10" numFmtId="0" xfId="0" applyAlignment="1" applyFont="1">
      <alignment horizontal="center" readingOrder="0" vertical="bottom"/>
    </xf>
    <xf borderId="0" fillId="0" fontId="10" numFmtId="0" xfId="0" applyAlignment="1" applyFont="1">
      <alignment horizontal="center" vertical="bottom"/>
    </xf>
    <xf borderId="0" fillId="0" fontId="10" numFmtId="165" xfId="0" applyAlignment="1" applyFont="1" applyNumberFormat="1">
      <alignment horizontal="center" readingOrder="0" vertical="bottom"/>
    </xf>
    <xf borderId="0" fillId="0" fontId="10" numFmtId="164" xfId="0" applyAlignment="1" applyFont="1" applyNumberFormat="1">
      <alignment horizontal="center" readingOrder="0" vertical="bottom"/>
    </xf>
    <xf borderId="0" fillId="0" fontId="10" numFmtId="2" xfId="0" applyAlignment="1" applyFont="1" applyNumberFormat="1">
      <alignment horizontal="center" vertical="bottom"/>
    </xf>
    <xf borderId="0" fillId="0" fontId="10" numFmtId="165" xfId="0" applyAlignment="1" applyFont="1" applyNumberFormat="1">
      <alignment horizontal="center" vertical="bottom"/>
    </xf>
    <xf borderId="0" fillId="0" fontId="10" numFmtId="0" xfId="0" applyAlignment="1" applyFont="1">
      <alignment horizontal="center" vertical="bottom"/>
    </xf>
    <xf borderId="0" fillId="0" fontId="10" numFmtId="10" xfId="0" applyAlignment="1" applyFont="1" applyNumberFormat="1">
      <alignment horizontal="center" readingOrder="0" vertical="bottom"/>
    </xf>
    <xf borderId="0" fillId="0" fontId="10" numFmtId="2" xfId="0" applyAlignment="1" applyFont="1" applyNumberFormat="1">
      <alignment horizontal="center" readingOrder="0" vertical="bottom"/>
    </xf>
    <xf borderId="0" fillId="0" fontId="10" numFmtId="10" xfId="0" applyAlignment="1" applyFont="1" applyNumberFormat="1">
      <alignment horizontal="center" vertical="bottom"/>
    </xf>
    <xf borderId="0" fillId="0" fontId="10" numFmtId="9" xfId="0" applyAlignment="1" applyFont="1" applyNumberFormat="1">
      <alignment horizontal="center" vertical="bottom"/>
    </xf>
    <xf borderId="0" fillId="0" fontId="18" numFmtId="165" xfId="0" applyAlignment="1" applyFont="1" applyNumberFormat="1">
      <alignment horizontal="center" readingOrder="0" vertical="bottom"/>
    </xf>
    <xf borderId="0" fillId="0" fontId="3" numFmtId="10" xfId="0" applyAlignment="1" applyFont="1" applyNumberFormat="1">
      <alignment horizontal="center" vertical="bottom"/>
    </xf>
    <xf borderId="4" fillId="0" fontId="5" numFmtId="0" xfId="0" applyAlignment="1" applyBorder="1" applyFont="1">
      <alignment horizontal="center" vertical="bottom"/>
    </xf>
    <xf borderId="3" fillId="0" fontId="5" numFmtId="0" xfId="0" applyBorder="1" applyFont="1"/>
    <xf borderId="5" fillId="0" fontId="5" numFmtId="0" xfId="0" applyBorder="1" applyFont="1"/>
    <xf borderId="7" fillId="0" fontId="6" numFmtId="10" xfId="0" applyAlignment="1" applyBorder="1" applyFont="1" applyNumberFormat="1">
      <alignment vertical="bottom"/>
    </xf>
    <xf borderId="20" fillId="0" fontId="7" numFmtId="0" xfId="0" applyAlignment="1" applyBorder="1" applyFont="1">
      <alignment horizontal="center" vertical="bottom"/>
    </xf>
    <xf borderId="2" fillId="0" fontId="7" numFmtId="0" xfId="0" applyBorder="1" applyFont="1"/>
    <xf borderId="22" fillId="0" fontId="7" numFmtId="0" xfId="0" applyBorder="1" applyFont="1"/>
    <xf borderId="1" fillId="0" fontId="7" numFmtId="1" xfId="0" applyAlignment="1" applyBorder="1" applyFont="1" applyNumberFormat="1">
      <alignment horizontal="left" vertical="bottom"/>
    </xf>
    <xf borderId="20" fillId="0" fontId="2" numFmtId="0" xfId="0" applyBorder="1" applyFont="1"/>
    <xf borderId="22" fillId="0" fontId="7" numFmtId="0" xfId="0" applyAlignment="1" applyBorder="1" applyFont="1">
      <alignment vertical="bottom"/>
    </xf>
    <xf borderId="20" fillId="0" fontId="8" numFmtId="9" xfId="0" applyAlignment="1" applyBorder="1" applyFont="1" applyNumberFormat="1">
      <alignment horizontal="center" vertical="bottom"/>
    </xf>
    <xf borderId="3" fillId="0" fontId="19" numFmtId="10" xfId="0" applyAlignment="1" applyBorder="1" applyFont="1" applyNumberFormat="1">
      <alignment horizontal="left" readingOrder="0" vertical="bottom"/>
    </xf>
    <xf borderId="2" fillId="0" fontId="8" numFmtId="0" xfId="0" applyBorder="1" applyFont="1"/>
    <xf borderId="22" fillId="0" fontId="8" numFmtId="0" xfId="0" applyBorder="1" applyFont="1"/>
    <xf borderId="1" fillId="0" fontId="19" numFmtId="10" xfId="0" applyAlignment="1" applyBorder="1" applyFont="1" applyNumberFormat="1">
      <alignment horizontal="left" vertical="bottom"/>
    </xf>
    <xf borderId="4" fillId="0" fontId="19" numFmtId="10" xfId="0" applyAlignment="1" applyBorder="1" applyFont="1" applyNumberFormat="1">
      <alignment horizontal="left" vertical="bottom"/>
    </xf>
    <xf borderId="20" fillId="0" fontId="5" numFmtId="0" xfId="0" applyAlignment="1" applyBorder="1" applyFont="1">
      <alignment horizontal="center" vertical="bottom"/>
    </xf>
    <xf borderId="2" fillId="0" fontId="5" numFmtId="0" xfId="0" applyBorder="1" applyFont="1"/>
    <xf borderId="22" fillId="0" fontId="5" numFmtId="0" xfId="0" applyBorder="1" applyFont="1"/>
    <xf borderId="1" fillId="0" fontId="6" numFmtId="0" xfId="0" applyAlignment="1" applyBorder="1" applyFont="1">
      <alignment readingOrder="0" vertical="bottom"/>
    </xf>
    <xf borderId="1" fillId="0" fontId="7" numFmtId="165" xfId="0" applyAlignment="1" applyBorder="1" applyFont="1" applyNumberFormat="1">
      <alignment horizontal="left" vertical="bottom"/>
    </xf>
    <xf borderId="20" fillId="0" fontId="8" numFmtId="0" xfId="0" applyAlignment="1" applyBorder="1" applyFont="1">
      <alignment horizontal="center" vertical="bottom"/>
    </xf>
    <xf borderId="6" fillId="0" fontId="8" numFmtId="10" xfId="0" applyAlignment="1" applyBorder="1" applyFont="1" applyNumberFormat="1">
      <alignment horizontal="left"/>
    </xf>
    <xf borderId="0" fillId="0" fontId="8" numFmtId="0" xfId="0" applyFont="1"/>
    <xf borderId="23" fillId="0" fontId="8" numFmtId="0" xfId="0" applyBorder="1" applyFont="1"/>
    <xf borderId="0" fillId="0" fontId="20" numFmtId="10" xfId="0" applyAlignment="1" applyFont="1" applyNumberFormat="1">
      <alignment horizontal="left"/>
    </xf>
    <xf borderId="6" fillId="0" fontId="8" numFmtId="0" xfId="0" applyBorder="1" applyFont="1"/>
    <xf borderId="0" fillId="0" fontId="21" numFmtId="10" xfId="0" applyAlignment="1" applyFont="1" applyNumberFormat="1">
      <alignment horizontal="left"/>
    </xf>
    <xf borderId="20" fillId="0" fontId="3" numFmtId="0" xfId="0" applyAlignment="1" applyBorder="1" applyFont="1">
      <alignment horizontal="center" vertical="bottom"/>
    </xf>
    <xf borderId="19" fillId="14" fontId="22" numFmtId="0" xfId="0" applyAlignment="1" applyBorder="1" applyFill="1" applyFont="1">
      <alignment horizontal="center" vertical="bottom"/>
    </xf>
    <xf borderId="22" fillId="0" fontId="14" numFmtId="3" xfId="0" applyAlignment="1" applyBorder="1" applyFont="1" applyNumberFormat="1">
      <alignment horizontal="center" vertical="bottom"/>
    </xf>
    <xf borderId="19" fillId="14" fontId="22" numFmtId="0" xfId="0" applyAlignment="1" applyBorder="1" applyFont="1">
      <alignment horizontal="center" readingOrder="0" vertical="bottom"/>
    </xf>
    <xf borderId="22" fillId="0" fontId="14" numFmtId="0" xfId="0" applyAlignment="1" applyBorder="1" applyFont="1">
      <alignment horizontal="center" vertical="bottom"/>
    </xf>
    <xf borderId="4" fillId="0" fontId="11" numFmtId="10" xfId="0" applyAlignment="1" applyBorder="1" applyFont="1" applyNumberFormat="1">
      <alignment vertical="bottom"/>
    </xf>
    <xf borderId="4" fillId="0" fontId="11" numFmtId="0" xfId="0" applyAlignment="1" applyBorder="1" applyFont="1">
      <alignment vertical="bottom"/>
    </xf>
    <xf borderId="4" fillId="0" fontId="11" numFmtId="0" xfId="0" applyAlignment="1" applyBorder="1" applyFont="1">
      <alignment readingOrder="0" vertical="bottom"/>
    </xf>
    <xf borderId="7" fillId="0" fontId="7" numFmtId="0" xfId="0" applyAlignment="1" applyBorder="1" applyFont="1">
      <alignment horizontal="center" vertical="bottom"/>
    </xf>
    <xf borderId="8" fillId="0" fontId="7" numFmtId="0" xfId="0" applyAlignment="1" applyBorder="1" applyFont="1">
      <alignment horizontal="center" vertical="bottom"/>
    </xf>
    <xf borderId="9" fillId="0" fontId="7" numFmtId="0" xfId="0" applyAlignment="1" applyBorder="1" applyFont="1">
      <alignment horizontal="center" vertical="bottom"/>
    </xf>
    <xf borderId="12" fillId="0" fontId="7" numFmtId="0" xfId="0" applyAlignment="1" applyBorder="1" applyFont="1">
      <alignment horizontal="center" vertical="bottom"/>
    </xf>
    <xf borderId="10" fillId="0" fontId="7" numFmtId="164" xfId="0" applyAlignment="1" applyBorder="1" applyFont="1" applyNumberFormat="1">
      <alignment horizontal="center" shrinkToFit="0" vertical="bottom" wrapText="1"/>
    </xf>
    <xf borderId="13" fillId="0" fontId="7" numFmtId="165" xfId="0" applyAlignment="1" applyBorder="1" applyFont="1" applyNumberFormat="1">
      <alignment horizontal="center" vertical="bottom"/>
    </xf>
    <xf borderId="14" fillId="0" fontId="7" numFmtId="165" xfId="0" applyAlignment="1" applyBorder="1" applyFont="1" applyNumberFormat="1">
      <alignment horizontal="center" vertical="bottom"/>
    </xf>
    <xf borderId="10" fillId="0" fontId="7" numFmtId="0" xfId="0" applyAlignment="1" applyBorder="1" applyFont="1">
      <alignment horizontal="center" readingOrder="0" vertical="bottom"/>
    </xf>
    <xf borderId="9" fillId="0" fontId="7" numFmtId="0" xfId="0" applyAlignment="1" applyBorder="1" applyFont="1">
      <alignment horizontal="center" readingOrder="0" vertical="bottom"/>
    </xf>
    <xf borderId="0" fillId="0" fontId="15" numFmtId="0" xfId="0" applyAlignment="1" applyFont="1">
      <alignment vertical="bottom"/>
    </xf>
    <xf borderId="19" fillId="0" fontId="14" numFmtId="0" xfId="0" applyAlignment="1" applyBorder="1" applyFont="1">
      <alignment horizontal="center" vertical="bottom"/>
    </xf>
    <xf borderId="19" fillId="4" fontId="15" numFmtId="165" xfId="0" applyAlignment="1" applyBorder="1" applyFont="1" applyNumberFormat="1">
      <alignment vertical="bottom"/>
    </xf>
    <xf borderId="22" fillId="0" fontId="15" numFmtId="0" xfId="0" applyAlignment="1" applyBorder="1" applyFont="1">
      <alignment vertical="bottom"/>
    </xf>
    <xf borderId="19" fillId="5" fontId="15" numFmtId="165" xfId="0" applyAlignment="1" applyBorder="1" applyFont="1" applyNumberFormat="1">
      <alignment vertical="bottom"/>
    </xf>
    <xf borderId="19" fillId="6" fontId="15" numFmtId="165" xfId="0" applyAlignment="1" applyBorder="1" applyFont="1" applyNumberFormat="1">
      <alignment vertical="bottom"/>
    </xf>
    <xf borderId="19" fillId="15" fontId="15" numFmtId="165" xfId="0" applyAlignment="1" applyBorder="1" applyFill="1" applyFont="1" applyNumberFormat="1">
      <alignment vertical="bottom"/>
    </xf>
    <xf borderId="19" fillId="15" fontId="14" numFmtId="165" xfId="0" applyAlignment="1" applyBorder="1" applyFont="1" applyNumberFormat="1">
      <alignment horizontal="center" vertical="bottom"/>
    </xf>
    <xf borderId="19" fillId="16" fontId="15" numFmtId="165" xfId="0" applyAlignment="1" applyBorder="1" applyFill="1" applyFont="1" applyNumberFormat="1">
      <alignment vertical="bottom"/>
    </xf>
    <xf borderId="19" fillId="16" fontId="14" numFmtId="165" xfId="0" applyAlignment="1" applyBorder="1" applyFont="1" applyNumberFormat="1">
      <alignment horizontal="center" vertical="bottom"/>
    </xf>
    <xf borderId="22" fillId="16" fontId="14" numFmtId="165" xfId="0" applyAlignment="1" applyBorder="1" applyFont="1" applyNumberFormat="1">
      <alignment horizontal="center" vertical="bottom"/>
    </xf>
    <xf borderId="20" fillId="16" fontId="14" numFmtId="165" xfId="0" applyAlignment="1" applyBorder="1" applyFont="1" applyNumberFormat="1">
      <alignment horizontal="center" vertical="bottom"/>
    </xf>
    <xf borderId="19" fillId="2" fontId="15" numFmtId="165" xfId="0" applyAlignment="1" applyBorder="1" applyFont="1" applyNumberFormat="1">
      <alignment vertical="bottom"/>
    </xf>
    <xf borderId="19" fillId="7" fontId="15" numFmtId="165" xfId="0" applyAlignment="1" applyBorder="1" applyFont="1" applyNumberFormat="1">
      <alignment vertical="bottom"/>
    </xf>
    <xf borderId="19" fillId="8" fontId="15" numFmtId="165" xfId="0" applyAlignment="1" applyBorder="1" applyFont="1" applyNumberFormat="1">
      <alignment vertical="bottom"/>
    </xf>
    <xf borderId="2" fillId="0" fontId="15" numFmtId="2" xfId="0" applyAlignment="1" applyBorder="1" applyFont="1" applyNumberFormat="1">
      <alignment vertical="bottom"/>
    </xf>
    <xf borderId="20" fillId="0" fontId="15" numFmtId="164" xfId="0" applyAlignment="1" applyBorder="1" applyFont="1" applyNumberFormat="1">
      <alignment vertical="bottom"/>
    </xf>
    <xf borderId="0" fillId="0" fontId="14" numFmtId="0" xfId="0" applyAlignment="1" applyFont="1">
      <alignment horizontal="center" vertical="bottom"/>
    </xf>
    <xf borderId="19" fillId="13" fontId="15" numFmtId="165" xfId="0" applyAlignment="1" applyBorder="1" applyFont="1" applyNumberFormat="1">
      <alignment vertical="bottom"/>
    </xf>
    <xf borderId="19" fillId="2" fontId="15" numFmtId="0" xfId="0" applyAlignment="1" applyBorder="1" applyFont="1">
      <alignment vertical="bottom"/>
    </xf>
    <xf borderId="2" fillId="2" fontId="16" numFmtId="3" xfId="0" applyAlignment="1" applyBorder="1" applyFont="1" applyNumberFormat="1">
      <alignment horizontal="center" vertical="bottom"/>
    </xf>
    <xf borderId="22" fillId="0" fontId="14" numFmtId="3" xfId="0" applyAlignment="1" applyBorder="1" applyFont="1" applyNumberFormat="1">
      <alignment horizontal="center" readingOrder="0" vertical="bottom"/>
    </xf>
    <xf borderId="21" fillId="0" fontId="3" numFmtId="10" xfId="0" applyAlignment="1" applyBorder="1" applyFont="1" applyNumberFormat="1">
      <alignment horizontal="center" vertical="bottom"/>
    </xf>
    <xf borderId="20" fillId="4" fontId="3" numFmtId="165" xfId="0" applyAlignment="1" applyBorder="1" applyFont="1" applyNumberFormat="1">
      <alignment horizontal="center" vertical="bottom"/>
    </xf>
    <xf borderId="21" fillId="0" fontId="3" numFmtId="164" xfId="0" applyAlignment="1" applyBorder="1" applyFont="1" applyNumberFormat="1">
      <alignment horizontal="center" vertical="bottom"/>
    </xf>
    <xf borderId="20" fillId="5" fontId="3" numFmtId="165" xfId="0" applyAlignment="1" applyBorder="1" applyFont="1" applyNumberFormat="1">
      <alignment horizontal="center" vertical="bottom"/>
    </xf>
    <xf borderId="20" fillId="6" fontId="3" numFmtId="165" xfId="0" applyAlignment="1" applyBorder="1" applyFont="1" applyNumberFormat="1">
      <alignment horizontal="center" vertical="bottom"/>
    </xf>
    <xf borderId="19" fillId="15" fontId="14" numFmtId="165" xfId="0" applyAlignment="1" applyBorder="1" applyFont="1" applyNumberFormat="1">
      <alignment horizontal="center" readingOrder="0" vertical="bottom"/>
    </xf>
    <xf borderId="19" fillId="16" fontId="14" numFmtId="165" xfId="0" applyAlignment="1" applyBorder="1" applyFont="1" applyNumberFormat="1">
      <alignment horizontal="center" readingOrder="0" vertical="bottom"/>
    </xf>
    <xf borderId="22" fillId="16" fontId="14" numFmtId="165" xfId="0" applyAlignment="1" applyBorder="1" applyFont="1" applyNumberFormat="1">
      <alignment horizontal="center" readingOrder="0" vertical="bottom"/>
    </xf>
    <xf borderId="20" fillId="16" fontId="3" numFmtId="165" xfId="0" applyAlignment="1" applyBorder="1" applyFont="1" applyNumberFormat="1">
      <alignment horizontal="center" vertical="bottom"/>
    </xf>
    <xf borderId="1" fillId="0" fontId="3" numFmtId="0" xfId="0" applyAlignment="1" applyBorder="1" applyFont="1">
      <alignment horizontal="center" readingOrder="0" vertical="bottom"/>
    </xf>
    <xf borderId="20" fillId="2" fontId="3" numFmtId="165" xfId="0" applyAlignment="1" applyBorder="1" applyFont="1" applyNumberFormat="1">
      <alignment horizontal="center" vertical="bottom"/>
    </xf>
    <xf borderId="20" fillId="7" fontId="3" numFmtId="165" xfId="0" applyAlignment="1" applyBorder="1" applyFont="1" applyNumberFormat="1">
      <alignment horizontal="center" vertical="bottom"/>
    </xf>
    <xf borderId="20" fillId="8" fontId="3" numFmtId="165" xfId="0" applyAlignment="1" applyBorder="1" applyFont="1" applyNumberFormat="1">
      <alignment horizontal="center" vertical="bottom"/>
    </xf>
    <xf borderId="20" fillId="10" fontId="3" numFmtId="165" xfId="0" applyAlignment="1" applyBorder="1" applyFont="1" applyNumberFormat="1">
      <alignment horizontal="center" vertical="bottom"/>
    </xf>
    <xf borderId="19" fillId="13" fontId="3" numFmtId="165" xfId="0" applyAlignment="1" applyBorder="1" applyFont="1" applyNumberFormat="1">
      <alignment horizontal="center" readingOrder="0"/>
    </xf>
    <xf borderId="20" fillId="0" fontId="3" numFmtId="164" xfId="0" applyAlignment="1" applyBorder="1" applyFont="1" applyNumberFormat="1">
      <alignment horizontal="center" vertical="bottom"/>
    </xf>
    <xf borderId="19" fillId="4" fontId="3" numFmtId="165" xfId="0" applyAlignment="1" applyBorder="1" applyFont="1" applyNumberFormat="1">
      <alignment horizontal="center" readingOrder="0" vertical="bottom"/>
    </xf>
    <xf borderId="22" fillId="0" fontId="3" numFmtId="3" xfId="0" applyAlignment="1" applyBorder="1" applyFont="1" applyNumberFormat="1">
      <alignment horizontal="center" readingOrder="0" vertical="bottom"/>
    </xf>
    <xf borderId="22" fillId="4" fontId="3" numFmtId="165" xfId="0" applyAlignment="1" applyBorder="1" applyFont="1" applyNumberFormat="1">
      <alignment horizontal="center" readingOrder="0" vertical="bottom"/>
    </xf>
    <xf borderId="19" fillId="5" fontId="3" numFmtId="165" xfId="0" applyAlignment="1" applyBorder="1" applyFont="1" applyNumberFormat="1">
      <alignment horizontal="center" readingOrder="0" vertical="bottom"/>
    </xf>
    <xf borderId="19" fillId="6" fontId="3" numFmtId="165" xfId="0" applyAlignment="1" applyBorder="1" applyFont="1" applyNumberFormat="1">
      <alignment horizontal="center" readingOrder="0"/>
    </xf>
    <xf borderId="19" fillId="6" fontId="3" numFmtId="165" xfId="0" applyAlignment="1" applyBorder="1" applyFont="1" applyNumberFormat="1">
      <alignment horizontal="center" readingOrder="0" vertical="bottom"/>
    </xf>
    <xf borderId="22" fillId="6" fontId="3" numFmtId="165" xfId="0" applyAlignment="1" applyBorder="1" applyFont="1" applyNumberFormat="1">
      <alignment horizontal="center" readingOrder="0" vertical="bottom"/>
    </xf>
    <xf borderId="19" fillId="16" fontId="3" numFmtId="165" xfId="0" applyAlignment="1" applyBorder="1" applyFont="1" applyNumberFormat="1">
      <alignment horizontal="center" readingOrder="0"/>
    </xf>
    <xf borderId="19" fillId="16" fontId="3" numFmtId="165" xfId="0" applyAlignment="1" applyBorder="1" applyFont="1" applyNumberFormat="1">
      <alignment horizontal="center" readingOrder="0" vertical="bottom"/>
    </xf>
    <xf borderId="22" fillId="16" fontId="3" numFmtId="165" xfId="0" applyAlignment="1" applyBorder="1" applyFont="1" applyNumberFormat="1">
      <alignment horizontal="center" readingOrder="0" vertical="bottom"/>
    </xf>
    <xf borderId="19" fillId="2" fontId="3" numFmtId="165" xfId="0" applyAlignment="1" applyBorder="1" applyFont="1" applyNumberFormat="1">
      <alignment horizontal="center" readingOrder="0"/>
    </xf>
    <xf borderId="19" fillId="2" fontId="3" numFmtId="165" xfId="0" applyAlignment="1" applyBorder="1" applyFont="1" applyNumberFormat="1">
      <alignment horizontal="center" readingOrder="0" vertical="bottom"/>
    </xf>
    <xf borderId="22" fillId="2" fontId="3" numFmtId="165" xfId="0" applyAlignment="1" applyBorder="1" applyFont="1" applyNumberFormat="1">
      <alignment horizontal="center" readingOrder="0" vertical="bottom"/>
    </xf>
    <xf borderId="19" fillId="7" fontId="3" numFmtId="165" xfId="0" applyAlignment="1" applyBorder="1" applyFont="1" applyNumberFormat="1">
      <alignment horizontal="center" readingOrder="0"/>
    </xf>
    <xf borderId="19" fillId="7" fontId="3" numFmtId="165" xfId="0" applyAlignment="1" applyBorder="1" applyFont="1" applyNumberFormat="1">
      <alignment horizontal="center" readingOrder="0" vertical="bottom"/>
    </xf>
    <xf borderId="22" fillId="7" fontId="3" numFmtId="165" xfId="0" applyAlignment="1" applyBorder="1" applyFont="1" applyNumberFormat="1">
      <alignment horizontal="center" readingOrder="0" vertical="bottom"/>
    </xf>
    <xf borderId="19" fillId="8" fontId="3" numFmtId="165" xfId="0" applyAlignment="1" applyBorder="1" applyFont="1" applyNumberFormat="1">
      <alignment horizontal="center" readingOrder="0"/>
    </xf>
    <xf borderId="19" fillId="8" fontId="3" numFmtId="165" xfId="0" applyAlignment="1" applyBorder="1" applyFont="1" applyNumberFormat="1">
      <alignment horizontal="center" readingOrder="0" vertical="bottom"/>
    </xf>
    <xf borderId="22" fillId="8" fontId="3" numFmtId="165" xfId="0" applyAlignment="1" applyBorder="1" applyFont="1" applyNumberFormat="1">
      <alignment horizontal="center" readingOrder="0" vertical="bottom"/>
    </xf>
    <xf borderId="19" fillId="9" fontId="3" numFmtId="165" xfId="0" applyAlignment="1" applyBorder="1" applyFont="1" applyNumberFormat="1">
      <alignment horizontal="center" readingOrder="0" vertical="bottom"/>
    </xf>
    <xf borderId="20" fillId="9" fontId="4" numFmtId="165" xfId="0" applyAlignment="1" applyBorder="1" applyFont="1" applyNumberFormat="1">
      <alignment horizontal="center" vertical="bottom"/>
    </xf>
    <xf borderId="19" fillId="10" fontId="3" numFmtId="165" xfId="0" applyAlignment="1" applyBorder="1" applyFont="1" applyNumberFormat="1">
      <alignment horizontal="center" readingOrder="0" vertical="bottom"/>
    </xf>
    <xf borderId="19" fillId="11" fontId="3" numFmtId="165" xfId="0" applyAlignment="1" applyBorder="1" applyFont="1" applyNumberFormat="1">
      <alignment horizontal="center" readingOrder="0"/>
    </xf>
    <xf borderId="19" fillId="11" fontId="3" numFmtId="165" xfId="0" applyAlignment="1" applyBorder="1" applyFont="1" applyNumberFormat="1">
      <alignment horizontal="center" readingOrder="0" vertical="bottom"/>
    </xf>
    <xf borderId="22" fillId="11" fontId="3" numFmtId="165" xfId="0" applyAlignment="1" applyBorder="1" applyFont="1" applyNumberFormat="1">
      <alignment horizontal="center" readingOrder="0" vertical="bottom"/>
    </xf>
    <xf borderId="20" fillId="12" fontId="3" numFmtId="165" xfId="0" applyAlignment="1" applyBorder="1" applyFont="1" applyNumberFormat="1">
      <alignment horizontal="center" vertical="bottom"/>
    </xf>
    <xf borderId="6" fillId="0" fontId="14" numFmtId="0" xfId="0" applyAlignment="1" applyBorder="1" applyFont="1">
      <alignment horizontal="center" vertical="bottom"/>
    </xf>
    <xf borderId="21" fillId="0" fontId="14" numFmtId="0" xfId="0" applyAlignment="1" applyBorder="1" applyFont="1">
      <alignment horizontal="center" readingOrder="0" vertical="bottom"/>
    </xf>
    <xf borderId="19" fillId="13" fontId="3" numFmtId="165" xfId="0" applyAlignment="1" applyBorder="1" applyFont="1" applyNumberFormat="1">
      <alignment horizontal="center" readingOrder="0" vertical="bottom"/>
    </xf>
    <xf borderId="22" fillId="13" fontId="3" numFmtId="165" xfId="0" applyAlignment="1" applyBorder="1" applyFont="1" applyNumberFormat="1">
      <alignment horizontal="center" readingOrder="0" vertical="bottom"/>
    </xf>
    <xf borderId="6" fillId="0" fontId="14" numFmtId="0" xfId="0" applyAlignment="1" applyBorder="1" applyFont="1">
      <alignment vertical="bottom"/>
    </xf>
    <xf borderId="24" fillId="2" fontId="16" numFmtId="0" xfId="0" applyAlignment="1" applyBorder="1" applyFont="1">
      <alignment horizontal="center" readingOrder="0" vertical="bottom"/>
    </xf>
    <xf borderId="24" fillId="2" fontId="14" numFmtId="0" xfId="0" applyAlignment="1" applyBorder="1" applyFont="1">
      <alignment vertical="bottom"/>
    </xf>
    <xf borderId="3" fillId="2" fontId="16" numFmtId="165" xfId="0" applyAlignment="1" applyBorder="1" applyFont="1" applyNumberFormat="1">
      <alignment horizontal="center" vertical="bottom"/>
    </xf>
    <xf borderId="3" fillId="2" fontId="16" numFmtId="164" xfId="0" applyAlignment="1" applyBorder="1" applyFont="1" applyNumberFormat="1">
      <alignment horizontal="center" vertical="bottom"/>
    </xf>
    <xf borderId="3" fillId="2" fontId="16" numFmtId="0" xfId="0" applyAlignment="1" applyBorder="1" applyFont="1">
      <alignment horizontal="center" vertical="bottom"/>
    </xf>
    <xf borderId="3" fillId="2" fontId="16" numFmtId="2" xfId="0" applyAlignment="1" applyBorder="1" applyFont="1" applyNumberFormat="1">
      <alignment horizontal="center" vertical="bottom"/>
    </xf>
    <xf borderId="4" fillId="2" fontId="16" numFmtId="164" xfId="0" applyAlignment="1" applyBorder="1" applyFont="1" applyNumberFormat="1">
      <alignment horizontal="center" vertical="bottom"/>
    </xf>
    <xf borderId="25" fillId="2" fontId="16" numFmtId="165" xfId="0" applyAlignment="1" applyBorder="1" applyFont="1" applyNumberFormat="1">
      <alignment horizontal="center" vertical="bottom"/>
    </xf>
    <xf borderId="3" fillId="2" fontId="16" numFmtId="3" xfId="0" applyAlignment="1" applyBorder="1" applyFont="1" applyNumberFormat="1">
      <alignment horizontal="center" vertical="bottom"/>
    </xf>
    <xf borderId="3" fillId="2" fontId="16" numFmtId="10" xfId="0" applyAlignment="1" applyBorder="1" applyFont="1" applyNumberFormat="1">
      <alignment horizontal="center" vertical="bottom"/>
    </xf>
    <xf borderId="3" fillId="2" fontId="16" numFmtId="4" xfId="0" applyAlignment="1" applyBorder="1" applyFont="1" applyNumberFormat="1">
      <alignment horizontal="center" vertical="bottom"/>
    </xf>
    <xf borderId="24" fillId="2" fontId="16" numFmtId="10" xfId="0" applyAlignment="1" applyBorder="1" applyFont="1" applyNumberFormat="1">
      <alignment horizontal="center" vertical="bottom"/>
    </xf>
    <xf borderId="4" fillId="2" fontId="16" numFmtId="165" xfId="0" applyAlignment="1" applyBorder="1" applyFont="1" applyNumberFormat="1">
      <alignment horizontal="center" vertical="bottom"/>
    </xf>
    <xf borderId="24" fillId="2" fontId="16" numFmtId="164" xfId="0" applyAlignment="1" applyBorder="1" applyFont="1" applyNumberFormat="1">
      <alignment horizontal="center" vertical="bottom"/>
    </xf>
    <xf borderId="24" fillId="2" fontId="14" numFmtId="10" xfId="0" applyAlignment="1" applyBorder="1" applyFont="1" applyNumberFormat="1">
      <alignment vertical="bottom"/>
    </xf>
    <xf borderId="24" fillId="2" fontId="17" numFmtId="10" xfId="0" applyAlignment="1" applyBorder="1" applyFont="1" applyNumberFormat="1">
      <alignment horizontal="center" vertical="bottom"/>
    </xf>
    <xf borderId="3" fillId="2" fontId="17" numFmtId="10" xfId="0" applyAlignment="1" applyBorder="1" applyFont="1" applyNumberFormat="1">
      <alignment horizontal="center" vertical="bottom"/>
    </xf>
    <xf borderId="0" fillId="0" fontId="14" numFmtId="0" xfId="0" applyAlignment="1" applyFont="1">
      <alignment vertical="bottom"/>
    </xf>
    <xf borderId="21" fillId="0" fontId="14" numFmtId="0" xfId="0" applyAlignment="1" applyBorder="1" applyFont="1">
      <alignment horizontal="center" vertical="bottom"/>
    </xf>
    <xf borderId="19" fillId="4" fontId="3" numFmtId="165" xfId="0" applyAlignment="1" applyBorder="1" applyFont="1" applyNumberFormat="1">
      <alignment horizontal="center" readingOrder="0" shrinkToFit="0" vertical="bottom" wrapText="1"/>
    </xf>
    <xf borderId="6" fillId="0" fontId="3" numFmtId="0" xfId="0" applyAlignment="1" applyBorder="1" applyFont="1">
      <alignment horizontal="center" vertical="bottom"/>
    </xf>
    <xf borderId="24" fillId="2" fontId="10" numFmtId="0" xfId="0" applyAlignment="1" applyBorder="1" applyFont="1">
      <alignment horizontal="center" readingOrder="0" vertical="bottom"/>
    </xf>
    <xf borderId="24" fillId="2" fontId="3" numFmtId="0" xfId="0" applyAlignment="1" applyBorder="1" applyFont="1">
      <alignment vertical="bottom"/>
    </xf>
    <xf borderId="3" fillId="2" fontId="10" numFmtId="165" xfId="0" applyAlignment="1" applyBorder="1" applyFont="1" applyNumberFormat="1">
      <alignment horizontal="center" vertical="bottom"/>
    </xf>
    <xf borderId="3" fillId="2" fontId="10" numFmtId="164" xfId="0" applyAlignment="1" applyBorder="1" applyFont="1" applyNumberFormat="1">
      <alignment horizontal="center" vertical="bottom"/>
    </xf>
    <xf borderId="3" fillId="2" fontId="10" numFmtId="0" xfId="0" applyAlignment="1" applyBorder="1" applyFont="1">
      <alignment horizontal="center" vertical="bottom"/>
    </xf>
    <xf borderId="3" fillId="2" fontId="10" numFmtId="2" xfId="0" applyAlignment="1" applyBorder="1" applyFont="1" applyNumberFormat="1">
      <alignment horizontal="center" vertical="bottom"/>
    </xf>
    <xf borderId="4" fillId="2" fontId="10" numFmtId="164" xfId="0" applyAlignment="1" applyBorder="1" applyFont="1" applyNumberFormat="1">
      <alignment horizontal="center" vertical="bottom"/>
    </xf>
    <xf borderId="25" fillId="2" fontId="10" numFmtId="165" xfId="0" applyAlignment="1" applyBorder="1" applyFont="1" applyNumberFormat="1">
      <alignment horizontal="center" vertical="bottom"/>
    </xf>
    <xf borderId="3" fillId="2" fontId="10" numFmtId="10" xfId="0" applyAlignment="1" applyBorder="1" applyFont="1" applyNumberFormat="1">
      <alignment horizontal="center" vertical="bottom"/>
    </xf>
    <xf borderId="3" fillId="2" fontId="10" numFmtId="4" xfId="0" applyAlignment="1" applyBorder="1" applyFont="1" applyNumberFormat="1">
      <alignment horizontal="center" vertical="bottom"/>
    </xf>
    <xf borderId="24" fillId="2" fontId="10" numFmtId="10" xfId="0" applyAlignment="1" applyBorder="1" applyFont="1" applyNumberFormat="1">
      <alignment horizontal="center" vertical="bottom"/>
    </xf>
    <xf borderId="4" fillId="2" fontId="10" numFmtId="165" xfId="0" applyAlignment="1" applyBorder="1" applyFont="1" applyNumberFormat="1">
      <alignment horizontal="center" vertical="bottom"/>
    </xf>
    <xf borderId="24" fillId="2" fontId="10" numFmtId="164" xfId="0" applyAlignment="1" applyBorder="1" applyFont="1" applyNumberFormat="1">
      <alignment horizontal="center" vertical="bottom"/>
    </xf>
    <xf borderId="24" fillId="2" fontId="23" numFmtId="10" xfId="0" applyAlignment="1" applyBorder="1" applyFont="1" applyNumberFormat="1">
      <alignment horizontal="center" vertical="bottom"/>
    </xf>
    <xf borderId="3" fillId="2" fontId="23" numFmtId="10" xfId="0" applyAlignment="1" applyBorder="1" applyFont="1" applyNumberFormat="1">
      <alignment horizontal="center" vertical="bottom"/>
    </xf>
    <xf borderId="19" fillId="2" fontId="14" numFmtId="10" xfId="0" applyAlignment="1" applyBorder="1" applyFont="1" applyNumberFormat="1">
      <alignment vertical="bottom"/>
    </xf>
    <xf borderId="19" fillId="2" fontId="24" numFmtId="10" xfId="0" applyAlignment="1" applyBorder="1" applyFont="1" applyNumberFormat="1">
      <alignment horizontal="center" vertical="bottom"/>
    </xf>
    <xf borderId="2" fillId="2" fontId="14" numFmtId="164" xfId="0" applyAlignment="1" applyBorder="1" applyFont="1" applyNumberFormat="1">
      <alignment vertical="bottom"/>
    </xf>
    <xf borderId="2" fillId="0" fontId="14" numFmtId="164" xfId="0" applyAlignment="1" applyBorder="1" applyFont="1" applyNumberFormat="1">
      <alignment vertical="bottom"/>
    </xf>
    <xf borderId="19" fillId="17" fontId="14" numFmtId="165" xfId="0" applyAlignment="1" applyBorder="1" applyFill="1" applyFont="1" applyNumberFormat="1">
      <alignment horizontal="center" vertical="bottom"/>
    </xf>
    <xf borderId="22" fillId="17" fontId="14" numFmtId="165" xfId="0" applyAlignment="1" applyBorder="1" applyFont="1" applyNumberFormat="1">
      <alignment horizontal="center" vertical="bottom"/>
    </xf>
    <xf borderId="22" fillId="5" fontId="14" numFmtId="3" xfId="0" applyAlignment="1" applyBorder="1" applyFont="1" applyNumberFormat="1">
      <alignment horizontal="center" readingOrder="0" vertical="bottom"/>
    </xf>
    <xf borderId="22" fillId="5" fontId="14" numFmtId="0" xfId="0" applyAlignment="1" applyBorder="1" applyFont="1">
      <alignment horizontal="center" readingOrder="0" vertical="bottom"/>
    </xf>
    <xf borderId="22" fillId="5" fontId="3" numFmtId="3" xfId="0" applyAlignment="1" applyBorder="1" applyFont="1" applyNumberFormat="1">
      <alignment horizontal="center" readingOrder="0" vertical="bottom"/>
    </xf>
    <xf borderId="22" fillId="5" fontId="3" numFmtId="0" xfId="0" applyAlignment="1" applyBorder="1" applyFont="1">
      <alignment horizontal="center" readingOrder="0" vertical="bottom"/>
    </xf>
    <xf borderId="22" fillId="5" fontId="14" numFmtId="0" xfId="0" applyAlignment="1" applyBorder="1" applyFont="1">
      <alignment horizontal="center" vertical="bottom"/>
    </xf>
    <xf borderId="22" fillId="5" fontId="14" numFmtId="3" xfId="0" applyAlignment="1" applyBorder="1" applyFont="1" applyNumberFormat="1">
      <alignment horizontal="center" vertical="bottom"/>
    </xf>
    <xf borderId="22" fillId="5" fontId="14" numFmtId="0" xfId="0" applyAlignment="1" applyBorder="1" applyFont="1">
      <alignment vertical="bottom"/>
    </xf>
    <xf borderId="22" fillId="5" fontId="14" numFmtId="0" xfId="0" applyAlignment="1" applyBorder="1" applyFont="1">
      <alignment vertical="bottom"/>
    </xf>
    <xf borderId="22" fillId="5" fontId="14" numFmtId="0" xfId="0" applyAlignment="1" applyBorder="1" applyFont="1">
      <alignment horizontal="center" vertical="bottom"/>
    </xf>
    <xf borderId="6" fillId="0" fontId="15" numFmtId="0" xfId="0" applyAlignment="1" applyBorder="1" applyFont="1">
      <alignment vertical="bottom"/>
    </xf>
    <xf borderId="24" fillId="2" fontId="15" numFmtId="0" xfId="0" applyAlignment="1" applyBorder="1" applyFont="1">
      <alignment vertical="bottom"/>
    </xf>
    <xf borderId="24" fillId="2" fontId="15" numFmtId="10" xfId="0" applyAlignment="1" applyBorder="1" applyFont="1" applyNumberFormat="1">
      <alignment vertical="bottom"/>
    </xf>
    <xf borderId="2" fillId="2" fontId="10" numFmtId="3" xfId="0" applyAlignment="1" applyBorder="1" applyFont="1" applyNumberFormat="1">
      <alignment horizontal="center" vertical="bottom"/>
    </xf>
    <xf borderId="22" fillId="0" fontId="15" numFmtId="3" xfId="0" applyAlignment="1" applyBorder="1" applyFont="1" applyNumberFormat="1">
      <alignment vertical="bottom"/>
    </xf>
    <xf borderId="5" fillId="0" fontId="3" numFmtId="0" xfId="0" applyAlignment="1" applyBorder="1" applyFont="1">
      <alignment horizontal="center" vertical="bottom"/>
    </xf>
    <xf borderId="3" fillId="0" fontId="25" numFmtId="0" xfId="0" applyAlignment="1" applyBorder="1" applyFont="1">
      <alignment vertical="bottom"/>
    </xf>
    <xf borderId="0" fillId="0" fontId="3" numFmtId="0" xfId="0" applyFont="1"/>
    <xf borderId="4" fillId="0" fontId="25" numFmtId="10" xfId="0" applyAlignment="1" applyBorder="1" applyFont="1" applyNumberFormat="1">
      <alignment vertical="bottom"/>
    </xf>
    <xf borderId="4" fillId="0" fontId="25" numFmtId="0" xfId="0" applyAlignment="1" applyBorder="1" applyFont="1">
      <alignment vertical="bottom"/>
    </xf>
    <xf borderId="3" fillId="0" fontId="3" numFmtId="165" xfId="0" applyAlignment="1" applyBorder="1" applyFont="1" applyNumberFormat="1">
      <alignment vertical="bottom"/>
    </xf>
    <xf borderId="3" fillId="0" fontId="3" numFmtId="165" xfId="0" applyAlignment="1" applyBorder="1" applyFont="1" applyNumberFormat="1">
      <alignment horizontal="left" vertical="bottom"/>
    </xf>
    <xf borderId="4" fillId="0" fontId="3" numFmtId="1" xfId="0" applyAlignment="1" applyBorder="1" applyFont="1" applyNumberFormat="1">
      <alignment horizontal="left" vertical="bottom"/>
    </xf>
    <xf borderId="5" fillId="0" fontId="10" numFmtId="9" xfId="0" applyAlignment="1" applyBorder="1" applyFont="1" applyNumberFormat="1">
      <alignment horizontal="center" vertical="bottom"/>
    </xf>
    <xf borderId="3" fillId="0" fontId="10" numFmtId="9" xfId="0" applyAlignment="1" applyBorder="1" applyFont="1" applyNumberFormat="1">
      <alignment vertical="bottom"/>
    </xf>
    <xf borderId="4" fillId="0" fontId="25" numFmtId="0" xfId="0" applyAlignment="1" applyBorder="1" applyFont="1">
      <alignment readingOrder="0" vertical="bottom"/>
    </xf>
    <xf borderId="4" fillId="0" fontId="3" numFmtId="165" xfId="0" applyAlignment="1" applyBorder="1" applyFont="1" applyNumberFormat="1">
      <alignment horizontal="left" vertical="bottom"/>
    </xf>
    <xf borderId="4" fillId="0" fontId="3" numFmtId="10" xfId="0" applyAlignment="1" applyBorder="1" applyFont="1" applyNumberFormat="1">
      <alignment horizontal="left" vertical="bottom"/>
    </xf>
    <xf borderId="5" fillId="0" fontId="10" numFmtId="0" xfId="0" applyAlignment="1" applyBorder="1" applyFont="1">
      <alignment horizontal="center" vertical="bottom"/>
    </xf>
    <xf borderId="6" fillId="0" fontId="10" numFmtId="0" xfId="0" applyAlignment="1" applyBorder="1" applyFont="1">
      <alignment vertical="bottom"/>
    </xf>
    <xf borderId="6" fillId="0" fontId="10" numFmtId="165" xfId="0" applyAlignment="1" applyBorder="1" applyFont="1" applyNumberFormat="1">
      <alignment vertical="bottom"/>
    </xf>
    <xf borderId="3" fillId="0" fontId="10" numFmtId="0" xfId="0" applyAlignment="1" applyBorder="1" applyFont="1">
      <alignment vertical="bottom"/>
    </xf>
    <xf borderId="22" fillId="15" fontId="14" numFmtId="165" xfId="0" applyAlignment="1" applyBorder="1" applyFont="1" applyNumberFormat="1">
      <alignment horizontal="center" vertical="bottom"/>
    </xf>
    <xf borderId="1" fillId="0" fontId="14" numFmtId="0" xfId="0" applyAlignment="1" applyBorder="1" applyFont="1">
      <alignment horizontal="center" vertical="bottom"/>
    </xf>
    <xf borderId="3" fillId="2" fontId="10" numFmtId="3" xfId="0" applyAlignment="1" applyBorder="1" applyFont="1" applyNumberFormat="1">
      <alignment horizontal="center" vertical="bottom"/>
    </xf>
  </cellXfs>
  <cellStyles count="1">
    <cellStyle xfId="0" name="Normal" builtinId="0"/>
  </cellStyles>
  <dxfs count="5">
    <dxf>
      <font>
        <color theme="7"/>
      </font>
      <fill>
        <patternFill patternType="none"/>
      </fill>
      <border/>
    </dxf>
    <dxf>
      <font>
        <color rgb="FFFF0000"/>
      </font>
      <fill>
        <patternFill patternType="none"/>
      </fill>
      <border/>
    </dxf>
    <dxf>
      <font>
        <b/>
        <color theme="7"/>
      </font>
      <fill>
        <patternFill patternType="none"/>
      </fill>
      <border/>
    </dxf>
    <dxf>
      <font>
        <b/>
        <color theme="5"/>
      </font>
      <fill>
        <patternFill patternType="none"/>
      </fill>
      <border/>
    </dxf>
    <dxf>
      <font>
        <color theme="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dvertising/search-engine-market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0</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Week",$B$11:$Y$255,match("SALES",$B$11:$Y$11,0),FALSE)</f>
        <v>24957.31</v>
      </c>
      <c r="D4" s="27"/>
      <c r="E4" s="28"/>
      <c r="F4" s="27"/>
      <c r="G4" s="29">
        <f>VLOOKUP("Current Week",$B$11:$Y$255,match("Units Sold",$B$11:$Y$11,0),FALSE)</f>
        <v>202</v>
      </c>
      <c r="H4" s="11"/>
      <c r="I4" s="9"/>
      <c r="J4" s="30"/>
      <c r="K4" s="27"/>
      <c r="L4" s="29">
        <f>VLOOKUP("Current Week",$B$11:$Y$255,match("Ordered Items",$B$11:$Y$11,0),FALSE)</f>
        <v>220</v>
      </c>
      <c r="M4" s="11"/>
      <c r="N4" s="9"/>
      <c r="O4" s="30"/>
      <c r="P4" s="30"/>
      <c r="Q4" s="30"/>
      <c r="R4" s="30"/>
      <c r="S4" s="30"/>
      <c r="T4" s="30"/>
      <c r="U4" s="31"/>
      <c r="V4" s="31"/>
      <c r="W4" s="30"/>
      <c r="X4" s="30"/>
      <c r="Y4" s="30"/>
      <c r="Z4" s="30"/>
      <c r="AA4" s="30"/>
    </row>
    <row r="5">
      <c r="A5" s="32"/>
      <c r="B5" s="33"/>
      <c r="C5" s="34">
        <f>(C4-(VLOOKUP("Previous Week",$B$11:$Y$260,match("SALES",$B$11:$Y$11,0),FALSE)))/C4</f>
        <v>0.1097029287</v>
      </c>
      <c r="D5" s="35"/>
      <c r="E5" s="36"/>
      <c r="F5" s="35"/>
      <c r="G5" s="37">
        <f>(G4-(VLOOKUP("Previous Week",$B$11:$Y$260,match("Units Sold",$B$11:$Y$11,0),FALSE)))/G4</f>
        <v>-0.1435643564</v>
      </c>
      <c r="H5" s="11"/>
      <c r="I5" s="11"/>
      <c r="J5" s="9"/>
      <c r="K5" s="35"/>
      <c r="L5" s="37">
        <f>(L4-(VLOOKUP("Previous Week",$B$11:$Y$260,match("Ordered Items",$B$11:$Y$11,0),FALSE)))/L4</f>
        <v>-0.09545454545</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Week",$B$11:$Y$255,match("AD SALES",$B$11:$Y$11,0),FALSE)</f>
        <v>11089.94</v>
      </c>
      <c r="D8" s="27"/>
      <c r="E8" s="28"/>
      <c r="F8" s="27"/>
      <c r="G8" s="41">
        <f>VLOOKUP("Current Week",$B$11:$Y$255,match("SP AD SPEND",$B$11:$Y$11,0),FALSE)</f>
        <v>3174.03</v>
      </c>
      <c r="H8" s="11"/>
      <c r="I8" s="9"/>
      <c r="J8" s="30"/>
      <c r="K8" s="27"/>
      <c r="L8" s="42">
        <f>G8/C8</f>
        <v>0.2862080408</v>
      </c>
      <c r="M8" s="11"/>
      <c r="N8" s="9"/>
      <c r="O8" s="30"/>
      <c r="P8" s="30"/>
      <c r="Q8" s="30"/>
      <c r="R8" s="30"/>
      <c r="S8" s="30"/>
      <c r="T8" s="30"/>
      <c r="U8" s="31"/>
      <c r="V8" s="31"/>
      <c r="W8" s="30"/>
      <c r="X8" s="30"/>
      <c r="Y8" s="30"/>
      <c r="Z8" s="30"/>
      <c r="AA8" s="30"/>
    </row>
    <row r="9" ht="19.5" customHeight="1">
      <c r="A9" s="43"/>
      <c r="B9" s="44"/>
      <c r="C9" s="45">
        <f>(C8-(VLOOKUP("Previous Week",$B$11:$Y$260,match("AD SALES",$B$11:$Y$11,0),FALSE)))/C8</f>
        <v>0.4256389124</v>
      </c>
      <c r="D9" s="35"/>
      <c r="E9" s="36"/>
      <c r="F9" s="35"/>
      <c r="G9" s="46">
        <f>(G8-(VLOOKUP("Previous Week",$B$11:$Y$260,match("SP AD SPEND",$B$11:$Y$11,0),FALSE)))/G8</f>
        <v>0.142459271</v>
      </c>
      <c r="J9" s="47"/>
      <c r="K9" s="35"/>
      <c r="L9" s="48">
        <f>(L8-(VLOOKUP("Previous Week",$B$11:$Y$260,match("ACOS",$B$11:$Y$11,0),FALSE)))/L8</f>
        <v>-0.4930341687</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24.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98"/>
      <c r="B13" s="99">
        <v>46012.0</v>
      </c>
      <c r="C13" s="100" t="s">
        <v>32</v>
      </c>
      <c r="D13" s="101">
        <v>7936.51</v>
      </c>
      <c r="E13" s="102"/>
      <c r="F13" s="103">
        <v>30.0</v>
      </c>
      <c r="G13" s="103">
        <v>30.0</v>
      </c>
      <c r="H13" s="104">
        <f t="shared" ref="H13:H246" si="1">F13/G13</f>
        <v>1</v>
      </c>
      <c r="I13" s="105">
        <f t="shared" ref="I13:I246" si="2">D13/F13</f>
        <v>264.5503333</v>
      </c>
      <c r="J13" s="106">
        <f t="shared" ref="J13:J246" si="3">I13/H13</f>
        <v>264.5503333</v>
      </c>
      <c r="K13" s="107">
        <v>1654.24</v>
      </c>
      <c r="L13" s="103">
        <v>263207.0</v>
      </c>
      <c r="M13" s="103">
        <v>16.0</v>
      </c>
      <c r="N13" s="108">
        <v>4466.73</v>
      </c>
      <c r="O13" s="109">
        <f t="shared" ref="O13:O14" si="4">K13/N13</f>
        <v>0.3703469876</v>
      </c>
      <c r="P13" s="110">
        <f t="shared" ref="P13:P246" si="5">N13/K13</f>
        <v>2.700170471</v>
      </c>
      <c r="Q13" s="109">
        <f t="shared" ref="Q13:Q246" si="6">K13/D13</f>
        <v>0.2084341858</v>
      </c>
      <c r="R13" s="111">
        <f t="shared" ref="R13:R246" si="7">N13/D13</f>
        <v>0.5628078337</v>
      </c>
      <c r="S13" s="112">
        <f t="shared" ref="S13:S29" si="8">D13-N13</f>
        <v>3469.78</v>
      </c>
      <c r="T13" s="113">
        <f t="shared" ref="T13:T246" si="9">K13/M13</f>
        <v>103.39</v>
      </c>
      <c r="U13" s="114"/>
      <c r="V13" s="114"/>
      <c r="W13" s="114"/>
      <c r="X13" s="114"/>
      <c r="Y13" s="115"/>
      <c r="Z13" s="98"/>
      <c r="AA13" s="98"/>
    </row>
    <row r="14" hidden="1" outlineLevel="1">
      <c r="A14" s="98"/>
      <c r="B14" s="116"/>
      <c r="C14" s="100" t="s">
        <v>33</v>
      </c>
      <c r="D14" s="117">
        <v>19206.39</v>
      </c>
      <c r="E14" s="102"/>
      <c r="F14" s="103">
        <v>104.0</v>
      </c>
      <c r="G14" s="103">
        <v>119.0</v>
      </c>
      <c r="H14" s="104">
        <f t="shared" si="1"/>
        <v>0.8739495798</v>
      </c>
      <c r="I14" s="105">
        <f t="shared" si="2"/>
        <v>184.6768269</v>
      </c>
      <c r="J14" s="106">
        <f t="shared" si="3"/>
        <v>211.3129077</v>
      </c>
      <c r="K14" s="117">
        <v>1288.08</v>
      </c>
      <c r="L14" s="103">
        <v>442713.0</v>
      </c>
      <c r="M14" s="103">
        <v>37.0</v>
      </c>
      <c r="N14" s="118">
        <v>6713.65</v>
      </c>
      <c r="O14" s="109">
        <f t="shared" si="4"/>
        <v>0.1918598676</v>
      </c>
      <c r="P14" s="110">
        <f t="shared" si="5"/>
        <v>5.212137445</v>
      </c>
      <c r="Q14" s="109">
        <f t="shared" si="6"/>
        <v>0.06706517987</v>
      </c>
      <c r="R14" s="111">
        <f t="shared" si="7"/>
        <v>0.3495529352</v>
      </c>
      <c r="S14" s="119">
        <f t="shared" si="8"/>
        <v>12492.74</v>
      </c>
      <c r="T14" s="113">
        <f t="shared" si="9"/>
        <v>34.81297297</v>
      </c>
      <c r="U14" s="114"/>
      <c r="V14" s="114"/>
      <c r="W14" s="114"/>
      <c r="X14" s="114"/>
      <c r="Y14" s="115"/>
      <c r="Z14" s="98"/>
      <c r="AA14" s="98"/>
    </row>
    <row r="15" hidden="1" outlineLevel="1">
      <c r="A15" s="98"/>
      <c r="B15" s="116"/>
      <c r="C15" s="100" t="s">
        <v>34</v>
      </c>
      <c r="D15" s="120">
        <v>0.0</v>
      </c>
      <c r="E15" s="102"/>
      <c r="F15" s="103">
        <v>0.0</v>
      </c>
      <c r="G15" s="103">
        <v>0.0</v>
      </c>
      <c r="H15" s="104" t="str">
        <f t="shared" si="1"/>
        <v>#DIV/0!</v>
      </c>
      <c r="I15" s="105" t="str">
        <f t="shared" si="2"/>
        <v>#DIV/0!</v>
      </c>
      <c r="J15" s="106" t="str">
        <f t="shared" si="3"/>
        <v>#DIV/0!</v>
      </c>
      <c r="K15" s="120">
        <v>7.5</v>
      </c>
      <c r="L15" s="103">
        <v>288.0</v>
      </c>
      <c r="M15" s="103">
        <v>0.0</v>
      </c>
      <c r="N15" s="121">
        <v>0.0</v>
      </c>
      <c r="O15" s="109" t="str">
        <f>(K15/N15)</f>
        <v>#DIV/0!</v>
      </c>
      <c r="P15" s="110">
        <f t="shared" si="5"/>
        <v>0</v>
      </c>
      <c r="Q15" s="109" t="str">
        <f t="shared" si="6"/>
        <v>#DIV/0!</v>
      </c>
      <c r="R15" s="111" t="str">
        <f t="shared" si="7"/>
        <v>#DIV/0!</v>
      </c>
      <c r="S15" s="122">
        <f t="shared" si="8"/>
        <v>0</v>
      </c>
      <c r="T15" s="113" t="str">
        <f t="shared" si="9"/>
        <v>#DIV/0!</v>
      </c>
      <c r="U15" s="114"/>
      <c r="V15" s="114"/>
      <c r="W15" s="114"/>
      <c r="X15" s="114"/>
      <c r="Y15" s="115"/>
      <c r="Z15" s="98"/>
      <c r="AA15" s="98"/>
    </row>
    <row r="16" hidden="1" outlineLevel="1">
      <c r="A16" s="98"/>
      <c r="B16" s="116"/>
      <c r="C16" s="100" t="s">
        <v>35</v>
      </c>
      <c r="D16" s="120">
        <v>545.55</v>
      </c>
      <c r="E16" s="102"/>
      <c r="F16" s="103">
        <v>9.0</v>
      </c>
      <c r="G16" s="103">
        <v>10.0</v>
      </c>
      <c r="H16" s="104">
        <f t="shared" si="1"/>
        <v>0.9</v>
      </c>
      <c r="I16" s="105">
        <f t="shared" si="2"/>
        <v>60.61666667</v>
      </c>
      <c r="J16" s="106">
        <f t="shared" si="3"/>
        <v>67.35185185</v>
      </c>
      <c r="K16" s="120">
        <v>184.21</v>
      </c>
      <c r="L16" s="103">
        <v>16259.0</v>
      </c>
      <c r="M16" s="103">
        <v>1.0</v>
      </c>
      <c r="N16" s="121">
        <v>59.95</v>
      </c>
      <c r="O16" s="109">
        <f t="shared" ref="O16:O32" si="10">K16/N16</f>
        <v>3.072727273</v>
      </c>
      <c r="P16" s="110">
        <f t="shared" si="5"/>
        <v>0.325443787</v>
      </c>
      <c r="Q16" s="109">
        <f t="shared" si="6"/>
        <v>0.337659243</v>
      </c>
      <c r="R16" s="111">
        <f t="shared" si="7"/>
        <v>0.1098891027</v>
      </c>
      <c r="S16" s="122">
        <f t="shared" si="8"/>
        <v>485.6</v>
      </c>
      <c r="T16" s="113">
        <f t="shared" si="9"/>
        <v>184.21</v>
      </c>
      <c r="U16" s="114"/>
      <c r="V16" s="114"/>
      <c r="W16" s="114"/>
      <c r="X16" s="114"/>
      <c r="Y16" s="115"/>
      <c r="Z16" s="98"/>
      <c r="AA16" s="98"/>
    </row>
    <row r="17" hidden="1" outlineLevel="1">
      <c r="A17" s="98"/>
      <c r="B17" s="116"/>
      <c r="C17" s="100" t="s">
        <v>36</v>
      </c>
      <c r="D17" s="120">
        <v>589.55</v>
      </c>
      <c r="E17" s="102"/>
      <c r="F17" s="103">
        <v>9.0</v>
      </c>
      <c r="G17" s="103">
        <v>9.0</v>
      </c>
      <c r="H17" s="104">
        <f t="shared" si="1"/>
        <v>1</v>
      </c>
      <c r="I17" s="105">
        <f t="shared" si="2"/>
        <v>65.50555556</v>
      </c>
      <c r="J17" s="106">
        <f t="shared" si="3"/>
        <v>65.50555556</v>
      </c>
      <c r="K17" s="120">
        <v>52.21</v>
      </c>
      <c r="L17" s="103">
        <v>18056.0</v>
      </c>
      <c r="M17" s="103">
        <v>7.0</v>
      </c>
      <c r="N17" s="121">
        <v>479.65</v>
      </c>
      <c r="O17" s="109">
        <f t="shared" si="10"/>
        <v>0.1088502033</v>
      </c>
      <c r="P17" s="110">
        <f t="shared" si="5"/>
        <v>9.186937368</v>
      </c>
      <c r="Q17" s="109">
        <f t="shared" si="6"/>
        <v>0.08855907048</v>
      </c>
      <c r="R17" s="111">
        <f t="shared" si="7"/>
        <v>0.8135866339</v>
      </c>
      <c r="S17" s="122">
        <f t="shared" si="8"/>
        <v>109.9</v>
      </c>
      <c r="T17" s="113">
        <f t="shared" si="9"/>
        <v>7.458571429</v>
      </c>
      <c r="U17" s="114"/>
      <c r="V17" s="114"/>
      <c r="W17" s="114"/>
      <c r="X17" s="114"/>
      <c r="Y17" s="115"/>
      <c r="Z17" s="98"/>
      <c r="AA17" s="98"/>
    </row>
    <row r="18" hidden="1" outlineLevel="1">
      <c r="A18" s="98"/>
      <c r="B18" s="99" t="s">
        <v>37</v>
      </c>
      <c r="C18" s="100" t="s">
        <v>38</v>
      </c>
      <c r="D18" s="123">
        <v>-70.63</v>
      </c>
      <c r="E18" s="102"/>
      <c r="F18" s="103">
        <v>-2.0</v>
      </c>
      <c r="G18" s="103">
        <v>1.0</v>
      </c>
      <c r="H18" s="104">
        <f t="shared" si="1"/>
        <v>-2</v>
      </c>
      <c r="I18" s="105">
        <f t="shared" si="2"/>
        <v>35.315</v>
      </c>
      <c r="J18" s="106">
        <f t="shared" si="3"/>
        <v>-17.6575</v>
      </c>
      <c r="K18" s="123">
        <v>8.48</v>
      </c>
      <c r="L18" s="103">
        <v>697.0</v>
      </c>
      <c r="M18" s="103">
        <v>0.0</v>
      </c>
      <c r="N18" s="124">
        <v>0.0</v>
      </c>
      <c r="O18" s="109" t="str">
        <f t="shared" si="10"/>
        <v>#DIV/0!</v>
      </c>
      <c r="P18" s="110">
        <f t="shared" si="5"/>
        <v>0</v>
      </c>
      <c r="Q18" s="109">
        <f t="shared" si="6"/>
        <v>-0.1200622965</v>
      </c>
      <c r="R18" s="111">
        <f t="shared" si="7"/>
        <v>0</v>
      </c>
      <c r="S18" s="125">
        <f t="shared" si="8"/>
        <v>-70.63</v>
      </c>
      <c r="T18" s="113" t="str">
        <f t="shared" si="9"/>
        <v>#DIV/0!</v>
      </c>
      <c r="U18" s="114"/>
      <c r="V18" s="114"/>
      <c r="W18" s="114"/>
      <c r="X18" s="114"/>
      <c r="Y18" s="115"/>
      <c r="Z18" s="98"/>
      <c r="AA18" s="98"/>
    </row>
    <row r="19" hidden="1" outlineLevel="1">
      <c r="A19" s="98"/>
      <c r="B19" s="116"/>
      <c r="C19" s="100" t="s">
        <v>39</v>
      </c>
      <c r="D19" s="126">
        <v>0.0</v>
      </c>
      <c r="E19" s="102"/>
      <c r="F19" s="103">
        <v>0.0</v>
      </c>
      <c r="G19" s="103">
        <v>0.0</v>
      </c>
      <c r="H19" s="104" t="str">
        <f t="shared" si="1"/>
        <v>#DIV/0!</v>
      </c>
      <c r="I19" s="105" t="str">
        <f t="shared" si="2"/>
        <v>#DIV/0!</v>
      </c>
      <c r="J19" s="106" t="str">
        <f t="shared" si="3"/>
        <v>#DIV/0!</v>
      </c>
      <c r="K19" s="126">
        <v>0.0</v>
      </c>
      <c r="L19" s="103">
        <v>0.0</v>
      </c>
      <c r="M19" s="103">
        <v>0.0</v>
      </c>
      <c r="N19" s="127">
        <v>0.0</v>
      </c>
      <c r="O19" s="109" t="str">
        <f t="shared" si="10"/>
        <v>#DIV/0!</v>
      </c>
      <c r="P19" s="110" t="str">
        <f t="shared" si="5"/>
        <v>#DIV/0!</v>
      </c>
      <c r="Q19" s="109" t="str">
        <f t="shared" si="6"/>
        <v>#DIV/0!</v>
      </c>
      <c r="R19" s="111" t="str">
        <f t="shared" si="7"/>
        <v>#DIV/0!</v>
      </c>
      <c r="S19" s="128">
        <f t="shared" si="8"/>
        <v>0</v>
      </c>
      <c r="T19" s="113" t="str">
        <f t="shared" si="9"/>
        <v>#DIV/0!</v>
      </c>
      <c r="U19" s="114"/>
      <c r="V19" s="114"/>
      <c r="W19" s="114"/>
      <c r="X19" s="114"/>
      <c r="Y19" s="115"/>
      <c r="Z19" s="98"/>
      <c r="AA19" s="98"/>
    </row>
    <row r="20" hidden="1" outlineLevel="1">
      <c r="A20" s="98"/>
      <c r="B20" s="116"/>
      <c r="C20" s="100" t="s">
        <v>40</v>
      </c>
      <c r="D20" s="129">
        <v>0.0</v>
      </c>
      <c r="E20" s="102"/>
      <c r="F20" s="103">
        <v>0.0</v>
      </c>
      <c r="G20" s="103">
        <v>0.0</v>
      </c>
      <c r="H20" s="104" t="str">
        <f t="shared" si="1"/>
        <v>#DIV/0!</v>
      </c>
      <c r="I20" s="105" t="str">
        <f t="shared" si="2"/>
        <v>#DIV/0!</v>
      </c>
      <c r="J20" s="106" t="str">
        <f t="shared" si="3"/>
        <v>#DIV/0!</v>
      </c>
      <c r="K20" s="129">
        <v>0.0</v>
      </c>
      <c r="L20" s="103">
        <v>0.0</v>
      </c>
      <c r="M20" s="103">
        <v>0.0</v>
      </c>
      <c r="N20" s="130">
        <v>0.0</v>
      </c>
      <c r="O20" s="109" t="str">
        <f t="shared" si="10"/>
        <v>#DIV/0!</v>
      </c>
      <c r="P20" s="110" t="str">
        <f t="shared" si="5"/>
        <v>#DIV/0!</v>
      </c>
      <c r="Q20" s="109" t="str">
        <f t="shared" si="6"/>
        <v>#DIV/0!</v>
      </c>
      <c r="R20" s="111" t="str">
        <f t="shared" si="7"/>
        <v>#DIV/0!</v>
      </c>
      <c r="S20" s="131">
        <f t="shared" si="8"/>
        <v>0</v>
      </c>
      <c r="T20" s="113" t="str">
        <f t="shared" si="9"/>
        <v>#DIV/0!</v>
      </c>
      <c r="U20" s="114"/>
      <c r="V20" s="114"/>
      <c r="W20" s="114"/>
      <c r="X20" s="114"/>
      <c r="Y20" s="115"/>
      <c r="Z20" s="98"/>
      <c r="AA20" s="98"/>
    </row>
    <row r="21" hidden="1" outlineLevel="1">
      <c r="A21" s="98"/>
      <c r="B21" s="116"/>
      <c r="C21" s="100" t="s">
        <v>41</v>
      </c>
      <c r="D21" s="132">
        <v>2629.8</v>
      </c>
      <c r="E21" s="102"/>
      <c r="F21" s="103">
        <v>29.0</v>
      </c>
      <c r="G21" s="103">
        <v>28.0</v>
      </c>
      <c r="H21" s="104">
        <f t="shared" si="1"/>
        <v>1.035714286</v>
      </c>
      <c r="I21" s="105">
        <f t="shared" si="2"/>
        <v>90.68275862</v>
      </c>
      <c r="J21" s="106">
        <f t="shared" si="3"/>
        <v>87.55576694</v>
      </c>
      <c r="K21" s="132">
        <v>668.15</v>
      </c>
      <c r="L21" s="103">
        <v>36463.0</v>
      </c>
      <c r="M21" s="103">
        <v>17.0</v>
      </c>
      <c r="N21" s="133">
        <v>1466.87</v>
      </c>
      <c r="O21" s="109">
        <f t="shared" si="10"/>
        <v>0.4554936702</v>
      </c>
      <c r="P21" s="110">
        <f t="shared" si="5"/>
        <v>2.19542019</v>
      </c>
      <c r="Q21" s="109">
        <f t="shared" si="6"/>
        <v>0.2540687505</v>
      </c>
      <c r="R21" s="111">
        <f t="shared" si="7"/>
        <v>0.5577876645</v>
      </c>
      <c r="S21" s="134">
        <f t="shared" si="8"/>
        <v>1162.93</v>
      </c>
      <c r="T21" s="113">
        <f t="shared" si="9"/>
        <v>39.30294118</v>
      </c>
      <c r="U21" s="114"/>
      <c r="V21" s="114"/>
      <c r="W21" s="114"/>
      <c r="X21" s="114"/>
      <c r="Y21" s="115"/>
      <c r="Z21" s="98"/>
      <c r="AA21" s="98"/>
    </row>
    <row r="22" hidden="1" outlineLevel="1">
      <c r="A22" s="98"/>
      <c r="B22" s="116"/>
      <c r="C22" s="100" t="s">
        <v>42</v>
      </c>
      <c r="D22" s="120">
        <v>59.97</v>
      </c>
      <c r="E22" s="102"/>
      <c r="F22" s="103">
        <v>3.0</v>
      </c>
      <c r="G22" s="103">
        <v>4.0</v>
      </c>
      <c r="H22" s="104">
        <f t="shared" si="1"/>
        <v>0.75</v>
      </c>
      <c r="I22" s="105">
        <f t="shared" si="2"/>
        <v>19.99</v>
      </c>
      <c r="J22" s="106">
        <f t="shared" si="3"/>
        <v>26.65333333</v>
      </c>
      <c r="K22" s="120">
        <v>136.24</v>
      </c>
      <c r="L22" s="103">
        <v>47577.0</v>
      </c>
      <c r="M22" s="103">
        <v>2.0</v>
      </c>
      <c r="N22" s="121">
        <v>39.98</v>
      </c>
      <c r="O22" s="109">
        <f t="shared" si="10"/>
        <v>3.407703852</v>
      </c>
      <c r="P22" s="110">
        <f t="shared" si="5"/>
        <v>0.2934527305</v>
      </c>
      <c r="Q22" s="109">
        <f t="shared" si="6"/>
        <v>2.271802568</v>
      </c>
      <c r="R22" s="111">
        <f t="shared" si="7"/>
        <v>0.6666666667</v>
      </c>
      <c r="S22" s="122">
        <f t="shared" si="8"/>
        <v>19.99</v>
      </c>
      <c r="T22" s="113">
        <f t="shared" si="9"/>
        <v>68.12</v>
      </c>
      <c r="U22" s="114"/>
      <c r="V22" s="114"/>
      <c r="W22" s="114"/>
      <c r="X22" s="114"/>
      <c r="Y22" s="115"/>
      <c r="Z22" s="98"/>
      <c r="AA22" s="98"/>
    </row>
    <row r="23" hidden="1" outlineLevel="1">
      <c r="A23" s="98"/>
      <c r="B23" s="116"/>
      <c r="C23" s="100" t="s">
        <v>43</v>
      </c>
      <c r="D23" s="135">
        <v>78.59</v>
      </c>
      <c r="E23" s="102"/>
      <c r="F23" s="103">
        <v>0.0</v>
      </c>
      <c r="G23" s="103">
        <v>2.0</v>
      </c>
      <c r="H23" s="104">
        <f t="shared" si="1"/>
        <v>0</v>
      </c>
      <c r="I23" s="105" t="str">
        <f t="shared" si="2"/>
        <v>#DIV/0!</v>
      </c>
      <c r="J23" s="106" t="str">
        <f t="shared" si="3"/>
        <v>#DIV/0!</v>
      </c>
      <c r="K23" s="135">
        <v>36.36</v>
      </c>
      <c r="L23" s="103">
        <v>10972.0</v>
      </c>
      <c r="M23" s="103">
        <v>1.0</v>
      </c>
      <c r="N23" s="136">
        <v>154.46</v>
      </c>
      <c r="O23" s="109">
        <f t="shared" si="10"/>
        <v>0.235400751</v>
      </c>
      <c r="P23" s="110">
        <f t="shared" si="5"/>
        <v>4.248074807</v>
      </c>
      <c r="Q23" s="109">
        <f t="shared" si="6"/>
        <v>0.4626542817</v>
      </c>
      <c r="R23" s="111">
        <f t="shared" si="7"/>
        <v>1.965389999</v>
      </c>
      <c r="S23" s="137">
        <f t="shared" si="8"/>
        <v>-75.87</v>
      </c>
      <c r="T23" s="113">
        <f t="shared" si="9"/>
        <v>36.36</v>
      </c>
      <c r="U23" s="114"/>
      <c r="V23" s="114"/>
      <c r="W23" s="114"/>
      <c r="X23" s="114"/>
      <c r="Y23" s="115"/>
      <c r="Z23" s="98"/>
      <c r="AA23" s="98"/>
    </row>
    <row r="24" hidden="1" outlineLevel="1">
      <c r="A24" s="98"/>
      <c r="B24" s="116"/>
      <c r="C24" s="100" t="s">
        <v>44</v>
      </c>
      <c r="D24" s="138">
        <v>190.8</v>
      </c>
      <c r="E24" s="102"/>
      <c r="F24" s="103">
        <v>4.0</v>
      </c>
      <c r="G24" s="103">
        <v>4.0</v>
      </c>
      <c r="H24" s="104">
        <f t="shared" si="1"/>
        <v>1</v>
      </c>
      <c r="I24" s="105">
        <f t="shared" si="2"/>
        <v>47.7</v>
      </c>
      <c r="J24" s="106">
        <f t="shared" si="3"/>
        <v>47.7</v>
      </c>
      <c r="K24" s="138">
        <v>80.52</v>
      </c>
      <c r="L24" s="103">
        <v>40401.0</v>
      </c>
      <c r="M24" s="103">
        <v>3.0</v>
      </c>
      <c r="N24" s="139">
        <v>134.85</v>
      </c>
      <c r="O24" s="109">
        <f t="shared" si="10"/>
        <v>0.5971078977</v>
      </c>
      <c r="P24" s="110">
        <f t="shared" si="5"/>
        <v>1.674739195</v>
      </c>
      <c r="Q24" s="109">
        <f t="shared" si="6"/>
        <v>0.4220125786</v>
      </c>
      <c r="R24" s="111">
        <f t="shared" si="7"/>
        <v>0.7067610063</v>
      </c>
      <c r="S24" s="140">
        <f t="shared" si="8"/>
        <v>55.95</v>
      </c>
      <c r="T24" s="113">
        <f t="shared" si="9"/>
        <v>26.84</v>
      </c>
      <c r="U24" s="114"/>
      <c r="V24" s="114"/>
      <c r="W24" s="114"/>
      <c r="X24" s="114"/>
      <c r="Y24" s="115"/>
      <c r="Z24" s="98"/>
      <c r="AA24" s="98"/>
    </row>
    <row r="25" hidden="1" outlineLevel="1">
      <c r="A25" s="141"/>
      <c r="B25" s="116"/>
      <c r="C25" s="142" t="s">
        <v>45</v>
      </c>
      <c r="D25" s="101">
        <v>0.0</v>
      </c>
      <c r="E25" s="102"/>
      <c r="F25" s="103">
        <v>0.0</v>
      </c>
      <c r="G25" s="103">
        <v>0.0</v>
      </c>
      <c r="H25" s="104" t="str">
        <f t="shared" si="1"/>
        <v>#DIV/0!</v>
      </c>
      <c r="I25" s="105" t="str">
        <f t="shared" si="2"/>
        <v>#DIV/0!</v>
      </c>
      <c r="J25" s="106" t="str">
        <f t="shared" si="3"/>
        <v>#DIV/0!</v>
      </c>
      <c r="K25" s="101">
        <v>0.0</v>
      </c>
      <c r="L25" s="103">
        <v>0.0</v>
      </c>
      <c r="M25" s="103">
        <v>0.0</v>
      </c>
      <c r="N25" s="108">
        <v>0.0</v>
      </c>
      <c r="O25" s="109" t="str">
        <f t="shared" si="10"/>
        <v>#DIV/0!</v>
      </c>
      <c r="P25" s="110" t="str">
        <f t="shared" si="5"/>
        <v>#DIV/0!</v>
      </c>
      <c r="Q25" s="109" t="str">
        <f t="shared" si="6"/>
        <v>#DIV/0!</v>
      </c>
      <c r="R25" s="111" t="str">
        <f t="shared" si="7"/>
        <v>#DIV/0!</v>
      </c>
      <c r="S25" s="112">
        <f t="shared" si="8"/>
        <v>0</v>
      </c>
      <c r="T25" s="113" t="str">
        <f t="shared" si="9"/>
        <v>#DIV/0!</v>
      </c>
      <c r="U25" s="143"/>
      <c r="V25" s="143"/>
      <c r="W25" s="143"/>
      <c r="X25" s="144"/>
      <c r="Y25" s="145"/>
      <c r="Z25" s="98"/>
      <c r="AA25" s="98"/>
    </row>
    <row r="26" hidden="1" outlineLevel="1">
      <c r="A26" s="98"/>
      <c r="B26" s="116"/>
      <c r="C26" s="100" t="s">
        <v>46</v>
      </c>
      <c r="D26" s="146">
        <v>1312.67</v>
      </c>
      <c r="E26" s="102"/>
      <c r="F26" s="103">
        <v>34.0</v>
      </c>
      <c r="G26" s="103">
        <v>31.0</v>
      </c>
      <c r="H26" s="104">
        <f t="shared" si="1"/>
        <v>1.096774194</v>
      </c>
      <c r="I26" s="105">
        <f t="shared" si="2"/>
        <v>38.60794118</v>
      </c>
      <c r="J26" s="106">
        <f t="shared" si="3"/>
        <v>35.20135813</v>
      </c>
      <c r="K26" s="146">
        <v>269.35</v>
      </c>
      <c r="L26" s="103">
        <v>50705.0</v>
      </c>
      <c r="M26" s="103">
        <v>13.0</v>
      </c>
      <c r="N26" s="147">
        <v>403.73</v>
      </c>
      <c r="O26" s="109">
        <f t="shared" si="10"/>
        <v>0.6671537909</v>
      </c>
      <c r="P26" s="110">
        <f t="shared" si="5"/>
        <v>1.498904771</v>
      </c>
      <c r="Q26" s="109">
        <f t="shared" si="6"/>
        <v>0.2051924703</v>
      </c>
      <c r="R26" s="111">
        <f t="shared" si="7"/>
        <v>0.3075639727</v>
      </c>
      <c r="S26" s="112">
        <f t="shared" si="8"/>
        <v>908.94</v>
      </c>
      <c r="T26" s="113">
        <f t="shared" si="9"/>
        <v>20.71923077</v>
      </c>
      <c r="U26" s="114"/>
      <c r="V26" s="114"/>
      <c r="W26" s="114"/>
      <c r="X26" s="114"/>
      <c r="Y26" s="115"/>
      <c r="Z26" s="98"/>
      <c r="AA26" s="98"/>
    </row>
    <row r="27" hidden="1" outlineLevel="1">
      <c r="A27" s="98"/>
      <c r="B27" s="116"/>
      <c r="C27" s="100" t="s">
        <v>47</v>
      </c>
      <c r="D27" s="117">
        <v>-29.95</v>
      </c>
      <c r="E27" s="102"/>
      <c r="F27" s="103">
        <v>-1.0</v>
      </c>
      <c r="G27" s="103">
        <v>0.0</v>
      </c>
      <c r="H27" s="104" t="str">
        <f t="shared" si="1"/>
        <v>#DIV/0!</v>
      </c>
      <c r="I27" s="105">
        <f t="shared" si="2"/>
        <v>29.95</v>
      </c>
      <c r="J27" s="106" t="str">
        <f t="shared" si="3"/>
        <v>#DIV/0!</v>
      </c>
      <c r="K27" s="117">
        <v>0.0</v>
      </c>
      <c r="L27" s="103">
        <v>0.0</v>
      </c>
      <c r="M27" s="103">
        <v>0.0</v>
      </c>
      <c r="N27" s="118">
        <v>0.0</v>
      </c>
      <c r="O27" s="109" t="str">
        <f t="shared" si="10"/>
        <v>#DIV/0!</v>
      </c>
      <c r="P27" s="110" t="str">
        <f t="shared" si="5"/>
        <v>#DIV/0!</v>
      </c>
      <c r="Q27" s="109">
        <f t="shared" si="6"/>
        <v>0</v>
      </c>
      <c r="R27" s="111">
        <f t="shared" si="7"/>
        <v>0</v>
      </c>
      <c r="S27" s="112">
        <f t="shared" si="8"/>
        <v>-29.95</v>
      </c>
      <c r="T27" s="113" t="str">
        <f t="shared" si="9"/>
        <v>#DIV/0!</v>
      </c>
      <c r="U27" s="114"/>
      <c r="V27" s="114"/>
      <c r="W27" s="114"/>
      <c r="X27" s="114"/>
      <c r="Y27" s="115"/>
      <c r="Z27" s="98"/>
      <c r="AA27" s="98"/>
    </row>
    <row r="28" hidden="1" outlineLevel="1">
      <c r="A28" s="98"/>
      <c r="B28" s="116"/>
      <c r="C28" s="100" t="s">
        <v>48</v>
      </c>
      <c r="D28" s="132">
        <v>4625.06</v>
      </c>
      <c r="E28" s="102"/>
      <c r="F28" s="103">
        <v>26.0</v>
      </c>
      <c r="G28" s="103">
        <v>28.0</v>
      </c>
      <c r="H28" s="104">
        <f t="shared" si="1"/>
        <v>0.9285714286</v>
      </c>
      <c r="I28" s="105">
        <f t="shared" si="2"/>
        <v>177.8869231</v>
      </c>
      <c r="J28" s="106">
        <f t="shared" si="3"/>
        <v>191.5705325</v>
      </c>
      <c r="K28" s="132">
        <v>692.49</v>
      </c>
      <c r="L28" s="103">
        <v>44157.0</v>
      </c>
      <c r="M28" s="103">
        <v>11.0</v>
      </c>
      <c r="N28" s="133">
        <v>1670.89</v>
      </c>
      <c r="O28" s="109">
        <f t="shared" si="10"/>
        <v>0.4144437994</v>
      </c>
      <c r="P28" s="110">
        <f t="shared" si="5"/>
        <v>2.412872388</v>
      </c>
      <c r="Q28" s="109">
        <f t="shared" si="6"/>
        <v>0.1497256252</v>
      </c>
      <c r="R28" s="111">
        <f t="shared" si="7"/>
        <v>0.3612688268</v>
      </c>
      <c r="S28" s="112">
        <f t="shared" si="8"/>
        <v>2954.17</v>
      </c>
      <c r="T28" s="113">
        <f t="shared" si="9"/>
        <v>62.95363636</v>
      </c>
      <c r="U28" s="114"/>
      <c r="V28" s="114"/>
      <c r="W28" s="114"/>
      <c r="X28" s="114"/>
      <c r="Y28" s="115"/>
      <c r="Z28" s="98"/>
      <c r="AA28" s="98"/>
    </row>
    <row r="29" hidden="1" outlineLevel="1">
      <c r="A29" s="148" t="str">
        <f t="shared" ref="A29:A30" si="11">iferror(if(B29&gt;0,month(B29)&amp;"-"&amp;year(B29),B29),)</f>
        <v>12-2025</v>
      </c>
      <c r="B29" s="99">
        <v>46018.0</v>
      </c>
      <c r="C29" s="100" t="s">
        <v>49</v>
      </c>
      <c r="D29" s="146">
        <v>0.0</v>
      </c>
      <c r="E29" s="102"/>
      <c r="F29" s="103">
        <v>0.0</v>
      </c>
      <c r="G29" s="103">
        <v>0.0</v>
      </c>
      <c r="H29" s="104" t="str">
        <f t="shared" si="1"/>
        <v>#DIV/0!</v>
      </c>
      <c r="I29" s="105" t="str">
        <f t="shared" si="2"/>
        <v>#DIV/0!</v>
      </c>
      <c r="J29" s="106" t="str">
        <f t="shared" si="3"/>
        <v>#DIV/0!</v>
      </c>
      <c r="K29" s="146">
        <v>16.97</v>
      </c>
      <c r="L29" s="103">
        <v>17393.0</v>
      </c>
      <c r="M29" s="103">
        <v>0.0</v>
      </c>
      <c r="N29" s="147">
        <v>0.0</v>
      </c>
      <c r="O29" s="109" t="str">
        <f t="shared" si="10"/>
        <v>#DIV/0!</v>
      </c>
      <c r="P29" s="110">
        <f t="shared" si="5"/>
        <v>0</v>
      </c>
      <c r="Q29" s="109" t="str">
        <f t="shared" si="6"/>
        <v>#DIV/0!</v>
      </c>
      <c r="R29" s="111" t="str">
        <f t="shared" si="7"/>
        <v>#DIV/0!</v>
      </c>
      <c r="S29" s="112">
        <f t="shared" si="8"/>
        <v>0</v>
      </c>
      <c r="T29" s="113" t="str">
        <f t="shared" si="9"/>
        <v>#DIV/0!</v>
      </c>
      <c r="U29" s="114"/>
      <c r="V29" s="114"/>
      <c r="W29" s="114"/>
      <c r="X29" s="114"/>
      <c r="Y29" s="115"/>
      <c r="Z29" s="98"/>
      <c r="AA29" s="98"/>
    </row>
    <row r="30" collapsed="1">
      <c r="A30" s="98" t="str">
        <f t="shared" si="11"/>
        <v/>
      </c>
      <c r="B30" s="149" t="s">
        <v>50</v>
      </c>
      <c r="C30" s="150"/>
      <c r="D30" s="151">
        <f>SUM(D13:D29)</f>
        <v>37074.31</v>
      </c>
      <c r="E30" s="152"/>
      <c r="F30" s="153">
        <f t="shared" ref="F30:G30" si="12">SUM(F13:F29)</f>
        <v>245</v>
      </c>
      <c r="G30" s="153">
        <f t="shared" si="12"/>
        <v>266</v>
      </c>
      <c r="H30" s="154">
        <f t="shared" si="1"/>
        <v>0.9210526316</v>
      </c>
      <c r="I30" s="155">
        <f t="shared" si="2"/>
        <v>151.3237143</v>
      </c>
      <c r="J30" s="156">
        <f t="shared" si="3"/>
        <v>164.2943184</v>
      </c>
      <c r="K30" s="151">
        <f t="shared" ref="K30:N30" si="13">SUM(K13:K29)</f>
        <v>5094.8</v>
      </c>
      <c r="L30" s="153">
        <f t="shared" si="13"/>
        <v>988888</v>
      </c>
      <c r="M30" s="153">
        <f t="shared" si="13"/>
        <v>108</v>
      </c>
      <c r="N30" s="157">
        <f t="shared" si="13"/>
        <v>15590.76</v>
      </c>
      <c r="O30" s="158">
        <f t="shared" si="10"/>
        <v>0.3267832999</v>
      </c>
      <c r="P30" s="159">
        <f t="shared" si="5"/>
        <v>3.060131899</v>
      </c>
      <c r="Q30" s="158">
        <f t="shared" si="6"/>
        <v>0.1374213033</v>
      </c>
      <c r="R30" s="160">
        <f t="shared" si="7"/>
        <v>0.4205273139</v>
      </c>
      <c r="S30" s="161">
        <f>SUM(S13:S29)</f>
        <v>21483.55</v>
      </c>
      <c r="T30" s="162">
        <f t="shared" si="9"/>
        <v>47.17407407</v>
      </c>
      <c r="U30" s="163" t="str">
        <f>IFERROR((D30-#REF!)/D30,)</f>
        <v/>
      </c>
      <c r="V30" s="163" t="str">
        <f>IFERROR((F30-#REF!)/F30,)</f>
        <v/>
      </c>
      <c r="W30" s="164" t="str">
        <f>IFERROR((D30-#REF!)/D30, )</f>
        <v/>
      </c>
      <c r="X30" s="164" t="str">
        <f>IFERROR((F30-#REF!)/F30, )</f>
        <v/>
      </c>
      <c r="Y30" s="98"/>
      <c r="Z30" s="98"/>
      <c r="AA30" s="98"/>
    </row>
    <row r="31" hidden="1" outlineLevel="1">
      <c r="A31" s="98"/>
      <c r="B31" s="99">
        <v>46019.0</v>
      </c>
      <c r="C31" s="100" t="s">
        <v>32</v>
      </c>
      <c r="D31" s="101">
        <v>13519.5</v>
      </c>
      <c r="E31" s="102"/>
      <c r="F31" s="103">
        <v>57.0</v>
      </c>
      <c r="G31" s="103">
        <v>57.0</v>
      </c>
      <c r="H31" s="104">
        <f t="shared" si="1"/>
        <v>1</v>
      </c>
      <c r="I31" s="105">
        <f t="shared" si="2"/>
        <v>237.1842105</v>
      </c>
      <c r="J31" s="106">
        <f t="shared" si="3"/>
        <v>237.1842105</v>
      </c>
      <c r="K31" s="107">
        <v>1867.63</v>
      </c>
      <c r="L31" s="103">
        <v>249548.0</v>
      </c>
      <c r="M31" s="103">
        <v>23.0</v>
      </c>
      <c r="N31" s="108">
        <v>5019.44</v>
      </c>
      <c r="O31" s="109">
        <f t="shared" si="10"/>
        <v>0.3720793555</v>
      </c>
      <c r="P31" s="110">
        <f t="shared" si="5"/>
        <v>2.687598721</v>
      </c>
      <c r="Q31" s="109">
        <f t="shared" si="6"/>
        <v>0.1381434225</v>
      </c>
      <c r="R31" s="111">
        <f t="shared" si="7"/>
        <v>0.3712740856</v>
      </c>
      <c r="S31" s="112">
        <f t="shared" ref="S31:S47" si="14">D31-N31</f>
        <v>8500.06</v>
      </c>
      <c r="T31" s="113">
        <f t="shared" si="9"/>
        <v>81.20130435</v>
      </c>
      <c r="U31" s="114"/>
      <c r="V31" s="114"/>
      <c r="W31" s="114"/>
      <c r="X31" s="114"/>
      <c r="Y31" s="115"/>
      <c r="Z31" s="98"/>
      <c r="AA31" s="98"/>
    </row>
    <row r="32" hidden="1" outlineLevel="1">
      <c r="A32" s="98"/>
      <c r="B32" s="116"/>
      <c r="C32" s="100" t="s">
        <v>33</v>
      </c>
      <c r="D32" s="117">
        <v>18767.79</v>
      </c>
      <c r="E32" s="102"/>
      <c r="F32" s="103">
        <v>145.0</v>
      </c>
      <c r="G32" s="103">
        <v>161.0</v>
      </c>
      <c r="H32" s="104">
        <f t="shared" si="1"/>
        <v>0.900621118</v>
      </c>
      <c r="I32" s="105">
        <f t="shared" si="2"/>
        <v>129.4330345</v>
      </c>
      <c r="J32" s="106">
        <f t="shared" si="3"/>
        <v>143.7153004</v>
      </c>
      <c r="K32" s="117">
        <v>1072.07</v>
      </c>
      <c r="L32" s="103">
        <v>465644.0</v>
      </c>
      <c r="M32" s="103">
        <v>32.0</v>
      </c>
      <c r="N32" s="118">
        <v>3923.85</v>
      </c>
      <c r="O32" s="109">
        <f t="shared" si="10"/>
        <v>0.2732189049</v>
      </c>
      <c r="P32" s="110">
        <f t="shared" si="5"/>
        <v>3.660068839</v>
      </c>
      <c r="Q32" s="109">
        <f t="shared" si="6"/>
        <v>0.05712286849</v>
      </c>
      <c r="R32" s="111">
        <f t="shared" si="7"/>
        <v>0.2090736309</v>
      </c>
      <c r="S32" s="119">
        <f t="shared" si="14"/>
        <v>14843.94</v>
      </c>
      <c r="T32" s="113">
        <f t="shared" si="9"/>
        <v>33.5021875</v>
      </c>
      <c r="U32" s="114"/>
      <c r="V32" s="114"/>
      <c r="W32" s="114"/>
      <c r="X32" s="114"/>
      <c r="Y32" s="115"/>
      <c r="Z32" s="98"/>
      <c r="AA32" s="98"/>
    </row>
    <row r="33" hidden="1" outlineLevel="1">
      <c r="A33" s="98"/>
      <c r="B33" s="116"/>
      <c r="C33" s="100" t="s">
        <v>34</v>
      </c>
      <c r="D33" s="120">
        <v>0.0</v>
      </c>
      <c r="E33" s="102"/>
      <c r="F33" s="103">
        <v>0.0</v>
      </c>
      <c r="G33" s="103">
        <v>0.0</v>
      </c>
      <c r="H33" s="104" t="str">
        <f t="shared" si="1"/>
        <v>#DIV/0!</v>
      </c>
      <c r="I33" s="105" t="str">
        <f t="shared" si="2"/>
        <v>#DIV/0!</v>
      </c>
      <c r="J33" s="106" t="str">
        <f t="shared" si="3"/>
        <v>#DIV/0!</v>
      </c>
      <c r="K33" s="120">
        <v>0.0</v>
      </c>
      <c r="L33" s="103">
        <v>376.0</v>
      </c>
      <c r="M33" s="103">
        <v>0.0</v>
      </c>
      <c r="N33" s="121">
        <v>0.0</v>
      </c>
      <c r="O33" s="109" t="str">
        <f>(K33/N33)</f>
        <v>#DIV/0!</v>
      </c>
      <c r="P33" s="110" t="str">
        <f t="shared" si="5"/>
        <v>#DIV/0!</v>
      </c>
      <c r="Q33" s="109" t="str">
        <f t="shared" si="6"/>
        <v>#DIV/0!</v>
      </c>
      <c r="R33" s="111" t="str">
        <f t="shared" si="7"/>
        <v>#DIV/0!</v>
      </c>
      <c r="S33" s="122">
        <f t="shared" si="14"/>
        <v>0</v>
      </c>
      <c r="T33" s="113" t="str">
        <f t="shared" si="9"/>
        <v>#DIV/0!</v>
      </c>
      <c r="U33" s="114"/>
      <c r="V33" s="114"/>
      <c r="W33" s="114"/>
      <c r="X33" s="114"/>
      <c r="Y33" s="115"/>
      <c r="Z33" s="98"/>
      <c r="AA33" s="98"/>
    </row>
    <row r="34" hidden="1" outlineLevel="1">
      <c r="A34" s="98"/>
      <c r="B34" s="116"/>
      <c r="C34" s="100" t="s">
        <v>35</v>
      </c>
      <c r="D34" s="120">
        <v>125.9</v>
      </c>
      <c r="E34" s="102"/>
      <c r="F34" s="103">
        <v>2.0</v>
      </c>
      <c r="G34" s="103">
        <v>2.0</v>
      </c>
      <c r="H34" s="104">
        <f t="shared" si="1"/>
        <v>1</v>
      </c>
      <c r="I34" s="105">
        <f t="shared" si="2"/>
        <v>62.95</v>
      </c>
      <c r="J34" s="106">
        <f t="shared" si="3"/>
        <v>62.95</v>
      </c>
      <c r="K34" s="120">
        <v>298.8</v>
      </c>
      <c r="L34" s="103">
        <v>26455.0</v>
      </c>
      <c r="M34" s="103">
        <v>5.0</v>
      </c>
      <c r="N34" s="121">
        <v>299.75</v>
      </c>
      <c r="O34" s="109">
        <f t="shared" ref="O34:O50" si="15">K34/N34</f>
        <v>0.9968306922</v>
      </c>
      <c r="P34" s="110">
        <f t="shared" si="5"/>
        <v>1.003179384</v>
      </c>
      <c r="Q34" s="109">
        <f t="shared" si="6"/>
        <v>2.373312153</v>
      </c>
      <c r="R34" s="111">
        <f t="shared" si="7"/>
        <v>2.380857824</v>
      </c>
      <c r="S34" s="122">
        <f t="shared" si="14"/>
        <v>-173.85</v>
      </c>
      <c r="T34" s="113">
        <f t="shared" si="9"/>
        <v>59.76</v>
      </c>
      <c r="U34" s="114"/>
      <c r="V34" s="114"/>
      <c r="W34" s="114"/>
      <c r="X34" s="114"/>
      <c r="Y34" s="115"/>
      <c r="Z34" s="98"/>
      <c r="AA34" s="98"/>
    </row>
    <row r="35" hidden="1" outlineLevel="1">
      <c r="A35" s="98"/>
      <c r="B35" s="116"/>
      <c r="C35" s="100" t="s">
        <v>36</v>
      </c>
      <c r="D35" s="120">
        <v>359.7</v>
      </c>
      <c r="E35" s="102"/>
      <c r="F35" s="103">
        <v>6.0</v>
      </c>
      <c r="G35" s="103">
        <v>6.0</v>
      </c>
      <c r="H35" s="104">
        <f t="shared" si="1"/>
        <v>1</v>
      </c>
      <c r="I35" s="105">
        <f t="shared" si="2"/>
        <v>59.95</v>
      </c>
      <c r="J35" s="106">
        <f t="shared" si="3"/>
        <v>59.95</v>
      </c>
      <c r="K35" s="120">
        <v>105.72</v>
      </c>
      <c r="L35" s="103">
        <v>27117.0</v>
      </c>
      <c r="M35" s="103">
        <v>2.0</v>
      </c>
      <c r="N35" s="121">
        <v>129.9</v>
      </c>
      <c r="O35" s="109">
        <f t="shared" si="15"/>
        <v>0.8138568129</v>
      </c>
      <c r="P35" s="110">
        <f t="shared" si="5"/>
        <v>1.228717367</v>
      </c>
      <c r="Q35" s="109">
        <f t="shared" si="6"/>
        <v>0.293911593</v>
      </c>
      <c r="R35" s="111">
        <f t="shared" si="7"/>
        <v>0.3611342786</v>
      </c>
      <c r="S35" s="122">
        <f t="shared" si="14"/>
        <v>229.8</v>
      </c>
      <c r="T35" s="113">
        <f t="shared" si="9"/>
        <v>52.86</v>
      </c>
      <c r="U35" s="114"/>
      <c r="V35" s="114"/>
      <c r="W35" s="114"/>
      <c r="X35" s="114"/>
      <c r="Y35" s="115"/>
      <c r="Z35" s="98"/>
      <c r="AA35" s="98"/>
    </row>
    <row r="36" hidden="1" outlineLevel="1">
      <c r="A36" s="98"/>
      <c r="B36" s="99" t="s">
        <v>37</v>
      </c>
      <c r="C36" s="100" t="s">
        <v>38</v>
      </c>
      <c r="D36" s="123">
        <v>-60.73</v>
      </c>
      <c r="E36" s="102"/>
      <c r="F36" s="103">
        <v>0.0</v>
      </c>
      <c r="G36" s="103">
        <v>1.0</v>
      </c>
      <c r="H36" s="104">
        <f t="shared" si="1"/>
        <v>0</v>
      </c>
      <c r="I36" s="105" t="str">
        <f t="shared" si="2"/>
        <v>#DIV/0!</v>
      </c>
      <c r="J36" s="106" t="str">
        <f t="shared" si="3"/>
        <v>#DIV/0!</v>
      </c>
      <c r="K36" s="123">
        <v>83.88</v>
      </c>
      <c r="L36" s="103">
        <v>253679.0</v>
      </c>
      <c r="M36" s="103">
        <v>0.0</v>
      </c>
      <c r="N36" s="124">
        <v>0.0</v>
      </c>
      <c r="O36" s="109" t="str">
        <f t="shared" si="15"/>
        <v>#DIV/0!</v>
      </c>
      <c r="P36" s="110">
        <f t="shared" si="5"/>
        <v>0</v>
      </c>
      <c r="Q36" s="109">
        <f t="shared" si="6"/>
        <v>-1.381195455</v>
      </c>
      <c r="R36" s="111">
        <f t="shared" si="7"/>
        <v>0</v>
      </c>
      <c r="S36" s="125">
        <f t="shared" si="14"/>
        <v>-60.73</v>
      </c>
      <c r="T36" s="113" t="str">
        <f t="shared" si="9"/>
        <v>#DIV/0!</v>
      </c>
      <c r="U36" s="114"/>
      <c r="V36" s="114"/>
      <c r="W36" s="114"/>
      <c r="X36" s="114"/>
      <c r="Y36" s="115"/>
      <c r="Z36" s="98"/>
      <c r="AA36" s="98"/>
    </row>
    <row r="37" hidden="1" outlineLevel="1">
      <c r="A37" s="98"/>
      <c r="B37" s="116"/>
      <c r="C37" s="100" t="s">
        <v>39</v>
      </c>
      <c r="D37" s="126">
        <v>0.0</v>
      </c>
      <c r="E37" s="102"/>
      <c r="F37" s="103">
        <v>0.0</v>
      </c>
      <c r="G37" s="103">
        <v>0.0</v>
      </c>
      <c r="H37" s="104" t="str">
        <f t="shared" si="1"/>
        <v>#DIV/0!</v>
      </c>
      <c r="I37" s="105" t="str">
        <f t="shared" si="2"/>
        <v>#DIV/0!</v>
      </c>
      <c r="J37" s="106" t="str">
        <f t="shared" si="3"/>
        <v>#DIV/0!</v>
      </c>
      <c r="K37" s="126">
        <v>0.0</v>
      </c>
      <c r="L37" s="103">
        <v>0.0</v>
      </c>
      <c r="M37" s="103">
        <v>0.0</v>
      </c>
      <c r="N37" s="127">
        <v>0.0</v>
      </c>
      <c r="O37" s="109" t="str">
        <f t="shared" si="15"/>
        <v>#DIV/0!</v>
      </c>
      <c r="P37" s="110" t="str">
        <f t="shared" si="5"/>
        <v>#DIV/0!</v>
      </c>
      <c r="Q37" s="109" t="str">
        <f t="shared" si="6"/>
        <v>#DIV/0!</v>
      </c>
      <c r="R37" s="111" t="str">
        <f t="shared" si="7"/>
        <v>#DIV/0!</v>
      </c>
      <c r="S37" s="128">
        <f t="shared" si="14"/>
        <v>0</v>
      </c>
      <c r="T37" s="113" t="str">
        <f t="shared" si="9"/>
        <v>#DIV/0!</v>
      </c>
      <c r="U37" s="114"/>
      <c r="V37" s="114"/>
      <c r="W37" s="114"/>
      <c r="X37" s="114"/>
      <c r="Y37" s="115"/>
      <c r="Z37" s="98"/>
      <c r="AA37" s="98"/>
    </row>
    <row r="38" hidden="1" outlineLevel="1">
      <c r="A38" s="98"/>
      <c r="B38" s="116"/>
      <c r="C38" s="100" t="s">
        <v>40</v>
      </c>
      <c r="D38" s="129">
        <v>0.0</v>
      </c>
      <c r="E38" s="102"/>
      <c r="F38" s="103">
        <v>0.0</v>
      </c>
      <c r="G38" s="103">
        <v>0.0</v>
      </c>
      <c r="H38" s="104" t="str">
        <f t="shared" si="1"/>
        <v>#DIV/0!</v>
      </c>
      <c r="I38" s="105" t="str">
        <f t="shared" si="2"/>
        <v>#DIV/0!</v>
      </c>
      <c r="J38" s="106" t="str">
        <f t="shared" si="3"/>
        <v>#DIV/0!</v>
      </c>
      <c r="K38" s="129">
        <v>0.0</v>
      </c>
      <c r="L38" s="103">
        <v>0.0</v>
      </c>
      <c r="M38" s="103">
        <v>0.0</v>
      </c>
      <c r="N38" s="130">
        <v>0.0</v>
      </c>
      <c r="O38" s="109" t="str">
        <f t="shared" si="15"/>
        <v>#DIV/0!</v>
      </c>
      <c r="P38" s="110" t="str">
        <f t="shared" si="5"/>
        <v>#DIV/0!</v>
      </c>
      <c r="Q38" s="109" t="str">
        <f t="shared" si="6"/>
        <v>#DIV/0!</v>
      </c>
      <c r="R38" s="111" t="str">
        <f t="shared" si="7"/>
        <v>#DIV/0!</v>
      </c>
      <c r="S38" s="131">
        <f t="shared" si="14"/>
        <v>0</v>
      </c>
      <c r="T38" s="113" t="str">
        <f t="shared" si="9"/>
        <v>#DIV/0!</v>
      </c>
      <c r="U38" s="114"/>
      <c r="V38" s="114"/>
      <c r="W38" s="114"/>
      <c r="X38" s="114"/>
      <c r="Y38" s="115"/>
      <c r="Z38" s="98"/>
      <c r="AA38" s="98"/>
    </row>
    <row r="39" hidden="1" outlineLevel="1">
      <c r="A39" s="98"/>
      <c r="B39" s="116"/>
      <c r="C39" s="100" t="s">
        <v>41</v>
      </c>
      <c r="D39" s="132">
        <v>3534.27</v>
      </c>
      <c r="E39" s="102"/>
      <c r="F39" s="103">
        <v>49.0</v>
      </c>
      <c r="G39" s="103">
        <v>51.0</v>
      </c>
      <c r="H39" s="104">
        <f t="shared" si="1"/>
        <v>0.9607843137</v>
      </c>
      <c r="I39" s="105">
        <f t="shared" si="2"/>
        <v>72.12795918</v>
      </c>
      <c r="J39" s="106">
        <f t="shared" si="3"/>
        <v>75.07195752</v>
      </c>
      <c r="K39" s="132">
        <v>799.06</v>
      </c>
      <c r="L39" s="103">
        <v>59789.0</v>
      </c>
      <c r="M39" s="103">
        <v>14.0</v>
      </c>
      <c r="N39" s="133">
        <v>877.86</v>
      </c>
      <c r="O39" s="109">
        <f t="shared" si="15"/>
        <v>0.9102362564</v>
      </c>
      <c r="P39" s="110">
        <f t="shared" si="5"/>
        <v>1.098615874</v>
      </c>
      <c r="Q39" s="109">
        <f t="shared" si="6"/>
        <v>0.2260891217</v>
      </c>
      <c r="R39" s="111">
        <f t="shared" si="7"/>
        <v>0.2483850979</v>
      </c>
      <c r="S39" s="134">
        <f t="shared" si="14"/>
        <v>2656.41</v>
      </c>
      <c r="T39" s="113">
        <f t="shared" si="9"/>
        <v>57.07571429</v>
      </c>
      <c r="U39" s="114"/>
      <c r="V39" s="114"/>
      <c r="W39" s="114"/>
      <c r="X39" s="114"/>
      <c r="Y39" s="115"/>
      <c r="Z39" s="98"/>
      <c r="AA39" s="98"/>
    </row>
    <row r="40" hidden="1" outlineLevel="1">
      <c r="A40" s="98"/>
      <c r="B40" s="116"/>
      <c r="C40" s="100" t="s">
        <v>42</v>
      </c>
      <c r="D40" s="120">
        <v>59.97</v>
      </c>
      <c r="E40" s="102"/>
      <c r="F40" s="103">
        <v>3.0</v>
      </c>
      <c r="G40" s="103">
        <v>3.0</v>
      </c>
      <c r="H40" s="104">
        <f t="shared" si="1"/>
        <v>1</v>
      </c>
      <c r="I40" s="105">
        <f t="shared" si="2"/>
        <v>19.99</v>
      </c>
      <c r="J40" s="106">
        <f t="shared" si="3"/>
        <v>19.99</v>
      </c>
      <c r="K40" s="120">
        <v>356.37</v>
      </c>
      <c r="L40" s="103">
        <v>105893.0</v>
      </c>
      <c r="M40" s="103">
        <v>2.0</v>
      </c>
      <c r="N40" s="121">
        <v>39.98</v>
      </c>
      <c r="O40" s="109">
        <f t="shared" si="15"/>
        <v>8.913706853</v>
      </c>
      <c r="P40" s="110">
        <f t="shared" si="5"/>
        <v>0.1121867722</v>
      </c>
      <c r="Q40" s="109">
        <f t="shared" si="6"/>
        <v>5.942471236</v>
      </c>
      <c r="R40" s="111">
        <f t="shared" si="7"/>
        <v>0.6666666667</v>
      </c>
      <c r="S40" s="122">
        <f t="shared" si="14"/>
        <v>19.99</v>
      </c>
      <c r="T40" s="113">
        <f t="shared" si="9"/>
        <v>178.185</v>
      </c>
      <c r="U40" s="114"/>
      <c r="V40" s="114"/>
      <c r="W40" s="114"/>
      <c r="X40" s="114"/>
      <c r="Y40" s="115"/>
      <c r="Z40" s="98"/>
      <c r="AA40" s="98"/>
    </row>
    <row r="41" hidden="1" outlineLevel="1">
      <c r="A41" s="98"/>
      <c r="B41" s="116"/>
      <c r="C41" s="100" t="s">
        <v>43</v>
      </c>
      <c r="D41" s="135">
        <v>1547.97</v>
      </c>
      <c r="E41" s="102"/>
      <c r="F41" s="103">
        <v>13.0</v>
      </c>
      <c r="G41" s="103">
        <v>13.0</v>
      </c>
      <c r="H41" s="104">
        <f t="shared" si="1"/>
        <v>1</v>
      </c>
      <c r="I41" s="105">
        <f t="shared" si="2"/>
        <v>119.0746154</v>
      </c>
      <c r="J41" s="106">
        <f t="shared" si="3"/>
        <v>119.0746154</v>
      </c>
      <c r="K41" s="135">
        <v>74.14</v>
      </c>
      <c r="L41" s="103">
        <v>10788.0</v>
      </c>
      <c r="M41" s="103">
        <v>1.0</v>
      </c>
      <c r="N41" s="136">
        <v>0.0</v>
      </c>
      <c r="O41" s="109" t="str">
        <f t="shared" si="15"/>
        <v>#DIV/0!</v>
      </c>
      <c r="P41" s="110">
        <f t="shared" si="5"/>
        <v>0</v>
      </c>
      <c r="Q41" s="109">
        <f t="shared" si="6"/>
        <v>0.04789498504</v>
      </c>
      <c r="R41" s="111">
        <f t="shared" si="7"/>
        <v>0</v>
      </c>
      <c r="S41" s="137">
        <f t="shared" si="14"/>
        <v>1547.97</v>
      </c>
      <c r="T41" s="113">
        <f t="shared" si="9"/>
        <v>74.14</v>
      </c>
      <c r="U41" s="114"/>
      <c r="V41" s="114"/>
      <c r="W41" s="114"/>
      <c r="X41" s="114"/>
      <c r="Y41" s="115"/>
      <c r="Z41" s="98"/>
      <c r="AA41" s="98"/>
    </row>
    <row r="42" hidden="1" outlineLevel="1">
      <c r="A42" s="98"/>
      <c r="B42" s="116"/>
      <c r="C42" s="100" t="s">
        <v>44</v>
      </c>
      <c r="D42" s="138">
        <v>209.8</v>
      </c>
      <c r="E42" s="102"/>
      <c r="F42" s="103">
        <v>4.0</v>
      </c>
      <c r="G42" s="103">
        <v>4.0</v>
      </c>
      <c r="H42" s="104">
        <f t="shared" si="1"/>
        <v>1</v>
      </c>
      <c r="I42" s="105">
        <f t="shared" si="2"/>
        <v>52.45</v>
      </c>
      <c r="J42" s="106">
        <f t="shared" si="3"/>
        <v>52.45</v>
      </c>
      <c r="K42" s="138">
        <v>72.7</v>
      </c>
      <c r="L42" s="103">
        <v>40190.0</v>
      </c>
      <c r="M42" s="103">
        <v>3.0</v>
      </c>
      <c r="N42" s="139">
        <v>164.85</v>
      </c>
      <c r="O42" s="109">
        <f t="shared" si="15"/>
        <v>0.441006976</v>
      </c>
      <c r="P42" s="110">
        <f t="shared" si="5"/>
        <v>2.267537827</v>
      </c>
      <c r="Q42" s="109">
        <f t="shared" si="6"/>
        <v>0.3465204957</v>
      </c>
      <c r="R42" s="111">
        <f t="shared" si="7"/>
        <v>0.7857483317</v>
      </c>
      <c r="S42" s="140">
        <f t="shared" si="14"/>
        <v>44.95</v>
      </c>
      <c r="T42" s="113">
        <f t="shared" si="9"/>
        <v>24.23333333</v>
      </c>
      <c r="U42" s="114"/>
      <c r="V42" s="114"/>
      <c r="W42" s="114"/>
      <c r="X42" s="114"/>
      <c r="Y42" s="115"/>
      <c r="Z42" s="98"/>
      <c r="AA42" s="98"/>
    </row>
    <row r="43" hidden="1" outlineLevel="1">
      <c r="A43" s="141"/>
      <c r="B43" s="116"/>
      <c r="C43" s="142" t="s">
        <v>45</v>
      </c>
      <c r="D43" s="101">
        <v>0.0</v>
      </c>
      <c r="E43" s="102"/>
      <c r="F43" s="103">
        <v>0.0</v>
      </c>
      <c r="G43" s="103">
        <v>0.0</v>
      </c>
      <c r="H43" s="104" t="str">
        <f t="shared" si="1"/>
        <v>#DIV/0!</v>
      </c>
      <c r="I43" s="105" t="str">
        <f t="shared" si="2"/>
        <v>#DIV/0!</v>
      </c>
      <c r="J43" s="106" t="str">
        <f t="shared" si="3"/>
        <v>#DIV/0!</v>
      </c>
      <c r="K43" s="101">
        <v>0.0</v>
      </c>
      <c r="L43" s="103">
        <v>0.0</v>
      </c>
      <c r="M43" s="103">
        <v>0.0</v>
      </c>
      <c r="N43" s="108">
        <v>0.0</v>
      </c>
      <c r="O43" s="109" t="str">
        <f t="shared" si="15"/>
        <v>#DIV/0!</v>
      </c>
      <c r="P43" s="110" t="str">
        <f t="shared" si="5"/>
        <v>#DIV/0!</v>
      </c>
      <c r="Q43" s="109" t="str">
        <f t="shared" si="6"/>
        <v>#DIV/0!</v>
      </c>
      <c r="R43" s="111" t="str">
        <f t="shared" si="7"/>
        <v>#DIV/0!</v>
      </c>
      <c r="S43" s="112">
        <f t="shared" si="14"/>
        <v>0</v>
      </c>
      <c r="T43" s="113" t="str">
        <f t="shared" si="9"/>
        <v>#DIV/0!</v>
      </c>
      <c r="U43" s="143"/>
      <c r="V43" s="143"/>
      <c r="W43" s="143"/>
      <c r="X43" s="144"/>
      <c r="Y43" s="145"/>
      <c r="Z43" s="98"/>
      <c r="AA43" s="98"/>
    </row>
    <row r="44" hidden="1" outlineLevel="1">
      <c r="A44" s="98"/>
      <c r="B44" s="116"/>
      <c r="C44" s="100" t="s">
        <v>46</v>
      </c>
      <c r="D44" s="146">
        <v>1218.39</v>
      </c>
      <c r="E44" s="102"/>
      <c r="F44" s="103">
        <v>31.0</v>
      </c>
      <c r="G44" s="103">
        <v>31.0</v>
      </c>
      <c r="H44" s="104">
        <f t="shared" si="1"/>
        <v>1</v>
      </c>
      <c r="I44" s="105">
        <f t="shared" si="2"/>
        <v>39.30290323</v>
      </c>
      <c r="J44" s="106">
        <f t="shared" si="3"/>
        <v>39.30290323</v>
      </c>
      <c r="K44" s="146">
        <v>258.05</v>
      </c>
      <c r="L44" s="103">
        <v>66414.0</v>
      </c>
      <c r="M44" s="103">
        <v>25.0</v>
      </c>
      <c r="N44" s="147">
        <v>985.26</v>
      </c>
      <c r="O44" s="109">
        <f t="shared" si="15"/>
        <v>0.2619105617</v>
      </c>
      <c r="P44" s="110">
        <f t="shared" si="5"/>
        <v>3.818097268</v>
      </c>
      <c r="Q44" s="109">
        <f t="shared" si="6"/>
        <v>0.2117958946</v>
      </c>
      <c r="R44" s="111">
        <f t="shared" si="7"/>
        <v>0.8086573265</v>
      </c>
      <c r="S44" s="112">
        <f t="shared" si="14"/>
        <v>233.13</v>
      </c>
      <c r="T44" s="113">
        <f t="shared" si="9"/>
        <v>10.322</v>
      </c>
      <c r="U44" s="114"/>
      <c r="V44" s="114"/>
      <c r="W44" s="114"/>
      <c r="X44" s="114"/>
      <c r="Y44" s="115"/>
      <c r="Z44" s="98"/>
      <c r="AA44" s="98"/>
    </row>
    <row r="45" hidden="1" outlineLevel="1">
      <c r="A45" s="98"/>
      <c r="B45" s="116"/>
      <c r="C45" s="100" t="s">
        <v>47</v>
      </c>
      <c r="D45" s="117">
        <v>59.9</v>
      </c>
      <c r="E45" s="102"/>
      <c r="F45" s="103">
        <v>2.0</v>
      </c>
      <c r="G45" s="103">
        <v>2.0</v>
      </c>
      <c r="H45" s="104">
        <f t="shared" si="1"/>
        <v>1</v>
      </c>
      <c r="I45" s="105">
        <f t="shared" si="2"/>
        <v>29.95</v>
      </c>
      <c r="J45" s="106">
        <f t="shared" si="3"/>
        <v>29.95</v>
      </c>
      <c r="K45" s="117">
        <v>0.0</v>
      </c>
      <c r="L45" s="103">
        <v>0.0</v>
      </c>
      <c r="M45" s="103">
        <v>0.0</v>
      </c>
      <c r="N45" s="118">
        <v>0.0</v>
      </c>
      <c r="O45" s="109" t="str">
        <f t="shared" si="15"/>
        <v>#DIV/0!</v>
      </c>
      <c r="P45" s="110" t="str">
        <f t="shared" si="5"/>
        <v>#DIV/0!</v>
      </c>
      <c r="Q45" s="109">
        <f t="shared" si="6"/>
        <v>0</v>
      </c>
      <c r="R45" s="111">
        <f t="shared" si="7"/>
        <v>0</v>
      </c>
      <c r="S45" s="112">
        <f t="shared" si="14"/>
        <v>59.9</v>
      </c>
      <c r="T45" s="113" t="str">
        <f t="shared" si="9"/>
        <v>#DIV/0!</v>
      </c>
      <c r="U45" s="114"/>
      <c r="V45" s="114"/>
      <c r="W45" s="114"/>
      <c r="X45" s="114"/>
      <c r="Y45" s="115"/>
      <c r="Z45" s="98"/>
      <c r="AA45" s="98"/>
    </row>
    <row r="46" hidden="1" outlineLevel="1">
      <c r="A46" s="98"/>
      <c r="B46" s="116"/>
      <c r="C46" s="100" t="s">
        <v>48</v>
      </c>
      <c r="D46" s="132">
        <v>6535.42</v>
      </c>
      <c r="E46" s="102"/>
      <c r="F46" s="103">
        <v>31.0</v>
      </c>
      <c r="G46" s="103">
        <v>31.0</v>
      </c>
      <c r="H46" s="104">
        <f t="shared" si="1"/>
        <v>1</v>
      </c>
      <c r="I46" s="105">
        <f t="shared" si="2"/>
        <v>210.82</v>
      </c>
      <c r="J46" s="106">
        <f t="shared" si="3"/>
        <v>210.82</v>
      </c>
      <c r="K46" s="132">
        <v>807.83</v>
      </c>
      <c r="L46" s="103">
        <v>55281.0</v>
      </c>
      <c r="M46" s="103">
        <v>15.0</v>
      </c>
      <c r="N46" s="133">
        <v>2922.51</v>
      </c>
      <c r="O46" s="109">
        <f t="shared" si="15"/>
        <v>0.276416505</v>
      </c>
      <c r="P46" s="110">
        <f t="shared" si="5"/>
        <v>3.617728978</v>
      </c>
      <c r="Q46" s="109">
        <f t="shared" si="6"/>
        <v>0.1236079701</v>
      </c>
      <c r="R46" s="111">
        <f t="shared" si="7"/>
        <v>0.4471801353</v>
      </c>
      <c r="S46" s="112">
        <f t="shared" si="14"/>
        <v>3612.91</v>
      </c>
      <c r="T46" s="113">
        <f t="shared" si="9"/>
        <v>53.85533333</v>
      </c>
      <c r="U46" s="114"/>
      <c r="V46" s="114"/>
      <c r="W46" s="114"/>
      <c r="X46" s="114"/>
      <c r="Y46" s="115"/>
      <c r="Z46" s="98"/>
      <c r="AA46" s="98"/>
    </row>
    <row r="47" hidden="1" outlineLevel="1">
      <c r="A47" s="148" t="str">
        <f t="shared" ref="A47:A48" si="16">iferror(if(B47&gt;0,month(B47)&amp;"-"&amp;year(B47),B47),)</f>
        <v>1-2026</v>
      </c>
      <c r="B47" s="99">
        <v>46025.0</v>
      </c>
      <c r="C47" s="100" t="s">
        <v>49</v>
      </c>
      <c r="D47" s="146">
        <v>-27.0</v>
      </c>
      <c r="E47" s="102"/>
      <c r="F47" s="103">
        <v>-1.0</v>
      </c>
      <c r="G47" s="103">
        <v>0.0</v>
      </c>
      <c r="H47" s="104" t="str">
        <f t="shared" si="1"/>
        <v>#DIV/0!</v>
      </c>
      <c r="I47" s="105">
        <f t="shared" si="2"/>
        <v>27</v>
      </c>
      <c r="J47" s="106" t="str">
        <f t="shared" si="3"/>
        <v>#DIV/0!</v>
      </c>
      <c r="K47" s="146">
        <v>10.46</v>
      </c>
      <c r="L47" s="103">
        <v>14576.0</v>
      </c>
      <c r="M47" s="103">
        <v>0.0</v>
      </c>
      <c r="N47" s="147">
        <v>0.0</v>
      </c>
      <c r="O47" s="109" t="str">
        <f t="shared" si="15"/>
        <v>#DIV/0!</v>
      </c>
      <c r="P47" s="110">
        <f t="shared" si="5"/>
        <v>0</v>
      </c>
      <c r="Q47" s="109">
        <f t="shared" si="6"/>
        <v>-0.3874074074</v>
      </c>
      <c r="R47" s="111">
        <f t="shared" si="7"/>
        <v>0</v>
      </c>
      <c r="S47" s="112">
        <f t="shared" si="14"/>
        <v>-27</v>
      </c>
      <c r="T47" s="113" t="str">
        <f t="shared" si="9"/>
        <v>#DIV/0!</v>
      </c>
      <c r="U47" s="114"/>
      <c r="V47" s="114"/>
      <c r="W47" s="114"/>
      <c r="X47" s="114"/>
      <c r="Y47" s="115"/>
      <c r="Z47" s="98"/>
      <c r="AA47" s="98"/>
    </row>
    <row r="48" collapsed="1">
      <c r="A48" s="98" t="str">
        <f t="shared" si="16"/>
        <v/>
      </c>
      <c r="B48" s="149" t="s">
        <v>51</v>
      </c>
      <c r="C48" s="150"/>
      <c r="D48" s="151">
        <f>SUM(D31:D47)</f>
        <v>45850.88</v>
      </c>
      <c r="E48" s="152"/>
      <c r="F48" s="153">
        <f t="shared" ref="F48:G48" si="17">SUM(F31:F47)</f>
        <v>342</v>
      </c>
      <c r="G48" s="153">
        <f t="shared" si="17"/>
        <v>362</v>
      </c>
      <c r="H48" s="154">
        <f t="shared" si="1"/>
        <v>0.9447513812</v>
      </c>
      <c r="I48" s="155">
        <f t="shared" si="2"/>
        <v>134.0669006</v>
      </c>
      <c r="J48" s="156">
        <f t="shared" si="3"/>
        <v>141.9070702</v>
      </c>
      <c r="K48" s="151">
        <f t="shared" ref="K48:N48" si="18">SUM(K31:K47)</f>
        <v>5806.71</v>
      </c>
      <c r="L48" s="153">
        <f t="shared" si="18"/>
        <v>1375750</v>
      </c>
      <c r="M48" s="153">
        <f t="shared" si="18"/>
        <v>122</v>
      </c>
      <c r="N48" s="157">
        <f t="shared" si="18"/>
        <v>14363.4</v>
      </c>
      <c r="O48" s="158">
        <f t="shared" si="15"/>
        <v>0.4042712728</v>
      </c>
      <c r="P48" s="159">
        <f t="shared" si="5"/>
        <v>2.473586592</v>
      </c>
      <c r="Q48" s="158">
        <f t="shared" si="6"/>
        <v>0.1266433709</v>
      </c>
      <c r="R48" s="160">
        <f t="shared" si="7"/>
        <v>0.3132633441</v>
      </c>
      <c r="S48" s="161">
        <f>SUM(S31:S47)</f>
        <v>31487.48</v>
      </c>
      <c r="T48" s="162">
        <f t="shared" si="9"/>
        <v>47.59598361</v>
      </c>
      <c r="U48" s="164" t="str">
        <f>IFERROR((D48-#REF!)/D48,)</f>
        <v/>
      </c>
      <c r="V48" s="164" t="str">
        <f>IFERROR((F48-#REF!)/F48,)</f>
        <v/>
      </c>
      <c r="W48" s="164" t="str">
        <f>IFERROR((D48-#REF!)/D48, )</f>
        <v/>
      </c>
      <c r="X48" s="164" t="str">
        <f>IFERROR((F48-#REF!)/F48, )</f>
        <v/>
      </c>
      <c r="Y48" s="98"/>
      <c r="Z48" s="98"/>
      <c r="AA48" s="98"/>
    </row>
    <row r="49" hidden="1" outlineLevel="1">
      <c r="A49" s="98"/>
      <c r="B49" s="99">
        <v>46026.0</v>
      </c>
      <c r="C49" s="100" t="s">
        <v>32</v>
      </c>
      <c r="D49" s="101">
        <v>4193.34</v>
      </c>
      <c r="E49" s="102"/>
      <c r="F49" s="103">
        <v>31.0</v>
      </c>
      <c r="G49" s="103">
        <v>31.0</v>
      </c>
      <c r="H49" s="104">
        <f t="shared" si="1"/>
        <v>1</v>
      </c>
      <c r="I49" s="105">
        <f t="shared" si="2"/>
        <v>135.2690323</v>
      </c>
      <c r="J49" s="106">
        <f t="shared" si="3"/>
        <v>135.2690323</v>
      </c>
      <c r="K49" s="107">
        <v>1013.35</v>
      </c>
      <c r="L49" s="103">
        <v>165235.0</v>
      </c>
      <c r="M49" s="103">
        <v>6.0</v>
      </c>
      <c r="N49" s="108">
        <v>925.9</v>
      </c>
      <c r="O49" s="109">
        <f t="shared" si="15"/>
        <v>1.094448645</v>
      </c>
      <c r="P49" s="110">
        <f t="shared" si="5"/>
        <v>0.9137020773</v>
      </c>
      <c r="Q49" s="109">
        <f t="shared" si="6"/>
        <v>0.2416570085</v>
      </c>
      <c r="R49" s="111">
        <f t="shared" si="7"/>
        <v>0.2208025106</v>
      </c>
      <c r="S49" s="112">
        <f t="shared" ref="S49:S65" si="19">D49-N49</f>
        <v>3267.44</v>
      </c>
      <c r="T49" s="113">
        <f t="shared" si="9"/>
        <v>168.8916667</v>
      </c>
      <c r="U49" s="114"/>
      <c r="V49" s="114"/>
      <c r="W49" s="114"/>
      <c r="X49" s="114"/>
      <c r="Y49" s="115"/>
      <c r="Z49" s="98"/>
      <c r="AA49" s="98"/>
    </row>
    <row r="50" hidden="1" outlineLevel="1">
      <c r="A50" s="98"/>
      <c r="B50" s="116"/>
      <c r="C50" s="100" t="s">
        <v>33</v>
      </c>
      <c r="D50" s="117">
        <v>7722.36</v>
      </c>
      <c r="E50" s="102"/>
      <c r="F50" s="103">
        <v>94.0</v>
      </c>
      <c r="G50" s="103">
        <v>105.0</v>
      </c>
      <c r="H50" s="104">
        <f t="shared" si="1"/>
        <v>0.8952380952</v>
      </c>
      <c r="I50" s="105">
        <f t="shared" si="2"/>
        <v>82.15276596</v>
      </c>
      <c r="J50" s="106">
        <f t="shared" si="3"/>
        <v>91.76638751</v>
      </c>
      <c r="K50" s="117">
        <v>759.35</v>
      </c>
      <c r="L50" s="103">
        <v>402437.0</v>
      </c>
      <c r="M50" s="103">
        <v>21.0</v>
      </c>
      <c r="N50" s="118">
        <v>2698.5</v>
      </c>
      <c r="O50" s="109">
        <f t="shared" si="15"/>
        <v>0.2813970724</v>
      </c>
      <c r="P50" s="110">
        <f t="shared" si="5"/>
        <v>3.553697241</v>
      </c>
      <c r="Q50" s="109">
        <f t="shared" si="6"/>
        <v>0.09833133912</v>
      </c>
      <c r="R50" s="111">
        <f t="shared" si="7"/>
        <v>0.3494398086</v>
      </c>
      <c r="S50" s="119">
        <f t="shared" si="19"/>
        <v>5023.86</v>
      </c>
      <c r="T50" s="113">
        <f t="shared" si="9"/>
        <v>36.15952381</v>
      </c>
      <c r="U50" s="114"/>
      <c r="V50" s="114"/>
      <c r="W50" s="114"/>
      <c r="X50" s="114"/>
      <c r="Y50" s="115"/>
      <c r="Z50" s="98"/>
      <c r="AA50" s="98"/>
    </row>
    <row r="51" hidden="1" outlineLevel="1">
      <c r="A51" s="98"/>
      <c r="B51" s="116"/>
      <c r="C51" s="100" t="s">
        <v>34</v>
      </c>
      <c r="D51" s="120">
        <v>279.8</v>
      </c>
      <c r="E51" s="102"/>
      <c r="F51" s="103">
        <v>4.0</v>
      </c>
      <c r="G51" s="103">
        <v>2.0</v>
      </c>
      <c r="H51" s="104">
        <f t="shared" si="1"/>
        <v>2</v>
      </c>
      <c r="I51" s="105">
        <f t="shared" si="2"/>
        <v>69.95</v>
      </c>
      <c r="J51" s="106">
        <f t="shared" si="3"/>
        <v>34.975</v>
      </c>
      <c r="K51" s="120">
        <v>7.22</v>
      </c>
      <c r="L51" s="103">
        <v>413.0</v>
      </c>
      <c r="M51" s="103">
        <v>0.0</v>
      </c>
      <c r="N51" s="121">
        <v>0.0</v>
      </c>
      <c r="O51" s="109" t="str">
        <f>(K51/N51)</f>
        <v>#DIV/0!</v>
      </c>
      <c r="P51" s="110">
        <f t="shared" si="5"/>
        <v>0</v>
      </c>
      <c r="Q51" s="109">
        <f t="shared" si="6"/>
        <v>0.02580414582</v>
      </c>
      <c r="R51" s="111">
        <f t="shared" si="7"/>
        <v>0</v>
      </c>
      <c r="S51" s="122">
        <f t="shared" si="19"/>
        <v>279.8</v>
      </c>
      <c r="T51" s="113" t="str">
        <f t="shared" si="9"/>
        <v>#DIV/0!</v>
      </c>
      <c r="U51" s="114"/>
      <c r="V51" s="114"/>
      <c r="W51" s="114"/>
      <c r="X51" s="114"/>
      <c r="Y51" s="115"/>
      <c r="Z51" s="98"/>
      <c r="AA51" s="98"/>
    </row>
    <row r="52" hidden="1" outlineLevel="1">
      <c r="A52" s="98"/>
      <c r="B52" s="116"/>
      <c r="C52" s="100" t="s">
        <v>35</v>
      </c>
      <c r="D52" s="120">
        <v>1085.11</v>
      </c>
      <c r="E52" s="102"/>
      <c r="F52" s="103">
        <v>18.0</v>
      </c>
      <c r="G52" s="103">
        <v>22.0</v>
      </c>
      <c r="H52" s="104">
        <f t="shared" si="1"/>
        <v>0.8181818182</v>
      </c>
      <c r="I52" s="105">
        <f t="shared" si="2"/>
        <v>60.28388889</v>
      </c>
      <c r="J52" s="106">
        <f t="shared" si="3"/>
        <v>73.68030864</v>
      </c>
      <c r="K52" s="120">
        <v>317.55</v>
      </c>
      <c r="L52" s="103">
        <v>27416.0</v>
      </c>
      <c r="M52" s="103">
        <v>12.0</v>
      </c>
      <c r="N52" s="121">
        <v>659.45</v>
      </c>
      <c r="O52" s="109">
        <f t="shared" ref="O52:O68" si="20">K52/N52</f>
        <v>0.481537645</v>
      </c>
      <c r="P52" s="110">
        <f t="shared" si="5"/>
        <v>2.076680838</v>
      </c>
      <c r="Q52" s="109">
        <f t="shared" si="6"/>
        <v>0.2926431422</v>
      </c>
      <c r="R52" s="111">
        <f t="shared" si="7"/>
        <v>0.6077264056</v>
      </c>
      <c r="S52" s="122">
        <f t="shared" si="19"/>
        <v>425.66</v>
      </c>
      <c r="T52" s="113">
        <f t="shared" si="9"/>
        <v>26.4625</v>
      </c>
      <c r="U52" s="114"/>
      <c r="V52" s="114"/>
      <c r="W52" s="114"/>
      <c r="X52" s="114"/>
      <c r="Y52" s="115"/>
      <c r="Z52" s="98"/>
      <c r="AA52" s="98"/>
    </row>
    <row r="53" hidden="1" outlineLevel="1">
      <c r="A53" s="98"/>
      <c r="B53" s="116"/>
      <c r="C53" s="100" t="s">
        <v>36</v>
      </c>
      <c r="D53" s="120">
        <v>974.25</v>
      </c>
      <c r="E53" s="102"/>
      <c r="F53" s="103">
        <v>15.0</v>
      </c>
      <c r="G53" s="103">
        <v>16.0</v>
      </c>
      <c r="H53" s="104">
        <f t="shared" si="1"/>
        <v>0.9375</v>
      </c>
      <c r="I53" s="105">
        <f t="shared" si="2"/>
        <v>64.95</v>
      </c>
      <c r="J53" s="106">
        <f t="shared" si="3"/>
        <v>69.28</v>
      </c>
      <c r="K53" s="120">
        <v>78.8</v>
      </c>
      <c r="L53" s="103">
        <v>26820.0</v>
      </c>
      <c r="M53" s="103">
        <v>1.0</v>
      </c>
      <c r="N53" s="121">
        <v>69.95</v>
      </c>
      <c r="O53" s="109">
        <f t="shared" si="20"/>
        <v>1.126518942</v>
      </c>
      <c r="P53" s="110">
        <f t="shared" si="5"/>
        <v>0.8876903553</v>
      </c>
      <c r="Q53" s="109">
        <f t="shared" si="6"/>
        <v>0.08088273031</v>
      </c>
      <c r="R53" s="111">
        <f t="shared" si="7"/>
        <v>0.0717988196</v>
      </c>
      <c r="S53" s="122">
        <f t="shared" si="19"/>
        <v>904.3</v>
      </c>
      <c r="T53" s="113">
        <f t="shared" si="9"/>
        <v>78.8</v>
      </c>
      <c r="U53" s="114"/>
      <c r="V53" s="114"/>
      <c r="W53" s="114"/>
      <c r="X53" s="114"/>
      <c r="Y53" s="115"/>
      <c r="Z53" s="98"/>
      <c r="AA53" s="98"/>
    </row>
    <row r="54" hidden="1" outlineLevel="1">
      <c r="A54" s="98"/>
      <c r="B54" s="99" t="s">
        <v>37</v>
      </c>
      <c r="C54" s="100" t="s">
        <v>38</v>
      </c>
      <c r="D54" s="123">
        <v>114.85</v>
      </c>
      <c r="E54" s="102"/>
      <c r="F54" s="103">
        <v>3.0</v>
      </c>
      <c r="G54" s="103">
        <v>3.0</v>
      </c>
      <c r="H54" s="104">
        <f t="shared" si="1"/>
        <v>1</v>
      </c>
      <c r="I54" s="105">
        <f t="shared" si="2"/>
        <v>38.28333333</v>
      </c>
      <c r="J54" s="106">
        <f t="shared" si="3"/>
        <v>38.28333333</v>
      </c>
      <c r="K54" s="123">
        <v>40.77</v>
      </c>
      <c r="L54" s="103">
        <v>241677.0</v>
      </c>
      <c r="M54" s="103">
        <v>0.0</v>
      </c>
      <c r="N54" s="124">
        <v>0.0</v>
      </c>
      <c r="O54" s="109" t="str">
        <f t="shared" si="20"/>
        <v>#DIV/0!</v>
      </c>
      <c r="P54" s="110">
        <f t="shared" si="5"/>
        <v>0</v>
      </c>
      <c r="Q54" s="109">
        <f t="shared" si="6"/>
        <v>0.3549847627</v>
      </c>
      <c r="R54" s="111">
        <f t="shared" si="7"/>
        <v>0</v>
      </c>
      <c r="S54" s="125">
        <f t="shared" si="19"/>
        <v>114.85</v>
      </c>
      <c r="T54" s="113" t="str">
        <f t="shared" si="9"/>
        <v>#DIV/0!</v>
      </c>
      <c r="U54" s="114"/>
      <c r="V54" s="114"/>
      <c r="W54" s="114"/>
      <c r="X54" s="114"/>
      <c r="Y54" s="115"/>
      <c r="Z54" s="98"/>
      <c r="AA54" s="98"/>
    </row>
    <row r="55" hidden="1" outlineLevel="1">
      <c r="A55" s="98"/>
      <c r="B55" s="116"/>
      <c r="C55" s="100" t="s">
        <v>39</v>
      </c>
      <c r="D55" s="126">
        <v>0.0</v>
      </c>
      <c r="E55" s="102"/>
      <c r="F55" s="103">
        <v>0.0</v>
      </c>
      <c r="G55" s="103">
        <v>0.0</v>
      </c>
      <c r="H55" s="104" t="str">
        <f t="shared" si="1"/>
        <v>#DIV/0!</v>
      </c>
      <c r="I55" s="105" t="str">
        <f t="shared" si="2"/>
        <v>#DIV/0!</v>
      </c>
      <c r="J55" s="106" t="str">
        <f t="shared" si="3"/>
        <v>#DIV/0!</v>
      </c>
      <c r="K55" s="126">
        <v>0.0</v>
      </c>
      <c r="L55" s="103">
        <v>0.0</v>
      </c>
      <c r="M55" s="103">
        <v>0.0</v>
      </c>
      <c r="N55" s="127">
        <v>0.0</v>
      </c>
      <c r="O55" s="109" t="str">
        <f t="shared" si="20"/>
        <v>#DIV/0!</v>
      </c>
      <c r="P55" s="110" t="str">
        <f t="shared" si="5"/>
        <v>#DIV/0!</v>
      </c>
      <c r="Q55" s="109" t="str">
        <f t="shared" si="6"/>
        <v>#DIV/0!</v>
      </c>
      <c r="R55" s="111" t="str">
        <f t="shared" si="7"/>
        <v>#DIV/0!</v>
      </c>
      <c r="S55" s="128">
        <f t="shared" si="19"/>
        <v>0</v>
      </c>
      <c r="T55" s="113" t="str">
        <f t="shared" si="9"/>
        <v>#DIV/0!</v>
      </c>
      <c r="U55" s="114"/>
      <c r="V55" s="114"/>
      <c r="W55" s="114"/>
      <c r="X55" s="114"/>
      <c r="Y55" s="115"/>
      <c r="Z55" s="98"/>
      <c r="AA55" s="98"/>
    </row>
    <row r="56" hidden="1" outlineLevel="1">
      <c r="A56" s="98"/>
      <c r="B56" s="116"/>
      <c r="C56" s="100" t="s">
        <v>40</v>
      </c>
      <c r="D56" s="129">
        <v>0.0</v>
      </c>
      <c r="E56" s="102"/>
      <c r="F56" s="103">
        <v>0.0</v>
      </c>
      <c r="G56" s="103">
        <v>0.0</v>
      </c>
      <c r="H56" s="104" t="str">
        <f t="shared" si="1"/>
        <v>#DIV/0!</v>
      </c>
      <c r="I56" s="105" t="str">
        <f t="shared" si="2"/>
        <v>#DIV/0!</v>
      </c>
      <c r="J56" s="106" t="str">
        <f t="shared" si="3"/>
        <v>#DIV/0!</v>
      </c>
      <c r="K56" s="129">
        <v>0.0</v>
      </c>
      <c r="L56" s="103">
        <v>0.0</v>
      </c>
      <c r="M56" s="103">
        <v>0.0</v>
      </c>
      <c r="N56" s="130">
        <v>0.0</v>
      </c>
      <c r="O56" s="109" t="str">
        <f t="shared" si="20"/>
        <v>#DIV/0!</v>
      </c>
      <c r="P56" s="110" t="str">
        <f t="shared" si="5"/>
        <v>#DIV/0!</v>
      </c>
      <c r="Q56" s="109" t="str">
        <f t="shared" si="6"/>
        <v>#DIV/0!</v>
      </c>
      <c r="R56" s="111" t="str">
        <f t="shared" si="7"/>
        <v>#DIV/0!</v>
      </c>
      <c r="S56" s="131">
        <f t="shared" si="19"/>
        <v>0</v>
      </c>
      <c r="T56" s="113" t="str">
        <f t="shared" si="9"/>
        <v>#DIV/0!</v>
      </c>
      <c r="U56" s="114"/>
      <c r="V56" s="114"/>
      <c r="W56" s="114"/>
      <c r="X56" s="114"/>
      <c r="Y56" s="115"/>
      <c r="Z56" s="98"/>
      <c r="AA56" s="98"/>
    </row>
    <row r="57" hidden="1" outlineLevel="1">
      <c r="A57" s="98"/>
      <c r="B57" s="116"/>
      <c r="C57" s="100" t="s">
        <v>41</v>
      </c>
      <c r="D57" s="132">
        <v>2607.66</v>
      </c>
      <c r="E57" s="102"/>
      <c r="F57" s="103">
        <v>38.0</v>
      </c>
      <c r="G57" s="103">
        <v>37.0</v>
      </c>
      <c r="H57" s="104">
        <f t="shared" si="1"/>
        <v>1.027027027</v>
      </c>
      <c r="I57" s="105">
        <f t="shared" si="2"/>
        <v>68.62263158</v>
      </c>
      <c r="J57" s="106">
        <f t="shared" si="3"/>
        <v>66.81677285</v>
      </c>
      <c r="K57" s="132">
        <v>582.07</v>
      </c>
      <c r="L57" s="103">
        <v>53074.0</v>
      </c>
      <c r="M57" s="103">
        <v>14.0</v>
      </c>
      <c r="N57" s="133">
        <v>1068.9</v>
      </c>
      <c r="O57" s="109">
        <f t="shared" si="20"/>
        <v>0.5445504724</v>
      </c>
      <c r="P57" s="110">
        <f t="shared" si="5"/>
        <v>1.836377068</v>
      </c>
      <c r="Q57" s="109">
        <f t="shared" si="6"/>
        <v>0.2232154499</v>
      </c>
      <c r="R57" s="111">
        <f t="shared" si="7"/>
        <v>0.4099077334</v>
      </c>
      <c r="S57" s="134">
        <f t="shared" si="19"/>
        <v>1538.76</v>
      </c>
      <c r="T57" s="113">
        <f t="shared" si="9"/>
        <v>41.57642857</v>
      </c>
      <c r="U57" s="114"/>
      <c r="V57" s="114"/>
      <c r="W57" s="114"/>
      <c r="X57" s="114"/>
      <c r="Y57" s="115"/>
      <c r="Z57" s="98"/>
      <c r="AA57" s="98"/>
    </row>
    <row r="58" hidden="1" outlineLevel="1">
      <c r="A58" s="98"/>
      <c r="B58" s="116"/>
      <c r="C58" s="100" t="s">
        <v>42</v>
      </c>
      <c r="D58" s="120">
        <v>39.98</v>
      </c>
      <c r="E58" s="102"/>
      <c r="F58" s="103">
        <v>2.0</v>
      </c>
      <c r="G58" s="103">
        <v>5.0</v>
      </c>
      <c r="H58" s="104">
        <f t="shared" si="1"/>
        <v>0.4</v>
      </c>
      <c r="I58" s="105">
        <f t="shared" si="2"/>
        <v>19.99</v>
      </c>
      <c r="J58" s="106">
        <f t="shared" si="3"/>
        <v>49.975</v>
      </c>
      <c r="K58" s="120">
        <v>390.2</v>
      </c>
      <c r="L58" s="103">
        <v>90636.0</v>
      </c>
      <c r="M58" s="103">
        <v>5.0</v>
      </c>
      <c r="N58" s="121">
        <v>99.95</v>
      </c>
      <c r="O58" s="109">
        <f t="shared" si="20"/>
        <v>3.903951976</v>
      </c>
      <c r="P58" s="110">
        <f t="shared" si="5"/>
        <v>0.256150692</v>
      </c>
      <c r="Q58" s="109">
        <f t="shared" si="6"/>
        <v>9.75987994</v>
      </c>
      <c r="R58" s="111">
        <f t="shared" si="7"/>
        <v>2.5</v>
      </c>
      <c r="S58" s="122">
        <f t="shared" si="19"/>
        <v>-59.97</v>
      </c>
      <c r="T58" s="113">
        <f t="shared" si="9"/>
        <v>78.04</v>
      </c>
      <c r="U58" s="114"/>
      <c r="V58" s="114"/>
      <c r="W58" s="114"/>
      <c r="X58" s="114"/>
      <c r="Y58" s="115"/>
      <c r="Z58" s="98"/>
      <c r="AA58" s="98"/>
    </row>
    <row r="59" hidden="1" outlineLevel="1">
      <c r="A59" s="98"/>
      <c r="B59" s="116"/>
      <c r="C59" s="100" t="s">
        <v>43</v>
      </c>
      <c r="D59" s="135">
        <v>1285.59</v>
      </c>
      <c r="E59" s="102"/>
      <c r="F59" s="103">
        <v>10.0</v>
      </c>
      <c r="G59" s="103">
        <v>10.0</v>
      </c>
      <c r="H59" s="104">
        <f t="shared" si="1"/>
        <v>1</v>
      </c>
      <c r="I59" s="105">
        <f t="shared" si="2"/>
        <v>128.559</v>
      </c>
      <c r="J59" s="106">
        <f t="shared" si="3"/>
        <v>128.559</v>
      </c>
      <c r="K59" s="135">
        <v>70.1</v>
      </c>
      <c r="L59" s="103">
        <v>8798.0</v>
      </c>
      <c r="M59" s="103">
        <v>1.0</v>
      </c>
      <c r="N59" s="136">
        <v>0.0</v>
      </c>
      <c r="O59" s="109" t="str">
        <f t="shared" si="20"/>
        <v>#DIV/0!</v>
      </c>
      <c r="P59" s="110">
        <f t="shared" si="5"/>
        <v>0</v>
      </c>
      <c r="Q59" s="109">
        <f t="shared" si="6"/>
        <v>0.05452749321</v>
      </c>
      <c r="R59" s="111">
        <f t="shared" si="7"/>
        <v>0</v>
      </c>
      <c r="S59" s="137">
        <f t="shared" si="19"/>
        <v>1285.59</v>
      </c>
      <c r="T59" s="113">
        <f t="shared" si="9"/>
        <v>70.1</v>
      </c>
      <c r="U59" s="114"/>
      <c r="V59" s="114"/>
      <c r="W59" s="114"/>
      <c r="X59" s="114"/>
      <c r="Y59" s="115"/>
      <c r="Z59" s="98"/>
      <c r="AA59" s="98"/>
    </row>
    <row r="60" hidden="1" outlineLevel="1">
      <c r="A60" s="98"/>
      <c r="B60" s="116"/>
      <c r="C60" s="100" t="s">
        <v>44</v>
      </c>
      <c r="D60" s="138">
        <v>134.9</v>
      </c>
      <c r="E60" s="102"/>
      <c r="F60" s="103">
        <v>2.0</v>
      </c>
      <c r="G60" s="103">
        <v>3.0</v>
      </c>
      <c r="H60" s="104">
        <f t="shared" si="1"/>
        <v>0.6666666667</v>
      </c>
      <c r="I60" s="105">
        <f t="shared" si="2"/>
        <v>67.45</v>
      </c>
      <c r="J60" s="106">
        <f t="shared" si="3"/>
        <v>101.175</v>
      </c>
      <c r="K60" s="138">
        <v>79.11</v>
      </c>
      <c r="L60" s="103">
        <v>52026.0</v>
      </c>
      <c r="M60" s="103">
        <v>2.0</v>
      </c>
      <c r="N60" s="139">
        <v>119.9</v>
      </c>
      <c r="O60" s="109">
        <f t="shared" si="20"/>
        <v>0.6597998332</v>
      </c>
      <c r="P60" s="110">
        <f t="shared" si="5"/>
        <v>1.515611174</v>
      </c>
      <c r="Q60" s="109">
        <f t="shared" si="6"/>
        <v>0.5864343958</v>
      </c>
      <c r="R60" s="111">
        <f t="shared" si="7"/>
        <v>0.8888065234</v>
      </c>
      <c r="S60" s="140">
        <f t="shared" si="19"/>
        <v>15</v>
      </c>
      <c r="T60" s="113">
        <f t="shared" si="9"/>
        <v>39.555</v>
      </c>
      <c r="U60" s="114"/>
      <c r="V60" s="114"/>
      <c r="W60" s="114"/>
      <c r="X60" s="114"/>
      <c r="Y60" s="115"/>
      <c r="Z60" s="98"/>
      <c r="AA60" s="98"/>
    </row>
    <row r="61" hidden="1" outlineLevel="1">
      <c r="A61" s="141"/>
      <c r="B61" s="116"/>
      <c r="C61" s="142" t="s">
        <v>45</v>
      </c>
      <c r="D61" s="101">
        <v>49.9</v>
      </c>
      <c r="E61" s="102"/>
      <c r="F61" s="103">
        <v>2.0</v>
      </c>
      <c r="G61" s="103">
        <v>3.0</v>
      </c>
      <c r="H61" s="104">
        <f t="shared" si="1"/>
        <v>0.6666666667</v>
      </c>
      <c r="I61" s="105">
        <f t="shared" si="2"/>
        <v>24.95</v>
      </c>
      <c r="J61" s="106">
        <f t="shared" si="3"/>
        <v>37.425</v>
      </c>
      <c r="K61" s="101">
        <v>0.0</v>
      </c>
      <c r="L61" s="103">
        <v>0.0</v>
      </c>
      <c r="M61" s="103">
        <v>0.0</v>
      </c>
      <c r="N61" s="108">
        <v>0.0</v>
      </c>
      <c r="O61" s="109" t="str">
        <f t="shared" si="20"/>
        <v>#DIV/0!</v>
      </c>
      <c r="P61" s="110" t="str">
        <f t="shared" si="5"/>
        <v>#DIV/0!</v>
      </c>
      <c r="Q61" s="109">
        <f t="shared" si="6"/>
        <v>0</v>
      </c>
      <c r="R61" s="111">
        <f t="shared" si="7"/>
        <v>0</v>
      </c>
      <c r="S61" s="112">
        <f t="shared" si="19"/>
        <v>49.9</v>
      </c>
      <c r="T61" s="113" t="str">
        <f t="shared" si="9"/>
        <v>#DIV/0!</v>
      </c>
      <c r="U61" s="143"/>
      <c r="V61" s="143"/>
      <c r="W61" s="143"/>
      <c r="X61" s="144"/>
      <c r="Y61" s="145"/>
      <c r="Z61" s="98"/>
      <c r="AA61" s="98"/>
    </row>
    <row r="62" hidden="1" outlineLevel="1">
      <c r="A62" s="98"/>
      <c r="B62" s="116"/>
      <c r="C62" s="100" t="s">
        <v>46</v>
      </c>
      <c r="D62" s="146">
        <v>922.7</v>
      </c>
      <c r="E62" s="102"/>
      <c r="F62" s="103">
        <v>21.0</v>
      </c>
      <c r="G62" s="103">
        <v>25.0</v>
      </c>
      <c r="H62" s="104">
        <f t="shared" si="1"/>
        <v>0.84</v>
      </c>
      <c r="I62" s="105">
        <f t="shared" si="2"/>
        <v>43.93809524</v>
      </c>
      <c r="J62" s="106">
        <f t="shared" si="3"/>
        <v>52.30725624</v>
      </c>
      <c r="K62" s="146">
        <v>240.22</v>
      </c>
      <c r="L62" s="103">
        <v>70753.0</v>
      </c>
      <c r="M62" s="103">
        <v>9.0</v>
      </c>
      <c r="N62" s="147">
        <v>306.65</v>
      </c>
      <c r="O62" s="109">
        <f t="shared" si="20"/>
        <v>0.7833686613</v>
      </c>
      <c r="P62" s="110">
        <f t="shared" si="5"/>
        <v>1.276538173</v>
      </c>
      <c r="Q62" s="109">
        <f t="shared" si="6"/>
        <v>0.2603446407</v>
      </c>
      <c r="R62" s="111">
        <f t="shared" si="7"/>
        <v>0.3323398721</v>
      </c>
      <c r="S62" s="112">
        <f t="shared" si="19"/>
        <v>616.05</v>
      </c>
      <c r="T62" s="113">
        <f t="shared" si="9"/>
        <v>26.69111111</v>
      </c>
      <c r="U62" s="114"/>
      <c r="V62" s="114"/>
      <c r="W62" s="114"/>
      <c r="X62" s="114"/>
      <c r="Y62" s="115"/>
      <c r="Z62" s="98"/>
      <c r="AA62" s="98"/>
    </row>
    <row r="63" hidden="1" outlineLevel="1">
      <c r="A63" s="98"/>
      <c r="B63" s="116"/>
      <c r="C63" s="100" t="s">
        <v>47</v>
      </c>
      <c r="D63" s="117">
        <v>99.25</v>
      </c>
      <c r="E63" s="102"/>
      <c r="F63" s="103">
        <v>5.0</v>
      </c>
      <c r="G63" s="103">
        <v>3.0</v>
      </c>
      <c r="H63" s="104">
        <f t="shared" si="1"/>
        <v>1.666666667</v>
      </c>
      <c r="I63" s="105">
        <f t="shared" si="2"/>
        <v>19.85</v>
      </c>
      <c r="J63" s="106">
        <f t="shared" si="3"/>
        <v>11.91</v>
      </c>
      <c r="K63" s="117">
        <v>0.0</v>
      </c>
      <c r="L63" s="103">
        <v>0.0</v>
      </c>
      <c r="M63" s="103">
        <v>0.0</v>
      </c>
      <c r="N63" s="118">
        <v>0.0</v>
      </c>
      <c r="O63" s="109" t="str">
        <f t="shared" si="20"/>
        <v>#DIV/0!</v>
      </c>
      <c r="P63" s="110" t="str">
        <f t="shared" si="5"/>
        <v>#DIV/0!</v>
      </c>
      <c r="Q63" s="109">
        <f t="shared" si="6"/>
        <v>0</v>
      </c>
      <c r="R63" s="111">
        <f t="shared" si="7"/>
        <v>0</v>
      </c>
      <c r="S63" s="112">
        <f t="shared" si="19"/>
        <v>99.25</v>
      </c>
      <c r="T63" s="113" t="str">
        <f t="shared" si="9"/>
        <v>#DIV/0!</v>
      </c>
      <c r="U63" s="114"/>
      <c r="V63" s="114"/>
      <c r="W63" s="114"/>
      <c r="X63" s="114"/>
      <c r="Y63" s="115"/>
      <c r="Z63" s="98"/>
      <c r="AA63" s="98"/>
    </row>
    <row r="64" hidden="1" outlineLevel="1">
      <c r="A64" s="98"/>
      <c r="B64" s="116"/>
      <c r="C64" s="100" t="s">
        <v>48</v>
      </c>
      <c r="D64" s="132">
        <v>4039.1</v>
      </c>
      <c r="E64" s="102"/>
      <c r="F64" s="103">
        <v>18.0</v>
      </c>
      <c r="G64" s="103">
        <v>18.0</v>
      </c>
      <c r="H64" s="104">
        <f t="shared" si="1"/>
        <v>1</v>
      </c>
      <c r="I64" s="105">
        <f t="shared" si="2"/>
        <v>224.3944444</v>
      </c>
      <c r="J64" s="106">
        <f t="shared" si="3"/>
        <v>224.3944444</v>
      </c>
      <c r="K64" s="132">
        <v>573.49</v>
      </c>
      <c r="L64" s="103">
        <v>48071.0</v>
      </c>
      <c r="M64" s="103">
        <v>8.0</v>
      </c>
      <c r="N64" s="133">
        <v>1459.65</v>
      </c>
      <c r="O64" s="109">
        <f t="shared" si="20"/>
        <v>0.3928955572</v>
      </c>
      <c r="P64" s="110">
        <f t="shared" si="5"/>
        <v>2.545205671</v>
      </c>
      <c r="Q64" s="109">
        <f t="shared" si="6"/>
        <v>0.1419846005</v>
      </c>
      <c r="R64" s="111">
        <f t="shared" si="7"/>
        <v>0.3613800104</v>
      </c>
      <c r="S64" s="112">
        <f t="shared" si="19"/>
        <v>2579.45</v>
      </c>
      <c r="T64" s="113">
        <f t="shared" si="9"/>
        <v>71.68625</v>
      </c>
      <c r="U64" s="114"/>
      <c r="V64" s="114"/>
      <c r="W64" s="114"/>
      <c r="X64" s="114"/>
      <c r="Y64" s="115"/>
      <c r="Z64" s="98"/>
      <c r="AA64" s="98"/>
    </row>
    <row r="65" hidden="1" outlineLevel="1">
      <c r="A65" s="148" t="str">
        <f t="shared" ref="A65:A66" si="21">iferror(if(B65&gt;0,month(B65)&amp;"-"&amp;year(B65),B65),)</f>
        <v>1-2026</v>
      </c>
      <c r="B65" s="99">
        <v>46032.0</v>
      </c>
      <c r="C65" s="100" t="s">
        <v>49</v>
      </c>
      <c r="D65" s="146">
        <v>0.0</v>
      </c>
      <c r="E65" s="102"/>
      <c r="F65" s="103">
        <v>0.0</v>
      </c>
      <c r="G65" s="103">
        <v>0.0</v>
      </c>
      <c r="H65" s="104" t="str">
        <f t="shared" si="1"/>
        <v>#DIV/0!</v>
      </c>
      <c r="I65" s="105" t="str">
        <f t="shared" si="2"/>
        <v>#DIV/0!</v>
      </c>
      <c r="J65" s="106" t="str">
        <f t="shared" si="3"/>
        <v>#DIV/0!</v>
      </c>
      <c r="K65" s="146">
        <v>16.26</v>
      </c>
      <c r="L65" s="103">
        <v>10972.0</v>
      </c>
      <c r="M65" s="103">
        <v>0.0</v>
      </c>
      <c r="N65" s="147">
        <v>0.0</v>
      </c>
      <c r="O65" s="109" t="str">
        <f t="shared" si="20"/>
        <v>#DIV/0!</v>
      </c>
      <c r="P65" s="110">
        <f t="shared" si="5"/>
        <v>0</v>
      </c>
      <c r="Q65" s="109" t="str">
        <f t="shared" si="6"/>
        <v>#DIV/0!</v>
      </c>
      <c r="R65" s="111" t="str">
        <f t="shared" si="7"/>
        <v>#DIV/0!</v>
      </c>
      <c r="S65" s="112">
        <f t="shared" si="19"/>
        <v>0</v>
      </c>
      <c r="T65" s="113" t="str">
        <f t="shared" si="9"/>
        <v>#DIV/0!</v>
      </c>
      <c r="U65" s="114"/>
      <c r="V65" s="114"/>
      <c r="W65" s="114"/>
      <c r="X65" s="114"/>
      <c r="Y65" s="115"/>
      <c r="Z65" s="98"/>
      <c r="AA65" s="98"/>
    </row>
    <row r="66" collapsed="1">
      <c r="A66" s="98" t="str">
        <f t="shared" si="21"/>
        <v/>
      </c>
      <c r="B66" s="149" t="s">
        <v>52</v>
      </c>
      <c r="C66" s="150"/>
      <c r="D66" s="151">
        <f>SUM(D49:D65)</f>
        <v>23548.79</v>
      </c>
      <c r="E66" s="152"/>
      <c r="F66" s="153">
        <f t="shared" ref="F66:G66" si="22">SUM(F49:F65)</f>
        <v>263</v>
      </c>
      <c r="G66" s="153">
        <f t="shared" si="22"/>
        <v>283</v>
      </c>
      <c r="H66" s="154">
        <f t="shared" si="1"/>
        <v>0.9293286219</v>
      </c>
      <c r="I66" s="155">
        <f t="shared" si="2"/>
        <v>89.53912548</v>
      </c>
      <c r="J66" s="156">
        <f t="shared" si="3"/>
        <v>96.34818445</v>
      </c>
      <c r="K66" s="151">
        <f t="shared" ref="K66:N66" si="23">SUM(K49:K65)</f>
        <v>4168.49</v>
      </c>
      <c r="L66" s="153">
        <f t="shared" si="23"/>
        <v>1198328</v>
      </c>
      <c r="M66" s="153">
        <f t="shared" si="23"/>
        <v>79</v>
      </c>
      <c r="N66" s="157">
        <f t="shared" si="23"/>
        <v>7408.85</v>
      </c>
      <c r="O66" s="158">
        <f t="shared" si="20"/>
        <v>0.5626365765</v>
      </c>
      <c r="P66" s="159">
        <f t="shared" si="5"/>
        <v>1.777346233</v>
      </c>
      <c r="Q66" s="158">
        <f t="shared" si="6"/>
        <v>0.1770150398</v>
      </c>
      <c r="R66" s="160">
        <f t="shared" si="7"/>
        <v>0.3146170143</v>
      </c>
      <c r="S66" s="161">
        <f>SUM(S49:S65)</f>
        <v>16139.94</v>
      </c>
      <c r="T66" s="162">
        <f t="shared" si="9"/>
        <v>52.7656962</v>
      </c>
      <c r="U66" s="164" t="str">
        <f>IFERROR((D66-#REF!)/D66,)</f>
        <v/>
      </c>
      <c r="V66" s="164" t="str">
        <f>IFERROR((F66-#REF!)/F66,)</f>
        <v/>
      </c>
      <c r="W66" s="164" t="str">
        <f>IFERROR((D66-#REF!)/D66, )</f>
        <v/>
      </c>
      <c r="X66" s="164" t="str">
        <f>IFERROR((F66-#REF!)/F66, )</f>
        <v/>
      </c>
      <c r="Y66" s="98"/>
      <c r="Z66" s="98"/>
      <c r="AA66" s="98"/>
    </row>
    <row r="67" hidden="1" outlineLevel="1">
      <c r="A67" s="98"/>
      <c r="B67" s="99">
        <v>46033.0</v>
      </c>
      <c r="C67" s="100" t="s">
        <v>32</v>
      </c>
      <c r="D67" s="101">
        <v>2300.92</v>
      </c>
      <c r="E67" s="102"/>
      <c r="F67" s="103">
        <v>23.0</v>
      </c>
      <c r="G67" s="103">
        <v>28.0</v>
      </c>
      <c r="H67" s="104">
        <f t="shared" si="1"/>
        <v>0.8214285714</v>
      </c>
      <c r="I67" s="105">
        <f t="shared" si="2"/>
        <v>100.04</v>
      </c>
      <c r="J67" s="106">
        <f t="shared" si="3"/>
        <v>121.7878261</v>
      </c>
      <c r="K67" s="107">
        <v>623.32</v>
      </c>
      <c r="L67" s="103">
        <v>111636.0</v>
      </c>
      <c r="M67" s="103">
        <v>6.0</v>
      </c>
      <c r="N67" s="108">
        <v>204.9</v>
      </c>
      <c r="O67" s="109">
        <f t="shared" si="20"/>
        <v>3.042069302</v>
      </c>
      <c r="P67" s="110">
        <f t="shared" si="5"/>
        <v>0.3287236091</v>
      </c>
      <c r="Q67" s="109">
        <f t="shared" si="6"/>
        <v>0.2709003355</v>
      </c>
      <c r="R67" s="111">
        <f t="shared" si="7"/>
        <v>0.08905133599</v>
      </c>
      <c r="S67" s="112">
        <f t="shared" ref="S67:S83" si="24">D67-N67</f>
        <v>2096.02</v>
      </c>
      <c r="T67" s="113">
        <f t="shared" si="9"/>
        <v>103.8866667</v>
      </c>
      <c r="U67" s="114"/>
      <c r="V67" s="114"/>
      <c r="W67" s="114"/>
      <c r="X67" s="114"/>
      <c r="Y67" s="115"/>
      <c r="Z67" s="98"/>
      <c r="AA67" s="98"/>
    </row>
    <row r="68" hidden="1" outlineLevel="1">
      <c r="A68" s="98"/>
      <c r="B68" s="116"/>
      <c r="C68" s="100" t="s">
        <v>33</v>
      </c>
      <c r="D68" s="117">
        <v>4373.42</v>
      </c>
      <c r="E68" s="102"/>
      <c r="F68" s="103">
        <v>63.0</v>
      </c>
      <c r="G68" s="103">
        <v>82.0</v>
      </c>
      <c r="H68" s="104">
        <f t="shared" si="1"/>
        <v>0.7682926829</v>
      </c>
      <c r="I68" s="105">
        <f t="shared" si="2"/>
        <v>69.41936508</v>
      </c>
      <c r="J68" s="106">
        <f t="shared" si="3"/>
        <v>90.35536407</v>
      </c>
      <c r="K68" s="117">
        <v>822.42</v>
      </c>
      <c r="L68" s="103">
        <v>169878.0</v>
      </c>
      <c r="M68" s="103">
        <v>29.0</v>
      </c>
      <c r="N68" s="118">
        <v>2624.25</v>
      </c>
      <c r="O68" s="109">
        <f t="shared" si="20"/>
        <v>0.3133923978</v>
      </c>
      <c r="P68" s="110">
        <f t="shared" si="5"/>
        <v>3.190887868</v>
      </c>
      <c r="Q68" s="109">
        <f t="shared" si="6"/>
        <v>0.1880496271</v>
      </c>
      <c r="R68" s="111">
        <f t="shared" si="7"/>
        <v>0.6000452735</v>
      </c>
      <c r="S68" s="119">
        <f t="shared" si="24"/>
        <v>1749.17</v>
      </c>
      <c r="T68" s="113">
        <f t="shared" si="9"/>
        <v>28.35931034</v>
      </c>
      <c r="U68" s="114"/>
      <c r="V68" s="114"/>
      <c r="W68" s="114"/>
      <c r="X68" s="114"/>
      <c r="Y68" s="115"/>
      <c r="Z68" s="98"/>
      <c r="AA68" s="98"/>
    </row>
    <row r="69" hidden="1" outlineLevel="1">
      <c r="A69" s="98"/>
      <c r="B69" s="116"/>
      <c r="C69" s="100" t="s">
        <v>34</v>
      </c>
      <c r="D69" s="120">
        <v>419.7</v>
      </c>
      <c r="E69" s="102"/>
      <c r="F69" s="103">
        <v>6.0</v>
      </c>
      <c r="G69" s="103">
        <v>3.0</v>
      </c>
      <c r="H69" s="104">
        <f t="shared" si="1"/>
        <v>2</v>
      </c>
      <c r="I69" s="105">
        <f t="shared" si="2"/>
        <v>69.95</v>
      </c>
      <c r="J69" s="106">
        <f t="shared" si="3"/>
        <v>34.975</v>
      </c>
      <c r="K69" s="120">
        <v>7.22</v>
      </c>
      <c r="L69" s="103">
        <v>318.0</v>
      </c>
      <c r="M69" s="103">
        <v>0.0</v>
      </c>
      <c r="N69" s="121">
        <v>0.0</v>
      </c>
      <c r="O69" s="109" t="str">
        <f>(K69/N69)</f>
        <v>#DIV/0!</v>
      </c>
      <c r="P69" s="110">
        <f t="shared" si="5"/>
        <v>0</v>
      </c>
      <c r="Q69" s="109">
        <f t="shared" si="6"/>
        <v>0.01720276388</v>
      </c>
      <c r="R69" s="111">
        <f t="shared" si="7"/>
        <v>0</v>
      </c>
      <c r="S69" s="122">
        <f t="shared" si="24"/>
        <v>419.7</v>
      </c>
      <c r="T69" s="113" t="str">
        <f t="shared" si="9"/>
        <v>#DIV/0!</v>
      </c>
      <c r="U69" s="114"/>
      <c r="V69" s="114"/>
      <c r="W69" s="114"/>
      <c r="X69" s="114"/>
      <c r="Y69" s="115"/>
      <c r="Z69" s="98"/>
      <c r="AA69" s="98"/>
    </row>
    <row r="70" hidden="1" outlineLevel="1">
      <c r="A70" s="98"/>
      <c r="B70" s="116"/>
      <c r="C70" s="100" t="s">
        <v>35</v>
      </c>
      <c r="D70" s="120">
        <v>188.85</v>
      </c>
      <c r="E70" s="102"/>
      <c r="F70" s="103">
        <v>3.0</v>
      </c>
      <c r="G70" s="103">
        <v>3.0</v>
      </c>
      <c r="H70" s="104">
        <f t="shared" si="1"/>
        <v>1</v>
      </c>
      <c r="I70" s="105">
        <f t="shared" si="2"/>
        <v>62.95</v>
      </c>
      <c r="J70" s="106">
        <f t="shared" si="3"/>
        <v>62.95</v>
      </c>
      <c r="K70" s="120">
        <v>313.22</v>
      </c>
      <c r="L70" s="103">
        <v>27042.0</v>
      </c>
      <c r="M70" s="103">
        <v>7.0</v>
      </c>
      <c r="N70" s="121">
        <v>419.65</v>
      </c>
      <c r="O70" s="109">
        <f t="shared" ref="O70:O86" si="25">K70/N70</f>
        <v>0.7463838913</v>
      </c>
      <c r="P70" s="110">
        <f t="shared" si="5"/>
        <v>1.339793117</v>
      </c>
      <c r="Q70" s="109">
        <f t="shared" si="6"/>
        <v>1.658564999</v>
      </c>
      <c r="R70" s="111">
        <f t="shared" si="7"/>
        <v>2.222133969</v>
      </c>
      <c r="S70" s="122">
        <f t="shared" si="24"/>
        <v>-230.8</v>
      </c>
      <c r="T70" s="113">
        <f t="shared" si="9"/>
        <v>44.74571429</v>
      </c>
      <c r="U70" s="114"/>
      <c r="V70" s="114"/>
      <c r="W70" s="114"/>
      <c r="X70" s="114"/>
      <c r="Y70" s="115"/>
      <c r="Z70" s="98"/>
      <c r="AA70" s="98"/>
    </row>
    <row r="71" hidden="1" outlineLevel="1">
      <c r="A71" s="98"/>
      <c r="B71" s="116"/>
      <c r="C71" s="100" t="s">
        <v>36</v>
      </c>
      <c r="D71" s="120">
        <v>1139.1</v>
      </c>
      <c r="E71" s="102"/>
      <c r="F71" s="103">
        <v>18.0</v>
      </c>
      <c r="G71" s="103">
        <v>17.0</v>
      </c>
      <c r="H71" s="104">
        <f t="shared" si="1"/>
        <v>1.058823529</v>
      </c>
      <c r="I71" s="105">
        <f t="shared" si="2"/>
        <v>63.28333333</v>
      </c>
      <c r="J71" s="106">
        <f t="shared" si="3"/>
        <v>59.76759259</v>
      </c>
      <c r="K71" s="120">
        <v>73.93</v>
      </c>
      <c r="L71" s="103">
        <v>23474.0</v>
      </c>
      <c r="M71" s="103">
        <v>6.0</v>
      </c>
      <c r="N71" s="121">
        <v>389.7</v>
      </c>
      <c r="O71" s="109">
        <f t="shared" si="25"/>
        <v>0.1897100334</v>
      </c>
      <c r="P71" s="110">
        <f t="shared" si="5"/>
        <v>5.271202489</v>
      </c>
      <c r="Q71" s="109">
        <f t="shared" si="6"/>
        <v>0.06490211571</v>
      </c>
      <c r="R71" s="111">
        <f t="shared" si="7"/>
        <v>0.3421121938</v>
      </c>
      <c r="S71" s="122">
        <f t="shared" si="24"/>
        <v>749.4</v>
      </c>
      <c r="T71" s="113">
        <f t="shared" si="9"/>
        <v>12.32166667</v>
      </c>
      <c r="U71" s="114"/>
      <c r="V71" s="114"/>
      <c r="W71" s="114"/>
      <c r="X71" s="114"/>
      <c r="Y71" s="115"/>
      <c r="Z71" s="98"/>
      <c r="AA71" s="98"/>
    </row>
    <row r="72" hidden="1" outlineLevel="1">
      <c r="A72" s="98"/>
      <c r="B72" s="99" t="s">
        <v>37</v>
      </c>
      <c r="C72" s="100" t="s">
        <v>38</v>
      </c>
      <c r="D72" s="123">
        <v>0.0</v>
      </c>
      <c r="E72" s="102"/>
      <c r="F72" s="103">
        <v>0.0</v>
      </c>
      <c r="G72" s="103">
        <v>0.0</v>
      </c>
      <c r="H72" s="104" t="str">
        <f t="shared" si="1"/>
        <v>#DIV/0!</v>
      </c>
      <c r="I72" s="105" t="str">
        <f t="shared" si="2"/>
        <v>#DIV/0!</v>
      </c>
      <c r="J72" s="106" t="str">
        <f t="shared" si="3"/>
        <v>#DIV/0!</v>
      </c>
      <c r="K72" s="123">
        <v>24.92</v>
      </c>
      <c r="L72" s="103">
        <v>189436.0</v>
      </c>
      <c r="M72" s="103">
        <v>0.0</v>
      </c>
      <c r="N72" s="124">
        <v>0.0</v>
      </c>
      <c r="O72" s="109" t="str">
        <f t="shared" si="25"/>
        <v>#DIV/0!</v>
      </c>
      <c r="P72" s="110">
        <f t="shared" si="5"/>
        <v>0</v>
      </c>
      <c r="Q72" s="109" t="str">
        <f t="shared" si="6"/>
        <v>#DIV/0!</v>
      </c>
      <c r="R72" s="111" t="str">
        <f t="shared" si="7"/>
        <v>#DIV/0!</v>
      </c>
      <c r="S72" s="125">
        <f t="shared" si="24"/>
        <v>0</v>
      </c>
      <c r="T72" s="113" t="str">
        <f t="shared" si="9"/>
        <v>#DIV/0!</v>
      </c>
      <c r="U72" s="114"/>
      <c r="V72" s="114"/>
      <c r="W72" s="114"/>
      <c r="X72" s="114"/>
      <c r="Y72" s="115"/>
      <c r="Z72" s="98"/>
      <c r="AA72" s="98"/>
    </row>
    <row r="73" hidden="1" outlineLevel="1">
      <c r="A73" s="98"/>
      <c r="B73" s="116"/>
      <c r="C73" s="100" t="s">
        <v>39</v>
      </c>
      <c r="D73" s="126">
        <v>0.0</v>
      </c>
      <c r="E73" s="102"/>
      <c r="F73" s="103">
        <v>0.0</v>
      </c>
      <c r="G73" s="103">
        <v>0.0</v>
      </c>
      <c r="H73" s="104" t="str">
        <f t="shared" si="1"/>
        <v>#DIV/0!</v>
      </c>
      <c r="I73" s="105" t="str">
        <f t="shared" si="2"/>
        <v>#DIV/0!</v>
      </c>
      <c r="J73" s="106" t="str">
        <f t="shared" si="3"/>
        <v>#DIV/0!</v>
      </c>
      <c r="K73" s="126">
        <v>0.0</v>
      </c>
      <c r="L73" s="103">
        <v>0.0</v>
      </c>
      <c r="M73" s="103">
        <v>0.0</v>
      </c>
      <c r="N73" s="127">
        <v>0.0</v>
      </c>
      <c r="O73" s="109" t="str">
        <f t="shared" si="25"/>
        <v>#DIV/0!</v>
      </c>
      <c r="P73" s="110" t="str">
        <f t="shared" si="5"/>
        <v>#DIV/0!</v>
      </c>
      <c r="Q73" s="109" t="str">
        <f t="shared" si="6"/>
        <v>#DIV/0!</v>
      </c>
      <c r="R73" s="111" t="str">
        <f t="shared" si="7"/>
        <v>#DIV/0!</v>
      </c>
      <c r="S73" s="128">
        <f t="shared" si="24"/>
        <v>0</v>
      </c>
      <c r="T73" s="113" t="str">
        <f t="shared" si="9"/>
        <v>#DIV/0!</v>
      </c>
      <c r="U73" s="114"/>
      <c r="V73" s="114"/>
      <c r="W73" s="114"/>
      <c r="X73" s="114"/>
      <c r="Y73" s="115"/>
      <c r="Z73" s="98"/>
      <c r="AA73" s="98"/>
    </row>
    <row r="74" hidden="1" outlineLevel="1">
      <c r="A74" s="98"/>
      <c r="B74" s="116"/>
      <c r="C74" s="100" t="s">
        <v>40</v>
      </c>
      <c r="D74" s="129">
        <v>0.0</v>
      </c>
      <c r="E74" s="102"/>
      <c r="F74" s="103">
        <v>0.0</v>
      </c>
      <c r="G74" s="103">
        <v>0.0</v>
      </c>
      <c r="H74" s="104" t="str">
        <f t="shared" si="1"/>
        <v>#DIV/0!</v>
      </c>
      <c r="I74" s="105" t="str">
        <f t="shared" si="2"/>
        <v>#DIV/0!</v>
      </c>
      <c r="J74" s="106" t="str">
        <f t="shared" si="3"/>
        <v>#DIV/0!</v>
      </c>
      <c r="K74" s="129">
        <v>0.0</v>
      </c>
      <c r="L74" s="103">
        <v>0.0</v>
      </c>
      <c r="M74" s="103">
        <v>0.0</v>
      </c>
      <c r="N74" s="130">
        <v>0.0</v>
      </c>
      <c r="O74" s="109" t="str">
        <f t="shared" si="25"/>
        <v>#DIV/0!</v>
      </c>
      <c r="P74" s="110" t="str">
        <f t="shared" si="5"/>
        <v>#DIV/0!</v>
      </c>
      <c r="Q74" s="109" t="str">
        <f t="shared" si="6"/>
        <v>#DIV/0!</v>
      </c>
      <c r="R74" s="111" t="str">
        <f t="shared" si="7"/>
        <v>#DIV/0!</v>
      </c>
      <c r="S74" s="131">
        <f t="shared" si="24"/>
        <v>0</v>
      </c>
      <c r="T74" s="113" t="str">
        <f t="shared" si="9"/>
        <v>#DIV/0!</v>
      </c>
      <c r="U74" s="114"/>
      <c r="V74" s="114"/>
      <c r="W74" s="114"/>
      <c r="X74" s="114"/>
      <c r="Y74" s="115"/>
      <c r="Z74" s="98"/>
      <c r="AA74" s="98"/>
    </row>
    <row r="75" hidden="1" outlineLevel="1">
      <c r="A75" s="98"/>
      <c r="B75" s="116"/>
      <c r="C75" s="100" t="s">
        <v>41</v>
      </c>
      <c r="D75" s="132">
        <v>2585.66</v>
      </c>
      <c r="E75" s="102"/>
      <c r="F75" s="103">
        <v>38.0</v>
      </c>
      <c r="G75" s="103">
        <v>37.0</v>
      </c>
      <c r="H75" s="104">
        <f t="shared" si="1"/>
        <v>1.027027027</v>
      </c>
      <c r="I75" s="105">
        <f t="shared" si="2"/>
        <v>68.04368421</v>
      </c>
      <c r="J75" s="106">
        <f t="shared" si="3"/>
        <v>66.25306094</v>
      </c>
      <c r="K75" s="132">
        <v>439.15</v>
      </c>
      <c r="L75" s="103">
        <v>48219.0</v>
      </c>
      <c r="M75" s="103">
        <v>11.0</v>
      </c>
      <c r="N75" s="133">
        <v>718.93</v>
      </c>
      <c r="O75" s="109">
        <f t="shared" si="25"/>
        <v>0.6108383292</v>
      </c>
      <c r="P75" s="110">
        <f t="shared" si="5"/>
        <v>1.637094387</v>
      </c>
      <c r="Q75" s="109">
        <f t="shared" si="6"/>
        <v>0.1698405823</v>
      </c>
      <c r="R75" s="111">
        <f t="shared" si="7"/>
        <v>0.2780450639</v>
      </c>
      <c r="S75" s="134">
        <f t="shared" si="24"/>
        <v>1866.73</v>
      </c>
      <c r="T75" s="113">
        <f t="shared" si="9"/>
        <v>39.92272727</v>
      </c>
      <c r="U75" s="114"/>
      <c r="V75" s="114"/>
      <c r="W75" s="114"/>
      <c r="X75" s="114"/>
      <c r="Y75" s="115"/>
      <c r="Z75" s="98"/>
      <c r="AA75" s="98"/>
    </row>
    <row r="76" hidden="1" outlineLevel="1">
      <c r="A76" s="98"/>
      <c r="B76" s="116"/>
      <c r="C76" s="100" t="s">
        <v>42</v>
      </c>
      <c r="D76" s="120">
        <v>39.98</v>
      </c>
      <c r="E76" s="102"/>
      <c r="F76" s="103">
        <v>2.0</v>
      </c>
      <c r="G76" s="103">
        <v>3.0</v>
      </c>
      <c r="H76" s="104">
        <f t="shared" si="1"/>
        <v>0.6666666667</v>
      </c>
      <c r="I76" s="105">
        <f t="shared" si="2"/>
        <v>19.99</v>
      </c>
      <c r="J76" s="106">
        <f t="shared" si="3"/>
        <v>29.985</v>
      </c>
      <c r="K76" s="120">
        <v>315.74</v>
      </c>
      <c r="L76" s="103">
        <v>83987.0</v>
      </c>
      <c r="M76" s="103">
        <v>1.0</v>
      </c>
      <c r="N76" s="121">
        <v>19.99</v>
      </c>
      <c r="O76" s="109">
        <f t="shared" si="25"/>
        <v>15.79489745</v>
      </c>
      <c r="P76" s="110">
        <f t="shared" si="5"/>
        <v>0.06331158548</v>
      </c>
      <c r="Q76" s="109">
        <f t="shared" si="6"/>
        <v>7.897448724</v>
      </c>
      <c r="R76" s="111">
        <f t="shared" si="7"/>
        <v>0.5</v>
      </c>
      <c r="S76" s="122">
        <f t="shared" si="24"/>
        <v>19.99</v>
      </c>
      <c r="T76" s="113">
        <f t="shared" si="9"/>
        <v>315.74</v>
      </c>
      <c r="U76" s="114"/>
      <c r="V76" s="114"/>
      <c r="W76" s="114"/>
      <c r="X76" s="114"/>
      <c r="Y76" s="115"/>
      <c r="Z76" s="98"/>
      <c r="AA76" s="98"/>
    </row>
    <row r="77" hidden="1" outlineLevel="1">
      <c r="A77" s="98"/>
      <c r="B77" s="116"/>
      <c r="C77" s="100" t="s">
        <v>43</v>
      </c>
      <c r="D77" s="135">
        <v>599.8</v>
      </c>
      <c r="E77" s="102"/>
      <c r="F77" s="103">
        <v>5.0</v>
      </c>
      <c r="G77" s="103">
        <v>6.0</v>
      </c>
      <c r="H77" s="104">
        <f t="shared" si="1"/>
        <v>0.8333333333</v>
      </c>
      <c r="I77" s="105">
        <f t="shared" si="2"/>
        <v>119.96</v>
      </c>
      <c r="J77" s="106">
        <f t="shared" si="3"/>
        <v>143.952</v>
      </c>
      <c r="K77" s="135">
        <v>78.62</v>
      </c>
      <c r="L77" s="103">
        <v>6710.0</v>
      </c>
      <c r="M77" s="103">
        <v>1.0</v>
      </c>
      <c r="N77" s="136">
        <v>0.0</v>
      </c>
      <c r="O77" s="109" t="str">
        <f t="shared" si="25"/>
        <v>#DIV/0!</v>
      </c>
      <c r="P77" s="110">
        <f t="shared" si="5"/>
        <v>0</v>
      </c>
      <c r="Q77" s="109">
        <f t="shared" si="6"/>
        <v>0.1310770257</v>
      </c>
      <c r="R77" s="111">
        <f t="shared" si="7"/>
        <v>0</v>
      </c>
      <c r="S77" s="137">
        <f t="shared" si="24"/>
        <v>599.8</v>
      </c>
      <c r="T77" s="113">
        <f t="shared" si="9"/>
        <v>78.62</v>
      </c>
      <c r="U77" s="114"/>
      <c r="V77" s="114"/>
      <c r="W77" s="114"/>
      <c r="X77" s="114"/>
      <c r="Y77" s="115"/>
      <c r="Z77" s="98"/>
      <c r="AA77" s="98"/>
    </row>
    <row r="78" hidden="1" outlineLevel="1">
      <c r="A78" s="98"/>
      <c r="B78" s="116"/>
      <c r="C78" s="100" t="s">
        <v>44</v>
      </c>
      <c r="D78" s="138">
        <v>183.85</v>
      </c>
      <c r="E78" s="102"/>
      <c r="F78" s="103">
        <v>3.0</v>
      </c>
      <c r="G78" s="103">
        <v>5.0</v>
      </c>
      <c r="H78" s="104">
        <f t="shared" si="1"/>
        <v>0.6</v>
      </c>
      <c r="I78" s="105">
        <f t="shared" si="2"/>
        <v>61.28333333</v>
      </c>
      <c r="J78" s="106">
        <f t="shared" si="3"/>
        <v>102.1388889</v>
      </c>
      <c r="K78" s="138">
        <v>97.43</v>
      </c>
      <c r="L78" s="103">
        <v>54420.0</v>
      </c>
      <c r="M78" s="103">
        <v>4.0</v>
      </c>
      <c r="N78" s="139">
        <v>239.8</v>
      </c>
      <c r="O78" s="109">
        <f t="shared" si="25"/>
        <v>0.4062969141</v>
      </c>
      <c r="P78" s="110">
        <f t="shared" si="5"/>
        <v>2.461254234</v>
      </c>
      <c r="Q78" s="109">
        <f t="shared" si="6"/>
        <v>0.5299428882</v>
      </c>
      <c r="R78" s="111">
        <f t="shared" si="7"/>
        <v>1.304324177</v>
      </c>
      <c r="S78" s="140">
        <f t="shared" si="24"/>
        <v>-55.95</v>
      </c>
      <c r="T78" s="113">
        <f t="shared" si="9"/>
        <v>24.3575</v>
      </c>
      <c r="U78" s="114"/>
      <c r="V78" s="114"/>
      <c r="W78" s="114"/>
      <c r="X78" s="114"/>
      <c r="Y78" s="115"/>
      <c r="Z78" s="98"/>
      <c r="AA78" s="98"/>
    </row>
    <row r="79" hidden="1" outlineLevel="1">
      <c r="A79" s="141"/>
      <c r="B79" s="116"/>
      <c r="C79" s="142" t="s">
        <v>45</v>
      </c>
      <c r="D79" s="101">
        <v>29.95</v>
      </c>
      <c r="E79" s="102"/>
      <c r="F79" s="103">
        <v>1.0</v>
      </c>
      <c r="G79" s="103">
        <v>1.0</v>
      </c>
      <c r="H79" s="104">
        <f t="shared" si="1"/>
        <v>1</v>
      </c>
      <c r="I79" s="105">
        <f t="shared" si="2"/>
        <v>29.95</v>
      </c>
      <c r="J79" s="106">
        <f t="shared" si="3"/>
        <v>29.95</v>
      </c>
      <c r="K79" s="101">
        <v>0.0</v>
      </c>
      <c r="L79" s="103">
        <v>0.0</v>
      </c>
      <c r="M79" s="103">
        <v>0.0</v>
      </c>
      <c r="N79" s="108">
        <v>0.0</v>
      </c>
      <c r="O79" s="109" t="str">
        <f t="shared" si="25"/>
        <v>#DIV/0!</v>
      </c>
      <c r="P79" s="110" t="str">
        <f t="shared" si="5"/>
        <v>#DIV/0!</v>
      </c>
      <c r="Q79" s="109">
        <f t="shared" si="6"/>
        <v>0</v>
      </c>
      <c r="R79" s="111">
        <f t="shared" si="7"/>
        <v>0</v>
      </c>
      <c r="S79" s="112">
        <f t="shared" si="24"/>
        <v>29.95</v>
      </c>
      <c r="T79" s="113" t="str">
        <f t="shared" si="9"/>
        <v>#DIV/0!</v>
      </c>
      <c r="U79" s="143"/>
      <c r="V79" s="143"/>
      <c r="W79" s="143"/>
      <c r="X79" s="144"/>
      <c r="Y79" s="145"/>
      <c r="Z79" s="98"/>
      <c r="AA79" s="98"/>
    </row>
    <row r="80" hidden="1" outlineLevel="1">
      <c r="A80" s="98"/>
      <c r="B80" s="116"/>
      <c r="C80" s="100" t="s">
        <v>46</v>
      </c>
      <c r="D80" s="146">
        <v>873.0</v>
      </c>
      <c r="E80" s="102"/>
      <c r="F80" s="103">
        <v>20.0</v>
      </c>
      <c r="G80" s="103">
        <v>23.0</v>
      </c>
      <c r="H80" s="104">
        <f t="shared" si="1"/>
        <v>0.8695652174</v>
      </c>
      <c r="I80" s="105">
        <f t="shared" si="2"/>
        <v>43.65</v>
      </c>
      <c r="J80" s="106">
        <f t="shared" si="3"/>
        <v>50.1975</v>
      </c>
      <c r="K80" s="146">
        <v>223.97</v>
      </c>
      <c r="L80" s="103">
        <v>52080.0</v>
      </c>
      <c r="M80" s="103">
        <v>7.0</v>
      </c>
      <c r="N80" s="147">
        <v>216.75</v>
      </c>
      <c r="O80" s="109">
        <f t="shared" si="25"/>
        <v>1.033310265</v>
      </c>
      <c r="P80" s="110">
        <f t="shared" si="5"/>
        <v>0.9677635398</v>
      </c>
      <c r="Q80" s="109">
        <f t="shared" si="6"/>
        <v>0.2565521191</v>
      </c>
      <c r="R80" s="111">
        <f t="shared" si="7"/>
        <v>0.2482817869</v>
      </c>
      <c r="S80" s="112">
        <f t="shared" si="24"/>
        <v>656.25</v>
      </c>
      <c r="T80" s="113">
        <f t="shared" si="9"/>
        <v>31.99571429</v>
      </c>
      <c r="U80" s="114"/>
      <c r="V80" s="114"/>
      <c r="W80" s="114"/>
      <c r="X80" s="114"/>
      <c r="Y80" s="115"/>
      <c r="Z80" s="98"/>
      <c r="AA80" s="98"/>
    </row>
    <row r="81" hidden="1" outlineLevel="1">
      <c r="A81" s="98"/>
      <c r="B81" s="116"/>
      <c r="C81" s="100" t="s">
        <v>47</v>
      </c>
      <c r="D81" s="117">
        <v>0.0</v>
      </c>
      <c r="E81" s="102"/>
      <c r="F81" s="103">
        <v>0.0</v>
      </c>
      <c r="G81" s="103">
        <v>0.0</v>
      </c>
      <c r="H81" s="104" t="str">
        <f t="shared" si="1"/>
        <v>#DIV/0!</v>
      </c>
      <c r="I81" s="105" t="str">
        <f t="shared" si="2"/>
        <v>#DIV/0!</v>
      </c>
      <c r="J81" s="106" t="str">
        <f t="shared" si="3"/>
        <v>#DIV/0!</v>
      </c>
      <c r="K81" s="117">
        <v>0.0</v>
      </c>
      <c r="L81" s="103">
        <v>0.0</v>
      </c>
      <c r="M81" s="103">
        <v>0.0</v>
      </c>
      <c r="N81" s="118">
        <v>0.0</v>
      </c>
      <c r="O81" s="109" t="str">
        <f t="shared" si="25"/>
        <v>#DIV/0!</v>
      </c>
      <c r="P81" s="110" t="str">
        <f t="shared" si="5"/>
        <v>#DIV/0!</v>
      </c>
      <c r="Q81" s="109" t="str">
        <f t="shared" si="6"/>
        <v>#DIV/0!</v>
      </c>
      <c r="R81" s="111" t="str">
        <f t="shared" si="7"/>
        <v>#DIV/0!</v>
      </c>
      <c r="S81" s="112">
        <f t="shared" si="24"/>
        <v>0</v>
      </c>
      <c r="T81" s="113" t="str">
        <f t="shared" si="9"/>
        <v>#DIV/0!</v>
      </c>
      <c r="U81" s="114"/>
      <c r="V81" s="114"/>
      <c r="W81" s="114"/>
      <c r="X81" s="114"/>
      <c r="Y81" s="115"/>
      <c r="Z81" s="98"/>
      <c r="AA81" s="98"/>
    </row>
    <row r="82" hidden="1" outlineLevel="1">
      <c r="A82" s="98"/>
      <c r="B82" s="116"/>
      <c r="C82" s="100" t="s">
        <v>48</v>
      </c>
      <c r="D82" s="132">
        <v>3625.99</v>
      </c>
      <c r="E82" s="102"/>
      <c r="F82" s="103">
        <v>16.0</v>
      </c>
      <c r="G82" s="103">
        <v>19.0</v>
      </c>
      <c r="H82" s="104">
        <f t="shared" si="1"/>
        <v>0.8421052632</v>
      </c>
      <c r="I82" s="105">
        <f t="shared" si="2"/>
        <v>226.624375</v>
      </c>
      <c r="J82" s="106">
        <f t="shared" si="3"/>
        <v>269.1164453</v>
      </c>
      <c r="K82" s="132">
        <v>562.12</v>
      </c>
      <c r="L82" s="103">
        <v>46453.0</v>
      </c>
      <c r="M82" s="103">
        <v>9.0</v>
      </c>
      <c r="N82" s="133">
        <v>1839.6</v>
      </c>
      <c r="O82" s="109">
        <f t="shared" si="25"/>
        <v>0.3055664275</v>
      </c>
      <c r="P82" s="110">
        <f t="shared" si="5"/>
        <v>3.27261083</v>
      </c>
      <c r="Q82" s="109">
        <f t="shared" si="6"/>
        <v>0.1550252483</v>
      </c>
      <c r="R82" s="111">
        <f t="shared" si="7"/>
        <v>0.5073373065</v>
      </c>
      <c r="S82" s="112">
        <f t="shared" si="24"/>
        <v>1786.39</v>
      </c>
      <c r="T82" s="113">
        <f t="shared" si="9"/>
        <v>62.45777778</v>
      </c>
      <c r="U82" s="114"/>
      <c r="V82" s="114"/>
      <c r="W82" s="114"/>
      <c r="X82" s="114"/>
      <c r="Y82" s="115"/>
      <c r="Z82" s="98"/>
      <c r="AA82" s="98"/>
    </row>
    <row r="83" hidden="1" outlineLevel="1">
      <c r="A83" s="148" t="str">
        <f t="shared" ref="A83:A84" si="26">iferror(if(B83&gt;0,month(B83)&amp;"-"&amp;year(B83),B83),)</f>
        <v>1-2026</v>
      </c>
      <c r="B83" s="99">
        <v>46039.0</v>
      </c>
      <c r="C83" s="100" t="s">
        <v>49</v>
      </c>
      <c r="D83" s="146">
        <v>156.0</v>
      </c>
      <c r="E83" s="102"/>
      <c r="F83" s="103">
        <v>3.0</v>
      </c>
      <c r="G83" s="103">
        <v>3.0</v>
      </c>
      <c r="H83" s="104">
        <f t="shared" si="1"/>
        <v>1</v>
      </c>
      <c r="I83" s="105">
        <f t="shared" si="2"/>
        <v>52</v>
      </c>
      <c r="J83" s="106">
        <f t="shared" si="3"/>
        <v>52</v>
      </c>
      <c r="K83" s="146">
        <v>9.36</v>
      </c>
      <c r="L83" s="103">
        <v>9962.0</v>
      </c>
      <c r="M83" s="103">
        <v>2.0</v>
      </c>
      <c r="N83" s="147">
        <v>0.0</v>
      </c>
      <c r="O83" s="109" t="str">
        <f t="shared" si="25"/>
        <v>#DIV/0!</v>
      </c>
      <c r="P83" s="110">
        <f t="shared" si="5"/>
        <v>0</v>
      </c>
      <c r="Q83" s="109">
        <f t="shared" si="6"/>
        <v>0.06</v>
      </c>
      <c r="R83" s="111">
        <f t="shared" si="7"/>
        <v>0</v>
      </c>
      <c r="S83" s="112">
        <f t="shared" si="24"/>
        <v>156</v>
      </c>
      <c r="T83" s="113">
        <f t="shared" si="9"/>
        <v>4.68</v>
      </c>
      <c r="U83" s="114"/>
      <c r="V83" s="114"/>
      <c r="W83" s="114"/>
      <c r="X83" s="114"/>
      <c r="Y83" s="115"/>
      <c r="Z83" s="98"/>
      <c r="AA83" s="98"/>
    </row>
    <row r="84" collapsed="1">
      <c r="A84" s="98" t="str">
        <f t="shared" si="26"/>
        <v/>
      </c>
      <c r="B84" s="149" t="s">
        <v>53</v>
      </c>
      <c r="C84" s="150"/>
      <c r="D84" s="151">
        <f>SUM(D67:D83)</f>
        <v>16516.22</v>
      </c>
      <c r="E84" s="152"/>
      <c r="F84" s="153">
        <f t="shared" ref="F84:G84" si="27">SUM(F67:F83)</f>
        <v>201</v>
      </c>
      <c r="G84" s="153">
        <f t="shared" si="27"/>
        <v>230</v>
      </c>
      <c r="H84" s="154">
        <f t="shared" si="1"/>
        <v>0.8739130435</v>
      </c>
      <c r="I84" s="155">
        <f t="shared" si="2"/>
        <v>82.17024876</v>
      </c>
      <c r="J84" s="156">
        <f t="shared" si="3"/>
        <v>94.02565778</v>
      </c>
      <c r="K84" s="151">
        <f t="shared" ref="K84:N84" si="28">SUM(K67:K83)</f>
        <v>3591.42</v>
      </c>
      <c r="L84" s="153">
        <f t="shared" si="28"/>
        <v>823615</v>
      </c>
      <c r="M84" s="153">
        <f t="shared" si="28"/>
        <v>83</v>
      </c>
      <c r="N84" s="157">
        <f t="shared" si="28"/>
        <v>6673.57</v>
      </c>
      <c r="O84" s="158">
        <f t="shared" si="25"/>
        <v>0.5381557397</v>
      </c>
      <c r="P84" s="159">
        <f t="shared" si="5"/>
        <v>1.85819815</v>
      </c>
      <c r="Q84" s="158">
        <f t="shared" si="6"/>
        <v>0.2174480601</v>
      </c>
      <c r="R84" s="160">
        <f t="shared" si="7"/>
        <v>0.4040615831</v>
      </c>
      <c r="S84" s="161">
        <f>SUM(S67:S83)</f>
        <v>9842.65</v>
      </c>
      <c r="T84" s="162">
        <f t="shared" si="9"/>
        <v>43.27012048</v>
      </c>
      <c r="U84" s="164" t="str">
        <f>IFERROR((D84-#REF!)/D84,)</f>
        <v/>
      </c>
      <c r="V84" s="164" t="str">
        <f>IFERROR((F84-#REF!)/F84,)</f>
        <v/>
      </c>
      <c r="W84" s="164" t="str">
        <f>IFERROR((D84-#REF!)/D84, )</f>
        <v/>
      </c>
      <c r="X84" s="164" t="str">
        <f>IFERROR((F84-#REF!)/F84, )</f>
        <v/>
      </c>
      <c r="Y84" s="98"/>
      <c r="Z84" s="98"/>
      <c r="AA84" s="98"/>
    </row>
    <row r="85" hidden="1" outlineLevel="1">
      <c r="A85" s="98"/>
      <c r="B85" s="99">
        <v>46040.0</v>
      </c>
      <c r="C85" s="100" t="s">
        <v>32</v>
      </c>
      <c r="D85" s="101">
        <v>4732.63</v>
      </c>
      <c r="E85" s="102"/>
      <c r="F85" s="103">
        <v>44.0</v>
      </c>
      <c r="G85" s="103">
        <v>36.0</v>
      </c>
      <c r="H85" s="104">
        <f t="shared" si="1"/>
        <v>1.222222222</v>
      </c>
      <c r="I85" s="105">
        <f t="shared" si="2"/>
        <v>107.5597727</v>
      </c>
      <c r="J85" s="106">
        <f t="shared" si="3"/>
        <v>88.00345041</v>
      </c>
      <c r="K85" s="107">
        <v>718.79</v>
      </c>
      <c r="L85" s="103">
        <v>125856.0</v>
      </c>
      <c r="M85" s="103">
        <v>12.0</v>
      </c>
      <c r="N85" s="108">
        <v>1088.84</v>
      </c>
      <c r="O85" s="109">
        <f t="shared" si="25"/>
        <v>0.6601429044</v>
      </c>
      <c r="P85" s="110">
        <f t="shared" si="5"/>
        <v>1.514823523</v>
      </c>
      <c r="Q85" s="109">
        <f t="shared" si="6"/>
        <v>0.1518796103</v>
      </c>
      <c r="R85" s="111">
        <f t="shared" si="7"/>
        <v>0.2300708063</v>
      </c>
      <c r="S85" s="112">
        <f t="shared" ref="S85:S101" si="29">D85-N85</f>
        <v>3643.79</v>
      </c>
      <c r="T85" s="113">
        <f t="shared" si="9"/>
        <v>59.89916667</v>
      </c>
      <c r="U85" s="114"/>
      <c r="V85" s="114"/>
      <c r="W85" s="114"/>
      <c r="X85" s="114"/>
      <c r="Y85" s="115"/>
      <c r="Z85" s="98"/>
      <c r="AA85" s="98"/>
    </row>
    <row r="86" hidden="1" outlineLevel="1">
      <c r="A86" s="98"/>
      <c r="B86" s="116"/>
      <c r="C86" s="100" t="s">
        <v>33</v>
      </c>
      <c r="D86" s="117">
        <v>6276.96</v>
      </c>
      <c r="E86" s="102"/>
      <c r="F86" s="103">
        <v>90.0</v>
      </c>
      <c r="G86" s="103">
        <v>109.0</v>
      </c>
      <c r="H86" s="104">
        <f t="shared" si="1"/>
        <v>0.8256880734</v>
      </c>
      <c r="I86" s="105">
        <f t="shared" si="2"/>
        <v>69.744</v>
      </c>
      <c r="J86" s="106">
        <f t="shared" si="3"/>
        <v>84.46773333</v>
      </c>
      <c r="K86" s="117">
        <v>752.9</v>
      </c>
      <c r="L86" s="103">
        <v>151124.0</v>
      </c>
      <c r="M86" s="103">
        <v>30.0</v>
      </c>
      <c r="N86" s="118">
        <v>2897.8</v>
      </c>
      <c r="O86" s="109">
        <f t="shared" si="25"/>
        <v>0.2598177928</v>
      </c>
      <c r="P86" s="110">
        <f t="shared" si="5"/>
        <v>3.848851109</v>
      </c>
      <c r="Q86" s="109">
        <f t="shared" si="6"/>
        <v>0.1199465984</v>
      </c>
      <c r="R86" s="111">
        <f t="shared" si="7"/>
        <v>0.4616565981</v>
      </c>
      <c r="S86" s="119">
        <f t="shared" si="29"/>
        <v>3379.16</v>
      </c>
      <c r="T86" s="113">
        <f t="shared" si="9"/>
        <v>25.09666667</v>
      </c>
      <c r="U86" s="114"/>
      <c r="V86" s="114"/>
      <c r="W86" s="114"/>
      <c r="X86" s="114"/>
      <c r="Y86" s="115"/>
      <c r="Z86" s="98"/>
      <c r="AA86" s="98"/>
    </row>
    <row r="87" hidden="1" outlineLevel="1">
      <c r="A87" s="98"/>
      <c r="B87" s="116"/>
      <c r="C87" s="100" t="s">
        <v>34</v>
      </c>
      <c r="D87" s="120">
        <v>209.85</v>
      </c>
      <c r="E87" s="102"/>
      <c r="F87" s="103">
        <v>3.0</v>
      </c>
      <c r="G87" s="103">
        <v>2.0</v>
      </c>
      <c r="H87" s="104">
        <f t="shared" si="1"/>
        <v>1.5</v>
      </c>
      <c r="I87" s="105">
        <f t="shared" si="2"/>
        <v>69.95</v>
      </c>
      <c r="J87" s="106">
        <f t="shared" si="3"/>
        <v>46.63333333</v>
      </c>
      <c r="K87" s="120">
        <v>0.0</v>
      </c>
      <c r="L87" s="103">
        <v>295.0</v>
      </c>
      <c r="M87" s="103">
        <v>0.0</v>
      </c>
      <c r="N87" s="121">
        <v>0.0</v>
      </c>
      <c r="O87" s="109" t="str">
        <f>(K87/N87)</f>
        <v>#DIV/0!</v>
      </c>
      <c r="P87" s="110" t="str">
        <f t="shared" si="5"/>
        <v>#DIV/0!</v>
      </c>
      <c r="Q87" s="109">
        <f t="shared" si="6"/>
        <v>0</v>
      </c>
      <c r="R87" s="111">
        <f t="shared" si="7"/>
        <v>0</v>
      </c>
      <c r="S87" s="122">
        <f t="shared" si="29"/>
        <v>209.85</v>
      </c>
      <c r="T87" s="113" t="str">
        <f t="shared" si="9"/>
        <v>#DIV/0!</v>
      </c>
      <c r="U87" s="114"/>
      <c r="V87" s="114"/>
      <c r="W87" s="114"/>
      <c r="X87" s="114"/>
      <c r="Y87" s="115"/>
      <c r="Z87" s="98"/>
      <c r="AA87" s="98"/>
    </row>
    <row r="88" hidden="1" outlineLevel="1">
      <c r="A88" s="98"/>
      <c r="B88" s="116"/>
      <c r="C88" s="100" t="s">
        <v>35</v>
      </c>
      <c r="D88" s="120">
        <v>0.0</v>
      </c>
      <c r="E88" s="102"/>
      <c r="F88" s="103">
        <v>0.0</v>
      </c>
      <c r="G88" s="103">
        <v>1.0</v>
      </c>
      <c r="H88" s="104">
        <f t="shared" si="1"/>
        <v>0</v>
      </c>
      <c r="I88" s="105" t="str">
        <f t="shared" si="2"/>
        <v>#DIV/0!</v>
      </c>
      <c r="J88" s="106" t="str">
        <f t="shared" si="3"/>
        <v>#DIV/0!</v>
      </c>
      <c r="K88" s="120">
        <v>398.73</v>
      </c>
      <c r="L88" s="103">
        <v>26769.0</v>
      </c>
      <c r="M88" s="103">
        <v>2.0</v>
      </c>
      <c r="N88" s="121">
        <v>119.9</v>
      </c>
      <c r="O88" s="109">
        <f t="shared" ref="O88:O104" si="30">K88/N88</f>
        <v>3.325521268</v>
      </c>
      <c r="P88" s="110">
        <f t="shared" si="5"/>
        <v>0.3007047375</v>
      </c>
      <c r="Q88" s="109" t="str">
        <f t="shared" si="6"/>
        <v>#DIV/0!</v>
      </c>
      <c r="R88" s="111" t="str">
        <f t="shared" si="7"/>
        <v>#DIV/0!</v>
      </c>
      <c r="S88" s="122">
        <f t="shared" si="29"/>
        <v>-119.9</v>
      </c>
      <c r="T88" s="113">
        <f t="shared" si="9"/>
        <v>199.365</v>
      </c>
      <c r="U88" s="114"/>
      <c r="V88" s="114"/>
      <c r="W88" s="114"/>
      <c r="X88" s="114"/>
      <c r="Y88" s="115"/>
      <c r="Z88" s="98"/>
      <c r="AA88" s="98"/>
    </row>
    <row r="89" hidden="1" outlineLevel="1">
      <c r="A89" s="98"/>
      <c r="B89" s="116"/>
      <c r="C89" s="100" t="s">
        <v>36</v>
      </c>
      <c r="D89" s="120">
        <v>139.9</v>
      </c>
      <c r="E89" s="102"/>
      <c r="F89" s="103">
        <v>2.0</v>
      </c>
      <c r="G89" s="103">
        <v>2.0</v>
      </c>
      <c r="H89" s="104">
        <f t="shared" si="1"/>
        <v>1</v>
      </c>
      <c r="I89" s="105">
        <f t="shared" si="2"/>
        <v>69.95</v>
      </c>
      <c r="J89" s="106">
        <f t="shared" si="3"/>
        <v>69.95</v>
      </c>
      <c r="K89" s="120">
        <v>62.63</v>
      </c>
      <c r="L89" s="103">
        <v>21148.0</v>
      </c>
      <c r="M89" s="103">
        <v>3.0</v>
      </c>
      <c r="N89" s="121">
        <v>179.85</v>
      </c>
      <c r="O89" s="109">
        <f t="shared" si="30"/>
        <v>0.34823464</v>
      </c>
      <c r="P89" s="110">
        <f t="shared" si="5"/>
        <v>2.871627016</v>
      </c>
      <c r="Q89" s="109">
        <f t="shared" si="6"/>
        <v>0.4476769121</v>
      </c>
      <c r="R89" s="111">
        <f t="shared" si="7"/>
        <v>1.285561115</v>
      </c>
      <c r="S89" s="122">
        <f t="shared" si="29"/>
        <v>-39.95</v>
      </c>
      <c r="T89" s="113">
        <f t="shared" si="9"/>
        <v>20.87666667</v>
      </c>
      <c r="U89" s="114"/>
      <c r="V89" s="114"/>
      <c r="W89" s="114"/>
      <c r="X89" s="114"/>
      <c r="Y89" s="115"/>
      <c r="Z89" s="98"/>
      <c r="AA89" s="98"/>
    </row>
    <row r="90" hidden="1" outlineLevel="1">
      <c r="A90" s="98"/>
      <c r="B90" s="99" t="s">
        <v>37</v>
      </c>
      <c r="C90" s="100" t="s">
        <v>38</v>
      </c>
      <c r="D90" s="123">
        <v>0.0</v>
      </c>
      <c r="E90" s="102"/>
      <c r="F90" s="103">
        <v>0.0</v>
      </c>
      <c r="G90" s="103">
        <v>0.0</v>
      </c>
      <c r="H90" s="104" t="str">
        <f t="shared" si="1"/>
        <v>#DIV/0!</v>
      </c>
      <c r="I90" s="105" t="str">
        <f t="shared" si="2"/>
        <v>#DIV/0!</v>
      </c>
      <c r="J90" s="106" t="str">
        <f t="shared" si="3"/>
        <v>#DIV/0!</v>
      </c>
      <c r="K90" s="123">
        <v>21.15</v>
      </c>
      <c r="L90" s="103">
        <v>38434.0</v>
      </c>
      <c r="M90" s="103">
        <v>0.0</v>
      </c>
      <c r="N90" s="124">
        <v>0.0</v>
      </c>
      <c r="O90" s="109" t="str">
        <f t="shared" si="30"/>
        <v>#DIV/0!</v>
      </c>
      <c r="P90" s="110">
        <f t="shared" si="5"/>
        <v>0</v>
      </c>
      <c r="Q90" s="109" t="str">
        <f t="shared" si="6"/>
        <v>#DIV/0!</v>
      </c>
      <c r="R90" s="111" t="str">
        <f t="shared" si="7"/>
        <v>#DIV/0!</v>
      </c>
      <c r="S90" s="125">
        <f t="shared" si="29"/>
        <v>0</v>
      </c>
      <c r="T90" s="113" t="str">
        <f t="shared" si="9"/>
        <v>#DIV/0!</v>
      </c>
      <c r="U90" s="114"/>
      <c r="V90" s="114"/>
      <c r="W90" s="114"/>
      <c r="X90" s="114"/>
      <c r="Y90" s="115"/>
      <c r="Z90" s="98"/>
      <c r="AA90" s="98"/>
    </row>
    <row r="91" hidden="1" outlineLevel="1">
      <c r="A91" s="98"/>
      <c r="B91" s="116"/>
      <c r="C91" s="100" t="s">
        <v>39</v>
      </c>
      <c r="D91" s="126">
        <v>0.0</v>
      </c>
      <c r="E91" s="102"/>
      <c r="F91" s="103">
        <v>0.0</v>
      </c>
      <c r="G91" s="103">
        <v>0.0</v>
      </c>
      <c r="H91" s="104" t="str">
        <f t="shared" si="1"/>
        <v>#DIV/0!</v>
      </c>
      <c r="I91" s="105" t="str">
        <f t="shared" si="2"/>
        <v>#DIV/0!</v>
      </c>
      <c r="J91" s="106" t="str">
        <f t="shared" si="3"/>
        <v>#DIV/0!</v>
      </c>
      <c r="K91" s="126">
        <v>0.0</v>
      </c>
      <c r="L91" s="103">
        <v>0.0</v>
      </c>
      <c r="M91" s="103">
        <v>0.0</v>
      </c>
      <c r="N91" s="127">
        <v>0.0</v>
      </c>
      <c r="O91" s="109" t="str">
        <f t="shared" si="30"/>
        <v>#DIV/0!</v>
      </c>
      <c r="P91" s="110" t="str">
        <f t="shared" si="5"/>
        <v>#DIV/0!</v>
      </c>
      <c r="Q91" s="109" t="str">
        <f t="shared" si="6"/>
        <v>#DIV/0!</v>
      </c>
      <c r="R91" s="111" t="str">
        <f t="shared" si="7"/>
        <v>#DIV/0!</v>
      </c>
      <c r="S91" s="128">
        <f t="shared" si="29"/>
        <v>0</v>
      </c>
      <c r="T91" s="113" t="str">
        <f t="shared" si="9"/>
        <v>#DIV/0!</v>
      </c>
      <c r="U91" s="114"/>
      <c r="V91" s="114"/>
      <c r="W91" s="114"/>
      <c r="X91" s="114"/>
      <c r="Y91" s="115"/>
      <c r="Z91" s="98"/>
      <c r="AA91" s="98"/>
    </row>
    <row r="92" hidden="1" outlineLevel="1">
      <c r="A92" s="98"/>
      <c r="B92" s="116"/>
      <c r="C92" s="100" t="s">
        <v>40</v>
      </c>
      <c r="D92" s="129">
        <v>0.0</v>
      </c>
      <c r="E92" s="102"/>
      <c r="F92" s="103">
        <v>0.0</v>
      </c>
      <c r="G92" s="103">
        <v>0.0</v>
      </c>
      <c r="H92" s="104" t="str">
        <f t="shared" si="1"/>
        <v>#DIV/0!</v>
      </c>
      <c r="I92" s="105" t="str">
        <f t="shared" si="2"/>
        <v>#DIV/0!</v>
      </c>
      <c r="J92" s="106" t="str">
        <f t="shared" si="3"/>
        <v>#DIV/0!</v>
      </c>
      <c r="K92" s="129">
        <v>0.0</v>
      </c>
      <c r="L92" s="103">
        <v>0.0</v>
      </c>
      <c r="M92" s="103">
        <v>0.0</v>
      </c>
      <c r="N92" s="130">
        <v>0.0</v>
      </c>
      <c r="O92" s="109" t="str">
        <f t="shared" si="30"/>
        <v>#DIV/0!</v>
      </c>
      <c r="P92" s="110" t="str">
        <f t="shared" si="5"/>
        <v>#DIV/0!</v>
      </c>
      <c r="Q92" s="109" t="str">
        <f t="shared" si="6"/>
        <v>#DIV/0!</v>
      </c>
      <c r="R92" s="111" t="str">
        <f t="shared" si="7"/>
        <v>#DIV/0!</v>
      </c>
      <c r="S92" s="131">
        <f t="shared" si="29"/>
        <v>0</v>
      </c>
      <c r="T92" s="113" t="str">
        <f t="shared" si="9"/>
        <v>#DIV/0!</v>
      </c>
      <c r="U92" s="114"/>
      <c r="V92" s="114"/>
      <c r="W92" s="114"/>
      <c r="X92" s="114"/>
      <c r="Y92" s="115"/>
      <c r="Z92" s="98"/>
      <c r="AA92" s="98"/>
    </row>
    <row r="93" hidden="1" outlineLevel="1">
      <c r="A93" s="98"/>
      <c r="B93" s="116"/>
      <c r="C93" s="100" t="s">
        <v>41</v>
      </c>
      <c r="D93" s="132">
        <v>2291.4</v>
      </c>
      <c r="E93" s="102"/>
      <c r="F93" s="103">
        <v>33.0</v>
      </c>
      <c r="G93" s="103">
        <v>33.0</v>
      </c>
      <c r="H93" s="104">
        <f t="shared" si="1"/>
        <v>1</v>
      </c>
      <c r="I93" s="105">
        <f t="shared" si="2"/>
        <v>69.43636364</v>
      </c>
      <c r="J93" s="106">
        <f t="shared" si="3"/>
        <v>69.43636364</v>
      </c>
      <c r="K93" s="132">
        <v>421.66</v>
      </c>
      <c r="L93" s="103">
        <v>40683.0</v>
      </c>
      <c r="M93" s="103">
        <v>14.0</v>
      </c>
      <c r="N93" s="133">
        <v>829.86</v>
      </c>
      <c r="O93" s="109">
        <f t="shared" si="30"/>
        <v>0.5081098017</v>
      </c>
      <c r="P93" s="110">
        <f t="shared" si="5"/>
        <v>1.968078547</v>
      </c>
      <c r="Q93" s="109">
        <f t="shared" si="6"/>
        <v>0.184018504</v>
      </c>
      <c r="R93" s="111">
        <f t="shared" si="7"/>
        <v>0.3621628699</v>
      </c>
      <c r="S93" s="134">
        <f t="shared" si="29"/>
        <v>1461.54</v>
      </c>
      <c r="T93" s="113">
        <f t="shared" si="9"/>
        <v>30.11857143</v>
      </c>
      <c r="U93" s="114"/>
      <c r="V93" s="114"/>
      <c r="W93" s="114"/>
      <c r="X93" s="114"/>
      <c r="Y93" s="115"/>
      <c r="Z93" s="98"/>
      <c r="AA93" s="98"/>
    </row>
    <row r="94" hidden="1" outlineLevel="1">
      <c r="A94" s="98"/>
      <c r="B94" s="116"/>
      <c r="C94" s="100" t="s">
        <v>42</v>
      </c>
      <c r="D94" s="120">
        <v>159.92</v>
      </c>
      <c r="E94" s="102"/>
      <c r="F94" s="103">
        <v>8.0</v>
      </c>
      <c r="G94" s="103">
        <v>3.0</v>
      </c>
      <c r="H94" s="104">
        <f t="shared" si="1"/>
        <v>2.666666667</v>
      </c>
      <c r="I94" s="105">
        <f t="shared" si="2"/>
        <v>19.99</v>
      </c>
      <c r="J94" s="106">
        <f t="shared" si="3"/>
        <v>7.49625</v>
      </c>
      <c r="K94" s="120">
        <v>367.68</v>
      </c>
      <c r="L94" s="103">
        <v>80649.0</v>
      </c>
      <c r="M94" s="103">
        <v>2.0</v>
      </c>
      <c r="N94" s="121">
        <v>39.98</v>
      </c>
      <c r="O94" s="109">
        <f t="shared" si="30"/>
        <v>9.196598299</v>
      </c>
      <c r="P94" s="110">
        <f t="shared" si="5"/>
        <v>0.1087358573</v>
      </c>
      <c r="Q94" s="109">
        <f t="shared" si="6"/>
        <v>2.299149575</v>
      </c>
      <c r="R94" s="111">
        <f t="shared" si="7"/>
        <v>0.25</v>
      </c>
      <c r="S94" s="122">
        <f t="shared" si="29"/>
        <v>119.94</v>
      </c>
      <c r="T94" s="113">
        <f t="shared" si="9"/>
        <v>183.84</v>
      </c>
      <c r="U94" s="114"/>
      <c r="V94" s="114"/>
      <c r="W94" s="114"/>
      <c r="X94" s="114"/>
      <c r="Y94" s="115"/>
      <c r="Z94" s="98"/>
      <c r="AA94" s="98"/>
    </row>
    <row r="95" hidden="1" outlineLevel="1">
      <c r="A95" s="98"/>
      <c r="B95" s="116"/>
      <c r="C95" s="100" t="s">
        <v>43</v>
      </c>
      <c r="D95" s="135">
        <v>1245.6</v>
      </c>
      <c r="E95" s="102"/>
      <c r="F95" s="103">
        <v>10.0</v>
      </c>
      <c r="G95" s="103">
        <v>11.0</v>
      </c>
      <c r="H95" s="104">
        <f t="shared" si="1"/>
        <v>0.9090909091</v>
      </c>
      <c r="I95" s="105">
        <f t="shared" si="2"/>
        <v>124.56</v>
      </c>
      <c r="J95" s="106">
        <f t="shared" si="3"/>
        <v>137.016</v>
      </c>
      <c r="K95" s="135">
        <v>46.96</v>
      </c>
      <c r="L95" s="103">
        <v>7099.0</v>
      </c>
      <c r="M95" s="103">
        <v>4.0</v>
      </c>
      <c r="N95" s="136">
        <v>205.95</v>
      </c>
      <c r="O95" s="109">
        <f t="shared" si="30"/>
        <v>0.2280165089</v>
      </c>
      <c r="P95" s="110">
        <f t="shared" si="5"/>
        <v>4.385647359</v>
      </c>
      <c r="Q95" s="109">
        <f t="shared" si="6"/>
        <v>0.03770070649</v>
      </c>
      <c r="R95" s="111">
        <f t="shared" si="7"/>
        <v>0.1653420039</v>
      </c>
      <c r="S95" s="137">
        <f t="shared" si="29"/>
        <v>1039.65</v>
      </c>
      <c r="T95" s="113">
        <f t="shared" si="9"/>
        <v>11.74</v>
      </c>
      <c r="U95" s="114"/>
      <c r="V95" s="114"/>
      <c r="W95" s="114"/>
      <c r="X95" s="114"/>
      <c r="Y95" s="115"/>
      <c r="Z95" s="98"/>
      <c r="AA95" s="98"/>
    </row>
    <row r="96" hidden="1" outlineLevel="1">
      <c r="A96" s="98"/>
      <c r="B96" s="116"/>
      <c r="C96" s="100" t="s">
        <v>44</v>
      </c>
      <c r="D96" s="138">
        <v>179.85</v>
      </c>
      <c r="E96" s="102"/>
      <c r="F96" s="103">
        <v>3.0</v>
      </c>
      <c r="G96" s="103">
        <v>4.0</v>
      </c>
      <c r="H96" s="104">
        <f t="shared" si="1"/>
        <v>0.75</v>
      </c>
      <c r="I96" s="105">
        <f t="shared" si="2"/>
        <v>59.95</v>
      </c>
      <c r="J96" s="106">
        <f t="shared" si="3"/>
        <v>79.93333333</v>
      </c>
      <c r="K96" s="138">
        <v>66.07</v>
      </c>
      <c r="L96" s="103">
        <v>45813.0</v>
      </c>
      <c r="M96" s="103">
        <v>1.0</v>
      </c>
      <c r="N96" s="139">
        <v>59.95</v>
      </c>
      <c r="O96" s="109">
        <f t="shared" si="30"/>
        <v>1.102085071</v>
      </c>
      <c r="P96" s="110">
        <f t="shared" si="5"/>
        <v>0.9073709702</v>
      </c>
      <c r="Q96" s="109">
        <f t="shared" si="6"/>
        <v>0.3673616903</v>
      </c>
      <c r="R96" s="111">
        <f t="shared" si="7"/>
        <v>0.3333333333</v>
      </c>
      <c r="S96" s="140">
        <f t="shared" si="29"/>
        <v>119.9</v>
      </c>
      <c r="T96" s="113">
        <f t="shared" si="9"/>
        <v>66.07</v>
      </c>
      <c r="U96" s="114"/>
      <c r="V96" s="114"/>
      <c r="W96" s="114"/>
      <c r="X96" s="114"/>
      <c r="Y96" s="115"/>
      <c r="Z96" s="98"/>
      <c r="AA96" s="98"/>
    </row>
    <row r="97" hidden="1" outlineLevel="1">
      <c r="A97" s="141"/>
      <c r="B97" s="116"/>
      <c r="C97" s="142" t="s">
        <v>45</v>
      </c>
      <c r="D97" s="101">
        <v>0.0</v>
      </c>
      <c r="E97" s="102"/>
      <c r="F97" s="103">
        <v>0.0</v>
      </c>
      <c r="G97" s="103">
        <v>0.0</v>
      </c>
      <c r="H97" s="104" t="str">
        <f t="shared" si="1"/>
        <v>#DIV/0!</v>
      </c>
      <c r="I97" s="105" t="str">
        <f t="shared" si="2"/>
        <v>#DIV/0!</v>
      </c>
      <c r="J97" s="106" t="str">
        <f t="shared" si="3"/>
        <v>#DIV/0!</v>
      </c>
      <c r="K97" s="101">
        <v>0.0</v>
      </c>
      <c r="L97" s="103">
        <v>0.0</v>
      </c>
      <c r="M97" s="103">
        <v>0.0</v>
      </c>
      <c r="N97" s="108">
        <v>0.0</v>
      </c>
      <c r="O97" s="109" t="str">
        <f t="shared" si="30"/>
        <v>#DIV/0!</v>
      </c>
      <c r="P97" s="110" t="str">
        <f t="shared" si="5"/>
        <v>#DIV/0!</v>
      </c>
      <c r="Q97" s="109" t="str">
        <f t="shared" si="6"/>
        <v>#DIV/0!</v>
      </c>
      <c r="R97" s="111" t="str">
        <f t="shared" si="7"/>
        <v>#DIV/0!</v>
      </c>
      <c r="S97" s="112">
        <f t="shared" si="29"/>
        <v>0</v>
      </c>
      <c r="T97" s="113" t="str">
        <f t="shared" si="9"/>
        <v>#DIV/0!</v>
      </c>
      <c r="U97" s="143"/>
      <c r="V97" s="143"/>
      <c r="W97" s="143"/>
      <c r="X97" s="144"/>
      <c r="Y97" s="145"/>
      <c r="Z97" s="98"/>
      <c r="AA97" s="98"/>
    </row>
    <row r="98" hidden="1" outlineLevel="1">
      <c r="A98" s="98"/>
      <c r="B98" s="116"/>
      <c r="C98" s="100" t="s">
        <v>46</v>
      </c>
      <c r="D98" s="146">
        <v>1186.24</v>
      </c>
      <c r="E98" s="102"/>
      <c r="F98" s="103">
        <v>27.0</v>
      </c>
      <c r="G98" s="103">
        <v>29.0</v>
      </c>
      <c r="H98" s="104">
        <f t="shared" si="1"/>
        <v>0.9310344828</v>
      </c>
      <c r="I98" s="105">
        <f t="shared" si="2"/>
        <v>43.93481481</v>
      </c>
      <c r="J98" s="106">
        <f t="shared" si="3"/>
        <v>47.18924554</v>
      </c>
      <c r="K98" s="146">
        <v>179.59</v>
      </c>
      <c r="L98" s="103">
        <v>48414.0</v>
      </c>
      <c r="M98" s="103">
        <v>8.0</v>
      </c>
      <c r="N98" s="147">
        <v>259.7</v>
      </c>
      <c r="O98" s="109">
        <f t="shared" si="30"/>
        <v>0.6915286869</v>
      </c>
      <c r="P98" s="110">
        <f t="shared" si="5"/>
        <v>1.446071608</v>
      </c>
      <c r="Q98" s="109">
        <f t="shared" si="6"/>
        <v>0.1513943216</v>
      </c>
      <c r="R98" s="111">
        <f t="shared" si="7"/>
        <v>0.2189270299</v>
      </c>
      <c r="S98" s="112">
        <f t="shared" si="29"/>
        <v>926.54</v>
      </c>
      <c r="T98" s="113">
        <f t="shared" si="9"/>
        <v>22.44875</v>
      </c>
      <c r="U98" s="114"/>
      <c r="V98" s="114"/>
      <c r="W98" s="114"/>
      <c r="X98" s="114"/>
      <c r="Y98" s="115"/>
      <c r="Z98" s="98"/>
      <c r="AA98" s="98"/>
    </row>
    <row r="99" hidden="1" outlineLevel="1">
      <c r="A99" s="98"/>
      <c r="B99" s="116"/>
      <c r="C99" s="100" t="s">
        <v>47</v>
      </c>
      <c r="D99" s="117">
        <v>-29.95</v>
      </c>
      <c r="E99" s="102"/>
      <c r="F99" s="103">
        <v>-1.0</v>
      </c>
      <c r="G99" s="103">
        <v>0.0</v>
      </c>
      <c r="H99" s="104" t="str">
        <f t="shared" si="1"/>
        <v>#DIV/0!</v>
      </c>
      <c r="I99" s="105">
        <f t="shared" si="2"/>
        <v>29.95</v>
      </c>
      <c r="J99" s="106" t="str">
        <f t="shared" si="3"/>
        <v>#DIV/0!</v>
      </c>
      <c r="K99" s="117">
        <v>0.0</v>
      </c>
      <c r="L99" s="103">
        <v>0.0</v>
      </c>
      <c r="M99" s="103">
        <v>0.0</v>
      </c>
      <c r="N99" s="118">
        <v>0.0</v>
      </c>
      <c r="O99" s="109" t="str">
        <f t="shared" si="30"/>
        <v>#DIV/0!</v>
      </c>
      <c r="P99" s="110" t="str">
        <f t="shared" si="5"/>
        <v>#DIV/0!</v>
      </c>
      <c r="Q99" s="109">
        <f t="shared" si="6"/>
        <v>0</v>
      </c>
      <c r="R99" s="111">
        <f t="shared" si="7"/>
        <v>0</v>
      </c>
      <c r="S99" s="112">
        <f t="shared" si="29"/>
        <v>-29.95</v>
      </c>
      <c r="T99" s="113" t="str">
        <f t="shared" si="9"/>
        <v>#DIV/0!</v>
      </c>
      <c r="U99" s="114"/>
      <c r="V99" s="114"/>
      <c r="W99" s="114"/>
      <c r="X99" s="114"/>
      <c r="Y99" s="115"/>
      <c r="Z99" s="98"/>
      <c r="AA99" s="98"/>
    </row>
    <row r="100" hidden="1" outlineLevel="1">
      <c r="A100" s="98"/>
      <c r="B100" s="116"/>
      <c r="C100" s="100" t="s">
        <v>48</v>
      </c>
      <c r="D100" s="132">
        <v>3931.94</v>
      </c>
      <c r="E100" s="102"/>
      <c r="F100" s="103">
        <v>17.0</v>
      </c>
      <c r="G100" s="103">
        <v>20.0</v>
      </c>
      <c r="H100" s="104">
        <f t="shared" si="1"/>
        <v>0.85</v>
      </c>
      <c r="I100" s="105">
        <f t="shared" si="2"/>
        <v>231.2905882</v>
      </c>
      <c r="J100" s="106">
        <f t="shared" si="3"/>
        <v>272.1065744</v>
      </c>
      <c r="K100" s="132">
        <v>494.0</v>
      </c>
      <c r="L100" s="103">
        <v>42767.0</v>
      </c>
      <c r="M100" s="103">
        <v>7.0</v>
      </c>
      <c r="N100" s="133">
        <v>1659.65</v>
      </c>
      <c r="O100" s="109">
        <f t="shared" si="30"/>
        <v>0.2976531196</v>
      </c>
      <c r="P100" s="110">
        <f t="shared" si="5"/>
        <v>3.359615385</v>
      </c>
      <c r="Q100" s="109">
        <f t="shared" si="6"/>
        <v>0.1256377259</v>
      </c>
      <c r="R100" s="111">
        <f t="shared" si="7"/>
        <v>0.4220944368</v>
      </c>
      <c r="S100" s="112">
        <f t="shared" si="29"/>
        <v>2272.29</v>
      </c>
      <c r="T100" s="113">
        <f t="shared" si="9"/>
        <v>70.57142857</v>
      </c>
      <c r="U100" s="114"/>
      <c r="V100" s="114"/>
      <c r="W100" s="114"/>
      <c r="X100" s="114"/>
      <c r="Y100" s="115"/>
      <c r="Z100" s="98"/>
      <c r="AA100" s="98"/>
    </row>
    <row r="101" hidden="1" outlineLevel="1">
      <c r="A101" s="148" t="str">
        <f t="shared" ref="A101:A102" si="31">iferror(if(B101&gt;0,month(B101)&amp;"-"&amp;year(B101),B101),)</f>
        <v>1-2026</v>
      </c>
      <c r="B101" s="99">
        <v>46046.0</v>
      </c>
      <c r="C101" s="100" t="s">
        <v>49</v>
      </c>
      <c r="D101" s="146">
        <v>0.0</v>
      </c>
      <c r="E101" s="102"/>
      <c r="F101" s="103">
        <v>0.0</v>
      </c>
      <c r="G101" s="103">
        <v>0.0</v>
      </c>
      <c r="H101" s="104" t="str">
        <f t="shared" si="1"/>
        <v>#DIV/0!</v>
      </c>
      <c r="I101" s="105" t="str">
        <f t="shared" si="2"/>
        <v>#DIV/0!</v>
      </c>
      <c r="J101" s="106" t="str">
        <f t="shared" si="3"/>
        <v>#DIV/0!</v>
      </c>
      <c r="K101" s="146">
        <v>7.9</v>
      </c>
      <c r="L101" s="103">
        <v>10033.0</v>
      </c>
      <c r="M101" s="103">
        <v>0.0</v>
      </c>
      <c r="N101" s="147">
        <v>0.0</v>
      </c>
      <c r="O101" s="109" t="str">
        <f t="shared" si="30"/>
        <v>#DIV/0!</v>
      </c>
      <c r="P101" s="110">
        <f t="shared" si="5"/>
        <v>0</v>
      </c>
      <c r="Q101" s="109" t="str">
        <f t="shared" si="6"/>
        <v>#DIV/0!</v>
      </c>
      <c r="R101" s="111" t="str">
        <f t="shared" si="7"/>
        <v>#DIV/0!</v>
      </c>
      <c r="S101" s="112">
        <f t="shared" si="29"/>
        <v>0</v>
      </c>
      <c r="T101" s="113" t="str">
        <f t="shared" si="9"/>
        <v>#DIV/0!</v>
      </c>
      <c r="U101" s="114"/>
      <c r="V101" s="114"/>
      <c r="W101" s="114"/>
      <c r="X101" s="114"/>
      <c r="Y101" s="115"/>
      <c r="Z101" s="98"/>
      <c r="AA101" s="98"/>
    </row>
    <row r="102" collapsed="1">
      <c r="A102" s="98" t="str">
        <f t="shared" si="31"/>
        <v/>
      </c>
      <c r="B102" s="149" t="s">
        <v>54</v>
      </c>
      <c r="C102" s="150"/>
      <c r="D102" s="151">
        <f>SUM(D85:D101)</f>
        <v>20324.34</v>
      </c>
      <c r="E102" s="152"/>
      <c r="F102" s="153">
        <f t="shared" ref="F102:G102" si="32">SUM(F85:F101)</f>
        <v>236</v>
      </c>
      <c r="G102" s="153">
        <f t="shared" si="32"/>
        <v>250</v>
      </c>
      <c r="H102" s="154">
        <f t="shared" si="1"/>
        <v>0.944</v>
      </c>
      <c r="I102" s="155">
        <f t="shared" si="2"/>
        <v>86.12008475</v>
      </c>
      <c r="J102" s="156">
        <f t="shared" si="3"/>
        <v>91.22890333</v>
      </c>
      <c r="K102" s="151">
        <f t="shared" ref="K102:N102" si="33">SUM(K85:K101)</f>
        <v>3538.06</v>
      </c>
      <c r="L102" s="153">
        <f t="shared" si="33"/>
        <v>639084</v>
      </c>
      <c r="M102" s="153">
        <f t="shared" si="33"/>
        <v>83</v>
      </c>
      <c r="N102" s="157">
        <f t="shared" si="33"/>
        <v>7341.48</v>
      </c>
      <c r="O102" s="158">
        <f t="shared" si="30"/>
        <v>0.4819273498</v>
      </c>
      <c r="P102" s="159">
        <f t="shared" si="5"/>
        <v>2.075001555</v>
      </c>
      <c r="Q102" s="158">
        <f t="shared" si="6"/>
        <v>0.1740799455</v>
      </c>
      <c r="R102" s="160">
        <f t="shared" si="7"/>
        <v>0.3612161576</v>
      </c>
      <c r="S102" s="161">
        <f>SUM(S85:S101)</f>
        <v>12982.86</v>
      </c>
      <c r="T102" s="162">
        <f t="shared" si="9"/>
        <v>42.62722892</v>
      </c>
      <c r="U102" s="164" t="str">
        <f>IFERROR((D102-#REF!)/D102,)</f>
        <v/>
      </c>
      <c r="V102" s="164" t="str">
        <f>IFERROR((F102-#REF!)/F102,)</f>
        <v/>
      </c>
      <c r="W102" s="164" t="str">
        <f>IFERROR((D102-#REF!)/D102, )</f>
        <v/>
      </c>
      <c r="X102" s="164" t="str">
        <f>IFERROR((F102-#REF!)/F102, )</f>
        <v/>
      </c>
      <c r="Y102" s="98"/>
      <c r="Z102" s="98"/>
      <c r="AA102" s="98"/>
    </row>
    <row r="103" hidden="1" outlineLevel="1">
      <c r="A103" s="98"/>
      <c r="B103" s="99">
        <v>46047.0</v>
      </c>
      <c r="C103" s="100" t="s">
        <v>32</v>
      </c>
      <c r="D103" s="101">
        <v>4689.49</v>
      </c>
      <c r="E103" s="102"/>
      <c r="F103" s="103">
        <v>21.0</v>
      </c>
      <c r="G103" s="103">
        <v>28.0</v>
      </c>
      <c r="H103" s="104">
        <f t="shared" si="1"/>
        <v>0.75</v>
      </c>
      <c r="I103" s="105">
        <f t="shared" si="2"/>
        <v>223.3090476</v>
      </c>
      <c r="J103" s="106">
        <f t="shared" si="3"/>
        <v>297.7453968</v>
      </c>
      <c r="K103" s="107">
        <v>675.31</v>
      </c>
      <c r="L103" s="103">
        <v>128679.0</v>
      </c>
      <c r="M103" s="103">
        <v>8.0</v>
      </c>
      <c r="N103" s="108">
        <v>1984.89</v>
      </c>
      <c r="O103" s="109">
        <f t="shared" si="30"/>
        <v>0.3402254029</v>
      </c>
      <c r="P103" s="110">
        <f t="shared" si="5"/>
        <v>2.93922791</v>
      </c>
      <c r="Q103" s="109">
        <f t="shared" si="6"/>
        <v>0.1440049984</v>
      </c>
      <c r="R103" s="111">
        <f t="shared" si="7"/>
        <v>0.4232635105</v>
      </c>
      <c r="S103" s="112">
        <f t="shared" ref="S103:S119" si="34">D103-N103</f>
        <v>2704.6</v>
      </c>
      <c r="T103" s="113">
        <f t="shared" si="9"/>
        <v>84.41375</v>
      </c>
      <c r="U103" s="114"/>
      <c r="V103" s="114"/>
      <c r="W103" s="114"/>
      <c r="X103" s="114"/>
      <c r="Y103" s="115"/>
      <c r="Z103" s="98"/>
      <c r="AA103" s="98"/>
    </row>
    <row r="104" hidden="1" outlineLevel="1">
      <c r="A104" s="98"/>
      <c r="B104" s="116"/>
      <c r="C104" s="100" t="s">
        <v>33</v>
      </c>
      <c r="D104" s="117">
        <v>5369.3</v>
      </c>
      <c r="E104" s="102"/>
      <c r="F104" s="103">
        <v>97.0</v>
      </c>
      <c r="G104" s="103">
        <v>108.0</v>
      </c>
      <c r="H104" s="104">
        <f t="shared" si="1"/>
        <v>0.8981481481</v>
      </c>
      <c r="I104" s="105">
        <f t="shared" si="2"/>
        <v>55.35360825</v>
      </c>
      <c r="J104" s="106">
        <f t="shared" si="3"/>
        <v>61.63082155</v>
      </c>
      <c r="K104" s="117">
        <v>598.97</v>
      </c>
      <c r="L104" s="103">
        <v>137191.0</v>
      </c>
      <c r="M104" s="103">
        <v>16.0</v>
      </c>
      <c r="N104" s="118">
        <v>1557.65</v>
      </c>
      <c r="O104" s="109">
        <f t="shared" si="30"/>
        <v>0.3845343948</v>
      </c>
      <c r="P104" s="110">
        <f t="shared" si="5"/>
        <v>2.600547607</v>
      </c>
      <c r="Q104" s="109">
        <f t="shared" si="6"/>
        <v>0.1115545788</v>
      </c>
      <c r="R104" s="111">
        <f t="shared" si="7"/>
        <v>0.2901029929</v>
      </c>
      <c r="S104" s="119">
        <f t="shared" si="34"/>
        <v>3811.65</v>
      </c>
      <c r="T104" s="113">
        <f t="shared" si="9"/>
        <v>37.435625</v>
      </c>
      <c r="U104" s="114"/>
      <c r="V104" s="114"/>
      <c r="W104" s="114"/>
      <c r="X104" s="114"/>
      <c r="Y104" s="115"/>
      <c r="Z104" s="98"/>
      <c r="AA104" s="98"/>
    </row>
    <row r="105" hidden="1" outlineLevel="1">
      <c r="A105" s="98"/>
      <c r="B105" s="116"/>
      <c r="C105" s="100" t="s">
        <v>34</v>
      </c>
      <c r="D105" s="120">
        <v>-69.95</v>
      </c>
      <c r="E105" s="102"/>
      <c r="F105" s="103">
        <v>-1.0</v>
      </c>
      <c r="G105" s="103">
        <v>0.0</v>
      </c>
      <c r="H105" s="104" t="str">
        <f t="shared" si="1"/>
        <v>#DIV/0!</v>
      </c>
      <c r="I105" s="105">
        <f t="shared" si="2"/>
        <v>69.95</v>
      </c>
      <c r="J105" s="106" t="str">
        <f t="shared" si="3"/>
        <v>#DIV/0!</v>
      </c>
      <c r="K105" s="120">
        <v>6.9</v>
      </c>
      <c r="L105" s="103">
        <v>361.0</v>
      </c>
      <c r="M105" s="103">
        <v>0.0</v>
      </c>
      <c r="N105" s="121">
        <v>0.0</v>
      </c>
      <c r="O105" s="109" t="str">
        <f>(K105/N105)</f>
        <v>#DIV/0!</v>
      </c>
      <c r="P105" s="110">
        <f t="shared" si="5"/>
        <v>0</v>
      </c>
      <c r="Q105" s="109">
        <f t="shared" si="6"/>
        <v>-0.09864188706</v>
      </c>
      <c r="R105" s="111">
        <f t="shared" si="7"/>
        <v>0</v>
      </c>
      <c r="S105" s="122">
        <f t="shared" si="34"/>
        <v>-69.95</v>
      </c>
      <c r="T105" s="113" t="str">
        <f t="shared" si="9"/>
        <v>#DIV/0!</v>
      </c>
      <c r="U105" s="114"/>
      <c r="V105" s="114"/>
      <c r="W105" s="114"/>
      <c r="X105" s="114"/>
      <c r="Y105" s="115"/>
      <c r="Z105" s="98"/>
      <c r="AA105" s="98"/>
    </row>
    <row r="106" hidden="1" outlineLevel="1">
      <c r="A106" s="98"/>
      <c r="B106" s="116"/>
      <c r="C106" s="100" t="s">
        <v>35</v>
      </c>
      <c r="D106" s="120">
        <v>662.45</v>
      </c>
      <c r="E106" s="102"/>
      <c r="F106" s="103">
        <v>11.0</v>
      </c>
      <c r="G106" s="103">
        <v>10.0</v>
      </c>
      <c r="H106" s="104">
        <f t="shared" si="1"/>
        <v>1.1</v>
      </c>
      <c r="I106" s="105">
        <f t="shared" si="2"/>
        <v>60.22272727</v>
      </c>
      <c r="J106" s="106">
        <f t="shared" si="3"/>
        <v>54.74793388</v>
      </c>
      <c r="K106" s="120">
        <v>384.6</v>
      </c>
      <c r="L106" s="103">
        <v>26434.0</v>
      </c>
      <c r="M106" s="103">
        <v>8.0</v>
      </c>
      <c r="N106" s="121">
        <v>479.6</v>
      </c>
      <c r="O106" s="109">
        <f t="shared" ref="O106:O122" si="35">K106/N106</f>
        <v>0.8019182652</v>
      </c>
      <c r="P106" s="110">
        <f t="shared" si="5"/>
        <v>1.24700988</v>
      </c>
      <c r="Q106" s="109">
        <f t="shared" si="6"/>
        <v>0.5805721187</v>
      </c>
      <c r="R106" s="111">
        <f t="shared" si="7"/>
        <v>0.7239791682</v>
      </c>
      <c r="S106" s="122">
        <f t="shared" si="34"/>
        <v>182.85</v>
      </c>
      <c r="T106" s="113">
        <f t="shared" si="9"/>
        <v>48.075</v>
      </c>
      <c r="U106" s="114"/>
      <c r="V106" s="114"/>
      <c r="W106" s="114"/>
      <c r="X106" s="114"/>
      <c r="Y106" s="115"/>
      <c r="Z106" s="98"/>
      <c r="AA106" s="98"/>
    </row>
    <row r="107" hidden="1" outlineLevel="1">
      <c r="A107" s="98"/>
      <c r="B107" s="116"/>
      <c r="C107" s="100" t="s">
        <v>36</v>
      </c>
      <c r="D107" s="120">
        <v>824.35</v>
      </c>
      <c r="E107" s="102"/>
      <c r="F107" s="103">
        <v>13.0</v>
      </c>
      <c r="G107" s="103">
        <v>12.0</v>
      </c>
      <c r="H107" s="104">
        <f t="shared" si="1"/>
        <v>1.083333333</v>
      </c>
      <c r="I107" s="105">
        <f t="shared" si="2"/>
        <v>63.41153846</v>
      </c>
      <c r="J107" s="106">
        <f t="shared" si="3"/>
        <v>58.53372781</v>
      </c>
      <c r="K107" s="120">
        <v>32.98</v>
      </c>
      <c r="L107" s="103">
        <v>14982.0</v>
      </c>
      <c r="M107" s="103">
        <v>3.0</v>
      </c>
      <c r="N107" s="121">
        <v>179.85</v>
      </c>
      <c r="O107" s="109">
        <f t="shared" si="35"/>
        <v>0.1833750348</v>
      </c>
      <c r="P107" s="110">
        <f t="shared" si="5"/>
        <v>5.453305033</v>
      </c>
      <c r="Q107" s="109">
        <f t="shared" si="6"/>
        <v>0.04000727846</v>
      </c>
      <c r="R107" s="111">
        <f t="shared" si="7"/>
        <v>0.218171893</v>
      </c>
      <c r="S107" s="122">
        <f t="shared" si="34"/>
        <v>644.5</v>
      </c>
      <c r="T107" s="113">
        <f t="shared" si="9"/>
        <v>10.99333333</v>
      </c>
      <c r="U107" s="114"/>
      <c r="V107" s="114"/>
      <c r="W107" s="114"/>
      <c r="X107" s="114"/>
      <c r="Y107" s="115"/>
      <c r="Z107" s="98"/>
      <c r="AA107" s="98"/>
    </row>
    <row r="108" hidden="1" outlineLevel="1">
      <c r="A108" s="98"/>
      <c r="B108" s="99" t="s">
        <v>37</v>
      </c>
      <c r="C108" s="100" t="s">
        <v>38</v>
      </c>
      <c r="D108" s="123">
        <v>89.9</v>
      </c>
      <c r="E108" s="102"/>
      <c r="F108" s="103">
        <v>2.0</v>
      </c>
      <c r="G108" s="103">
        <v>2.0</v>
      </c>
      <c r="H108" s="104">
        <f t="shared" si="1"/>
        <v>1</v>
      </c>
      <c r="I108" s="105">
        <f t="shared" si="2"/>
        <v>44.95</v>
      </c>
      <c r="J108" s="106">
        <f t="shared" si="3"/>
        <v>44.95</v>
      </c>
      <c r="K108" s="123">
        <v>27.53</v>
      </c>
      <c r="L108" s="103">
        <v>94493.0</v>
      </c>
      <c r="M108" s="103">
        <v>2.0</v>
      </c>
      <c r="N108" s="124">
        <v>89.9</v>
      </c>
      <c r="O108" s="109">
        <f t="shared" si="35"/>
        <v>0.3062291435</v>
      </c>
      <c r="P108" s="110">
        <f t="shared" si="5"/>
        <v>3.265528514</v>
      </c>
      <c r="Q108" s="109">
        <f t="shared" si="6"/>
        <v>0.3062291435</v>
      </c>
      <c r="R108" s="111">
        <f t="shared" si="7"/>
        <v>1</v>
      </c>
      <c r="S108" s="125">
        <f t="shared" si="34"/>
        <v>0</v>
      </c>
      <c r="T108" s="113">
        <f t="shared" si="9"/>
        <v>13.765</v>
      </c>
      <c r="U108" s="114"/>
      <c r="V108" s="114"/>
      <c r="W108" s="114"/>
      <c r="X108" s="114"/>
      <c r="Y108" s="115"/>
      <c r="Z108" s="98"/>
      <c r="AA108" s="98"/>
    </row>
    <row r="109" hidden="1" outlineLevel="1">
      <c r="A109" s="98"/>
      <c r="B109" s="116"/>
      <c r="C109" s="100" t="s">
        <v>39</v>
      </c>
      <c r="D109" s="126">
        <v>0.0</v>
      </c>
      <c r="E109" s="102"/>
      <c r="F109" s="103">
        <v>0.0</v>
      </c>
      <c r="G109" s="103">
        <v>0.0</v>
      </c>
      <c r="H109" s="104" t="str">
        <f t="shared" si="1"/>
        <v>#DIV/0!</v>
      </c>
      <c r="I109" s="105" t="str">
        <f t="shared" si="2"/>
        <v>#DIV/0!</v>
      </c>
      <c r="J109" s="106" t="str">
        <f t="shared" si="3"/>
        <v>#DIV/0!</v>
      </c>
      <c r="K109" s="126">
        <v>0.0</v>
      </c>
      <c r="L109" s="103">
        <v>0.0</v>
      </c>
      <c r="M109" s="103">
        <v>0.0</v>
      </c>
      <c r="N109" s="127">
        <v>0.0</v>
      </c>
      <c r="O109" s="109" t="str">
        <f t="shared" si="35"/>
        <v>#DIV/0!</v>
      </c>
      <c r="P109" s="110" t="str">
        <f t="shared" si="5"/>
        <v>#DIV/0!</v>
      </c>
      <c r="Q109" s="109" t="str">
        <f t="shared" si="6"/>
        <v>#DIV/0!</v>
      </c>
      <c r="R109" s="111" t="str">
        <f t="shared" si="7"/>
        <v>#DIV/0!</v>
      </c>
      <c r="S109" s="128">
        <f t="shared" si="34"/>
        <v>0</v>
      </c>
      <c r="T109" s="113" t="str">
        <f t="shared" si="9"/>
        <v>#DIV/0!</v>
      </c>
      <c r="U109" s="114"/>
      <c r="V109" s="114"/>
      <c r="W109" s="114"/>
      <c r="X109" s="114"/>
      <c r="Y109" s="115"/>
      <c r="Z109" s="98"/>
      <c r="AA109" s="98"/>
    </row>
    <row r="110" hidden="1" outlineLevel="1">
      <c r="A110" s="98"/>
      <c r="B110" s="116"/>
      <c r="C110" s="100" t="s">
        <v>40</v>
      </c>
      <c r="D110" s="129">
        <v>0.0</v>
      </c>
      <c r="E110" s="102"/>
      <c r="F110" s="103">
        <v>0.0</v>
      </c>
      <c r="G110" s="103">
        <v>0.0</v>
      </c>
      <c r="H110" s="104" t="str">
        <f t="shared" si="1"/>
        <v>#DIV/0!</v>
      </c>
      <c r="I110" s="105" t="str">
        <f t="shared" si="2"/>
        <v>#DIV/0!</v>
      </c>
      <c r="J110" s="106" t="str">
        <f t="shared" si="3"/>
        <v>#DIV/0!</v>
      </c>
      <c r="K110" s="129">
        <v>0.0</v>
      </c>
      <c r="L110" s="103">
        <v>0.0</v>
      </c>
      <c r="M110" s="103">
        <v>0.0</v>
      </c>
      <c r="N110" s="130">
        <v>0.0</v>
      </c>
      <c r="O110" s="109" t="str">
        <f t="shared" si="35"/>
        <v>#DIV/0!</v>
      </c>
      <c r="P110" s="110" t="str">
        <f t="shared" si="5"/>
        <v>#DIV/0!</v>
      </c>
      <c r="Q110" s="109" t="str">
        <f t="shared" si="6"/>
        <v>#DIV/0!</v>
      </c>
      <c r="R110" s="111" t="str">
        <f t="shared" si="7"/>
        <v>#DIV/0!</v>
      </c>
      <c r="S110" s="131">
        <f t="shared" si="34"/>
        <v>0</v>
      </c>
      <c r="T110" s="113" t="str">
        <f t="shared" si="9"/>
        <v>#DIV/0!</v>
      </c>
      <c r="U110" s="114"/>
      <c r="V110" s="114"/>
      <c r="W110" s="114"/>
      <c r="X110" s="114"/>
      <c r="Y110" s="115"/>
      <c r="Z110" s="98"/>
      <c r="AA110" s="98"/>
    </row>
    <row r="111" hidden="1" outlineLevel="1">
      <c r="A111" s="98"/>
      <c r="B111" s="116"/>
      <c r="C111" s="100" t="s">
        <v>41</v>
      </c>
      <c r="D111" s="132">
        <v>1951.25</v>
      </c>
      <c r="E111" s="102"/>
      <c r="F111" s="103">
        <v>24.0</v>
      </c>
      <c r="G111" s="103">
        <v>23.0</v>
      </c>
      <c r="H111" s="104">
        <f t="shared" si="1"/>
        <v>1.043478261</v>
      </c>
      <c r="I111" s="105">
        <f t="shared" si="2"/>
        <v>81.30208333</v>
      </c>
      <c r="J111" s="106">
        <f t="shared" si="3"/>
        <v>77.91449653</v>
      </c>
      <c r="K111" s="132">
        <v>375.28</v>
      </c>
      <c r="L111" s="103">
        <v>37748.0</v>
      </c>
      <c r="M111" s="103">
        <v>12.0</v>
      </c>
      <c r="N111" s="133">
        <v>680.64</v>
      </c>
      <c r="O111" s="109">
        <f t="shared" si="35"/>
        <v>0.5513634227</v>
      </c>
      <c r="P111" s="110">
        <f t="shared" si="5"/>
        <v>1.813685781</v>
      </c>
      <c r="Q111" s="109">
        <f t="shared" si="6"/>
        <v>0.1923279949</v>
      </c>
      <c r="R111" s="111">
        <f t="shared" si="7"/>
        <v>0.3488225496</v>
      </c>
      <c r="S111" s="134">
        <f t="shared" si="34"/>
        <v>1270.61</v>
      </c>
      <c r="T111" s="113">
        <f t="shared" si="9"/>
        <v>31.27333333</v>
      </c>
      <c r="U111" s="114"/>
      <c r="V111" s="114"/>
      <c r="W111" s="114"/>
      <c r="X111" s="114"/>
      <c r="Y111" s="115"/>
      <c r="Z111" s="98"/>
      <c r="AA111" s="98"/>
    </row>
    <row r="112" hidden="1" outlineLevel="1">
      <c r="A112" s="98"/>
      <c r="B112" s="116"/>
      <c r="C112" s="100" t="s">
        <v>42</v>
      </c>
      <c r="D112" s="120">
        <v>119.94</v>
      </c>
      <c r="E112" s="102"/>
      <c r="F112" s="103">
        <v>6.0</v>
      </c>
      <c r="G112" s="103">
        <v>6.0</v>
      </c>
      <c r="H112" s="104">
        <f t="shared" si="1"/>
        <v>1</v>
      </c>
      <c r="I112" s="105">
        <f t="shared" si="2"/>
        <v>19.99</v>
      </c>
      <c r="J112" s="106">
        <f t="shared" si="3"/>
        <v>19.99</v>
      </c>
      <c r="K112" s="120">
        <v>323.8</v>
      </c>
      <c r="L112" s="103">
        <v>62858.0</v>
      </c>
      <c r="M112" s="103">
        <v>3.0</v>
      </c>
      <c r="N112" s="121">
        <v>59.97</v>
      </c>
      <c r="O112" s="109">
        <f t="shared" si="35"/>
        <v>5.39936635</v>
      </c>
      <c r="P112" s="110">
        <f t="shared" si="5"/>
        <v>0.1852069179</v>
      </c>
      <c r="Q112" s="109">
        <f t="shared" si="6"/>
        <v>2.699683175</v>
      </c>
      <c r="R112" s="111">
        <f t="shared" si="7"/>
        <v>0.5</v>
      </c>
      <c r="S112" s="122">
        <f t="shared" si="34"/>
        <v>59.97</v>
      </c>
      <c r="T112" s="113">
        <f t="shared" si="9"/>
        <v>107.9333333</v>
      </c>
      <c r="U112" s="114"/>
      <c r="V112" s="114"/>
      <c r="W112" s="114"/>
      <c r="X112" s="114"/>
      <c r="Y112" s="115"/>
      <c r="Z112" s="98"/>
      <c r="AA112" s="98"/>
    </row>
    <row r="113" hidden="1" outlineLevel="1">
      <c r="A113" s="98"/>
      <c r="B113" s="116"/>
      <c r="C113" s="100" t="s">
        <v>43</v>
      </c>
      <c r="D113" s="135">
        <v>1325.54</v>
      </c>
      <c r="E113" s="102"/>
      <c r="F113" s="103">
        <v>11.0</v>
      </c>
      <c r="G113" s="103">
        <v>11.0</v>
      </c>
      <c r="H113" s="104">
        <f t="shared" si="1"/>
        <v>1</v>
      </c>
      <c r="I113" s="105">
        <f t="shared" si="2"/>
        <v>120.5036364</v>
      </c>
      <c r="J113" s="106">
        <f t="shared" si="3"/>
        <v>120.5036364</v>
      </c>
      <c r="K113" s="135">
        <v>56.8</v>
      </c>
      <c r="L113" s="103">
        <v>7269.0</v>
      </c>
      <c r="M113" s="103">
        <v>2.0</v>
      </c>
      <c r="N113" s="136">
        <v>205.95</v>
      </c>
      <c r="O113" s="109">
        <f t="shared" si="35"/>
        <v>0.2757950959</v>
      </c>
      <c r="P113" s="110">
        <f t="shared" si="5"/>
        <v>3.625880282</v>
      </c>
      <c r="Q113" s="109">
        <f t="shared" si="6"/>
        <v>0.04285046094</v>
      </c>
      <c r="R113" s="111">
        <f t="shared" si="7"/>
        <v>0.1553706414</v>
      </c>
      <c r="S113" s="137">
        <f t="shared" si="34"/>
        <v>1119.59</v>
      </c>
      <c r="T113" s="113">
        <f t="shared" si="9"/>
        <v>28.4</v>
      </c>
      <c r="U113" s="114"/>
      <c r="V113" s="114"/>
      <c r="W113" s="114"/>
      <c r="X113" s="114"/>
      <c r="Y113" s="115"/>
      <c r="Z113" s="98"/>
      <c r="AA113" s="98"/>
    </row>
    <row r="114" hidden="1" outlineLevel="1">
      <c r="A114" s="98"/>
      <c r="B114" s="116"/>
      <c r="C114" s="100" t="s">
        <v>44</v>
      </c>
      <c r="D114" s="138">
        <v>479.6</v>
      </c>
      <c r="E114" s="102"/>
      <c r="F114" s="103">
        <v>8.0</v>
      </c>
      <c r="G114" s="103">
        <v>7.0</v>
      </c>
      <c r="H114" s="104">
        <f t="shared" si="1"/>
        <v>1.142857143</v>
      </c>
      <c r="I114" s="105">
        <f t="shared" si="2"/>
        <v>59.95</v>
      </c>
      <c r="J114" s="106">
        <f t="shared" si="3"/>
        <v>52.45625</v>
      </c>
      <c r="K114" s="138">
        <v>87.5</v>
      </c>
      <c r="L114" s="103">
        <v>43140.0</v>
      </c>
      <c r="M114" s="103">
        <v>3.0</v>
      </c>
      <c r="N114" s="139">
        <v>179.85</v>
      </c>
      <c r="O114" s="109">
        <f t="shared" si="35"/>
        <v>0.4865165416</v>
      </c>
      <c r="P114" s="110">
        <f t="shared" si="5"/>
        <v>2.055428571</v>
      </c>
      <c r="Q114" s="109">
        <f t="shared" si="6"/>
        <v>0.1824437031</v>
      </c>
      <c r="R114" s="111">
        <f t="shared" si="7"/>
        <v>0.375</v>
      </c>
      <c r="S114" s="140">
        <f t="shared" si="34"/>
        <v>299.75</v>
      </c>
      <c r="T114" s="113">
        <f t="shared" si="9"/>
        <v>29.16666667</v>
      </c>
      <c r="U114" s="114"/>
      <c r="V114" s="114"/>
      <c r="W114" s="114"/>
      <c r="X114" s="114"/>
      <c r="Y114" s="115"/>
      <c r="Z114" s="98"/>
      <c r="AA114" s="98"/>
    </row>
    <row r="115" hidden="1" outlineLevel="1">
      <c r="A115" s="141"/>
      <c r="B115" s="116"/>
      <c r="C115" s="142" t="s">
        <v>45</v>
      </c>
      <c r="D115" s="101">
        <v>0.0</v>
      </c>
      <c r="E115" s="102"/>
      <c r="F115" s="103">
        <v>0.0</v>
      </c>
      <c r="G115" s="103">
        <v>0.0</v>
      </c>
      <c r="H115" s="104" t="str">
        <f t="shared" si="1"/>
        <v>#DIV/0!</v>
      </c>
      <c r="I115" s="105" t="str">
        <f t="shared" si="2"/>
        <v>#DIV/0!</v>
      </c>
      <c r="J115" s="106" t="str">
        <f t="shared" si="3"/>
        <v>#DIV/0!</v>
      </c>
      <c r="K115" s="101">
        <v>0.0</v>
      </c>
      <c r="L115" s="103">
        <v>0.0</v>
      </c>
      <c r="M115" s="103">
        <v>0.0</v>
      </c>
      <c r="N115" s="108">
        <v>0.0</v>
      </c>
      <c r="O115" s="109" t="str">
        <f t="shared" si="35"/>
        <v>#DIV/0!</v>
      </c>
      <c r="P115" s="110" t="str">
        <f t="shared" si="5"/>
        <v>#DIV/0!</v>
      </c>
      <c r="Q115" s="109" t="str">
        <f t="shared" si="6"/>
        <v>#DIV/0!</v>
      </c>
      <c r="R115" s="111" t="str">
        <f t="shared" si="7"/>
        <v>#DIV/0!</v>
      </c>
      <c r="S115" s="112">
        <f t="shared" si="34"/>
        <v>0</v>
      </c>
      <c r="T115" s="113" t="str">
        <f t="shared" si="9"/>
        <v>#DIV/0!</v>
      </c>
      <c r="U115" s="143"/>
      <c r="V115" s="143"/>
      <c r="W115" s="143"/>
      <c r="X115" s="144"/>
      <c r="Y115" s="145"/>
      <c r="Z115" s="98"/>
      <c r="AA115" s="98"/>
    </row>
    <row r="116" hidden="1" outlineLevel="1">
      <c r="A116" s="98"/>
      <c r="B116" s="116"/>
      <c r="C116" s="100" t="s">
        <v>46</v>
      </c>
      <c r="D116" s="146">
        <v>1222.6</v>
      </c>
      <c r="E116" s="102"/>
      <c r="F116" s="103">
        <v>28.0</v>
      </c>
      <c r="G116" s="103">
        <v>29.0</v>
      </c>
      <c r="H116" s="104">
        <f t="shared" si="1"/>
        <v>0.9655172414</v>
      </c>
      <c r="I116" s="105">
        <f t="shared" si="2"/>
        <v>43.66428571</v>
      </c>
      <c r="J116" s="106">
        <f t="shared" si="3"/>
        <v>45.22372449</v>
      </c>
      <c r="K116" s="146">
        <v>178.14</v>
      </c>
      <c r="L116" s="103">
        <v>39564.0</v>
      </c>
      <c r="M116" s="103">
        <v>8.0</v>
      </c>
      <c r="N116" s="147">
        <v>304.65</v>
      </c>
      <c r="O116" s="109">
        <f t="shared" si="35"/>
        <v>0.584736583</v>
      </c>
      <c r="P116" s="110">
        <f t="shared" si="5"/>
        <v>1.710171775</v>
      </c>
      <c r="Q116" s="109">
        <f t="shared" si="6"/>
        <v>0.1457058727</v>
      </c>
      <c r="R116" s="111">
        <f t="shared" si="7"/>
        <v>0.249182071</v>
      </c>
      <c r="S116" s="112">
        <f t="shared" si="34"/>
        <v>917.95</v>
      </c>
      <c r="T116" s="113">
        <f t="shared" si="9"/>
        <v>22.2675</v>
      </c>
      <c r="U116" s="114"/>
      <c r="V116" s="114"/>
      <c r="W116" s="114"/>
      <c r="X116" s="114"/>
      <c r="Y116" s="115"/>
      <c r="Z116" s="98"/>
      <c r="AA116" s="98"/>
    </row>
    <row r="117" hidden="1" outlineLevel="1">
      <c r="A117" s="98"/>
      <c r="B117" s="116"/>
      <c r="C117" s="100" t="s">
        <v>47</v>
      </c>
      <c r="D117" s="117">
        <v>119.4</v>
      </c>
      <c r="E117" s="102"/>
      <c r="F117" s="103">
        <v>4.0</v>
      </c>
      <c r="G117" s="103">
        <v>2.0</v>
      </c>
      <c r="H117" s="104">
        <f t="shared" si="1"/>
        <v>2</v>
      </c>
      <c r="I117" s="105">
        <f t="shared" si="2"/>
        <v>29.85</v>
      </c>
      <c r="J117" s="106">
        <f t="shared" si="3"/>
        <v>14.925</v>
      </c>
      <c r="K117" s="117">
        <v>0.0</v>
      </c>
      <c r="L117" s="103">
        <v>0.0</v>
      </c>
      <c r="M117" s="103">
        <v>0.0</v>
      </c>
      <c r="N117" s="118">
        <v>0.0</v>
      </c>
      <c r="O117" s="109" t="str">
        <f t="shared" si="35"/>
        <v>#DIV/0!</v>
      </c>
      <c r="P117" s="110" t="str">
        <f t="shared" si="5"/>
        <v>#DIV/0!</v>
      </c>
      <c r="Q117" s="109">
        <f t="shared" si="6"/>
        <v>0</v>
      </c>
      <c r="R117" s="111">
        <f t="shared" si="7"/>
        <v>0</v>
      </c>
      <c r="S117" s="112">
        <f t="shared" si="34"/>
        <v>119.4</v>
      </c>
      <c r="T117" s="113" t="str">
        <f t="shared" si="9"/>
        <v>#DIV/0!</v>
      </c>
      <c r="U117" s="114"/>
      <c r="V117" s="114"/>
      <c r="W117" s="114"/>
      <c r="X117" s="114"/>
      <c r="Y117" s="115"/>
      <c r="Z117" s="98"/>
      <c r="AA117" s="98"/>
    </row>
    <row r="118" hidden="1" outlineLevel="1">
      <c r="A118" s="98"/>
      <c r="B118" s="116"/>
      <c r="C118" s="100" t="s">
        <v>48</v>
      </c>
      <c r="D118" s="132">
        <v>2099.5</v>
      </c>
      <c r="E118" s="102"/>
      <c r="F118" s="103">
        <v>10.0</v>
      </c>
      <c r="G118" s="103">
        <v>12.0</v>
      </c>
      <c r="H118" s="104">
        <f t="shared" si="1"/>
        <v>0.8333333333</v>
      </c>
      <c r="I118" s="105">
        <f t="shared" si="2"/>
        <v>209.95</v>
      </c>
      <c r="J118" s="106">
        <f t="shared" si="3"/>
        <v>251.94</v>
      </c>
      <c r="K118" s="132">
        <v>488.02</v>
      </c>
      <c r="L118" s="103">
        <v>41395.0</v>
      </c>
      <c r="M118" s="103">
        <v>8.0</v>
      </c>
      <c r="N118" s="133">
        <v>1179.7</v>
      </c>
      <c r="O118" s="109">
        <f t="shared" si="35"/>
        <v>0.4136814444</v>
      </c>
      <c r="P118" s="110">
        <f t="shared" si="5"/>
        <v>2.417318962</v>
      </c>
      <c r="Q118" s="109">
        <f t="shared" si="6"/>
        <v>0.2324458204</v>
      </c>
      <c r="R118" s="111">
        <f t="shared" si="7"/>
        <v>0.5618956894</v>
      </c>
      <c r="S118" s="112">
        <f t="shared" si="34"/>
        <v>919.8</v>
      </c>
      <c r="T118" s="113">
        <f t="shared" si="9"/>
        <v>61.0025</v>
      </c>
      <c r="U118" s="114"/>
      <c r="V118" s="114"/>
      <c r="W118" s="114"/>
      <c r="X118" s="114"/>
      <c r="Y118" s="115"/>
      <c r="Z118" s="98"/>
      <c r="AA118" s="98"/>
    </row>
    <row r="119" hidden="1" outlineLevel="1">
      <c r="A119" s="148" t="str">
        <f t="shared" ref="A119:A120" si="36">iferror(if(B119&gt;0,month(B119)&amp;"-"&amp;year(B119),B119),)</f>
        <v>1-2026</v>
      </c>
      <c r="B119" s="99">
        <v>46053.0</v>
      </c>
      <c r="C119" s="100" t="s">
        <v>49</v>
      </c>
      <c r="D119" s="146">
        <v>30.0</v>
      </c>
      <c r="E119" s="102"/>
      <c r="F119" s="103">
        <v>1.0</v>
      </c>
      <c r="G119" s="103">
        <v>1.0</v>
      </c>
      <c r="H119" s="104">
        <f t="shared" si="1"/>
        <v>1</v>
      </c>
      <c r="I119" s="105">
        <f t="shared" si="2"/>
        <v>30</v>
      </c>
      <c r="J119" s="106">
        <f t="shared" si="3"/>
        <v>30</v>
      </c>
      <c r="K119" s="146">
        <v>7.0</v>
      </c>
      <c r="L119" s="103">
        <v>7982.0</v>
      </c>
      <c r="M119" s="103">
        <v>1.0</v>
      </c>
      <c r="N119" s="147">
        <v>30.0</v>
      </c>
      <c r="O119" s="109">
        <f t="shared" si="35"/>
        <v>0.2333333333</v>
      </c>
      <c r="P119" s="110">
        <f t="shared" si="5"/>
        <v>4.285714286</v>
      </c>
      <c r="Q119" s="109">
        <f t="shared" si="6"/>
        <v>0.2333333333</v>
      </c>
      <c r="R119" s="111">
        <f t="shared" si="7"/>
        <v>1</v>
      </c>
      <c r="S119" s="112">
        <f t="shared" si="34"/>
        <v>0</v>
      </c>
      <c r="T119" s="113">
        <f t="shared" si="9"/>
        <v>7</v>
      </c>
      <c r="U119" s="114"/>
      <c r="V119" s="114"/>
      <c r="W119" s="114"/>
      <c r="X119" s="114"/>
      <c r="Y119" s="115"/>
      <c r="Z119" s="98"/>
      <c r="AA119" s="98"/>
    </row>
    <row r="120" collapsed="1">
      <c r="A120" s="98" t="str">
        <f t="shared" si="36"/>
        <v/>
      </c>
      <c r="B120" s="149" t="s">
        <v>55</v>
      </c>
      <c r="C120" s="150"/>
      <c r="D120" s="151">
        <f>SUM(D103:D119)</f>
        <v>18913.37</v>
      </c>
      <c r="E120" s="152"/>
      <c r="F120" s="153">
        <f t="shared" ref="F120:G120" si="37">SUM(F103:F119)</f>
        <v>235</v>
      </c>
      <c r="G120" s="153">
        <f t="shared" si="37"/>
        <v>251</v>
      </c>
      <c r="H120" s="154">
        <f t="shared" si="1"/>
        <v>0.9362549801</v>
      </c>
      <c r="I120" s="155">
        <f t="shared" si="2"/>
        <v>80.48242553</v>
      </c>
      <c r="J120" s="156">
        <f t="shared" si="3"/>
        <v>85.96208004</v>
      </c>
      <c r="K120" s="151">
        <f t="shared" ref="K120:N120" si="38">SUM(K103:K119)</f>
        <v>3242.83</v>
      </c>
      <c r="L120" s="153">
        <f t="shared" si="38"/>
        <v>642096</v>
      </c>
      <c r="M120" s="153">
        <f t="shared" si="38"/>
        <v>74</v>
      </c>
      <c r="N120" s="157">
        <f t="shared" si="38"/>
        <v>6932.65</v>
      </c>
      <c r="O120" s="158">
        <f t="shared" si="35"/>
        <v>0.4677619669</v>
      </c>
      <c r="P120" s="159">
        <f t="shared" si="5"/>
        <v>2.13783948</v>
      </c>
      <c r="Q120" s="158">
        <f t="shared" si="6"/>
        <v>0.1714570169</v>
      </c>
      <c r="R120" s="160">
        <f t="shared" si="7"/>
        <v>0.3665475798</v>
      </c>
      <c r="S120" s="161">
        <f>SUM(S103:S119)</f>
        <v>11980.72</v>
      </c>
      <c r="T120" s="162">
        <f t="shared" si="9"/>
        <v>43.82202703</v>
      </c>
      <c r="U120" s="164" t="str">
        <f>IFERROR((D120-#REF!)/D120,)</f>
        <v/>
      </c>
      <c r="V120" s="164" t="str">
        <f>IFERROR((F120-#REF!)/F120,)</f>
        <v/>
      </c>
      <c r="W120" s="164" t="str">
        <f>IFERROR((D120-#REF!)/D120, )</f>
        <v/>
      </c>
      <c r="X120" s="164" t="str">
        <f>IFERROR((F120-#REF!)/F120, )</f>
        <v/>
      </c>
      <c r="Y120" s="98"/>
      <c r="Z120" s="98"/>
      <c r="AA120" s="98"/>
    </row>
    <row r="121" hidden="1" outlineLevel="1">
      <c r="A121" s="98"/>
      <c r="B121" s="99">
        <v>46054.0</v>
      </c>
      <c r="C121" s="100" t="s">
        <v>32</v>
      </c>
      <c r="D121" s="101">
        <v>2163.12</v>
      </c>
      <c r="E121" s="102"/>
      <c r="F121" s="103">
        <v>22.0</v>
      </c>
      <c r="G121" s="103">
        <v>27.0</v>
      </c>
      <c r="H121" s="104">
        <f t="shared" si="1"/>
        <v>0.8148148148</v>
      </c>
      <c r="I121" s="105">
        <f t="shared" si="2"/>
        <v>98.32363636</v>
      </c>
      <c r="J121" s="106">
        <f t="shared" si="3"/>
        <v>120.6699174</v>
      </c>
      <c r="K121" s="107">
        <v>485.61</v>
      </c>
      <c r="L121" s="103">
        <v>108973.0</v>
      </c>
      <c r="M121" s="103">
        <v>7.0</v>
      </c>
      <c r="N121" s="108">
        <v>2102.89</v>
      </c>
      <c r="O121" s="109">
        <f t="shared" si="35"/>
        <v>0.2309250603</v>
      </c>
      <c r="P121" s="110">
        <f t="shared" si="5"/>
        <v>4.330409176</v>
      </c>
      <c r="Q121" s="109">
        <f t="shared" si="6"/>
        <v>0.2244951736</v>
      </c>
      <c r="R121" s="111">
        <f t="shared" si="7"/>
        <v>0.9721559599</v>
      </c>
      <c r="S121" s="112">
        <f t="shared" ref="S121:S137" si="39">D121-N121</f>
        <v>60.23</v>
      </c>
      <c r="T121" s="113">
        <f t="shared" si="9"/>
        <v>69.37285714</v>
      </c>
      <c r="U121" s="114"/>
      <c r="V121" s="114"/>
      <c r="W121" s="114"/>
      <c r="X121" s="114"/>
      <c r="Y121" s="115"/>
      <c r="Z121" s="98"/>
      <c r="AA121" s="98"/>
    </row>
    <row r="122" hidden="1" outlineLevel="1">
      <c r="A122" s="98"/>
      <c r="B122" s="116"/>
      <c r="C122" s="100" t="s">
        <v>33</v>
      </c>
      <c r="D122" s="117">
        <v>5763.41</v>
      </c>
      <c r="E122" s="102"/>
      <c r="F122" s="103">
        <v>91.0</v>
      </c>
      <c r="G122" s="103">
        <v>100.0</v>
      </c>
      <c r="H122" s="104">
        <f t="shared" si="1"/>
        <v>0.91</v>
      </c>
      <c r="I122" s="105">
        <f t="shared" si="2"/>
        <v>63.33417582</v>
      </c>
      <c r="J122" s="106">
        <f t="shared" si="3"/>
        <v>69.59799541</v>
      </c>
      <c r="K122" s="117">
        <v>631.74</v>
      </c>
      <c r="L122" s="103">
        <v>142084.0</v>
      </c>
      <c r="M122" s="103">
        <v>23.0</v>
      </c>
      <c r="N122" s="118">
        <v>2126.5</v>
      </c>
      <c r="O122" s="109">
        <f t="shared" si="35"/>
        <v>0.2970797084</v>
      </c>
      <c r="P122" s="110">
        <f t="shared" si="5"/>
        <v>3.366099978</v>
      </c>
      <c r="Q122" s="109">
        <f t="shared" si="6"/>
        <v>0.1096121914</v>
      </c>
      <c r="R122" s="111">
        <f t="shared" si="7"/>
        <v>0.368965595</v>
      </c>
      <c r="S122" s="119">
        <f t="shared" si="39"/>
        <v>3636.91</v>
      </c>
      <c r="T122" s="113">
        <f t="shared" si="9"/>
        <v>27.46695652</v>
      </c>
      <c r="U122" s="114"/>
      <c r="V122" s="114"/>
      <c r="W122" s="114"/>
      <c r="X122" s="114"/>
      <c r="Y122" s="115"/>
      <c r="Z122" s="98"/>
      <c r="AA122" s="98"/>
    </row>
    <row r="123" hidden="1" outlineLevel="1">
      <c r="A123" s="98"/>
      <c r="B123" s="116"/>
      <c r="C123" s="100" t="s">
        <v>34</v>
      </c>
      <c r="D123" s="120">
        <v>0.0</v>
      </c>
      <c r="E123" s="102"/>
      <c r="F123" s="103">
        <v>0.0</v>
      </c>
      <c r="G123" s="103">
        <v>0.0</v>
      </c>
      <c r="H123" s="104" t="str">
        <f t="shared" si="1"/>
        <v>#DIV/0!</v>
      </c>
      <c r="I123" s="105" t="str">
        <f t="shared" si="2"/>
        <v>#DIV/0!</v>
      </c>
      <c r="J123" s="106" t="str">
        <f t="shared" si="3"/>
        <v>#DIV/0!</v>
      </c>
      <c r="K123" s="120">
        <v>11.7</v>
      </c>
      <c r="L123" s="103">
        <v>287.0</v>
      </c>
      <c r="M123" s="103">
        <v>0.0</v>
      </c>
      <c r="N123" s="121">
        <v>0.0</v>
      </c>
      <c r="O123" s="109" t="str">
        <f>(K123/N123)</f>
        <v>#DIV/0!</v>
      </c>
      <c r="P123" s="110">
        <f t="shared" si="5"/>
        <v>0</v>
      </c>
      <c r="Q123" s="109" t="str">
        <f t="shared" si="6"/>
        <v>#DIV/0!</v>
      </c>
      <c r="R123" s="111" t="str">
        <f t="shared" si="7"/>
        <v>#DIV/0!</v>
      </c>
      <c r="S123" s="122">
        <f t="shared" si="39"/>
        <v>0</v>
      </c>
      <c r="T123" s="113" t="str">
        <f t="shared" si="9"/>
        <v>#DIV/0!</v>
      </c>
      <c r="U123" s="114"/>
      <c r="V123" s="114"/>
      <c r="W123" s="114"/>
      <c r="X123" s="114"/>
      <c r="Y123" s="115"/>
      <c r="Z123" s="98"/>
      <c r="AA123" s="98"/>
    </row>
    <row r="124" hidden="1" outlineLevel="1">
      <c r="A124" s="98"/>
      <c r="B124" s="116"/>
      <c r="C124" s="100" t="s">
        <v>35</v>
      </c>
      <c r="D124" s="120">
        <v>1133.06</v>
      </c>
      <c r="E124" s="102"/>
      <c r="F124" s="103">
        <v>19.0</v>
      </c>
      <c r="G124" s="103">
        <v>16.0</v>
      </c>
      <c r="H124" s="104">
        <f t="shared" si="1"/>
        <v>1.1875</v>
      </c>
      <c r="I124" s="105">
        <f t="shared" si="2"/>
        <v>59.63473684</v>
      </c>
      <c r="J124" s="106">
        <f t="shared" si="3"/>
        <v>50.21872576</v>
      </c>
      <c r="K124" s="120">
        <v>365.77</v>
      </c>
      <c r="L124" s="103">
        <v>24887.0</v>
      </c>
      <c r="M124" s="103">
        <v>6.0</v>
      </c>
      <c r="N124" s="121">
        <v>359.7</v>
      </c>
      <c r="O124" s="109">
        <f t="shared" ref="O124:O140" si="40">K124/N124</f>
        <v>1.016875174</v>
      </c>
      <c r="P124" s="110">
        <f t="shared" si="5"/>
        <v>0.9834048719</v>
      </c>
      <c r="Q124" s="109">
        <f t="shared" si="6"/>
        <v>0.3228160909</v>
      </c>
      <c r="R124" s="111">
        <f t="shared" si="7"/>
        <v>0.3174589166</v>
      </c>
      <c r="S124" s="122">
        <f t="shared" si="39"/>
        <v>773.36</v>
      </c>
      <c r="T124" s="113">
        <f t="shared" si="9"/>
        <v>60.96166667</v>
      </c>
      <c r="U124" s="114"/>
      <c r="V124" s="114"/>
      <c r="W124" s="114"/>
      <c r="X124" s="114"/>
      <c r="Y124" s="115"/>
      <c r="Z124" s="98"/>
      <c r="AA124" s="98"/>
    </row>
    <row r="125" hidden="1" outlineLevel="1">
      <c r="A125" s="98"/>
      <c r="B125" s="116"/>
      <c r="C125" s="100" t="s">
        <v>36</v>
      </c>
      <c r="D125" s="120">
        <v>699.45</v>
      </c>
      <c r="E125" s="102"/>
      <c r="F125" s="103">
        <v>11.0</v>
      </c>
      <c r="G125" s="103">
        <v>11.0</v>
      </c>
      <c r="H125" s="104">
        <f t="shared" si="1"/>
        <v>1</v>
      </c>
      <c r="I125" s="105">
        <f t="shared" si="2"/>
        <v>63.58636364</v>
      </c>
      <c r="J125" s="106">
        <f t="shared" si="3"/>
        <v>63.58636364</v>
      </c>
      <c r="K125" s="120">
        <v>44.33</v>
      </c>
      <c r="L125" s="103">
        <v>13257.0</v>
      </c>
      <c r="M125" s="103">
        <v>4.0</v>
      </c>
      <c r="N125" s="121">
        <v>259.8</v>
      </c>
      <c r="O125" s="109">
        <f t="shared" si="40"/>
        <v>0.1706312548</v>
      </c>
      <c r="P125" s="110">
        <f t="shared" si="5"/>
        <v>5.860591022</v>
      </c>
      <c r="Q125" s="109">
        <f t="shared" si="6"/>
        <v>0.06337836872</v>
      </c>
      <c r="R125" s="111">
        <f t="shared" si="7"/>
        <v>0.3714346987</v>
      </c>
      <c r="S125" s="122">
        <f t="shared" si="39"/>
        <v>439.65</v>
      </c>
      <c r="T125" s="113">
        <f t="shared" si="9"/>
        <v>11.0825</v>
      </c>
      <c r="U125" s="114"/>
      <c r="V125" s="114"/>
      <c r="W125" s="114"/>
      <c r="X125" s="114"/>
      <c r="Y125" s="115"/>
      <c r="Z125" s="98"/>
      <c r="AA125" s="98"/>
    </row>
    <row r="126" hidden="1" outlineLevel="1">
      <c r="A126" s="98"/>
      <c r="B126" s="99" t="s">
        <v>37</v>
      </c>
      <c r="C126" s="100" t="s">
        <v>38</v>
      </c>
      <c r="D126" s="123">
        <v>80.94</v>
      </c>
      <c r="E126" s="102"/>
      <c r="F126" s="103">
        <v>2.0</v>
      </c>
      <c r="G126" s="103">
        <v>2.0</v>
      </c>
      <c r="H126" s="104">
        <f t="shared" si="1"/>
        <v>1</v>
      </c>
      <c r="I126" s="105">
        <f t="shared" si="2"/>
        <v>40.47</v>
      </c>
      <c r="J126" s="106">
        <f t="shared" si="3"/>
        <v>40.47</v>
      </c>
      <c r="K126" s="123">
        <v>29.97</v>
      </c>
      <c r="L126" s="103">
        <v>196982.0</v>
      </c>
      <c r="M126" s="103">
        <v>2.0</v>
      </c>
      <c r="N126" s="124">
        <v>80.94</v>
      </c>
      <c r="O126" s="109">
        <f t="shared" si="40"/>
        <v>0.3702742772</v>
      </c>
      <c r="P126" s="110">
        <f t="shared" si="5"/>
        <v>2.700700701</v>
      </c>
      <c r="Q126" s="109">
        <f t="shared" si="6"/>
        <v>0.3702742772</v>
      </c>
      <c r="R126" s="111">
        <f t="shared" si="7"/>
        <v>1</v>
      </c>
      <c r="S126" s="125">
        <f t="shared" si="39"/>
        <v>0</v>
      </c>
      <c r="T126" s="113">
        <f t="shared" si="9"/>
        <v>14.985</v>
      </c>
      <c r="U126" s="114"/>
      <c r="V126" s="114"/>
      <c r="W126" s="114"/>
      <c r="X126" s="114"/>
      <c r="Y126" s="115"/>
      <c r="Z126" s="98"/>
      <c r="AA126" s="98"/>
    </row>
    <row r="127" hidden="1" outlineLevel="1">
      <c r="A127" s="98"/>
      <c r="B127" s="116"/>
      <c r="C127" s="100" t="s">
        <v>39</v>
      </c>
      <c r="D127" s="126">
        <v>0.0</v>
      </c>
      <c r="E127" s="102"/>
      <c r="F127" s="103">
        <v>0.0</v>
      </c>
      <c r="G127" s="103">
        <v>0.0</v>
      </c>
      <c r="H127" s="104" t="str">
        <f t="shared" si="1"/>
        <v>#DIV/0!</v>
      </c>
      <c r="I127" s="105" t="str">
        <f t="shared" si="2"/>
        <v>#DIV/0!</v>
      </c>
      <c r="J127" s="106" t="str">
        <f t="shared" si="3"/>
        <v>#DIV/0!</v>
      </c>
      <c r="K127" s="126">
        <v>0.0</v>
      </c>
      <c r="L127" s="103">
        <v>0.0</v>
      </c>
      <c r="M127" s="103">
        <v>0.0</v>
      </c>
      <c r="N127" s="127">
        <v>0.0</v>
      </c>
      <c r="O127" s="109" t="str">
        <f t="shared" si="40"/>
        <v>#DIV/0!</v>
      </c>
      <c r="P127" s="110" t="str">
        <f t="shared" si="5"/>
        <v>#DIV/0!</v>
      </c>
      <c r="Q127" s="109" t="str">
        <f t="shared" si="6"/>
        <v>#DIV/0!</v>
      </c>
      <c r="R127" s="111" t="str">
        <f t="shared" si="7"/>
        <v>#DIV/0!</v>
      </c>
      <c r="S127" s="128">
        <f t="shared" si="39"/>
        <v>0</v>
      </c>
      <c r="T127" s="113" t="str">
        <f t="shared" si="9"/>
        <v>#DIV/0!</v>
      </c>
      <c r="U127" s="114"/>
      <c r="V127" s="114"/>
      <c r="W127" s="114"/>
      <c r="X127" s="114"/>
      <c r="Y127" s="115"/>
      <c r="Z127" s="98"/>
      <c r="AA127" s="98"/>
    </row>
    <row r="128" hidden="1" outlineLevel="1">
      <c r="A128" s="98"/>
      <c r="B128" s="116"/>
      <c r="C128" s="100" t="s">
        <v>40</v>
      </c>
      <c r="D128" s="129">
        <v>0.0</v>
      </c>
      <c r="E128" s="102"/>
      <c r="F128" s="103">
        <v>0.0</v>
      </c>
      <c r="G128" s="103">
        <v>0.0</v>
      </c>
      <c r="H128" s="104" t="str">
        <f t="shared" si="1"/>
        <v>#DIV/0!</v>
      </c>
      <c r="I128" s="105" t="str">
        <f t="shared" si="2"/>
        <v>#DIV/0!</v>
      </c>
      <c r="J128" s="106" t="str">
        <f t="shared" si="3"/>
        <v>#DIV/0!</v>
      </c>
      <c r="K128" s="129">
        <v>0.0</v>
      </c>
      <c r="L128" s="103">
        <v>0.0</v>
      </c>
      <c r="M128" s="103">
        <v>0.0</v>
      </c>
      <c r="N128" s="130">
        <v>0.0</v>
      </c>
      <c r="O128" s="109" t="str">
        <f t="shared" si="40"/>
        <v>#DIV/0!</v>
      </c>
      <c r="P128" s="110" t="str">
        <f t="shared" si="5"/>
        <v>#DIV/0!</v>
      </c>
      <c r="Q128" s="109" t="str">
        <f t="shared" si="6"/>
        <v>#DIV/0!</v>
      </c>
      <c r="R128" s="111" t="str">
        <f t="shared" si="7"/>
        <v>#DIV/0!</v>
      </c>
      <c r="S128" s="131">
        <f t="shared" si="39"/>
        <v>0</v>
      </c>
      <c r="T128" s="113" t="str">
        <f t="shared" si="9"/>
        <v>#DIV/0!</v>
      </c>
      <c r="U128" s="114"/>
      <c r="V128" s="114"/>
      <c r="W128" s="114"/>
      <c r="X128" s="114"/>
      <c r="Y128" s="115"/>
      <c r="Z128" s="98"/>
      <c r="AA128" s="98"/>
    </row>
    <row r="129" hidden="1" outlineLevel="1">
      <c r="A129" s="98"/>
      <c r="B129" s="116"/>
      <c r="C129" s="100" t="s">
        <v>41</v>
      </c>
      <c r="D129" s="132">
        <v>2788.32</v>
      </c>
      <c r="E129" s="102"/>
      <c r="F129" s="103">
        <v>41.0</v>
      </c>
      <c r="G129" s="103">
        <v>40.0</v>
      </c>
      <c r="H129" s="104">
        <f t="shared" si="1"/>
        <v>1.025</v>
      </c>
      <c r="I129" s="105">
        <f t="shared" si="2"/>
        <v>68.00780488</v>
      </c>
      <c r="J129" s="106">
        <f t="shared" si="3"/>
        <v>66.34907793</v>
      </c>
      <c r="K129" s="132">
        <v>556.11</v>
      </c>
      <c r="L129" s="103">
        <v>47970.0</v>
      </c>
      <c r="M129" s="103">
        <v>14.0</v>
      </c>
      <c r="N129" s="133">
        <v>875.87</v>
      </c>
      <c r="O129" s="109">
        <f t="shared" si="40"/>
        <v>0.6349229909</v>
      </c>
      <c r="P129" s="110">
        <f t="shared" si="5"/>
        <v>1.574994156</v>
      </c>
      <c r="Q129" s="109">
        <f t="shared" si="6"/>
        <v>0.1994426752</v>
      </c>
      <c r="R129" s="111">
        <f t="shared" si="7"/>
        <v>0.3141210478</v>
      </c>
      <c r="S129" s="134">
        <f t="shared" si="39"/>
        <v>1912.45</v>
      </c>
      <c r="T129" s="113">
        <f t="shared" si="9"/>
        <v>39.72214286</v>
      </c>
      <c r="U129" s="114"/>
      <c r="V129" s="114"/>
      <c r="W129" s="114"/>
      <c r="X129" s="114"/>
      <c r="Y129" s="115"/>
      <c r="Z129" s="98"/>
      <c r="AA129" s="98"/>
    </row>
    <row r="130" hidden="1" outlineLevel="1">
      <c r="A130" s="98"/>
      <c r="B130" s="116"/>
      <c r="C130" s="100" t="s">
        <v>42</v>
      </c>
      <c r="D130" s="120">
        <v>119.94</v>
      </c>
      <c r="E130" s="102"/>
      <c r="F130" s="103">
        <v>6.0</v>
      </c>
      <c r="G130" s="103">
        <v>6.0</v>
      </c>
      <c r="H130" s="104">
        <f t="shared" si="1"/>
        <v>1</v>
      </c>
      <c r="I130" s="105">
        <f t="shared" si="2"/>
        <v>19.99</v>
      </c>
      <c r="J130" s="106">
        <f t="shared" si="3"/>
        <v>19.99</v>
      </c>
      <c r="K130" s="120">
        <v>427.65</v>
      </c>
      <c r="L130" s="103">
        <v>71918.0</v>
      </c>
      <c r="M130" s="103">
        <v>4.0</v>
      </c>
      <c r="N130" s="121">
        <v>79.96</v>
      </c>
      <c r="O130" s="109">
        <f t="shared" si="40"/>
        <v>5.34829915</v>
      </c>
      <c r="P130" s="110">
        <f t="shared" si="5"/>
        <v>0.1869753303</v>
      </c>
      <c r="Q130" s="109">
        <f t="shared" si="6"/>
        <v>3.565532766</v>
      </c>
      <c r="R130" s="111">
        <f t="shared" si="7"/>
        <v>0.6666666667</v>
      </c>
      <c r="S130" s="122">
        <f t="shared" si="39"/>
        <v>39.98</v>
      </c>
      <c r="T130" s="113">
        <f t="shared" si="9"/>
        <v>106.9125</v>
      </c>
      <c r="U130" s="114"/>
      <c r="V130" s="114"/>
      <c r="W130" s="114"/>
      <c r="X130" s="114"/>
      <c r="Y130" s="115"/>
      <c r="Z130" s="98"/>
      <c r="AA130" s="98"/>
    </row>
    <row r="131" hidden="1" outlineLevel="1">
      <c r="A131" s="98"/>
      <c r="B131" s="116"/>
      <c r="C131" s="100" t="s">
        <v>43</v>
      </c>
      <c r="D131" s="135">
        <v>1645.47</v>
      </c>
      <c r="E131" s="102"/>
      <c r="F131" s="103">
        <v>13.0</v>
      </c>
      <c r="G131" s="103">
        <v>15.0</v>
      </c>
      <c r="H131" s="104">
        <f t="shared" si="1"/>
        <v>0.8666666667</v>
      </c>
      <c r="I131" s="105">
        <f t="shared" si="2"/>
        <v>126.5746154</v>
      </c>
      <c r="J131" s="106">
        <f t="shared" si="3"/>
        <v>146.0476331</v>
      </c>
      <c r="K131" s="135">
        <v>49.95</v>
      </c>
      <c r="L131" s="103">
        <v>8596.0</v>
      </c>
      <c r="M131" s="103">
        <v>2.0</v>
      </c>
      <c r="N131" s="136">
        <v>205.95</v>
      </c>
      <c r="O131" s="109">
        <f t="shared" si="40"/>
        <v>0.2425345958</v>
      </c>
      <c r="P131" s="110">
        <f t="shared" si="5"/>
        <v>4.123123123</v>
      </c>
      <c r="Q131" s="109">
        <f t="shared" si="6"/>
        <v>0.03035606848</v>
      </c>
      <c r="R131" s="111">
        <f t="shared" si="7"/>
        <v>0.1251618079</v>
      </c>
      <c r="S131" s="137">
        <f t="shared" si="39"/>
        <v>1439.52</v>
      </c>
      <c r="T131" s="113">
        <f t="shared" si="9"/>
        <v>24.975</v>
      </c>
      <c r="U131" s="114"/>
      <c r="V131" s="114"/>
      <c r="W131" s="114"/>
      <c r="X131" s="114"/>
      <c r="Y131" s="115"/>
      <c r="Z131" s="98"/>
      <c r="AA131" s="98"/>
    </row>
    <row r="132" hidden="1" outlineLevel="1">
      <c r="A132" s="98"/>
      <c r="B132" s="116"/>
      <c r="C132" s="100" t="s">
        <v>44</v>
      </c>
      <c r="D132" s="138">
        <v>314.75</v>
      </c>
      <c r="E132" s="102"/>
      <c r="F132" s="103">
        <v>5.0</v>
      </c>
      <c r="G132" s="103">
        <v>6.0</v>
      </c>
      <c r="H132" s="104">
        <f t="shared" si="1"/>
        <v>0.8333333333</v>
      </c>
      <c r="I132" s="105">
        <f t="shared" si="2"/>
        <v>62.95</v>
      </c>
      <c r="J132" s="106">
        <f t="shared" si="3"/>
        <v>75.54</v>
      </c>
      <c r="K132" s="138">
        <v>76.14</v>
      </c>
      <c r="L132" s="103">
        <v>55639.0</v>
      </c>
      <c r="M132" s="103">
        <v>4.0</v>
      </c>
      <c r="N132" s="139">
        <v>239.8</v>
      </c>
      <c r="O132" s="109">
        <f t="shared" si="40"/>
        <v>0.3175145955</v>
      </c>
      <c r="P132" s="110">
        <f t="shared" si="5"/>
        <v>3.149461518</v>
      </c>
      <c r="Q132" s="109">
        <f t="shared" si="6"/>
        <v>0.2419062748</v>
      </c>
      <c r="R132" s="111">
        <f t="shared" si="7"/>
        <v>0.7618745036</v>
      </c>
      <c r="S132" s="140">
        <f t="shared" si="39"/>
        <v>74.95</v>
      </c>
      <c r="T132" s="113">
        <f t="shared" si="9"/>
        <v>19.035</v>
      </c>
      <c r="U132" s="114"/>
      <c r="V132" s="114"/>
      <c r="W132" s="114"/>
      <c r="X132" s="114"/>
      <c r="Y132" s="115"/>
      <c r="Z132" s="98"/>
      <c r="AA132" s="98"/>
    </row>
    <row r="133" hidden="1" outlineLevel="1">
      <c r="A133" s="141"/>
      <c r="B133" s="116"/>
      <c r="C133" s="142" t="s">
        <v>45</v>
      </c>
      <c r="D133" s="101">
        <v>19.95</v>
      </c>
      <c r="E133" s="102"/>
      <c r="F133" s="103">
        <v>1.0</v>
      </c>
      <c r="G133" s="103">
        <v>3.0</v>
      </c>
      <c r="H133" s="104">
        <f t="shared" si="1"/>
        <v>0.3333333333</v>
      </c>
      <c r="I133" s="105">
        <f t="shared" si="2"/>
        <v>19.95</v>
      </c>
      <c r="J133" s="106">
        <f t="shared" si="3"/>
        <v>59.85</v>
      </c>
      <c r="K133" s="101">
        <v>0.0</v>
      </c>
      <c r="L133" s="103">
        <v>0.0</v>
      </c>
      <c r="M133" s="103">
        <v>0.0</v>
      </c>
      <c r="N133" s="108">
        <v>0.0</v>
      </c>
      <c r="O133" s="109" t="str">
        <f t="shared" si="40"/>
        <v>#DIV/0!</v>
      </c>
      <c r="P133" s="110" t="str">
        <f t="shared" si="5"/>
        <v>#DIV/0!</v>
      </c>
      <c r="Q133" s="109">
        <f t="shared" si="6"/>
        <v>0</v>
      </c>
      <c r="R133" s="111">
        <f t="shared" si="7"/>
        <v>0</v>
      </c>
      <c r="S133" s="112">
        <f t="shared" si="39"/>
        <v>19.95</v>
      </c>
      <c r="T133" s="113" t="str">
        <f t="shared" si="9"/>
        <v>#DIV/0!</v>
      </c>
      <c r="U133" s="143"/>
      <c r="V133" s="143"/>
      <c r="W133" s="143"/>
      <c r="X133" s="144"/>
      <c r="Y133" s="145"/>
      <c r="Z133" s="98"/>
      <c r="AA133" s="98"/>
    </row>
    <row r="134" hidden="1" outlineLevel="1">
      <c r="A134" s="98"/>
      <c r="B134" s="116"/>
      <c r="C134" s="100" t="s">
        <v>46</v>
      </c>
      <c r="D134" s="146">
        <v>1126.7</v>
      </c>
      <c r="E134" s="102"/>
      <c r="F134" s="103">
        <v>26.0</v>
      </c>
      <c r="G134" s="103">
        <v>25.0</v>
      </c>
      <c r="H134" s="104">
        <f t="shared" si="1"/>
        <v>1.04</v>
      </c>
      <c r="I134" s="105">
        <f t="shared" si="2"/>
        <v>43.33461538</v>
      </c>
      <c r="J134" s="106">
        <f t="shared" si="3"/>
        <v>41.66789941</v>
      </c>
      <c r="K134" s="146">
        <v>208.44</v>
      </c>
      <c r="L134" s="103">
        <v>54118.0</v>
      </c>
      <c r="M134" s="103">
        <v>5.0</v>
      </c>
      <c r="N134" s="147">
        <v>173.8</v>
      </c>
      <c r="O134" s="109">
        <f t="shared" si="40"/>
        <v>1.199309551</v>
      </c>
      <c r="P134" s="110">
        <f t="shared" si="5"/>
        <v>0.8338130877</v>
      </c>
      <c r="Q134" s="109">
        <f t="shared" si="6"/>
        <v>0.1850004438</v>
      </c>
      <c r="R134" s="111">
        <f t="shared" si="7"/>
        <v>0.1542557912</v>
      </c>
      <c r="S134" s="112">
        <f t="shared" si="39"/>
        <v>952.9</v>
      </c>
      <c r="T134" s="113">
        <f t="shared" si="9"/>
        <v>41.688</v>
      </c>
      <c r="U134" s="114"/>
      <c r="V134" s="114"/>
      <c r="W134" s="114"/>
      <c r="X134" s="114"/>
      <c r="Y134" s="115"/>
      <c r="Z134" s="98"/>
      <c r="AA134" s="98"/>
    </row>
    <row r="135" hidden="1" outlineLevel="1">
      <c r="A135" s="98"/>
      <c r="B135" s="116"/>
      <c r="C135" s="100" t="s">
        <v>47</v>
      </c>
      <c r="D135" s="117">
        <v>0.0</v>
      </c>
      <c r="E135" s="102"/>
      <c r="F135" s="103">
        <v>0.0</v>
      </c>
      <c r="G135" s="103">
        <v>0.0</v>
      </c>
      <c r="H135" s="104" t="str">
        <f t="shared" si="1"/>
        <v>#DIV/0!</v>
      </c>
      <c r="I135" s="105" t="str">
        <f t="shared" si="2"/>
        <v>#DIV/0!</v>
      </c>
      <c r="J135" s="106" t="str">
        <f t="shared" si="3"/>
        <v>#DIV/0!</v>
      </c>
      <c r="K135" s="117">
        <v>0.0</v>
      </c>
      <c r="L135" s="103">
        <v>0.0</v>
      </c>
      <c r="M135" s="103">
        <v>0.0</v>
      </c>
      <c r="N135" s="118">
        <v>0.0</v>
      </c>
      <c r="O135" s="109" t="str">
        <f t="shared" si="40"/>
        <v>#DIV/0!</v>
      </c>
      <c r="P135" s="110" t="str">
        <f t="shared" si="5"/>
        <v>#DIV/0!</v>
      </c>
      <c r="Q135" s="109" t="str">
        <f t="shared" si="6"/>
        <v>#DIV/0!</v>
      </c>
      <c r="R135" s="111" t="str">
        <f t="shared" si="7"/>
        <v>#DIV/0!</v>
      </c>
      <c r="S135" s="112">
        <f t="shared" si="39"/>
        <v>0</v>
      </c>
      <c r="T135" s="113" t="str">
        <f t="shared" si="9"/>
        <v>#DIV/0!</v>
      </c>
      <c r="U135" s="114"/>
      <c r="V135" s="114"/>
      <c r="W135" s="114"/>
      <c r="X135" s="114"/>
      <c r="Y135" s="115"/>
      <c r="Z135" s="98"/>
      <c r="AA135" s="98"/>
    </row>
    <row r="136" hidden="1" outlineLevel="1">
      <c r="A136" s="98"/>
      <c r="B136" s="116"/>
      <c r="C136" s="100" t="s">
        <v>48</v>
      </c>
      <c r="D136" s="132">
        <v>3894.25</v>
      </c>
      <c r="E136" s="102"/>
      <c r="F136" s="103">
        <v>15.0</v>
      </c>
      <c r="G136" s="103">
        <v>18.0</v>
      </c>
      <c r="H136" s="104">
        <f t="shared" si="1"/>
        <v>0.8333333333</v>
      </c>
      <c r="I136" s="105">
        <f t="shared" si="2"/>
        <v>259.6166667</v>
      </c>
      <c r="J136" s="106">
        <f t="shared" si="3"/>
        <v>311.54</v>
      </c>
      <c r="K136" s="132">
        <v>547.53</v>
      </c>
      <c r="L136" s="103">
        <v>43136.0</v>
      </c>
      <c r="M136" s="103">
        <v>10.0</v>
      </c>
      <c r="N136" s="133">
        <v>2494.5</v>
      </c>
      <c r="O136" s="109">
        <f t="shared" si="40"/>
        <v>0.2194948888</v>
      </c>
      <c r="P136" s="110">
        <f t="shared" si="5"/>
        <v>4.555914744</v>
      </c>
      <c r="Q136" s="109">
        <f t="shared" si="6"/>
        <v>0.140599602</v>
      </c>
      <c r="R136" s="111">
        <f t="shared" si="7"/>
        <v>0.6405597997</v>
      </c>
      <c r="S136" s="112">
        <f t="shared" si="39"/>
        <v>1399.75</v>
      </c>
      <c r="T136" s="113">
        <f t="shared" si="9"/>
        <v>54.753</v>
      </c>
      <c r="U136" s="114"/>
      <c r="V136" s="114"/>
      <c r="W136" s="114"/>
      <c r="X136" s="114"/>
      <c r="Y136" s="115"/>
      <c r="Z136" s="98"/>
      <c r="AA136" s="98"/>
    </row>
    <row r="137" hidden="1" outlineLevel="1">
      <c r="A137" s="148" t="str">
        <f t="shared" ref="A137:A138" si="41">iferror(if(B137&gt;0,month(B137)&amp;"-"&amp;year(B137),B137),)</f>
        <v>2-2026</v>
      </c>
      <c r="B137" s="99">
        <v>46060.0</v>
      </c>
      <c r="C137" s="100" t="s">
        <v>49</v>
      </c>
      <c r="D137" s="146">
        <v>132.0</v>
      </c>
      <c r="E137" s="102"/>
      <c r="F137" s="103">
        <v>0.0</v>
      </c>
      <c r="G137" s="103">
        <v>3.0</v>
      </c>
      <c r="H137" s="104">
        <f t="shared" si="1"/>
        <v>0</v>
      </c>
      <c r="I137" s="105" t="str">
        <f t="shared" si="2"/>
        <v>#DIV/0!</v>
      </c>
      <c r="J137" s="106" t="str">
        <f t="shared" si="3"/>
        <v>#DIV/0!</v>
      </c>
      <c r="K137" s="146">
        <v>6.95</v>
      </c>
      <c r="L137" s="103">
        <v>9436.0</v>
      </c>
      <c r="M137" s="103">
        <v>1.0</v>
      </c>
      <c r="N137" s="147">
        <v>96.0</v>
      </c>
      <c r="O137" s="109">
        <f t="shared" si="40"/>
        <v>0.07239583333</v>
      </c>
      <c r="P137" s="110">
        <f t="shared" si="5"/>
        <v>13.81294964</v>
      </c>
      <c r="Q137" s="109">
        <f t="shared" si="6"/>
        <v>0.05265151515</v>
      </c>
      <c r="R137" s="111">
        <f t="shared" si="7"/>
        <v>0.7272727273</v>
      </c>
      <c r="S137" s="112">
        <f t="shared" si="39"/>
        <v>36</v>
      </c>
      <c r="T137" s="113">
        <f t="shared" si="9"/>
        <v>6.95</v>
      </c>
      <c r="U137" s="114"/>
      <c r="V137" s="114"/>
      <c r="W137" s="114"/>
      <c r="X137" s="114"/>
      <c r="Y137" s="115"/>
      <c r="Z137" s="98"/>
      <c r="AA137" s="98"/>
    </row>
    <row r="138" collapsed="1">
      <c r="A138" s="98" t="str">
        <f t="shared" si="41"/>
        <v/>
      </c>
      <c r="B138" s="149" t="s">
        <v>56</v>
      </c>
      <c r="C138" s="150"/>
      <c r="D138" s="151">
        <f>SUM(D121:D137)</f>
        <v>19881.36</v>
      </c>
      <c r="E138" s="152"/>
      <c r="F138" s="153">
        <f t="shared" ref="F138:G138" si="42">SUM(F121:F137)</f>
        <v>252</v>
      </c>
      <c r="G138" s="153">
        <f t="shared" si="42"/>
        <v>272</v>
      </c>
      <c r="H138" s="154">
        <f t="shared" si="1"/>
        <v>0.9264705882</v>
      </c>
      <c r="I138" s="155">
        <f t="shared" si="2"/>
        <v>78.89428571</v>
      </c>
      <c r="J138" s="156">
        <f t="shared" si="3"/>
        <v>85.15573696</v>
      </c>
      <c r="K138" s="151">
        <f t="shared" ref="K138:N138" si="43">SUM(K121:K137)</f>
        <v>3441.89</v>
      </c>
      <c r="L138" s="153">
        <f t="shared" si="43"/>
        <v>777283</v>
      </c>
      <c r="M138" s="153">
        <f t="shared" si="43"/>
        <v>82</v>
      </c>
      <c r="N138" s="157">
        <f t="shared" si="43"/>
        <v>9095.71</v>
      </c>
      <c r="O138" s="158">
        <f t="shared" si="40"/>
        <v>0.3784080627</v>
      </c>
      <c r="P138" s="159">
        <f t="shared" si="5"/>
        <v>2.642649823</v>
      </c>
      <c r="Q138" s="158">
        <f t="shared" si="6"/>
        <v>0.1731214565</v>
      </c>
      <c r="R138" s="160">
        <f t="shared" si="7"/>
        <v>0.4574993864</v>
      </c>
      <c r="S138" s="161">
        <f>SUM(S121:S137)</f>
        <v>10785.65</v>
      </c>
      <c r="T138" s="162">
        <f t="shared" si="9"/>
        <v>41.97426829</v>
      </c>
      <c r="U138" s="164" t="str">
        <f>IFERROR((D138-#REF!)/D138,)</f>
        <v/>
      </c>
      <c r="V138" s="164" t="str">
        <f>IFERROR((F138-#REF!)/F138,)</f>
        <v/>
      </c>
      <c r="W138" s="164" t="str">
        <f>IFERROR((D138-#REF!)/D138, )</f>
        <v/>
      </c>
      <c r="X138" s="164" t="str">
        <f>IFERROR((F138-#REF!)/F138, )</f>
        <v/>
      </c>
      <c r="Y138" s="98"/>
      <c r="Z138" s="98"/>
      <c r="AA138" s="98"/>
    </row>
    <row r="139" hidden="1" outlineLevel="1">
      <c r="A139" s="98"/>
      <c r="B139" s="99">
        <v>46061.0</v>
      </c>
      <c r="C139" s="100" t="s">
        <v>32</v>
      </c>
      <c r="D139" s="101">
        <v>4540.1</v>
      </c>
      <c r="E139" s="102"/>
      <c r="F139" s="103">
        <v>25.0</v>
      </c>
      <c r="G139" s="103">
        <v>27.0</v>
      </c>
      <c r="H139" s="104">
        <f t="shared" si="1"/>
        <v>0.9259259259</v>
      </c>
      <c r="I139" s="105">
        <f t="shared" si="2"/>
        <v>181.604</v>
      </c>
      <c r="J139" s="106">
        <f t="shared" si="3"/>
        <v>196.13232</v>
      </c>
      <c r="K139" s="107">
        <v>587.8</v>
      </c>
      <c r="L139" s="103">
        <v>104053.0</v>
      </c>
      <c r="M139" s="103">
        <v>4.0</v>
      </c>
      <c r="N139" s="108">
        <v>1546.9</v>
      </c>
      <c r="O139" s="109">
        <f t="shared" si="40"/>
        <v>0.379985778</v>
      </c>
      <c r="P139" s="110">
        <f t="shared" si="5"/>
        <v>2.631677441</v>
      </c>
      <c r="Q139" s="109">
        <f t="shared" si="6"/>
        <v>0.1294685139</v>
      </c>
      <c r="R139" s="111">
        <f t="shared" si="7"/>
        <v>0.3407193674</v>
      </c>
      <c r="S139" s="112">
        <f t="shared" ref="S139:S155" si="44">D139-N139</f>
        <v>2993.2</v>
      </c>
      <c r="T139" s="113">
        <f t="shared" si="9"/>
        <v>146.95</v>
      </c>
      <c r="U139" s="114"/>
      <c r="V139" s="114"/>
      <c r="W139" s="114"/>
      <c r="X139" s="114"/>
      <c r="Y139" s="115"/>
      <c r="Z139" s="98"/>
      <c r="AA139" s="98"/>
    </row>
    <row r="140" hidden="1" outlineLevel="1">
      <c r="A140" s="98"/>
      <c r="B140" s="116"/>
      <c r="C140" s="100" t="s">
        <v>33</v>
      </c>
      <c r="D140" s="117">
        <v>3414.65</v>
      </c>
      <c r="E140" s="102"/>
      <c r="F140" s="103">
        <v>35.0</v>
      </c>
      <c r="G140" s="103">
        <v>52.0</v>
      </c>
      <c r="H140" s="104">
        <f t="shared" si="1"/>
        <v>0.6730769231</v>
      </c>
      <c r="I140" s="105">
        <f t="shared" si="2"/>
        <v>97.56142857</v>
      </c>
      <c r="J140" s="106">
        <f t="shared" si="3"/>
        <v>144.9484082</v>
      </c>
      <c r="K140" s="117">
        <v>472.57</v>
      </c>
      <c r="L140" s="103">
        <v>131083.0</v>
      </c>
      <c r="M140" s="103">
        <v>13.0</v>
      </c>
      <c r="N140" s="118">
        <v>934.55</v>
      </c>
      <c r="O140" s="109">
        <f t="shared" si="40"/>
        <v>0.5056658285</v>
      </c>
      <c r="P140" s="110">
        <f t="shared" si="5"/>
        <v>1.977590621</v>
      </c>
      <c r="Q140" s="109">
        <f t="shared" si="6"/>
        <v>0.1383948575</v>
      </c>
      <c r="R140" s="111">
        <f t="shared" si="7"/>
        <v>0.2736883722</v>
      </c>
      <c r="S140" s="119">
        <f t="shared" si="44"/>
        <v>2480.1</v>
      </c>
      <c r="T140" s="113">
        <f t="shared" si="9"/>
        <v>36.35153846</v>
      </c>
      <c r="U140" s="114"/>
      <c r="V140" s="114"/>
      <c r="W140" s="114"/>
      <c r="X140" s="114"/>
      <c r="Y140" s="115"/>
      <c r="Z140" s="98"/>
      <c r="AA140" s="98"/>
    </row>
    <row r="141" hidden="1" outlineLevel="1">
      <c r="A141" s="98"/>
      <c r="B141" s="116"/>
      <c r="C141" s="100" t="s">
        <v>34</v>
      </c>
      <c r="D141" s="120">
        <v>0.0</v>
      </c>
      <c r="E141" s="102"/>
      <c r="F141" s="103">
        <v>0.0</v>
      </c>
      <c r="G141" s="103">
        <v>0.0</v>
      </c>
      <c r="H141" s="104" t="str">
        <f t="shared" si="1"/>
        <v>#DIV/0!</v>
      </c>
      <c r="I141" s="105" t="str">
        <f t="shared" si="2"/>
        <v>#DIV/0!</v>
      </c>
      <c r="J141" s="106" t="str">
        <f t="shared" si="3"/>
        <v>#DIV/0!</v>
      </c>
      <c r="K141" s="120">
        <v>0.0</v>
      </c>
      <c r="L141" s="103">
        <v>0.0</v>
      </c>
      <c r="M141" s="103">
        <v>0.0</v>
      </c>
      <c r="N141" s="121">
        <v>0.0</v>
      </c>
      <c r="O141" s="109" t="str">
        <f>(K141/N141)</f>
        <v>#DIV/0!</v>
      </c>
      <c r="P141" s="110" t="str">
        <f t="shared" si="5"/>
        <v>#DIV/0!</v>
      </c>
      <c r="Q141" s="109" t="str">
        <f t="shared" si="6"/>
        <v>#DIV/0!</v>
      </c>
      <c r="R141" s="111" t="str">
        <f t="shared" si="7"/>
        <v>#DIV/0!</v>
      </c>
      <c r="S141" s="122">
        <f t="shared" si="44"/>
        <v>0</v>
      </c>
      <c r="T141" s="113" t="str">
        <f t="shared" si="9"/>
        <v>#DIV/0!</v>
      </c>
      <c r="U141" s="114"/>
      <c r="V141" s="114"/>
      <c r="W141" s="114"/>
      <c r="X141" s="114"/>
      <c r="Y141" s="115"/>
      <c r="Z141" s="98"/>
      <c r="AA141" s="98"/>
    </row>
    <row r="142" hidden="1" outlineLevel="1">
      <c r="A142" s="98"/>
      <c r="B142" s="116"/>
      <c r="C142" s="100" t="s">
        <v>35</v>
      </c>
      <c r="D142" s="120">
        <v>359.7</v>
      </c>
      <c r="E142" s="102"/>
      <c r="F142" s="103">
        <v>6.0</v>
      </c>
      <c r="G142" s="103">
        <v>7.0</v>
      </c>
      <c r="H142" s="104">
        <f t="shared" si="1"/>
        <v>0.8571428571</v>
      </c>
      <c r="I142" s="105">
        <f t="shared" si="2"/>
        <v>59.95</v>
      </c>
      <c r="J142" s="106">
        <f t="shared" si="3"/>
        <v>69.94166667</v>
      </c>
      <c r="K142" s="120">
        <v>207.61</v>
      </c>
      <c r="L142" s="103">
        <v>13060.0</v>
      </c>
      <c r="M142" s="103">
        <v>5.0</v>
      </c>
      <c r="N142" s="121">
        <v>299.75</v>
      </c>
      <c r="O142" s="109">
        <f t="shared" ref="O142:O158" si="45">K142/N142</f>
        <v>0.6926105088</v>
      </c>
      <c r="P142" s="110">
        <f t="shared" si="5"/>
        <v>1.443812918</v>
      </c>
      <c r="Q142" s="109">
        <f t="shared" si="6"/>
        <v>0.577175424</v>
      </c>
      <c r="R142" s="111">
        <f t="shared" si="7"/>
        <v>0.8333333333</v>
      </c>
      <c r="S142" s="122">
        <f t="shared" si="44"/>
        <v>59.95</v>
      </c>
      <c r="T142" s="113">
        <f t="shared" si="9"/>
        <v>41.522</v>
      </c>
      <c r="U142" s="114"/>
      <c r="V142" s="114"/>
      <c r="W142" s="114"/>
      <c r="X142" s="114"/>
      <c r="Y142" s="115"/>
      <c r="Z142" s="98"/>
      <c r="AA142" s="98"/>
    </row>
    <row r="143" hidden="1" outlineLevel="1">
      <c r="A143" s="98"/>
      <c r="B143" s="116"/>
      <c r="C143" s="100" t="s">
        <v>36</v>
      </c>
      <c r="D143" s="120">
        <v>1019.2</v>
      </c>
      <c r="E143" s="102"/>
      <c r="F143" s="103">
        <v>16.0</v>
      </c>
      <c r="G143" s="103">
        <v>16.0</v>
      </c>
      <c r="H143" s="104">
        <f t="shared" si="1"/>
        <v>1</v>
      </c>
      <c r="I143" s="105">
        <f t="shared" si="2"/>
        <v>63.7</v>
      </c>
      <c r="J143" s="106">
        <f t="shared" si="3"/>
        <v>63.7</v>
      </c>
      <c r="K143" s="120">
        <v>22.35</v>
      </c>
      <c r="L143" s="103">
        <v>13189.0</v>
      </c>
      <c r="M143" s="103">
        <v>2.0</v>
      </c>
      <c r="N143" s="121">
        <v>119.9</v>
      </c>
      <c r="O143" s="109">
        <f t="shared" si="45"/>
        <v>0.1864053378</v>
      </c>
      <c r="P143" s="110">
        <f t="shared" si="5"/>
        <v>5.364653244</v>
      </c>
      <c r="Q143" s="109">
        <f t="shared" si="6"/>
        <v>0.02192896389</v>
      </c>
      <c r="R143" s="111">
        <f t="shared" si="7"/>
        <v>0.1176412873</v>
      </c>
      <c r="S143" s="122">
        <f t="shared" si="44"/>
        <v>899.3</v>
      </c>
      <c r="T143" s="113">
        <f t="shared" si="9"/>
        <v>11.175</v>
      </c>
      <c r="U143" s="114"/>
      <c r="V143" s="114"/>
      <c r="W143" s="114"/>
      <c r="X143" s="114"/>
      <c r="Y143" s="115"/>
      <c r="Z143" s="98"/>
      <c r="AA143" s="98"/>
    </row>
    <row r="144" hidden="1" outlineLevel="1">
      <c r="A144" s="98"/>
      <c r="B144" s="99" t="s">
        <v>37</v>
      </c>
      <c r="C144" s="100" t="s">
        <v>38</v>
      </c>
      <c r="D144" s="123">
        <v>0.0</v>
      </c>
      <c r="E144" s="102"/>
      <c r="F144" s="103">
        <v>0.0</v>
      </c>
      <c r="G144" s="103">
        <v>0.0</v>
      </c>
      <c r="H144" s="104" t="str">
        <f t="shared" si="1"/>
        <v>#DIV/0!</v>
      </c>
      <c r="I144" s="105" t="str">
        <f t="shared" si="2"/>
        <v>#DIV/0!</v>
      </c>
      <c r="J144" s="106" t="str">
        <f t="shared" si="3"/>
        <v>#DIV/0!</v>
      </c>
      <c r="K144" s="123">
        <v>33.25</v>
      </c>
      <c r="L144" s="103">
        <v>263412.0</v>
      </c>
      <c r="M144" s="103">
        <v>0.0</v>
      </c>
      <c r="N144" s="124">
        <v>0.0</v>
      </c>
      <c r="O144" s="109" t="str">
        <f t="shared" si="45"/>
        <v>#DIV/0!</v>
      </c>
      <c r="P144" s="110">
        <f t="shared" si="5"/>
        <v>0</v>
      </c>
      <c r="Q144" s="109" t="str">
        <f t="shared" si="6"/>
        <v>#DIV/0!</v>
      </c>
      <c r="R144" s="111" t="str">
        <f t="shared" si="7"/>
        <v>#DIV/0!</v>
      </c>
      <c r="S144" s="125">
        <f t="shared" si="44"/>
        <v>0</v>
      </c>
      <c r="T144" s="113" t="str">
        <f t="shared" si="9"/>
        <v>#DIV/0!</v>
      </c>
      <c r="U144" s="114"/>
      <c r="V144" s="114"/>
      <c r="W144" s="114"/>
      <c r="X144" s="114"/>
      <c r="Y144" s="115"/>
      <c r="Z144" s="98"/>
      <c r="AA144" s="98"/>
    </row>
    <row r="145" hidden="1" outlineLevel="1">
      <c r="A145" s="98"/>
      <c r="B145" s="116"/>
      <c r="C145" s="100" t="s">
        <v>39</v>
      </c>
      <c r="D145" s="126">
        <v>0.0</v>
      </c>
      <c r="E145" s="102"/>
      <c r="F145" s="103">
        <v>0.0</v>
      </c>
      <c r="G145" s="103">
        <v>0.0</v>
      </c>
      <c r="H145" s="104" t="str">
        <f t="shared" si="1"/>
        <v>#DIV/0!</v>
      </c>
      <c r="I145" s="105" t="str">
        <f t="shared" si="2"/>
        <v>#DIV/0!</v>
      </c>
      <c r="J145" s="106" t="str">
        <f t="shared" si="3"/>
        <v>#DIV/0!</v>
      </c>
      <c r="K145" s="126">
        <v>0.0</v>
      </c>
      <c r="L145" s="103">
        <v>0.0</v>
      </c>
      <c r="M145" s="103">
        <v>0.0</v>
      </c>
      <c r="N145" s="127">
        <v>0.0</v>
      </c>
      <c r="O145" s="109" t="str">
        <f t="shared" si="45"/>
        <v>#DIV/0!</v>
      </c>
      <c r="P145" s="110" t="str">
        <f t="shared" si="5"/>
        <v>#DIV/0!</v>
      </c>
      <c r="Q145" s="109" t="str">
        <f t="shared" si="6"/>
        <v>#DIV/0!</v>
      </c>
      <c r="R145" s="111" t="str">
        <f t="shared" si="7"/>
        <v>#DIV/0!</v>
      </c>
      <c r="S145" s="128">
        <f t="shared" si="44"/>
        <v>0</v>
      </c>
      <c r="T145" s="113" t="str">
        <f t="shared" si="9"/>
        <v>#DIV/0!</v>
      </c>
      <c r="U145" s="114"/>
      <c r="V145" s="114"/>
      <c r="W145" s="114"/>
      <c r="X145" s="114"/>
      <c r="Y145" s="115"/>
      <c r="Z145" s="98"/>
      <c r="AA145" s="98"/>
    </row>
    <row r="146" hidden="1" outlineLevel="1">
      <c r="A146" s="98"/>
      <c r="B146" s="116"/>
      <c r="C146" s="100" t="s">
        <v>40</v>
      </c>
      <c r="D146" s="129">
        <v>0.0</v>
      </c>
      <c r="E146" s="102"/>
      <c r="F146" s="103">
        <v>0.0</v>
      </c>
      <c r="G146" s="103">
        <v>0.0</v>
      </c>
      <c r="H146" s="104" t="str">
        <f t="shared" si="1"/>
        <v>#DIV/0!</v>
      </c>
      <c r="I146" s="105" t="str">
        <f t="shared" si="2"/>
        <v>#DIV/0!</v>
      </c>
      <c r="J146" s="106" t="str">
        <f t="shared" si="3"/>
        <v>#DIV/0!</v>
      </c>
      <c r="K146" s="129">
        <v>0.0</v>
      </c>
      <c r="L146" s="103">
        <v>0.0</v>
      </c>
      <c r="M146" s="103">
        <v>0.0</v>
      </c>
      <c r="N146" s="130">
        <v>0.0</v>
      </c>
      <c r="O146" s="109" t="str">
        <f t="shared" si="45"/>
        <v>#DIV/0!</v>
      </c>
      <c r="P146" s="110" t="str">
        <f t="shared" si="5"/>
        <v>#DIV/0!</v>
      </c>
      <c r="Q146" s="109" t="str">
        <f t="shared" si="6"/>
        <v>#DIV/0!</v>
      </c>
      <c r="R146" s="111" t="str">
        <f t="shared" si="7"/>
        <v>#DIV/0!</v>
      </c>
      <c r="S146" s="131">
        <f t="shared" si="44"/>
        <v>0</v>
      </c>
      <c r="T146" s="113" t="str">
        <f t="shared" si="9"/>
        <v>#DIV/0!</v>
      </c>
      <c r="U146" s="114"/>
      <c r="V146" s="114"/>
      <c r="W146" s="114"/>
      <c r="X146" s="114"/>
      <c r="Y146" s="115"/>
      <c r="Z146" s="98"/>
      <c r="AA146" s="98"/>
    </row>
    <row r="147" hidden="1" outlineLevel="1">
      <c r="A147" s="98"/>
      <c r="B147" s="116"/>
      <c r="C147" s="100" t="s">
        <v>41</v>
      </c>
      <c r="D147" s="132">
        <v>2454.7</v>
      </c>
      <c r="E147" s="102"/>
      <c r="F147" s="103">
        <v>35.0</v>
      </c>
      <c r="G147" s="103">
        <v>34.0</v>
      </c>
      <c r="H147" s="104">
        <f t="shared" si="1"/>
        <v>1.029411765</v>
      </c>
      <c r="I147" s="105">
        <f t="shared" si="2"/>
        <v>70.13428571</v>
      </c>
      <c r="J147" s="106">
        <f t="shared" si="3"/>
        <v>68.13044898</v>
      </c>
      <c r="K147" s="132">
        <v>505.35</v>
      </c>
      <c r="L147" s="103">
        <v>41325.0</v>
      </c>
      <c r="M147" s="103">
        <v>7.0</v>
      </c>
      <c r="N147" s="133">
        <v>608.95</v>
      </c>
      <c r="O147" s="109">
        <f t="shared" si="45"/>
        <v>0.8298710896</v>
      </c>
      <c r="P147" s="110">
        <f t="shared" si="5"/>
        <v>1.205006431</v>
      </c>
      <c r="Q147" s="109">
        <f t="shared" si="6"/>
        <v>0.2058703711</v>
      </c>
      <c r="R147" s="111">
        <f t="shared" si="7"/>
        <v>0.2480751212</v>
      </c>
      <c r="S147" s="134">
        <f t="shared" si="44"/>
        <v>1845.75</v>
      </c>
      <c r="T147" s="113">
        <f t="shared" si="9"/>
        <v>72.19285714</v>
      </c>
      <c r="U147" s="114"/>
      <c r="V147" s="114"/>
      <c r="W147" s="114"/>
      <c r="X147" s="114"/>
      <c r="Y147" s="115"/>
      <c r="Z147" s="98"/>
      <c r="AA147" s="98"/>
    </row>
    <row r="148" hidden="1" outlineLevel="1">
      <c r="A148" s="98"/>
      <c r="B148" s="116"/>
      <c r="C148" s="100" t="s">
        <v>42</v>
      </c>
      <c r="D148" s="120">
        <v>79.96</v>
      </c>
      <c r="E148" s="102"/>
      <c r="F148" s="103">
        <v>4.0</v>
      </c>
      <c r="G148" s="103">
        <v>4.0</v>
      </c>
      <c r="H148" s="104">
        <f t="shared" si="1"/>
        <v>1</v>
      </c>
      <c r="I148" s="105">
        <f t="shared" si="2"/>
        <v>19.99</v>
      </c>
      <c r="J148" s="106">
        <f t="shared" si="3"/>
        <v>19.99</v>
      </c>
      <c r="K148" s="120">
        <v>402.14</v>
      </c>
      <c r="L148" s="103">
        <v>67598.0</v>
      </c>
      <c r="M148" s="103">
        <v>2.0</v>
      </c>
      <c r="N148" s="121">
        <v>39.98</v>
      </c>
      <c r="O148" s="109">
        <f t="shared" si="45"/>
        <v>10.05852926</v>
      </c>
      <c r="P148" s="110">
        <f t="shared" si="5"/>
        <v>0.09941811309</v>
      </c>
      <c r="Q148" s="109">
        <f t="shared" si="6"/>
        <v>5.029264632</v>
      </c>
      <c r="R148" s="111">
        <f t="shared" si="7"/>
        <v>0.5</v>
      </c>
      <c r="S148" s="122">
        <f t="shared" si="44"/>
        <v>39.98</v>
      </c>
      <c r="T148" s="113">
        <f t="shared" si="9"/>
        <v>201.07</v>
      </c>
      <c r="U148" s="114"/>
      <c r="V148" s="114"/>
      <c r="W148" s="114"/>
      <c r="X148" s="114"/>
      <c r="Y148" s="115"/>
      <c r="Z148" s="98"/>
      <c r="AA148" s="98"/>
    </row>
    <row r="149" hidden="1" outlineLevel="1">
      <c r="A149" s="98"/>
      <c r="B149" s="116"/>
      <c r="C149" s="100" t="s">
        <v>43</v>
      </c>
      <c r="D149" s="135">
        <v>753.73</v>
      </c>
      <c r="E149" s="102"/>
      <c r="F149" s="103">
        <v>7.0</v>
      </c>
      <c r="G149" s="103">
        <v>9.0</v>
      </c>
      <c r="H149" s="104">
        <f t="shared" si="1"/>
        <v>0.7777777778</v>
      </c>
      <c r="I149" s="105">
        <f t="shared" si="2"/>
        <v>107.6757143</v>
      </c>
      <c r="J149" s="106">
        <f t="shared" si="3"/>
        <v>138.4402041</v>
      </c>
      <c r="K149" s="135">
        <v>28.85</v>
      </c>
      <c r="L149" s="103">
        <v>9129.0</v>
      </c>
      <c r="M149" s="103">
        <v>2.0</v>
      </c>
      <c r="N149" s="136">
        <v>205.95</v>
      </c>
      <c r="O149" s="109">
        <f t="shared" si="45"/>
        <v>0.1400825443</v>
      </c>
      <c r="P149" s="110">
        <f t="shared" si="5"/>
        <v>7.13864818</v>
      </c>
      <c r="Q149" s="109">
        <f t="shared" si="6"/>
        <v>0.03827630584</v>
      </c>
      <c r="R149" s="111">
        <f t="shared" si="7"/>
        <v>0.273241081</v>
      </c>
      <c r="S149" s="137">
        <f t="shared" si="44"/>
        <v>547.78</v>
      </c>
      <c r="T149" s="113">
        <f t="shared" si="9"/>
        <v>14.425</v>
      </c>
      <c r="U149" s="114"/>
      <c r="V149" s="114"/>
      <c r="W149" s="114"/>
      <c r="X149" s="114"/>
      <c r="Y149" s="115"/>
      <c r="Z149" s="98"/>
      <c r="AA149" s="98"/>
    </row>
    <row r="150" hidden="1" outlineLevel="1">
      <c r="A150" s="98"/>
      <c r="B150" s="116"/>
      <c r="C150" s="100" t="s">
        <v>44</v>
      </c>
      <c r="D150" s="138">
        <v>179.85</v>
      </c>
      <c r="E150" s="102"/>
      <c r="F150" s="103">
        <v>3.0</v>
      </c>
      <c r="G150" s="103">
        <v>4.0</v>
      </c>
      <c r="H150" s="104">
        <f t="shared" si="1"/>
        <v>0.75</v>
      </c>
      <c r="I150" s="105">
        <f t="shared" si="2"/>
        <v>59.95</v>
      </c>
      <c r="J150" s="106">
        <f t="shared" si="3"/>
        <v>79.93333333</v>
      </c>
      <c r="K150" s="138">
        <v>74.35</v>
      </c>
      <c r="L150" s="103">
        <v>62698.0</v>
      </c>
      <c r="M150" s="103">
        <v>0.0</v>
      </c>
      <c r="N150" s="139">
        <v>0.0</v>
      </c>
      <c r="O150" s="109" t="str">
        <f t="shared" si="45"/>
        <v>#DIV/0!</v>
      </c>
      <c r="P150" s="110">
        <f t="shared" si="5"/>
        <v>0</v>
      </c>
      <c r="Q150" s="109">
        <f t="shared" si="6"/>
        <v>0.4134000556</v>
      </c>
      <c r="R150" s="111">
        <f t="shared" si="7"/>
        <v>0</v>
      </c>
      <c r="S150" s="140">
        <f t="shared" si="44"/>
        <v>179.85</v>
      </c>
      <c r="T150" s="113" t="str">
        <f t="shared" si="9"/>
        <v>#DIV/0!</v>
      </c>
      <c r="U150" s="114"/>
      <c r="V150" s="114"/>
      <c r="W150" s="114"/>
      <c r="X150" s="114"/>
      <c r="Y150" s="115"/>
      <c r="Z150" s="98"/>
      <c r="AA150" s="98"/>
    </row>
    <row r="151" hidden="1" outlineLevel="1">
      <c r="A151" s="141"/>
      <c r="B151" s="116"/>
      <c r="C151" s="142" t="s">
        <v>45</v>
      </c>
      <c r="D151" s="101">
        <v>0.0</v>
      </c>
      <c r="E151" s="102"/>
      <c r="F151" s="103">
        <v>0.0</v>
      </c>
      <c r="G151" s="103">
        <v>0.0</v>
      </c>
      <c r="H151" s="104" t="str">
        <f t="shared" si="1"/>
        <v>#DIV/0!</v>
      </c>
      <c r="I151" s="105" t="str">
        <f t="shared" si="2"/>
        <v>#DIV/0!</v>
      </c>
      <c r="J151" s="106" t="str">
        <f t="shared" si="3"/>
        <v>#DIV/0!</v>
      </c>
      <c r="K151" s="101">
        <v>0.0</v>
      </c>
      <c r="L151" s="103">
        <v>0.0</v>
      </c>
      <c r="M151" s="103">
        <v>0.0</v>
      </c>
      <c r="N151" s="108">
        <v>0.0</v>
      </c>
      <c r="O151" s="109" t="str">
        <f t="shared" si="45"/>
        <v>#DIV/0!</v>
      </c>
      <c r="P151" s="110" t="str">
        <f t="shared" si="5"/>
        <v>#DIV/0!</v>
      </c>
      <c r="Q151" s="109" t="str">
        <f t="shared" si="6"/>
        <v>#DIV/0!</v>
      </c>
      <c r="R151" s="111" t="str">
        <f t="shared" si="7"/>
        <v>#DIV/0!</v>
      </c>
      <c r="S151" s="112">
        <f t="shared" si="44"/>
        <v>0</v>
      </c>
      <c r="T151" s="113" t="str">
        <f t="shared" si="9"/>
        <v>#DIV/0!</v>
      </c>
      <c r="U151" s="143"/>
      <c r="V151" s="143"/>
      <c r="W151" s="143"/>
      <c r="X151" s="144"/>
      <c r="Y151" s="145"/>
      <c r="Z151" s="98"/>
      <c r="AA151" s="98"/>
    </row>
    <row r="152" hidden="1" outlineLevel="1">
      <c r="A152" s="98"/>
      <c r="B152" s="116"/>
      <c r="C152" s="100" t="s">
        <v>46</v>
      </c>
      <c r="D152" s="146">
        <v>1888.85</v>
      </c>
      <c r="E152" s="102"/>
      <c r="F152" s="103">
        <v>43.0</v>
      </c>
      <c r="G152" s="103">
        <v>42.0</v>
      </c>
      <c r="H152" s="104">
        <f t="shared" si="1"/>
        <v>1.023809524</v>
      </c>
      <c r="I152" s="105">
        <f t="shared" si="2"/>
        <v>43.92674419</v>
      </c>
      <c r="J152" s="106">
        <f t="shared" si="3"/>
        <v>42.905192</v>
      </c>
      <c r="K152" s="146">
        <v>270.85</v>
      </c>
      <c r="L152" s="103">
        <v>57268.0</v>
      </c>
      <c r="M152" s="103">
        <v>12.0</v>
      </c>
      <c r="N152" s="147">
        <v>347.6</v>
      </c>
      <c r="O152" s="109">
        <f t="shared" si="45"/>
        <v>0.7792002301</v>
      </c>
      <c r="P152" s="110">
        <f t="shared" si="5"/>
        <v>1.283367177</v>
      </c>
      <c r="Q152" s="109">
        <f t="shared" si="6"/>
        <v>0.1433941287</v>
      </c>
      <c r="R152" s="111">
        <f t="shared" si="7"/>
        <v>0.1840273182</v>
      </c>
      <c r="S152" s="112">
        <f t="shared" si="44"/>
        <v>1541.25</v>
      </c>
      <c r="T152" s="113">
        <f t="shared" si="9"/>
        <v>22.57083333</v>
      </c>
      <c r="U152" s="114"/>
      <c r="V152" s="114"/>
      <c r="W152" s="114"/>
      <c r="X152" s="114"/>
      <c r="Y152" s="115"/>
      <c r="Z152" s="98"/>
      <c r="AA152" s="98"/>
    </row>
    <row r="153" hidden="1" outlineLevel="1">
      <c r="A153" s="98"/>
      <c r="B153" s="116"/>
      <c r="C153" s="100" t="s">
        <v>47</v>
      </c>
      <c r="D153" s="117">
        <v>29.85</v>
      </c>
      <c r="E153" s="102"/>
      <c r="F153" s="103">
        <v>1.0</v>
      </c>
      <c r="G153" s="103">
        <v>1.0</v>
      </c>
      <c r="H153" s="104">
        <f t="shared" si="1"/>
        <v>1</v>
      </c>
      <c r="I153" s="105">
        <f t="shared" si="2"/>
        <v>29.85</v>
      </c>
      <c r="J153" s="106">
        <f t="shared" si="3"/>
        <v>29.85</v>
      </c>
      <c r="K153" s="117">
        <v>0.0</v>
      </c>
      <c r="L153" s="103">
        <v>0.0</v>
      </c>
      <c r="M153" s="103">
        <v>0.0</v>
      </c>
      <c r="N153" s="118">
        <v>0.0</v>
      </c>
      <c r="O153" s="109" t="str">
        <f t="shared" si="45"/>
        <v>#DIV/0!</v>
      </c>
      <c r="P153" s="110" t="str">
        <f t="shared" si="5"/>
        <v>#DIV/0!</v>
      </c>
      <c r="Q153" s="109">
        <f t="shared" si="6"/>
        <v>0</v>
      </c>
      <c r="R153" s="111">
        <f t="shared" si="7"/>
        <v>0</v>
      </c>
      <c r="S153" s="112">
        <f t="shared" si="44"/>
        <v>29.85</v>
      </c>
      <c r="T153" s="113" t="str">
        <f t="shared" si="9"/>
        <v>#DIV/0!</v>
      </c>
      <c r="U153" s="114"/>
      <c r="V153" s="114"/>
      <c r="W153" s="114"/>
      <c r="X153" s="114"/>
      <c r="Y153" s="115"/>
      <c r="Z153" s="98"/>
      <c r="AA153" s="98"/>
    </row>
    <row r="154" hidden="1" outlineLevel="1">
      <c r="A154" s="98"/>
      <c r="B154" s="116"/>
      <c r="C154" s="100" t="s">
        <v>48</v>
      </c>
      <c r="D154" s="132">
        <v>3999.0</v>
      </c>
      <c r="E154" s="102"/>
      <c r="F154" s="103">
        <v>20.0</v>
      </c>
      <c r="G154" s="103">
        <v>21.0</v>
      </c>
      <c r="H154" s="104">
        <f t="shared" si="1"/>
        <v>0.9523809524</v>
      </c>
      <c r="I154" s="105">
        <f t="shared" si="2"/>
        <v>199.95</v>
      </c>
      <c r="J154" s="106">
        <f t="shared" si="3"/>
        <v>209.9475</v>
      </c>
      <c r="K154" s="132">
        <v>353.95</v>
      </c>
      <c r="L154" s="103">
        <v>38602.0</v>
      </c>
      <c r="M154" s="103">
        <v>13.0</v>
      </c>
      <c r="N154" s="133">
        <v>2639.35</v>
      </c>
      <c r="O154" s="109">
        <f t="shared" si="45"/>
        <v>0.134104988</v>
      </c>
      <c r="P154" s="110">
        <f t="shared" si="5"/>
        <v>7.456844187</v>
      </c>
      <c r="Q154" s="109">
        <f t="shared" si="6"/>
        <v>0.08850962741</v>
      </c>
      <c r="R154" s="111">
        <f t="shared" si="7"/>
        <v>0.6600025006</v>
      </c>
      <c r="S154" s="112">
        <f t="shared" si="44"/>
        <v>1359.65</v>
      </c>
      <c r="T154" s="113">
        <f t="shared" si="9"/>
        <v>27.22692308</v>
      </c>
      <c r="U154" s="114"/>
      <c r="V154" s="114"/>
      <c r="W154" s="114"/>
      <c r="X154" s="114"/>
      <c r="Y154" s="115"/>
      <c r="Z154" s="98"/>
      <c r="AA154" s="98"/>
    </row>
    <row r="155" hidden="1" outlineLevel="1">
      <c r="A155" s="148" t="str">
        <f t="shared" ref="A155:A156" si="46">iferror(if(B155&gt;0,month(B155)&amp;"-"&amp;year(B155),B155),)</f>
        <v>2-2026</v>
      </c>
      <c r="B155" s="99">
        <v>46067.0</v>
      </c>
      <c r="C155" s="100" t="s">
        <v>49</v>
      </c>
      <c r="D155" s="146">
        <v>0.0</v>
      </c>
      <c r="E155" s="102"/>
      <c r="F155" s="103">
        <v>0.0</v>
      </c>
      <c r="G155" s="103">
        <v>0.0</v>
      </c>
      <c r="H155" s="104" t="str">
        <f t="shared" si="1"/>
        <v>#DIV/0!</v>
      </c>
      <c r="I155" s="105" t="str">
        <f t="shared" si="2"/>
        <v>#DIV/0!</v>
      </c>
      <c r="J155" s="106" t="str">
        <f t="shared" si="3"/>
        <v>#DIV/0!</v>
      </c>
      <c r="K155" s="146">
        <v>9.78</v>
      </c>
      <c r="L155" s="103">
        <v>9062.0</v>
      </c>
      <c r="M155" s="103">
        <v>0.0</v>
      </c>
      <c r="N155" s="147">
        <v>0.0</v>
      </c>
      <c r="O155" s="109" t="str">
        <f t="shared" si="45"/>
        <v>#DIV/0!</v>
      </c>
      <c r="P155" s="110">
        <f t="shared" si="5"/>
        <v>0</v>
      </c>
      <c r="Q155" s="109" t="str">
        <f t="shared" si="6"/>
        <v>#DIV/0!</v>
      </c>
      <c r="R155" s="111" t="str">
        <f t="shared" si="7"/>
        <v>#DIV/0!</v>
      </c>
      <c r="S155" s="112">
        <f t="shared" si="44"/>
        <v>0</v>
      </c>
      <c r="T155" s="113" t="str">
        <f t="shared" si="9"/>
        <v>#DIV/0!</v>
      </c>
      <c r="U155" s="114"/>
      <c r="V155" s="114"/>
      <c r="W155" s="114"/>
      <c r="X155" s="114"/>
      <c r="Y155" s="115"/>
      <c r="Z155" s="98"/>
      <c r="AA155" s="98"/>
    </row>
    <row r="156" collapsed="1">
      <c r="A156" s="98" t="str">
        <f t="shared" si="46"/>
        <v/>
      </c>
      <c r="B156" s="149" t="s">
        <v>57</v>
      </c>
      <c r="C156" s="150"/>
      <c r="D156" s="151">
        <f>SUM(D139:D155)</f>
        <v>18719.59</v>
      </c>
      <c r="E156" s="152"/>
      <c r="F156" s="153">
        <f t="shared" ref="F156:G156" si="47">SUM(F139:F155)</f>
        <v>195</v>
      </c>
      <c r="G156" s="153">
        <f t="shared" si="47"/>
        <v>217</v>
      </c>
      <c r="H156" s="154">
        <f t="shared" si="1"/>
        <v>0.8986175115</v>
      </c>
      <c r="I156" s="155">
        <f t="shared" si="2"/>
        <v>95.99789744</v>
      </c>
      <c r="J156" s="156">
        <f t="shared" si="3"/>
        <v>106.8284295</v>
      </c>
      <c r="K156" s="151">
        <f t="shared" ref="K156:N156" si="48">SUM(K139:K155)</f>
        <v>2968.85</v>
      </c>
      <c r="L156" s="153">
        <f t="shared" si="48"/>
        <v>810479</v>
      </c>
      <c r="M156" s="153">
        <f t="shared" si="48"/>
        <v>60</v>
      </c>
      <c r="N156" s="157">
        <f t="shared" si="48"/>
        <v>6742.93</v>
      </c>
      <c r="O156" s="158">
        <f t="shared" si="45"/>
        <v>0.4402907935</v>
      </c>
      <c r="P156" s="159">
        <f t="shared" si="5"/>
        <v>2.271226232</v>
      </c>
      <c r="Q156" s="158">
        <f t="shared" si="6"/>
        <v>0.1585958881</v>
      </c>
      <c r="R156" s="160">
        <f t="shared" si="7"/>
        <v>0.3602071413</v>
      </c>
      <c r="S156" s="161">
        <f>SUM(S139:S155)</f>
        <v>11976.66</v>
      </c>
      <c r="T156" s="162">
        <f t="shared" si="9"/>
        <v>49.48083333</v>
      </c>
      <c r="U156" s="164" t="str">
        <f>IFERROR((D156-#REF!)/D156,)</f>
        <v/>
      </c>
      <c r="V156" s="164" t="str">
        <f>IFERROR((F156-#REF!)/F156,)</f>
        <v/>
      </c>
      <c r="W156" s="164" t="str">
        <f>IFERROR((D156-#REF!)/D156, )</f>
        <v/>
      </c>
      <c r="X156" s="164" t="str">
        <f>IFERROR((F156-#REF!)/F156, )</f>
        <v/>
      </c>
      <c r="Y156" s="98"/>
      <c r="Z156" s="98"/>
      <c r="AA156" s="98"/>
    </row>
    <row r="157" hidden="1" outlineLevel="1">
      <c r="A157" s="98"/>
      <c r="B157" s="99">
        <v>46068.0</v>
      </c>
      <c r="C157" s="100" t="s">
        <v>32</v>
      </c>
      <c r="D157" s="101">
        <v>3998.34</v>
      </c>
      <c r="E157" s="102"/>
      <c r="F157" s="103">
        <v>34.0</v>
      </c>
      <c r="G157" s="103">
        <v>35.0</v>
      </c>
      <c r="H157" s="104">
        <f t="shared" si="1"/>
        <v>0.9714285714</v>
      </c>
      <c r="I157" s="105">
        <f t="shared" si="2"/>
        <v>117.5982353</v>
      </c>
      <c r="J157" s="106">
        <f t="shared" si="3"/>
        <v>121.0570069</v>
      </c>
      <c r="K157" s="107">
        <v>658.34</v>
      </c>
      <c r="L157" s="103">
        <v>123278.0</v>
      </c>
      <c r="M157" s="103">
        <v>11.0</v>
      </c>
      <c r="N157" s="108">
        <v>1518.8</v>
      </c>
      <c r="O157" s="109">
        <f t="shared" si="45"/>
        <v>0.4334606268</v>
      </c>
      <c r="P157" s="110">
        <f t="shared" si="5"/>
        <v>2.307014613</v>
      </c>
      <c r="Q157" s="109">
        <f t="shared" si="6"/>
        <v>0.1646533311</v>
      </c>
      <c r="R157" s="111">
        <f t="shared" si="7"/>
        <v>0.3798576409</v>
      </c>
      <c r="S157" s="112">
        <f t="shared" ref="S157:S173" si="49">D157-N157</f>
        <v>2479.54</v>
      </c>
      <c r="T157" s="113">
        <f t="shared" si="9"/>
        <v>59.84909091</v>
      </c>
      <c r="U157" s="114"/>
      <c r="V157" s="114"/>
      <c r="W157" s="114"/>
      <c r="X157" s="114"/>
      <c r="Y157" s="115"/>
      <c r="Z157" s="98"/>
      <c r="AA157" s="98"/>
    </row>
    <row r="158" hidden="1" outlineLevel="1">
      <c r="A158" s="98"/>
      <c r="B158" s="116"/>
      <c r="C158" s="100" t="s">
        <v>33</v>
      </c>
      <c r="D158" s="117">
        <v>12681.0</v>
      </c>
      <c r="E158" s="102"/>
      <c r="F158" s="103">
        <v>87.0</v>
      </c>
      <c r="G158" s="103">
        <v>88.0</v>
      </c>
      <c r="H158" s="104">
        <f t="shared" si="1"/>
        <v>0.9886363636</v>
      </c>
      <c r="I158" s="105">
        <f t="shared" si="2"/>
        <v>145.7586207</v>
      </c>
      <c r="J158" s="106">
        <f t="shared" si="3"/>
        <v>147.4340071</v>
      </c>
      <c r="K158" s="117">
        <v>662.67</v>
      </c>
      <c r="L158" s="103">
        <v>162216.0</v>
      </c>
      <c r="M158" s="103">
        <v>24.0</v>
      </c>
      <c r="N158" s="118">
        <v>3428.05</v>
      </c>
      <c r="O158" s="109">
        <f t="shared" si="45"/>
        <v>0.1933081489</v>
      </c>
      <c r="P158" s="110">
        <f t="shared" si="5"/>
        <v>5.173087661</v>
      </c>
      <c r="Q158" s="109">
        <f t="shared" si="6"/>
        <v>0.0522569198</v>
      </c>
      <c r="R158" s="111">
        <f t="shared" si="7"/>
        <v>0.270329627</v>
      </c>
      <c r="S158" s="119">
        <f t="shared" si="49"/>
        <v>9252.95</v>
      </c>
      <c r="T158" s="113">
        <f t="shared" si="9"/>
        <v>27.61125</v>
      </c>
      <c r="U158" s="114"/>
      <c r="V158" s="114"/>
      <c r="W158" s="114"/>
      <c r="X158" s="114"/>
      <c r="Y158" s="115"/>
      <c r="Z158" s="98"/>
      <c r="AA158" s="98"/>
    </row>
    <row r="159" hidden="1" outlineLevel="1">
      <c r="A159" s="98"/>
      <c r="B159" s="116"/>
      <c r="C159" s="100" t="s">
        <v>34</v>
      </c>
      <c r="D159" s="120">
        <v>0.0</v>
      </c>
      <c r="E159" s="102"/>
      <c r="F159" s="103">
        <v>0.0</v>
      </c>
      <c r="G159" s="103">
        <v>0.0</v>
      </c>
      <c r="H159" s="104" t="str">
        <f t="shared" si="1"/>
        <v>#DIV/0!</v>
      </c>
      <c r="I159" s="105" t="str">
        <f t="shared" si="2"/>
        <v>#DIV/0!</v>
      </c>
      <c r="J159" s="106" t="str">
        <f t="shared" si="3"/>
        <v>#DIV/0!</v>
      </c>
      <c r="K159" s="120">
        <v>0.0</v>
      </c>
      <c r="L159" s="103">
        <v>0.0</v>
      </c>
      <c r="M159" s="103">
        <v>0.0</v>
      </c>
      <c r="N159" s="121">
        <v>0.0</v>
      </c>
      <c r="O159" s="109" t="str">
        <f>(K159/N159)</f>
        <v>#DIV/0!</v>
      </c>
      <c r="P159" s="110" t="str">
        <f t="shared" si="5"/>
        <v>#DIV/0!</v>
      </c>
      <c r="Q159" s="109" t="str">
        <f t="shared" si="6"/>
        <v>#DIV/0!</v>
      </c>
      <c r="R159" s="111" t="str">
        <f t="shared" si="7"/>
        <v>#DIV/0!</v>
      </c>
      <c r="S159" s="122">
        <f t="shared" si="49"/>
        <v>0</v>
      </c>
      <c r="T159" s="113" t="str">
        <f t="shared" si="9"/>
        <v>#DIV/0!</v>
      </c>
      <c r="U159" s="114"/>
      <c r="V159" s="114"/>
      <c r="W159" s="114"/>
      <c r="X159" s="114"/>
      <c r="Y159" s="115"/>
      <c r="Z159" s="98"/>
      <c r="AA159" s="98"/>
    </row>
    <row r="160" hidden="1" outlineLevel="1">
      <c r="A160" s="98"/>
      <c r="B160" s="116"/>
      <c r="C160" s="100" t="s">
        <v>35</v>
      </c>
      <c r="D160" s="120">
        <v>0.0</v>
      </c>
      <c r="E160" s="102"/>
      <c r="F160" s="103">
        <v>0.0</v>
      </c>
      <c r="G160" s="103">
        <v>0.0</v>
      </c>
      <c r="H160" s="104" t="str">
        <f t="shared" si="1"/>
        <v>#DIV/0!</v>
      </c>
      <c r="I160" s="105" t="str">
        <f t="shared" si="2"/>
        <v>#DIV/0!</v>
      </c>
      <c r="J160" s="106" t="str">
        <f t="shared" si="3"/>
        <v>#DIV/0!</v>
      </c>
      <c r="K160" s="120">
        <v>531.87</v>
      </c>
      <c r="L160" s="103">
        <v>28333.0</v>
      </c>
      <c r="M160" s="103">
        <v>13.0</v>
      </c>
      <c r="N160" s="121">
        <v>770.36</v>
      </c>
      <c r="O160" s="109">
        <f t="shared" ref="O160:O176" si="50">K160/N160</f>
        <v>0.6904174672</v>
      </c>
      <c r="P160" s="110">
        <f t="shared" si="5"/>
        <v>1.448399045</v>
      </c>
      <c r="Q160" s="109" t="str">
        <f t="shared" si="6"/>
        <v>#DIV/0!</v>
      </c>
      <c r="R160" s="111" t="str">
        <f t="shared" si="7"/>
        <v>#DIV/0!</v>
      </c>
      <c r="S160" s="122">
        <f t="shared" si="49"/>
        <v>-770.36</v>
      </c>
      <c r="T160" s="113">
        <f t="shared" si="9"/>
        <v>40.91307692</v>
      </c>
      <c r="U160" s="114"/>
      <c r="V160" s="114"/>
      <c r="W160" s="114"/>
      <c r="X160" s="114"/>
      <c r="Y160" s="115"/>
      <c r="Z160" s="98"/>
      <c r="AA160" s="98"/>
    </row>
    <row r="161" hidden="1" outlineLevel="1">
      <c r="A161" s="98"/>
      <c r="B161" s="116"/>
      <c r="C161" s="100" t="s">
        <v>36</v>
      </c>
      <c r="D161" s="120">
        <v>774.4</v>
      </c>
      <c r="E161" s="102"/>
      <c r="F161" s="103">
        <v>12.0</v>
      </c>
      <c r="G161" s="103">
        <v>11.0</v>
      </c>
      <c r="H161" s="104">
        <f t="shared" si="1"/>
        <v>1.090909091</v>
      </c>
      <c r="I161" s="105">
        <f t="shared" si="2"/>
        <v>64.53333333</v>
      </c>
      <c r="J161" s="106">
        <f t="shared" si="3"/>
        <v>59.15555556</v>
      </c>
      <c r="K161" s="120">
        <v>31.09</v>
      </c>
      <c r="L161" s="103">
        <v>11146.0</v>
      </c>
      <c r="M161" s="103">
        <v>5.0</v>
      </c>
      <c r="N161" s="121">
        <v>319.75</v>
      </c>
      <c r="O161" s="109">
        <f t="shared" si="50"/>
        <v>0.09723221267</v>
      </c>
      <c r="P161" s="110">
        <f t="shared" si="5"/>
        <v>10.28465745</v>
      </c>
      <c r="Q161" s="109">
        <f t="shared" si="6"/>
        <v>0.04014721074</v>
      </c>
      <c r="R161" s="111">
        <f t="shared" si="7"/>
        <v>0.4129003099</v>
      </c>
      <c r="S161" s="122">
        <f t="shared" si="49"/>
        <v>454.65</v>
      </c>
      <c r="T161" s="113">
        <f t="shared" si="9"/>
        <v>6.218</v>
      </c>
      <c r="U161" s="114"/>
      <c r="V161" s="114"/>
      <c r="W161" s="114"/>
      <c r="X161" s="114"/>
      <c r="Y161" s="115"/>
      <c r="Z161" s="98"/>
      <c r="AA161" s="98"/>
    </row>
    <row r="162" hidden="1" outlineLevel="1">
      <c r="A162" s="98"/>
      <c r="B162" s="99" t="s">
        <v>37</v>
      </c>
      <c r="C162" s="100" t="s">
        <v>38</v>
      </c>
      <c r="D162" s="123">
        <v>31.47</v>
      </c>
      <c r="E162" s="102"/>
      <c r="F162" s="103">
        <v>1.0</v>
      </c>
      <c r="G162" s="103">
        <v>1.0</v>
      </c>
      <c r="H162" s="104">
        <f t="shared" si="1"/>
        <v>1</v>
      </c>
      <c r="I162" s="105">
        <f t="shared" si="2"/>
        <v>31.47</v>
      </c>
      <c r="J162" s="106">
        <f t="shared" si="3"/>
        <v>31.47</v>
      </c>
      <c r="K162" s="123">
        <v>30.85</v>
      </c>
      <c r="L162" s="103">
        <v>214339.0</v>
      </c>
      <c r="M162" s="103">
        <v>1.0</v>
      </c>
      <c r="N162" s="124">
        <v>31.47</v>
      </c>
      <c r="O162" s="109">
        <f t="shared" si="50"/>
        <v>0.9802986972</v>
      </c>
      <c r="P162" s="110">
        <f t="shared" si="5"/>
        <v>1.020097245</v>
      </c>
      <c r="Q162" s="109">
        <f t="shared" si="6"/>
        <v>0.9802986972</v>
      </c>
      <c r="R162" s="111">
        <f t="shared" si="7"/>
        <v>1</v>
      </c>
      <c r="S162" s="125">
        <f t="shared" si="49"/>
        <v>0</v>
      </c>
      <c r="T162" s="113">
        <f t="shared" si="9"/>
        <v>30.85</v>
      </c>
      <c r="U162" s="114"/>
      <c r="V162" s="114"/>
      <c r="W162" s="114"/>
      <c r="X162" s="114"/>
      <c r="Y162" s="115"/>
      <c r="Z162" s="98"/>
      <c r="AA162" s="98"/>
    </row>
    <row r="163" hidden="1" outlineLevel="1">
      <c r="A163" s="98"/>
      <c r="B163" s="116"/>
      <c r="C163" s="100" t="s">
        <v>39</v>
      </c>
      <c r="D163" s="126">
        <v>0.0</v>
      </c>
      <c r="E163" s="102"/>
      <c r="F163" s="103">
        <v>0.0</v>
      </c>
      <c r="G163" s="103">
        <v>0.0</v>
      </c>
      <c r="H163" s="104" t="str">
        <f t="shared" si="1"/>
        <v>#DIV/0!</v>
      </c>
      <c r="I163" s="105" t="str">
        <f t="shared" si="2"/>
        <v>#DIV/0!</v>
      </c>
      <c r="J163" s="106" t="str">
        <f t="shared" si="3"/>
        <v>#DIV/0!</v>
      </c>
      <c r="K163" s="126">
        <v>0.0</v>
      </c>
      <c r="L163" s="103">
        <v>0.0</v>
      </c>
      <c r="M163" s="103">
        <v>0.0</v>
      </c>
      <c r="N163" s="127">
        <v>0.0</v>
      </c>
      <c r="O163" s="109" t="str">
        <f t="shared" si="50"/>
        <v>#DIV/0!</v>
      </c>
      <c r="P163" s="110" t="str">
        <f t="shared" si="5"/>
        <v>#DIV/0!</v>
      </c>
      <c r="Q163" s="109" t="str">
        <f t="shared" si="6"/>
        <v>#DIV/0!</v>
      </c>
      <c r="R163" s="111" t="str">
        <f t="shared" si="7"/>
        <v>#DIV/0!</v>
      </c>
      <c r="S163" s="128">
        <f t="shared" si="49"/>
        <v>0</v>
      </c>
      <c r="T163" s="113" t="str">
        <f t="shared" si="9"/>
        <v>#DIV/0!</v>
      </c>
      <c r="U163" s="114"/>
      <c r="V163" s="114"/>
      <c r="W163" s="114"/>
      <c r="X163" s="114"/>
      <c r="Y163" s="115"/>
      <c r="Z163" s="98"/>
      <c r="AA163" s="98"/>
    </row>
    <row r="164" hidden="1" outlineLevel="1">
      <c r="A164" s="98"/>
      <c r="B164" s="116"/>
      <c r="C164" s="100" t="s">
        <v>40</v>
      </c>
      <c r="D164" s="129">
        <v>0.0</v>
      </c>
      <c r="E164" s="102"/>
      <c r="F164" s="103">
        <v>0.0</v>
      </c>
      <c r="G164" s="103">
        <v>0.0</v>
      </c>
      <c r="H164" s="104" t="str">
        <f t="shared" si="1"/>
        <v>#DIV/0!</v>
      </c>
      <c r="I164" s="105" t="str">
        <f t="shared" si="2"/>
        <v>#DIV/0!</v>
      </c>
      <c r="J164" s="106" t="str">
        <f t="shared" si="3"/>
        <v>#DIV/0!</v>
      </c>
      <c r="K164" s="129">
        <v>0.0</v>
      </c>
      <c r="L164" s="103">
        <v>0.0</v>
      </c>
      <c r="M164" s="103">
        <v>0.0</v>
      </c>
      <c r="N164" s="130">
        <v>0.0</v>
      </c>
      <c r="O164" s="109" t="str">
        <f t="shared" si="50"/>
        <v>#DIV/0!</v>
      </c>
      <c r="P164" s="110" t="str">
        <f t="shared" si="5"/>
        <v>#DIV/0!</v>
      </c>
      <c r="Q164" s="109" t="str">
        <f t="shared" si="6"/>
        <v>#DIV/0!</v>
      </c>
      <c r="R164" s="111" t="str">
        <f t="shared" si="7"/>
        <v>#DIV/0!</v>
      </c>
      <c r="S164" s="131">
        <f t="shared" si="49"/>
        <v>0</v>
      </c>
      <c r="T164" s="113" t="str">
        <f t="shared" si="9"/>
        <v>#DIV/0!</v>
      </c>
      <c r="U164" s="114"/>
      <c r="V164" s="114"/>
      <c r="W164" s="114"/>
      <c r="X164" s="114"/>
      <c r="Y164" s="115"/>
      <c r="Z164" s="98"/>
      <c r="AA164" s="98"/>
    </row>
    <row r="165" hidden="1" outlineLevel="1">
      <c r="A165" s="98"/>
      <c r="B165" s="116"/>
      <c r="C165" s="100" t="s">
        <v>41</v>
      </c>
      <c r="D165" s="132">
        <v>2455.63</v>
      </c>
      <c r="E165" s="102"/>
      <c r="F165" s="103">
        <v>39.0</v>
      </c>
      <c r="G165" s="103">
        <v>37.0</v>
      </c>
      <c r="H165" s="104">
        <f t="shared" si="1"/>
        <v>1.054054054</v>
      </c>
      <c r="I165" s="105">
        <f t="shared" si="2"/>
        <v>62.96487179</v>
      </c>
      <c r="J165" s="106">
        <f t="shared" si="3"/>
        <v>59.73590401</v>
      </c>
      <c r="K165" s="132">
        <v>608.71</v>
      </c>
      <c r="L165" s="103">
        <v>49867.0</v>
      </c>
      <c r="M165" s="103">
        <v>13.0</v>
      </c>
      <c r="N165" s="133">
        <v>844.88</v>
      </c>
      <c r="O165" s="109">
        <f t="shared" si="50"/>
        <v>0.7204691791</v>
      </c>
      <c r="P165" s="110">
        <f t="shared" si="5"/>
        <v>1.387984426</v>
      </c>
      <c r="Q165" s="109">
        <f t="shared" si="6"/>
        <v>0.2478834352</v>
      </c>
      <c r="R165" s="111">
        <f t="shared" si="7"/>
        <v>0.3440583476</v>
      </c>
      <c r="S165" s="134">
        <f t="shared" si="49"/>
        <v>1610.75</v>
      </c>
      <c r="T165" s="113">
        <f t="shared" si="9"/>
        <v>46.82384615</v>
      </c>
      <c r="U165" s="114"/>
      <c r="V165" s="114"/>
      <c r="W165" s="114"/>
      <c r="X165" s="114"/>
      <c r="Y165" s="115"/>
      <c r="Z165" s="98"/>
      <c r="AA165" s="98"/>
    </row>
    <row r="166" hidden="1" outlineLevel="1">
      <c r="A166" s="98"/>
      <c r="B166" s="116"/>
      <c r="C166" s="100" t="s">
        <v>42</v>
      </c>
      <c r="D166" s="120">
        <v>209.85</v>
      </c>
      <c r="E166" s="102"/>
      <c r="F166" s="103">
        <v>11.0</v>
      </c>
      <c r="G166" s="103">
        <v>5.0</v>
      </c>
      <c r="H166" s="104">
        <f t="shared" si="1"/>
        <v>2.2</v>
      </c>
      <c r="I166" s="105">
        <f t="shared" si="2"/>
        <v>19.07727273</v>
      </c>
      <c r="J166" s="106">
        <f t="shared" si="3"/>
        <v>8.671487603</v>
      </c>
      <c r="K166" s="120">
        <v>429.11</v>
      </c>
      <c r="L166" s="103">
        <v>81326.0</v>
      </c>
      <c r="M166" s="103">
        <v>4.0</v>
      </c>
      <c r="N166" s="121">
        <v>79.96</v>
      </c>
      <c r="O166" s="109">
        <f t="shared" si="50"/>
        <v>5.366558279</v>
      </c>
      <c r="P166" s="110">
        <f t="shared" si="5"/>
        <v>0.1863391671</v>
      </c>
      <c r="Q166" s="109">
        <f t="shared" si="6"/>
        <v>2.044841553</v>
      </c>
      <c r="R166" s="111">
        <f t="shared" si="7"/>
        <v>0.381034072</v>
      </c>
      <c r="S166" s="122">
        <f t="shared" si="49"/>
        <v>129.89</v>
      </c>
      <c r="T166" s="113">
        <f t="shared" si="9"/>
        <v>107.2775</v>
      </c>
      <c r="U166" s="114"/>
      <c r="V166" s="114"/>
      <c r="W166" s="114"/>
      <c r="X166" s="114"/>
      <c r="Y166" s="115"/>
      <c r="Z166" s="98"/>
      <c r="AA166" s="98"/>
    </row>
    <row r="167" hidden="1" outlineLevel="1">
      <c r="A167" s="98"/>
      <c r="B167" s="116"/>
      <c r="C167" s="100" t="s">
        <v>43</v>
      </c>
      <c r="D167" s="135">
        <v>1746.22</v>
      </c>
      <c r="E167" s="102"/>
      <c r="F167" s="103">
        <v>14.0</v>
      </c>
      <c r="G167" s="103">
        <v>15.0</v>
      </c>
      <c r="H167" s="104">
        <f t="shared" si="1"/>
        <v>0.9333333333</v>
      </c>
      <c r="I167" s="105">
        <f t="shared" si="2"/>
        <v>124.73</v>
      </c>
      <c r="J167" s="106">
        <f t="shared" si="3"/>
        <v>133.6392857</v>
      </c>
      <c r="K167" s="135">
        <v>51.61</v>
      </c>
      <c r="L167" s="103">
        <v>17696.0</v>
      </c>
      <c r="M167" s="103">
        <v>2.0</v>
      </c>
      <c r="N167" s="136">
        <v>284.44</v>
      </c>
      <c r="O167" s="109">
        <f t="shared" si="50"/>
        <v>0.1814442413</v>
      </c>
      <c r="P167" s="110">
        <f t="shared" si="5"/>
        <v>5.511335013</v>
      </c>
      <c r="Q167" s="109">
        <f t="shared" si="6"/>
        <v>0.02955526795</v>
      </c>
      <c r="R167" s="111">
        <f t="shared" si="7"/>
        <v>0.1628889831</v>
      </c>
      <c r="S167" s="137">
        <f t="shared" si="49"/>
        <v>1461.78</v>
      </c>
      <c r="T167" s="113">
        <f t="shared" si="9"/>
        <v>25.805</v>
      </c>
      <c r="U167" s="114"/>
      <c r="V167" s="114"/>
      <c r="W167" s="114"/>
      <c r="X167" s="114"/>
      <c r="Y167" s="115"/>
      <c r="Z167" s="98"/>
      <c r="AA167" s="98"/>
    </row>
    <row r="168" hidden="1" outlineLevel="1">
      <c r="A168" s="98"/>
      <c r="B168" s="116"/>
      <c r="C168" s="100" t="s">
        <v>44</v>
      </c>
      <c r="D168" s="138">
        <v>254.76</v>
      </c>
      <c r="E168" s="102"/>
      <c r="F168" s="103">
        <v>6.0</v>
      </c>
      <c r="G168" s="103">
        <v>7.0</v>
      </c>
      <c r="H168" s="104">
        <f t="shared" si="1"/>
        <v>0.8571428571</v>
      </c>
      <c r="I168" s="105">
        <f t="shared" si="2"/>
        <v>42.46</v>
      </c>
      <c r="J168" s="106">
        <f t="shared" si="3"/>
        <v>49.53666667</v>
      </c>
      <c r="K168" s="138">
        <v>100.74</v>
      </c>
      <c r="L168" s="103">
        <v>67853.0</v>
      </c>
      <c r="M168" s="103">
        <v>1.0</v>
      </c>
      <c r="N168" s="139">
        <v>44.96</v>
      </c>
      <c r="O168" s="109">
        <f t="shared" si="50"/>
        <v>2.240658363</v>
      </c>
      <c r="P168" s="110">
        <f t="shared" si="5"/>
        <v>0.4462973992</v>
      </c>
      <c r="Q168" s="109">
        <f t="shared" si="6"/>
        <v>0.3954309939</v>
      </c>
      <c r="R168" s="111">
        <f t="shared" si="7"/>
        <v>0.1764798241</v>
      </c>
      <c r="S168" s="140">
        <f t="shared" si="49"/>
        <v>209.8</v>
      </c>
      <c r="T168" s="113">
        <f t="shared" si="9"/>
        <v>100.74</v>
      </c>
      <c r="U168" s="114"/>
      <c r="V168" s="114"/>
      <c r="W168" s="114"/>
      <c r="X168" s="114"/>
      <c r="Y168" s="115"/>
      <c r="Z168" s="98"/>
      <c r="AA168" s="98"/>
    </row>
    <row r="169" hidden="1" outlineLevel="1">
      <c r="A169" s="141"/>
      <c r="B169" s="116"/>
      <c r="C169" s="142" t="s">
        <v>45</v>
      </c>
      <c r="D169" s="101">
        <v>0.0</v>
      </c>
      <c r="E169" s="102"/>
      <c r="F169" s="103">
        <v>0.0</v>
      </c>
      <c r="G169" s="103">
        <v>0.0</v>
      </c>
      <c r="H169" s="104" t="str">
        <f t="shared" si="1"/>
        <v>#DIV/0!</v>
      </c>
      <c r="I169" s="105" t="str">
        <f t="shared" si="2"/>
        <v>#DIV/0!</v>
      </c>
      <c r="J169" s="106" t="str">
        <f t="shared" si="3"/>
        <v>#DIV/0!</v>
      </c>
      <c r="K169" s="101">
        <v>0.0</v>
      </c>
      <c r="L169" s="103">
        <v>0.0</v>
      </c>
      <c r="M169" s="103">
        <v>0.0</v>
      </c>
      <c r="N169" s="108">
        <v>0.0</v>
      </c>
      <c r="O169" s="109" t="str">
        <f t="shared" si="50"/>
        <v>#DIV/0!</v>
      </c>
      <c r="P169" s="110" t="str">
        <f t="shared" si="5"/>
        <v>#DIV/0!</v>
      </c>
      <c r="Q169" s="109" t="str">
        <f t="shared" si="6"/>
        <v>#DIV/0!</v>
      </c>
      <c r="R169" s="111" t="str">
        <f t="shared" si="7"/>
        <v>#DIV/0!</v>
      </c>
      <c r="S169" s="112">
        <f t="shared" si="49"/>
        <v>0</v>
      </c>
      <c r="T169" s="113" t="str">
        <f t="shared" si="9"/>
        <v>#DIV/0!</v>
      </c>
      <c r="U169" s="143"/>
      <c r="V169" s="143"/>
      <c r="W169" s="143"/>
      <c r="X169" s="144"/>
      <c r="Y169" s="145"/>
      <c r="Z169" s="98"/>
      <c r="AA169" s="98"/>
    </row>
    <row r="170" hidden="1" outlineLevel="1">
      <c r="A170" s="98"/>
      <c r="B170" s="116"/>
      <c r="C170" s="100" t="s">
        <v>46</v>
      </c>
      <c r="D170" s="146">
        <v>2848.75</v>
      </c>
      <c r="E170" s="102"/>
      <c r="F170" s="103">
        <v>77.0</v>
      </c>
      <c r="G170" s="103">
        <v>76.0</v>
      </c>
      <c r="H170" s="104">
        <f t="shared" si="1"/>
        <v>1.013157895</v>
      </c>
      <c r="I170" s="105">
        <f t="shared" si="2"/>
        <v>36.99675325</v>
      </c>
      <c r="J170" s="106">
        <f t="shared" si="3"/>
        <v>36.51627593</v>
      </c>
      <c r="K170" s="146">
        <v>269.75</v>
      </c>
      <c r="L170" s="103">
        <v>62334.0</v>
      </c>
      <c r="M170" s="103">
        <v>22.0</v>
      </c>
      <c r="N170" s="147">
        <v>573.34</v>
      </c>
      <c r="O170" s="109">
        <f t="shared" si="50"/>
        <v>0.4704887152</v>
      </c>
      <c r="P170" s="110">
        <f t="shared" si="5"/>
        <v>2.12544949</v>
      </c>
      <c r="Q170" s="109">
        <f t="shared" si="6"/>
        <v>0.0946906538</v>
      </c>
      <c r="R170" s="111">
        <f t="shared" si="7"/>
        <v>0.2012602018</v>
      </c>
      <c r="S170" s="112">
        <f t="shared" si="49"/>
        <v>2275.41</v>
      </c>
      <c r="T170" s="113">
        <f t="shared" si="9"/>
        <v>12.26136364</v>
      </c>
      <c r="U170" s="114"/>
      <c r="V170" s="114"/>
      <c r="W170" s="114"/>
      <c r="X170" s="114"/>
      <c r="Y170" s="115"/>
      <c r="Z170" s="98"/>
      <c r="AA170" s="98"/>
    </row>
    <row r="171" hidden="1" outlineLevel="1">
      <c r="A171" s="98"/>
      <c r="B171" s="116"/>
      <c r="C171" s="100" t="s">
        <v>47</v>
      </c>
      <c r="D171" s="117">
        <v>119.4</v>
      </c>
      <c r="E171" s="102"/>
      <c r="F171" s="103">
        <v>4.0</v>
      </c>
      <c r="G171" s="103">
        <v>1.0</v>
      </c>
      <c r="H171" s="104">
        <f t="shared" si="1"/>
        <v>4</v>
      </c>
      <c r="I171" s="105">
        <f t="shared" si="2"/>
        <v>29.85</v>
      </c>
      <c r="J171" s="106">
        <f t="shared" si="3"/>
        <v>7.4625</v>
      </c>
      <c r="K171" s="117">
        <v>0.0</v>
      </c>
      <c r="L171" s="103">
        <v>0.0</v>
      </c>
      <c r="M171" s="103">
        <v>0.0</v>
      </c>
      <c r="N171" s="118">
        <v>0.0</v>
      </c>
      <c r="O171" s="109" t="str">
        <f t="shared" si="50"/>
        <v>#DIV/0!</v>
      </c>
      <c r="P171" s="110" t="str">
        <f t="shared" si="5"/>
        <v>#DIV/0!</v>
      </c>
      <c r="Q171" s="109">
        <f t="shared" si="6"/>
        <v>0</v>
      </c>
      <c r="R171" s="111">
        <f t="shared" si="7"/>
        <v>0</v>
      </c>
      <c r="S171" s="112">
        <f t="shared" si="49"/>
        <v>119.4</v>
      </c>
      <c r="T171" s="113" t="str">
        <f t="shared" si="9"/>
        <v>#DIV/0!</v>
      </c>
      <c r="U171" s="114"/>
      <c r="V171" s="114"/>
      <c r="W171" s="114"/>
      <c r="X171" s="114"/>
      <c r="Y171" s="115"/>
      <c r="Z171" s="98"/>
      <c r="AA171" s="98"/>
    </row>
    <row r="172" hidden="1" outlineLevel="1">
      <c r="A172" s="98"/>
      <c r="B172" s="116"/>
      <c r="C172" s="100" t="s">
        <v>48</v>
      </c>
      <c r="D172" s="132">
        <v>1739.55</v>
      </c>
      <c r="E172" s="102"/>
      <c r="F172" s="103">
        <v>9.0</v>
      </c>
      <c r="G172" s="103">
        <v>10.0</v>
      </c>
      <c r="H172" s="104">
        <f t="shared" si="1"/>
        <v>0.9</v>
      </c>
      <c r="I172" s="105">
        <f t="shared" si="2"/>
        <v>193.2833333</v>
      </c>
      <c r="J172" s="106">
        <f t="shared" si="3"/>
        <v>214.7592593</v>
      </c>
      <c r="K172" s="132">
        <v>317.91</v>
      </c>
      <c r="L172" s="103">
        <v>33421.0</v>
      </c>
      <c r="M172" s="103">
        <v>9.0</v>
      </c>
      <c r="N172" s="133">
        <v>1719.55</v>
      </c>
      <c r="O172" s="109">
        <f t="shared" si="50"/>
        <v>0.1848797651</v>
      </c>
      <c r="P172" s="110">
        <f t="shared" si="5"/>
        <v>5.408920764</v>
      </c>
      <c r="Q172" s="109">
        <f t="shared" si="6"/>
        <v>0.1827541606</v>
      </c>
      <c r="R172" s="111">
        <f t="shared" si="7"/>
        <v>0.9885027737</v>
      </c>
      <c r="S172" s="112">
        <f t="shared" si="49"/>
        <v>20</v>
      </c>
      <c r="T172" s="113">
        <f t="shared" si="9"/>
        <v>35.32333333</v>
      </c>
      <c r="U172" s="114"/>
      <c r="V172" s="114"/>
      <c r="W172" s="114"/>
      <c r="X172" s="114"/>
      <c r="Y172" s="115"/>
      <c r="Z172" s="98"/>
      <c r="AA172" s="98"/>
    </row>
    <row r="173" hidden="1" outlineLevel="1">
      <c r="A173" s="148" t="str">
        <f t="shared" ref="A173:A174" si="51">iferror(if(B173&gt;0,month(B173)&amp;"-"&amp;year(B173),B173),)</f>
        <v>2-2026</v>
      </c>
      <c r="B173" s="99">
        <v>46074.0</v>
      </c>
      <c r="C173" s="100" t="s">
        <v>49</v>
      </c>
      <c r="D173" s="146">
        <v>106.8</v>
      </c>
      <c r="E173" s="102"/>
      <c r="F173" s="103">
        <v>2.0</v>
      </c>
      <c r="G173" s="103">
        <v>2.0</v>
      </c>
      <c r="H173" s="104">
        <f t="shared" si="1"/>
        <v>1</v>
      </c>
      <c r="I173" s="105">
        <f t="shared" si="2"/>
        <v>53.4</v>
      </c>
      <c r="J173" s="106">
        <f t="shared" si="3"/>
        <v>53.4</v>
      </c>
      <c r="K173" s="146">
        <v>3.09</v>
      </c>
      <c r="L173" s="103">
        <v>7258.0</v>
      </c>
      <c r="M173" s="103">
        <v>0.0</v>
      </c>
      <c r="N173" s="147">
        <v>0.0</v>
      </c>
      <c r="O173" s="109" t="str">
        <f t="shared" si="50"/>
        <v>#DIV/0!</v>
      </c>
      <c r="P173" s="110">
        <f t="shared" si="5"/>
        <v>0</v>
      </c>
      <c r="Q173" s="109">
        <f t="shared" si="6"/>
        <v>0.02893258427</v>
      </c>
      <c r="R173" s="111">
        <f t="shared" si="7"/>
        <v>0</v>
      </c>
      <c r="S173" s="112">
        <f t="shared" si="49"/>
        <v>106.8</v>
      </c>
      <c r="T173" s="113" t="str">
        <f t="shared" si="9"/>
        <v>#DIV/0!</v>
      </c>
      <c r="U173" s="114"/>
      <c r="V173" s="114"/>
      <c r="W173" s="114"/>
      <c r="X173" s="114"/>
      <c r="Y173" s="115"/>
      <c r="Z173" s="98"/>
      <c r="AA173" s="98"/>
    </row>
    <row r="174" collapsed="1">
      <c r="A174" s="98" t="str">
        <f t="shared" si="51"/>
        <v/>
      </c>
      <c r="B174" s="149" t="s">
        <v>58</v>
      </c>
      <c r="C174" s="150"/>
      <c r="D174" s="151">
        <f>SUM(D157:D173)</f>
        <v>26966.17</v>
      </c>
      <c r="E174" s="152"/>
      <c r="F174" s="153">
        <f t="shared" ref="F174:G174" si="52">SUM(F157:F173)</f>
        <v>296</v>
      </c>
      <c r="G174" s="153">
        <f t="shared" si="52"/>
        <v>288</v>
      </c>
      <c r="H174" s="154">
        <f t="shared" si="1"/>
        <v>1.027777778</v>
      </c>
      <c r="I174" s="155">
        <f t="shared" si="2"/>
        <v>91.10192568</v>
      </c>
      <c r="J174" s="156">
        <f t="shared" si="3"/>
        <v>88.63971147</v>
      </c>
      <c r="K174" s="151">
        <f t="shared" ref="K174:N174" si="53">SUM(K157:K173)</f>
        <v>3695.74</v>
      </c>
      <c r="L174" s="153">
        <f t="shared" si="53"/>
        <v>859067</v>
      </c>
      <c r="M174" s="153">
        <f t="shared" si="53"/>
        <v>105</v>
      </c>
      <c r="N174" s="157">
        <f t="shared" si="53"/>
        <v>9615.56</v>
      </c>
      <c r="O174" s="158">
        <f t="shared" si="50"/>
        <v>0.3843499495</v>
      </c>
      <c r="P174" s="159">
        <f t="shared" si="5"/>
        <v>2.601795581</v>
      </c>
      <c r="Q174" s="158">
        <f t="shared" si="6"/>
        <v>0.1370509791</v>
      </c>
      <c r="R174" s="160">
        <f t="shared" si="7"/>
        <v>0.3565786317</v>
      </c>
      <c r="S174" s="161">
        <f>SUM(S157:S173)</f>
        <v>17350.61</v>
      </c>
      <c r="T174" s="162">
        <f t="shared" si="9"/>
        <v>35.19752381</v>
      </c>
      <c r="U174" s="164" t="str">
        <f>IFERROR((D174-#REF!)/D174,)</f>
        <v/>
      </c>
      <c r="V174" s="164" t="str">
        <f>IFERROR((F174-#REF!)/F174,)</f>
        <v/>
      </c>
      <c r="W174" s="164" t="str">
        <f>IFERROR((D174-#REF!)/D174, )</f>
        <v/>
      </c>
      <c r="X174" s="164" t="str">
        <f>IFERROR((F174-#REF!)/F174, )</f>
        <v/>
      </c>
      <c r="Y174" s="98"/>
      <c r="Z174" s="98"/>
      <c r="AA174" s="98"/>
    </row>
    <row r="175" hidden="1" outlineLevel="1">
      <c r="A175" s="98"/>
      <c r="B175" s="99">
        <v>46075.0</v>
      </c>
      <c r="C175" s="100" t="s">
        <v>32</v>
      </c>
      <c r="D175" s="101">
        <v>4621.82</v>
      </c>
      <c r="E175" s="102"/>
      <c r="F175" s="103">
        <v>34.0</v>
      </c>
      <c r="G175" s="103">
        <v>29.0</v>
      </c>
      <c r="H175" s="104">
        <f t="shared" si="1"/>
        <v>1.172413793</v>
      </c>
      <c r="I175" s="105">
        <f t="shared" si="2"/>
        <v>135.9358824</v>
      </c>
      <c r="J175" s="106">
        <f t="shared" si="3"/>
        <v>115.9453114</v>
      </c>
      <c r="K175" s="107">
        <v>577.74</v>
      </c>
      <c r="L175" s="103">
        <v>97214.0</v>
      </c>
      <c r="M175" s="103">
        <v>14.0</v>
      </c>
      <c r="N175" s="108">
        <v>656.95</v>
      </c>
      <c r="O175" s="109">
        <f t="shared" si="50"/>
        <v>0.8794276581</v>
      </c>
      <c r="P175" s="110">
        <f t="shared" si="5"/>
        <v>1.137103195</v>
      </c>
      <c r="Q175" s="109">
        <f t="shared" si="6"/>
        <v>0.1250027046</v>
      </c>
      <c r="R175" s="111">
        <f t="shared" si="7"/>
        <v>0.1421409748</v>
      </c>
      <c r="S175" s="112">
        <f t="shared" ref="S175:S191" si="54">D175-N175</f>
        <v>3964.87</v>
      </c>
      <c r="T175" s="113">
        <f t="shared" si="9"/>
        <v>41.26714286</v>
      </c>
      <c r="U175" s="114"/>
      <c r="V175" s="114"/>
      <c r="W175" s="114"/>
      <c r="X175" s="114"/>
      <c r="Y175" s="115"/>
      <c r="Z175" s="98"/>
      <c r="AA175" s="98"/>
    </row>
    <row r="176" hidden="1" outlineLevel="1">
      <c r="A176" s="98"/>
      <c r="B176" s="116"/>
      <c r="C176" s="100" t="s">
        <v>33</v>
      </c>
      <c r="D176" s="117">
        <v>6450.93</v>
      </c>
      <c r="E176" s="102"/>
      <c r="F176" s="103">
        <v>68.0</v>
      </c>
      <c r="G176" s="103">
        <v>75.0</v>
      </c>
      <c r="H176" s="104">
        <f t="shared" si="1"/>
        <v>0.9066666667</v>
      </c>
      <c r="I176" s="105">
        <f t="shared" si="2"/>
        <v>94.86661765</v>
      </c>
      <c r="J176" s="106">
        <f t="shared" si="3"/>
        <v>104.6322989</v>
      </c>
      <c r="K176" s="117">
        <v>638.92</v>
      </c>
      <c r="L176" s="103">
        <v>167762.0</v>
      </c>
      <c r="M176" s="103">
        <v>20.0</v>
      </c>
      <c r="N176" s="118">
        <v>1630.5</v>
      </c>
      <c r="O176" s="109">
        <f t="shared" si="50"/>
        <v>0.3918552591</v>
      </c>
      <c r="P176" s="110">
        <f t="shared" si="5"/>
        <v>2.551962687</v>
      </c>
      <c r="Q176" s="109">
        <f t="shared" si="6"/>
        <v>0.09904308371</v>
      </c>
      <c r="R176" s="111">
        <f t="shared" si="7"/>
        <v>0.252754254</v>
      </c>
      <c r="S176" s="119">
        <f t="shared" si="54"/>
        <v>4820.43</v>
      </c>
      <c r="T176" s="113">
        <f t="shared" si="9"/>
        <v>31.946</v>
      </c>
      <c r="U176" s="114"/>
      <c r="V176" s="114"/>
      <c r="W176" s="114"/>
      <c r="X176" s="114"/>
      <c r="Y176" s="115"/>
      <c r="Z176" s="98"/>
      <c r="AA176" s="98"/>
    </row>
    <row r="177" hidden="1" outlineLevel="1">
      <c r="A177" s="98"/>
      <c r="B177" s="116"/>
      <c r="C177" s="100" t="s">
        <v>34</v>
      </c>
      <c r="D177" s="120">
        <v>0.0</v>
      </c>
      <c r="E177" s="102"/>
      <c r="F177" s="103">
        <v>0.0</v>
      </c>
      <c r="G177" s="103">
        <v>0.0</v>
      </c>
      <c r="H177" s="104" t="str">
        <f t="shared" si="1"/>
        <v>#DIV/0!</v>
      </c>
      <c r="I177" s="105" t="str">
        <f t="shared" si="2"/>
        <v>#DIV/0!</v>
      </c>
      <c r="J177" s="106" t="str">
        <f t="shared" si="3"/>
        <v>#DIV/0!</v>
      </c>
      <c r="K177" s="120">
        <v>0.0</v>
      </c>
      <c r="L177" s="103">
        <v>0.0</v>
      </c>
      <c r="M177" s="103">
        <v>0.0</v>
      </c>
      <c r="N177" s="121">
        <v>0.0</v>
      </c>
      <c r="O177" s="109" t="str">
        <f>(K177/N177)</f>
        <v>#DIV/0!</v>
      </c>
      <c r="P177" s="110" t="str">
        <f t="shared" si="5"/>
        <v>#DIV/0!</v>
      </c>
      <c r="Q177" s="109" t="str">
        <f t="shared" si="6"/>
        <v>#DIV/0!</v>
      </c>
      <c r="R177" s="111" t="str">
        <f t="shared" si="7"/>
        <v>#DIV/0!</v>
      </c>
      <c r="S177" s="122">
        <f t="shared" si="54"/>
        <v>0</v>
      </c>
      <c r="T177" s="113" t="str">
        <f t="shared" si="9"/>
        <v>#DIV/0!</v>
      </c>
      <c r="U177" s="114"/>
      <c r="V177" s="114"/>
      <c r="W177" s="114"/>
      <c r="X177" s="114"/>
      <c r="Y177" s="115"/>
      <c r="Z177" s="98"/>
      <c r="AA177" s="98"/>
    </row>
    <row r="178" hidden="1" outlineLevel="1">
      <c r="A178" s="98"/>
      <c r="B178" s="116"/>
      <c r="C178" s="100" t="s">
        <v>35</v>
      </c>
      <c r="D178" s="120">
        <v>839.3</v>
      </c>
      <c r="E178" s="102"/>
      <c r="F178" s="103">
        <v>14.0</v>
      </c>
      <c r="G178" s="103">
        <v>14.0</v>
      </c>
      <c r="H178" s="104">
        <f t="shared" si="1"/>
        <v>1</v>
      </c>
      <c r="I178" s="105">
        <f t="shared" si="2"/>
        <v>59.95</v>
      </c>
      <c r="J178" s="106">
        <f t="shared" si="3"/>
        <v>59.95</v>
      </c>
      <c r="K178" s="120">
        <v>379.57</v>
      </c>
      <c r="L178" s="103">
        <v>20723.0</v>
      </c>
      <c r="M178" s="103">
        <v>9.0</v>
      </c>
      <c r="N178" s="121">
        <v>539.55</v>
      </c>
      <c r="O178" s="109">
        <f t="shared" ref="O178:O194" si="55">K178/N178</f>
        <v>0.7034936521</v>
      </c>
      <c r="P178" s="110">
        <f t="shared" si="5"/>
        <v>1.421476934</v>
      </c>
      <c r="Q178" s="109">
        <f t="shared" si="6"/>
        <v>0.4522459192</v>
      </c>
      <c r="R178" s="111">
        <f t="shared" si="7"/>
        <v>0.6428571429</v>
      </c>
      <c r="S178" s="122">
        <f t="shared" si="54"/>
        <v>299.75</v>
      </c>
      <c r="T178" s="113">
        <f t="shared" si="9"/>
        <v>42.17444444</v>
      </c>
      <c r="U178" s="114"/>
      <c r="V178" s="114"/>
      <c r="W178" s="114"/>
      <c r="X178" s="114"/>
      <c r="Y178" s="115"/>
      <c r="Z178" s="98"/>
      <c r="AA178" s="98"/>
    </row>
    <row r="179" hidden="1" outlineLevel="1">
      <c r="A179" s="98"/>
      <c r="B179" s="116"/>
      <c r="C179" s="100" t="s">
        <v>36</v>
      </c>
      <c r="D179" s="120">
        <v>709.45</v>
      </c>
      <c r="E179" s="102"/>
      <c r="F179" s="103">
        <v>11.0</v>
      </c>
      <c r="G179" s="103">
        <v>11.0</v>
      </c>
      <c r="H179" s="104">
        <f t="shared" si="1"/>
        <v>1</v>
      </c>
      <c r="I179" s="105">
        <f t="shared" si="2"/>
        <v>64.49545455</v>
      </c>
      <c r="J179" s="106">
        <f t="shared" si="3"/>
        <v>64.49545455</v>
      </c>
      <c r="K179" s="120">
        <v>24.15</v>
      </c>
      <c r="L179" s="103">
        <v>7154.0</v>
      </c>
      <c r="M179" s="103">
        <v>3.0</v>
      </c>
      <c r="N179" s="121">
        <v>199.85</v>
      </c>
      <c r="O179" s="109">
        <f t="shared" si="55"/>
        <v>0.1208406305</v>
      </c>
      <c r="P179" s="110">
        <f t="shared" si="5"/>
        <v>8.275362319</v>
      </c>
      <c r="Q179" s="109">
        <f t="shared" si="6"/>
        <v>0.03404045387</v>
      </c>
      <c r="R179" s="111">
        <f t="shared" si="7"/>
        <v>0.2816970893</v>
      </c>
      <c r="S179" s="122">
        <f t="shared" si="54"/>
        <v>509.6</v>
      </c>
      <c r="T179" s="113">
        <f t="shared" si="9"/>
        <v>8.05</v>
      </c>
      <c r="U179" s="114"/>
      <c r="V179" s="114"/>
      <c r="W179" s="114"/>
      <c r="X179" s="114"/>
      <c r="Y179" s="115"/>
      <c r="Z179" s="98"/>
      <c r="AA179" s="98"/>
    </row>
    <row r="180" hidden="1" outlineLevel="1">
      <c r="A180" s="98"/>
      <c r="B180" s="99" t="s">
        <v>37</v>
      </c>
      <c r="C180" s="100" t="s">
        <v>38</v>
      </c>
      <c r="D180" s="123">
        <v>82.9</v>
      </c>
      <c r="E180" s="102"/>
      <c r="F180" s="103">
        <v>3.0</v>
      </c>
      <c r="G180" s="103">
        <v>3.0</v>
      </c>
      <c r="H180" s="104">
        <f t="shared" si="1"/>
        <v>1</v>
      </c>
      <c r="I180" s="105">
        <f t="shared" si="2"/>
        <v>27.63333333</v>
      </c>
      <c r="J180" s="106">
        <f t="shared" si="3"/>
        <v>27.63333333</v>
      </c>
      <c r="K180" s="123">
        <v>33.5</v>
      </c>
      <c r="L180" s="103">
        <v>135734.0</v>
      </c>
      <c r="M180" s="103">
        <v>2.0</v>
      </c>
      <c r="N180" s="124">
        <v>51.43</v>
      </c>
      <c r="O180" s="109">
        <f t="shared" si="55"/>
        <v>0.6513707953</v>
      </c>
      <c r="P180" s="110">
        <f t="shared" si="5"/>
        <v>1.535223881</v>
      </c>
      <c r="Q180" s="109">
        <f t="shared" si="6"/>
        <v>0.4041013269</v>
      </c>
      <c r="R180" s="111">
        <f t="shared" si="7"/>
        <v>0.6203860072</v>
      </c>
      <c r="S180" s="125">
        <f t="shared" si="54"/>
        <v>31.47</v>
      </c>
      <c r="T180" s="113">
        <f t="shared" si="9"/>
        <v>16.75</v>
      </c>
      <c r="U180" s="114"/>
      <c r="V180" s="114"/>
      <c r="W180" s="114"/>
      <c r="X180" s="114"/>
      <c r="Y180" s="115"/>
      <c r="Z180" s="98"/>
      <c r="AA180" s="98"/>
    </row>
    <row r="181" hidden="1" outlineLevel="1">
      <c r="A181" s="98"/>
      <c r="B181" s="116"/>
      <c r="C181" s="100" t="s">
        <v>39</v>
      </c>
      <c r="D181" s="126">
        <v>0.0</v>
      </c>
      <c r="E181" s="102"/>
      <c r="F181" s="103">
        <v>0.0</v>
      </c>
      <c r="G181" s="103">
        <v>0.0</v>
      </c>
      <c r="H181" s="104" t="str">
        <f t="shared" si="1"/>
        <v>#DIV/0!</v>
      </c>
      <c r="I181" s="105" t="str">
        <f t="shared" si="2"/>
        <v>#DIV/0!</v>
      </c>
      <c r="J181" s="106" t="str">
        <f t="shared" si="3"/>
        <v>#DIV/0!</v>
      </c>
      <c r="K181" s="126">
        <v>0.0</v>
      </c>
      <c r="L181" s="103">
        <v>0.0</v>
      </c>
      <c r="M181" s="103">
        <v>0.0</v>
      </c>
      <c r="N181" s="127">
        <v>0.0</v>
      </c>
      <c r="O181" s="109" t="str">
        <f t="shared" si="55"/>
        <v>#DIV/0!</v>
      </c>
      <c r="P181" s="110" t="str">
        <f t="shared" si="5"/>
        <v>#DIV/0!</v>
      </c>
      <c r="Q181" s="109" t="str">
        <f t="shared" si="6"/>
        <v>#DIV/0!</v>
      </c>
      <c r="R181" s="111" t="str">
        <f t="shared" si="7"/>
        <v>#DIV/0!</v>
      </c>
      <c r="S181" s="128">
        <f t="shared" si="54"/>
        <v>0</v>
      </c>
      <c r="T181" s="113" t="str">
        <f t="shared" si="9"/>
        <v>#DIV/0!</v>
      </c>
      <c r="U181" s="114"/>
      <c r="V181" s="114"/>
      <c r="W181" s="114"/>
      <c r="X181" s="114"/>
      <c r="Y181" s="115"/>
      <c r="Z181" s="98"/>
      <c r="AA181" s="98"/>
    </row>
    <row r="182" hidden="1" outlineLevel="1">
      <c r="A182" s="98"/>
      <c r="B182" s="116"/>
      <c r="C182" s="100" t="s">
        <v>40</v>
      </c>
      <c r="D182" s="129">
        <v>0.0</v>
      </c>
      <c r="E182" s="102"/>
      <c r="F182" s="103">
        <v>0.0</v>
      </c>
      <c r="G182" s="103">
        <v>0.0</v>
      </c>
      <c r="H182" s="104" t="str">
        <f t="shared" si="1"/>
        <v>#DIV/0!</v>
      </c>
      <c r="I182" s="105" t="str">
        <f t="shared" si="2"/>
        <v>#DIV/0!</v>
      </c>
      <c r="J182" s="106" t="str">
        <f t="shared" si="3"/>
        <v>#DIV/0!</v>
      </c>
      <c r="K182" s="129">
        <v>0.0</v>
      </c>
      <c r="L182" s="103">
        <v>0.0</v>
      </c>
      <c r="M182" s="103">
        <v>0.0</v>
      </c>
      <c r="N182" s="130">
        <v>0.0</v>
      </c>
      <c r="O182" s="109" t="str">
        <f t="shared" si="55"/>
        <v>#DIV/0!</v>
      </c>
      <c r="P182" s="110" t="str">
        <f t="shared" si="5"/>
        <v>#DIV/0!</v>
      </c>
      <c r="Q182" s="109" t="str">
        <f t="shared" si="6"/>
        <v>#DIV/0!</v>
      </c>
      <c r="R182" s="111" t="str">
        <f t="shared" si="7"/>
        <v>#DIV/0!</v>
      </c>
      <c r="S182" s="131">
        <f t="shared" si="54"/>
        <v>0</v>
      </c>
      <c r="T182" s="113" t="str">
        <f t="shared" si="9"/>
        <v>#DIV/0!</v>
      </c>
      <c r="U182" s="114"/>
      <c r="V182" s="114"/>
      <c r="W182" s="114"/>
      <c r="X182" s="114"/>
      <c r="Y182" s="115"/>
      <c r="Z182" s="98"/>
      <c r="AA182" s="98"/>
    </row>
    <row r="183" hidden="1" outlineLevel="1">
      <c r="A183" s="98"/>
      <c r="B183" s="116"/>
      <c r="C183" s="100" t="s">
        <v>41</v>
      </c>
      <c r="D183" s="132">
        <v>2740.62</v>
      </c>
      <c r="E183" s="102"/>
      <c r="F183" s="103">
        <v>41.0</v>
      </c>
      <c r="G183" s="103">
        <v>37.0</v>
      </c>
      <c r="H183" s="104">
        <f t="shared" si="1"/>
        <v>1.108108108</v>
      </c>
      <c r="I183" s="105">
        <f t="shared" si="2"/>
        <v>66.84439024</v>
      </c>
      <c r="J183" s="106">
        <f t="shared" si="3"/>
        <v>60.32298632</v>
      </c>
      <c r="K183" s="132">
        <v>586.82</v>
      </c>
      <c r="L183" s="103">
        <v>43866.0</v>
      </c>
      <c r="M183" s="103">
        <v>15.0</v>
      </c>
      <c r="N183" s="133">
        <v>1050.86</v>
      </c>
      <c r="O183" s="109">
        <f t="shared" si="55"/>
        <v>0.5584188189</v>
      </c>
      <c r="P183" s="110">
        <f t="shared" si="5"/>
        <v>1.790770594</v>
      </c>
      <c r="Q183" s="109">
        <f t="shared" si="6"/>
        <v>0.2141194328</v>
      </c>
      <c r="R183" s="111">
        <f t="shared" si="7"/>
        <v>0.3834387839</v>
      </c>
      <c r="S183" s="134">
        <f t="shared" si="54"/>
        <v>1689.76</v>
      </c>
      <c r="T183" s="113">
        <f t="shared" si="9"/>
        <v>39.12133333</v>
      </c>
      <c r="U183" s="114"/>
      <c r="V183" s="114"/>
      <c r="W183" s="114"/>
      <c r="X183" s="114"/>
      <c r="Y183" s="115"/>
      <c r="Z183" s="98"/>
      <c r="AA183" s="98"/>
    </row>
    <row r="184" hidden="1" outlineLevel="1">
      <c r="A184" s="98"/>
      <c r="B184" s="116"/>
      <c r="C184" s="100" t="s">
        <v>42</v>
      </c>
      <c r="D184" s="120">
        <v>39.98</v>
      </c>
      <c r="E184" s="102"/>
      <c r="F184" s="103">
        <v>2.0</v>
      </c>
      <c r="G184" s="103">
        <v>2.0</v>
      </c>
      <c r="H184" s="104">
        <f t="shared" si="1"/>
        <v>1</v>
      </c>
      <c r="I184" s="105">
        <f t="shared" si="2"/>
        <v>19.99</v>
      </c>
      <c r="J184" s="106">
        <f t="shared" si="3"/>
        <v>19.99</v>
      </c>
      <c r="K184" s="120">
        <v>432.11</v>
      </c>
      <c r="L184" s="103">
        <v>80819.0</v>
      </c>
      <c r="M184" s="103">
        <v>2.0</v>
      </c>
      <c r="N184" s="121">
        <v>39.98</v>
      </c>
      <c r="O184" s="109">
        <f t="shared" si="55"/>
        <v>10.80815408</v>
      </c>
      <c r="P184" s="110">
        <f t="shared" si="5"/>
        <v>0.09252273727</v>
      </c>
      <c r="Q184" s="109">
        <f t="shared" si="6"/>
        <v>10.80815408</v>
      </c>
      <c r="R184" s="111">
        <f t="shared" si="7"/>
        <v>1</v>
      </c>
      <c r="S184" s="122">
        <f t="shared" si="54"/>
        <v>0</v>
      </c>
      <c r="T184" s="113">
        <f t="shared" si="9"/>
        <v>216.055</v>
      </c>
      <c r="U184" s="114"/>
      <c r="V184" s="114"/>
      <c r="W184" s="114"/>
      <c r="X184" s="114"/>
      <c r="Y184" s="115"/>
      <c r="Z184" s="98"/>
      <c r="AA184" s="98"/>
    </row>
    <row r="185" hidden="1" outlineLevel="1">
      <c r="A185" s="98"/>
      <c r="B185" s="116"/>
      <c r="C185" s="100" t="s">
        <v>43</v>
      </c>
      <c r="D185" s="135">
        <v>1559.48</v>
      </c>
      <c r="E185" s="102"/>
      <c r="F185" s="103">
        <v>13.0</v>
      </c>
      <c r="G185" s="103">
        <v>14.0</v>
      </c>
      <c r="H185" s="104">
        <f t="shared" si="1"/>
        <v>0.9285714286</v>
      </c>
      <c r="I185" s="105">
        <f t="shared" si="2"/>
        <v>119.96</v>
      </c>
      <c r="J185" s="106">
        <f t="shared" si="3"/>
        <v>129.1876923</v>
      </c>
      <c r="K185" s="135">
        <v>64.97</v>
      </c>
      <c r="L185" s="103">
        <v>19433.0</v>
      </c>
      <c r="M185" s="103">
        <v>2.0</v>
      </c>
      <c r="N185" s="136">
        <v>119.96</v>
      </c>
      <c r="O185" s="109">
        <f t="shared" si="55"/>
        <v>0.5415971991</v>
      </c>
      <c r="P185" s="110">
        <f t="shared" si="5"/>
        <v>1.846390642</v>
      </c>
      <c r="Q185" s="109">
        <f t="shared" si="6"/>
        <v>0.04166132301</v>
      </c>
      <c r="R185" s="111">
        <f t="shared" si="7"/>
        <v>0.07692307692</v>
      </c>
      <c r="S185" s="137">
        <f t="shared" si="54"/>
        <v>1439.52</v>
      </c>
      <c r="T185" s="113">
        <f t="shared" si="9"/>
        <v>32.485</v>
      </c>
      <c r="U185" s="114"/>
      <c r="V185" s="114"/>
      <c r="W185" s="114"/>
      <c r="X185" s="114"/>
      <c r="Y185" s="115"/>
      <c r="Z185" s="98"/>
      <c r="AA185" s="98"/>
    </row>
    <row r="186" hidden="1" outlineLevel="1">
      <c r="A186" s="98"/>
      <c r="B186" s="116"/>
      <c r="C186" s="100" t="s">
        <v>44</v>
      </c>
      <c r="D186" s="138">
        <v>250.98</v>
      </c>
      <c r="E186" s="102"/>
      <c r="F186" s="103">
        <v>6.0</v>
      </c>
      <c r="G186" s="103">
        <v>6.0</v>
      </c>
      <c r="H186" s="104">
        <f t="shared" si="1"/>
        <v>1</v>
      </c>
      <c r="I186" s="105">
        <f t="shared" si="2"/>
        <v>41.83</v>
      </c>
      <c r="J186" s="106">
        <f t="shared" si="3"/>
        <v>41.83</v>
      </c>
      <c r="K186" s="138">
        <v>112.81</v>
      </c>
      <c r="L186" s="103">
        <v>59268.0</v>
      </c>
      <c r="M186" s="103">
        <v>1.0</v>
      </c>
      <c r="N186" s="139">
        <v>59.95</v>
      </c>
      <c r="O186" s="109">
        <f t="shared" si="55"/>
        <v>1.881734779</v>
      </c>
      <c r="P186" s="110">
        <f t="shared" si="5"/>
        <v>0.5314245191</v>
      </c>
      <c r="Q186" s="109">
        <f t="shared" si="6"/>
        <v>0.4494780461</v>
      </c>
      <c r="R186" s="111">
        <f t="shared" si="7"/>
        <v>0.2388636545</v>
      </c>
      <c r="S186" s="140">
        <f t="shared" si="54"/>
        <v>191.03</v>
      </c>
      <c r="T186" s="113">
        <f t="shared" si="9"/>
        <v>112.81</v>
      </c>
      <c r="U186" s="114"/>
      <c r="V186" s="114"/>
      <c r="W186" s="114"/>
      <c r="X186" s="114"/>
      <c r="Y186" s="115"/>
      <c r="Z186" s="98"/>
      <c r="AA186" s="98"/>
    </row>
    <row r="187" hidden="1" outlineLevel="1">
      <c r="A187" s="141"/>
      <c r="B187" s="116"/>
      <c r="C187" s="142" t="s">
        <v>45</v>
      </c>
      <c r="D187" s="101">
        <v>0.0</v>
      </c>
      <c r="E187" s="102"/>
      <c r="F187" s="103">
        <v>0.0</v>
      </c>
      <c r="G187" s="103">
        <v>0.0</v>
      </c>
      <c r="H187" s="104" t="str">
        <f t="shared" si="1"/>
        <v>#DIV/0!</v>
      </c>
      <c r="I187" s="105" t="str">
        <f t="shared" si="2"/>
        <v>#DIV/0!</v>
      </c>
      <c r="J187" s="106" t="str">
        <f t="shared" si="3"/>
        <v>#DIV/0!</v>
      </c>
      <c r="K187" s="101">
        <v>0.0</v>
      </c>
      <c r="L187" s="103">
        <v>0.0</v>
      </c>
      <c r="M187" s="103">
        <v>0.0</v>
      </c>
      <c r="N187" s="108">
        <v>0.0</v>
      </c>
      <c r="O187" s="109" t="str">
        <f t="shared" si="55"/>
        <v>#DIV/0!</v>
      </c>
      <c r="P187" s="110" t="str">
        <f t="shared" si="5"/>
        <v>#DIV/0!</v>
      </c>
      <c r="Q187" s="109" t="str">
        <f t="shared" si="6"/>
        <v>#DIV/0!</v>
      </c>
      <c r="R187" s="111" t="str">
        <f t="shared" si="7"/>
        <v>#DIV/0!</v>
      </c>
      <c r="S187" s="112">
        <f t="shared" si="54"/>
        <v>0</v>
      </c>
      <c r="T187" s="113" t="str">
        <f t="shared" si="9"/>
        <v>#DIV/0!</v>
      </c>
      <c r="U187" s="143"/>
      <c r="V187" s="143"/>
      <c r="W187" s="143"/>
      <c r="X187" s="144"/>
      <c r="Y187" s="145"/>
      <c r="Z187" s="98"/>
      <c r="AA187" s="98"/>
    </row>
    <row r="188" hidden="1" outlineLevel="1">
      <c r="A188" s="98"/>
      <c r="B188" s="116"/>
      <c r="C188" s="100" t="s">
        <v>46</v>
      </c>
      <c r="D188" s="146">
        <v>1460.53</v>
      </c>
      <c r="E188" s="102"/>
      <c r="F188" s="103">
        <v>32.0</v>
      </c>
      <c r="G188" s="103">
        <v>41.0</v>
      </c>
      <c r="H188" s="104">
        <f t="shared" si="1"/>
        <v>0.7804878049</v>
      </c>
      <c r="I188" s="105">
        <f t="shared" si="2"/>
        <v>45.6415625</v>
      </c>
      <c r="J188" s="106">
        <f t="shared" si="3"/>
        <v>58.47825195</v>
      </c>
      <c r="K188" s="146">
        <v>274.85</v>
      </c>
      <c r="L188" s="103">
        <v>55897.0</v>
      </c>
      <c r="M188" s="103">
        <v>16.0</v>
      </c>
      <c r="N188" s="147">
        <v>611.3</v>
      </c>
      <c r="O188" s="109">
        <f t="shared" si="55"/>
        <v>0.4496155734</v>
      </c>
      <c r="P188" s="110">
        <f t="shared" si="5"/>
        <v>2.224122248</v>
      </c>
      <c r="Q188" s="109">
        <f t="shared" si="6"/>
        <v>0.1881851109</v>
      </c>
      <c r="R188" s="111">
        <f t="shared" si="7"/>
        <v>0.418546692</v>
      </c>
      <c r="S188" s="112">
        <f t="shared" si="54"/>
        <v>849.23</v>
      </c>
      <c r="T188" s="113">
        <f t="shared" si="9"/>
        <v>17.178125</v>
      </c>
      <c r="U188" s="114"/>
      <c r="V188" s="114"/>
      <c r="W188" s="114"/>
      <c r="X188" s="114"/>
      <c r="Y188" s="115"/>
      <c r="Z188" s="98"/>
      <c r="AA188" s="98"/>
    </row>
    <row r="189" hidden="1" outlineLevel="1">
      <c r="A189" s="98"/>
      <c r="B189" s="116"/>
      <c r="C189" s="100" t="s">
        <v>47</v>
      </c>
      <c r="D189" s="117">
        <v>29.85</v>
      </c>
      <c r="E189" s="102"/>
      <c r="F189" s="103">
        <v>1.0</v>
      </c>
      <c r="G189" s="103">
        <v>1.0</v>
      </c>
      <c r="H189" s="104">
        <f t="shared" si="1"/>
        <v>1</v>
      </c>
      <c r="I189" s="105">
        <f t="shared" si="2"/>
        <v>29.85</v>
      </c>
      <c r="J189" s="106">
        <f t="shared" si="3"/>
        <v>29.85</v>
      </c>
      <c r="K189" s="117">
        <v>0.0</v>
      </c>
      <c r="L189" s="103">
        <v>0.0</v>
      </c>
      <c r="M189" s="103">
        <v>0.0</v>
      </c>
      <c r="N189" s="118">
        <v>0.0</v>
      </c>
      <c r="O189" s="109" t="str">
        <f t="shared" si="55"/>
        <v>#DIV/0!</v>
      </c>
      <c r="P189" s="110" t="str">
        <f t="shared" si="5"/>
        <v>#DIV/0!</v>
      </c>
      <c r="Q189" s="109">
        <f t="shared" si="6"/>
        <v>0</v>
      </c>
      <c r="R189" s="111">
        <f t="shared" si="7"/>
        <v>0</v>
      </c>
      <c r="S189" s="112">
        <f t="shared" si="54"/>
        <v>29.85</v>
      </c>
      <c r="T189" s="113" t="str">
        <f t="shared" si="9"/>
        <v>#DIV/0!</v>
      </c>
      <c r="U189" s="114"/>
      <c r="V189" s="114"/>
      <c r="W189" s="114"/>
      <c r="X189" s="114"/>
      <c r="Y189" s="115"/>
      <c r="Z189" s="98"/>
      <c r="AA189" s="98"/>
    </row>
    <row r="190" hidden="1" outlineLevel="1">
      <c r="A190" s="98"/>
      <c r="B190" s="116"/>
      <c r="C190" s="100" t="s">
        <v>48</v>
      </c>
      <c r="D190" s="132">
        <v>1199.74</v>
      </c>
      <c r="E190" s="102"/>
      <c r="F190" s="103">
        <v>6.0</v>
      </c>
      <c r="G190" s="103">
        <v>11.0</v>
      </c>
      <c r="H190" s="104">
        <f t="shared" si="1"/>
        <v>0.5454545455</v>
      </c>
      <c r="I190" s="105">
        <f t="shared" si="2"/>
        <v>199.9566667</v>
      </c>
      <c r="J190" s="106">
        <f t="shared" si="3"/>
        <v>366.5872222</v>
      </c>
      <c r="K190" s="132">
        <v>288.19</v>
      </c>
      <c r="L190" s="103">
        <v>35669.0</v>
      </c>
      <c r="M190" s="103">
        <v>5.0</v>
      </c>
      <c r="N190" s="133">
        <v>799.8</v>
      </c>
      <c r="O190" s="109">
        <f t="shared" si="55"/>
        <v>0.3603275819</v>
      </c>
      <c r="P190" s="110">
        <f t="shared" si="5"/>
        <v>2.775252438</v>
      </c>
      <c r="Q190" s="109">
        <f t="shared" si="6"/>
        <v>0.2402103789</v>
      </c>
      <c r="R190" s="111">
        <f t="shared" si="7"/>
        <v>0.6666444396</v>
      </c>
      <c r="S190" s="112">
        <f t="shared" si="54"/>
        <v>399.94</v>
      </c>
      <c r="T190" s="113">
        <f t="shared" si="9"/>
        <v>57.638</v>
      </c>
      <c r="U190" s="114"/>
      <c r="V190" s="114"/>
      <c r="W190" s="114"/>
      <c r="X190" s="114"/>
      <c r="Y190" s="115"/>
      <c r="Z190" s="98"/>
      <c r="AA190" s="98"/>
    </row>
    <row r="191" hidden="1" outlineLevel="1">
      <c r="A191" s="148" t="str">
        <f t="shared" ref="A191:A192" si="56">iferror(if(B191&gt;0,month(B191)&amp;"-"&amp;year(B191),B191),)</f>
        <v>2-2026</v>
      </c>
      <c r="B191" s="99">
        <v>46081.0</v>
      </c>
      <c r="C191" s="100" t="s">
        <v>49</v>
      </c>
      <c r="D191" s="146">
        <v>-116.8</v>
      </c>
      <c r="E191" s="102"/>
      <c r="F191" s="103">
        <v>-2.0</v>
      </c>
      <c r="G191" s="103">
        <v>2.0</v>
      </c>
      <c r="H191" s="104">
        <f t="shared" si="1"/>
        <v>-1</v>
      </c>
      <c r="I191" s="105">
        <f t="shared" si="2"/>
        <v>58.4</v>
      </c>
      <c r="J191" s="106">
        <f t="shared" si="3"/>
        <v>-58.4</v>
      </c>
      <c r="K191" s="146">
        <v>4.88</v>
      </c>
      <c r="L191" s="103">
        <v>4547.0</v>
      </c>
      <c r="M191" s="103">
        <v>1.0</v>
      </c>
      <c r="N191" s="147">
        <v>86.0</v>
      </c>
      <c r="O191" s="109">
        <f t="shared" si="55"/>
        <v>0.05674418605</v>
      </c>
      <c r="P191" s="110">
        <f t="shared" si="5"/>
        <v>17.62295082</v>
      </c>
      <c r="Q191" s="109">
        <f t="shared" si="6"/>
        <v>-0.04178082192</v>
      </c>
      <c r="R191" s="111">
        <f t="shared" si="7"/>
        <v>-0.7363013699</v>
      </c>
      <c r="S191" s="112">
        <f t="shared" si="54"/>
        <v>-202.8</v>
      </c>
      <c r="T191" s="113">
        <f t="shared" si="9"/>
        <v>4.88</v>
      </c>
      <c r="U191" s="114"/>
      <c r="V191" s="114"/>
      <c r="W191" s="114"/>
      <c r="X191" s="114"/>
      <c r="Y191" s="115"/>
      <c r="Z191" s="98"/>
      <c r="AA191" s="98"/>
    </row>
    <row r="192" collapsed="1">
      <c r="A192" s="98" t="str">
        <f t="shared" si="56"/>
        <v/>
      </c>
      <c r="B192" s="149" t="s">
        <v>59</v>
      </c>
      <c r="C192" s="150"/>
      <c r="D192" s="151">
        <f>SUM(D175:D191)</f>
        <v>19868.78</v>
      </c>
      <c r="E192" s="152"/>
      <c r="F192" s="153">
        <f t="shared" ref="F192:G192" si="57">SUM(F175:F191)</f>
        <v>229</v>
      </c>
      <c r="G192" s="153">
        <f t="shared" si="57"/>
        <v>246</v>
      </c>
      <c r="H192" s="154">
        <f t="shared" si="1"/>
        <v>0.9308943089</v>
      </c>
      <c r="I192" s="155">
        <f t="shared" si="2"/>
        <v>86.76323144</v>
      </c>
      <c r="J192" s="156">
        <f t="shared" si="3"/>
        <v>93.20417002</v>
      </c>
      <c r="K192" s="151">
        <f t="shared" ref="K192:N192" si="58">SUM(K175:K191)</f>
        <v>3418.51</v>
      </c>
      <c r="L192" s="153">
        <f t="shared" si="58"/>
        <v>728086</v>
      </c>
      <c r="M192" s="153">
        <f t="shared" si="58"/>
        <v>90</v>
      </c>
      <c r="N192" s="157">
        <f t="shared" si="58"/>
        <v>5846.13</v>
      </c>
      <c r="O192" s="158">
        <f t="shared" si="55"/>
        <v>0.5847475167</v>
      </c>
      <c r="P192" s="159">
        <f t="shared" si="5"/>
        <v>1.710139798</v>
      </c>
      <c r="Q192" s="158">
        <f t="shared" si="6"/>
        <v>0.1720543486</v>
      </c>
      <c r="R192" s="160">
        <f t="shared" si="7"/>
        <v>0.2942369889</v>
      </c>
      <c r="S192" s="161">
        <f>SUM(S175:S191)</f>
        <v>14022.65</v>
      </c>
      <c r="T192" s="162">
        <f t="shared" si="9"/>
        <v>37.98344444</v>
      </c>
      <c r="U192" s="164" t="str">
        <f>IFERROR((D192-#REF!)/D192,)</f>
        <v/>
      </c>
      <c r="V192" s="164" t="str">
        <f>IFERROR((F192-#REF!)/F192,)</f>
        <v/>
      </c>
      <c r="W192" s="164" t="str">
        <f>IFERROR((D192-#REF!)/D192, )</f>
        <v/>
      </c>
      <c r="X192" s="164" t="str">
        <f>IFERROR((F192-#REF!)/F192, )</f>
        <v/>
      </c>
      <c r="Y192" s="98"/>
      <c r="Z192" s="98"/>
      <c r="AA192" s="98"/>
    </row>
    <row r="193" hidden="1" outlineLevel="1">
      <c r="A193" s="98"/>
      <c r="B193" s="99">
        <v>46082.0</v>
      </c>
      <c r="C193" s="100" t="s">
        <v>32</v>
      </c>
      <c r="D193" s="101">
        <v>7598.46</v>
      </c>
      <c r="E193" s="102"/>
      <c r="F193" s="103">
        <v>45.0</v>
      </c>
      <c r="G193" s="103">
        <v>47.0</v>
      </c>
      <c r="H193" s="104">
        <f t="shared" si="1"/>
        <v>0.9574468085</v>
      </c>
      <c r="I193" s="105">
        <f t="shared" si="2"/>
        <v>168.8546667</v>
      </c>
      <c r="J193" s="106">
        <f t="shared" si="3"/>
        <v>176.3593185</v>
      </c>
      <c r="K193" s="107">
        <v>613.05</v>
      </c>
      <c r="L193" s="103">
        <v>181567.0</v>
      </c>
      <c r="M193" s="103">
        <v>11.0</v>
      </c>
      <c r="N193" s="108">
        <v>1305.81</v>
      </c>
      <c r="O193" s="109">
        <f t="shared" si="55"/>
        <v>0.4694787144</v>
      </c>
      <c r="P193" s="110">
        <f t="shared" si="5"/>
        <v>2.130022021</v>
      </c>
      <c r="Q193" s="109">
        <f t="shared" si="6"/>
        <v>0.08068082217</v>
      </c>
      <c r="R193" s="111">
        <f t="shared" si="7"/>
        <v>0.1718519279</v>
      </c>
      <c r="S193" s="112">
        <f t="shared" ref="S193:S209" si="59">D193-N193</f>
        <v>6292.65</v>
      </c>
      <c r="T193" s="113">
        <f t="shared" si="9"/>
        <v>55.73181818</v>
      </c>
      <c r="U193" s="114"/>
      <c r="V193" s="114"/>
      <c r="W193" s="114"/>
      <c r="X193" s="114"/>
      <c r="Y193" s="115"/>
      <c r="Z193" s="98"/>
      <c r="AA193" s="98"/>
    </row>
    <row r="194" hidden="1" outlineLevel="1">
      <c r="A194" s="98"/>
      <c r="B194" s="116"/>
      <c r="C194" s="100" t="s">
        <v>33</v>
      </c>
      <c r="D194" s="117">
        <v>7897.84</v>
      </c>
      <c r="E194" s="102"/>
      <c r="F194" s="103">
        <v>103.0</v>
      </c>
      <c r="G194" s="103">
        <v>113.0</v>
      </c>
      <c r="H194" s="104">
        <f t="shared" si="1"/>
        <v>0.9115044248</v>
      </c>
      <c r="I194" s="105">
        <f t="shared" si="2"/>
        <v>76.67805825</v>
      </c>
      <c r="J194" s="106">
        <f t="shared" si="3"/>
        <v>84.12252993</v>
      </c>
      <c r="K194" s="117">
        <v>614.56</v>
      </c>
      <c r="L194" s="103">
        <v>142121.0</v>
      </c>
      <c r="M194" s="103">
        <v>18.0</v>
      </c>
      <c r="N194" s="118">
        <v>1498.7</v>
      </c>
      <c r="O194" s="109">
        <f t="shared" si="55"/>
        <v>0.4100620538</v>
      </c>
      <c r="P194" s="110">
        <f t="shared" si="5"/>
        <v>2.438655298</v>
      </c>
      <c r="Q194" s="109">
        <f t="shared" si="6"/>
        <v>0.0778136807</v>
      </c>
      <c r="R194" s="111">
        <f t="shared" si="7"/>
        <v>0.1897607447</v>
      </c>
      <c r="S194" s="119">
        <f t="shared" si="59"/>
        <v>6399.14</v>
      </c>
      <c r="T194" s="113">
        <f t="shared" si="9"/>
        <v>34.14222222</v>
      </c>
      <c r="U194" s="114"/>
      <c r="V194" s="114"/>
      <c r="W194" s="114"/>
      <c r="X194" s="114"/>
      <c r="Y194" s="115"/>
      <c r="Z194" s="98"/>
      <c r="AA194" s="98"/>
    </row>
    <row r="195" hidden="1" outlineLevel="1">
      <c r="A195" s="98"/>
      <c r="B195" s="116"/>
      <c r="C195" s="100" t="s">
        <v>34</v>
      </c>
      <c r="D195" s="120">
        <v>349.75</v>
      </c>
      <c r="E195" s="102"/>
      <c r="F195" s="103">
        <v>5.0</v>
      </c>
      <c r="G195" s="103">
        <v>2.0</v>
      </c>
      <c r="H195" s="104">
        <f t="shared" si="1"/>
        <v>2.5</v>
      </c>
      <c r="I195" s="105">
        <f t="shared" si="2"/>
        <v>69.95</v>
      </c>
      <c r="J195" s="106">
        <f t="shared" si="3"/>
        <v>27.98</v>
      </c>
      <c r="K195" s="120">
        <v>7.22</v>
      </c>
      <c r="L195" s="103">
        <v>355.0</v>
      </c>
      <c r="M195" s="103">
        <v>0.0</v>
      </c>
      <c r="N195" s="121">
        <v>0.0</v>
      </c>
      <c r="O195" s="109" t="str">
        <f>(K195/N195)</f>
        <v>#DIV/0!</v>
      </c>
      <c r="P195" s="110">
        <f t="shared" si="5"/>
        <v>0</v>
      </c>
      <c r="Q195" s="109">
        <f t="shared" si="6"/>
        <v>0.02064331665</v>
      </c>
      <c r="R195" s="111">
        <f t="shared" si="7"/>
        <v>0</v>
      </c>
      <c r="S195" s="122">
        <f t="shared" si="59"/>
        <v>349.75</v>
      </c>
      <c r="T195" s="113" t="str">
        <f t="shared" si="9"/>
        <v>#DIV/0!</v>
      </c>
      <c r="U195" s="114"/>
      <c r="V195" s="114"/>
      <c r="W195" s="114"/>
      <c r="X195" s="114"/>
      <c r="Y195" s="115"/>
      <c r="Z195" s="98"/>
      <c r="AA195" s="98"/>
    </row>
    <row r="196" hidden="1" outlineLevel="1">
      <c r="A196" s="98"/>
      <c r="B196" s="116"/>
      <c r="C196" s="100" t="s">
        <v>35</v>
      </c>
      <c r="D196" s="120">
        <v>680.46</v>
      </c>
      <c r="E196" s="102"/>
      <c r="F196" s="103">
        <v>11.0</v>
      </c>
      <c r="G196" s="103">
        <v>11.0</v>
      </c>
      <c r="H196" s="104">
        <f t="shared" si="1"/>
        <v>1</v>
      </c>
      <c r="I196" s="105">
        <f t="shared" si="2"/>
        <v>61.86</v>
      </c>
      <c r="J196" s="106">
        <f t="shared" si="3"/>
        <v>61.86</v>
      </c>
      <c r="K196" s="120">
        <v>3.42</v>
      </c>
      <c r="L196" s="103">
        <v>8.0</v>
      </c>
      <c r="M196" s="103">
        <v>1.0</v>
      </c>
      <c r="N196" s="121">
        <v>62.95</v>
      </c>
      <c r="O196" s="109">
        <f t="shared" ref="O196:O212" si="60">K196/N196</f>
        <v>0.05432883241</v>
      </c>
      <c r="P196" s="110">
        <f t="shared" si="5"/>
        <v>18.40643275</v>
      </c>
      <c r="Q196" s="109">
        <f t="shared" si="6"/>
        <v>0.005026011816</v>
      </c>
      <c r="R196" s="111">
        <f t="shared" si="7"/>
        <v>0.09251094848</v>
      </c>
      <c r="S196" s="122">
        <f t="shared" si="59"/>
        <v>617.51</v>
      </c>
      <c r="T196" s="113">
        <f t="shared" si="9"/>
        <v>3.42</v>
      </c>
      <c r="U196" s="114"/>
      <c r="V196" s="114"/>
      <c r="W196" s="114"/>
      <c r="X196" s="114"/>
      <c r="Y196" s="115"/>
      <c r="Z196" s="98"/>
      <c r="AA196" s="98"/>
    </row>
    <row r="197" hidden="1" outlineLevel="1">
      <c r="A197" s="98"/>
      <c r="B197" s="116"/>
      <c r="C197" s="100" t="s">
        <v>36</v>
      </c>
      <c r="D197" s="120">
        <v>494.6</v>
      </c>
      <c r="E197" s="102"/>
      <c r="F197" s="103">
        <v>8.0</v>
      </c>
      <c r="G197" s="103">
        <v>8.0</v>
      </c>
      <c r="H197" s="104">
        <f t="shared" si="1"/>
        <v>1</v>
      </c>
      <c r="I197" s="105">
        <f t="shared" si="2"/>
        <v>61.825</v>
      </c>
      <c r="J197" s="106">
        <f t="shared" si="3"/>
        <v>61.825</v>
      </c>
      <c r="K197" s="120">
        <v>23.59</v>
      </c>
      <c r="L197" s="103">
        <v>6796.0</v>
      </c>
      <c r="M197" s="103">
        <v>2.0</v>
      </c>
      <c r="N197" s="121">
        <v>129.9</v>
      </c>
      <c r="O197" s="109">
        <f t="shared" si="60"/>
        <v>0.1816012317</v>
      </c>
      <c r="P197" s="110">
        <f t="shared" si="5"/>
        <v>5.506570581</v>
      </c>
      <c r="Q197" s="109">
        <f t="shared" si="6"/>
        <v>0.04769510716</v>
      </c>
      <c r="R197" s="111">
        <f t="shared" si="7"/>
        <v>0.2626364739</v>
      </c>
      <c r="S197" s="122">
        <f t="shared" si="59"/>
        <v>364.7</v>
      </c>
      <c r="T197" s="113">
        <f t="shared" si="9"/>
        <v>11.795</v>
      </c>
      <c r="U197" s="114"/>
      <c r="V197" s="114"/>
      <c r="W197" s="114"/>
      <c r="X197" s="114"/>
      <c r="Y197" s="115"/>
      <c r="Z197" s="98"/>
      <c r="AA197" s="98"/>
    </row>
    <row r="198" hidden="1" outlineLevel="1">
      <c r="A198" s="98"/>
      <c r="B198" s="99" t="s">
        <v>37</v>
      </c>
      <c r="C198" s="100" t="s">
        <v>38</v>
      </c>
      <c r="D198" s="123">
        <v>121.42</v>
      </c>
      <c r="E198" s="102"/>
      <c r="F198" s="103">
        <v>2.0</v>
      </c>
      <c r="G198" s="103">
        <v>2.0</v>
      </c>
      <c r="H198" s="104">
        <f t="shared" si="1"/>
        <v>1</v>
      </c>
      <c r="I198" s="105">
        <f t="shared" si="2"/>
        <v>60.71</v>
      </c>
      <c r="J198" s="106">
        <f t="shared" si="3"/>
        <v>60.71</v>
      </c>
      <c r="K198" s="123">
        <v>24.28</v>
      </c>
      <c r="L198" s="103">
        <v>70688.0</v>
      </c>
      <c r="M198" s="103">
        <v>2.0</v>
      </c>
      <c r="N198" s="124">
        <v>62.94</v>
      </c>
      <c r="O198" s="109">
        <f t="shared" si="60"/>
        <v>0.3857642199</v>
      </c>
      <c r="P198" s="110">
        <f t="shared" si="5"/>
        <v>2.592257002</v>
      </c>
      <c r="Q198" s="109">
        <f t="shared" si="6"/>
        <v>0.1999670565</v>
      </c>
      <c r="R198" s="111">
        <f t="shared" si="7"/>
        <v>0.5183660023</v>
      </c>
      <c r="S198" s="125">
        <f t="shared" si="59"/>
        <v>58.48</v>
      </c>
      <c r="T198" s="113">
        <f t="shared" si="9"/>
        <v>12.14</v>
      </c>
      <c r="U198" s="114"/>
      <c r="V198" s="114"/>
      <c r="W198" s="114"/>
      <c r="X198" s="114"/>
      <c r="Y198" s="115"/>
      <c r="Z198" s="98"/>
      <c r="AA198" s="98"/>
    </row>
    <row r="199" hidden="1" outlineLevel="1">
      <c r="A199" s="98"/>
      <c r="B199" s="116"/>
      <c r="C199" s="100" t="s">
        <v>39</v>
      </c>
      <c r="D199" s="126">
        <v>0.0</v>
      </c>
      <c r="E199" s="102"/>
      <c r="F199" s="103">
        <v>0.0</v>
      </c>
      <c r="G199" s="103">
        <v>0.0</v>
      </c>
      <c r="H199" s="104" t="str">
        <f t="shared" si="1"/>
        <v>#DIV/0!</v>
      </c>
      <c r="I199" s="105" t="str">
        <f t="shared" si="2"/>
        <v>#DIV/0!</v>
      </c>
      <c r="J199" s="106" t="str">
        <f t="shared" si="3"/>
        <v>#DIV/0!</v>
      </c>
      <c r="K199" s="126">
        <v>0.0</v>
      </c>
      <c r="L199" s="103">
        <v>0.0</v>
      </c>
      <c r="M199" s="103">
        <v>0.0</v>
      </c>
      <c r="N199" s="127">
        <v>0.0</v>
      </c>
      <c r="O199" s="109" t="str">
        <f t="shared" si="60"/>
        <v>#DIV/0!</v>
      </c>
      <c r="P199" s="110" t="str">
        <f t="shared" si="5"/>
        <v>#DIV/0!</v>
      </c>
      <c r="Q199" s="109" t="str">
        <f t="shared" si="6"/>
        <v>#DIV/0!</v>
      </c>
      <c r="R199" s="111" t="str">
        <f t="shared" si="7"/>
        <v>#DIV/0!</v>
      </c>
      <c r="S199" s="128">
        <f t="shared" si="59"/>
        <v>0</v>
      </c>
      <c r="T199" s="113" t="str">
        <f t="shared" si="9"/>
        <v>#DIV/0!</v>
      </c>
      <c r="U199" s="114"/>
      <c r="V199" s="114"/>
      <c r="W199" s="114"/>
      <c r="X199" s="114"/>
      <c r="Y199" s="115"/>
      <c r="Z199" s="98"/>
      <c r="AA199" s="98"/>
    </row>
    <row r="200" hidden="1" outlineLevel="1">
      <c r="A200" s="98"/>
      <c r="B200" s="116"/>
      <c r="C200" s="100" t="s">
        <v>40</v>
      </c>
      <c r="D200" s="129">
        <v>0.0</v>
      </c>
      <c r="E200" s="102"/>
      <c r="F200" s="103">
        <v>0.0</v>
      </c>
      <c r="G200" s="103">
        <v>0.0</v>
      </c>
      <c r="H200" s="104" t="str">
        <f t="shared" si="1"/>
        <v>#DIV/0!</v>
      </c>
      <c r="I200" s="105" t="str">
        <f t="shared" si="2"/>
        <v>#DIV/0!</v>
      </c>
      <c r="J200" s="106" t="str">
        <f t="shared" si="3"/>
        <v>#DIV/0!</v>
      </c>
      <c r="K200" s="129">
        <v>0.0</v>
      </c>
      <c r="L200" s="103">
        <v>0.0</v>
      </c>
      <c r="M200" s="103">
        <v>0.0</v>
      </c>
      <c r="N200" s="130">
        <v>0.0</v>
      </c>
      <c r="O200" s="109" t="str">
        <f t="shared" si="60"/>
        <v>#DIV/0!</v>
      </c>
      <c r="P200" s="110" t="str">
        <f t="shared" si="5"/>
        <v>#DIV/0!</v>
      </c>
      <c r="Q200" s="109" t="str">
        <f t="shared" si="6"/>
        <v>#DIV/0!</v>
      </c>
      <c r="R200" s="111" t="str">
        <f t="shared" si="7"/>
        <v>#DIV/0!</v>
      </c>
      <c r="S200" s="131">
        <f t="shared" si="59"/>
        <v>0</v>
      </c>
      <c r="T200" s="113" t="str">
        <f t="shared" si="9"/>
        <v>#DIV/0!</v>
      </c>
      <c r="U200" s="114"/>
      <c r="V200" s="114"/>
      <c r="W200" s="114"/>
      <c r="X200" s="114"/>
      <c r="Y200" s="115"/>
      <c r="Z200" s="98"/>
      <c r="AA200" s="98"/>
    </row>
    <row r="201" hidden="1" outlineLevel="1">
      <c r="A201" s="98"/>
      <c r="B201" s="116"/>
      <c r="C201" s="100" t="s">
        <v>41</v>
      </c>
      <c r="D201" s="132">
        <v>2473.82</v>
      </c>
      <c r="E201" s="102"/>
      <c r="F201" s="103">
        <v>39.0</v>
      </c>
      <c r="G201" s="103">
        <v>41.0</v>
      </c>
      <c r="H201" s="104">
        <f t="shared" si="1"/>
        <v>0.9512195122</v>
      </c>
      <c r="I201" s="105">
        <f t="shared" si="2"/>
        <v>63.43128205</v>
      </c>
      <c r="J201" s="106">
        <f t="shared" si="3"/>
        <v>66.68416831</v>
      </c>
      <c r="K201" s="132">
        <v>582.25</v>
      </c>
      <c r="L201" s="103">
        <v>46079.0</v>
      </c>
      <c r="M201" s="103">
        <v>9.0</v>
      </c>
      <c r="N201" s="133">
        <v>534.66</v>
      </c>
      <c r="O201" s="109">
        <f t="shared" si="60"/>
        <v>1.089009838</v>
      </c>
      <c r="P201" s="110">
        <f t="shared" si="5"/>
        <v>0.9182653499</v>
      </c>
      <c r="Q201" s="109">
        <f t="shared" si="6"/>
        <v>0.2353647396</v>
      </c>
      <c r="R201" s="111">
        <f t="shared" si="7"/>
        <v>0.2161272849</v>
      </c>
      <c r="S201" s="134">
        <f t="shared" si="59"/>
        <v>1939.16</v>
      </c>
      <c r="T201" s="113">
        <f t="shared" si="9"/>
        <v>64.69444444</v>
      </c>
      <c r="U201" s="114"/>
      <c r="V201" s="114"/>
      <c r="W201" s="114"/>
      <c r="X201" s="114"/>
      <c r="Y201" s="115"/>
      <c r="Z201" s="98"/>
      <c r="AA201" s="98"/>
    </row>
    <row r="202" hidden="1" outlineLevel="1">
      <c r="A202" s="98"/>
      <c r="B202" s="116"/>
      <c r="C202" s="100" t="s">
        <v>42</v>
      </c>
      <c r="D202" s="120">
        <v>109.9</v>
      </c>
      <c r="E202" s="102"/>
      <c r="F202" s="103">
        <v>6.0</v>
      </c>
      <c r="G202" s="103">
        <v>5.0</v>
      </c>
      <c r="H202" s="104">
        <f t="shared" si="1"/>
        <v>1.2</v>
      </c>
      <c r="I202" s="105">
        <f t="shared" si="2"/>
        <v>18.31666667</v>
      </c>
      <c r="J202" s="106">
        <f t="shared" si="3"/>
        <v>15.26388889</v>
      </c>
      <c r="K202" s="120">
        <v>450.42</v>
      </c>
      <c r="L202" s="103">
        <v>81264.0</v>
      </c>
      <c r="M202" s="103">
        <v>3.0</v>
      </c>
      <c r="N202" s="121">
        <v>49.93</v>
      </c>
      <c r="O202" s="109">
        <f t="shared" si="60"/>
        <v>9.021029441</v>
      </c>
      <c r="P202" s="110">
        <f t="shared" si="5"/>
        <v>0.1108520936</v>
      </c>
      <c r="Q202" s="109">
        <f t="shared" si="6"/>
        <v>4.098453139</v>
      </c>
      <c r="R202" s="111">
        <f t="shared" si="7"/>
        <v>0.454322111</v>
      </c>
      <c r="S202" s="122">
        <f t="shared" si="59"/>
        <v>59.97</v>
      </c>
      <c r="T202" s="113">
        <f t="shared" si="9"/>
        <v>150.14</v>
      </c>
      <c r="U202" s="114"/>
      <c r="V202" s="114"/>
      <c r="W202" s="114"/>
      <c r="X202" s="114"/>
      <c r="Y202" s="115"/>
      <c r="Z202" s="98"/>
      <c r="AA202" s="98"/>
    </row>
    <row r="203" hidden="1" outlineLevel="1">
      <c r="A203" s="98"/>
      <c r="B203" s="116"/>
      <c r="C203" s="100" t="s">
        <v>43</v>
      </c>
      <c r="D203" s="135">
        <v>1285.59</v>
      </c>
      <c r="E203" s="102"/>
      <c r="F203" s="103">
        <v>10.0</v>
      </c>
      <c r="G203" s="103">
        <v>13.0</v>
      </c>
      <c r="H203" s="104">
        <f t="shared" si="1"/>
        <v>0.7692307692</v>
      </c>
      <c r="I203" s="105">
        <f t="shared" si="2"/>
        <v>128.559</v>
      </c>
      <c r="J203" s="106">
        <f t="shared" si="3"/>
        <v>167.1267</v>
      </c>
      <c r="K203" s="135">
        <v>183.26</v>
      </c>
      <c r="L203" s="103">
        <v>26231.0</v>
      </c>
      <c r="M203" s="103">
        <v>4.0</v>
      </c>
      <c r="N203" s="136">
        <v>359.88</v>
      </c>
      <c r="O203" s="109">
        <f t="shared" si="60"/>
        <v>0.5092252973</v>
      </c>
      <c r="P203" s="110">
        <f t="shared" si="5"/>
        <v>1.963767325</v>
      </c>
      <c r="Q203" s="109">
        <f t="shared" si="6"/>
        <v>0.1425493353</v>
      </c>
      <c r="R203" s="111">
        <f t="shared" si="7"/>
        <v>0.2799337269</v>
      </c>
      <c r="S203" s="137">
        <f t="shared" si="59"/>
        <v>925.71</v>
      </c>
      <c r="T203" s="113">
        <f t="shared" si="9"/>
        <v>45.815</v>
      </c>
      <c r="U203" s="114"/>
      <c r="V203" s="114"/>
      <c r="W203" s="114"/>
      <c r="X203" s="114"/>
      <c r="Y203" s="115"/>
      <c r="Z203" s="98"/>
      <c r="AA203" s="98"/>
    </row>
    <row r="204" hidden="1" outlineLevel="1">
      <c r="A204" s="98"/>
      <c r="B204" s="116"/>
      <c r="C204" s="100" t="s">
        <v>44</v>
      </c>
      <c r="D204" s="138">
        <v>659.25</v>
      </c>
      <c r="E204" s="102"/>
      <c r="F204" s="103">
        <v>15.0</v>
      </c>
      <c r="G204" s="103">
        <v>17.0</v>
      </c>
      <c r="H204" s="104">
        <f t="shared" si="1"/>
        <v>0.8823529412</v>
      </c>
      <c r="I204" s="105">
        <f t="shared" si="2"/>
        <v>43.95</v>
      </c>
      <c r="J204" s="106">
        <f t="shared" si="3"/>
        <v>49.81</v>
      </c>
      <c r="K204" s="138">
        <v>105.12</v>
      </c>
      <c r="L204" s="103">
        <v>61066.0</v>
      </c>
      <c r="M204" s="103">
        <v>5.0</v>
      </c>
      <c r="N204" s="139">
        <v>239.75</v>
      </c>
      <c r="O204" s="109">
        <f t="shared" si="60"/>
        <v>0.4384567258</v>
      </c>
      <c r="P204" s="110">
        <f t="shared" si="5"/>
        <v>2.280726788</v>
      </c>
      <c r="Q204" s="109">
        <f t="shared" si="6"/>
        <v>0.1594539249</v>
      </c>
      <c r="R204" s="111">
        <f t="shared" si="7"/>
        <v>0.3636708381</v>
      </c>
      <c r="S204" s="140">
        <f t="shared" si="59"/>
        <v>419.5</v>
      </c>
      <c r="T204" s="113">
        <f t="shared" si="9"/>
        <v>21.024</v>
      </c>
      <c r="U204" s="114"/>
      <c r="V204" s="114"/>
      <c r="W204" s="114"/>
      <c r="X204" s="114"/>
      <c r="Y204" s="115"/>
      <c r="Z204" s="98"/>
      <c r="AA204" s="98"/>
    </row>
    <row r="205" hidden="1" outlineLevel="1">
      <c r="A205" s="141"/>
      <c r="B205" s="116"/>
      <c r="C205" s="142" t="s">
        <v>45</v>
      </c>
      <c r="D205" s="101">
        <v>0.0</v>
      </c>
      <c r="E205" s="102"/>
      <c r="F205" s="103">
        <v>0.0</v>
      </c>
      <c r="G205" s="103">
        <v>0.0</v>
      </c>
      <c r="H205" s="104" t="str">
        <f t="shared" si="1"/>
        <v>#DIV/0!</v>
      </c>
      <c r="I205" s="105" t="str">
        <f t="shared" si="2"/>
        <v>#DIV/0!</v>
      </c>
      <c r="J205" s="106" t="str">
        <f t="shared" si="3"/>
        <v>#DIV/0!</v>
      </c>
      <c r="K205" s="101">
        <v>0.0</v>
      </c>
      <c r="L205" s="103">
        <v>0.0</v>
      </c>
      <c r="M205" s="103">
        <v>0.0</v>
      </c>
      <c r="N205" s="108">
        <v>0.0</v>
      </c>
      <c r="O205" s="109" t="str">
        <f t="shared" si="60"/>
        <v>#DIV/0!</v>
      </c>
      <c r="P205" s="110" t="str">
        <f t="shared" si="5"/>
        <v>#DIV/0!</v>
      </c>
      <c r="Q205" s="109" t="str">
        <f t="shared" si="6"/>
        <v>#DIV/0!</v>
      </c>
      <c r="R205" s="111" t="str">
        <f t="shared" si="7"/>
        <v>#DIV/0!</v>
      </c>
      <c r="S205" s="112">
        <f t="shared" si="59"/>
        <v>0</v>
      </c>
      <c r="T205" s="113" t="str">
        <f t="shared" si="9"/>
        <v>#DIV/0!</v>
      </c>
      <c r="U205" s="143"/>
      <c r="V205" s="143"/>
      <c r="W205" s="143"/>
      <c r="X205" s="144"/>
      <c r="Y205" s="145"/>
      <c r="Z205" s="98"/>
      <c r="AA205" s="98"/>
    </row>
    <row r="206" hidden="1" outlineLevel="1">
      <c r="A206" s="98"/>
      <c r="B206" s="116"/>
      <c r="C206" s="100" t="s">
        <v>46</v>
      </c>
      <c r="D206" s="146">
        <v>1141.69</v>
      </c>
      <c r="E206" s="102"/>
      <c r="F206" s="103">
        <v>26.0</v>
      </c>
      <c r="G206" s="103">
        <v>29.0</v>
      </c>
      <c r="H206" s="104">
        <f t="shared" si="1"/>
        <v>0.8965517241</v>
      </c>
      <c r="I206" s="105">
        <f t="shared" si="2"/>
        <v>43.91115385</v>
      </c>
      <c r="J206" s="106">
        <f t="shared" si="3"/>
        <v>48.97782544</v>
      </c>
      <c r="K206" s="146">
        <v>212.37</v>
      </c>
      <c r="L206" s="103">
        <v>48920.0</v>
      </c>
      <c r="M206" s="103">
        <v>11.0</v>
      </c>
      <c r="N206" s="147">
        <v>390.55</v>
      </c>
      <c r="O206" s="109">
        <f t="shared" si="60"/>
        <v>0.5437716041</v>
      </c>
      <c r="P206" s="110">
        <f t="shared" si="5"/>
        <v>1.839007393</v>
      </c>
      <c r="Q206" s="109">
        <f t="shared" si="6"/>
        <v>0.1860137165</v>
      </c>
      <c r="R206" s="111">
        <f t="shared" si="7"/>
        <v>0.3420805998</v>
      </c>
      <c r="S206" s="112">
        <f t="shared" si="59"/>
        <v>751.14</v>
      </c>
      <c r="T206" s="113">
        <f t="shared" si="9"/>
        <v>19.30636364</v>
      </c>
      <c r="U206" s="114"/>
      <c r="V206" s="114"/>
      <c r="W206" s="114"/>
      <c r="X206" s="114"/>
      <c r="Y206" s="115"/>
      <c r="Z206" s="98"/>
      <c r="AA206" s="98"/>
    </row>
    <row r="207" hidden="1" outlineLevel="1">
      <c r="A207" s="98"/>
      <c r="B207" s="116"/>
      <c r="C207" s="100" t="s">
        <v>47</v>
      </c>
      <c r="D207" s="117">
        <v>29.85</v>
      </c>
      <c r="E207" s="102"/>
      <c r="F207" s="103">
        <v>1.0</v>
      </c>
      <c r="G207" s="103">
        <v>1.0</v>
      </c>
      <c r="H207" s="104">
        <f t="shared" si="1"/>
        <v>1</v>
      </c>
      <c r="I207" s="105">
        <f t="shared" si="2"/>
        <v>29.85</v>
      </c>
      <c r="J207" s="106">
        <f t="shared" si="3"/>
        <v>29.85</v>
      </c>
      <c r="K207" s="117">
        <v>0.0</v>
      </c>
      <c r="L207" s="103">
        <v>0.0</v>
      </c>
      <c r="M207" s="103">
        <v>0.0</v>
      </c>
      <c r="N207" s="118">
        <v>0.0</v>
      </c>
      <c r="O207" s="109" t="str">
        <f t="shared" si="60"/>
        <v>#DIV/0!</v>
      </c>
      <c r="P207" s="110" t="str">
        <f t="shared" si="5"/>
        <v>#DIV/0!</v>
      </c>
      <c r="Q207" s="109">
        <f t="shared" si="6"/>
        <v>0</v>
      </c>
      <c r="R207" s="111">
        <f t="shared" si="7"/>
        <v>0</v>
      </c>
      <c r="S207" s="112">
        <f t="shared" si="59"/>
        <v>29.85</v>
      </c>
      <c r="T207" s="113" t="str">
        <f t="shared" si="9"/>
        <v>#DIV/0!</v>
      </c>
      <c r="U207" s="114"/>
      <c r="V207" s="114"/>
      <c r="W207" s="114"/>
      <c r="X207" s="114"/>
      <c r="Y207" s="115"/>
      <c r="Z207" s="98"/>
      <c r="AA207" s="98"/>
    </row>
    <row r="208" hidden="1" outlineLevel="1">
      <c r="A208" s="98"/>
      <c r="B208" s="116"/>
      <c r="C208" s="100" t="s">
        <v>48</v>
      </c>
      <c r="D208" s="132">
        <v>1739.55</v>
      </c>
      <c r="E208" s="102"/>
      <c r="F208" s="103">
        <v>9.0</v>
      </c>
      <c r="G208" s="103">
        <v>10.0</v>
      </c>
      <c r="H208" s="104">
        <f t="shared" si="1"/>
        <v>0.9</v>
      </c>
      <c r="I208" s="105">
        <f t="shared" si="2"/>
        <v>193.2833333</v>
      </c>
      <c r="J208" s="106">
        <f t="shared" si="3"/>
        <v>214.7592593</v>
      </c>
      <c r="K208" s="132">
        <v>368.51</v>
      </c>
      <c r="L208" s="103">
        <v>40195.0</v>
      </c>
      <c r="M208" s="103">
        <v>5.0</v>
      </c>
      <c r="N208" s="133">
        <v>999.75</v>
      </c>
      <c r="O208" s="109">
        <f t="shared" si="60"/>
        <v>0.3686021505</v>
      </c>
      <c r="P208" s="110">
        <f t="shared" si="5"/>
        <v>2.712952159</v>
      </c>
      <c r="Q208" s="109">
        <f t="shared" si="6"/>
        <v>0.2118421431</v>
      </c>
      <c r="R208" s="111">
        <f t="shared" si="7"/>
        <v>0.5747175994</v>
      </c>
      <c r="S208" s="112">
        <f t="shared" si="59"/>
        <v>739.8</v>
      </c>
      <c r="T208" s="113">
        <f t="shared" si="9"/>
        <v>73.702</v>
      </c>
      <c r="U208" s="114"/>
      <c r="V208" s="114"/>
      <c r="W208" s="114"/>
      <c r="X208" s="114"/>
      <c r="Y208" s="115"/>
      <c r="Z208" s="98"/>
      <c r="AA208" s="98"/>
    </row>
    <row r="209" hidden="1" outlineLevel="1">
      <c r="A209" s="148" t="str">
        <f t="shared" ref="A209:A210" si="61">iferror(if(B209&gt;0,month(B209)&amp;"-"&amp;year(B209),B209),)</f>
        <v>3-2026</v>
      </c>
      <c r="B209" s="99">
        <v>46088.0</v>
      </c>
      <c r="C209" s="100" t="s">
        <v>49</v>
      </c>
      <c r="D209" s="146">
        <v>-278.0</v>
      </c>
      <c r="E209" s="102"/>
      <c r="F209" s="103">
        <v>-3.0</v>
      </c>
      <c r="G209" s="103">
        <v>0.0</v>
      </c>
      <c r="H209" s="104" t="str">
        <f t="shared" si="1"/>
        <v>#DIV/0!</v>
      </c>
      <c r="I209" s="105">
        <f t="shared" si="2"/>
        <v>92.66666667</v>
      </c>
      <c r="J209" s="106" t="str">
        <f t="shared" si="3"/>
        <v>#DIV/0!</v>
      </c>
      <c r="K209" s="146">
        <v>1.36</v>
      </c>
      <c r="L209" s="103">
        <v>1905.0</v>
      </c>
      <c r="M209" s="103">
        <v>0.0</v>
      </c>
      <c r="N209" s="147">
        <v>0.0</v>
      </c>
      <c r="O209" s="109" t="str">
        <f t="shared" si="60"/>
        <v>#DIV/0!</v>
      </c>
      <c r="P209" s="110">
        <f t="shared" si="5"/>
        <v>0</v>
      </c>
      <c r="Q209" s="109">
        <f t="shared" si="6"/>
        <v>-0.004892086331</v>
      </c>
      <c r="R209" s="111">
        <f t="shared" si="7"/>
        <v>0</v>
      </c>
      <c r="S209" s="112">
        <f t="shared" si="59"/>
        <v>-278</v>
      </c>
      <c r="T209" s="113" t="str">
        <f t="shared" si="9"/>
        <v>#DIV/0!</v>
      </c>
      <c r="U209" s="114"/>
      <c r="V209" s="114"/>
      <c r="W209" s="114"/>
      <c r="X209" s="114"/>
      <c r="Y209" s="115"/>
      <c r="Z209" s="98"/>
      <c r="AA209" s="98"/>
    </row>
    <row r="210" collapsed="1">
      <c r="A210" s="98" t="str">
        <f t="shared" si="61"/>
        <v/>
      </c>
      <c r="B210" s="149" t="s">
        <v>60</v>
      </c>
      <c r="C210" s="150"/>
      <c r="D210" s="151">
        <f>SUM(D193:D209)</f>
        <v>24304.18</v>
      </c>
      <c r="E210" s="152"/>
      <c r="F210" s="153">
        <f t="shared" ref="F210:G210" si="62">SUM(F193:F209)</f>
        <v>277</v>
      </c>
      <c r="G210" s="153">
        <f t="shared" si="62"/>
        <v>299</v>
      </c>
      <c r="H210" s="154">
        <f t="shared" si="1"/>
        <v>0.9264214047</v>
      </c>
      <c r="I210" s="155">
        <f t="shared" si="2"/>
        <v>87.74072202</v>
      </c>
      <c r="J210" s="156">
        <f t="shared" si="3"/>
        <v>94.70929922</v>
      </c>
      <c r="K210" s="151">
        <f t="shared" ref="K210:N210" si="63">SUM(K193:K209)</f>
        <v>3189.41</v>
      </c>
      <c r="L210" s="153">
        <f t="shared" si="63"/>
        <v>707195</v>
      </c>
      <c r="M210" s="153">
        <f t="shared" si="63"/>
        <v>71</v>
      </c>
      <c r="N210" s="157">
        <f t="shared" si="63"/>
        <v>5634.82</v>
      </c>
      <c r="O210" s="158">
        <f t="shared" si="60"/>
        <v>0.5660180804</v>
      </c>
      <c r="P210" s="159">
        <f t="shared" si="5"/>
        <v>1.766728016</v>
      </c>
      <c r="Q210" s="158">
        <f t="shared" si="6"/>
        <v>0.1312288668</v>
      </c>
      <c r="R210" s="160">
        <f t="shared" si="7"/>
        <v>0.2318457154</v>
      </c>
      <c r="S210" s="161">
        <f>SUM(S193:S209)</f>
        <v>18669.36</v>
      </c>
      <c r="T210" s="162">
        <f t="shared" si="9"/>
        <v>44.92126761</v>
      </c>
      <c r="U210" s="164" t="str">
        <f>IFERROR((D210-#REF!)/D210,)</f>
        <v/>
      </c>
      <c r="V210" s="164" t="str">
        <f>IFERROR((F210-#REF!)/F210,)</f>
        <v/>
      </c>
      <c r="W210" s="164" t="str">
        <f>IFERROR((D210-monthly_reporting_2021!E1)/D210, )</f>
        <v/>
      </c>
      <c r="X210" s="164" t="str">
        <f>IFERROR((F210-monthly_reporting_2021!F1)/F210, )</f>
        <v/>
      </c>
      <c r="Y210" s="98"/>
      <c r="Z210" s="98"/>
      <c r="AA210" s="98"/>
    </row>
    <row r="211" outlineLevel="1">
      <c r="A211" s="165"/>
      <c r="B211" s="166">
        <v>46089.0</v>
      </c>
      <c r="C211" s="100" t="s">
        <v>32</v>
      </c>
      <c r="D211" s="167">
        <v>5333.09</v>
      </c>
      <c r="E211" s="168"/>
      <c r="F211" s="169">
        <v>43.0</v>
      </c>
      <c r="G211" s="169">
        <v>42.0</v>
      </c>
      <c r="H211" s="104">
        <f t="shared" si="1"/>
        <v>1.023809524</v>
      </c>
      <c r="I211" s="105">
        <f t="shared" si="2"/>
        <v>124.0253488</v>
      </c>
      <c r="J211" s="106">
        <f t="shared" si="3"/>
        <v>121.1410384</v>
      </c>
      <c r="K211" s="170">
        <v>627.92</v>
      </c>
      <c r="L211" s="169">
        <v>100485.0</v>
      </c>
      <c r="M211" s="169">
        <v>12.0</v>
      </c>
      <c r="N211" s="171">
        <v>1146.75</v>
      </c>
      <c r="O211" s="109">
        <f t="shared" si="60"/>
        <v>0.5475648572</v>
      </c>
      <c r="P211" s="110">
        <f t="shared" si="5"/>
        <v>1.826267677</v>
      </c>
      <c r="Q211" s="109">
        <f t="shared" si="6"/>
        <v>0.1177403719</v>
      </c>
      <c r="R211" s="111">
        <f t="shared" si="7"/>
        <v>0.2150254355</v>
      </c>
      <c r="S211" s="112">
        <f t="shared" ref="S211:S227" si="64">D211-N211</f>
        <v>4186.34</v>
      </c>
      <c r="T211" s="113">
        <f t="shared" si="9"/>
        <v>52.32666667</v>
      </c>
      <c r="U211" s="172"/>
      <c r="V211" s="172"/>
      <c r="W211" s="172"/>
      <c r="X211" s="172"/>
      <c r="Y211" s="173"/>
      <c r="Z211" s="165"/>
      <c r="AA211" s="165"/>
    </row>
    <row r="212" outlineLevel="1">
      <c r="A212" s="165"/>
      <c r="B212" s="174"/>
      <c r="C212" s="100" t="s">
        <v>33</v>
      </c>
      <c r="D212" s="175">
        <v>9585.6</v>
      </c>
      <c r="E212" s="168"/>
      <c r="F212" s="169">
        <v>90.0</v>
      </c>
      <c r="G212" s="169">
        <v>92.0</v>
      </c>
      <c r="H212" s="104">
        <f t="shared" si="1"/>
        <v>0.9782608696</v>
      </c>
      <c r="I212" s="105">
        <f t="shared" si="2"/>
        <v>106.5066667</v>
      </c>
      <c r="J212" s="106">
        <f t="shared" si="3"/>
        <v>108.8734815</v>
      </c>
      <c r="K212" s="175">
        <v>582.22</v>
      </c>
      <c r="L212" s="169">
        <v>126250.0</v>
      </c>
      <c r="M212" s="169">
        <v>11.0</v>
      </c>
      <c r="N212" s="176">
        <v>1472.7</v>
      </c>
      <c r="O212" s="109">
        <f t="shared" si="60"/>
        <v>0.395341889</v>
      </c>
      <c r="P212" s="110">
        <f t="shared" si="5"/>
        <v>2.529456219</v>
      </c>
      <c r="Q212" s="109">
        <f t="shared" si="6"/>
        <v>0.0607390252</v>
      </c>
      <c r="R212" s="111">
        <f t="shared" si="7"/>
        <v>0.1536367051</v>
      </c>
      <c r="S212" s="119">
        <f t="shared" si="64"/>
        <v>8112.9</v>
      </c>
      <c r="T212" s="113">
        <f t="shared" si="9"/>
        <v>52.92909091</v>
      </c>
      <c r="U212" s="172"/>
      <c r="V212" s="172"/>
      <c r="W212" s="172"/>
      <c r="X212" s="172"/>
      <c r="Y212" s="173"/>
      <c r="Z212" s="165"/>
      <c r="AA212" s="165"/>
    </row>
    <row r="213" outlineLevel="1">
      <c r="A213" s="165"/>
      <c r="B213" s="174"/>
      <c r="C213" s="100" t="s">
        <v>34</v>
      </c>
      <c r="D213" s="177">
        <v>0.0</v>
      </c>
      <c r="E213" s="168"/>
      <c r="F213" s="169">
        <v>0.0</v>
      </c>
      <c r="G213" s="169">
        <v>0.0</v>
      </c>
      <c r="H213" s="104" t="str">
        <f t="shared" si="1"/>
        <v>#DIV/0!</v>
      </c>
      <c r="I213" s="105" t="str">
        <f t="shared" si="2"/>
        <v>#DIV/0!</v>
      </c>
      <c r="J213" s="106" t="str">
        <f t="shared" si="3"/>
        <v>#DIV/0!</v>
      </c>
      <c r="K213" s="177">
        <v>14.44</v>
      </c>
      <c r="L213" s="169">
        <v>391.0</v>
      </c>
      <c r="M213" s="169">
        <v>0.0</v>
      </c>
      <c r="N213" s="178">
        <v>0.0</v>
      </c>
      <c r="O213" s="109" t="str">
        <f>(K213/N213)</f>
        <v>#DIV/0!</v>
      </c>
      <c r="P213" s="110">
        <f t="shared" si="5"/>
        <v>0</v>
      </c>
      <c r="Q213" s="109" t="str">
        <f t="shared" si="6"/>
        <v>#DIV/0!</v>
      </c>
      <c r="R213" s="111" t="str">
        <f t="shared" si="7"/>
        <v>#DIV/0!</v>
      </c>
      <c r="S213" s="122">
        <f t="shared" si="64"/>
        <v>0</v>
      </c>
      <c r="T213" s="113" t="str">
        <f t="shared" si="9"/>
        <v>#DIV/0!</v>
      </c>
      <c r="U213" s="172"/>
      <c r="V213" s="172"/>
      <c r="W213" s="172"/>
      <c r="X213" s="172"/>
      <c r="Y213" s="173"/>
      <c r="Z213" s="165"/>
      <c r="AA213" s="165"/>
    </row>
    <row r="214" outlineLevel="1">
      <c r="A214" s="165"/>
      <c r="B214" s="174"/>
      <c r="C214" s="100" t="s">
        <v>35</v>
      </c>
      <c r="D214" s="177">
        <v>200.84</v>
      </c>
      <c r="E214" s="168"/>
      <c r="F214" s="169">
        <v>3.0</v>
      </c>
      <c r="G214" s="169">
        <v>4.0</v>
      </c>
      <c r="H214" s="104">
        <f t="shared" si="1"/>
        <v>0.75</v>
      </c>
      <c r="I214" s="105">
        <f t="shared" si="2"/>
        <v>66.94666667</v>
      </c>
      <c r="J214" s="106">
        <f t="shared" si="3"/>
        <v>89.26222222</v>
      </c>
      <c r="K214" s="177">
        <v>0.0</v>
      </c>
      <c r="L214" s="169">
        <v>13.0</v>
      </c>
      <c r="M214" s="169">
        <v>0.0</v>
      </c>
      <c r="N214" s="178">
        <v>0.0</v>
      </c>
      <c r="O214" s="109" t="str">
        <f t="shared" ref="O214:O230" si="65">K214/N214</f>
        <v>#DIV/0!</v>
      </c>
      <c r="P214" s="110" t="str">
        <f t="shared" si="5"/>
        <v>#DIV/0!</v>
      </c>
      <c r="Q214" s="109">
        <f t="shared" si="6"/>
        <v>0</v>
      </c>
      <c r="R214" s="111">
        <f t="shared" si="7"/>
        <v>0</v>
      </c>
      <c r="S214" s="122">
        <f t="shared" si="64"/>
        <v>200.84</v>
      </c>
      <c r="T214" s="113" t="str">
        <f t="shared" si="9"/>
        <v>#DIV/0!</v>
      </c>
      <c r="U214" s="172"/>
      <c r="V214" s="172"/>
      <c r="W214" s="172"/>
      <c r="X214" s="172"/>
      <c r="Y214" s="173"/>
      <c r="Z214" s="165"/>
      <c r="AA214" s="165"/>
    </row>
    <row r="215" outlineLevel="1">
      <c r="A215" s="165"/>
      <c r="B215" s="174"/>
      <c r="C215" s="100" t="s">
        <v>36</v>
      </c>
      <c r="D215" s="177">
        <v>1089.15</v>
      </c>
      <c r="E215" s="168"/>
      <c r="F215" s="169">
        <v>17.0</v>
      </c>
      <c r="G215" s="169">
        <v>18.0</v>
      </c>
      <c r="H215" s="104">
        <f t="shared" si="1"/>
        <v>0.9444444444</v>
      </c>
      <c r="I215" s="105">
        <f t="shared" si="2"/>
        <v>64.06764706</v>
      </c>
      <c r="J215" s="106">
        <f t="shared" si="3"/>
        <v>67.83633218</v>
      </c>
      <c r="K215" s="177">
        <v>29.14</v>
      </c>
      <c r="L215" s="169">
        <v>6464.0</v>
      </c>
      <c r="M215" s="169">
        <v>7.0</v>
      </c>
      <c r="N215" s="178">
        <v>449.65</v>
      </c>
      <c r="O215" s="109">
        <f t="shared" si="65"/>
        <v>0.06480596019</v>
      </c>
      <c r="P215" s="110">
        <f t="shared" si="5"/>
        <v>15.43067948</v>
      </c>
      <c r="Q215" s="109">
        <f t="shared" si="6"/>
        <v>0.0267548088</v>
      </c>
      <c r="R215" s="111">
        <f t="shared" si="7"/>
        <v>0.412844879</v>
      </c>
      <c r="S215" s="122">
        <f t="shared" si="64"/>
        <v>639.5</v>
      </c>
      <c r="T215" s="113">
        <f t="shared" si="9"/>
        <v>4.162857143</v>
      </c>
      <c r="U215" s="172"/>
      <c r="V215" s="172"/>
      <c r="W215" s="172"/>
      <c r="X215" s="172"/>
      <c r="Y215" s="173"/>
      <c r="Z215" s="165"/>
      <c r="AA215" s="165"/>
    </row>
    <row r="216" outlineLevel="1">
      <c r="A216" s="165"/>
      <c r="B216" s="179" t="s">
        <v>37</v>
      </c>
      <c r="C216" s="100" t="s">
        <v>38</v>
      </c>
      <c r="D216" s="180">
        <v>179.9</v>
      </c>
      <c r="E216" s="168"/>
      <c r="F216" s="169">
        <v>2.0</v>
      </c>
      <c r="G216" s="169">
        <v>2.0</v>
      </c>
      <c r="H216" s="104">
        <f t="shared" si="1"/>
        <v>1</v>
      </c>
      <c r="I216" s="105">
        <f t="shared" si="2"/>
        <v>89.95</v>
      </c>
      <c r="J216" s="106">
        <f t="shared" si="3"/>
        <v>89.95</v>
      </c>
      <c r="K216" s="180">
        <v>37.68</v>
      </c>
      <c r="L216" s="169">
        <v>36072.0</v>
      </c>
      <c r="M216" s="169">
        <v>0.0</v>
      </c>
      <c r="N216" s="181">
        <v>0.0</v>
      </c>
      <c r="O216" s="109" t="str">
        <f t="shared" si="65"/>
        <v>#DIV/0!</v>
      </c>
      <c r="P216" s="110">
        <f t="shared" si="5"/>
        <v>0</v>
      </c>
      <c r="Q216" s="109">
        <f t="shared" si="6"/>
        <v>0.2094496943</v>
      </c>
      <c r="R216" s="111">
        <f t="shared" si="7"/>
        <v>0</v>
      </c>
      <c r="S216" s="125">
        <f t="shared" si="64"/>
        <v>179.9</v>
      </c>
      <c r="T216" s="113" t="str">
        <f t="shared" si="9"/>
        <v>#DIV/0!</v>
      </c>
      <c r="U216" s="172"/>
      <c r="V216" s="172"/>
      <c r="W216" s="172"/>
      <c r="X216" s="172"/>
      <c r="Y216" s="173"/>
      <c r="Z216" s="165"/>
      <c r="AA216" s="165"/>
    </row>
    <row r="217" outlineLevel="1">
      <c r="A217" s="165"/>
      <c r="B217" s="174"/>
      <c r="C217" s="100" t="s">
        <v>39</v>
      </c>
      <c r="D217" s="182">
        <v>0.0</v>
      </c>
      <c r="E217" s="168"/>
      <c r="F217" s="169">
        <v>0.0</v>
      </c>
      <c r="G217" s="169">
        <v>0.0</v>
      </c>
      <c r="H217" s="104" t="str">
        <f t="shared" si="1"/>
        <v>#DIV/0!</v>
      </c>
      <c r="I217" s="105" t="str">
        <f t="shared" si="2"/>
        <v>#DIV/0!</v>
      </c>
      <c r="J217" s="106" t="str">
        <f t="shared" si="3"/>
        <v>#DIV/0!</v>
      </c>
      <c r="K217" s="182">
        <v>0.0</v>
      </c>
      <c r="L217" s="169">
        <v>0.0</v>
      </c>
      <c r="M217" s="169">
        <v>0.0</v>
      </c>
      <c r="N217" s="183">
        <v>0.0</v>
      </c>
      <c r="O217" s="109" t="str">
        <f t="shared" si="65"/>
        <v>#DIV/0!</v>
      </c>
      <c r="P217" s="110" t="str">
        <f t="shared" si="5"/>
        <v>#DIV/0!</v>
      </c>
      <c r="Q217" s="109" t="str">
        <f t="shared" si="6"/>
        <v>#DIV/0!</v>
      </c>
      <c r="R217" s="111" t="str">
        <f t="shared" si="7"/>
        <v>#DIV/0!</v>
      </c>
      <c r="S217" s="128">
        <f t="shared" si="64"/>
        <v>0</v>
      </c>
      <c r="T217" s="113" t="str">
        <f t="shared" si="9"/>
        <v>#DIV/0!</v>
      </c>
      <c r="U217" s="172"/>
      <c r="V217" s="172"/>
      <c r="W217" s="172"/>
      <c r="X217" s="172"/>
      <c r="Y217" s="173"/>
      <c r="Z217" s="165"/>
      <c r="AA217" s="165"/>
    </row>
    <row r="218" outlineLevel="1">
      <c r="A218" s="165"/>
      <c r="B218" s="174"/>
      <c r="C218" s="100" t="s">
        <v>40</v>
      </c>
      <c r="D218" s="184">
        <v>0.0</v>
      </c>
      <c r="E218" s="168"/>
      <c r="F218" s="169">
        <v>0.0</v>
      </c>
      <c r="G218" s="169">
        <v>0.0</v>
      </c>
      <c r="H218" s="104" t="str">
        <f t="shared" si="1"/>
        <v>#DIV/0!</v>
      </c>
      <c r="I218" s="105" t="str">
        <f t="shared" si="2"/>
        <v>#DIV/0!</v>
      </c>
      <c r="J218" s="106" t="str">
        <f t="shared" si="3"/>
        <v>#DIV/0!</v>
      </c>
      <c r="K218" s="184">
        <v>0.0</v>
      </c>
      <c r="L218" s="169">
        <v>0.0</v>
      </c>
      <c r="M218" s="169">
        <v>0.0</v>
      </c>
      <c r="N218" s="185">
        <v>0.0</v>
      </c>
      <c r="O218" s="109" t="str">
        <f t="shared" si="65"/>
        <v>#DIV/0!</v>
      </c>
      <c r="P218" s="110" t="str">
        <f t="shared" si="5"/>
        <v>#DIV/0!</v>
      </c>
      <c r="Q218" s="109" t="str">
        <f t="shared" si="6"/>
        <v>#DIV/0!</v>
      </c>
      <c r="R218" s="111" t="str">
        <f t="shared" si="7"/>
        <v>#DIV/0!</v>
      </c>
      <c r="S218" s="131">
        <f t="shared" si="64"/>
        <v>0</v>
      </c>
      <c r="T218" s="113" t="str">
        <f t="shared" si="9"/>
        <v>#DIV/0!</v>
      </c>
      <c r="U218" s="172"/>
      <c r="V218" s="172"/>
      <c r="W218" s="172"/>
      <c r="X218" s="172"/>
      <c r="Y218" s="173"/>
      <c r="Z218" s="165"/>
      <c r="AA218" s="165"/>
    </row>
    <row r="219" outlineLevel="1">
      <c r="A219" s="165"/>
      <c r="B219" s="174"/>
      <c r="C219" s="100" t="s">
        <v>41</v>
      </c>
      <c r="D219" s="186">
        <v>215.99</v>
      </c>
      <c r="E219" s="168"/>
      <c r="F219" s="169">
        <v>2.0</v>
      </c>
      <c r="G219" s="169">
        <v>2.0</v>
      </c>
      <c r="H219" s="104">
        <f t="shared" si="1"/>
        <v>1</v>
      </c>
      <c r="I219" s="105">
        <f t="shared" si="2"/>
        <v>107.995</v>
      </c>
      <c r="J219" s="106">
        <f t="shared" si="3"/>
        <v>107.995</v>
      </c>
      <c r="K219" s="186">
        <v>368.12</v>
      </c>
      <c r="L219" s="169">
        <v>40116.0</v>
      </c>
      <c r="M219" s="169">
        <v>3.0</v>
      </c>
      <c r="N219" s="187">
        <v>176.97</v>
      </c>
      <c r="O219" s="109">
        <f t="shared" si="65"/>
        <v>2.080126575</v>
      </c>
      <c r="P219" s="110">
        <f t="shared" si="5"/>
        <v>0.4807399761</v>
      </c>
      <c r="Q219" s="109">
        <f t="shared" si="6"/>
        <v>1.704338164</v>
      </c>
      <c r="R219" s="111">
        <f t="shared" si="7"/>
        <v>0.8193434881</v>
      </c>
      <c r="S219" s="134">
        <f t="shared" si="64"/>
        <v>39.02</v>
      </c>
      <c r="T219" s="113">
        <f t="shared" si="9"/>
        <v>122.7066667</v>
      </c>
      <c r="U219" s="172"/>
      <c r="V219" s="172"/>
      <c r="W219" s="172"/>
      <c r="X219" s="172"/>
      <c r="Y219" s="173"/>
      <c r="Z219" s="165"/>
      <c r="AA219" s="165"/>
    </row>
    <row r="220" outlineLevel="1">
      <c r="A220" s="165"/>
      <c r="B220" s="174"/>
      <c r="C220" s="100" t="s">
        <v>42</v>
      </c>
      <c r="D220" s="177">
        <v>79.78</v>
      </c>
      <c r="E220" s="168"/>
      <c r="F220" s="169">
        <v>6.0</v>
      </c>
      <c r="G220" s="169">
        <v>5.0</v>
      </c>
      <c r="H220" s="104">
        <f t="shared" si="1"/>
        <v>1.2</v>
      </c>
      <c r="I220" s="105">
        <f t="shared" si="2"/>
        <v>13.29666667</v>
      </c>
      <c r="J220" s="106">
        <f t="shared" si="3"/>
        <v>11.08055556</v>
      </c>
      <c r="K220" s="177">
        <v>212.71</v>
      </c>
      <c r="L220" s="169">
        <v>69839.0</v>
      </c>
      <c r="M220" s="169">
        <v>6.0</v>
      </c>
      <c r="N220" s="178">
        <v>79.78</v>
      </c>
      <c r="O220" s="109">
        <f t="shared" si="65"/>
        <v>2.666207069</v>
      </c>
      <c r="P220" s="110">
        <f t="shared" si="5"/>
        <v>0.375064642</v>
      </c>
      <c r="Q220" s="109">
        <f t="shared" si="6"/>
        <v>2.666207069</v>
      </c>
      <c r="R220" s="111">
        <f t="shared" si="7"/>
        <v>1</v>
      </c>
      <c r="S220" s="122">
        <f t="shared" si="64"/>
        <v>0</v>
      </c>
      <c r="T220" s="113">
        <f t="shared" si="9"/>
        <v>35.45166667</v>
      </c>
      <c r="U220" s="172"/>
      <c r="V220" s="172"/>
      <c r="W220" s="172"/>
      <c r="X220" s="172"/>
      <c r="Y220" s="173"/>
      <c r="Z220" s="165"/>
      <c r="AA220" s="165"/>
    </row>
    <row r="221" outlineLevel="1">
      <c r="A221" s="165"/>
      <c r="B221" s="174"/>
      <c r="C221" s="100" t="s">
        <v>43</v>
      </c>
      <c r="D221" s="188">
        <v>639.75</v>
      </c>
      <c r="E221" s="168"/>
      <c r="F221" s="169">
        <v>6.0</v>
      </c>
      <c r="G221" s="169">
        <v>9.0</v>
      </c>
      <c r="H221" s="104">
        <f t="shared" si="1"/>
        <v>0.6666666667</v>
      </c>
      <c r="I221" s="105">
        <f t="shared" si="2"/>
        <v>106.625</v>
      </c>
      <c r="J221" s="106">
        <f t="shared" si="3"/>
        <v>159.9375</v>
      </c>
      <c r="K221" s="188">
        <v>145.12</v>
      </c>
      <c r="L221" s="169">
        <v>26534.0</v>
      </c>
      <c r="M221" s="169">
        <v>5.0</v>
      </c>
      <c r="N221" s="189">
        <v>479.84</v>
      </c>
      <c r="O221" s="109">
        <f t="shared" si="65"/>
        <v>0.3024341447</v>
      </c>
      <c r="P221" s="110">
        <f t="shared" si="5"/>
        <v>3.306504961</v>
      </c>
      <c r="Q221" s="109">
        <f t="shared" si="6"/>
        <v>0.2268386088</v>
      </c>
      <c r="R221" s="111">
        <f t="shared" si="7"/>
        <v>0.7500429855</v>
      </c>
      <c r="S221" s="137">
        <f t="shared" si="64"/>
        <v>159.91</v>
      </c>
      <c r="T221" s="113">
        <f t="shared" si="9"/>
        <v>29.024</v>
      </c>
      <c r="U221" s="172"/>
      <c r="V221" s="172"/>
      <c r="W221" s="172"/>
      <c r="X221" s="172"/>
      <c r="Y221" s="173"/>
      <c r="Z221" s="165"/>
      <c r="AA221" s="165"/>
    </row>
    <row r="222" outlineLevel="1">
      <c r="A222" s="165"/>
      <c r="B222" s="174"/>
      <c r="C222" s="100" t="s">
        <v>44</v>
      </c>
      <c r="D222" s="190">
        <v>359.6</v>
      </c>
      <c r="E222" s="168"/>
      <c r="F222" s="169">
        <v>8.0</v>
      </c>
      <c r="G222" s="169">
        <v>10.0</v>
      </c>
      <c r="H222" s="104">
        <f t="shared" si="1"/>
        <v>0.8</v>
      </c>
      <c r="I222" s="105">
        <f t="shared" si="2"/>
        <v>44.95</v>
      </c>
      <c r="J222" s="106">
        <f t="shared" si="3"/>
        <v>56.1875</v>
      </c>
      <c r="K222" s="190">
        <v>72.45</v>
      </c>
      <c r="L222" s="169">
        <v>55748.0</v>
      </c>
      <c r="M222" s="169">
        <v>2.0</v>
      </c>
      <c r="N222" s="191">
        <v>89.9</v>
      </c>
      <c r="O222" s="109">
        <f t="shared" si="65"/>
        <v>0.8058954394</v>
      </c>
      <c r="P222" s="110">
        <f t="shared" si="5"/>
        <v>1.240855763</v>
      </c>
      <c r="Q222" s="109">
        <f t="shared" si="6"/>
        <v>0.2014738598</v>
      </c>
      <c r="R222" s="111">
        <f t="shared" si="7"/>
        <v>0.25</v>
      </c>
      <c r="S222" s="140">
        <f t="shared" si="64"/>
        <v>269.7</v>
      </c>
      <c r="T222" s="113">
        <f t="shared" si="9"/>
        <v>36.225</v>
      </c>
      <c r="U222" s="172"/>
      <c r="V222" s="172"/>
      <c r="W222" s="172"/>
      <c r="X222" s="172"/>
      <c r="Y222" s="173"/>
      <c r="Z222" s="165"/>
      <c r="AA222" s="165"/>
    </row>
    <row r="223" outlineLevel="1">
      <c r="A223" s="192"/>
      <c r="B223" s="174"/>
      <c r="C223" s="142" t="s">
        <v>45</v>
      </c>
      <c r="D223" s="167">
        <v>29.95</v>
      </c>
      <c r="E223" s="168"/>
      <c r="F223" s="169">
        <v>1.0</v>
      </c>
      <c r="G223" s="169">
        <v>1.0</v>
      </c>
      <c r="H223" s="104">
        <f t="shared" si="1"/>
        <v>1</v>
      </c>
      <c r="I223" s="105">
        <f t="shared" si="2"/>
        <v>29.95</v>
      </c>
      <c r="J223" s="106">
        <f t="shared" si="3"/>
        <v>29.95</v>
      </c>
      <c r="K223" s="167">
        <v>0.0</v>
      </c>
      <c r="L223" s="169">
        <v>0.0</v>
      </c>
      <c r="M223" s="169">
        <v>0.0</v>
      </c>
      <c r="N223" s="171">
        <v>0.0</v>
      </c>
      <c r="O223" s="109" t="str">
        <f t="shared" si="65"/>
        <v>#DIV/0!</v>
      </c>
      <c r="P223" s="110" t="str">
        <f t="shared" si="5"/>
        <v>#DIV/0!</v>
      </c>
      <c r="Q223" s="109">
        <f t="shared" si="6"/>
        <v>0</v>
      </c>
      <c r="R223" s="111">
        <f t="shared" si="7"/>
        <v>0</v>
      </c>
      <c r="S223" s="112">
        <f t="shared" si="64"/>
        <v>29.95</v>
      </c>
      <c r="T223" s="113" t="str">
        <f t="shared" si="9"/>
        <v>#DIV/0!</v>
      </c>
      <c r="U223" s="193"/>
      <c r="V223" s="193"/>
      <c r="W223" s="193"/>
      <c r="X223" s="194"/>
      <c r="Y223" s="195"/>
      <c r="Z223" s="165"/>
      <c r="AA223" s="165"/>
    </row>
    <row r="224" outlineLevel="1">
      <c r="A224" s="148"/>
      <c r="B224" s="99"/>
      <c r="C224" s="100" t="s">
        <v>46</v>
      </c>
      <c r="D224" s="196">
        <v>1626.73</v>
      </c>
      <c r="E224" s="105"/>
      <c r="F224" s="169">
        <v>37.0</v>
      </c>
      <c r="G224" s="169">
        <v>41.0</v>
      </c>
      <c r="H224" s="104">
        <f t="shared" si="1"/>
        <v>0.9024390244</v>
      </c>
      <c r="I224" s="105">
        <f t="shared" si="2"/>
        <v>43.96567568</v>
      </c>
      <c r="J224" s="106">
        <f t="shared" si="3"/>
        <v>48.71872169</v>
      </c>
      <c r="K224" s="196">
        <v>230.59</v>
      </c>
      <c r="L224" s="169">
        <v>44555.0</v>
      </c>
      <c r="M224" s="169">
        <v>13.0</v>
      </c>
      <c r="N224" s="197">
        <v>474.45</v>
      </c>
      <c r="O224" s="109">
        <f t="shared" si="65"/>
        <v>0.4860153862</v>
      </c>
      <c r="P224" s="110">
        <f t="shared" si="5"/>
        <v>2.057548029</v>
      </c>
      <c r="Q224" s="109">
        <f t="shared" si="6"/>
        <v>0.1417506286</v>
      </c>
      <c r="R224" s="111">
        <f t="shared" si="7"/>
        <v>0.2916587264</v>
      </c>
      <c r="S224" s="112">
        <f t="shared" si="64"/>
        <v>1152.28</v>
      </c>
      <c r="T224" s="113">
        <f t="shared" si="9"/>
        <v>17.73769231</v>
      </c>
      <c r="U224" s="198"/>
      <c r="V224" s="198"/>
      <c r="W224" s="198"/>
      <c r="X224" s="198"/>
      <c r="Y224" s="199"/>
      <c r="Z224" s="148"/>
      <c r="AA224" s="148"/>
    </row>
    <row r="225" outlineLevel="1">
      <c r="A225" s="165"/>
      <c r="B225" s="174"/>
      <c r="C225" s="200" t="s">
        <v>47</v>
      </c>
      <c r="D225" s="175">
        <v>59.7</v>
      </c>
      <c r="E225" s="168"/>
      <c r="F225" s="169">
        <v>2.0</v>
      </c>
      <c r="G225" s="169">
        <v>1.0</v>
      </c>
      <c r="H225" s="104">
        <f t="shared" si="1"/>
        <v>2</v>
      </c>
      <c r="I225" s="105">
        <f t="shared" si="2"/>
        <v>29.85</v>
      </c>
      <c r="J225" s="106">
        <f t="shared" si="3"/>
        <v>14.925</v>
      </c>
      <c r="K225" s="175">
        <v>0.0</v>
      </c>
      <c r="L225" s="169">
        <v>0.0</v>
      </c>
      <c r="M225" s="169">
        <v>0.0</v>
      </c>
      <c r="N225" s="176">
        <v>0.0</v>
      </c>
      <c r="O225" s="109" t="str">
        <f t="shared" si="65"/>
        <v>#DIV/0!</v>
      </c>
      <c r="P225" s="110" t="str">
        <f t="shared" si="5"/>
        <v>#DIV/0!</v>
      </c>
      <c r="Q225" s="109">
        <f t="shared" si="6"/>
        <v>0</v>
      </c>
      <c r="R225" s="111">
        <f t="shared" si="7"/>
        <v>0</v>
      </c>
      <c r="S225" s="112">
        <f t="shared" si="64"/>
        <v>59.7</v>
      </c>
      <c r="T225" s="113" t="str">
        <f t="shared" si="9"/>
        <v>#DIV/0!</v>
      </c>
      <c r="U225" s="172"/>
      <c r="V225" s="172"/>
      <c r="W225" s="172"/>
      <c r="X225" s="172"/>
      <c r="Y225" s="173"/>
      <c r="Z225" s="165"/>
      <c r="AA225" s="165"/>
    </row>
    <row r="226" outlineLevel="1">
      <c r="A226" s="165"/>
      <c r="B226" s="174"/>
      <c r="C226" s="200" t="s">
        <v>48</v>
      </c>
      <c r="D226" s="186">
        <v>2819.34</v>
      </c>
      <c r="E226" s="168"/>
      <c r="F226" s="169">
        <v>14.0</v>
      </c>
      <c r="G226" s="169">
        <v>14.0</v>
      </c>
      <c r="H226" s="104">
        <f t="shared" si="1"/>
        <v>1</v>
      </c>
      <c r="I226" s="105">
        <f t="shared" si="2"/>
        <v>201.3814286</v>
      </c>
      <c r="J226" s="106">
        <f t="shared" si="3"/>
        <v>201.3814286</v>
      </c>
      <c r="K226" s="186">
        <v>401.0</v>
      </c>
      <c r="L226" s="169">
        <v>53888.0</v>
      </c>
      <c r="M226" s="169">
        <v>9.0</v>
      </c>
      <c r="N226" s="187">
        <v>1999.59</v>
      </c>
      <c r="O226" s="109">
        <f t="shared" si="65"/>
        <v>0.2005411109</v>
      </c>
      <c r="P226" s="110">
        <f t="shared" si="5"/>
        <v>4.986508728</v>
      </c>
      <c r="Q226" s="109">
        <f t="shared" si="6"/>
        <v>0.1422318699</v>
      </c>
      <c r="R226" s="111">
        <f t="shared" si="7"/>
        <v>0.7092404605</v>
      </c>
      <c r="S226" s="112">
        <f t="shared" si="64"/>
        <v>819.75</v>
      </c>
      <c r="T226" s="113">
        <f t="shared" si="9"/>
        <v>44.55555556</v>
      </c>
      <c r="U226" s="172"/>
      <c r="V226" s="172"/>
      <c r="W226" s="172"/>
      <c r="X226" s="172"/>
      <c r="Y226" s="173"/>
      <c r="Z226" s="165"/>
      <c r="AA226" s="165"/>
    </row>
    <row r="227" outlineLevel="1">
      <c r="A227" s="148" t="str">
        <f t="shared" ref="A227:A228" si="66">iferror(if(B227&gt;0,month(B227)&amp;"-"&amp;year(B227),B227),)</f>
        <v>3-2026</v>
      </c>
      <c r="B227" s="166">
        <v>46095.0</v>
      </c>
      <c r="C227" s="100" t="s">
        <v>49</v>
      </c>
      <c r="D227" s="196">
        <v>0.0</v>
      </c>
      <c r="E227" s="168"/>
      <c r="F227" s="169">
        <v>0.0</v>
      </c>
      <c r="G227" s="169">
        <v>0.0</v>
      </c>
      <c r="H227" s="104" t="str">
        <f t="shared" si="1"/>
        <v>#DIV/0!</v>
      </c>
      <c r="I227" s="105" t="str">
        <f t="shared" si="2"/>
        <v>#DIV/0!</v>
      </c>
      <c r="J227" s="106" t="str">
        <f t="shared" si="3"/>
        <v>#DIV/0!</v>
      </c>
      <c r="K227" s="196">
        <v>0.47</v>
      </c>
      <c r="L227" s="169">
        <v>1374.0</v>
      </c>
      <c r="M227" s="169">
        <v>0.0</v>
      </c>
      <c r="N227" s="197">
        <v>0.0</v>
      </c>
      <c r="O227" s="109" t="str">
        <f t="shared" si="65"/>
        <v>#DIV/0!</v>
      </c>
      <c r="P227" s="110">
        <f t="shared" si="5"/>
        <v>0</v>
      </c>
      <c r="Q227" s="109" t="str">
        <f t="shared" si="6"/>
        <v>#DIV/0!</v>
      </c>
      <c r="R227" s="111" t="str">
        <f t="shared" si="7"/>
        <v>#DIV/0!</v>
      </c>
      <c r="S227" s="112">
        <f t="shared" si="64"/>
        <v>0</v>
      </c>
      <c r="T227" s="113" t="str">
        <f t="shared" si="9"/>
        <v>#DIV/0!</v>
      </c>
      <c r="U227" s="172"/>
      <c r="V227" s="172"/>
      <c r="W227" s="172"/>
      <c r="X227" s="172"/>
      <c r="Y227" s="173"/>
      <c r="Z227" s="165"/>
      <c r="AA227" s="165"/>
    </row>
    <row r="228" ht="16.5" customHeight="1">
      <c r="A228" s="165" t="str">
        <f t="shared" si="66"/>
        <v/>
      </c>
      <c r="B228" s="149" t="s">
        <v>61</v>
      </c>
      <c r="C228" s="201"/>
      <c r="D228" s="151">
        <f>SUM(D211:D227)</f>
        <v>22219.42</v>
      </c>
      <c r="E228" s="155"/>
      <c r="F228" s="202">
        <f t="shared" ref="F228:G228" si="67">SUM(F211:F227)</f>
        <v>231</v>
      </c>
      <c r="G228" s="202">
        <f t="shared" si="67"/>
        <v>241</v>
      </c>
      <c r="H228" s="154">
        <f t="shared" si="1"/>
        <v>0.9585062241</v>
      </c>
      <c r="I228" s="155">
        <f t="shared" si="2"/>
        <v>96.18796537</v>
      </c>
      <c r="J228" s="156">
        <f t="shared" si="3"/>
        <v>100.3519466</v>
      </c>
      <c r="K228" s="151">
        <f t="shared" ref="K228:N228" si="68">SUM(K211:K227)</f>
        <v>2721.86</v>
      </c>
      <c r="L228" s="202">
        <f t="shared" si="68"/>
        <v>561729</v>
      </c>
      <c r="M228" s="202">
        <f t="shared" si="68"/>
        <v>68</v>
      </c>
      <c r="N228" s="157">
        <f t="shared" si="68"/>
        <v>6369.63</v>
      </c>
      <c r="O228" s="158">
        <f t="shared" si="65"/>
        <v>0.4273183843</v>
      </c>
      <c r="P228" s="159">
        <f t="shared" si="5"/>
        <v>2.340175468</v>
      </c>
      <c r="Q228" s="158">
        <f t="shared" si="6"/>
        <v>0.1224991471</v>
      </c>
      <c r="R228" s="160">
        <f t="shared" si="7"/>
        <v>0.286669499</v>
      </c>
      <c r="S228" s="161">
        <f>SUM(S211:S227)</f>
        <v>15849.79</v>
      </c>
      <c r="T228" s="162">
        <f t="shared" si="9"/>
        <v>40.02735294</v>
      </c>
      <c r="U228" s="163" t="str">
        <f>IFERROR((D228-#REF!)/D228,)</f>
        <v/>
      </c>
      <c r="V228" s="163" t="str">
        <f>IFERROR((F228-#REF!)/F228,)</f>
        <v/>
      </c>
      <c r="W228" s="163" t="str">
        <f>IFERROR((D228-monthly_reporting_2021!E19)/D228, )</f>
        <v/>
      </c>
      <c r="X228" s="163" t="str">
        <f>IFERROR((F228-monthly_reporting_2021!F19)/F228, )</f>
        <v/>
      </c>
      <c r="Y228" s="165"/>
      <c r="Z228" s="165"/>
      <c r="AA228" s="165"/>
    </row>
    <row r="229" outlineLevel="1">
      <c r="A229" s="165"/>
      <c r="B229" s="166">
        <v>46096.0</v>
      </c>
      <c r="C229" s="100" t="s">
        <v>32</v>
      </c>
      <c r="D229" s="167">
        <v>3417.15</v>
      </c>
      <c r="E229" s="168"/>
      <c r="F229" s="169">
        <v>17.0</v>
      </c>
      <c r="G229" s="169">
        <v>20.0</v>
      </c>
      <c r="H229" s="104">
        <f t="shared" si="1"/>
        <v>0.85</v>
      </c>
      <c r="I229" s="105">
        <f t="shared" si="2"/>
        <v>201.0088235</v>
      </c>
      <c r="J229" s="106">
        <f t="shared" si="3"/>
        <v>236.4809689</v>
      </c>
      <c r="K229" s="170">
        <v>658.59</v>
      </c>
      <c r="L229" s="169">
        <v>116709.0</v>
      </c>
      <c r="M229" s="169">
        <v>11.0</v>
      </c>
      <c r="N229" s="171">
        <v>1504.0</v>
      </c>
      <c r="O229" s="109">
        <f t="shared" si="65"/>
        <v>0.4378922872</v>
      </c>
      <c r="P229" s="110">
        <f t="shared" si="5"/>
        <v>2.283666621</v>
      </c>
      <c r="Q229" s="109">
        <f t="shared" si="6"/>
        <v>0.1927307844</v>
      </c>
      <c r="R229" s="111">
        <f t="shared" si="7"/>
        <v>0.4401328593</v>
      </c>
      <c r="S229" s="112">
        <f t="shared" ref="S229:S245" si="69">D229-N229</f>
        <v>1913.15</v>
      </c>
      <c r="T229" s="113">
        <f t="shared" si="9"/>
        <v>59.87181818</v>
      </c>
      <c r="U229" s="172"/>
      <c r="V229" s="172"/>
      <c r="W229" s="172"/>
      <c r="X229" s="172"/>
      <c r="Y229" s="173"/>
      <c r="Z229" s="165"/>
      <c r="AA229" s="165"/>
    </row>
    <row r="230" outlineLevel="1">
      <c r="A230" s="165"/>
      <c r="B230" s="174"/>
      <c r="C230" s="100" t="s">
        <v>33</v>
      </c>
      <c r="D230" s="175">
        <v>14405.32</v>
      </c>
      <c r="E230" s="168"/>
      <c r="F230" s="169">
        <v>84.0</v>
      </c>
      <c r="G230" s="169">
        <v>94.0</v>
      </c>
      <c r="H230" s="104">
        <f t="shared" si="1"/>
        <v>0.8936170213</v>
      </c>
      <c r="I230" s="105">
        <f t="shared" si="2"/>
        <v>171.4919048</v>
      </c>
      <c r="J230" s="106">
        <f t="shared" si="3"/>
        <v>191.9076077</v>
      </c>
      <c r="K230" s="175">
        <v>685.92</v>
      </c>
      <c r="L230" s="169">
        <v>155851.0</v>
      </c>
      <c r="M230" s="169">
        <v>23.0</v>
      </c>
      <c r="N230" s="176">
        <v>5878.1</v>
      </c>
      <c r="O230" s="109">
        <f t="shared" si="65"/>
        <v>0.1166907674</v>
      </c>
      <c r="P230" s="110">
        <f t="shared" si="5"/>
        <v>8.569658269</v>
      </c>
      <c r="Q230" s="109">
        <f t="shared" si="6"/>
        <v>0.04761574196</v>
      </c>
      <c r="R230" s="111">
        <f t="shared" si="7"/>
        <v>0.4080506368</v>
      </c>
      <c r="S230" s="119">
        <f t="shared" si="69"/>
        <v>8527.22</v>
      </c>
      <c r="T230" s="113">
        <f t="shared" si="9"/>
        <v>29.8226087</v>
      </c>
      <c r="U230" s="172"/>
      <c r="V230" s="172"/>
      <c r="W230" s="172"/>
      <c r="X230" s="172"/>
      <c r="Y230" s="173"/>
      <c r="Z230" s="165"/>
      <c r="AA230" s="165"/>
    </row>
    <row r="231" outlineLevel="1">
      <c r="A231" s="165"/>
      <c r="B231" s="174"/>
      <c r="C231" s="100" t="s">
        <v>34</v>
      </c>
      <c r="D231" s="177">
        <v>209.85</v>
      </c>
      <c r="E231" s="168"/>
      <c r="F231" s="169">
        <v>3.0</v>
      </c>
      <c r="G231" s="169">
        <v>1.0</v>
      </c>
      <c r="H231" s="104">
        <f t="shared" si="1"/>
        <v>3</v>
      </c>
      <c r="I231" s="105">
        <f t="shared" si="2"/>
        <v>69.95</v>
      </c>
      <c r="J231" s="106">
        <f t="shared" si="3"/>
        <v>23.31666667</v>
      </c>
      <c r="K231" s="177">
        <v>0.0</v>
      </c>
      <c r="L231" s="169">
        <v>388.0</v>
      </c>
      <c r="M231" s="169">
        <v>0.0</v>
      </c>
      <c r="N231" s="178">
        <v>0.0</v>
      </c>
      <c r="O231" s="109" t="str">
        <f>(K231/N231)</f>
        <v>#DIV/0!</v>
      </c>
      <c r="P231" s="110" t="str">
        <f t="shared" si="5"/>
        <v>#DIV/0!</v>
      </c>
      <c r="Q231" s="109">
        <f t="shared" si="6"/>
        <v>0</v>
      </c>
      <c r="R231" s="111">
        <f t="shared" si="7"/>
        <v>0</v>
      </c>
      <c r="S231" s="122">
        <f t="shared" si="69"/>
        <v>209.85</v>
      </c>
      <c r="T231" s="113" t="str">
        <f t="shared" si="9"/>
        <v>#DIV/0!</v>
      </c>
      <c r="U231" s="172"/>
      <c r="V231" s="172"/>
      <c r="W231" s="172"/>
      <c r="X231" s="172"/>
      <c r="Y231" s="173"/>
      <c r="Z231" s="165"/>
      <c r="AA231" s="165"/>
    </row>
    <row r="232" outlineLevel="1">
      <c r="A232" s="165"/>
      <c r="B232" s="174"/>
      <c r="C232" s="100" t="s">
        <v>35</v>
      </c>
      <c r="D232" s="177">
        <v>1154.05</v>
      </c>
      <c r="E232" s="168"/>
      <c r="F232" s="169">
        <v>19.0</v>
      </c>
      <c r="G232" s="169">
        <v>19.0</v>
      </c>
      <c r="H232" s="104">
        <f t="shared" si="1"/>
        <v>1</v>
      </c>
      <c r="I232" s="105">
        <f t="shared" si="2"/>
        <v>60.73947368</v>
      </c>
      <c r="J232" s="106">
        <f t="shared" si="3"/>
        <v>60.73947368</v>
      </c>
      <c r="K232" s="177">
        <v>368.78</v>
      </c>
      <c r="L232" s="169">
        <v>20250.0</v>
      </c>
      <c r="M232" s="169">
        <v>10.0</v>
      </c>
      <c r="N232" s="178">
        <v>599.5</v>
      </c>
      <c r="O232" s="109">
        <f t="shared" ref="O232:O246" si="70">K232/N232</f>
        <v>0.615145955</v>
      </c>
      <c r="P232" s="110">
        <f t="shared" si="5"/>
        <v>1.625630457</v>
      </c>
      <c r="Q232" s="109">
        <f t="shared" si="6"/>
        <v>0.319552879</v>
      </c>
      <c r="R232" s="111">
        <f t="shared" si="7"/>
        <v>0.5194748928</v>
      </c>
      <c r="S232" s="122">
        <f t="shared" si="69"/>
        <v>554.55</v>
      </c>
      <c r="T232" s="113">
        <f t="shared" si="9"/>
        <v>36.878</v>
      </c>
      <c r="U232" s="172"/>
      <c r="V232" s="172"/>
      <c r="W232" s="172"/>
      <c r="X232" s="172"/>
      <c r="Y232" s="173"/>
      <c r="Z232" s="165"/>
      <c r="AA232" s="165"/>
    </row>
    <row r="233" outlineLevel="1">
      <c r="A233" s="165"/>
      <c r="B233" s="174"/>
      <c r="C233" s="100" t="s">
        <v>36</v>
      </c>
      <c r="D233" s="177">
        <v>419.7</v>
      </c>
      <c r="E233" s="168"/>
      <c r="F233" s="169">
        <v>6.0</v>
      </c>
      <c r="G233" s="169">
        <v>5.0</v>
      </c>
      <c r="H233" s="104">
        <f t="shared" si="1"/>
        <v>1.2</v>
      </c>
      <c r="I233" s="105">
        <f t="shared" si="2"/>
        <v>69.95</v>
      </c>
      <c r="J233" s="106">
        <f t="shared" si="3"/>
        <v>58.29166667</v>
      </c>
      <c r="K233" s="177">
        <v>32.67</v>
      </c>
      <c r="L233" s="169">
        <v>7514.0</v>
      </c>
      <c r="M233" s="169">
        <v>2.0</v>
      </c>
      <c r="N233" s="178">
        <v>139.9</v>
      </c>
      <c r="O233" s="109">
        <f t="shared" si="70"/>
        <v>0.2335239457</v>
      </c>
      <c r="P233" s="110">
        <f t="shared" si="5"/>
        <v>4.2822161</v>
      </c>
      <c r="Q233" s="109">
        <f t="shared" si="6"/>
        <v>0.07784131523</v>
      </c>
      <c r="R233" s="111">
        <f t="shared" si="7"/>
        <v>0.3333333333</v>
      </c>
      <c r="S233" s="122">
        <f t="shared" si="69"/>
        <v>279.8</v>
      </c>
      <c r="T233" s="113">
        <f t="shared" si="9"/>
        <v>16.335</v>
      </c>
      <c r="U233" s="172"/>
      <c r="V233" s="172"/>
      <c r="W233" s="172"/>
      <c r="X233" s="172"/>
      <c r="Y233" s="173"/>
      <c r="Z233" s="165"/>
      <c r="AA233" s="165"/>
    </row>
    <row r="234" outlineLevel="1">
      <c r="A234" s="165"/>
      <c r="B234" s="179" t="s">
        <v>37</v>
      </c>
      <c r="C234" s="100" t="s">
        <v>38</v>
      </c>
      <c r="D234" s="180">
        <v>136.92</v>
      </c>
      <c r="E234" s="168"/>
      <c r="F234" s="169">
        <v>1.0</v>
      </c>
      <c r="G234" s="169">
        <v>3.0</v>
      </c>
      <c r="H234" s="104">
        <f t="shared" si="1"/>
        <v>0.3333333333</v>
      </c>
      <c r="I234" s="105">
        <f t="shared" si="2"/>
        <v>136.92</v>
      </c>
      <c r="J234" s="106">
        <f t="shared" si="3"/>
        <v>410.76</v>
      </c>
      <c r="K234" s="180">
        <v>36.26</v>
      </c>
      <c r="L234" s="169">
        <v>41913.0</v>
      </c>
      <c r="M234" s="169">
        <v>2.0</v>
      </c>
      <c r="N234" s="181">
        <v>109.91</v>
      </c>
      <c r="O234" s="109">
        <f t="shared" si="70"/>
        <v>0.329906287</v>
      </c>
      <c r="P234" s="110">
        <f t="shared" si="5"/>
        <v>3.031163817</v>
      </c>
      <c r="Q234" s="109">
        <f t="shared" si="6"/>
        <v>0.2648261759</v>
      </c>
      <c r="R234" s="111">
        <f t="shared" si="7"/>
        <v>0.8027315221</v>
      </c>
      <c r="S234" s="125">
        <f t="shared" si="69"/>
        <v>27.01</v>
      </c>
      <c r="T234" s="113">
        <f t="shared" si="9"/>
        <v>18.13</v>
      </c>
      <c r="U234" s="172"/>
      <c r="V234" s="172"/>
      <c r="W234" s="172"/>
      <c r="X234" s="172"/>
      <c r="Y234" s="173"/>
      <c r="Z234" s="165"/>
      <c r="AA234" s="165"/>
    </row>
    <row r="235" outlineLevel="1">
      <c r="A235" s="165"/>
      <c r="B235" s="174"/>
      <c r="C235" s="100" t="s">
        <v>39</v>
      </c>
      <c r="D235" s="182">
        <v>0.0</v>
      </c>
      <c r="E235" s="168"/>
      <c r="F235" s="169">
        <v>0.0</v>
      </c>
      <c r="G235" s="169">
        <v>0.0</v>
      </c>
      <c r="H235" s="104" t="str">
        <f t="shared" si="1"/>
        <v>#DIV/0!</v>
      </c>
      <c r="I235" s="105" t="str">
        <f t="shared" si="2"/>
        <v>#DIV/0!</v>
      </c>
      <c r="J235" s="106" t="str">
        <f t="shared" si="3"/>
        <v>#DIV/0!</v>
      </c>
      <c r="K235" s="182">
        <v>0.0</v>
      </c>
      <c r="L235" s="169">
        <v>0.0</v>
      </c>
      <c r="M235" s="169">
        <v>0.0</v>
      </c>
      <c r="N235" s="183">
        <v>0.0</v>
      </c>
      <c r="O235" s="109" t="str">
        <f t="shared" si="70"/>
        <v>#DIV/0!</v>
      </c>
      <c r="P235" s="110" t="str">
        <f t="shared" si="5"/>
        <v>#DIV/0!</v>
      </c>
      <c r="Q235" s="109" t="str">
        <f t="shared" si="6"/>
        <v>#DIV/0!</v>
      </c>
      <c r="R235" s="111" t="str">
        <f t="shared" si="7"/>
        <v>#DIV/0!</v>
      </c>
      <c r="S235" s="128">
        <f t="shared" si="69"/>
        <v>0</v>
      </c>
      <c r="T235" s="113" t="str">
        <f t="shared" si="9"/>
        <v>#DIV/0!</v>
      </c>
      <c r="U235" s="172"/>
      <c r="V235" s="172"/>
      <c r="W235" s="172"/>
      <c r="X235" s="172"/>
      <c r="Y235" s="173"/>
      <c r="Z235" s="165"/>
      <c r="AA235" s="165"/>
    </row>
    <row r="236" outlineLevel="1">
      <c r="A236" s="165"/>
      <c r="B236" s="174"/>
      <c r="C236" s="100" t="s">
        <v>40</v>
      </c>
      <c r="D236" s="184">
        <v>0.0</v>
      </c>
      <c r="E236" s="168"/>
      <c r="F236" s="169">
        <v>0.0</v>
      </c>
      <c r="G236" s="169">
        <v>0.0</v>
      </c>
      <c r="H236" s="104" t="str">
        <f t="shared" si="1"/>
        <v>#DIV/0!</v>
      </c>
      <c r="I236" s="105" t="str">
        <f t="shared" si="2"/>
        <v>#DIV/0!</v>
      </c>
      <c r="J236" s="106" t="str">
        <f t="shared" si="3"/>
        <v>#DIV/0!</v>
      </c>
      <c r="K236" s="184">
        <v>0.0</v>
      </c>
      <c r="L236" s="169">
        <v>0.0</v>
      </c>
      <c r="M236" s="169">
        <v>0.0</v>
      </c>
      <c r="N236" s="185">
        <v>0.0</v>
      </c>
      <c r="O236" s="109" t="str">
        <f t="shared" si="70"/>
        <v>#DIV/0!</v>
      </c>
      <c r="P236" s="110" t="str">
        <f t="shared" si="5"/>
        <v>#DIV/0!</v>
      </c>
      <c r="Q236" s="109" t="str">
        <f t="shared" si="6"/>
        <v>#DIV/0!</v>
      </c>
      <c r="R236" s="111" t="str">
        <f t="shared" si="7"/>
        <v>#DIV/0!</v>
      </c>
      <c r="S236" s="131">
        <f t="shared" si="69"/>
        <v>0</v>
      </c>
      <c r="T236" s="113" t="str">
        <f t="shared" si="9"/>
        <v>#DIV/0!</v>
      </c>
      <c r="U236" s="172"/>
      <c r="V236" s="172"/>
      <c r="W236" s="172"/>
      <c r="X236" s="172"/>
      <c r="Y236" s="173"/>
      <c r="Z236" s="165"/>
      <c r="AA236" s="165"/>
    </row>
    <row r="237" outlineLevel="1">
      <c r="A237" s="165"/>
      <c r="B237" s="174"/>
      <c r="C237" s="100" t="s">
        <v>41</v>
      </c>
      <c r="D237" s="186">
        <v>1915.47</v>
      </c>
      <c r="E237" s="168"/>
      <c r="F237" s="169">
        <v>26.0</v>
      </c>
      <c r="G237" s="169">
        <v>26.0</v>
      </c>
      <c r="H237" s="104">
        <f t="shared" si="1"/>
        <v>1</v>
      </c>
      <c r="I237" s="105">
        <f t="shared" si="2"/>
        <v>73.67192308</v>
      </c>
      <c r="J237" s="106">
        <f t="shared" si="3"/>
        <v>73.67192308</v>
      </c>
      <c r="K237" s="186">
        <v>403.32</v>
      </c>
      <c r="L237" s="169">
        <v>34183.0</v>
      </c>
      <c r="M237" s="169">
        <v>11.0</v>
      </c>
      <c r="N237" s="187">
        <v>1042.62</v>
      </c>
      <c r="O237" s="109">
        <f t="shared" si="70"/>
        <v>0.3868331703</v>
      </c>
      <c r="P237" s="110">
        <f t="shared" si="5"/>
        <v>2.585093722</v>
      </c>
      <c r="Q237" s="109">
        <f t="shared" si="6"/>
        <v>0.2105592883</v>
      </c>
      <c r="R237" s="111">
        <f t="shared" si="7"/>
        <v>0.5443154944</v>
      </c>
      <c r="S237" s="134">
        <f t="shared" si="69"/>
        <v>872.85</v>
      </c>
      <c r="T237" s="113">
        <f t="shared" si="9"/>
        <v>36.66545455</v>
      </c>
      <c r="U237" s="172"/>
      <c r="V237" s="172"/>
      <c r="W237" s="172"/>
      <c r="X237" s="172"/>
      <c r="Y237" s="173"/>
      <c r="Z237" s="165"/>
      <c r="AA237" s="165"/>
    </row>
    <row r="238" outlineLevel="1">
      <c r="A238" s="165"/>
      <c r="B238" s="174"/>
      <c r="C238" s="100" t="s">
        <v>42</v>
      </c>
      <c r="D238" s="177">
        <v>19.99</v>
      </c>
      <c r="E238" s="168"/>
      <c r="F238" s="169">
        <v>1.0</v>
      </c>
      <c r="G238" s="169">
        <v>1.0</v>
      </c>
      <c r="H238" s="104">
        <f t="shared" si="1"/>
        <v>1</v>
      </c>
      <c r="I238" s="105">
        <f t="shared" si="2"/>
        <v>19.99</v>
      </c>
      <c r="J238" s="106">
        <f t="shared" si="3"/>
        <v>19.99</v>
      </c>
      <c r="K238" s="177">
        <v>101.61</v>
      </c>
      <c r="L238" s="169">
        <v>58547.0</v>
      </c>
      <c r="M238" s="169">
        <v>1.0</v>
      </c>
      <c r="N238" s="178">
        <v>19.99</v>
      </c>
      <c r="O238" s="109">
        <f t="shared" si="70"/>
        <v>5.083041521</v>
      </c>
      <c r="P238" s="110">
        <f t="shared" si="5"/>
        <v>0.1967326051</v>
      </c>
      <c r="Q238" s="109">
        <f t="shared" si="6"/>
        <v>5.083041521</v>
      </c>
      <c r="R238" s="111">
        <f t="shared" si="7"/>
        <v>1</v>
      </c>
      <c r="S238" s="122">
        <f t="shared" si="69"/>
        <v>0</v>
      </c>
      <c r="T238" s="113">
        <f t="shared" si="9"/>
        <v>101.61</v>
      </c>
      <c r="U238" s="172"/>
      <c r="V238" s="172"/>
      <c r="W238" s="172"/>
      <c r="X238" s="172"/>
      <c r="Y238" s="173"/>
      <c r="Z238" s="165"/>
      <c r="AA238" s="165"/>
    </row>
    <row r="239" outlineLevel="1">
      <c r="A239" s="165"/>
      <c r="B239" s="174"/>
      <c r="C239" s="100" t="s">
        <v>43</v>
      </c>
      <c r="D239" s="188">
        <v>784.17</v>
      </c>
      <c r="E239" s="168"/>
      <c r="F239" s="169">
        <v>8.0</v>
      </c>
      <c r="G239" s="169">
        <v>10.0</v>
      </c>
      <c r="H239" s="104">
        <f t="shared" si="1"/>
        <v>0.8</v>
      </c>
      <c r="I239" s="105">
        <f t="shared" si="2"/>
        <v>98.02125</v>
      </c>
      <c r="J239" s="106">
        <f t="shared" si="3"/>
        <v>122.5265625</v>
      </c>
      <c r="K239" s="188">
        <v>265.11</v>
      </c>
      <c r="L239" s="169">
        <v>29524.0</v>
      </c>
      <c r="M239" s="169">
        <v>3.0</v>
      </c>
      <c r="N239" s="189">
        <v>257.13</v>
      </c>
      <c r="O239" s="109">
        <f t="shared" si="70"/>
        <v>1.031034885</v>
      </c>
      <c r="P239" s="110">
        <f t="shared" si="5"/>
        <v>0.9698992871</v>
      </c>
      <c r="Q239" s="109">
        <f t="shared" si="6"/>
        <v>0.3380772026</v>
      </c>
      <c r="R239" s="111">
        <f t="shared" si="7"/>
        <v>0.3279008378</v>
      </c>
      <c r="S239" s="137">
        <f t="shared" si="69"/>
        <v>527.04</v>
      </c>
      <c r="T239" s="113">
        <f t="shared" si="9"/>
        <v>88.37</v>
      </c>
      <c r="U239" s="172"/>
      <c r="V239" s="172"/>
      <c r="W239" s="172"/>
      <c r="X239" s="172"/>
      <c r="Y239" s="173"/>
      <c r="Z239" s="165"/>
      <c r="AA239" s="165"/>
    </row>
    <row r="240" outlineLevel="1">
      <c r="A240" s="165"/>
      <c r="B240" s="174"/>
      <c r="C240" s="100" t="s">
        <v>44</v>
      </c>
      <c r="D240" s="190">
        <v>359.6</v>
      </c>
      <c r="E240" s="168"/>
      <c r="F240" s="169">
        <v>8.0</v>
      </c>
      <c r="G240" s="169">
        <v>9.0</v>
      </c>
      <c r="H240" s="104">
        <f t="shared" si="1"/>
        <v>0.8888888889</v>
      </c>
      <c r="I240" s="105">
        <f t="shared" si="2"/>
        <v>44.95</v>
      </c>
      <c r="J240" s="106">
        <f t="shared" si="3"/>
        <v>50.56875</v>
      </c>
      <c r="K240" s="190">
        <v>84.35</v>
      </c>
      <c r="L240" s="169">
        <v>52577.0</v>
      </c>
      <c r="M240" s="169">
        <v>2.0</v>
      </c>
      <c r="N240" s="191">
        <v>89.9</v>
      </c>
      <c r="O240" s="109">
        <f t="shared" si="70"/>
        <v>0.9382647386</v>
      </c>
      <c r="P240" s="110">
        <f t="shared" si="5"/>
        <v>1.065797273</v>
      </c>
      <c r="Q240" s="109">
        <f t="shared" si="6"/>
        <v>0.2345661846</v>
      </c>
      <c r="R240" s="111">
        <f t="shared" si="7"/>
        <v>0.25</v>
      </c>
      <c r="S240" s="140">
        <f t="shared" si="69"/>
        <v>269.7</v>
      </c>
      <c r="T240" s="113">
        <f t="shared" si="9"/>
        <v>42.175</v>
      </c>
      <c r="U240" s="172"/>
      <c r="V240" s="172"/>
      <c r="W240" s="172"/>
      <c r="X240" s="172"/>
      <c r="Y240" s="173"/>
      <c r="Z240" s="165"/>
      <c r="AA240" s="165"/>
    </row>
    <row r="241" outlineLevel="1">
      <c r="A241" s="192"/>
      <c r="B241" s="174"/>
      <c r="C241" s="142" t="s">
        <v>45</v>
      </c>
      <c r="D241" s="167">
        <v>59.9</v>
      </c>
      <c r="E241" s="168"/>
      <c r="F241" s="169">
        <v>2.0</v>
      </c>
      <c r="G241" s="169">
        <v>2.0</v>
      </c>
      <c r="H241" s="104">
        <f t="shared" si="1"/>
        <v>1</v>
      </c>
      <c r="I241" s="105">
        <f t="shared" si="2"/>
        <v>29.95</v>
      </c>
      <c r="J241" s="106">
        <f t="shared" si="3"/>
        <v>29.95</v>
      </c>
      <c r="K241" s="167">
        <v>0.0</v>
      </c>
      <c r="L241" s="169">
        <v>0.0</v>
      </c>
      <c r="M241" s="169">
        <v>0.0</v>
      </c>
      <c r="N241" s="171">
        <v>0.0</v>
      </c>
      <c r="O241" s="109" t="str">
        <f t="shared" si="70"/>
        <v>#DIV/0!</v>
      </c>
      <c r="P241" s="110" t="str">
        <f t="shared" si="5"/>
        <v>#DIV/0!</v>
      </c>
      <c r="Q241" s="109">
        <f t="shared" si="6"/>
        <v>0</v>
      </c>
      <c r="R241" s="111">
        <f t="shared" si="7"/>
        <v>0</v>
      </c>
      <c r="S241" s="112">
        <f t="shared" si="69"/>
        <v>59.9</v>
      </c>
      <c r="T241" s="113" t="str">
        <f t="shared" si="9"/>
        <v>#DIV/0!</v>
      </c>
      <c r="U241" s="193"/>
      <c r="V241" s="193"/>
      <c r="W241" s="193"/>
      <c r="X241" s="194"/>
      <c r="Y241" s="195"/>
      <c r="Z241" s="165"/>
      <c r="AA241" s="165"/>
    </row>
    <row r="242" outlineLevel="1">
      <c r="A242" s="148"/>
      <c r="B242" s="99"/>
      <c r="C242" s="100" t="s">
        <v>46</v>
      </c>
      <c r="D242" s="196">
        <v>997.85</v>
      </c>
      <c r="E242" s="105"/>
      <c r="F242" s="169">
        <v>23.0</v>
      </c>
      <c r="G242" s="169">
        <v>24.0</v>
      </c>
      <c r="H242" s="104">
        <f t="shared" si="1"/>
        <v>0.9583333333</v>
      </c>
      <c r="I242" s="105">
        <f t="shared" si="2"/>
        <v>43.38478261</v>
      </c>
      <c r="J242" s="106">
        <f t="shared" si="3"/>
        <v>45.2710775</v>
      </c>
      <c r="K242" s="196">
        <v>191.62</v>
      </c>
      <c r="L242" s="169">
        <v>40208.0</v>
      </c>
      <c r="M242" s="169">
        <v>6.0</v>
      </c>
      <c r="N242" s="197">
        <v>261.7</v>
      </c>
      <c r="O242" s="109">
        <f t="shared" si="70"/>
        <v>0.732212457</v>
      </c>
      <c r="P242" s="110">
        <f t="shared" si="5"/>
        <v>1.365723828</v>
      </c>
      <c r="Q242" s="109">
        <f t="shared" si="6"/>
        <v>0.1920328707</v>
      </c>
      <c r="R242" s="111">
        <f t="shared" si="7"/>
        <v>0.2622638673</v>
      </c>
      <c r="S242" s="112">
        <f t="shared" si="69"/>
        <v>736.15</v>
      </c>
      <c r="T242" s="113">
        <f t="shared" si="9"/>
        <v>31.93666667</v>
      </c>
      <c r="U242" s="198"/>
      <c r="V242" s="198"/>
      <c r="W242" s="198"/>
      <c r="X242" s="198"/>
      <c r="Y242" s="199"/>
      <c r="Z242" s="148"/>
      <c r="AA242" s="148"/>
    </row>
    <row r="243" outlineLevel="1">
      <c r="A243" s="165"/>
      <c r="B243" s="174"/>
      <c r="C243" s="200" t="s">
        <v>47</v>
      </c>
      <c r="D243" s="175">
        <v>-29.85</v>
      </c>
      <c r="E243" s="168"/>
      <c r="F243" s="169">
        <v>-1.0</v>
      </c>
      <c r="G243" s="169">
        <v>0.0</v>
      </c>
      <c r="H243" s="104" t="str">
        <f t="shared" si="1"/>
        <v>#DIV/0!</v>
      </c>
      <c r="I243" s="105">
        <f t="shared" si="2"/>
        <v>29.85</v>
      </c>
      <c r="J243" s="106" t="str">
        <f t="shared" si="3"/>
        <v>#DIV/0!</v>
      </c>
      <c r="K243" s="175">
        <v>0.0</v>
      </c>
      <c r="L243" s="169">
        <v>0.0</v>
      </c>
      <c r="M243" s="169">
        <v>0.0</v>
      </c>
      <c r="N243" s="176">
        <v>0.0</v>
      </c>
      <c r="O243" s="109" t="str">
        <f t="shared" si="70"/>
        <v>#DIV/0!</v>
      </c>
      <c r="P243" s="110" t="str">
        <f t="shared" si="5"/>
        <v>#DIV/0!</v>
      </c>
      <c r="Q243" s="109">
        <f t="shared" si="6"/>
        <v>0</v>
      </c>
      <c r="R243" s="111">
        <f t="shared" si="7"/>
        <v>0</v>
      </c>
      <c r="S243" s="112">
        <f t="shared" si="69"/>
        <v>-29.85</v>
      </c>
      <c r="T243" s="113" t="str">
        <f t="shared" si="9"/>
        <v>#DIV/0!</v>
      </c>
      <c r="U243" s="172"/>
      <c r="V243" s="172"/>
      <c r="W243" s="172"/>
      <c r="X243" s="172"/>
      <c r="Y243" s="173"/>
      <c r="Z243" s="165"/>
      <c r="AA243" s="165"/>
    </row>
    <row r="244" outlineLevel="1">
      <c r="A244" s="165"/>
      <c r="B244" s="174"/>
      <c r="C244" s="200" t="s">
        <v>48</v>
      </c>
      <c r="D244" s="186">
        <v>1107.19</v>
      </c>
      <c r="E244" s="168"/>
      <c r="F244" s="169">
        <v>5.0</v>
      </c>
      <c r="G244" s="169">
        <v>6.0</v>
      </c>
      <c r="H244" s="104">
        <f t="shared" si="1"/>
        <v>0.8333333333</v>
      </c>
      <c r="I244" s="105">
        <f t="shared" si="2"/>
        <v>221.438</v>
      </c>
      <c r="J244" s="106">
        <f t="shared" si="3"/>
        <v>265.7256</v>
      </c>
      <c r="K244" s="186">
        <v>342.66</v>
      </c>
      <c r="L244" s="169">
        <v>45688.0</v>
      </c>
      <c r="M244" s="169">
        <v>5.0</v>
      </c>
      <c r="N244" s="187">
        <v>1187.19</v>
      </c>
      <c r="O244" s="109">
        <f t="shared" si="70"/>
        <v>0.2886311374</v>
      </c>
      <c r="P244" s="110">
        <f t="shared" si="5"/>
        <v>3.464629662</v>
      </c>
      <c r="Q244" s="109">
        <f t="shared" si="6"/>
        <v>0.3094861767</v>
      </c>
      <c r="R244" s="111">
        <f t="shared" si="7"/>
        <v>1.072254988</v>
      </c>
      <c r="S244" s="112">
        <f t="shared" si="69"/>
        <v>-80</v>
      </c>
      <c r="T244" s="113">
        <f t="shared" si="9"/>
        <v>68.532</v>
      </c>
      <c r="U244" s="172"/>
      <c r="V244" s="172"/>
      <c r="W244" s="172"/>
      <c r="X244" s="172"/>
      <c r="Y244" s="173"/>
      <c r="Z244" s="165"/>
      <c r="AA244" s="165"/>
    </row>
    <row r="245" outlineLevel="1">
      <c r="A245" s="148" t="str">
        <f t="shared" ref="A245:A246" si="71">iferror(if(B245&gt;0,month(B245)&amp;"-"&amp;year(B245),B245),)</f>
        <v>3-2026</v>
      </c>
      <c r="B245" s="166">
        <v>46102.0</v>
      </c>
      <c r="C245" s="100" t="s">
        <v>49</v>
      </c>
      <c r="D245" s="196">
        <v>0.0</v>
      </c>
      <c r="E245" s="168"/>
      <c r="F245" s="169">
        <v>0.0</v>
      </c>
      <c r="G245" s="169">
        <v>0.0</v>
      </c>
      <c r="H245" s="104" t="str">
        <f t="shared" si="1"/>
        <v>#DIV/0!</v>
      </c>
      <c r="I245" s="105" t="str">
        <f t="shared" si="2"/>
        <v>#DIV/0!</v>
      </c>
      <c r="J245" s="106" t="str">
        <f t="shared" si="3"/>
        <v>#DIV/0!</v>
      </c>
      <c r="K245" s="196">
        <v>3.14</v>
      </c>
      <c r="L245" s="169">
        <v>7802.0</v>
      </c>
      <c r="M245" s="169">
        <v>0.0</v>
      </c>
      <c r="N245" s="197">
        <v>0.0</v>
      </c>
      <c r="O245" s="109" t="str">
        <f t="shared" si="70"/>
        <v>#DIV/0!</v>
      </c>
      <c r="P245" s="110">
        <f t="shared" si="5"/>
        <v>0</v>
      </c>
      <c r="Q245" s="109" t="str">
        <f t="shared" si="6"/>
        <v>#DIV/0!</v>
      </c>
      <c r="R245" s="111" t="str">
        <f t="shared" si="7"/>
        <v>#DIV/0!</v>
      </c>
      <c r="S245" s="112">
        <f t="shared" si="69"/>
        <v>0</v>
      </c>
      <c r="T245" s="113" t="str">
        <f t="shared" si="9"/>
        <v>#DIV/0!</v>
      </c>
      <c r="U245" s="172"/>
      <c r="V245" s="172"/>
      <c r="W245" s="172"/>
      <c r="X245" s="172"/>
      <c r="Y245" s="173"/>
      <c r="Z245" s="165"/>
      <c r="AA245" s="165"/>
    </row>
    <row r="246">
      <c r="A246" s="165" t="str">
        <f t="shared" si="71"/>
        <v/>
      </c>
      <c r="B246" s="203" t="s">
        <v>62</v>
      </c>
      <c r="C246" s="201"/>
      <c r="D246" s="151">
        <f>SUM(D229:D245)</f>
        <v>24957.31</v>
      </c>
      <c r="E246" s="155"/>
      <c r="F246" s="202">
        <f t="shared" ref="F246:G246" si="72">SUM(F229:F245)</f>
        <v>202</v>
      </c>
      <c r="G246" s="202">
        <f t="shared" si="72"/>
        <v>220</v>
      </c>
      <c r="H246" s="154">
        <f t="shared" si="1"/>
        <v>0.9181818182</v>
      </c>
      <c r="I246" s="155">
        <f t="shared" si="2"/>
        <v>123.5510396</v>
      </c>
      <c r="J246" s="156">
        <f t="shared" si="3"/>
        <v>134.5605382</v>
      </c>
      <c r="K246" s="151">
        <f t="shared" ref="K246:N246" si="73">SUM(K229:K245)</f>
        <v>3174.03</v>
      </c>
      <c r="L246" s="202">
        <f t="shared" si="73"/>
        <v>611154</v>
      </c>
      <c r="M246" s="202">
        <f t="shared" si="73"/>
        <v>76</v>
      </c>
      <c r="N246" s="157">
        <f t="shared" si="73"/>
        <v>11089.94</v>
      </c>
      <c r="O246" s="158">
        <f t="shared" si="70"/>
        <v>0.2862080408</v>
      </c>
      <c r="P246" s="159">
        <f t="shared" si="5"/>
        <v>3.493961935</v>
      </c>
      <c r="Q246" s="158">
        <f t="shared" si="6"/>
        <v>0.1271783698</v>
      </c>
      <c r="R246" s="160">
        <f t="shared" si="7"/>
        <v>0.444356383</v>
      </c>
      <c r="S246" s="161">
        <f>SUM(S229:S245)</f>
        <v>13867.37</v>
      </c>
      <c r="T246" s="162">
        <f t="shared" si="9"/>
        <v>41.76355263</v>
      </c>
      <c r="U246" s="163">
        <f>IFERROR((D246-D228)/D246,)</f>
        <v>0.1097029287</v>
      </c>
      <c r="V246" s="163">
        <f>IFERROR((F246-F228)/F246,)</f>
        <v>-0.1435643564</v>
      </c>
      <c r="W246" s="163" t="str">
        <f>IFERROR((D246-monthly_reporting_2021!E19)/D246, )</f>
        <v/>
      </c>
      <c r="X246" s="163" t="str">
        <f>IFERROR((F246-monthly_reporting_2021!F19)/F246, )</f>
        <v/>
      </c>
      <c r="Y246" s="165"/>
      <c r="Z246" s="165"/>
      <c r="AA246" s="165"/>
    </row>
    <row r="247">
      <c r="A247" s="78"/>
      <c r="B247" s="78"/>
      <c r="C247" s="78"/>
      <c r="D247" s="78"/>
      <c r="E247" s="204"/>
      <c r="F247" s="78"/>
      <c r="G247" s="78"/>
      <c r="H247" s="78"/>
      <c r="I247" s="78"/>
      <c r="J247" s="78"/>
      <c r="K247" s="78"/>
      <c r="L247" s="78"/>
      <c r="M247" s="78"/>
      <c r="N247" s="78"/>
      <c r="O247" s="78"/>
      <c r="P247" s="78"/>
      <c r="Q247" s="78"/>
      <c r="R247" s="78"/>
      <c r="S247" s="78"/>
      <c r="T247" s="78"/>
      <c r="U247" s="78"/>
      <c r="V247" s="78"/>
      <c r="W247" s="78"/>
      <c r="X247" s="78"/>
      <c r="Y247" s="78"/>
      <c r="Z247" s="78"/>
      <c r="AA247" s="78"/>
    </row>
    <row r="248">
      <c r="A248" s="78"/>
      <c r="B248" s="78"/>
      <c r="C248" s="78"/>
      <c r="D248" s="78"/>
      <c r="E248" s="204"/>
      <c r="F248" s="78"/>
      <c r="G248" s="78"/>
      <c r="H248" s="78"/>
      <c r="I248" s="78"/>
      <c r="J248" s="78"/>
      <c r="K248" s="78"/>
      <c r="L248" s="78"/>
      <c r="M248" s="78"/>
      <c r="N248" s="78"/>
      <c r="O248" s="78"/>
      <c r="P248" s="78"/>
      <c r="Q248" s="78"/>
      <c r="R248" s="78"/>
      <c r="S248" s="78"/>
      <c r="T248" s="78"/>
      <c r="U248" s="78"/>
      <c r="V248" s="78"/>
      <c r="W248" s="78"/>
      <c r="X248" s="78"/>
      <c r="Y248" s="78"/>
      <c r="Z248" s="78"/>
      <c r="AA248" s="78"/>
    </row>
    <row r="249" hidden="1" outlineLevel="1">
      <c r="A249" s="205"/>
      <c r="B249" s="206"/>
      <c r="C249" s="207" t="s">
        <v>63</v>
      </c>
      <c r="D249" s="208"/>
      <c r="E249" s="209"/>
      <c r="F249" s="210"/>
      <c r="G249" s="210"/>
      <c r="H249" s="211" t="str">
        <f t="shared" ref="H249:H254" si="74">F249/G249</f>
        <v>#DIV/0!</v>
      </c>
      <c r="I249" s="212" t="str">
        <f t="shared" ref="I249:I254" si="75">D249/F249</f>
        <v>#DIV/0!</v>
      </c>
      <c r="J249" s="212" t="str">
        <f t="shared" ref="J249:J254" si="76">I249/H249</f>
        <v>#DIV/0!</v>
      </c>
      <c r="K249" s="213"/>
      <c r="L249" s="214"/>
      <c r="M249" s="214"/>
      <c r="N249" s="215"/>
      <c r="O249" s="216" t="str">
        <f t="shared" ref="O249:O255" si="77">K249/N249</f>
        <v>#DIV/0!</v>
      </c>
      <c r="P249" s="217" t="str">
        <f t="shared" ref="P249:P255" si="78">N249/K249</f>
        <v>#DIV/0!</v>
      </c>
      <c r="Q249" s="216" t="str">
        <f t="shared" ref="Q249:Q255" si="79">K249/D249</f>
        <v>#DIV/0!</v>
      </c>
      <c r="R249" s="218" t="str">
        <f t="shared" ref="R249:R255" si="80">N249/D249</f>
        <v>#DIV/0!</v>
      </c>
      <c r="S249" s="219"/>
      <c r="T249" s="220" t="str">
        <f t="shared" ref="T249:T255" si="81">K249/M249</f>
        <v>#DIV/0!</v>
      </c>
      <c r="U249" s="221"/>
      <c r="V249" s="221"/>
      <c r="W249" s="221"/>
      <c r="X249" s="221"/>
      <c r="Y249" s="14"/>
      <c r="Z249" s="78"/>
      <c r="AA249" s="78"/>
    </row>
    <row r="250" hidden="1" outlineLevel="1">
      <c r="A250" s="222"/>
      <c r="B250" s="206"/>
      <c r="C250" s="207" t="s">
        <v>35</v>
      </c>
      <c r="D250" s="223"/>
      <c r="E250" s="209"/>
      <c r="F250" s="210"/>
      <c r="G250" s="210"/>
      <c r="H250" s="211" t="str">
        <f t="shared" si="74"/>
        <v>#DIV/0!</v>
      </c>
      <c r="I250" s="212" t="str">
        <f t="shared" si="75"/>
        <v>#DIV/0!</v>
      </c>
      <c r="J250" s="212" t="str">
        <f t="shared" si="76"/>
        <v>#DIV/0!</v>
      </c>
      <c r="K250" s="213"/>
      <c r="L250" s="214"/>
      <c r="M250" s="214"/>
      <c r="N250" s="215"/>
      <c r="O250" s="216" t="str">
        <f t="shared" si="77"/>
        <v>#DIV/0!</v>
      </c>
      <c r="P250" s="217" t="str">
        <f t="shared" si="78"/>
        <v>#DIV/0!</v>
      </c>
      <c r="Q250" s="216" t="str">
        <f t="shared" si="79"/>
        <v>#DIV/0!</v>
      </c>
      <c r="R250" s="218" t="str">
        <f t="shared" si="80"/>
        <v>#DIV/0!</v>
      </c>
      <c r="S250" s="219"/>
      <c r="T250" s="220" t="str">
        <f t="shared" si="81"/>
        <v>#DIV/0!</v>
      </c>
      <c r="U250" s="221"/>
      <c r="V250" s="221"/>
      <c r="W250" s="221"/>
      <c r="X250" s="221"/>
      <c r="Y250" s="14"/>
      <c r="Z250" s="78"/>
      <c r="AA250" s="78"/>
    </row>
    <row r="251" hidden="1" outlineLevel="1">
      <c r="A251" s="222"/>
      <c r="B251" s="206"/>
      <c r="C251" s="207" t="s">
        <v>64</v>
      </c>
      <c r="D251" s="224"/>
      <c r="E251" s="209"/>
      <c r="F251" s="210"/>
      <c r="G251" s="210"/>
      <c r="H251" s="211" t="str">
        <f t="shared" si="74"/>
        <v>#DIV/0!</v>
      </c>
      <c r="I251" s="212" t="str">
        <f t="shared" si="75"/>
        <v>#DIV/0!</v>
      </c>
      <c r="J251" s="212" t="str">
        <f t="shared" si="76"/>
        <v>#DIV/0!</v>
      </c>
      <c r="K251" s="213"/>
      <c r="L251" s="214"/>
      <c r="M251" s="214"/>
      <c r="N251" s="225"/>
      <c r="O251" s="216" t="str">
        <f t="shared" si="77"/>
        <v>#DIV/0!</v>
      </c>
      <c r="P251" s="217" t="str">
        <f t="shared" si="78"/>
        <v>#DIV/0!</v>
      </c>
      <c r="Q251" s="216" t="str">
        <f t="shared" si="79"/>
        <v>#DIV/0!</v>
      </c>
      <c r="R251" s="218" t="str">
        <f t="shared" si="80"/>
        <v>#DIV/0!</v>
      </c>
      <c r="S251" s="219"/>
      <c r="T251" s="220" t="str">
        <f t="shared" si="81"/>
        <v>#DIV/0!</v>
      </c>
      <c r="U251" s="221"/>
      <c r="V251" s="221"/>
      <c r="W251" s="221"/>
      <c r="X251" s="221"/>
      <c r="Y251" s="14"/>
      <c r="Z251" s="78"/>
      <c r="AA251" s="78"/>
    </row>
    <row r="252" hidden="1" outlineLevel="1">
      <c r="A252" s="222"/>
      <c r="B252" s="206"/>
      <c r="C252" s="207" t="s">
        <v>36</v>
      </c>
      <c r="D252" s="226"/>
      <c r="E252" s="209"/>
      <c r="F252" s="210"/>
      <c r="G252" s="210"/>
      <c r="H252" s="211" t="str">
        <f t="shared" si="74"/>
        <v>#DIV/0!</v>
      </c>
      <c r="I252" s="212" t="str">
        <f t="shared" si="75"/>
        <v>#DIV/0!</v>
      </c>
      <c r="J252" s="212" t="str">
        <f t="shared" si="76"/>
        <v>#DIV/0!</v>
      </c>
      <c r="K252" s="213"/>
      <c r="L252" s="214"/>
      <c r="M252" s="214"/>
      <c r="N252" s="227"/>
      <c r="O252" s="216" t="str">
        <f t="shared" si="77"/>
        <v>#DIV/0!</v>
      </c>
      <c r="P252" s="217" t="str">
        <f t="shared" si="78"/>
        <v>#DIV/0!</v>
      </c>
      <c r="Q252" s="216" t="str">
        <f t="shared" si="79"/>
        <v>#DIV/0!</v>
      </c>
      <c r="R252" s="218" t="str">
        <f t="shared" si="80"/>
        <v>#DIV/0!</v>
      </c>
      <c r="S252" s="219"/>
      <c r="T252" s="220" t="str">
        <f t="shared" si="81"/>
        <v>#DIV/0!</v>
      </c>
      <c r="U252" s="221"/>
      <c r="V252" s="221"/>
      <c r="W252" s="221"/>
      <c r="X252" s="221"/>
      <c r="Y252" s="14"/>
      <c r="Z252" s="78"/>
      <c r="AA252" s="78"/>
    </row>
    <row r="253" hidden="1" outlineLevel="1">
      <c r="A253" s="222"/>
      <c r="B253" s="206"/>
      <c r="C253" s="207" t="s">
        <v>41</v>
      </c>
      <c r="D253" s="226"/>
      <c r="E253" s="209"/>
      <c r="F253" s="210"/>
      <c r="G253" s="210"/>
      <c r="H253" s="211" t="str">
        <f t="shared" si="74"/>
        <v>#DIV/0!</v>
      </c>
      <c r="I253" s="212" t="str">
        <f t="shared" si="75"/>
        <v>#DIV/0!</v>
      </c>
      <c r="J253" s="212" t="str">
        <f t="shared" si="76"/>
        <v>#DIV/0!</v>
      </c>
      <c r="K253" s="213"/>
      <c r="L253" s="214"/>
      <c r="M253" s="214"/>
      <c r="N253" s="227"/>
      <c r="O253" s="216" t="str">
        <f t="shared" si="77"/>
        <v>#DIV/0!</v>
      </c>
      <c r="P253" s="217" t="str">
        <f t="shared" si="78"/>
        <v>#DIV/0!</v>
      </c>
      <c r="Q253" s="216" t="str">
        <f t="shared" si="79"/>
        <v>#DIV/0!</v>
      </c>
      <c r="R253" s="218" t="str">
        <f t="shared" si="80"/>
        <v>#DIV/0!</v>
      </c>
      <c r="S253" s="219"/>
      <c r="T253" s="220" t="str">
        <f t="shared" si="81"/>
        <v>#DIV/0!</v>
      </c>
      <c r="U253" s="221"/>
      <c r="V253" s="221"/>
      <c r="W253" s="221"/>
      <c r="X253" s="221"/>
      <c r="Y253" s="14"/>
      <c r="Z253" s="78"/>
      <c r="AA253" s="78"/>
    </row>
    <row r="254" hidden="1" outlineLevel="1">
      <c r="A254" s="222"/>
      <c r="B254" s="206"/>
      <c r="C254" s="207" t="s">
        <v>65</v>
      </c>
      <c r="D254" s="228"/>
      <c r="E254" s="209"/>
      <c r="F254" s="210"/>
      <c r="G254" s="210"/>
      <c r="H254" s="211" t="str">
        <f t="shared" si="74"/>
        <v>#DIV/0!</v>
      </c>
      <c r="I254" s="212" t="str">
        <f t="shared" si="75"/>
        <v>#DIV/0!</v>
      </c>
      <c r="J254" s="212" t="str">
        <f t="shared" si="76"/>
        <v>#DIV/0!</v>
      </c>
      <c r="K254" s="213"/>
      <c r="L254" s="214"/>
      <c r="M254" s="214"/>
      <c r="N254" s="229"/>
      <c r="O254" s="216" t="str">
        <f t="shared" si="77"/>
        <v>#DIV/0!</v>
      </c>
      <c r="P254" s="217" t="str">
        <f t="shared" si="78"/>
        <v>#DIV/0!</v>
      </c>
      <c r="Q254" s="216" t="str">
        <f t="shared" si="79"/>
        <v>#DIV/0!</v>
      </c>
      <c r="R254" s="218" t="str">
        <f t="shared" si="80"/>
        <v>#DIV/0!</v>
      </c>
      <c r="S254" s="219"/>
      <c r="T254" s="220" t="str">
        <f t="shared" si="81"/>
        <v>#DIV/0!</v>
      </c>
      <c r="U254" s="221"/>
      <c r="V254" s="221"/>
      <c r="W254" s="221"/>
      <c r="X254" s="221"/>
      <c r="Y254" s="14"/>
      <c r="Z254" s="78"/>
      <c r="AA254" s="78"/>
    </row>
    <row r="255" hidden="1" outlineLevel="1">
      <c r="A255" s="205" t="str">
        <f>iferror(if(B255&gt;0,month(B255)&amp;"-"&amp;year(B255),B255),)</f>
        <v/>
      </c>
      <c r="B255" s="80"/>
      <c r="C255" s="81"/>
      <c r="D255" s="82">
        <f>SUM(D249:D254)</f>
        <v>0</v>
      </c>
      <c r="E255" s="230"/>
      <c r="F255" s="82">
        <f t="shared" ref="F255:N255" si="82">SUM(F249:F254)</f>
        <v>0</v>
      </c>
      <c r="G255" s="82">
        <f t="shared" si="82"/>
        <v>0</v>
      </c>
      <c r="H255" s="82" t="str">
        <f t="shared" si="82"/>
        <v>#DIV/0!</v>
      </c>
      <c r="I255" s="82" t="str">
        <f t="shared" si="82"/>
        <v>#DIV/0!</v>
      </c>
      <c r="J255" s="82" t="str">
        <f t="shared" si="82"/>
        <v>#DIV/0!</v>
      </c>
      <c r="K255" s="82">
        <f t="shared" si="82"/>
        <v>0</v>
      </c>
      <c r="L255" s="231">
        <f t="shared" si="82"/>
        <v>0</v>
      </c>
      <c r="M255" s="82">
        <f t="shared" si="82"/>
        <v>0</v>
      </c>
      <c r="N255" s="82">
        <f t="shared" si="82"/>
        <v>0</v>
      </c>
      <c r="O255" s="90" t="str">
        <f t="shared" si="77"/>
        <v>#DIV/0!</v>
      </c>
      <c r="P255" s="91" t="str">
        <f t="shared" si="78"/>
        <v>#DIV/0!</v>
      </c>
      <c r="Q255" s="90" t="str">
        <f t="shared" si="79"/>
        <v>#DIV/0!</v>
      </c>
      <c r="R255" s="232" t="str">
        <f t="shared" si="80"/>
        <v>#DIV/0!</v>
      </c>
      <c r="S255" s="233">
        <f>SUM(S249:S254)</f>
        <v>0</v>
      </c>
      <c r="T255" s="234" t="str">
        <f t="shared" si="81"/>
        <v>#DIV/0!</v>
      </c>
      <c r="U255" s="95" t="str">
        <f>IFERROR((D255-#REF!)/D255,)</f>
        <v/>
      </c>
      <c r="V255" s="95" t="str">
        <f>IFERROR((F255-#REF!)/F255,)</f>
        <v/>
      </c>
      <c r="W255" s="96" t="str">
        <f>IFERROR((D255-monthly_reporting_2021!E63)/D255, )</f>
        <v/>
      </c>
      <c r="X255" s="96" t="str">
        <f>IFERROR((F255-monthly_reporting_2021!F63)/F255, )</f>
        <v/>
      </c>
      <c r="Y255" s="97"/>
      <c r="Z255" s="78"/>
      <c r="AA255" s="78"/>
    </row>
    <row r="256" collapsed="1">
      <c r="A256" s="205"/>
      <c r="B256" s="235"/>
      <c r="C256" s="236"/>
      <c r="D256" s="237"/>
      <c r="E256" s="238"/>
      <c r="F256" s="235"/>
      <c r="G256" s="235"/>
      <c r="H256" s="239"/>
      <c r="I256" s="240"/>
      <c r="J256" s="240"/>
      <c r="K256" s="237"/>
      <c r="L256" s="241"/>
      <c r="M256" s="241"/>
      <c r="N256" s="237"/>
      <c r="O256" s="242"/>
      <c r="P256" s="243"/>
      <c r="Q256" s="244"/>
      <c r="R256" s="245"/>
      <c r="S256" s="246"/>
      <c r="T256" s="244"/>
      <c r="U256" s="247"/>
      <c r="V256" s="247"/>
      <c r="W256" s="244"/>
      <c r="X256" s="244"/>
      <c r="Y256" s="97"/>
      <c r="Z256" s="78"/>
      <c r="AA256" s="78"/>
    </row>
    <row r="257">
      <c r="A257" s="205"/>
      <c r="B257" s="235"/>
      <c r="C257" s="236"/>
      <c r="D257" s="237"/>
      <c r="E257" s="238"/>
      <c r="F257" s="235"/>
      <c r="G257" s="235"/>
      <c r="H257" s="239"/>
      <c r="I257" s="240"/>
      <c r="J257" s="240"/>
      <c r="K257" s="237"/>
      <c r="L257" s="241"/>
      <c r="M257" s="241"/>
      <c r="N257" s="237"/>
      <c r="O257" s="242"/>
      <c r="P257" s="243"/>
      <c r="Q257" s="244"/>
      <c r="R257" s="245"/>
      <c r="S257" s="246"/>
      <c r="T257" s="244"/>
      <c r="U257" s="247"/>
      <c r="V257" s="247"/>
      <c r="W257" s="244"/>
      <c r="X257" s="244"/>
      <c r="Y257" s="97"/>
      <c r="Z257" s="78"/>
      <c r="AA257" s="78"/>
    </row>
    <row r="258">
      <c r="A258" s="205"/>
      <c r="B258" s="235"/>
      <c r="C258" s="236"/>
      <c r="D258" s="237"/>
      <c r="E258" s="238"/>
      <c r="F258" s="235"/>
      <c r="G258" s="235"/>
      <c r="H258" s="239"/>
      <c r="I258" s="240"/>
      <c r="J258" s="240"/>
      <c r="K258" s="237"/>
      <c r="L258" s="241"/>
      <c r="M258" s="241"/>
      <c r="N258" s="237"/>
      <c r="O258" s="242"/>
      <c r="P258" s="243"/>
      <c r="Q258" s="244"/>
      <c r="R258" s="245"/>
      <c r="S258" s="246"/>
      <c r="T258" s="244"/>
      <c r="U258" s="247"/>
      <c r="V258" s="247"/>
      <c r="W258" s="244"/>
      <c r="X258" s="244"/>
      <c r="Y258" s="97"/>
      <c r="Z258" s="78"/>
      <c r="AA258" s="78"/>
    </row>
    <row r="259">
      <c r="A259" s="205"/>
      <c r="B259" s="235"/>
      <c r="C259" s="236"/>
      <c r="D259" s="237"/>
      <c r="E259" s="238"/>
      <c r="F259" s="235"/>
      <c r="G259" s="235"/>
      <c r="H259" s="239"/>
      <c r="I259" s="240"/>
      <c r="J259" s="240"/>
      <c r="K259" s="237"/>
      <c r="L259" s="241"/>
      <c r="M259" s="241"/>
      <c r="N259" s="237"/>
      <c r="O259" s="242"/>
      <c r="P259" s="243"/>
      <c r="Q259" s="244"/>
      <c r="R259" s="245"/>
      <c r="S259" s="246"/>
      <c r="T259" s="244"/>
      <c r="U259" s="247"/>
      <c r="V259" s="247"/>
      <c r="W259" s="244"/>
      <c r="X259" s="244"/>
      <c r="Y259" s="97"/>
      <c r="Z259" s="78"/>
      <c r="AA259" s="78"/>
    </row>
    <row r="260">
      <c r="A260" s="205"/>
      <c r="B260" s="235"/>
      <c r="C260" s="236"/>
      <c r="D260" s="237"/>
      <c r="E260" s="238"/>
      <c r="F260" s="235"/>
      <c r="G260" s="235"/>
      <c r="H260" s="239"/>
      <c r="I260" s="240"/>
      <c r="J260" s="78"/>
      <c r="K260" s="237"/>
      <c r="L260" s="241"/>
      <c r="M260" s="241"/>
      <c r="N260" s="237"/>
      <c r="O260" s="242"/>
      <c r="P260" s="243"/>
      <c r="Q260" s="244"/>
      <c r="R260" s="245"/>
      <c r="S260" s="246"/>
      <c r="T260" s="244"/>
      <c r="U260" s="247"/>
      <c r="V260" s="247"/>
      <c r="W260" s="244"/>
      <c r="X260" s="244"/>
      <c r="Y260" s="97"/>
      <c r="Z260" s="78"/>
      <c r="AA260"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260">
    <cfRule type="cellIs" dxfId="2" priority="5" operator="greaterThanOrEqual">
      <formula>0</formula>
    </cfRule>
  </conditionalFormatting>
  <conditionalFormatting sqref="U12:Z260">
    <cfRule type="cellIs" dxfId="3" priority="6" operator="lessThan">
      <formula>0</formula>
    </cfRule>
  </conditionalFormatting>
  <conditionalFormatting sqref="W12:X260">
    <cfRule type="cellIs" dxfId="0" priority="7" operator="greaterThanOrEqual">
      <formula>0</formula>
    </cfRule>
  </conditionalFormatting>
  <conditionalFormatting sqref="W12:X260">
    <cfRule type="cellIs" dxfId="4" priority="8" operator="lessThan">
      <formula>0</formula>
    </cfRule>
  </conditionalFormatting>
  <dataValidations>
    <dataValidation type="list" allowBlank="1" sqref="B12 B30 B48 B66 B84 B102 B120 B138 B156 B174 B192 B210 B228 B246 B255">
      <formula1>"Previous Week,Current Week"</formula1>
    </dataValidation>
  </dataValidation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75"/>
    <col customWidth="1" min="3" max="3" width="17.0"/>
  </cols>
  <sheetData>
    <row r="1" ht="21.0" customHeight="1">
      <c r="A1" s="1" t="s">
        <v>66</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Week",$B$11:$X$268,match("SALES",$B$11:$X$11,0),FALSE)</f>
        <v>24957.31</v>
      </c>
      <c r="D4" s="253"/>
      <c r="E4" s="254"/>
      <c r="F4" s="255">
        <f>VLOOKUP("Current Week",$B$11:$X$268,match("Units Sold",$B$11:$X$11,0),FALSE)</f>
        <v>202</v>
      </c>
      <c r="G4" s="256"/>
      <c r="H4" s="2"/>
      <c r="I4" s="257"/>
      <c r="J4" s="254"/>
      <c r="K4" s="29">
        <f>VLOOKUP("Current Week",$B$11:$X$268,match("Ordered Items",$B$11:$X$11,0),FALSE)</f>
        <v>220</v>
      </c>
      <c r="L4" s="11"/>
      <c r="M4" s="9"/>
      <c r="N4" s="30"/>
      <c r="O4" s="30"/>
      <c r="P4" s="30"/>
      <c r="Q4" s="30"/>
      <c r="R4" s="30"/>
      <c r="S4" s="30"/>
      <c r="T4" s="31"/>
      <c r="U4" s="31"/>
      <c r="V4" s="30"/>
      <c r="W4" s="30"/>
      <c r="X4" s="30"/>
      <c r="Y4" s="30"/>
      <c r="Z4" s="30"/>
    </row>
    <row r="5">
      <c r="A5" s="258"/>
      <c r="B5" s="33"/>
      <c r="C5" s="259">
        <f>(C4-(VLOOKUP("Previous Week",$B$11:$X$273,match("SALES",$B$11:$X$11,0),FALSE)))/C4</f>
        <v>0.1097029287</v>
      </c>
      <c r="D5" s="260"/>
      <c r="E5" s="261"/>
      <c r="F5" s="262">
        <f>(F4-(VLOOKUP("Previous Week",$B$11:$X$273,match("Units Sold",$B$11:$X$11,0),FALSE)))/F4</f>
        <v>-0.1435643564</v>
      </c>
      <c r="G5" s="256"/>
      <c r="H5" s="256"/>
      <c r="I5" s="2"/>
      <c r="J5" s="261"/>
      <c r="K5" s="263">
        <f>(K4-(VLOOKUP("Previous Week",$B$11:$X$273,match("Ordered Items",$B$11:$X$11,0),FALSE)))/K4</f>
        <v>-0.09545454545</v>
      </c>
      <c r="L5" s="11"/>
      <c r="M5" s="11"/>
      <c r="N5" s="9"/>
      <c r="O5" s="38"/>
      <c r="P5" s="38"/>
      <c r="Q5" s="38"/>
      <c r="R5" s="38"/>
      <c r="S5" s="38"/>
      <c r="T5" s="38"/>
      <c r="U5" s="38"/>
      <c r="V5" s="38"/>
      <c r="W5" s="38"/>
      <c r="X5" s="38"/>
      <c r="Y5" s="38"/>
      <c r="Z5" s="38"/>
    </row>
    <row r="6">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Week",$B$11:$X$268,match("AD SALES",$B$11:$X$11,0),FALSE)</f>
        <v>21577.88</v>
      </c>
      <c r="D8" s="253"/>
      <c r="E8" s="254"/>
      <c r="F8" s="268">
        <f>VLOOKUP("Current Week",$B$11:$X$268,match("SP AD SPEND",$B$11:$X$11,0),FALSE)</f>
        <v>8091.58</v>
      </c>
      <c r="G8" s="256"/>
      <c r="H8" s="2"/>
      <c r="I8" s="257"/>
      <c r="J8" s="254"/>
      <c r="K8" s="42">
        <f>F8/C8</f>
        <v>0.374994207</v>
      </c>
      <c r="L8" s="11"/>
      <c r="M8" s="9"/>
      <c r="N8" s="30"/>
      <c r="O8" s="30"/>
      <c r="P8" s="30"/>
      <c r="Q8" s="30"/>
      <c r="R8" s="30"/>
      <c r="S8" s="30"/>
      <c r="T8" s="31"/>
      <c r="U8" s="31"/>
      <c r="V8" s="30"/>
      <c r="W8" s="30"/>
      <c r="X8" s="30"/>
      <c r="Y8" s="30"/>
      <c r="Z8" s="30"/>
    </row>
    <row r="9">
      <c r="A9" s="269"/>
      <c r="B9" s="44"/>
      <c r="C9" s="270">
        <f>(C8-(VLOOKUP("Previous Week",$B$11:$X$273,match("AD SALES",$B$11:$X$11,0),FALSE)))/C8</f>
        <v>0.2864349973</v>
      </c>
      <c r="D9" s="271"/>
      <c r="E9" s="272"/>
      <c r="F9" s="273">
        <f>(F8-(VLOOKUP("Previous Week",$B$11:$X$273,match("SP AD SPEND",$B$11:$X$11,0),FALSE)))/F8</f>
        <v>-0.008940157546</v>
      </c>
      <c r="I9" s="47"/>
      <c r="J9" s="274"/>
      <c r="K9" s="275">
        <f>(K8-(VLOOKUP("Previous Week",$B$11:$X$273,match("ACOS",$B$11:$X$11,0),FALSE)))/K8</f>
        <v>-0.4139428836</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98"/>
      <c r="B13" s="99">
        <v>46012.0</v>
      </c>
      <c r="C13" s="100" t="s">
        <v>32</v>
      </c>
      <c r="D13" s="101">
        <v>7936.51</v>
      </c>
      <c r="E13" s="103">
        <v>30.0</v>
      </c>
      <c r="F13" s="103">
        <v>30.0</v>
      </c>
      <c r="G13" s="104">
        <f t="shared" ref="G13:G259" si="1">E13/F13</f>
        <v>1</v>
      </c>
      <c r="H13" s="105">
        <f t="shared" ref="H13:H259" si="2">D13/E13</f>
        <v>264.5503333</v>
      </c>
      <c r="I13" s="106">
        <f t="shared" ref="I13:I259" si="3">H13/G13</f>
        <v>264.5503333</v>
      </c>
      <c r="J13" s="107">
        <v>1654.24</v>
      </c>
      <c r="K13" s="103">
        <v>263207.0</v>
      </c>
      <c r="L13" s="103">
        <v>16.0</v>
      </c>
      <c r="M13" s="108">
        <v>4466.73</v>
      </c>
      <c r="N13" s="109">
        <f t="shared" ref="N13:N14" si="4">J13/M13</f>
        <v>0.3703469876</v>
      </c>
      <c r="O13" s="110">
        <f t="shared" ref="O13:O259" si="5">M13/J13</f>
        <v>2.700170471</v>
      </c>
      <c r="P13" s="109">
        <f t="shared" ref="P13:P259" si="6">J13/D13</f>
        <v>0.2084341858</v>
      </c>
      <c r="Q13" s="111">
        <f t="shared" ref="Q13:Q259" si="7">M13/D13</f>
        <v>0.5628078337</v>
      </c>
      <c r="R13" s="112">
        <f t="shared" ref="R13:R30" si="8">D13-M13</f>
        <v>3469.78</v>
      </c>
      <c r="S13" s="113">
        <f t="shared" ref="S13:S259" si="9">J13/L13</f>
        <v>103.39</v>
      </c>
      <c r="T13" s="114"/>
      <c r="U13" s="114"/>
      <c r="V13" s="114"/>
      <c r="W13" s="114"/>
      <c r="X13" s="115"/>
      <c r="Y13" s="98"/>
      <c r="Z13" s="98"/>
    </row>
    <row r="14" hidden="1" outlineLevel="1">
      <c r="A14" s="98"/>
      <c r="B14" s="116"/>
      <c r="C14" s="100" t="s">
        <v>33</v>
      </c>
      <c r="D14" s="117">
        <v>19206.39</v>
      </c>
      <c r="E14" s="103">
        <v>104.0</v>
      </c>
      <c r="F14" s="103">
        <v>119.0</v>
      </c>
      <c r="G14" s="104">
        <f t="shared" si="1"/>
        <v>0.8739495798</v>
      </c>
      <c r="H14" s="105">
        <f t="shared" si="2"/>
        <v>184.6768269</v>
      </c>
      <c r="I14" s="106">
        <f t="shared" si="3"/>
        <v>211.3129077</v>
      </c>
      <c r="J14" s="117">
        <v>1288.08</v>
      </c>
      <c r="K14" s="103">
        <v>442713.0</v>
      </c>
      <c r="L14" s="103">
        <v>37.0</v>
      </c>
      <c r="M14" s="118">
        <v>6713.65</v>
      </c>
      <c r="N14" s="109">
        <f t="shared" si="4"/>
        <v>0.1918598676</v>
      </c>
      <c r="O14" s="110">
        <f t="shared" si="5"/>
        <v>5.212137445</v>
      </c>
      <c r="P14" s="109">
        <f t="shared" si="6"/>
        <v>0.06706517987</v>
      </c>
      <c r="Q14" s="111">
        <f t="shared" si="7"/>
        <v>0.3495529352</v>
      </c>
      <c r="R14" s="119">
        <f t="shared" si="8"/>
        <v>12492.74</v>
      </c>
      <c r="S14" s="113">
        <f t="shared" si="9"/>
        <v>34.81297297</v>
      </c>
      <c r="T14" s="114"/>
      <c r="U14" s="114"/>
      <c r="V14" s="114"/>
      <c r="W14" s="114"/>
      <c r="X14" s="115"/>
      <c r="Y14" s="98"/>
      <c r="Z14" s="98"/>
    </row>
    <row r="15" hidden="1" outlineLevel="1">
      <c r="A15" s="98"/>
      <c r="B15" s="116"/>
      <c r="C15" s="100" t="s">
        <v>34</v>
      </c>
      <c r="D15" s="120">
        <v>0.0</v>
      </c>
      <c r="E15" s="103">
        <v>0.0</v>
      </c>
      <c r="F15" s="103">
        <v>0.0</v>
      </c>
      <c r="G15" s="104" t="str">
        <f t="shared" si="1"/>
        <v>#DIV/0!</v>
      </c>
      <c r="H15" s="105" t="str">
        <f t="shared" si="2"/>
        <v>#DIV/0!</v>
      </c>
      <c r="I15" s="106" t="str">
        <f t="shared" si="3"/>
        <v>#DIV/0!</v>
      </c>
      <c r="J15" s="120">
        <v>7.5</v>
      </c>
      <c r="K15" s="103">
        <v>288.0</v>
      </c>
      <c r="L15" s="103">
        <v>0.0</v>
      </c>
      <c r="M15" s="121">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98"/>
      <c r="B16" s="116"/>
      <c r="C16" s="100" t="s">
        <v>35</v>
      </c>
      <c r="D16" s="120">
        <v>545.55</v>
      </c>
      <c r="E16" s="103">
        <v>9.0</v>
      </c>
      <c r="F16" s="103">
        <v>10.0</v>
      </c>
      <c r="G16" s="104">
        <f t="shared" si="1"/>
        <v>0.9</v>
      </c>
      <c r="H16" s="105">
        <f t="shared" si="2"/>
        <v>60.61666667</v>
      </c>
      <c r="I16" s="106">
        <f t="shared" si="3"/>
        <v>67.35185185</v>
      </c>
      <c r="J16" s="120">
        <v>184.21</v>
      </c>
      <c r="K16" s="103">
        <v>16259.0</v>
      </c>
      <c r="L16" s="103">
        <v>1.0</v>
      </c>
      <c r="M16" s="121">
        <v>59.95</v>
      </c>
      <c r="N16" s="109">
        <f t="shared" ref="N16:N33" si="10">J16/M16</f>
        <v>3.072727273</v>
      </c>
      <c r="O16" s="110">
        <f t="shared" si="5"/>
        <v>0.325443787</v>
      </c>
      <c r="P16" s="109">
        <f t="shared" si="6"/>
        <v>0.337659243</v>
      </c>
      <c r="Q16" s="111">
        <f t="shared" si="7"/>
        <v>0.1098891027</v>
      </c>
      <c r="R16" s="122">
        <f t="shared" si="8"/>
        <v>485.6</v>
      </c>
      <c r="S16" s="113">
        <f t="shared" si="9"/>
        <v>184.21</v>
      </c>
      <c r="T16" s="114"/>
      <c r="U16" s="114"/>
      <c r="V16" s="114"/>
      <c r="W16" s="114"/>
      <c r="X16" s="115"/>
      <c r="Y16" s="98"/>
      <c r="Z16" s="98"/>
    </row>
    <row r="17" hidden="1" outlineLevel="1">
      <c r="A17" s="98"/>
      <c r="B17" s="116"/>
      <c r="C17" s="100" t="s">
        <v>36</v>
      </c>
      <c r="D17" s="120">
        <v>589.55</v>
      </c>
      <c r="E17" s="103">
        <v>9.0</v>
      </c>
      <c r="F17" s="103">
        <v>9.0</v>
      </c>
      <c r="G17" s="104">
        <f t="shared" si="1"/>
        <v>1</v>
      </c>
      <c r="H17" s="105">
        <f t="shared" si="2"/>
        <v>65.50555556</v>
      </c>
      <c r="I17" s="106">
        <f t="shared" si="3"/>
        <v>65.50555556</v>
      </c>
      <c r="J17" s="120">
        <v>52.21</v>
      </c>
      <c r="K17" s="103">
        <v>18056.0</v>
      </c>
      <c r="L17" s="103">
        <v>7.0</v>
      </c>
      <c r="M17" s="121">
        <v>479.65</v>
      </c>
      <c r="N17" s="109">
        <f t="shared" si="10"/>
        <v>0.1088502033</v>
      </c>
      <c r="O17" s="110">
        <f t="shared" si="5"/>
        <v>9.186937368</v>
      </c>
      <c r="P17" s="109">
        <f t="shared" si="6"/>
        <v>0.08855907048</v>
      </c>
      <c r="Q17" s="111">
        <f t="shared" si="7"/>
        <v>0.8135866339</v>
      </c>
      <c r="R17" s="122">
        <f t="shared" si="8"/>
        <v>109.9</v>
      </c>
      <c r="S17" s="113">
        <f t="shared" si="9"/>
        <v>7.458571429</v>
      </c>
      <c r="T17" s="114"/>
      <c r="U17" s="114"/>
      <c r="V17" s="114"/>
      <c r="W17" s="114"/>
      <c r="X17" s="115"/>
      <c r="Y17" s="98"/>
      <c r="Z17" s="98"/>
    </row>
    <row r="18" hidden="1" outlineLevel="1">
      <c r="A18" s="98"/>
      <c r="B18" s="99" t="s">
        <v>37</v>
      </c>
      <c r="C18" s="100" t="s">
        <v>38</v>
      </c>
      <c r="D18" s="123">
        <v>-70.63</v>
      </c>
      <c r="E18" s="103">
        <v>-2.0</v>
      </c>
      <c r="F18" s="103">
        <v>1.0</v>
      </c>
      <c r="G18" s="104">
        <f t="shared" si="1"/>
        <v>-2</v>
      </c>
      <c r="H18" s="105">
        <f t="shared" si="2"/>
        <v>35.315</v>
      </c>
      <c r="I18" s="106">
        <f t="shared" si="3"/>
        <v>-17.6575</v>
      </c>
      <c r="J18" s="123">
        <v>8.48</v>
      </c>
      <c r="K18" s="103">
        <v>697.0</v>
      </c>
      <c r="L18" s="103">
        <v>0.0</v>
      </c>
      <c r="M18" s="124">
        <v>0.0</v>
      </c>
      <c r="N18" s="109" t="str">
        <f t="shared" si="10"/>
        <v>#DIV/0!</v>
      </c>
      <c r="O18" s="110">
        <f t="shared" si="5"/>
        <v>0</v>
      </c>
      <c r="P18" s="109">
        <f t="shared" si="6"/>
        <v>-0.1200622965</v>
      </c>
      <c r="Q18" s="111">
        <f t="shared" si="7"/>
        <v>0</v>
      </c>
      <c r="R18" s="125">
        <f t="shared" si="8"/>
        <v>-70.63</v>
      </c>
      <c r="S18" s="113" t="str">
        <f t="shared" si="9"/>
        <v>#DIV/0!</v>
      </c>
      <c r="T18" s="114"/>
      <c r="U18" s="114"/>
      <c r="V18" s="114"/>
      <c r="W18" s="114"/>
      <c r="X18" s="115"/>
      <c r="Y18" s="98"/>
      <c r="Z18" s="98"/>
    </row>
    <row r="19" hidden="1" outlineLevel="1">
      <c r="A19" s="98"/>
      <c r="B19" s="116"/>
      <c r="C19" s="100" t="s">
        <v>39</v>
      </c>
      <c r="D19" s="126">
        <v>0.0</v>
      </c>
      <c r="E19" s="103">
        <v>0.0</v>
      </c>
      <c r="F19" s="103">
        <v>0.0</v>
      </c>
      <c r="G19" s="104" t="str">
        <f t="shared" si="1"/>
        <v>#DIV/0!</v>
      </c>
      <c r="H19" s="105" t="str">
        <f t="shared" si="2"/>
        <v>#DIV/0!</v>
      </c>
      <c r="I19" s="106" t="str">
        <f t="shared" si="3"/>
        <v>#DIV/0!</v>
      </c>
      <c r="J19" s="126">
        <v>0.0</v>
      </c>
      <c r="K19" s="103">
        <v>0.0</v>
      </c>
      <c r="L19" s="103">
        <v>0.0</v>
      </c>
      <c r="M19" s="127">
        <v>0.0</v>
      </c>
      <c r="N19" s="109" t="str">
        <f t="shared" si="10"/>
        <v>#DIV/0!</v>
      </c>
      <c r="O19" s="110" t="str">
        <f t="shared" si="5"/>
        <v>#DIV/0!</v>
      </c>
      <c r="P19" s="109" t="str">
        <f t="shared" si="6"/>
        <v>#DIV/0!</v>
      </c>
      <c r="Q19" s="111" t="str">
        <f t="shared" si="7"/>
        <v>#DIV/0!</v>
      </c>
      <c r="R19" s="128">
        <f t="shared" si="8"/>
        <v>0</v>
      </c>
      <c r="S19" s="113" t="str">
        <f t="shared" si="9"/>
        <v>#DIV/0!</v>
      </c>
      <c r="T19" s="114"/>
      <c r="U19" s="114"/>
      <c r="V19" s="114"/>
      <c r="W19" s="114"/>
      <c r="X19" s="115"/>
      <c r="Y19" s="98"/>
      <c r="Z19" s="98"/>
    </row>
    <row r="20" hidden="1" outlineLevel="1">
      <c r="A20" s="98"/>
      <c r="B20" s="116"/>
      <c r="C20" s="100" t="s">
        <v>40</v>
      </c>
      <c r="D20" s="129">
        <v>0.0</v>
      </c>
      <c r="E20" s="103">
        <v>0.0</v>
      </c>
      <c r="F20" s="103">
        <v>0.0</v>
      </c>
      <c r="G20" s="104" t="str">
        <f t="shared" si="1"/>
        <v>#DIV/0!</v>
      </c>
      <c r="H20" s="105" t="str">
        <f t="shared" si="2"/>
        <v>#DIV/0!</v>
      </c>
      <c r="I20" s="106" t="str">
        <f t="shared" si="3"/>
        <v>#DIV/0!</v>
      </c>
      <c r="J20" s="129">
        <v>0.0</v>
      </c>
      <c r="K20" s="103">
        <v>0.0</v>
      </c>
      <c r="L20" s="103">
        <v>0.0</v>
      </c>
      <c r="M20" s="130">
        <v>0.0</v>
      </c>
      <c r="N20" s="109" t="str">
        <f t="shared" si="10"/>
        <v>#DIV/0!</v>
      </c>
      <c r="O20" s="110" t="str">
        <f t="shared" si="5"/>
        <v>#DIV/0!</v>
      </c>
      <c r="P20" s="109" t="str">
        <f t="shared" si="6"/>
        <v>#DIV/0!</v>
      </c>
      <c r="Q20" s="111" t="str">
        <f t="shared" si="7"/>
        <v>#DIV/0!</v>
      </c>
      <c r="R20" s="131">
        <f t="shared" si="8"/>
        <v>0</v>
      </c>
      <c r="S20" s="113" t="str">
        <f t="shared" si="9"/>
        <v>#DIV/0!</v>
      </c>
      <c r="T20" s="114"/>
      <c r="U20" s="114"/>
      <c r="V20" s="114"/>
      <c r="W20" s="114"/>
      <c r="X20" s="115"/>
      <c r="Y20" s="98"/>
      <c r="Z20" s="98"/>
    </row>
    <row r="21" hidden="1" outlineLevel="1">
      <c r="A21" s="98"/>
      <c r="B21" s="116"/>
      <c r="C21" s="100" t="s">
        <v>41</v>
      </c>
      <c r="D21" s="132">
        <v>2629.8</v>
      </c>
      <c r="E21" s="103">
        <v>29.0</v>
      </c>
      <c r="F21" s="103">
        <v>28.0</v>
      </c>
      <c r="G21" s="104">
        <f t="shared" si="1"/>
        <v>1.035714286</v>
      </c>
      <c r="H21" s="105">
        <f t="shared" si="2"/>
        <v>90.68275862</v>
      </c>
      <c r="I21" s="106">
        <f t="shared" si="3"/>
        <v>87.55576694</v>
      </c>
      <c r="J21" s="132">
        <v>668.15</v>
      </c>
      <c r="K21" s="103">
        <v>36463.0</v>
      </c>
      <c r="L21" s="103">
        <v>17.0</v>
      </c>
      <c r="M21" s="133">
        <v>1466.87</v>
      </c>
      <c r="N21" s="109">
        <f t="shared" si="10"/>
        <v>0.4554936702</v>
      </c>
      <c r="O21" s="110">
        <f t="shared" si="5"/>
        <v>2.19542019</v>
      </c>
      <c r="P21" s="109">
        <f t="shared" si="6"/>
        <v>0.2540687505</v>
      </c>
      <c r="Q21" s="111">
        <f t="shared" si="7"/>
        <v>0.5577876645</v>
      </c>
      <c r="R21" s="134">
        <f t="shared" si="8"/>
        <v>1162.93</v>
      </c>
      <c r="S21" s="113">
        <f t="shared" si="9"/>
        <v>39.30294118</v>
      </c>
      <c r="T21" s="114"/>
      <c r="U21" s="114"/>
      <c r="V21" s="114"/>
      <c r="W21" s="114"/>
      <c r="X21" s="115"/>
      <c r="Y21" s="98"/>
      <c r="Z21" s="98"/>
    </row>
    <row r="22" hidden="1" outlineLevel="1">
      <c r="A22" s="98"/>
      <c r="B22" s="116"/>
      <c r="C22" s="100" t="s">
        <v>42</v>
      </c>
      <c r="D22" s="120">
        <v>59.97</v>
      </c>
      <c r="E22" s="103">
        <v>3.0</v>
      </c>
      <c r="F22" s="103">
        <v>4.0</v>
      </c>
      <c r="G22" s="104">
        <f t="shared" si="1"/>
        <v>0.75</v>
      </c>
      <c r="H22" s="105">
        <f t="shared" si="2"/>
        <v>19.99</v>
      </c>
      <c r="I22" s="106">
        <f t="shared" si="3"/>
        <v>26.65333333</v>
      </c>
      <c r="J22" s="120">
        <v>136.24</v>
      </c>
      <c r="K22" s="103">
        <v>47577.0</v>
      </c>
      <c r="L22" s="103">
        <v>2.0</v>
      </c>
      <c r="M22" s="121">
        <v>39.98</v>
      </c>
      <c r="N22" s="109">
        <f t="shared" si="10"/>
        <v>3.407703852</v>
      </c>
      <c r="O22" s="110">
        <f t="shared" si="5"/>
        <v>0.2934527305</v>
      </c>
      <c r="P22" s="109">
        <f t="shared" si="6"/>
        <v>2.271802568</v>
      </c>
      <c r="Q22" s="111">
        <f t="shared" si="7"/>
        <v>0.6666666667</v>
      </c>
      <c r="R22" s="122">
        <f t="shared" si="8"/>
        <v>19.99</v>
      </c>
      <c r="S22" s="113">
        <f t="shared" si="9"/>
        <v>68.12</v>
      </c>
      <c r="T22" s="114"/>
      <c r="U22" s="114"/>
      <c r="V22" s="114"/>
      <c r="W22" s="114"/>
      <c r="X22" s="115"/>
      <c r="Y22" s="98"/>
      <c r="Z22" s="98"/>
    </row>
    <row r="23" hidden="1" outlineLevel="1">
      <c r="A23" s="98"/>
      <c r="B23" s="116"/>
      <c r="C23" s="100" t="s">
        <v>43</v>
      </c>
      <c r="D23" s="135">
        <v>78.59</v>
      </c>
      <c r="E23" s="103">
        <v>0.0</v>
      </c>
      <c r="F23" s="103">
        <v>2.0</v>
      </c>
      <c r="G23" s="104">
        <f t="shared" si="1"/>
        <v>0</v>
      </c>
      <c r="H23" s="105" t="str">
        <f t="shared" si="2"/>
        <v>#DIV/0!</v>
      </c>
      <c r="I23" s="106" t="str">
        <f t="shared" si="3"/>
        <v>#DIV/0!</v>
      </c>
      <c r="J23" s="135">
        <v>36.36</v>
      </c>
      <c r="K23" s="103">
        <v>10972.0</v>
      </c>
      <c r="L23" s="103">
        <v>1.0</v>
      </c>
      <c r="M23" s="136">
        <v>154.46</v>
      </c>
      <c r="N23" s="109">
        <f t="shared" si="10"/>
        <v>0.235400751</v>
      </c>
      <c r="O23" s="110">
        <f t="shared" si="5"/>
        <v>4.248074807</v>
      </c>
      <c r="P23" s="109">
        <f t="shared" si="6"/>
        <v>0.4626542817</v>
      </c>
      <c r="Q23" s="111">
        <f t="shared" si="7"/>
        <v>1.965389999</v>
      </c>
      <c r="R23" s="137">
        <f t="shared" si="8"/>
        <v>-75.87</v>
      </c>
      <c r="S23" s="113">
        <f t="shared" si="9"/>
        <v>36.36</v>
      </c>
      <c r="T23" s="114"/>
      <c r="U23" s="114"/>
      <c r="V23" s="114"/>
      <c r="W23" s="114"/>
      <c r="X23" s="115"/>
      <c r="Y23" s="98"/>
      <c r="Z23" s="98"/>
    </row>
    <row r="24" hidden="1" outlineLevel="1">
      <c r="A24" s="98"/>
      <c r="B24" s="116"/>
      <c r="C24" s="100" t="s">
        <v>44</v>
      </c>
      <c r="D24" s="138">
        <v>190.8</v>
      </c>
      <c r="E24" s="103">
        <v>4.0</v>
      </c>
      <c r="F24" s="103">
        <v>4.0</v>
      </c>
      <c r="G24" s="104">
        <f t="shared" si="1"/>
        <v>1</v>
      </c>
      <c r="H24" s="105">
        <f t="shared" si="2"/>
        <v>47.7</v>
      </c>
      <c r="I24" s="106">
        <f t="shared" si="3"/>
        <v>47.7</v>
      </c>
      <c r="J24" s="138">
        <v>80.52</v>
      </c>
      <c r="K24" s="103">
        <v>40401.0</v>
      </c>
      <c r="L24" s="103">
        <v>3.0</v>
      </c>
      <c r="M24" s="139">
        <v>134.85</v>
      </c>
      <c r="N24" s="109">
        <f t="shared" si="10"/>
        <v>0.5971078977</v>
      </c>
      <c r="O24" s="110">
        <f t="shared" si="5"/>
        <v>1.674739195</v>
      </c>
      <c r="P24" s="109">
        <f t="shared" si="6"/>
        <v>0.4220125786</v>
      </c>
      <c r="Q24" s="111">
        <f t="shared" si="7"/>
        <v>0.7067610063</v>
      </c>
      <c r="R24" s="140">
        <f t="shared" si="8"/>
        <v>55.95</v>
      </c>
      <c r="S24" s="113">
        <f t="shared" si="9"/>
        <v>26.84</v>
      </c>
      <c r="T24" s="114"/>
      <c r="U24" s="114"/>
      <c r="V24" s="114"/>
      <c r="W24" s="114"/>
      <c r="X24" s="115"/>
      <c r="Y24" s="98"/>
      <c r="Z24" s="98"/>
    </row>
    <row r="25" hidden="1" outlineLevel="1">
      <c r="A25" s="141"/>
      <c r="B25" s="116"/>
      <c r="C25" s="142" t="s">
        <v>45</v>
      </c>
      <c r="D25" s="101">
        <v>0.0</v>
      </c>
      <c r="E25" s="103">
        <v>0.0</v>
      </c>
      <c r="F25" s="103">
        <v>0.0</v>
      </c>
      <c r="G25" s="104" t="str">
        <f t="shared" si="1"/>
        <v>#DIV/0!</v>
      </c>
      <c r="H25" s="105" t="str">
        <f t="shared" si="2"/>
        <v>#DIV/0!</v>
      </c>
      <c r="I25" s="106" t="str">
        <f t="shared" si="3"/>
        <v>#DIV/0!</v>
      </c>
      <c r="J25" s="101">
        <v>0.0</v>
      </c>
      <c r="K25" s="103">
        <v>0.0</v>
      </c>
      <c r="L25" s="103">
        <v>0.0</v>
      </c>
      <c r="M25" s="108">
        <v>0.0</v>
      </c>
      <c r="N25" s="109" t="str">
        <f t="shared" si="10"/>
        <v>#DIV/0!</v>
      </c>
      <c r="O25" s="110" t="str">
        <f t="shared" si="5"/>
        <v>#DIV/0!</v>
      </c>
      <c r="P25" s="109" t="str">
        <f t="shared" si="6"/>
        <v>#DIV/0!</v>
      </c>
      <c r="Q25" s="111" t="str">
        <f t="shared" si="7"/>
        <v>#DIV/0!</v>
      </c>
      <c r="R25" s="112">
        <f t="shared" si="8"/>
        <v>0</v>
      </c>
      <c r="S25" s="113" t="str">
        <f t="shared" si="9"/>
        <v>#DIV/0!</v>
      </c>
      <c r="T25" s="143"/>
      <c r="U25" s="143"/>
      <c r="V25" s="143"/>
      <c r="W25" s="144"/>
      <c r="X25" s="145"/>
      <c r="Y25" s="98"/>
      <c r="Z25" s="98"/>
    </row>
    <row r="26" hidden="1" outlineLevel="1">
      <c r="A26" s="98"/>
      <c r="B26" s="116"/>
      <c r="C26" s="100" t="s">
        <v>46</v>
      </c>
      <c r="D26" s="146">
        <v>1312.67</v>
      </c>
      <c r="E26" s="103">
        <v>34.0</v>
      </c>
      <c r="F26" s="103">
        <v>31.0</v>
      </c>
      <c r="G26" s="104">
        <f t="shared" si="1"/>
        <v>1.096774194</v>
      </c>
      <c r="H26" s="105">
        <f t="shared" si="2"/>
        <v>38.60794118</v>
      </c>
      <c r="I26" s="106">
        <f t="shared" si="3"/>
        <v>35.20135813</v>
      </c>
      <c r="J26" s="146">
        <v>269.35</v>
      </c>
      <c r="K26" s="103">
        <v>50705.0</v>
      </c>
      <c r="L26" s="103">
        <v>13.0</v>
      </c>
      <c r="M26" s="147">
        <v>403.73</v>
      </c>
      <c r="N26" s="109">
        <f t="shared" si="10"/>
        <v>0.6671537909</v>
      </c>
      <c r="O26" s="110">
        <f t="shared" si="5"/>
        <v>1.498904771</v>
      </c>
      <c r="P26" s="109">
        <f t="shared" si="6"/>
        <v>0.2051924703</v>
      </c>
      <c r="Q26" s="111">
        <f t="shared" si="7"/>
        <v>0.3075639727</v>
      </c>
      <c r="R26" s="112">
        <f t="shared" si="8"/>
        <v>908.94</v>
      </c>
      <c r="S26" s="113">
        <f t="shared" si="9"/>
        <v>20.71923077</v>
      </c>
      <c r="T26" s="114"/>
      <c r="U26" s="114"/>
      <c r="V26" s="114"/>
      <c r="W26" s="114"/>
      <c r="X26" s="115"/>
      <c r="Y26" s="98"/>
      <c r="Z26" s="98"/>
    </row>
    <row r="27" hidden="1" outlineLevel="1">
      <c r="A27" s="98"/>
      <c r="B27" s="116"/>
      <c r="C27" s="100" t="s">
        <v>47</v>
      </c>
      <c r="D27" s="117">
        <v>-29.95</v>
      </c>
      <c r="E27" s="103">
        <v>-1.0</v>
      </c>
      <c r="F27" s="103">
        <v>0.0</v>
      </c>
      <c r="G27" s="104" t="str">
        <f t="shared" si="1"/>
        <v>#DIV/0!</v>
      </c>
      <c r="H27" s="105">
        <f t="shared" si="2"/>
        <v>29.95</v>
      </c>
      <c r="I27" s="106" t="str">
        <f t="shared" si="3"/>
        <v>#DIV/0!</v>
      </c>
      <c r="J27" s="117">
        <v>0.0</v>
      </c>
      <c r="K27" s="103">
        <v>0.0</v>
      </c>
      <c r="L27" s="103">
        <v>0.0</v>
      </c>
      <c r="M27" s="118">
        <v>0.0</v>
      </c>
      <c r="N27" s="109" t="str">
        <f t="shared" si="10"/>
        <v>#DIV/0!</v>
      </c>
      <c r="O27" s="110" t="str">
        <f t="shared" si="5"/>
        <v>#DIV/0!</v>
      </c>
      <c r="P27" s="109">
        <f t="shared" si="6"/>
        <v>0</v>
      </c>
      <c r="Q27" s="111">
        <f t="shared" si="7"/>
        <v>0</v>
      </c>
      <c r="R27" s="112">
        <f t="shared" si="8"/>
        <v>-29.95</v>
      </c>
      <c r="S27" s="113" t="str">
        <f t="shared" si="9"/>
        <v>#DIV/0!</v>
      </c>
      <c r="T27" s="114"/>
      <c r="U27" s="114"/>
      <c r="V27" s="114"/>
      <c r="W27" s="114"/>
      <c r="X27" s="115"/>
      <c r="Y27" s="98"/>
      <c r="Z27" s="98"/>
    </row>
    <row r="28" hidden="1" outlineLevel="1">
      <c r="A28" s="98"/>
      <c r="B28" s="116"/>
      <c r="C28" s="100" t="s">
        <v>48</v>
      </c>
      <c r="D28" s="132">
        <v>4625.06</v>
      </c>
      <c r="E28" s="103">
        <v>26.0</v>
      </c>
      <c r="F28" s="103">
        <v>28.0</v>
      </c>
      <c r="G28" s="104">
        <f t="shared" si="1"/>
        <v>0.9285714286</v>
      </c>
      <c r="H28" s="105">
        <f t="shared" si="2"/>
        <v>177.8869231</v>
      </c>
      <c r="I28" s="106">
        <f t="shared" si="3"/>
        <v>191.5705325</v>
      </c>
      <c r="J28" s="132">
        <v>692.49</v>
      </c>
      <c r="K28" s="103">
        <v>44157.0</v>
      </c>
      <c r="L28" s="103">
        <v>11.0</v>
      </c>
      <c r="M28" s="133">
        <v>1670.89</v>
      </c>
      <c r="N28" s="109">
        <f t="shared" si="10"/>
        <v>0.4144437994</v>
      </c>
      <c r="O28" s="110">
        <f t="shared" si="5"/>
        <v>2.412872388</v>
      </c>
      <c r="P28" s="109">
        <f t="shared" si="6"/>
        <v>0.1497256252</v>
      </c>
      <c r="Q28" s="111">
        <f t="shared" si="7"/>
        <v>0.3612688268</v>
      </c>
      <c r="R28" s="112">
        <f t="shared" si="8"/>
        <v>2954.17</v>
      </c>
      <c r="S28" s="113">
        <f t="shared" si="9"/>
        <v>62.95363636</v>
      </c>
      <c r="T28" s="114"/>
      <c r="U28" s="114"/>
      <c r="V28" s="114"/>
      <c r="W28" s="114"/>
      <c r="X28" s="115"/>
      <c r="Y28" s="98"/>
      <c r="Z28" s="98"/>
    </row>
    <row r="29" hidden="1" outlineLevel="1">
      <c r="A29" s="98"/>
      <c r="B29" s="116"/>
      <c r="C29" s="100" t="s">
        <v>49</v>
      </c>
      <c r="D29" s="146">
        <v>0.0</v>
      </c>
      <c r="E29" s="103">
        <v>0.0</v>
      </c>
      <c r="F29" s="103">
        <v>0.0</v>
      </c>
      <c r="G29" s="104" t="str">
        <f t="shared" si="1"/>
        <v>#DIV/0!</v>
      </c>
      <c r="H29" s="105" t="str">
        <f t="shared" si="2"/>
        <v>#DIV/0!</v>
      </c>
      <c r="I29" s="106" t="str">
        <f t="shared" si="3"/>
        <v>#DIV/0!</v>
      </c>
      <c r="J29" s="146">
        <v>16.97</v>
      </c>
      <c r="K29" s="103">
        <v>17393.0</v>
      </c>
      <c r="L29" s="103">
        <v>0.0</v>
      </c>
      <c r="M29" s="147">
        <v>0.0</v>
      </c>
      <c r="N29" s="109" t="str">
        <f t="shared" si="10"/>
        <v>#DIV/0!</v>
      </c>
      <c r="O29" s="110">
        <f t="shared" si="5"/>
        <v>0</v>
      </c>
      <c r="P29" s="109" t="str">
        <f t="shared" si="6"/>
        <v>#DIV/0!</v>
      </c>
      <c r="Q29" s="111" t="str">
        <f t="shared" si="7"/>
        <v>#DIV/0!</v>
      </c>
      <c r="R29" s="112">
        <f t="shared" si="8"/>
        <v>0</v>
      </c>
      <c r="S29" s="113" t="str">
        <f t="shared" si="9"/>
        <v>#DIV/0!</v>
      </c>
      <c r="T29" s="114"/>
      <c r="U29" s="114"/>
      <c r="V29" s="114"/>
      <c r="W29" s="114"/>
      <c r="X29" s="115"/>
      <c r="Y29" s="98"/>
      <c r="Z29" s="98"/>
    </row>
    <row r="30" hidden="1" outlineLevel="1">
      <c r="A30" s="148" t="str">
        <f t="shared" ref="A30:A31" si="11">iferror(if(B30&gt;0,month(B30)&amp;"-"&amp;year(B30),B30),)</f>
        <v>12-2025</v>
      </c>
      <c r="B30" s="99">
        <v>46018.0</v>
      </c>
      <c r="C30" s="277" t="s">
        <v>67</v>
      </c>
      <c r="D30" s="146">
        <v>0.0</v>
      </c>
      <c r="E30" s="103">
        <v>0.0</v>
      </c>
      <c r="F30" s="103">
        <v>0.0</v>
      </c>
      <c r="G30" s="104" t="str">
        <f t="shared" si="1"/>
        <v>#DIV/0!</v>
      </c>
      <c r="H30" s="105" t="str">
        <f t="shared" si="2"/>
        <v>#DIV/0!</v>
      </c>
      <c r="I30" s="106" t="str">
        <f t="shared" si="3"/>
        <v>#DIV/0!</v>
      </c>
      <c r="J30" s="117">
        <v>6654.4400000000005</v>
      </c>
      <c r="K30" s="278">
        <v>465451.0</v>
      </c>
      <c r="L30" s="103">
        <v>0.0</v>
      </c>
      <c r="M30" s="118">
        <v>18889.62</v>
      </c>
      <c r="N30" s="109">
        <f t="shared" si="10"/>
        <v>0.352280247</v>
      </c>
      <c r="O30" s="110">
        <f t="shared" si="5"/>
        <v>2.838649082</v>
      </c>
      <c r="P30" s="109" t="str">
        <f t="shared" si="6"/>
        <v>#DIV/0!</v>
      </c>
      <c r="Q30" s="111" t="str">
        <f t="shared" si="7"/>
        <v>#DIV/0!</v>
      </c>
      <c r="R30" s="112">
        <f t="shared" si="8"/>
        <v>-18889.62</v>
      </c>
      <c r="S30" s="113" t="str">
        <f t="shared" si="9"/>
        <v>#DIV/0!</v>
      </c>
      <c r="T30" s="114"/>
      <c r="U30" s="114"/>
      <c r="V30" s="114"/>
      <c r="W30" s="114"/>
      <c r="X30" s="115"/>
      <c r="Y30" s="98"/>
      <c r="Z30" s="98"/>
    </row>
    <row r="31" collapsed="1">
      <c r="A31" s="98" t="str">
        <f t="shared" si="11"/>
        <v/>
      </c>
      <c r="B31" s="149" t="s">
        <v>50</v>
      </c>
      <c r="C31" s="150"/>
      <c r="D31" s="151">
        <f t="shared" ref="D31:F31" si="12">SUM(D13:D30)</f>
        <v>37074.31</v>
      </c>
      <c r="E31" s="153">
        <f t="shared" si="12"/>
        <v>245</v>
      </c>
      <c r="F31" s="153">
        <f t="shared" si="12"/>
        <v>266</v>
      </c>
      <c r="G31" s="154">
        <f t="shared" si="1"/>
        <v>0.9210526316</v>
      </c>
      <c r="H31" s="155">
        <f t="shared" si="2"/>
        <v>151.3237143</v>
      </c>
      <c r="I31" s="156">
        <f t="shared" si="3"/>
        <v>164.2943184</v>
      </c>
      <c r="J31" s="151">
        <f t="shared" ref="J31:M31" si="13">SUM(J13:J30)</f>
        <v>11749.24</v>
      </c>
      <c r="K31" s="153">
        <f t="shared" si="13"/>
        <v>1454339</v>
      </c>
      <c r="L31" s="153">
        <f t="shared" si="13"/>
        <v>108</v>
      </c>
      <c r="M31" s="157">
        <f t="shared" si="13"/>
        <v>34480.38</v>
      </c>
      <c r="N31" s="158">
        <f t="shared" si="10"/>
        <v>0.340751465</v>
      </c>
      <c r="O31" s="159">
        <f t="shared" si="5"/>
        <v>2.934690244</v>
      </c>
      <c r="P31" s="158">
        <f t="shared" si="6"/>
        <v>0.3169105507</v>
      </c>
      <c r="Q31" s="160">
        <f t="shared" si="7"/>
        <v>0.9300343014</v>
      </c>
      <c r="R31" s="161">
        <f>SUM(R13:R30)</f>
        <v>2593.93</v>
      </c>
      <c r="S31" s="162">
        <f t="shared" si="9"/>
        <v>108.7892593</v>
      </c>
      <c r="T31" s="164" t="str">
        <f t="shared" ref="T31:U31" si="14">IFERROR((D31-#REF!)/D31,)</f>
        <v/>
      </c>
      <c r="U31" s="164" t="str">
        <f t="shared" si="14"/>
        <v/>
      </c>
      <c r="V31" s="164" t="str">
        <f t="shared" ref="V31:W31" si="15">IFERROR((D31-#REF!)/D31, )</f>
        <v/>
      </c>
      <c r="W31" s="164" t="str">
        <f t="shared" si="15"/>
        <v/>
      </c>
      <c r="X31" s="98"/>
      <c r="Y31" s="98"/>
      <c r="Z31" s="98"/>
    </row>
    <row r="32" hidden="1" outlineLevel="1">
      <c r="A32" s="98"/>
      <c r="B32" s="99">
        <v>46019.0</v>
      </c>
      <c r="C32" s="100" t="s">
        <v>32</v>
      </c>
      <c r="D32" s="101">
        <v>13519.5</v>
      </c>
      <c r="E32" s="103">
        <v>57.0</v>
      </c>
      <c r="F32" s="103">
        <v>57.0</v>
      </c>
      <c r="G32" s="104">
        <f t="shared" si="1"/>
        <v>1</v>
      </c>
      <c r="H32" s="105">
        <f t="shared" si="2"/>
        <v>237.1842105</v>
      </c>
      <c r="I32" s="106">
        <f t="shared" si="3"/>
        <v>237.1842105</v>
      </c>
      <c r="J32" s="107">
        <v>1867.63</v>
      </c>
      <c r="K32" s="103">
        <v>249548.0</v>
      </c>
      <c r="L32" s="103">
        <v>23.0</v>
      </c>
      <c r="M32" s="108">
        <v>5019.44</v>
      </c>
      <c r="N32" s="109">
        <f t="shared" si="10"/>
        <v>0.3720793555</v>
      </c>
      <c r="O32" s="110">
        <f t="shared" si="5"/>
        <v>2.687598721</v>
      </c>
      <c r="P32" s="109">
        <f t="shared" si="6"/>
        <v>0.1381434225</v>
      </c>
      <c r="Q32" s="111">
        <f t="shared" si="7"/>
        <v>0.3712740856</v>
      </c>
      <c r="R32" s="112">
        <f t="shared" ref="R32:R49" si="16">D32-M32</f>
        <v>8500.06</v>
      </c>
      <c r="S32" s="113">
        <f t="shared" si="9"/>
        <v>81.20130435</v>
      </c>
      <c r="T32" s="114"/>
      <c r="U32" s="114"/>
      <c r="V32" s="114"/>
      <c r="W32" s="114"/>
      <c r="X32" s="115"/>
      <c r="Y32" s="98"/>
      <c r="Z32" s="98"/>
    </row>
    <row r="33" hidden="1" outlineLevel="1">
      <c r="A33" s="98"/>
      <c r="B33" s="116"/>
      <c r="C33" s="100" t="s">
        <v>33</v>
      </c>
      <c r="D33" s="117">
        <v>18767.79</v>
      </c>
      <c r="E33" s="103">
        <v>145.0</v>
      </c>
      <c r="F33" s="103">
        <v>161.0</v>
      </c>
      <c r="G33" s="104">
        <f t="shared" si="1"/>
        <v>0.900621118</v>
      </c>
      <c r="H33" s="105">
        <f t="shared" si="2"/>
        <v>129.4330345</v>
      </c>
      <c r="I33" s="106">
        <f t="shared" si="3"/>
        <v>143.7153004</v>
      </c>
      <c r="J33" s="117">
        <v>1072.07</v>
      </c>
      <c r="K33" s="103">
        <v>465644.0</v>
      </c>
      <c r="L33" s="103">
        <v>32.0</v>
      </c>
      <c r="M33" s="118">
        <v>3923.85</v>
      </c>
      <c r="N33" s="109">
        <f t="shared" si="10"/>
        <v>0.2732189049</v>
      </c>
      <c r="O33" s="110">
        <f t="shared" si="5"/>
        <v>3.660068839</v>
      </c>
      <c r="P33" s="109">
        <f t="shared" si="6"/>
        <v>0.05712286849</v>
      </c>
      <c r="Q33" s="111">
        <f t="shared" si="7"/>
        <v>0.2090736309</v>
      </c>
      <c r="R33" s="119">
        <f t="shared" si="16"/>
        <v>14843.94</v>
      </c>
      <c r="S33" s="113">
        <f t="shared" si="9"/>
        <v>33.5021875</v>
      </c>
      <c r="T33" s="114"/>
      <c r="U33" s="114"/>
      <c r="V33" s="114"/>
      <c r="W33" s="114"/>
      <c r="X33" s="115"/>
      <c r="Y33" s="98"/>
      <c r="Z33" s="98"/>
    </row>
    <row r="34" hidden="1" outlineLevel="1">
      <c r="A34" s="98"/>
      <c r="B34" s="116"/>
      <c r="C34" s="100" t="s">
        <v>34</v>
      </c>
      <c r="D34" s="120">
        <v>0.0</v>
      </c>
      <c r="E34" s="103">
        <v>0.0</v>
      </c>
      <c r="F34" s="103">
        <v>0.0</v>
      </c>
      <c r="G34" s="104" t="str">
        <f t="shared" si="1"/>
        <v>#DIV/0!</v>
      </c>
      <c r="H34" s="105" t="str">
        <f t="shared" si="2"/>
        <v>#DIV/0!</v>
      </c>
      <c r="I34" s="106" t="str">
        <f t="shared" si="3"/>
        <v>#DIV/0!</v>
      </c>
      <c r="J34" s="120">
        <v>0.0</v>
      </c>
      <c r="K34" s="103">
        <v>376.0</v>
      </c>
      <c r="L34" s="103">
        <v>0.0</v>
      </c>
      <c r="M34" s="121">
        <v>0.0</v>
      </c>
      <c r="N34" s="109" t="str">
        <f>(J34/M34)</f>
        <v>#DIV/0!</v>
      </c>
      <c r="O34" s="110" t="str">
        <f t="shared" si="5"/>
        <v>#DIV/0!</v>
      </c>
      <c r="P34" s="109" t="str">
        <f t="shared" si="6"/>
        <v>#DIV/0!</v>
      </c>
      <c r="Q34" s="111" t="str">
        <f t="shared" si="7"/>
        <v>#DIV/0!</v>
      </c>
      <c r="R34" s="122">
        <f t="shared" si="16"/>
        <v>0</v>
      </c>
      <c r="S34" s="113" t="str">
        <f t="shared" si="9"/>
        <v>#DIV/0!</v>
      </c>
      <c r="T34" s="114"/>
      <c r="U34" s="114"/>
      <c r="V34" s="114"/>
      <c r="W34" s="114"/>
      <c r="X34" s="115"/>
      <c r="Y34" s="98"/>
      <c r="Z34" s="98"/>
    </row>
    <row r="35" hidden="1" outlineLevel="1">
      <c r="A35" s="98"/>
      <c r="B35" s="116"/>
      <c r="C35" s="100" t="s">
        <v>35</v>
      </c>
      <c r="D35" s="120">
        <v>125.9</v>
      </c>
      <c r="E35" s="103">
        <v>2.0</v>
      </c>
      <c r="F35" s="103">
        <v>2.0</v>
      </c>
      <c r="G35" s="104">
        <f t="shared" si="1"/>
        <v>1</v>
      </c>
      <c r="H35" s="105">
        <f t="shared" si="2"/>
        <v>62.95</v>
      </c>
      <c r="I35" s="106">
        <f t="shared" si="3"/>
        <v>62.95</v>
      </c>
      <c r="J35" s="120">
        <v>298.8</v>
      </c>
      <c r="K35" s="103">
        <v>26455.0</v>
      </c>
      <c r="L35" s="103">
        <v>5.0</v>
      </c>
      <c r="M35" s="121">
        <v>299.75</v>
      </c>
      <c r="N35" s="109">
        <f t="shared" ref="N35:N52" si="17">J35/M35</f>
        <v>0.9968306922</v>
      </c>
      <c r="O35" s="110">
        <f t="shared" si="5"/>
        <v>1.003179384</v>
      </c>
      <c r="P35" s="109">
        <f t="shared" si="6"/>
        <v>2.373312153</v>
      </c>
      <c r="Q35" s="111">
        <f t="shared" si="7"/>
        <v>2.380857824</v>
      </c>
      <c r="R35" s="122">
        <f t="shared" si="16"/>
        <v>-173.85</v>
      </c>
      <c r="S35" s="113">
        <f t="shared" si="9"/>
        <v>59.76</v>
      </c>
      <c r="T35" s="114"/>
      <c r="U35" s="114"/>
      <c r="V35" s="114"/>
      <c r="W35" s="114"/>
      <c r="X35" s="115"/>
      <c r="Y35" s="98"/>
      <c r="Z35" s="98"/>
    </row>
    <row r="36" hidden="1" outlineLevel="1">
      <c r="A36" s="98"/>
      <c r="B36" s="116"/>
      <c r="C36" s="100" t="s">
        <v>36</v>
      </c>
      <c r="D36" s="120">
        <v>359.7</v>
      </c>
      <c r="E36" s="103">
        <v>6.0</v>
      </c>
      <c r="F36" s="103">
        <v>6.0</v>
      </c>
      <c r="G36" s="104">
        <f t="shared" si="1"/>
        <v>1</v>
      </c>
      <c r="H36" s="105">
        <f t="shared" si="2"/>
        <v>59.95</v>
      </c>
      <c r="I36" s="106">
        <f t="shared" si="3"/>
        <v>59.95</v>
      </c>
      <c r="J36" s="120">
        <v>105.72</v>
      </c>
      <c r="K36" s="103">
        <v>27117.0</v>
      </c>
      <c r="L36" s="103">
        <v>2.0</v>
      </c>
      <c r="M36" s="121">
        <v>129.9</v>
      </c>
      <c r="N36" s="109">
        <f t="shared" si="17"/>
        <v>0.8138568129</v>
      </c>
      <c r="O36" s="110">
        <f t="shared" si="5"/>
        <v>1.228717367</v>
      </c>
      <c r="P36" s="109">
        <f t="shared" si="6"/>
        <v>0.293911593</v>
      </c>
      <c r="Q36" s="111">
        <f t="shared" si="7"/>
        <v>0.3611342786</v>
      </c>
      <c r="R36" s="122">
        <f t="shared" si="16"/>
        <v>229.8</v>
      </c>
      <c r="S36" s="113">
        <f t="shared" si="9"/>
        <v>52.86</v>
      </c>
      <c r="T36" s="114"/>
      <c r="U36" s="114"/>
      <c r="V36" s="114"/>
      <c r="W36" s="114"/>
      <c r="X36" s="115"/>
      <c r="Y36" s="98"/>
      <c r="Z36" s="98"/>
    </row>
    <row r="37" hidden="1" outlineLevel="1">
      <c r="A37" s="98"/>
      <c r="B37" s="99" t="s">
        <v>37</v>
      </c>
      <c r="C37" s="100" t="s">
        <v>38</v>
      </c>
      <c r="D37" s="123">
        <v>-60.73</v>
      </c>
      <c r="E37" s="103">
        <v>0.0</v>
      </c>
      <c r="F37" s="103">
        <v>1.0</v>
      </c>
      <c r="G37" s="104">
        <f t="shared" si="1"/>
        <v>0</v>
      </c>
      <c r="H37" s="105" t="str">
        <f t="shared" si="2"/>
        <v>#DIV/0!</v>
      </c>
      <c r="I37" s="106" t="str">
        <f t="shared" si="3"/>
        <v>#DIV/0!</v>
      </c>
      <c r="J37" s="123">
        <v>83.88</v>
      </c>
      <c r="K37" s="103">
        <v>253679.0</v>
      </c>
      <c r="L37" s="103">
        <v>0.0</v>
      </c>
      <c r="M37" s="124">
        <v>0.0</v>
      </c>
      <c r="N37" s="109" t="str">
        <f t="shared" si="17"/>
        <v>#DIV/0!</v>
      </c>
      <c r="O37" s="110">
        <f t="shared" si="5"/>
        <v>0</v>
      </c>
      <c r="P37" s="109">
        <f t="shared" si="6"/>
        <v>-1.381195455</v>
      </c>
      <c r="Q37" s="111">
        <f t="shared" si="7"/>
        <v>0</v>
      </c>
      <c r="R37" s="125">
        <f t="shared" si="16"/>
        <v>-60.73</v>
      </c>
      <c r="S37" s="113" t="str">
        <f t="shared" si="9"/>
        <v>#DIV/0!</v>
      </c>
      <c r="T37" s="114"/>
      <c r="U37" s="114"/>
      <c r="V37" s="114"/>
      <c r="W37" s="114"/>
      <c r="X37" s="115"/>
      <c r="Y37" s="98"/>
      <c r="Z37" s="98"/>
    </row>
    <row r="38" hidden="1" outlineLevel="1">
      <c r="A38" s="98"/>
      <c r="B38" s="116"/>
      <c r="C38" s="100" t="s">
        <v>39</v>
      </c>
      <c r="D38" s="126">
        <v>0.0</v>
      </c>
      <c r="E38" s="103">
        <v>0.0</v>
      </c>
      <c r="F38" s="103">
        <v>0.0</v>
      </c>
      <c r="G38" s="104" t="str">
        <f t="shared" si="1"/>
        <v>#DIV/0!</v>
      </c>
      <c r="H38" s="105" t="str">
        <f t="shared" si="2"/>
        <v>#DIV/0!</v>
      </c>
      <c r="I38" s="106" t="str">
        <f t="shared" si="3"/>
        <v>#DIV/0!</v>
      </c>
      <c r="J38" s="126">
        <v>0.0</v>
      </c>
      <c r="K38" s="103">
        <v>0.0</v>
      </c>
      <c r="L38" s="103">
        <v>0.0</v>
      </c>
      <c r="M38" s="127">
        <v>0.0</v>
      </c>
      <c r="N38" s="109" t="str">
        <f t="shared" si="17"/>
        <v>#DIV/0!</v>
      </c>
      <c r="O38" s="110" t="str">
        <f t="shared" si="5"/>
        <v>#DIV/0!</v>
      </c>
      <c r="P38" s="109" t="str">
        <f t="shared" si="6"/>
        <v>#DIV/0!</v>
      </c>
      <c r="Q38" s="111" t="str">
        <f t="shared" si="7"/>
        <v>#DIV/0!</v>
      </c>
      <c r="R38" s="128">
        <f t="shared" si="16"/>
        <v>0</v>
      </c>
      <c r="S38" s="113" t="str">
        <f t="shared" si="9"/>
        <v>#DIV/0!</v>
      </c>
      <c r="T38" s="114"/>
      <c r="U38" s="114"/>
      <c r="V38" s="114"/>
      <c r="W38" s="114"/>
      <c r="X38" s="115"/>
      <c r="Y38" s="98"/>
      <c r="Z38" s="98"/>
    </row>
    <row r="39" hidden="1" outlineLevel="1">
      <c r="A39" s="98"/>
      <c r="B39" s="116"/>
      <c r="C39" s="100" t="s">
        <v>40</v>
      </c>
      <c r="D39" s="129">
        <v>0.0</v>
      </c>
      <c r="E39" s="103">
        <v>0.0</v>
      </c>
      <c r="F39" s="103">
        <v>0.0</v>
      </c>
      <c r="G39" s="104" t="str">
        <f t="shared" si="1"/>
        <v>#DIV/0!</v>
      </c>
      <c r="H39" s="105" t="str">
        <f t="shared" si="2"/>
        <v>#DIV/0!</v>
      </c>
      <c r="I39" s="106" t="str">
        <f t="shared" si="3"/>
        <v>#DIV/0!</v>
      </c>
      <c r="J39" s="129">
        <v>0.0</v>
      </c>
      <c r="K39" s="103">
        <v>0.0</v>
      </c>
      <c r="L39" s="103">
        <v>0.0</v>
      </c>
      <c r="M39" s="130">
        <v>0.0</v>
      </c>
      <c r="N39" s="109" t="str">
        <f t="shared" si="17"/>
        <v>#DIV/0!</v>
      </c>
      <c r="O39" s="110" t="str">
        <f t="shared" si="5"/>
        <v>#DIV/0!</v>
      </c>
      <c r="P39" s="109" t="str">
        <f t="shared" si="6"/>
        <v>#DIV/0!</v>
      </c>
      <c r="Q39" s="111" t="str">
        <f t="shared" si="7"/>
        <v>#DIV/0!</v>
      </c>
      <c r="R39" s="131">
        <f t="shared" si="16"/>
        <v>0</v>
      </c>
      <c r="S39" s="113" t="str">
        <f t="shared" si="9"/>
        <v>#DIV/0!</v>
      </c>
      <c r="T39" s="114"/>
      <c r="U39" s="114"/>
      <c r="V39" s="114"/>
      <c r="W39" s="114"/>
      <c r="X39" s="115"/>
      <c r="Y39" s="98"/>
      <c r="Z39" s="98"/>
    </row>
    <row r="40" hidden="1" outlineLevel="1">
      <c r="A40" s="98"/>
      <c r="B40" s="116"/>
      <c r="C40" s="100" t="s">
        <v>41</v>
      </c>
      <c r="D40" s="132">
        <v>3534.27</v>
      </c>
      <c r="E40" s="103">
        <v>49.0</v>
      </c>
      <c r="F40" s="103">
        <v>51.0</v>
      </c>
      <c r="G40" s="104">
        <f t="shared" si="1"/>
        <v>0.9607843137</v>
      </c>
      <c r="H40" s="105">
        <f t="shared" si="2"/>
        <v>72.12795918</v>
      </c>
      <c r="I40" s="106">
        <f t="shared" si="3"/>
        <v>75.07195752</v>
      </c>
      <c r="J40" s="132">
        <v>799.06</v>
      </c>
      <c r="K40" s="103">
        <v>59789.0</v>
      </c>
      <c r="L40" s="103">
        <v>14.0</v>
      </c>
      <c r="M40" s="133">
        <v>877.86</v>
      </c>
      <c r="N40" s="109">
        <f t="shared" si="17"/>
        <v>0.9102362564</v>
      </c>
      <c r="O40" s="110">
        <f t="shared" si="5"/>
        <v>1.098615874</v>
      </c>
      <c r="P40" s="109">
        <f t="shared" si="6"/>
        <v>0.2260891217</v>
      </c>
      <c r="Q40" s="111">
        <f t="shared" si="7"/>
        <v>0.2483850979</v>
      </c>
      <c r="R40" s="134">
        <f t="shared" si="16"/>
        <v>2656.41</v>
      </c>
      <c r="S40" s="113">
        <f t="shared" si="9"/>
        <v>57.07571429</v>
      </c>
      <c r="T40" s="114"/>
      <c r="U40" s="114"/>
      <c r="V40" s="114"/>
      <c r="W40" s="114"/>
      <c r="X40" s="115"/>
      <c r="Y40" s="98"/>
      <c r="Z40" s="98"/>
    </row>
    <row r="41" hidden="1" outlineLevel="1">
      <c r="A41" s="98"/>
      <c r="B41" s="116"/>
      <c r="C41" s="100" t="s">
        <v>42</v>
      </c>
      <c r="D41" s="120">
        <v>59.97</v>
      </c>
      <c r="E41" s="103">
        <v>3.0</v>
      </c>
      <c r="F41" s="103">
        <v>3.0</v>
      </c>
      <c r="G41" s="104">
        <f t="shared" si="1"/>
        <v>1</v>
      </c>
      <c r="H41" s="105">
        <f t="shared" si="2"/>
        <v>19.99</v>
      </c>
      <c r="I41" s="106">
        <f t="shared" si="3"/>
        <v>19.99</v>
      </c>
      <c r="J41" s="120">
        <v>356.37</v>
      </c>
      <c r="K41" s="103">
        <v>105893.0</v>
      </c>
      <c r="L41" s="103">
        <v>2.0</v>
      </c>
      <c r="M41" s="121">
        <v>39.98</v>
      </c>
      <c r="N41" s="109">
        <f t="shared" si="17"/>
        <v>8.913706853</v>
      </c>
      <c r="O41" s="110">
        <f t="shared" si="5"/>
        <v>0.1121867722</v>
      </c>
      <c r="P41" s="109">
        <f t="shared" si="6"/>
        <v>5.942471236</v>
      </c>
      <c r="Q41" s="111">
        <f t="shared" si="7"/>
        <v>0.6666666667</v>
      </c>
      <c r="R41" s="122">
        <f t="shared" si="16"/>
        <v>19.99</v>
      </c>
      <c r="S41" s="113">
        <f t="shared" si="9"/>
        <v>178.185</v>
      </c>
      <c r="T41" s="114"/>
      <c r="U41" s="114"/>
      <c r="V41" s="114"/>
      <c r="W41" s="114"/>
      <c r="X41" s="115"/>
      <c r="Y41" s="98"/>
      <c r="Z41" s="98"/>
    </row>
    <row r="42" hidden="1" outlineLevel="1">
      <c r="A42" s="98"/>
      <c r="B42" s="116"/>
      <c r="C42" s="100" t="s">
        <v>43</v>
      </c>
      <c r="D42" s="135">
        <v>1547.97</v>
      </c>
      <c r="E42" s="103">
        <v>13.0</v>
      </c>
      <c r="F42" s="103">
        <v>13.0</v>
      </c>
      <c r="G42" s="104">
        <f t="shared" si="1"/>
        <v>1</v>
      </c>
      <c r="H42" s="105">
        <f t="shared" si="2"/>
        <v>119.0746154</v>
      </c>
      <c r="I42" s="106">
        <f t="shared" si="3"/>
        <v>119.0746154</v>
      </c>
      <c r="J42" s="135">
        <v>74.14</v>
      </c>
      <c r="K42" s="103">
        <v>10788.0</v>
      </c>
      <c r="L42" s="103">
        <v>1.0</v>
      </c>
      <c r="M42" s="136">
        <v>0.0</v>
      </c>
      <c r="N42" s="109" t="str">
        <f t="shared" si="17"/>
        <v>#DIV/0!</v>
      </c>
      <c r="O42" s="110">
        <f t="shared" si="5"/>
        <v>0</v>
      </c>
      <c r="P42" s="109">
        <f t="shared" si="6"/>
        <v>0.04789498504</v>
      </c>
      <c r="Q42" s="111">
        <f t="shared" si="7"/>
        <v>0</v>
      </c>
      <c r="R42" s="137">
        <f t="shared" si="16"/>
        <v>1547.97</v>
      </c>
      <c r="S42" s="113">
        <f t="shared" si="9"/>
        <v>74.14</v>
      </c>
      <c r="T42" s="114"/>
      <c r="U42" s="114"/>
      <c r="V42" s="114"/>
      <c r="W42" s="114"/>
      <c r="X42" s="115"/>
      <c r="Y42" s="98"/>
      <c r="Z42" s="98"/>
    </row>
    <row r="43" hidden="1" outlineLevel="1">
      <c r="A43" s="98"/>
      <c r="B43" s="116"/>
      <c r="C43" s="100" t="s">
        <v>44</v>
      </c>
      <c r="D43" s="138">
        <v>209.8</v>
      </c>
      <c r="E43" s="103">
        <v>4.0</v>
      </c>
      <c r="F43" s="103">
        <v>4.0</v>
      </c>
      <c r="G43" s="104">
        <f t="shared" si="1"/>
        <v>1</v>
      </c>
      <c r="H43" s="105">
        <f t="shared" si="2"/>
        <v>52.45</v>
      </c>
      <c r="I43" s="106">
        <f t="shared" si="3"/>
        <v>52.45</v>
      </c>
      <c r="J43" s="138">
        <v>72.7</v>
      </c>
      <c r="K43" s="103">
        <v>40190.0</v>
      </c>
      <c r="L43" s="103">
        <v>3.0</v>
      </c>
      <c r="M43" s="139">
        <v>164.85</v>
      </c>
      <c r="N43" s="109">
        <f t="shared" si="17"/>
        <v>0.441006976</v>
      </c>
      <c r="O43" s="110">
        <f t="shared" si="5"/>
        <v>2.267537827</v>
      </c>
      <c r="P43" s="109">
        <f t="shared" si="6"/>
        <v>0.3465204957</v>
      </c>
      <c r="Q43" s="111">
        <f t="shared" si="7"/>
        <v>0.7857483317</v>
      </c>
      <c r="R43" s="140">
        <f t="shared" si="16"/>
        <v>44.95</v>
      </c>
      <c r="S43" s="113">
        <f t="shared" si="9"/>
        <v>24.23333333</v>
      </c>
      <c r="T43" s="114"/>
      <c r="U43" s="114"/>
      <c r="V43" s="114"/>
      <c r="W43" s="114"/>
      <c r="X43" s="115"/>
      <c r="Y43" s="98"/>
      <c r="Z43" s="98"/>
    </row>
    <row r="44" hidden="1" outlineLevel="1">
      <c r="A44" s="141"/>
      <c r="B44" s="116"/>
      <c r="C44" s="142" t="s">
        <v>45</v>
      </c>
      <c r="D44" s="101">
        <v>0.0</v>
      </c>
      <c r="E44" s="103">
        <v>0.0</v>
      </c>
      <c r="F44" s="103">
        <v>0.0</v>
      </c>
      <c r="G44" s="104" t="str">
        <f t="shared" si="1"/>
        <v>#DIV/0!</v>
      </c>
      <c r="H44" s="105" t="str">
        <f t="shared" si="2"/>
        <v>#DIV/0!</v>
      </c>
      <c r="I44" s="106" t="str">
        <f t="shared" si="3"/>
        <v>#DIV/0!</v>
      </c>
      <c r="J44" s="101">
        <v>0.0</v>
      </c>
      <c r="K44" s="103">
        <v>0.0</v>
      </c>
      <c r="L44" s="103">
        <v>0.0</v>
      </c>
      <c r="M44" s="108">
        <v>0.0</v>
      </c>
      <c r="N44" s="109" t="str">
        <f t="shared" si="17"/>
        <v>#DIV/0!</v>
      </c>
      <c r="O44" s="110" t="str">
        <f t="shared" si="5"/>
        <v>#DIV/0!</v>
      </c>
      <c r="P44" s="109" t="str">
        <f t="shared" si="6"/>
        <v>#DIV/0!</v>
      </c>
      <c r="Q44" s="111" t="str">
        <f t="shared" si="7"/>
        <v>#DIV/0!</v>
      </c>
      <c r="R44" s="112">
        <f t="shared" si="16"/>
        <v>0</v>
      </c>
      <c r="S44" s="113" t="str">
        <f t="shared" si="9"/>
        <v>#DIV/0!</v>
      </c>
      <c r="T44" s="143"/>
      <c r="U44" s="143"/>
      <c r="V44" s="143"/>
      <c r="W44" s="144"/>
      <c r="X44" s="145"/>
      <c r="Y44" s="98"/>
      <c r="Z44" s="98"/>
    </row>
    <row r="45" hidden="1" outlineLevel="1">
      <c r="A45" s="98"/>
      <c r="B45" s="116"/>
      <c r="C45" s="100" t="s">
        <v>46</v>
      </c>
      <c r="D45" s="146">
        <v>1218.39</v>
      </c>
      <c r="E45" s="103">
        <v>31.0</v>
      </c>
      <c r="F45" s="103">
        <v>31.0</v>
      </c>
      <c r="G45" s="104">
        <f t="shared" si="1"/>
        <v>1</v>
      </c>
      <c r="H45" s="105">
        <f t="shared" si="2"/>
        <v>39.30290323</v>
      </c>
      <c r="I45" s="106">
        <f t="shared" si="3"/>
        <v>39.30290323</v>
      </c>
      <c r="J45" s="146">
        <v>258.05</v>
      </c>
      <c r="K45" s="103">
        <v>66414.0</v>
      </c>
      <c r="L45" s="103">
        <v>25.0</v>
      </c>
      <c r="M45" s="147">
        <v>985.26</v>
      </c>
      <c r="N45" s="109">
        <f t="shared" si="17"/>
        <v>0.2619105617</v>
      </c>
      <c r="O45" s="110">
        <f t="shared" si="5"/>
        <v>3.818097268</v>
      </c>
      <c r="P45" s="109">
        <f t="shared" si="6"/>
        <v>0.2117958946</v>
      </c>
      <c r="Q45" s="111">
        <f t="shared" si="7"/>
        <v>0.8086573265</v>
      </c>
      <c r="R45" s="112">
        <f t="shared" si="16"/>
        <v>233.13</v>
      </c>
      <c r="S45" s="113">
        <f t="shared" si="9"/>
        <v>10.322</v>
      </c>
      <c r="T45" s="114"/>
      <c r="U45" s="114"/>
      <c r="V45" s="114"/>
      <c r="W45" s="114"/>
      <c r="X45" s="115"/>
      <c r="Y45" s="98"/>
      <c r="Z45" s="98"/>
    </row>
    <row r="46" hidden="1" outlineLevel="1">
      <c r="A46" s="98"/>
      <c r="B46" s="116"/>
      <c r="C46" s="100" t="s">
        <v>47</v>
      </c>
      <c r="D46" s="117">
        <v>59.9</v>
      </c>
      <c r="E46" s="103">
        <v>2.0</v>
      </c>
      <c r="F46" s="103">
        <v>2.0</v>
      </c>
      <c r="G46" s="104">
        <f t="shared" si="1"/>
        <v>1</v>
      </c>
      <c r="H46" s="105">
        <f t="shared" si="2"/>
        <v>29.95</v>
      </c>
      <c r="I46" s="106">
        <f t="shared" si="3"/>
        <v>29.95</v>
      </c>
      <c r="J46" s="117">
        <v>0.0</v>
      </c>
      <c r="K46" s="103">
        <v>0.0</v>
      </c>
      <c r="L46" s="103">
        <v>0.0</v>
      </c>
      <c r="M46" s="118">
        <v>0.0</v>
      </c>
      <c r="N46" s="109" t="str">
        <f t="shared" si="17"/>
        <v>#DIV/0!</v>
      </c>
      <c r="O46" s="110" t="str">
        <f t="shared" si="5"/>
        <v>#DIV/0!</v>
      </c>
      <c r="P46" s="109">
        <f t="shared" si="6"/>
        <v>0</v>
      </c>
      <c r="Q46" s="111">
        <f t="shared" si="7"/>
        <v>0</v>
      </c>
      <c r="R46" s="112">
        <f t="shared" si="16"/>
        <v>59.9</v>
      </c>
      <c r="S46" s="113" t="str">
        <f t="shared" si="9"/>
        <v>#DIV/0!</v>
      </c>
      <c r="T46" s="114"/>
      <c r="U46" s="114"/>
      <c r="V46" s="114"/>
      <c r="W46" s="114"/>
      <c r="X46" s="115"/>
      <c r="Y46" s="98"/>
      <c r="Z46" s="98"/>
    </row>
    <row r="47" hidden="1" outlineLevel="1">
      <c r="A47" s="98"/>
      <c r="B47" s="116"/>
      <c r="C47" s="100" t="s">
        <v>48</v>
      </c>
      <c r="D47" s="132">
        <v>6535.42</v>
      </c>
      <c r="E47" s="103">
        <v>31.0</v>
      </c>
      <c r="F47" s="103">
        <v>31.0</v>
      </c>
      <c r="G47" s="104">
        <f t="shared" si="1"/>
        <v>1</v>
      </c>
      <c r="H47" s="105">
        <f t="shared" si="2"/>
        <v>210.82</v>
      </c>
      <c r="I47" s="106">
        <f t="shared" si="3"/>
        <v>210.82</v>
      </c>
      <c r="J47" s="132">
        <v>807.83</v>
      </c>
      <c r="K47" s="103">
        <v>55281.0</v>
      </c>
      <c r="L47" s="103">
        <v>15.0</v>
      </c>
      <c r="M47" s="133">
        <v>2922.51</v>
      </c>
      <c r="N47" s="109">
        <f t="shared" si="17"/>
        <v>0.276416505</v>
      </c>
      <c r="O47" s="110">
        <f t="shared" si="5"/>
        <v>3.617728978</v>
      </c>
      <c r="P47" s="109">
        <f t="shared" si="6"/>
        <v>0.1236079701</v>
      </c>
      <c r="Q47" s="111">
        <f t="shared" si="7"/>
        <v>0.4471801353</v>
      </c>
      <c r="R47" s="112">
        <f t="shared" si="16"/>
        <v>3612.91</v>
      </c>
      <c r="S47" s="113">
        <f t="shared" si="9"/>
        <v>53.85533333</v>
      </c>
      <c r="T47" s="114"/>
      <c r="U47" s="114"/>
      <c r="V47" s="114"/>
      <c r="W47" s="114"/>
      <c r="X47" s="115"/>
      <c r="Y47" s="98"/>
      <c r="Z47" s="98"/>
    </row>
    <row r="48" hidden="1" outlineLevel="1">
      <c r="A48" s="98"/>
      <c r="B48" s="116"/>
      <c r="C48" s="100" t="s">
        <v>49</v>
      </c>
      <c r="D48" s="146">
        <v>-27.0</v>
      </c>
      <c r="E48" s="103">
        <v>-1.0</v>
      </c>
      <c r="F48" s="103">
        <v>0.0</v>
      </c>
      <c r="G48" s="104" t="str">
        <f t="shared" si="1"/>
        <v>#DIV/0!</v>
      </c>
      <c r="H48" s="105">
        <f t="shared" si="2"/>
        <v>27</v>
      </c>
      <c r="I48" s="106" t="str">
        <f t="shared" si="3"/>
        <v>#DIV/0!</v>
      </c>
      <c r="J48" s="146">
        <v>10.46</v>
      </c>
      <c r="K48" s="103">
        <v>14576.0</v>
      </c>
      <c r="L48" s="103">
        <v>0.0</v>
      </c>
      <c r="M48" s="147">
        <v>0.0</v>
      </c>
      <c r="N48" s="109" t="str">
        <f t="shared" si="17"/>
        <v>#DIV/0!</v>
      </c>
      <c r="O48" s="110">
        <f t="shared" si="5"/>
        <v>0</v>
      </c>
      <c r="P48" s="109">
        <f t="shared" si="6"/>
        <v>-0.3874074074</v>
      </c>
      <c r="Q48" s="111">
        <f t="shared" si="7"/>
        <v>0</v>
      </c>
      <c r="R48" s="112">
        <f t="shared" si="16"/>
        <v>-27</v>
      </c>
      <c r="S48" s="113" t="str">
        <f t="shared" si="9"/>
        <v>#DIV/0!</v>
      </c>
      <c r="T48" s="114"/>
      <c r="U48" s="114"/>
      <c r="V48" s="114"/>
      <c r="W48" s="114"/>
      <c r="X48" s="115"/>
      <c r="Y48" s="98"/>
      <c r="Z48" s="98"/>
    </row>
    <row r="49" hidden="1" outlineLevel="1">
      <c r="A49" s="148" t="str">
        <f t="shared" ref="A49:A50" si="18">iferror(if(B49&gt;0,month(B49)&amp;"-"&amp;year(B49),B49),)</f>
        <v>1-2026</v>
      </c>
      <c r="B49" s="99">
        <v>46025.0</v>
      </c>
      <c r="C49" s="277" t="s">
        <v>67</v>
      </c>
      <c r="D49" s="146">
        <v>0.0</v>
      </c>
      <c r="E49" s="103">
        <v>0.0</v>
      </c>
      <c r="F49" s="103">
        <v>0.0</v>
      </c>
      <c r="G49" s="104" t="str">
        <f t="shared" si="1"/>
        <v>#DIV/0!</v>
      </c>
      <c r="H49" s="105" t="str">
        <f t="shared" si="2"/>
        <v>#DIV/0!</v>
      </c>
      <c r="I49" s="106" t="str">
        <f t="shared" si="3"/>
        <v>#DIV/0!</v>
      </c>
      <c r="J49" s="117">
        <v>4879.89</v>
      </c>
      <c r="K49" s="278">
        <v>507182.0</v>
      </c>
      <c r="L49" s="103">
        <v>0.0</v>
      </c>
      <c r="M49" s="118">
        <v>18214.0</v>
      </c>
      <c r="N49" s="109">
        <f t="shared" si="17"/>
        <v>0.2679197321</v>
      </c>
      <c r="O49" s="110">
        <f t="shared" si="5"/>
        <v>3.732461183</v>
      </c>
      <c r="P49" s="109" t="str">
        <f t="shared" si="6"/>
        <v>#DIV/0!</v>
      </c>
      <c r="Q49" s="111" t="str">
        <f t="shared" si="7"/>
        <v>#DIV/0!</v>
      </c>
      <c r="R49" s="112">
        <f t="shared" si="16"/>
        <v>-18214</v>
      </c>
      <c r="S49" s="113" t="str">
        <f t="shared" si="9"/>
        <v>#DIV/0!</v>
      </c>
      <c r="T49" s="114"/>
      <c r="U49" s="114"/>
      <c r="V49" s="114"/>
      <c r="W49" s="114"/>
      <c r="X49" s="115"/>
      <c r="Y49" s="98"/>
      <c r="Z49" s="98"/>
    </row>
    <row r="50" collapsed="1">
      <c r="A50" s="98" t="str">
        <f t="shared" si="18"/>
        <v/>
      </c>
      <c r="B50" s="149" t="s">
        <v>51</v>
      </c>
      <c r="C50" s="150"/>
      <c r="D50" s="151">
        <f t="shared" ref="D50:F50" si="19">SUM(D32:D49)</f>
        <v>45850.88</v>
      </c>
      <c r="E50" s="153">
        <f t="shared" si="19"/>
        <v>342</v>
      </c>
      <c r="F50" s="153">
        <f t="shared" si="19"/>
        <v>362</v>
      </c>
      <c r="G50" s="154">
        <f t="shared" si="1"/>
        <v>0.9447513812</v>
      </c>
      <c r="H50" s="155">
        <f t="shared" si="2"/>
        <v>134.0669006</v>
      </c>
      <c r="I50" s="156">
        <f t="shared" si="3"/>
        <v>141.9070702</v>
      </c>
      <c r="J50" s="151">
        <f t="shared" ref="J50:M50" si="20">SUM(J32:J49)</f>
        <v>10686.6</v>
      </c>
      <c r="K50" s="153">
        <f t="shared" si="20"/>
        <v>1882932</v>
      </c>
      <c r="L50" s="153">
        <f t="shared" si="20"/>
        <v>122</v>
      </c>
      <c r="M50" s="157">
        <f t="shared" si="20"/>
        <v>32577.4</v>
      </c>
      <c r="N50" s="158">
        <f t="shared" si="17"/>
        <v>0.3280372283</v>
      </c>
      <c r="O50" s="159">
        <f t="shared" si="5"/>
        <v>3.048434488</v>
      </c>
      <c r="P50" s="158">
        <f t="shared" si="6"/>
        <v>0.233072953</v>
      </c>
      <c r="Q50" s="160">
        <f t="shared" si="7"/>
        <v>0.7105076282</v>
      </c>
      <c r="R50" s="161">
        <f>SUM(R32:R49)</f>
        <v>13273.48</v>
      </c>
      <c r="S50" s="162">
        <f t="shared" si="9"/>
        <v>87.59508197</v>
      </c>
      <c r="T50" s="164" t="str">
        <f t="shared" ref="T50:U50" si="21">IFERROR((D50-#REF!)/D50,)</f>
        <v/>
      </c>
      <c r="U50" s="164" t="str">
        <f t="shared" si="21"/>
        <v/>
      </c>
      <c r="V50" s="164" t="str">
        <f t="shared" ref="V50:W50" si="22">IFERROR((D50-#REF!)/D50, )</f>
        <v/>
      </c>
      <c r="W50" s="164" t="str">
        <f t="shared" si="22"/>
        <v/>
      </c>
      <c r="X50" s="98"/>
      <c r="Y50" s="98"/>
      <c r="Z50" s="98"/>
    </row>
    <row r="51" hidden="1" outlineLevel="1">
      <c r="A51" s="98"/>
      <c r="B51" s="99">
        <v>46026.0</v>
      </c>
      <c r="C51" s="100" t="s">
        <v>32</v>
      </c>
      <c r="D51" s="101">
        <v>4193.34</v>
      </c>
      <c r="E51" s="103">
        <v>31.0</v>
      </c>
      <c r="F51" s="103">
        <v>31.0</v>
      </c>
      <c r="G51" s="104">
        <f t="shared" si="1"/>
        <v>1</v>
      </c>
      <c r="H51" s="105">
        <f t="shared" si="2"/>
        <v>135.2690323</v>
      </c>
      <c r="I51" s="106">
        <f t="shared" si="3"/>
        <v>135.2690323</v>
      </c>
      <c r="J51" s="107">
        <v>1013.35</v>
      </c>
      <c r="K51" s="103">
        <v>165235.0</v>
      </c>
      <c r="L51" s="103">
        <v>6.0</v>
      </c>
      <c r="M51" s="108">
        <v>925.9</v>
      </c>
      <c r="N51" s="109">
        <f t="shared" si="17"/>
        <v>1.094448645</v>
      </c>
      <c r="O51" s="110">
        <f t="shared" si="5"/>
        <v>0.9137020773</v>
      </c>
      <c r="P51" s="109">
        <f t="shared" si="6"/>
        <v>0.2416570085</v>
      </c>
      <c r="Q51" s="111">
        <f t="shared" si="7"/>
        <v>0.2208025106</v>
      </c>
      <c r="R51" s="112">
        <f t="shared" ref="R51:R68" si="23">D51-M51</f>
        <v>3267.44</v>
      </c>
      <c r="S51" s="113">
        <f t="shared" si="9"/>
        <v>168.8916667</v>
      </c>
      <c r="T51" s="114"/>
      <c r="U51" s="114"/>
      <c r="V51" s="114"/>
      <c r="W51" s="114"/>
      <c r="X51" s="115"/>
      <c r="Y51" s="98"/>
      <c r="Z51" s="98"/>
    </row>
    <row r="52" hidden="1" outlineLevel="1">
      <c r="A52" s="98"/>
      <c r="B52" s="116"/>
      <c r="C52" s="100" t="s">
        <v>33</v>
      </c>
      <c r="D52" s="117">
        <v>7722.36</v>
      </c>
      <c r="E52" s="103">
        <v>94.0</v>
      </c>
      <c r="F52" s="103">
        <v>105.0</v>
      </c>
      <c r="G52" s="104">
        <f t="shared" si="1"/>
        <v>0.8952380952</v>
      </c>
      <c r="H52" s="105">
        <f t="shared" si="2"/>
        <v>82.15276596</v>
      </c>
      <c r="I52" s="106">
        <f t="shared" si="3"/>
        <v>91.76638751</v>
      </c>
      <c r="J52" s="117">
        <v>759.35</v>
      </c>
      <c r="K52" s="103">
        <v>402437.0</v>
      </c>
      <c r="L52" s="103">
        <v>21.0</v>
      </c>
      <c r="M52" s="118">
        <v>2698.5</v>
      </c>
      <c r="N52" s="109">
        <f t="shared" si="17"/>
        <v>0.2813970724</v>
      </c>
      <c r="O52" s="110">
        <f t="shared" si="5"/>
        <v>3.553697241</v>
      </c>
      <c r="P52" s="109">
        <f t="shared" si="6"/>
        <v>0.09833133912</v>
      </c>
      <c r="Q52" s="111">
        <f t="shared" si="7"/>
        <v>0.3494398086</v>
      </c>
      <c r="R52" s="119">
        <f t="shared" si="23"/>
        <v>5023.86</v>
      </c>
      <c r="S52" s="113">
        <f t="shared" si="9"/>
        <v>36.15952381</v>
      </c>
      <c r="T52" s="114"/>
      <c r="U52" s="114"/>
      <c r="V52" s="114"/>
      <c r="W52" s="114"/>
      <c r="X52" s="115"/>
      <c r="Y52" s="98"/>
      <c r="Z52" s="98"/>
    </row>
    <row r="53" hidden="1" outlineLevel="1">
      <c r="A53" s="98"/>
      <c r="B53" s="116"/>
      <c r="C53" s="100" t="s">
        <v>34</v>
      </c>
      <c r="D53" s="120">
        <v>279.8</v>
      </c>
      <c r="E53" s="103">
        <v>4.0</v>
      </c>
      <c r="F53" s="103">
        <v>2.0</v>
      </c>
      <c r="G53" s="104">
        <f t="shared" si="1"/>
        <v>2</v>
      </c>
      <c r="H53" s="105">
        <f t="shared" si="2"/>
        <v>69.95</v>
      </c>
      <c r="I53" s="106">
        <f t="shared" si="3"/>
        <v>34.975</v>
      </c>
      <c r="J53" s="120">
        <v>7.22</v>
      </c>
      <c r="K53" s="103">
        <v>413.0</v>
      </c>
      <c r="L53" s="103">
        <v>0.0</v>
      </c>
      <c r="M53" s="121">
        <v>0.0</v>
      </c>
      <c r="N53" s="109" t="str">
        <f>(J53/M53)</f>
        <v>#DIV/0!</v>
      </c>
      <c r="O53" s="110">
        <f t="shared" si="5"/>
        <v>0</v>
      </c>
      <c r="P53" s="109">
        <f t="shared" si="6"/>
        <v>0.02580414582</v>
      </c>
      <c r="Q53" s="111">
        <f t="shared" si="7"/>
        <v>0</v>
      </c>
      <c r="R53" s="122">
        <f t="shared" si="23"/>
        <v>279.8</v>
      </c>
      <c r="S53" s="113" t="str">
        <f t="shared" si="9"/>
        <v>#DIV/0!</v>
      </c>
      <c r="T53" s="114"/>
      <c r="U53" s="114"/>
      <c r="V53" s="114"/>
      <c r="W53" s="114"/>
      <c r="X53" s="115"/>
      <c r="Y53" s="98"/>
      <c r="Z53" s="98"/>
    </row>
    <row r="54" hidden="1" outlineLevel="1">
      <c r="A54" s="98"/>
      <c r="B54" s="116"/>
      <c r="C54" s="100" t="s">
        <v>35</v>
      </c>
      <c r="D54" s="120">
        <v>1085.11</v>
      </c>
      <c r="E54" s="103">
        <v>18.0</v>
      </c>
      <c r="F54" s="103">
        <v>22.0</v>
      </c>
      <c r="G54" s="104">
        <f t="shared" si="1"/>
        <v>0.8181818182</v>
      </c>
      <c r="H54" s="105">
        <f t="shared" si="2"/>
        <v>60.28388889</v>
      </c>
      <c r="I54" s="106">
        <f t="shared" si="3"/>
        <v>73.68030864</v>
      </c>
      <c r="J54" s="120">
        <v>317.55</v>
      </c>
      <c r="K54" s="103">
        <v>27416.0</v>
      </c>
      <c r="L54" s="103">
        <v>12.0</v>
      </c>
      <c r="M54" s="121">
        <v>659.45</v>
      </c>
      <c r="N54" s="109">
        <f t="shared" ref="N54:N71" si="24">J54/M54</f>
        <v>0.481537645</v>
      </c>
      <c r="O54" s="110">
        <f t="shared" si="5"/>
        <v>2.076680838</v>
      </c>
      <c r="P54" s="109">
        <f t="shared" si="6"/>
        <v>0.2926431422</v>
      </c>
      <c r="Q54" s="111">
        <f t="shared" si="7"/>
        <v>0.6077264056</v>
      </c>
      <c r="R54" s="122">
        <f t="shared" si="23"/>
        <v>425.66</v>
      </c>
      <c r="S54" s="113">
        <f t="shared" si="9"/>
        <v>26.4625</v>
      </c>
      <c r="T54" s="114"/>
      <c r="U54" s="114"/>
      <c r="V54" s="114"/>
      <c r="W54" s="114"/>
      <c r="X54" s="115"/>
      <c r="Y54" s="98"/>
      <c r="Z54" s="98"/>
    </row>
    <row r="55" hidden="1" outlineLevel="1">
      <c r="A55" s="98"/>
      <c r="B55" s="116"/>
      <c r="C55" s="100" t="s">
        <v>36</v>
      </c>
      <c r="D55" s="120">
        <v>974.25</v>
      </c>
      <c r="E55" s="103">
        <v>15.0</v>
      </c>
      <c r="F55" s="103">
        <v>16.0</v>
      </c>
      <c r="G55" s="104">
        <f t="shared" si="1"/>
        <v>0.9375</v>
      </c>
      <c r="H55" s="105">
        <f t="shared" si="2"/>
        <v>64.95</v>
      </c>
      <c r="I55" s="106">
        <f t="shared" si="3"/>
        <v>69.28</v>
      </c>
      <c r="J55" s="120">
        <v>78.8</v>
      </c>
      <c r="K55" s="103">
        <v>26820.0</v>
      </c>
      <c r="L55" s="103">
        <v>1.0</v>
      </c>
      <c r="M55" s="121">
        <v>69.95</v>
      </c>
      <c r="N55" s="109">
        <f t="shared" si="24"/>
        <v>1.126518942</v>
      </c>
      <c r="O55" s="110">
        <f t="shared" si="5"/>
        <v>0.8876903553</v>
      </c>
      <c r="P55" s="109">
        <f t="shared" si="6"/>
        <v>0.08088273031</v>
      </c>
      <c r="Q55" s="111">
        <f t="shared" si="7"/>
        <v>0.0717988196</v>
      </c>
      <c r="R55" s="122">
        <f t="shared" si="23"/>
        <v>904.3</v>
      </c>
      <c r="S55" s="113">
        <f t="shared" si="9"/>
        <v>78.8</v>
      </c>
      <c r="T55" s="114"/>
      <c r="U55" s="114"/>
      <c r="V55" s="114"/>
      <c r="W55" s="114"/>
      <c r="X55" s="115"/>
      <c r="Y55" s="98"/>
      <c r="Z55" s="98"/>
    </row>
    <row r="56" hidden="1" outlineLevel="1">
      <c r="A56" s="98"/>
      <c r="B56" s="99" t="s">
        <v>37</v>
      </c>
      <c r="C56" s="100" t="s">
        <v>38</v>
      </c>
      <c r="D56" s="123">
        <v>114.85</v>
      </c>
      <c r="E56" s="103">
        <v>3.0</v>
      </c>
      <c r="F56" s="103">
        <v>3.0</v>
      </c>
      <c r="G56" s="104">
        <f t="shared" si="1"/>
        <v>1</v>
      </c>
      <c r="H56" s="105">
        <f t="shared" si="2"/>
        <v>38.28333333</v>
      </c>
      <c r="I56" s="106">
        <f t="shared" si="3"/>
        <v>38.28333333</v>
      </c>
      <c r="J56" s="123">
        <v>40.77</v>
      </c>
      <c r="K56" s="103">
        <v>241677.0</v>
      </c>
      <c r="L56" s="103">
        <v>0.0</v>
      </c>
      <c r="M56" s="124">
        <v>0.0</v>
      </c>
      <c r="N56" s="109" t="str">
        <f t="shared" si="24"/>
        <v>#DIV/0!</v>
      </c>
      <c r="O56" s="110">
        <f t="shared" si="5"/>
        <v>0</v>
      </c>
      <c r="P56" s="109">
        <f t="shared" si="6"/>
        <v>0.3549847627</v>
      </c>
      <c r="Q56" s="111">
        <f t="shared" si="7"/>
        <v>0</v>
      </c>
      <c r="R56" s="125">
        <f t="shared" si="23"/>
        <v>114.85</v>
      </c>
      <c r="S56" s="113" t="str">
        <f t="shared" si="9"/>
        <v>#DIV/0!</v>
      </c>
      <c r="T56" s="114"/>
      <c r="U56" s="114"/>
      <c r="V56" s="114"/>
      <c r="W56" s="114"/>
      <c r="X56" s="115"/>
      <c r="Y56" s="98"/>
      <c r="Z56" s="98"/>
    </row>
    <row r="57" hidden="1" outlineLevel="1">
      <c r="A57" s="98"/>
      <c r="B57" s="116"/>
      <c r="C57" s="100" t="s">
        <v>39</v>
      </c>
      <c r="D57" s="126">
        <v>0.0</v>
      </c>
      <c r="E57" s="103">
        <v>0.0</v>
      </c>
      <c r="F57" s="103">
        <v>0.0</v>
      </c>
      <c r="G57" s="104" t="str">
        <f t="shared" si="1"/>
        <v>#DIV/0!</v>
      </c>
      <c r="H57" s="105" t="str">
        <f t="shared" si="2"/>
        <v>#DIV/0!</v>
      </c>
      <c r="I57" s="106" t="str">
        <f t="shared" si="3"/>
        <v>#DIV/0!</v>
      </c>
      <c r="J57" s="126">
        <v>0.0</v>
      </c>
      <c r="K57" s="103">
        <v>0.0</v>
      </c>
      <c r="L57" s="103">
        <v>0.0</v>
      </c>
      <c r="M57" s="127">
        <v>0.0</v>
      </c>
      <c r="N57" s="109" t="str">
        <f t="shared" si="24"/>
        <v>#DIV/0!</v>
      </c>
      <c r="O57" s="110" t="str">
        <f t="shared" si="5"/>
        <v>#DIV/0!</v>
      </c>
      <c r="P57" s="109" t="str">
        <f t="shared" si="6"/>
        <v>#DIV/0!</v>
      </c>
      <c r="Q57" s="111" t="str">
        <f t="shared" si="7"/>
        <v>#DIV/0!</v>
      </c>
      <c r="R57" s="128">
        <f t="shared" si="23"/>
        <v>0</v>
      </c>
      <c r="S57" s="113" t="str">
        <f t="shared" si="9"/>
        <v>#DIV/0!</v>
      </c>
      <c r="T57" s="114"/>
      <c r="U57" s="114"/>
      <c r="V57" s="114"/>
      <c r="W57" s="114"/>
      <c r="X57" s="115"/>
      <c r="Y57" s="98"/>
      <c r="Z57" s="98"/>
    </row>
    <row r="58" hidden="1" outlineLevel="1">
      <c r="A58" s="98"/>
      <c r="B58" s="116"/>
      <c r="C58" s="100" t="s">
        <v>40</v>
      </c>
      <c r="D58" s="129">
        <v>0.0</v>
      </c>
      <c r="E58" s="103">
        <v>0.0</v>
      </c>
      <c r="F58" s="103">
        <v>0.0</v>
      </c>
      <c r="G58" s="104" t="str">
        <f t="shared" si="1"/>
        <v>#DIV/0!</v>
      </c>
      <c r="H58" s="105" t="str">
        <f t="shared" si="2"/>
        <v>#DIV/0!</v>
      </c>
      <c r="I58" s="106" t="str">
        <f t="shared" si="3"/>
        <v>#DIV/0!</v>
      </c>
      <c r="J58" s="129">
        <v>0.0</v>
      </c>
      <c r="K58" s="103">
        <v>0.0</v>
      </c>
      <c r="L58" s="103">
        <v>0.0</v>
      </c>
      <c r="M58" s="130">
        <v>0.0</v>
      </c>
      <c r="N58" s="109" t="str">
        <f t="shared" si="24"/>
        <v>#DIV/0!</v>
      </c>
      <c r="O58" s="110" t="str">
        <f t="shared" si="5"/>
        <v>#DIV/0!</v>
      </c>
      <c r="P58" s="109" t="str">
        <f t="shared" si="6"/>
        <v>#DIV/0!</v>
      </c>
      <c r="Q58" s="111" t="str">
        <f t="shared" si="7"/>
        <v>#DIV/0!</v>
      </c>
      <c r="R58" s="131">
        <f t="shared" si="23"/>
        <v>0</v>
      </c>
      <c r="S58" s="113" t="str">
        <f t="shared" si="9"/>
        <v>#DIV/0!</v>
      </c>
      <c r="T58" s="114"/>
      <c r="U58" s="114"/>
      <c r="V58" s="114"/>
      <c r="W58" s="114"/>
      <c r="X58" s="115"/>
      <c r="Y58" s="98"/>
      <c r="Z58" s="98"/>
    </row>
    <row r="59" hidden="1" outlineLevel="1">
      <c r="A59" s="98"/>
      <c r="B59" s="116"/>
      <c r="C59" s="100" t="s">
        <v>41</v>
      </c>
      <c r="D59" s="132">
        <v>2607.66</v>
      </c>
      <c r="E59" s="103">
        <v>38.0</v>
      </c>
      <c r="F59" s="103">
        <v>37.0</v>
      </c>
      <c r="G59" s="104">
        <f t="shared" si="1"/>
        <v>1.027027027</v>
      </c>
      <c r="H59" s="105">
        <f t="shared" si="2"/>
        <v>68.62263158</v>
      </c>
      <c r="I59" s="106">
        <f t="shared" si="3"/>
        <v>66.81677285</v>
      </c>
      <c r="J59" s="132">
        <v>582.07</v>
      </c>
      <c r="K59" s="103">
        <v>53074.0</v>
      </c>
      <c r="L59" s="103">
        <v>14.0</v>
      </c>
      <c r="M59" s="133">
        <v>1068.9</v>
      </c>
      <c r="N59" s="109">
        <f t="shared" si="24"/>
        <v>0.5445504724</v>
      </c>
      <c r="O59" s="110">
        <f t="shared" si="5"/>
        <v>1.836377068</v>
      </c>
      <c r="P59" s="109">
        <f t="shared" si="6"/>
        <v>0.2232154499</v>
      </c>
      <c r="Q59" s="111">
        <f t="shared" si="7"/>
        <v>0.4099077334</v>
      </c>
      <c r="R59" s="134">
        <f t="shared" si="23"/>
        <v>1538.76</v>
      </c>
      <c r="S59" s="113">
        <f t="shared" si="9"/>
        <v>41.57642857</v>
      </c>
      <c r="T59" s="114"/>
      <c r="U59" s="114"/>
      <c r="V59" s="114"/>
      <c r="W59" s="114"/>
      <c r="X59" s="115"/>
      <c r="Y59" s="98"/>
      <c r="Z59" s="98"/>
    </row>
    <row r="60" hidden="1" outlineLevel="1">
      <c r="A60" s="98"/>
      <c r="B60" s="116"/>
      <c r="C60" s="100" t="s">
        <v>42</v>
      </c>
      <c r="D60" s="120">
        <v>39.98</v>
      </c>
      <c r="E60" s="103">
        <v>2.0</v>
      </c>
      <c r="F60" s="103">
        <v>5.0</v>
      </c>
      <c r="G60" s="104">
        <f t="shared" si="1"/>
        <v>0.4</v>
      </c>
      <c r="H60" s="105">
        <f t="shared" si="2"/>
        <v>19.99</v>
      </c>
      <c r="I60" s="106">
        <f t="shared" si="3"/>
        <v>49.975</v>
      </c>
      <c r="J60" s="120">
        <v>390.2</v>
      </c>
      <c r="K60" s="103">
        <v>90636.0</v>
      </c>
      <c r="L60" s="103">
        <v>5.0</v>
      </c>
      <c r="M60" s="121">
        <v>99.95</v>
      </c>
      <c r="N60" s="109">
        <f t="shared" si="24"/>
        <v>3.903951976</v>
      </c>
      <c r="O60" s="110">
        <f t="shared" si="5"/>
        <v>0.256150692</v>
      </c>
      <c r="P60" s="109">
        <f t="shared" si="6"/>
        <v>9.75987994</v>
      </c>
      <c r="Q60" s="111">
        <f t="shared" si="7"/>
        <v>2.5</v>
      </c>
      <c r="R60" s="122">
        <f t="shared" si="23"/>
        <v>-59.97</v>
      </c>
      <c r="S60" s="113">
        <f t="shared" si="9"/>
        <v>78.04</v>
      </c>
      <c r="T60" s="114"/>
      <c r="U60" s="114"/>
      <c r="V60" s="114"/>
      <c r="W60" s="114"/>
      <c r="X60" s="115"/>
      <c r="Y60" s="98"/>
      <c r="Z60" s="98"/>
    </row>
    <row r="61" hidden="1" outlineLevel="1">
      <c r="A61" s="98"/>
      <c r="B61" s="116"/>
      <c r="C61" s="100" t="s">
        <v>43</v>
      </c>
      <c r="D61" s="135">
        <v>1285.59</v>
      </c>
      <c r="E61" s="103">
        <v>10.0</v>
      </c>
      <c r="F61" s="103">
        <v>10.0</v>
      </c>
      <c r="G61" s="104">
        <f t="shared" si="1"/>
        <v>1</v>
      </c>
      <c r="H61" s="105">
        <f t="shared" si="2"/>
        <v>128.559</v>
      </c>
      <c r="I61" s="106">
        <f t="shared" si="3"/>
        <v>128.559</v>
      </c>
      <c r="J61" s="135">
        <v>70.1</v>
      </c>
      <c r="K61" s="103">
        <v>8798.0</v>
      </c>
      <c r="L61" s="103">
        <v>1.0</v>
      </c>
      <c r="M61" s="136">
        <v>0.0</v>
      </c>
      <c r="N61" s="109" t="str">
        <f t="shared" si="24"/>
        <v>#DIV/0!</v>
      </c>
      <c r="O61" s="110">
        <f t="shared" si="5"/>
        <v>0</v>
      </c>
      <c r="P61" s="109">
        <f t="shared" si="6"/>
        <v>0.05452749321</v>
      </c>
      <c r="Q61" s="111">
        <f t="shared" si="7"/>
        <v>0</v>
      </c>
      <c r="R61" s="137">
        <f t="shared" si="23"/>
        <v>1285.59</v>
      </c>
      <c r="S61" s="113">
        <f t="shared" si="9"/>
        <v>70.1</v>
      </c>
      <c r="T61" s="114"/>
      <c r="U61" s="114"/>
      <c r="V61" s="114"/>
      <c r="W61" s="114"/>
      <c r="X61" s="115"/>
      <c r="Y61" s="98"/>
      <c r="Z61" s="98"/>
    </row>
    <row r="62" hidden="1" outlineLevel="1">
      <c r="A62" s="98"/>
      <c r="B62" s="116"/>
      <c r="C62" s="100" t="s">
        <v>44</v>
      </c>
      <c r="D62" s="138">
        <v>134.9</v>
      </c>
      <c r="E62" s="103">
        <v>2.0</v>
      </c>
      <c r="F62" s="103">
        <v>3.0</v>
      </c>
      <c r="G62" s="104">
        <f t="shared" si="1"/>
        <v>0.6666666667</v>
      </c>
      <c r="H62" s="105">
        <f t="shared" si="2"/>
        <v>67.45</v>
      </c>
      <c r="I62" s="106">
        <f t="shared" si="3"/>
        <v>101.175</v>
      </c>
      <c r="J62" s="138">
        <v>79.11</v>
      </c>
      <c r="K62" s="103">
        <v>52026.0</v>
      </c>
      <c r="L62" s="103">
        <v>2.0</v>
      </c>
      <c r="M62" s="139">
        <v>119.9</v>
      </c>
      <c r="N62" s="109">
        <f t="shared" si="24"/>
        <v>0.6597998332</v>
      </c>
      <c r="O62" s="110">
        <f t="shared" si="5"/>
        <v>1.515611174</v>
      </c>
      <c r="P62" s="109">
        <f t="shared" si="6"/>
        <v>0.5864343958</v>
      </c>
      <c r="Q62" s="111">
        <f t="shared" si="7"/>
        <v>0.8888065234</v>
      </c>
      <c r="R62" s="140">
        <f t="shared" si="23"/>
        <v>15</v>
      </c>
      <c r="S62" s="113">
        <f t="shared" si="9"/>
        <v>39.555</v>
      </c>
      <c r="T62" s="114"/>
      <c r="U62" s="114"/>
      <c r="V62" s="114"/>
      <c r="W62" s="114"/>
      <c r="X62" s="115"/>
      <c r="Y62" s="98"/>
      <c r="Z62" s="98"/>
    </row>
    <row r="63" hidden="1" outlineLevel="1">
      <c r="A63" s="141"/>
      <c r="B63" s="116"/>
      <c r="C63" s="142" t="s">
        <v>45</v>
      </c>
      <c r="D63" s="101">
        <v>49.9</v>
      </c>
      <c r="E63" s="103">
        <v>2.0</v>
      </c>
      <c r="F63" s="103">
        <v>3.0</v>
      </c>
      <c r="G63" s="104">
        <f t="shared" si="1"/>
        <v>0.6666666667</v>
      </c>
      <c r="H63" s="105">
        <f t="shared" si="2"/>
        <v>24.95</v>
      </c>
      <c r="I63" s="106">
        <f t="shared" si="3"/>
        <v>37.425</v>
      </c>
      <c r="J63" s="101">
        <v>0.0</v>
      </c>
      <c r="K63" s="103">
        <v>0.0</v>
      </c>
      <c r="L63" s="103">
        <v>0.0</v>
      </c>
      <c r="M63" s="108">
        <v>0.0</v>
      </c>
      <c r="N63" s="109" t="str">
        <f t="shared" si="24"/>
        <v>#DIV/0!</v>
      </c>
      <c r="O63" s="110" t="str">
        <f t="shared" si="5"/>
        <v>#DIV/0!</v>
      </c>
      <c r="P63" s="109">
        <f t="shared" si="6"/>
        <v>0</v>
      </c>
      <c r="Q63" s="111">
        <f t="shared" si="7"/>
        <v>0</v>
      </c>
      <c r="R63" s="112">
        <f t="shared" si="23"/>
        <v>49.9</v>
      </c>
      <c r="S63" s="113" t="str">
        <f t="shared" si="9"/>
        <v>#DIV/0!</v>
      </c>
      <c r="T63" s="143"/>
      <c r="U63" s="143"/>
      <c r="V63" s="143"/>
      <c r="W63" s="144"/>
      <c r="X63" s="145"/>
      <c r="Y63" s="98"/>
      <c r="Z63" s="98"/>
    </row>
    <row r="64" hidden="1" outlineLevel="1">
      <c r="A64" s="98"/>
      <c r="B64" s="116"/>
      <c r="C64" s="100" t="s">
        <v>46</v>
      </c>
      <c r="D64" s="146">
        <v>922.7</v>
      </c>
      <c r="E64" s="103">
        <v>21.0</v>
      </c>
      <c r="F64" s="103">
        <v>25.0</v>
      </c>
      <c r="G64" s="104">
        <f t="shared" si="1"/>
        <v>0.84</v>
      </c>
      <c r="H64" s="105">
        <f t="shared" si="2"/>
        <v>43.93809524</v>
      </c>
      <c r="I64" s="106">
        <f t="shared" si="3"/>
        <v>52.30725624</v>
      </c>
      <c r="J64" s="146">
        <v>240.22</v>
      </c>
      <c r="K64" s="103">
        <v>70753.0</v>
      </c>
      <c r="L64" s="103">
        <v>9.0</v>
      </c>
      <c r="M64" s="147">
        <v>306.65</v>
      </c>
      <c r="N64" s="109">
        <f t="shared" si="24"/>
        <v>0.7833686613</v>
      </c>
      <c r="O64" s="110">
        <f t="shared" si="5"/>
        <v>1.276538173</v>
      </c>
      <c r="P64" s="109">
        <f t="shared" si="6"/>
        <v>0.2603446407</v>
      </c>
      <c r="Q64" s="111">
        <f t="shared" si="7"/>
        <v>0.3323398721</v>
      </c>
      <c r="R64" s="112">
        <f t="shared" si="23"/>
        <v>616.05</v>
      </c>
      <c r="S64" s="113">
        <f t="shared" si="9"/>
        <v>26.69111111</v>
      </c>
      <c r="T64" s="114"/>
      <c r="U64" s="114"/>
      <c r="V64" s="114"/>
      <c r="W64" s="114"/>
      <c r="X64" s="115"/>
      <c r="Y64" s="98"/>
      <c r="Z64" s="98"/>
    </row>
    <row r="65" hidden="1" outlineLevel="1">
      <c r="A65" s="98"/>
      <c r="B65" s="116"/>
      <c r="C65" s="100" t="s">
        <v>47</v>
      </c>
      <c r="D65" s="117">
        <v>99.25</v>
      </c>
      <c r="E65" s="103">
        <v>5.0</v>
      </c>
      <c r="F65" s="103">
        <v>3.0</v>
      </c>
      <c r="G65" s="104">
        <f t="shared" si="1"/>
        <v>1.666666667</v>
      </c>
      <c r="H65" s="105">
        <f t="shared" si="2"/>
        <v>19.85</v>
      </c>
      <c r="I65" s="106">
        <f t="shared" si="3"/>
        <v>11.91</v>
      </c>
      <c r="J65" s="117">
        <v>0.0</v>
      </c>
      <c r="K65" s="103">
        <v>0.0</v>
      </c>
      <c r="L65" s="103">
        <v>0.0</v>
      </c>
      <c r="M65" s="118">
        <v>0.0</v>
      </c>
      <c r="N65" s="109" t="str">
        <f t="shared" si="24"/>
        <v>#DIV/0!</v>
      </c>
      <c r="O65" s="110" t="str">
        <f t="shared" si="5"/>
        <v>#DIV/0!</v>
      </c>
      <c r="P65" s="109">
        <f t="shared" si="6"/>
        <v>0</v>
      </c>
      <c r="Q65" s="111">
        <f t="shared" si="7"/>
        <v>0</v>
      </c>
      <c r="R65" s="112">
        <f t="shared" si="23"/>
        <v>99.25</v>
      </c>
      <c r="S65" s="113" t="str">
        <f t="shared" si="9"/>
        <v>#DIV/0!</v>
      </c>
      <c r="T65" s="114"/>
      <c r="U65" s="114"/>
      <c r="V65" s="114"/>
      <c r="W65" s="114"/>
      <c r="X65" s="115"/>
      <c r="Y65" s="98"/>
      <c r="Z65" s="98"/>
    </row>
    <row r="66" hidden="1" outlineLevel="1">
      <c r="A66" s="98"/>
      <c r="B66" s="116"/>
      <c r="C66" s="100" t="s">
        <v>48</v>
      </c>
      <c r="D66" s="132">
        <v>4039.1</v>
      </c>
      <c r="E66" s="103">
        <v>18.0</v>
      </c>
      <c r="F66" s="103">
        <v>18.0</v>
      </c>
      <c r="G66" s="104">
        <f t="shared" si="1"/>
        <v>1</v>
      </c>
      <c r="H66" s="105">
        <f t="shared" si="2"/>
        <v>224.3944444</v>
      </c>
      <c r="I66" s="106">
        <f t="shared" si="3"/>
        <v>224.3944444</v>
      </c>
      <c r="J66" s="132">
        <v>573.49</v>
      </c>
      <c r="K66" s="103">
        <v>48071.0</v>
      </c>
      <c r="L66" s="103">
        <v>8.0</v>
      </c>
      <c r="M66" s="133">
        <v>1459.65</v>
      </c>
      <c r="N66" s="109">
        <f t="shared" si="24"/>
        <v>0.3928955572</v>
      </c>
      <c r="O66" s="110">
        <f t="shared" si="5"/>
        <v>2.545205671</v>
      </c>
      <c r="P66" s="109">
        <f t="shared" si="6"/>
        <v>0.1419846005</v>
      </c>
      <c r="Q66" s="111">
        <f t="shared" si="7"/>
        <v>0.3613800104</v>
      </c>
      <c r="R66" s="112">
        <f t="shared" si="23"/>
        <v>2579.45</v>
      </c>
      <c r="S66" s="113">
        <f t="shared" si="9"/>
        <v>71.68625</v>
      </c>
      <c r="T66" s="114"/>
      <c r="U66" s="114"/>
      <c r="V66" s="114"/>
      <c r="W66" s="114"/>
      <c r="X66" s="115"/>
      <c r="Y66" s="98"/>
      <c r="Z66" s="98"/>
    </row>
    <row r="67" hidden="1" outlineLevel="1">
      <c r="A67" s="98"/>
      <c r="B67" s="116"/>
      <c r="C67" s="100" t="s">
        <v>49</v>
      </c>
      <c r="D67" s="146">
        <v>0.0</v>
      </c>
      <c r="E67" s="103">
        <v>0.0</v>
      </c>
      <c r="F67" s="103">
        <v>0.0</v>
      </c>
      <c r="G67" s="104" t="str">
        <f t="shared" si="1"/>
        <v>#DIV/0!</v>
      </c>
      <c r="H67" s="105" t="str">
        <f t="shared" si="2"/>
        <v>#DIV/0!</v>
      </c>
      <c r="I67" s="106" t="str">
        <f t="shared" si="3"/>
        <v>#DIV/0!</v>
      </c>
      <c r="J67" s="146">
        <v>16.26</v>
      </c>
      <c r="K67" s="103">
        <v>10972.0</v>
      </c>
      <c r="L67" s="103">
        <v>0.0</v>
      </c>
      <c r="M67" s="147">
        <v>0.0</v>
      </c>
      <c r="N67" s="109" t="str">
        <f t="shared" si="24"/>
        <v>#DIV/0!</v>
      </c>
      <c r="O67" s="110">
        <f t="shared" si="5"/>
        <v>0</v>
      </c>
      <c r="P67" s="109" t="str">
        <f t="shared" si="6"/>
        <v>#DIV/0!</v>
      </c>
      <c r="Q67" s="111" t="str">
        <f t="shared" si="7"/>
        <v>#DIV/0!</v>
      </c>
      <c r="R67" s="112">
        <f t="shared" si="23"/>
        <v>0</v>
      </c>
      <c r="S67" s="113" t="str">
        <f t="shared" si="9"/>
        <v>#DIV/0!</v>
      </c>
      <c r="T67" s="114"/>
      <c r="U67" s="114"/>
      <c r="V67" s="114"/>
      <c r="W67" s="114"/>
      <c r="X67" s="115"/>
      <c r="Y67" s="98"/>
      <c r="Z67" s="98"/>
    </row>
    <row r="68" hidden="1" outlineLevel="1">
      <c r="A68" s="148" t="str">
        <f t="shared" ref="A68:A69" si="25">iferror(if(B68&gt;0,month(B68)&amp;"-"&amp;year(B68),B68),)</f>
        <v>1-2026</v>
      </c>
      <c r="B68" s="99">
        <v>46032.0</v>
      </c>
      <c r="C68" s="277" t="s">
        <v>67</v>
      </c>
      <c r="D68" s="146">
        <v>0.0</v>
      </c>
      <c r="E68" s="103">
        <v>0.0</v>
      </c>
      <c r="F68" s="103">
        <v>0.0</v>
      </c>
      <c r="G68" s="104" t="str">
        <f t="shared" si="1"/>
        <v>#DIV/0!</v>
      </c>
      <c r="H68" s="105" t="str">
        <f t="shared" si="2"/>
        <v>#DIV/0!</v>
      </c>
      <c r="I68" s="106" t="str">
        <f t="shared" si="3"/>
        <v>#DIV/0!</v>
      </c>
      <c r="J68" s="117">
        <v>3928.2200000000003</v>
      </c>
      <c r="K68" s="278">
        <v>378860.0</v>
      </c>
      <c r="L68" s="103">
        <v>0.0</v>
      </c>
      <c r="M68" s="118">
        <v>9667.5</v>
      </c>
      <c r="N68" s="109">
        <f t="shared" si="24"/>
        <v>0.4063325575</v>
      </c>
      <c r="O68" s="110">
        <f t="shared" si="5"/>
        <v>2.461038333</v>
      </c>
      <c r="P68" s="109" t="str">
        <f t="shared" si="6"/>
        <v>#DIV/0!</v>
      </c>
      <c r="Q68" s="111" t="str">
        <f t="shared" si="7"/>
        <v>#DIV/0!</v>
      </c>
      <c r="R68" s="112">
        <f t="shared" si="23"/>
        <v>-9667.5</v>
      </c>
      <c r="S68" s="113" t="str">
        <f t="shared" si="9"/>
        <v>#DIV/0!</v>
      </c>
      <c r="T68" s="114"/>
      <c r="U68" s="114"/>
      <c r="V68" s="114"/>
      <c r="W68" s="114"/>
      <c r="X68" s="115"/>
      <c r="Y68" s="98"/>
      <c r="Z68" s="98"/>
    </row>
    <row r="69" collapsed="1">
      <c r="A69" s="98" t="str">
        <f t="shared" si="25"/>
        <v/>
      </c>
      <c r="B69" s="149" t="s">
        <v>52</v>
      </c>
      <c r="C69" s="150"/>
      <c r="D69" s="151">
        <f t="shared" ref="D69:F69" si="26">SUM(D51:D68)</f>
        <v>23548.79</v>
      </c>
      <c r="E69" s="153">
        <f t="shared" si="26"/>
        <v>263</v>
      </c>
      <c r="F69" s="153">
        <f t="shared" si="26"/>
        <v>283</v>
      </c>
      <c r="G69" s="154">
        <f t="shared" si="1"/>
        <v>0.9293286219</v>
      </c>
      <c r="H69" s="155">
        <f t="shared" si="2"/>
        <v>89.53912548</v>
      </c>
      <c r="I69" s="156">
        <f t="shared" si="3"/>
        <v>96.34818445</v>
      </c>
      <c r="J69" s="151">
        <f t="shared" ref="J69:M69" si="27">SUM(J51:J68)</f>
        <v>8096.71</v>
      </c>
      <c r="K69" s="153">
        <f t="shared" si="27"/>
        <v>1577188</v>
      </c>
      <c r="L69" s="153">
        <f t="shared" si="27"/>
        <v>79</v>
      </c>
      <c r="M69" s="157">
        <f t="shared" si="27"/>
        <v>17076.35</v>
      </c>
      <c r="N69" s="158">
        <f t="shared" si="24"/>
        <v>0.4741475784</v>
      </c>
      <c r="O69" s="159">
        <f t="shared" si="5"/>
        <v>2.109047996</v>
      </c>
      <c r="P69" s="158">
        <f t="shared" si="6"/>
        <v>0.3438270077</v>
      </c>
      <c r="Q69" s="160">
        <f t="shared" si="7"/>
        <v>0.7251476615</v>
      </c>
      <c r="R69" s="161">
        <f>SUM(R51:R68)</f>
        <v>6472.44</v>
      </c>
      <c r="S69" s="162">
        <f t="shared" si="9"/>
        <v>102.49</v>
      </c>
      <c r="T69" s="164" t="str">
        <f t="shared" ref="T69:U69" si="28">IFERROR((D69-#REF!)/D69,)</f>
        <v/>
      </c>
      <c r="U69" s="164" t="str">
        <f t="shared" si="28"/>
        <v/>
      </c>
      <c r="V69" s="164" t="str">
        <f t="shared" ref="V69:W69" si="29">IFERROR((D69-#REF!)/D69, )</f>
        <v/>
      </c>
      <c r="W69" s="164" t="str">
        <f t="shared" si="29"/>
        <v/>
      </c>
      <c r="X69" s="98"/>
      <c r="Y69" s="98"/>
      <c r="Z69" s="98"/>
    </row>
    <row r="70" hidden="1" outlineLevel="1">
      <c r="A70" s="98"/>
      <c r="B70" s="99">
        <v>46033.0</v>
      </c>
      <c r="C70" s="100" t="s">
        <v>32</v>
      </c>
      <c r="D70" s="101">
        <v>2300.92</v>
      </c>
      <c r="E70" s="103">
        <v>23.0</v>
      </c>
      <c r="F70" s="103">
        <v>28.0</v>
      </c>
      <c r="G70" s="104">
        <f t="shared" si="1"/>
        <v>0.8214285714</v>
      </c>
      <c r="H70" s="105">
        <f t="shared" si="2"/>
        <v>100.04</v>
      </c>
      <c r="I70" s="106">
        <f t="shared" si="3"/>
        <v>121.7878261</v>
      </c>
      <c r="J70" s="107">
        <v>623.32</v>
      </c>
      <c r="K70" s="103">
        <v>111636.0</v>
      </c>
      <c r="L70" s="103">
        <v>6.0</v>
      </c>
      <c r="M70" s="108">
        <v>204.9</v>
      </c>
      <c r="N70" s="109">
        <f t="shared" si="24"/>
        <v>3.042069302</v>
      </c>
      <c r="O70" s="110">
        <f t="shared" si="5"/>
        <v>0.3287236091</v>
      </c>
      <c r="P70" s="109">
        <f t="shared" si="6"/>
        <v>0.2709003355</v>
      </c>
      <c r="Q70" s="111">
        <f t="shared" si="7"/>
        <v>0.08905133599</v>
      </c>
      <c r="R70" s="112">
        <f t="shared" ref="R70:R87" si="30">D70-M70</f>
        <v>2096.02</v>
      </c>
      <c r="S70" s="113">
        <f t="shared" si="9"/>
        <v>103.8866667</v>
      </c>
      <c r="T70" s="114"/>
      <c r="U70" s="114"/>
      <c r="V70" s="114"/>
      <c r="W70" s="114"/>
      <c r="X70" s="115"/>
      <c r="Y70" s="98"/>
      <c r="Z70" s="98"/>
    </row>
    <row r="71" hidden="1" outlineLevel="1">
      <c r="A71" s="98"/>
      <c r="B71" s="116"/>
      <c r="C71" s="100" t="s">
        <v>33</v>
      </c>
      <c r="D71" s="117">
        <v>4373.42</v>
      </c>
      <c r="E71" s="103">
        <v>63.0</v>
      </c>
      <c r="F71" s="103">
        <v>82.0</v>
      </c>
      <c r="G71" s="104">
        <f t="shared" si="1"/>
        <v>0.7682926829</v>
      </c>
      <c r="H71" s="105">
        <f t="shared" si="2"/>
        <v>69.41936508</v>
      </c>
      <c r="I71" s="106">
        <f t="shared" si="3"/>
        <v>90.35536407</v>
      </c>
      <c r="J71" s="117">
        <v>822.42</v>
      </c>
      <c r="K71" s="103">
        <v>169878.0</v>
      </c>
      <c r="L71" s="103">
        <v>29.0</v>
      </c>
      <c r="M71" s="118">
        <v>2624.25</v>
      </c>
      <c r="N71" s="109">
        <f t="shared" si="24"/>
        <v>0.3133923978</v>
      </c>
      <c r="O71" s="110">
        <f t="shared" si="5"/>
        <v>3.190887868</v>
      </c>
      <c r="P71" s="109">
        <f t="shared" si="6"/>
        <v>0.1880496271</v>
      </c>
      <c r="Q71" s="111">
        <f t="shared" si="7"/>
        <v>0.6000452735</v>
      </c>
      <c r="R71" s="119">
        <f t="shared" si="30"/>
        <v>1749.17</v>
      </c>
      <c r="S71" s="113">
        <f t="shared" si="9"/>
        <v>28.35931034</v>
      </c>
      <c r="T71" s="114"/>
      <c r="U71" s="114"/>
      <c r="V71" s="114"/>
      <c r="W71" s="114"/>
      <c r="X71" s="115"/>
      <c r="Y71" s="98"/>
      <c r="Z71" s="98"/>
    </row>
    <row r="72" hidden="1" outlineLevel="1">
      <c r="A72" s="98"/>
      <c r="B72" s="116"/>
      <c r="C72" s="100" t="s">
        <v>34</v>
      </c>
      <c r="D72" s="120">
        <v>419.7</v>
      </c>
      <c r="E72" s="103">
        <v>6.0</v>
      </c>
      <c r="F72" s="103">
        <v>3.0</v>
      </c>
      <c r="G72" s="104">
        <f t="shared" si="1"/>
        <v>2</v>
      </c>
      <c r="H72" s="105">
        <f t="shared" si="2"/>
        <v>69.95</v>
      </c>
      <c r="I72" s="106">
        <f t="shared" si="3"/>
        <v>34.975</v>
      </c>
      <c r="J72" s="120">
        <v>7.22</v>
      </c>
      <c r="K72" s="103">
        <v>318.0</v>
      </c>
      <c r="L72" s="103">
        <v>0.0</v>
      </c>
      <c r="M72" s="121">
        <v>0.0</v>
      </c>
      <c r="N72" s="109" t="str">
        <f>(J72/M72)</f>
        <v>#DIV/0!</v>
      </c>
      <c r="O72" s="110">
        <f t="shared" si="5"/>
        <v>0</v>
      </c>
      <c r="P72" s="109">
        <f t="shared" si="6"/>
        <v>0.01720276388</v>
      </c>
      <c r="Q72" s="111">
        <f t="shared" si="7"/>
        <v>0</v>
      </c>
      <c r="R72" s="122">
        <f t="shared" si="30"/>
        <v>419.7</v>
      </c>
      <c r="S72" s="113" t="str">
        <f t="shared" si="9"/>
        <v>#DIV/0!</v>
      </c>
      <c r="T72" s="114"/>
      <c r="U72" s="114"/>
      <c r="V72" s="114"/>
      <c r="W72" s="114"/>
      <c r="X72" s="115"/>
      <c r="Y72" s="98"/>
      <c r="Z72" s="98"/>
    </row>
    <row r="73" hidden="1" outlineLevel="1">
      <c r="A73" s="98"/>
      <c r="B73" s="116"/>
      <c r="C73" s="100" t="s">
        <v>35</v>
      </c>
      <c r="D73" s="120">
        <v>188.85</v>
      </c>
      <c r="E73" s="103">
        <v>3.0</v>
      </c>
      <c r="F73" s="103">
        <v>3.0</v>
      </c>
      <c r="G73" s="104">
        <f t="shared" si="1"/>
        <v>1</v>
      </c>
      <c r="H73" s="105">
        <f t="shared" si="2"/>
        <v>62.95</v>
      </c>
      <c r="I73" s="106">
        <f t="shared" si="3"/>
        <v>62.95</v>
      </c>
      <c r="J73" s="120">
        <v>313.22</v>
      </c>
      <c r="K73" s="103">
        <v>27042.0</v>
      </c>
      <c r="L73" s="103">
        <v>7.0</v>
      </c>
      <c r="M73" s="121">
        <v>419.65</v>
      </c>
      <c r="N73" s="109">
        <f t="shared" ref="N73:N90" si="31">J73/M73</f>
        <v>0.7463838913</v>
      </c>
      <c r="O73" s="110">
        <f t="shared" si="5"/>
        <v>1.339793117</v>
      </c>
      <c r="P73" s="109">
        <f t="shared" si="6"/>
        <v>1.658564999</v>
      </c>
      <c r="Q73" s="111">
        <f t="shared" si="7"/>
        <v>2.222133969</v>
      </c>
      <c r="R73" s="122">
        <f t="shared" si="30"/>
        <v>-230.8</v>
      </c>
      <c r="S73" s="113">
        <f t="shared" si="9"/>
        <v>44.74571429</v>
      </c>
      <c r="T73" s="114"/>
      <c r="U73" s="114"/>
      <c r="V73" s="114"/>
      <c r="W73" s="114"/>
      <c r="X73" s="115"/>
      <c r="Y73" s="98"/>
      <c r="Z73" s="98"/>
    </row>
    <row r="74" hidden="1" outlineLevel="1">
      <c r="A74" s="98"/>
      <c r="B74" s="116"/>
      <c r="C74" s="100" t="s">
        <v>36</v>
      </c>
      <c r="D74" s="120">
        <v>1139.1</v>
      </c>
      <c r="E74" s="103">
        <v>18.0</v>
      </c>
      <c r="F74" s="103">
        <v>17.0</v>
      </c>
      <c r="G74" s="104">
        <f t="shared" si="1"/>
        <v>1.058823529</v>
      </c>
      <c r="H74" s="105">
        <f t="shared" si="2"/>
        <v>63.28333333</v>
      </c>
      <c r="I74" s="106">
        <f t="shared" si="3"/>
        <v>59.76759259</v>
      </c>
      <c r="J74" s="120">
        <v>73.93</v>
      </c>
      <c r="K74" s="103">
        <v>23474.0</v>
      </c>
      <c r="L74" s="103">
        <v>6.0</v>
      </c>
      <c r="M74" s="121">
        <v>389.7</v>
      </c>
      <c r="N74" s="109">
        <f t="shared" si="31"/>
        <v>0.1897100334</v>
      </c>
      <c r="O74" s="110">
        <f t="shared" si="5"/>
        <v>5.271202489</v>
      </c>
      <c r="P74" s="109">
        <f t="shared" si="6"/>
        <v>0.06490211571</v>
      </c>
      <c r="Q74" s="111">
        <f t="shared" si="7"/>
        <v>0.3421121938</v>
      </c>
      <c r="R74" s="122">
        <f t="shared" si="30"/>
        <v>749.4</v>
      </c>
      <c r="S74" s="113">
        <f t="shared" si="9"/>
        <v>12.32166667</v>
      </c>
      <c r="T74" s="114"/>
      <c r="U74" s="114"/>
      <c r="V74" s="114"/>
      <c r="W74" s="114"/>
      <c r="X74" s="115"/>
      <c r="Y74" s="98"/>
      <c r="Z74" s="98"/>
    </row>
    <row r="75" hidden="1" outlineLevel="1">
      <c r="A75" s="98"/>
      <c r="B75" s="99" t="s">
        <v>37</v>
      </c>
      <c r="C75" s="100" t="s">
        <v>38</v>
      </c>
      <c r="D75" s="123">
        <v>0.0</v>
      </c>
      <c r="E75" s="103">
        <v>0.0</v>
      </c>
      <c r="F75" s="103">
        <v>0.0</v>
      </c>
      <c r="G75" s="104" t="str">
        <f t="shared" si="1"/>
        <v>#DIV/0!</v>
      </c>
      <c r="H75" s="105" t="str">
        <f t="shared" si="2"/>
        <v>#DIV/0!</v>
      </c>
      <c r="I75" s="106" t="str">
        <f t="shared" si="3"/>
        <v>#DIV/0!</v>
      </c>
      <c r="J75" s="123">
        <v>24.92</v>
      </c>
      <c r="K75" s="103">
        <v>189436.0</v>
      </c>
      <c r="L75" s="103">
        <v>0.0</v>
      </c>
      <c r="M75" s="124">
        <v>0.0</v>
      </c>
      <c r="N75" s="109" t="str">
        <f t="shared" si="31"/>
        <v>#DIV/0!</v>
      </c>
      <c r="O75" s="110">
        <f t="shared" si="5"/>
        <v>0</v>
      </c>
      <c r="P75" s="109" t="str">
        <f t="shared" si="6"/>
        <v>#DIV/0!</v>
      </c>
      <c r="Q75" s="111" t="str">
        <f t="shared" si="7"/>
        <v>#DIV/0!</v>
      </c>
      <c r="R75" s="125">
        <f t="shared" si="30"/>
        <v>0</v>
      </c>
      <c r="S75" s="113" t="str">
        <f t="shared" si="9"/>
        <v>#DIV/0!</v>
      </c>
      <c r="T75" s="114"/>
      <c r="U75" s="114"/>
      <c r="V75" s="114"/>
      <c r="W75" s="114"/>
      <c r="X75" s="115"/>
      <c r="Y75" s="98"/>
      <c r="Z75" s="98"/>
    </row>
    <row r="76" hidden="1" outlineLevel="1">
      <c r="A76" s="98"/>
      <c r="B76" s="116"/>
      <c r="C76" s="100" t="s">
        <v>39</v>
      </c>
      <c r="D76" s="126">
        <v>0.0</v>
      </c>
      <c r="E76" s="103">
        <v>0.0</v>
      </c>
      <c r="F76" s="103">
        <v>0.0</v>
      </c>
      <c r="G76" s="104" t="str">
        <f t="shared" si="1"/>
        <v>#DIV/0!</v>
      </c>
      <c r="H76" s="105" t="str">
        <f t="shared" si="2"/>
        <v>#DIV/0!</v>
      </c>
      <c r="I76" s="106" t="str">
        <f t="shared" si="3"/>
        <v>#DIV/0!</v>
      </c>
      <c r="J76" s="126">
        <v>0.0</v>
      </c>
      <c r="K76" s="103">
        <v>0.0</v>
      </c>
      <c r="L76" s="103">
        <v>0.0</v>
      </c>
      <c r="M76" s="127">
        <v>0.0</v>
      </c>
      <c r="N76" s="109" t="str">
        <f t="shared" si="31"/>
        <v>#DIV/0!</v>
      </c>
      <c r="O76" s="110" t="str">
        <f t="shared" si="5"/>
        <v>#DIV/0!</v>
      </c>
      <c r="P76" s="109" t="str">
        <f t="shared" si="6"/>
        <v>#DIV/0!</v>
      </c>
      <c r="Q76" s="111" t="str">
        <f t="shared" si="7"/>
        <v>#DIV/0!</v>
      </c>
      <c r="R76" s="128">
        <f t="shared" si="30"/>
        <v>0</v>
      </c>
      <c r="S76" s="113" t="str">
        <f t="shared" si="9"/>
        <v>#DIV/0!</v>
      </c>
      <c r="T76" s="114"/>
      <c r="U76" s="114"/>
      <c r="V76" s="114"/>
      <c r="W76" s="114"/>
      <c r="X76" s="115"/>
      <c r="Y76" s="98"/>
      <c r="Z76" s="98"/>
    </row>
    <row r="77" hidden="1" outlineLevel="1">
      <c r="A77" s="98"/>
      <c r="B77" s="116"/>
      <c r="C77" s="100" t="s">
        <v>40</v>
      </c>
      <c r="D77" s="129">
        <v>0.0</v>
      </c>
      <c r="E77" s="103">
        <v>0.0</v>
      </c>
      <c r="F77" s="103">
        <v>0.0</v>
      </c>
      <c r="G77" s="104" t="str">
        <f t="shared" si="1"/>
        <v>#DIV/0!</v>
      </c>
      <c r="H77" s="105" t="str">
        <f t="shared" si="2"/>
        <v>#DIV/0!</v>
      </c>
      <c r="I77" s="106" t="str">
        <f t="shared" si="3"/>
        <v>#DIV/0!</v>
      </c>
      <c r="J77" s="129">
        <v>0.0</v>
      </c>
      <c r="K77" s="103">
        <v>0.0</v>
      </c>
      <c r="L77" s="103">
        <v>0.0</v>
      </c>
      <c r="M77" s="130">
        <v>0.0</v>
      </c>
      <c r="N77" s="109" t="str">
        <f t="shared" si="31"/>
        <v>#DIV/0!</v>
      </c>
      <c r="O77" s="110" t="str">
        <f t="shared" si="5"/>
        <v>#DIV/0!</v>
      </c>
      <c r="P77" s="109" t="str">
        <f t="shared" si="6"/>
        <v>#DIV/0!</v>
      </c>
      <c r="Q77" s="111" t="str">
        <f t="shared" si="7"/>
        <v>#DIV/0!</v>
      </c>
      <c r="R77" s="131">
        <f t="shared" si="30"/>
        <v>0</v>
      </c>
      <c r="S77" s="113" t="str">
        <f t="shared" si="9"/>
        <v>#DIV/0!</v>
      </c>
      <c r="T77" s="114"/>
      <c r="U77" s="114"/>
      <c r="V77" s="114"/>
      <c r="W77" s="114"/>
      <c r="X77" s="115"/>
      <c r="Y77" s="98"/>
      <c r="Z77" s="98"/>
    </row>
    <row r="78" hidden="1" outlineLevel="1">
      <c r="A78" s="98"/>
      <c r="B78" s="116"/>
      <c r="C78" s="100" t="s">
        <v>41</v>
      </c>
      <c r="D78" s="132">
        <v>2585.66</v>
      </c>
      <c r="E78" s="103">
        <v>38.0</v>
      </c>
      <c r="F78" s="103">
        <v>37.0</v>
      </c>
      <c r="G78" s="104">
        <f t="shared" si="1"/>
        <v>1.027027027</v>
      </c>
      <c r="H78" s="105">
        <f t="shared" si="2"/>
        <v>68.04368421</v>
      </c>
      <c r="I78" s="106">
        <f t="shared" si="3"/>
        <v>66.25306094</v>
      </c>
      <c r="J78" s="132">
        <v>439.15</v>
      </c>
      <c r="K78" s="103">
        <v>48219.0</v>
      </c>
      <c r="L78" s="103">
        <v>11.0</v>
      </c>
      <c r="M78" s="133">
        <v>718.93</v>
      </c>
      <c r="N78" s="109">
        <f t="shared" si="31"/>
        <v>0.6108383292</v>
      </c>
      <c r="O78" s="110">
        <f t="shared" si="5"/>
        <v>1.637094387</v>
      </c>
      <c r="P78" s="109">
        <f t="shared" si="6"/>
        <v>0.1698405823</v>
      </c>
      <c r="Q78" s="111">
        <f t="shared" si="7"/>
        <v>0.2780450639</v>
      </c>
      <c r="R78" s="134">
        <f t="shared" si="30"/>
        <v>1866.73</v>
      </c>
      <c r="S78" s="113">
        <f t="shared" si="9"/>
        <v>39.92272727</v>
      </c>
      <c r="T78" s="114"/>
      <c r="U78" s="114"/>
      <c r="V78" s="114"/>
      <c r="W78" s="114"/>
      <c r="X78" s="115"/>
      <c r="Y78" s="98"/>
      <c r="Z78" s="98"/>
    </row>
    <row r="79" hidden="1" outlineLevel="1">
      <c r="A79" s="98"/>
      <c r="B79" s="116"/>
      <c r="C79" s="100" t="s">
        <v>42</v>
      </c>
      <c r="D79" s="120">
        <v>39.98</v>
      </c>
      <c r="E79" s="103">
        <v>2.0</v>
      </c>
      <c r="F79" s="103">
        <v>3.0</v>
      </c>
      <c r="G79" s="104">
        <f t="shared" si="1"/>
        <v>0.6666666667</v>
      </c>
      <c r="H79" s="105">
        <f t="shared" si="2"/>
        <v>19.99</v>
      </c>
      <c r="I79" s="106">
        <f t="shared" si="3"/>
        <v>29.985</v>
      </c>
      <c r="J79" s="120">
        <v>315.74</v>
      </c>
      <c r="K79" s="103">
        <v>83987.0</v>
      </c>
      <c r="L79" s="103">
        <v>1.0</v>
      </c>
      <c r="M79" s="121">
        <v>19.99</v>
      </c>
      <c r="N79" s="109">
        <f t="shared" si="31"/>
        <v>15.79489745</v>
      </c>
      <c r="O79" s="110">
        <f t="shared" si="5"/>
        <v>0.06331158548</v>
      </c>
      <c r="P79" s="109">
        <f t="shared" si="6"/>
        <v>7.897448724</v>
      </c>
      <c r="Q79" s="111">
        <f t="shared" si="7"/>
        <v>0.5</v>
      </c>
      <c r="R79" s="122">
        <f t="shared" si="30"/>
        <v>19.99</v>
      </c>
      <c r="S79" s="113">
        <f t="shared" si="9"/>
        <v>315.74</v>
      </c>
      <c r="T79" s="114"/>
      <c r="U79" s="114"/>
      <c r="V79" s="114"/>
      <c r="W79" s="114"/>
      <c r="X79" s="115"/>
      <c r="Y79" s="98"/>
      <c r="Z79" s="98"/>
    </row>
    <row r="80" hidden="1" outlineLevel="1">
      <c r="A80" s="98"/>
      <c r="B80" s="116"/>
      <c r="C80" s="100" t="s">
        <v>43</v>
      </c>
      <c r="D80" s="135">
        <v>599.8</v>
      </c>
      <c r="E80" s="103">
        <v>5.0</v>
      </c>
      <c r="F80" s="103">
        <v>6.0</v>
      </c>
      <c r="G80" s="104">
        <f t="shared" si="1"/>
        <v>0.8333333333</v>
      </c>
      <c r="H80" s="105">
        <f t="shared" si="2"/>
        <v>119.96</v>
      </c>
      <c r="I80" s="106">
        <f t="shared" si="3"/>
        <v>143.952</v>
      </c>
      <c r="J80" s="135">
        <v>78.62</v>
      </c>
      <c r="K80" s="103">
        <v>6710.0</v>
      </c>
      <c r="L80" s="103">
        <v>1.0</v>
      </c>
      <c r="M80" s="136">
        <v>0.0</v>
      </c>
      <c r="N80" s="109" t="str">
        <f t="shared" si="31"/>
        <v>#DIV/0!</v>
      </c>
      <c r="O80" s="110">
        <f t="shared" si="5"/>
        <v>0</v>
      </c>
      <c r="P80" s="109">
        <f t="shared" si="6"/>
        <v>0.1310770257</v>
      </c>
      <c r="Q80" s="111">
        <f t="shared" si="7"/>
        <v>0</v>
      </c>
      <c r="R80" s="137">
        <f t="shared" si="30"/>
        <v>599.8</v>
      </c>
      <c r="S80" s="113">
        <f t="shared" si="9"/>
        <v>78.62</v>
      </c>
      <c r="T80" s="114"/>
      <c r="U80" s="114"/>
      <c r="V80" s="114"/>
      <c r="W80" s="114"/>
      <c r="X80" s="115"/>
      <c r="Y80" s="98"/>
      <c r="Z80" s="98"/>
    </row>
    <row r="81" hidden="1" outlineLevel="1">
      <c r="A81" s="98"/>
      <c r="B81" s="116"/>
      <c r="C81" s="100" t="s">
        <v>44</v>
      </c>
      <c r="D81" s="138">
        <v>183.85</v>
      </c>
      <c r="E81" s="103">
        <v>3.0</v>
      </c>
      <c r="F81" s="103">
        <v>5.0</v>
      </c>
      <c r="G81" s="104">
        <f t="shared" si="1"/>
        <v>0.6</v>
      </c>
      <c r="H81" s="105">
        <f t="shared" si="2"/>
        <v>61.28333333</v>
      </c>
      <c r="I81" s="106">
        <f t="shared" si="3"/>
        <v>102.1388889</v>
      </c>
      <c r="J81" s="138">
        <v>97.43</v>
      </c>
      <c r="K81" s="103">
        <v>54420.0</v>
      </c>
      <c r="L81" s="103">
        <v>4.0</v>
      </c>
      <c r="M81" s="139">
        <v>239.8</v>
      </c>
      <c r="N81" s="109">
        <f t="shared" si="31"/>
        <v>0.4062969141</v>
      </c>
      <c r="O81" s="110">
        <f t="shared" si="5"/>
        <v>2.461254234</v>
      </c>
      <c r="P81" s="109">
        <f t="shared" si="6"/>
        <v>0.5299428882</v>
      </c>
      <c r="Q81" s="111">
        <f t="shared" si="7"/>
        <v>1.304324177</v>
      </c>
      <c r="R81" s="140">
        <f t="shared" si="30"/>
        <v>-55.95</v>
      </c>
      <c r="S81" s="113">
        <f t="shared" si="9"/>
        <v>24.3575</v>
      </c>
      <c r="T81" s="114"/>
      <c r="U81" s="114"/>
      <c r="V81" s="114"/>
      <c r="W81" s="114"/>
      <c r="X81" s="115"/>
      <c r="Y81" s="98"/>
      <c r="Z81" s="98"/>
    </row>
    <row r="82" hidden="1" outlineLevel="1">
      <c r="A82" s="141"/>
      <c r="B82" s="116"/>
      <c r="C82" s="142" t="s">
        <v>45</v>
      </c>
      <c r="D82" s="101">
        <v>29.95</v>
      </c>
      <c r="E82" s="103">
        <v>1.0</v>
      </c>
      <c r="F82" s="103">
        <v>1.0</v>
      </c>
      <c r="G82" s="104">
        <f t="shared" si="1"/>
        <v>1</v>
      </c>
      <c r="H82" s="105">
        <f t="shared" si="2"/>
        <v>29.95</v>
      </c>
      <c r="I82" s="106">
        <f t="shared" si="3"/>
        <v>29.95</v>
      </c>
      <c r="J82" s="101">
        <v>0.0</v>
      </c>
      <c r="K82" s="103">
        <v>0.0</v>
      </c>
      <c r="L82" s="103">
        <v>0.0</v>
      </c>
      <c r="M82" s="108">
        <v>0.0</v>
      </c>
      <c r="N82" s="109" t="str">
        <f t="shared" si="31"/>
        <v>#DIV/0!</v>
      </c>
      <c r="O82" s="110" t="str">
        <f t="shared" si="5"/>
        <v>#DIV/0!</v>
      </c>
      <c r="P82" s="109">
        <f t="shared" si="6"/>
        <v>0</v>
      </c>
      <c r="Q82" s="111">
        <f t="shared" si="7"/>
        <v>0</v>
      </c>
      <c r="R82" s="112">
        <f t="shared" si="30"/>
        <v>29.95</v>
      </c>
      <c r="S82" s="113" t="str">
        <f t="shared" si="9"/>
        <v>#DIV/0!</v>
      </c>
      <c r="T82" s="143"/>
      <c r="U82" s="143"/>
      <c r="V82" s="143"/>
      <c r="W82" s="144"/>
      <c r="X82" s="145"/>
      <c r="Y82" s="98"/>
      <c r="Z82" s="98"/>
    </row>
    <row r="83" hidden="1" outlineLevel="1">
      <c r="A83" s="98"/>
      <c r="B83" s="116"/>
      <c r="C83" s="100" t="s">
        <v>46</v>
      </c>
      <c r="D83" s="146">
        <v>873.0</v>
      </c>
      <c r="E83" s="103">
        <v>20.0</v>
      </c>
      <c r="F83" s="103">
        <v>23.0</v>
      </c>
      <c r="G83" s="104">
        <f t="shared" si="1"/>
        <v>0.8695652174</v>
      </c>
      <c r="H83" s="105">
        <f t="shared" si="2"/>
        <v>43.65</v>
      </c>
      <c r="I83" s="106">
        <f t="shared" si="3"/>
        <v>50.1975</v>
      </c>
      <c r="J83" s="146">
        <v>223.97</v>
      </c>
      <c r="K83" s="103">
        <v>52080.0</v>
      </c>
      <c r="L83" s="103">
        <v>7.0</v>
      </c>
      <c r="M83" s="147">
        <v>216.75</v>
      </c>
      <c r="N83" s="109">
        <f t="shared" si="31"/>
        <v>1.033310265</v>
      </c>
      <c r="O83" s="110">
        <f t="shared" si="5"/>
        <v>0.9677635398</v>
      </c>
      <c r="P83" s="109">
        <f t="shared" si="6"/>
        <v>0.2565521191</v>
      </c>
      <c r="Q83" s="111">
        <f t="shared" si="7"/>
        <v>0.2482817869</v>
      </c>
      <c r="R83" s="112">
        <f t="shared" si="30"/>
        <v>656.25</v>
      </c>
      <c r="S83" s="113">
        <f t="shared" si="9"/>
        <v>31.99571429</v>
      </c>
      <c r="T83" s="114"/>
      <c r="U83" s="114"/>
      <c r="V83" s="114"/>
      <c r="W83" s="114"/>
      <c r="X83" s="115"/>
      <c r="Y83" s="98"/>
      <c r="Z83" s="98"/>
    </row>
    <row r="84" hidden="1" outlineLevel="1">
      <c r="A84" s="98"/>
      <c r="B84" s="116"/>
      <c r="C84" s="100" t="s">
        <v>47</v>
      </c>
      <c r="D84" s="117">
        <v>0.0</v>
      </c>
      <c r="E84" s="103">
        <v>0.0</v>
      </c>
      <c r="F84" s="103">
        <v>0.0</v>
      </c>
      <c r="G84" s="104" t="str">
        <f t="shared" si="1"/>
        <v>#DIV/0!</v>
      </c>
      <c r="H84" s="105" t="str">
        <f t="shared" si="2"/>
        <v>#DIV/0!</v>
      </c>
      <c r="I84" s="106" t="str">
        <f t="shared" si="3"/>
        <v>#DIV/0!</v>
      </c>
      <c r="J84" s="117">
        <v>0.0</v>
      </c>
      <c r="K84" s="103">
        <v>0.0</v>
      </c>
      <c r="L84" s="103">
        <v>0.0</v>
      </c>
      <c r="M84" s="118">
        <v>0.0</v>
      </c>
      <c r="N84" s="109" t="str">
        <f t="shared" si="31"/>
        <v>#DIV/0!</v>
      </c>
      <c r="O84" s="110" t="str">
        <f t="shared" si="5"/>
        <v>#DIV/0!</v>
      </c>
      <c r="P84" s="109" t="str">
        <f t="shared" si="6"/>
        <v>#DIV/0!</v>
      </c>
      <c r="Q84" s="111" t="str">
        <f t="shared" si="7"/>
        <v>#DIV/0!</v>
      </c>
      <c r="R84" s="112">
        <f t="shared" si="30"/>
        <v>0</v>
      </c>
      <c r="S84" s="113" t="str">
        <f t="shared" si="9"/>
        <v>#DIV/0!</v>
      </c>
      <c r="T84" s="114"/>
      <c r="U84" s="114"/>
      <c r="V84" s="114"/>
      <c r="W84" s="114"/>
      <c r="X84" s="115"/>
      <c r="Y84" s="98"/>
      <c r="Z84" s="98"/>
    </row>
    <row r="85" hidden="1" outlineLevel="1">
      <c r="A85" s="98"/>
      <c r="B85" s="116"/>
      <c r="C85" s="100" t="s">
        <v>48</v>
      </c>
      <c r="D85" s="132">
        <v>3625.99</v>
      </c>
      <c r="E85" s="103">
        <v>16.0</v>
      </c>
      <c r="F85" s="103">
        <v>19.0</v>
      </c>
      <c r="G85" s="104">
        <f t="shared" si="1"/>
        <v>0.8421052632</v>
      </c>
      <c r="H85" s="105">
        <f t="shared" si="2"/>
        <v>226.624375</v>
      </c>
      <c r="I85" s="106">
        <f t="shared" si="3"/>
        <v>269.1164453</v>
      </c>
      <c r="J85" s="132">
        <v>562.12</v>
      </c>
      <c r="K85" s="103">
        <v>46453.0</v>
      </c>
      <c r="L85" s="103">
        <v>9.0</v>
      </c>
      <c r="M85" s="133">
        <v>1839.6</v>
      </c>
      <c r="N85" s="109">
        <f t="shared" si="31"/>
        <v>0.3055664275</v>
      </c>
      <c r="O85" s="110">
        <f t="shared" si="5"/>
        <v>3.27261083</v>
      </c>
      <c r="P85" s="109">
        <f t="shared" si="6"/>
        <v>0.1550252483</v>
      </c>
      <c r="Q85" s="111">
        <f t="shared" si="7"/>
        <v>0.5073373065</v>
      </c>
      <c r="R85" s="112">
        <f t="shared" si="30"/>
        <v>1786.39</v>
      </c>
      <c r="S85" s="113">
        <f t="shared" si="9"/>
        <v>62.45777778</v>
      </c>
      <c r="T85" s="114"/>
      <c r="U85" s="114"/>
      <c r="V85" s="114"/>
      <c r="W85" s="114"/>
      <c r="X85" s="115"/>
      <c r="Y85" s="98"/>
      <c r="Z85" s="98"/>
    </row>
    <row r="86" hidden="1" outlineLevel="1">
      <c r="A86" s="98"/>
      <c r="B86" s="116"/>
      <c r="C86" s="100" t="s">
        <v>49</v>
      </c>
      <c r="D86" s="146">
        <v>156.0</v>
      </c>
      <c r="E86" s="103">
        <v>3.0</v>
      </c>
      <c r="F86" s="103">
        <v>3.0</v>
      </c>
      <c r="G86" s="104">
        <f t="shared" si="1"/>
        <v>1</v>
      </c>
      <c r="H86" s="105">
        <f t="shared" si="2"/>
        <v>52</v>
      </c>
      <c r="I86" s="106">
        <f t="shared" si="3"/>
        <v>52</v>
      </c>
      <c r="J86" s="146">
        <v>9.36</v>
      </c>
      <c r="K86" s="103">
        <v>9962.0</v>
      </c>
      <c r="L86" s="103">
        <v>2.0</v>
      </c>
      <c r="M86" s="147">
        <v>0.0</v>
      </c>
      <c r="N86" s="109" t="str">
        <f t="shared" si="31"/>
        <v>#DIV/0!</v>
      </c>
      <c r="O86" s="110">
        <f t="shared" si="5"/>
        <v>0</v>
      </c>
      <c r="P86" s="109">
        <f t="shared" si="6"/>
        <v>0.06</v>
      </c>
      <c r="Q86" s="111">
        <f t="shared" si="7"/>
        <v>0</v>
      </c>
      <c r="R86" s="112">
        <f t="shared" si="30"/>
        <v>156</v>
      </c>
      <c r="S86" s="113">
        <f t="shared" si="9"/>
        <v>4.68</v>
      </c>
      <c r="T86" s="114"/>
      <c r="U86" s="114"/>
      <c r="V86" s="114"/>
      <c r="W86" s="114"/>
      <c r="X86" s="115"/>
      <c r="Y86" s="98"/>
      <c r="Z86" s="98"/>
    </row>
    <row r="87" hidden="1" outlineLevel="1">
      <c r="A87" s="148" t="str">
        <f t="shared" ref="A87:A88" si="32">iferror(if(B87&gt;0,month(B87)&amp;"-"&amp;year(B87),B87),)</f>
        <v>1-2026</v>
      </c>
      <c r="B87" s="99">
        <v>46039.0</v>
      </c>
      <c r="C87" s="277" t="s">
        <v>67</v>
      </c>
      <c r="D87" s="146">
        <v>0.0</v>
      </c>
      <c r="E87" s="103">
        <v>0.0</v>
      </c>
      <c r="F87" s="103">
        <v>0.0</v>
      </c>
      <c r="G87" s="104" t="str">
        <f t="shared" si="1"/>
        <v>#DIV/0!</v>
      </c>
      <c r="H87" s="105" t="str">
        <f t="shared" si="2"/>
        <v>#DIV/0!</v>
      </c>
      <c r="I87" s="106" t="str">
        <f t="shared" si="3"/>
        <v>#DIV/0!</v>
      </c>
      <c r="J87" s="117">
        <v>3804.7200000000003</v>
      </c>
      <c r="K87" s="278">
        <v>381864.0</v>
      </c>
      <c r="L87" s="103">
        <v>0.0</v>
      </c>
      <c r="M87" s="118">
        <v>6712.07</v>
      </c>
      <c r="N87" s="109">
        <f t="shared" si="31"/>
        <v>0.5668474852</v>
      </c>
      <c r="O87" s="110">
        <f t="shared" si="5"/>
        <v>1.764142959</v>
      </c>
      <c r="P87" s="109" t="str">
        <f t="shared" si="6"/>
        <v>#DIV/0!</v>
      </c>
      <c r="Q87" s="111" t="str">
        <f t="shared" si="7"/>
        <v>#DIV/0!</v>
      </c>
      <c r="R87" s="112">
        <f t="shared" si="30"/>
        <v>-6712.07</v>
      </c>
      <c r="S87" s="113" t="str">
        <f t="shared" si="9"/>
        <v>#DIV/0!</v>
      </c>
      <c r="T87" s="114"/>
      <c r="U87" s="114"/>
      <c r="V87" s="114"/>
      <c r="W87" s="114"/>
      <c r="X87" s="115"/>
      <c r="Y87" s="98"/>
      <c r="Z87" s="98"/>
    </row>
    <row r="88" collapsed="1">
      <c r="A88" s="98" t="str">
        <f t="shared" si="32"/>
        <v/>
      </c>
      <c r="B88" s="149" t="s">
        <v>53</v>
      </c>
      <c r="C88" s="150"/>
      <c r="D88" s="151">
        <f t="shared" ref="D88:F88" si="33">SUM(D70:D87)</f>
        <v>16516.22</v>
      </c>
      <c r="E88" s="153">
        <f t="shared" si="33"/>
        <v>201</v>
      </c>
      <c r="F88" s="153">
        <f t="shared" si="33"/>
        <v>230</v>
      </c>
      <c r="G88" s="154">
        <f t="shared" si="1"/>
        <v>0.8739130435</v>
      </c>
      <c r="H88" s="155">
        <f t="shared" si="2"/>
        <v>82.17024876</v>
      </c>
      <c r="I88" s="156">
        <f t="shared" si="3"/>
        <v>94.02565778</v>
      </c>
      <c r="J88" s="151">
        <f t="shared" ref="J88:M88" si="34">SUM(J70:J87)</f>
        <v>7396.14</v>
      </c>
      <c r="K88" s="153">
        <f t="shared" si="34"/>
        <v>1205479</v>
      </c>
      <c r="L88" s="153">
        <f t="shared" si="34"/>
        <v>83</v>
      </c>
      <c r="M88" s="157">
        <f t="shared" si="34"/>
        <v>13385.64</v>
      </c>
      <c r="N88" s="158">
        <f t="shared" si="31"/>
        <v>0.5525428743</v>
      </c>
      <c r="O88" s="159">
        <f t="shared" si="5"/>
        <v>1.809814309</v>
      </c>
      <c r="P88" s="158">
        <f t="shared" si="6"/>
        <v>0.4478106976</v>
      </c>
      <c r="Q88" s="160">
        <f t="shared" si="7"/>
        <v>0.810454208</v>
      </c>
      <c r="R88" s="161">
        <f>SUM(R70:R87)</f>
        <v>3130.58</v>
      </c>
      <c r="S88" s="162">
        <f t="shared" si="9"/>
        <v>89.11012048</v>
      </c>
      <c r="T88" s="164" t="str">
        <f t="shared" ref="T88:U88" si="35">IFERROR((D88-#REF!)/D88,)</f>
        <v/>
      </c>
      <c r="U88" s="164" t="str">
        <f t="shared" si="35"/>
        <v/>
      </c>
      <c r="V88" s="164" t="str">
        <f t="shared" ref="V88:W88" si="36">IFERROR((D88-#REF!)/D88, )</f>
        <v/>
      </c>
      <c r="W88" s="164" t="str">
        <f t="shared" si="36"/>
        <v/>
      </c>
      <c r="X88" s="98"/>
      <c r="Y88" s="98"/>
      <c r="Z88" s="98"/>
    </row>
    <row r="89" hidden="1" outlineLevel="1">
      <c r="A89" s="98"/>
      <c r="B89" s="99">
        <v>46040.0</v>
      </c>
      <c r="C89" s="100" t="s">
        <v>32</v>
      </c>
      <c r="D89" s="101">
        <v>4732.63</v>
      </c>
      <c r="E89" s="103">
        <v>44.0</v>
      </c>
      <c r="F89" s="103">
        <v>36.0</v>
      </c>
      <c r="G89" s="104">
        <f t="shared" si="1"/>
        <v>1.222222222</v>
      </c>
      <c r="H89" s="105">
        <f t="shared" si="2"/>
        <v>107.5597727</v>
      </c>
      <c r="I89" s="106">
        <f t="shared" si="3"/>
        <v>88.00345041</v>
      </c>
      <c r="J89" s="107">
        <v>718.79</v>
      </c>
      <c r="K89" s="103">
        <v>125856.0</v>
      </c>
      <c r="L89" s="103">
        <v>12.0</v>
      </c>
      <c r="M89" s="108">
        <v>1088.84</v>
      </c>
      <c r="N89" s="109">
        <f t="shared" si="31"/>
        <v>0.6601429044</v>
      </c>
      <c r="O89" s="110">
        <f t="shared" si="5"/>
        <v>1.514823523</v>
      </c>
      <c r="P89" s="109">
        <f t="shared" si="6"/>
        <v>0.1518796103</v>
      </c>
      <c r="Q89" s="111">
        <f t="shared" si="7"/>
        <v>0.2300708063</v>
      </c>
      <c r="R89" s="112">
        <f t="shared" ref="R89:R106" si="37">D89-M89</f>
        <v>3643.79</v>
      </c>
      <c r="S89" s="113">
        <f t="shared" si="9"/>
        <v>59.89916667</v>
      </c>
      <c r="T89" s="114"/>
      <c r="U89" s="114"/>
      <c r="V89" s="114"/>
      <c r="W89" s="114"/>
      <c r="X89" s="115"/>
      <c r="Y89" s="98"/>
      <c r="Z89" s="98"/>
    </row>
    <row r="90" hidden="1" outlineLevel="1">
      <c r="A90" s="98"/>
      <c r="B90" s="116"/>
      <c r="C90" s="100" t="s">
        <v>33</v>
      </c>
      <c r="D90" s="117">
        <v>6276.96</v>
      </c>
      <c r="E90" s="103">
        <v>90.0</v>
      </c>
      <c r="F90" s="103">
        <v>109.0</v>
      </c>
      <c r="G90" s="104">
        <f t="shared" si="1"/>
        <v>0.8256880734</v>
      </c>
      <c r="H90" s="105">
        <f t="shared" si="2"/>
        <v>69.744</v>
      </c>
      <c r="I90" s="106">
        <f t="shared" si="3"/>
        <v>84.46773333</v>
      </c>
      <c r="J90" s="117">
        <v>752.9</v>
      </c>
      <c r="K90" s="103">
        <v>151124.0</v>
      </c>
      <c r="L90" s="103">
        <v>30.0</v>
      </c>
      <c r="M90" s="118">
        <v>2897.8</v>
      </c>
      <c r="N90" s="109">
        <f t="shared" si="31"/>
        <v>0.2598177928</v>
      </c>
      <c r="O90" s="110">
        <f t="shared" si="5"/>
        <v>3.848851109</v>
      </c>
      <c r="P90" s="109">
        <f t="shared" si="6"/>
        <v>0.1199465984</v>
      </c>
      <c r="Q90" s="111">
        <f t="shared" si="7"/>
        <v>0.4616565981</v>
      </c>
      <c r="R90" s="119">
        <f t="shared" si="37"/>
        <v>3379.16</v>
      </c>
      <c r="S90" s="113">
        <f t="shared" si="9"/>
        <v>25.09666667</v>
      </c>
      <c r="T90" s="114"/>
      <c r="U90" s="114"/>
      <c r="V90" s="114"/>
      <c r="W90" s="114"/>
      <c r="X90" s="115"/>
      <c r="Y90" s="98"/>
      <c r="Z90" s="98"/>
    </row>
    <row r="91" hidden="1" outlineLevel="1">
      <c r="A91" s="98"/>
      <c r="B91" s="116"/>
      <c r="C91" s="100" t="s">
        <v>34</v>
      </c>
      <c r="D91" s="120">
        <v>209.85</v>
      </c>
      <c r="E91" s="103">
        <v>3.0</v>
      </c>
      <c r="F91" s="103">
        <v>2.0</v>
      </c>
      <c r="G91" s="104">
        <f t="shared" si="1"/>
        <v>1.5</v>
      </c>
      <c r="H91" s="105">
        <f t="shared" si="2"/>
        <v>69.95</v>
      </c>
      <c r="I91" s="106">
        <f t="shared" si="3"/>
        <v>46.63333333</v>
      </c>
      <c r="J91" s="120">
        <v>0.0</v>
      </c>
      <c r="K91" s="103">
        <v>295.0</v>
      </c>
      <c r="L91" s="103">
        <v>0.0</v>
      </c>
      <c r="M91" s="121">
        <v>0.0</v>
      </c>
      <c r="N91" s="109" t="str">
        <f>(J91/M91)</f>
        <v>#DIV/0!</v>
      </c>
      <c r="O91" s="110" t="str">
        <f t="shared" si="5"/>
        <v>#DIV/0!</v>
      </c>
      <c r="P91" s="109">
        <f t="shared" si="6"/>
        <v>0</v>
      </c>
      <c r="Q91" s="111">
        <f t="shared" si="7"/>
        <v>0</v>
      </c>
      <c r="R91" s="122">
        <f t="shared" si="37"/>
        <v>209.85</v>
      </c>
      <c r="S91" s="113" t="str">
        <f t="shared" si="9"/>
        <v>#DIV/0!</v>
      </c>
      <c r="T91" s="114"/>
      <c r="U91" s="114"/>
      <c r="V91" s="114"/>
      <c r="W91" s="114"/>
      <c r="X91" s="115"/>
      <c r="Y91" s="98"/>
      <c r="Z91" s="98"/>
    </row>
    <row r="92" hidden="1" outlineLevel="1">
      <c r="A92" s="98"/>
      <c r="B92" s="116"/>
      <c r="C92" s="100" t="s">
        <v>35</v>
      </c>
      <c r="D92" s="120">
        <v>0.0</v>
      </c>
      <c r="E92" s="103">
        <v>0.0</v>
      </c>
      <c r="F92" s="103">
        <v>1.0</v>
      </c>
      <c r="G92" s="104">
        <f t="shared" si="1"/>
        <v>0</v>
      </c>
      <c r="H92" s="105" t="str">
        <f t="shared" si="2"/>
        <v>#DIV/0!</v>
      </c>
      <c r="I92" s="106" t="str">
        <f t="shared" si="3"/>
        <v>#DIV/0!</v>
      </c>
      <c r="J92" s="120">
        <v>398.73</v>
      </c>
      <c r="K92" s="103">
        <v>26769.0</v>
      </c>
      <c r="L92" s="103">
        <v>2.0</v>
      </c>
      <c r="M92" s="121">
        <v>119.9</v>
      </c>
      <c r="N92" s="109">
        <f t="shared" ref="N92:N109" si="38">J92/M92</f>
        <v>3.325521268</v>
      </c>
      <c r="O92" s="110">
        <f t="shared" si="5"/>
        <v>0.3007047375</v>
      </c>
      <c r="P92" s="109" t="str">
        <f t="shared" si="6"/>
        <v>#DIV/0!</v>
      </c>
      <c r="Q92" s="111" t="str">
        <f t="shared" si="7"/>
        <v>#DIV/0!</v>
      </c>
      <c r="R92" s="122">
        <f t="shared" si="37"/>
        <v>-119.9</v>
      </c>
      <c r="S92" s="113">
        <f t="shared" si="9"/>
        <v>199.365</v>
      </c>
      <c r="T92" s="114"/>
      <c r="U92" s="114"/>
      <c r="V92" s="114"/>
      <c r="W92" s="114"/>
      <c r="X92" s="115"/>
      <c r="Y92" s="98"/>
      <c r="Z92" s="98"/>
    </row>
    <row r="93" hidden="1" outlineLevel="1">
      <c r="A93" s="98"/>
      <c r="B93" s="116"/>
      <c r="C93" s="100" t="s">
        <v>36</v>
      </c>
      <c r="D93" s="120">
        <v>139.9</v>
      </c>
      <c r="E93" s="103">
        <v>2.0</v>
      </c>
      <c r="F93" s="103">
        <v>2.0</v>
      </c>
      <c r="G93" s="104">
        <f t="shared" si="1"/>
        <v>1</v>
      </c>
      <c r="H93" s="105">
        <f t="shared" si="2"/>
        <v>69.95</v>
      </c>
      <c r="I93" s="106">
        <f t="shared" si="3"/>
        <v>69.95</v>
      </c>
      <c r="J93" s="120">
        <v>62.63</v>
      </c>
      <c r="K93" s="103">
        <v>21148.0</v>
      </c>
      <c r="L93" s="103">
        <v>3.0</v>
      </c>
      <c r="M93" s="121">
        <v>179.85</v>
      </c>
      <c r="N93" s="109">
        <f t="shared" si="38"/>
        <v>0.34823464</v>
      </c>
      <c r="O93" s="110">
        <f t="shared" si="5"/>
        <v>2.871627016</v>
      </c>
      <c r="P93" s="109">
        <f t="shared" si="6"/>
        <v>0.4476769121</v>
      </c>
      <c r="Q93" s="111">
        <f t="shared" si="7"/>
        <v>1.285561115</v>
      </c>
      <c r="R93" s="122">
        <f t="shared" si="37"/>
        <v>-39.95</v>
      </c>
      <c r="S93" s="113">
        <f t="shared" si="9"/>
        <v>20.87666667</v>
      </c>
      <c r="T93" s="114"/>
      <c r="U93" s="114"/>
      <c r="V93" s="114"/>
      <c r="W93" s="114"/>
      <c r="X93" s="115"/>
      <c r="Y93" s="98"/>
      <c r="Z93" s="98"/>
    </row>
    <row r="94" hidden="1" outlineLevel="1">
      <c r="A94" s="98"/>
      <c r="B94" s="99" t="s">
        <v>37</v>
      </c>
      <c r="C94" s="100" t="s">
        <v>38</v>
      </c>
      <c r="D94" s="123">
        <v>0.0</v>
      </c>
      <c r="E94" s="103">
        <v>0.0</v>
      </c>
      <c r="F94" s="103">
        <v>0.0</v>
      </c>
      <c r="G94" s="104" t="str">
        <f t="shared" si="1"/>
        <v>#DIV/0!</v>
      </c>
      <c r="H94" s="105" t="str">
        <f t="shared" si="2"/>
        <v>#DIV/0!</v>
      </c>
      <c r="I94" s="106" t="str">
        <f t="shared" si="3"/>
        <v>#DIV/0!</v>
      </c>
      <c r="J94" s="123">
        <v>21.15</v>
      </c>
      <c r="K94" s="103">
        <v>38434.0</v>
      </c>
      <c r="L94" s="103">
        <v>0.0</v>
      </c>
      <c r="M94" s="124">
        <v>0.0</v>
      </c>
      <c r="N94" s="109" t="str">
        <f t="shared" si="38"/>
        <v>#DIV/0!</v>
      </c>
      <c r="O94" s="110">
        <f t="shared" si="5"/>
        <v>0</v>
      </c>
      <c r="P94" s="109" t="str">
        <f t="shared" si="6"/>
        <v>#DIV/0!</v>
      </c>
      <c r="Q94" s="111" t="str">
        <f t="shared" si="7"/>
        <v>#DIV/0!</v>
      </c>
      <c r="R94" s="125">
        <f t="shared" si="37"/>
        <v>0</v>
      </c>
      <c r="S94" s="113" t="str">
        <f t="shared" si="9"/>
        <v>#DIV/0!</v>
      </c>
      <c r="T94" s="114"/>
      <c r="U94" s="114"/>
      <c r="V94" s="114"/>
      <c r="W94" s="114"/>
      <c r="X94" s="115"/>
      <c r="Y94" s="98"/>
      <c r="Z94" s="98"/>
    </row>
    <row r="95" hidden="1" outlineLevel="1">
      <c r="A95" s="98"/>
      <c r="B95" s="116"/>
      <c r="C95" s="100" t="s">
        <v>39</v>
      </c>
      <c r="D95" s="126">
        <v>0.0</v>
      </c>
      <c r="E95" s="103">
        <v>0.0</v>
      </c>
      <c r="F95" s="103">
        <v>0.0</v>
      </c>
      <c r="G95" s="104" t="str">
        <f t="shared" si="1"/>
        <v>#DIV/0!</v>
      </c>
      <c r="H95" s="105" t="str">
        <f t="shared" si="2"/>
        <v>#DIV/0!</v>
      </c>
      <c r="I95" s="106" t="str">
        <f t="shared" si="3"/>
        <v>#DIV/0!</v>
      </c>
      <c r="J95" s="126">
        <v>0.0</v>
      </c>
      <c r="K95" s="103">
        <v>0.0</v>
      </c>
      <c r="L95" s="103">
        <v>0.0</v>
      </c>
      <c r="M95" s="127">
        <v>0.0</v>
      </c>
      <c r="N95" s="109" t="str">
        <f t="shared" si="38"/>
        <v>#DIV/0!</v>
      </c>
      <c r="O95" s="110" t="str">
        <f t="shared" si="5"/>
        <v>#DIV/0!</v>
      </c>
      <c r="P95" s="109" t="str">
        <f t="shared" si="6"/>
        <v>#DIV/0!</v>
      </c>
      <c r="Q95" s="111" t="str">
        <f t="shared" si="7"/>
        <v>#DIV/0!</v>
      </c>
      <c r="R95" s="128">
        <f t="shared" si="37"/>
        <v>0</v>
      </c>
      <c r="S95" s="113" t="str">
        <f t="shared" si="9"/>
        <v>#DIV/0!</v>
      </c>
      <c r="T95" s="114"/>
      <c r="U95" s="114"/>
      <c r="V95" s="114"/>
      <c r="W95" s="114"/>
      <c r="X95" s="115"/>
      <c r="Y95" s="98"/>
      <c r="Z95" s="98"/>
    </row>
    <row r="96" hidden="1" outlineLevel="1">
      <c r="A96" s="98"/>
      <c r="B96" s="116"/>
      <c r="C96" s="100" t="s">
        <v>40</v>
      </c>
      <c r="D96" s="129">
        <v>0.0</v>
      </c>
      <c r="E96" s="103">
        <v>0.0</v>
      </c>
      <c r="F96" s="103">
        <v>0.0</v>
      </c>
      <c r="G96" s="104" t="str">
        <f t="shared" si="1"/>
        <v>#DIV/0!</v>
      </c>
      <c r="H96" s="105" t="str">
        <f t="shared" si="2"/>
        <v>#DIV/0!</v>
      </c>
      <c r="I96" s="106" t="str">
        <f t="shared" si="3"/>
        <v>#DIV/0!</v>
      </c>
      <c r="J96" s="129">
        <v>0.0</v>
      </c>
      <c r="K96" s="103">
        <v>0.0</v>
      </c>
      <c r="L96" s="103">
        <v>0.0</v>
      </c>
      <c r="M96" s="130">
        <v>0.0</v>
      </c>
      <c r="N96" s="109" t="str">
        <f t="shared" si="38"/>
        <v>#DIV/0!</v>
      </c>
      <c r="O96" s="110" t="str">
        <f t="shared" si="5"/>
        <v>#DIV/0!</v>
      </c>
      <c r="P96" s="109" t="str">
        <f t="shared" si="6"/>
        <v>#DIV/0!</v>
      </c>
      <c r="Q96" s="111" t="str">
        <f t="shared" si="7"/>
        <v>#DIV/0!</v>
      </c>
      <c r="R96" s="131">
        <f t="shared" si="37"/>
        <v>0</v>
      </c>
      <c r="S96" s="113" t="str">
        <f t="shared" si="9"/>
        <v>#DIV/0!</v>
      </c>
      <c r="T96" s="114"/>
      <c r="U96" s="114"/>
      <c r="V96" s="114"/>
      <c r="W96" s="114"/>
      <c r="X96" s="115"/>
      <c r="Y96" s="98"/>
      <c r="Z96" s="98"/>
    </row>
    <row r="97" hidden="1" outlineLevel="1">
      <c r="A97" s="98"/>
      <c r="B97" s="116"/>
      <c r="C97" s="100" t="s">
        <v>41</v>
      </c>
      <c r="D97" s="132">
        <v>2291.4</v>
      </c>
      <c r="E97" s="103">
        <v>33.0</v>
      </c>
      <c r="F97" s="103">
        <v>33.0</v>
      </c>
      <c r="G97" s="104">
        <f t="shared" si="1"/>
        <v>1</v>
      </c>
      <c r="H97" s="105">
        <f t="shared" si="2"/>
        <v>69.43636364</v>
      </c>
      <c r="I97" s="106">
        <f t="shared" si="3"/>
        <v>69.43636364</v>
      </c>
      <c r="J97" s="132">
        <v>421.66</v>
      </c>
      <c r="K97" s="103">
        <v>40683.0</v>
      </c>
      <c r="L97" s="103">
        <v>14.0</v>
      </c>
      <c r="M97" s="133">
        <v>829.86</v>
      </c>
      <c r="N97" s="109">
        <f t="shared" si="38"/>
        <v>0.5081098017</v>
      </c>
      <c r="O97" s="110">
        <f t="shared" si="5"/>
        <v>1.968078547</v>
      </c>
      <c r="P97" s="109">
        <f t="shared" si="6"/>
        <v>0.184018504</v>
      </c>
      <c r="Q97" s="111">
        <f t="shared" si="7"/>
        <v>0.3621628699</v>
      </c>
      <c r="R97" s="134">
        <f t="shared" si="37"/>
        <v>1461.54</v>
      </c>
      <c r="S97" s="113">
        <f t="shared" si="9"/>
        <v>30.11857143</v>
      </c>
      <c r="T97" s="114"/>
      <c r="U97" s="114"/>
      <c r="V97" s="114"/>
      <c r="W97" s="114"/>
      <c r="X97" s="115"/>
      <c r="Y97" s="98"/>
      <c r="Z97" s="98"/>
    </row>
    <row r="98" hidden="1" outlineLevel="1">
      <c r="A98" s="98"/>
      <c r="B98" s="116"/>
      <c r="C98" s="100" t="s">
        <v>42</v>
      </c>
      <c r="D98" s="120">
        <v>159.92</v>
      </c>
      <c r="E98" s="103">
        <v>8.0</v>
      </c>
      <c r="F98" s="103">
        <v>3.0</v>
      </c>
      <c r="G98" s="104">
        <f t="shared" si="1"/>
        <v>2.666666667</v>
      </c>
      <c r="H98" s="105">
        <f t="shared" si="2"/>
        <v>19.99</v>
      </c>
      <c r="I98" s="106">
        <f t="shared" si="3"/>
        <v>7.49625</v>
      </c>
      <c r="J98" s="120">
        <v>367.68</v>
      </c>
      <c r="K98" s="103">
        <v>80649.0</v>
      </c>
      <c r="L98" s="103">
        <v>2.0</v>
      </c>
      <c r="M98" s="121">
        <v>39.98</v>
      </c>
      <c r="N98" s="109">
        <f t="shared" si="38"/>
        <v>9.196598299</v>
      </c>
      <c r="O98" s="110">
        <f t="shared" si="5"/>
        <v>0.1087358573</v>
      </c>
      <c r="P98" s="109">
        <f t="shared" si="6"/>
        <v>2.299149575</v>
      </c>
      <c r="Q98" s="111">
        <f t="shared" si="7"/>
        <v>0.25</v>
      </c>
      <c r="R98" s="122">
        <f t="shared" si="37"/>
        <v>119.94</v>
      </c>
      <c r="S98" s="113">
        <f t="shared" si="9"/>
        <v>183.84</v>
      </c>
      <c r="T98" s="114"/>
      <c r="U98" s="114"/>
      <c r="V98" s="114"/>
      <c r="W98" s="114"/>
      <c r="X98" s="115"/>
      <c r="Y98" s="98"/>
      <c r="Z98" s="98"/>
    </row>
    <row r="99" hidden="1" outlineLevel="1">
      <c r="A99" s="98"/>
      <c r="B99" s="116"/>
      <c r="C99" s="100" t="s">
        <v>43</v>
      </c>
      <c r="D99" s="135">
        <v>1245.6</v>
      </c>
      <c r="E99" s="103">
        <v>10.0</v>
      </c>
      <c r="F99" s="103">
        <v>11.0</v>
      </c>
      <c r="G99" s="104">
        <f t="shared" si="1"/>
        <v>0.9090909091</v>
      </c>
      <c r="H99" s="105">
        <f t="shared" si="2"/>
        <v>124.56</v>
      </c>
      <c r="I99" s="106">
        <f t="shared" si="3"/>
        <v>137.016</v>
      </c>
      <c r="J99" s="135">
        <v>46.96</v>
      </c>
      <c r="K99" s="103">
        <v>7099.0</v>
      </c>
      <c r="L99" s="103">
        <v>4.0</v>
      </c>
      <c r="M99" s="136">
        <v>205.95</v>
      </c>
      <c r="N99" s="109">
        <f t="shared" si="38"/>
        <v>0.2280165089</v>
      </c>
      <c r="O99" s="110">
        <f t="shared" si="5"/>
        <v>4.385647359</v>
      </c>
      <c r="P99" s="109">
        <f t="shared" si="6"/>
        <v>0.03770070649</v>
      </c>
      <c r="Q99" s="111">
        <f t="shared" si="7"/>
        <v>0.1653420039</v>
      </c>
      <c r="R99" s="137">
        <f t="shared" si="37"/>
        <v>1039.65</v>
      </c>
      <c r="S99" s="113">
        <f t="shared" si="9"/>
        <v>11.74</v>
      </c>
      <c r="T99" s="114"/>
      <c r="U99" s="114"/>
      <c r="V99" s="114"/>
      <c r="W99" s="114"/>
      <c r="X99" s="115"/>
      <c r="Y99" s="98"/>
      <c r="Z99" s="98"/>
    </row>
    <row r="100" hidden="1" outlineLevel="1">
      <c r="A100" s="98"/>
      <c r="B100" s="116"/>
      <c r="C100" s="100" t="s">
        <v>44</v>
      </c>
      <c r="D100" s="138">
        <v>179.85</v>
      </c>
      <c r="E100" s="103">
        <v>3.0</v>
      </c>
      <c r="F100" s="103">
        <v>4.0</v>
      </c>
      <c r="G100" s="104">
        <f t="shared" si="1"/>
        <v>0.75</v>
      </c>
      <c r="H100" s="105">
        <f t="shared" si="2"/>
        <v>59.95</v>
      </c>
      <c r="I100" s="106">
        <f t="shared" si="3"/>
        <v>79.93333333</v>
      </c>
      <c r="J100" s="138">
        <v>66.07</v>
      </c>
      <c r="K100" s="103">
        <v>45813.0</v>
      </c>
      <c r="L100" s="103">
        <v>1.0</v>
      </c>
      <c r="M100" s="139">
        <v>59.95</v>
      </c>
      <c r="N100" s="109">
        <f t="shared" si="38"/>
        <v>1.102085071</v>
      </c>
      <c r="O100" s="110">
        <f t="shared" si="5"/>
        <v>0.9073709702</v>
      </c>
      <c r="P100" s="109">
        <f t="shared" si="6"/>
        <v>0.3673616903</v>
      </c>
      <c r="Q100" s="111">
        <f t="shared" si="7"/>
        <v>0.3333333333</v>
      </c>
      <c r="R100" s="140">
        <f t="shared" si="37"/>
        <v>119.9</v>
      </c>
      <c r="S100" s="113">
        <f t="shared" si="9"/>
        <v>66.07</v>
      </c>
      <c r="T100" s="114"/>
      <c r="U100" s="114"/>
      <c r="V100" s="114"/>
      <c r="W100" s="114"/>
      <c r="X100" s="115"/>
      <c r="Y100" s="98"/>
      <c r="Z100" s="98"/>
    </row>
    <row r="101" hidden="1" outlineLevel="1">
      <c r="A101" s="141"/>
      <c r="B101" s="116"/>
      <c r="C101" s="142" t="s">
        <v>45</v>
      </c>
      <c r="D101" s="101">
        <v>0.0</v>
      </c>
      <c r="E101" s="103">
        <v>0.0</v>
      </c>
      <c r="F101" s="103">
        <v>0.0</v>
      </c>
      <c r="G101" s="104" t="str">
        <f t="shared" si="1"/>
        <v>#DIV/0!</v>
      </c>
      <c r="H101" s="105" t="str">
        <f t="shared" si="2"/>
        <v>#DIV/0!</v>
      </c>
      <c r="I101" s="106" t="str">
        <f t="shared" si="3"/>
        <v>#DIV/0!</v>
      </c>
      <c r="J101" s="101">
        <v>0.0</v>
      </c>
      <c r="K101" s="103">
        <v>0.0</v>
      </c>
      <c r="L101" s="103">
        <v>0.0</v>
      </c>
      <c r="M101" s="108">
        <v>0.0</v>
      </c>
      <c r="N101" s="109" t="str">
        <f t="shared" si="38"/>
        <v>#DIV/0!</v>
      </c>
      <c r="O101" s="110" t="str">
        <f t="shared" si="5"/>
        <v>#DIV/0!</v>
      </c>
      <c r="P101" s="109" t="str">
        <f t="shared" si="6"/>
        <v>#DIV/0!</v>
      </c>
      <c r="Q101" s="111" t="str">
        <f t="shared" si="7"/>
        <v>#DIV/0!</v>
      </c>
      <c r="R101" s="112">
        <f t="shared" si="37"/>
        <v>0</v>
      </c>
      <c r="S101" s="113" t="str">
        <f t="shared" si="9"/>
        <v>#DIV/0!</v>
      </c>
      <c r="T101" s="143"/>
      <c r="U101" s="143"/>
      <c r="V101" s="143"/>
      <c r="W101" s="144"/>
      <c r="X101" s="145"/>
      <c r="Y101" s="98"/>
      <c r="Z101" s="98"/>
    </row>
    <row r="102" hidden="1" outlineLevel="1">
      <c r="A102" s="98"/>
      <c r="B102" s="116"/>
      <c r="C102" s="100" t="s">
        <v>46</v>
      </c>
      <c r="D102" s="146">
        <v>1186.24</v>
      </c>
      <c r="E102" s="103">
        <v>27.0</v>
      </c>
      <c r="F102" s="103">
        <v>29.0</v>
      </c>
      <c r="G102" s="104">
        <f t="shared" si="1"/>
        <v>0.9310344828</v>
      </c>
      <c r="H102" s="105">
        <f t="shared" si="2"/>
        <v>43.93481481</v>
      </c>
      <c r="I102" s="106">
        <f t="shared" si="3"/>
        <v>47.18924554</v>
      </c>
      <c r="J102" s="146">
        <v>179.59</v>
      </c>
      <c r="K102" s="103">
        <v>48414.0</v>
      </c>
      <c r="L102" s="103">
        <v>8.0</v>
      </c>
      <c r="M102" s="147">
        <v>259.7</v>
      </c>
      <c r="N102" s="109">
        <f t="shared" si="38"/>
        <v>0.6915286869</v>
      </c>
      <c r="O102" s="110">
        <f t="shared" si="5"/>
        <v>1.446071608</v>
      </c>
      <c r="P102" s="109">
        <f t="shared" si="6"/>
        <v>0.1513943216</v>
      </c>
      <c r="Q102" s="111">
        <f t="shared" si="7"/>
        <v>0.2189270299</v>
      </c>
      <c r="R102" s="112">
        <f t="shared" si="37"/>
        <v>926.54</v>
      </c>
      <c r="S102" s="113">
        <f t="shared" si="9"/>
        <v>22.44875</v>
      </c>
      <c r="T102" s="114"/>
      <c r="U102" s="114"/>
      <c r="V102" s="114"/>
      <c r="W102" s="114"/>
      <c r="X102" s="115"/>
      <c r="Y102" s="98"/>
      <c r="Z102" s="98"/>
    </row>
    <row r="103" hidden="1" outlineLevel="1">
      <c r="A103" s="98"/>
      <c r="B103" s="116"/>
      <c r="C103" s="100" t="s">
        <v>47</v>
      </c>
      <c r="D103" s="117">
        <v>-29.95</v>
      </c>
      <c r="E103" s="103">
        <v>-1.0</v>
      </c>
      <c r="F103" s="103">
        <v>0.0</v>
      </c>
      <c r="G103" s="104" t="str">
        <f t="shared" si="1"/>
        <v>#DIV/0!</v>
      </c>
      <c r="H103" s="105">
        <f t="shared" si="2"/>
        <v>29.95</v>
      </c>
      <c r="I103" s="106" t="str">
        <f t="shared" si="3"/>
        <v>#DIV/0!</v>
      </c>
      <c r="J103" s="117">
        <v>0.0</v>
      </c>
      <c r="K103" s="103">
        <v>0.0</v>
      </c>
      <c r="L103" s="103">
        <v>0.0</v>
      </c>
      <c r="M103" s="118">
        <v>0.0</v>
      </c>
      <c r="N103" s="109" t="str">
        <f t="shared" si="38"/>
        <v>#DIV/0!</v>
      </c>
      <c r="O103" s="110" t="str">
        <f t="shared" si="5"/>
        <v>#DIV/0!</v>
      </c>
      <c r="P103" s="109">
        <f t="shared" si="6"/>
        <v>0</v>
      </c>
      <c r="Q103" s="111">
        <f t="shared" si="7"/>
        <v>0</v>
      </c>
      <c r="R103" s="112">
        <f t="shared" si="37"/>
        <v>-29.95</v>
      </c>
      <c r="S103" s="113" t="str">
        <f t="shared" si="9"/>
        <v>#DIV/0!</v>
      </c>
      <c r="T103" s="114"/>
      <c r="U103" s="114"/>
      <c r="V103" s="114"/>
      <c r="W103" s="114"/>
      <c r="X103" s="115"/>
      <c r="Y103" s="98"/>
      <c r="Z103" s="98"/>
    </row>
    <row r="104" hidden="1" outlineLevel="1">
      <c r="A104" s="98"/>
      <c r="B104" s="116"/>
      <c r="C104" s="100" t="s">
        <v>48</v>
      </c>
      <c r="D104" s="132">
        <v>3931.94</v>
      </c>
      <c r="E104" s="103">
        <v>17.0</v>
      </c>
      <c r="F104" s="103">
        <v>20.0</v>
      </c>
      <c r="G104" s="104">
        <f t="shared" si="1"/>
        <v>0.85</v>
      </c>
      <c r="H104" s="105">
        <f t="shared" si="2"/>
        <v>231.2905882</v>
      </c>
      <c r="I104" s="106">
        <f t="shared" si="3"/>
        <v>272.1065744</v>
      </c>
      <c r="J104" s="132">
        <v>494.0</v>
      </c>
      <c r="K104" s="103">
        <v>42767.0</v>
      </c>
      <c r="L104" s="103">
        <v>7.0</v>
      </c>
      <c r="M104" s="133">
        <v>1659.65</v>
      </c>
      <c r="N104" s="109">
        <f t="shared" si="38"/>
        <v>0.2976531196</v>
      </c>
      <c r="O104" s="110">
        <f t="shared" si="5"/>
        <v>3.359615385</v>
      </c>
      <c r="P104" s="109">
        <f t="shared" si="6"/>
        <v>0.1256377259</v>
      </c>
      <c r="Q104" s="111">
        <f t="shared" si="7"/>
        <v>0.4220944368</v>
      </c>
      <c r="R104" s="112">
        <f t="shared" si="37"/>
        <v>2272.29</v>
      </c>
      <c r="S104" s="113">
        <f t="shared" si="9"/>
        <v>70.57142857</v>
      </c>
      <c r="T104" s="114"/>
      <c r="U104" s="114"/>
      <c r="V104" s="114"/>
      <c r="W104" s="114"/>
      <c r="X104" s="115"/>
      <c r="Y104" s="98"/>
      <c r="Z104" s="98"/>
    </row>
    <row r="105" hidden="1" outlineLevel="1">
      <c r="A105" s="98"/>
      <c r="B105" s="116"/>
      <c r="C105" s="100" t="s">
        <v>49</v>
      </c>
      <c r="D105" s="146">
        <v>0.0</v>
      </c>
      <c r="E105" s="103">
        <v>0.0</v>
      </c>
      <c r="F105" s="103">
        <v>0.0</v>
      </c>
      <c r="G105" s="104" t="str">
        <f t="shared" si="1"/>
        <v>#DIV/0!</v>
      </c>
      <c r="H105" s="105" t="str">
        <f t="shared" si="2"/>
        <v>#DIV/0!</v>
      </c>
      <c r="I105" s="106" t="str">
        <f t="shared" si="3"/>
        <v>#DIV/0!</v>
      </c>
      <c r="J105" s="146">
        <v>7.9</v>
      </c>
      <c r="K105" s="103">
        <v>10033.0</v>
      </c>
      <c r="L105" s="103">
        <v>0.0</v>
      </c>
      <c r="M105" s="147">
        <v>0.0</v>
      </c>
      <c r="N105" s="109" t="str">
        <f t="shared" si="38"/>
        <v>#DIV/0!</v>
      </c>
      <c r="O105" s="110">
        <f t="shared" si="5"/>
        <v>0</v>
      </c>
      <c r="P105" s="109" t="str">
        <f t="shared" si="6"/>
        <v>#DIV/0!</v>
      </c>
      <c r="Q105" s="111" t="str">
        <f t="shared" si="7"/>
        <v>#DIV/0!</v>
      </c>
      <c r="R105" s="112">
        <f t="shared" si="37"/>
        <v>0</v>
      </c>
      <c r="S105" s="113" t="str">
        <f t="shared" si="9"/>
        <v>#DIV/0!</v>
      </c>
      <c r="T105" s="114"/>
      <c r="U105" s="114"/>
      <c r="V105" s="114"/>
      <c r="W105" s="114"/>
      <c r="X105" s="115"/>
      <c r="Y105" s="98"/>
      <c r="Z105" s="98"/>
    </row>
    <row r="106" hidden="1" outlineLevel="1">
      <c r="A106" s="148" t="str">
        <f t="shared" ref="A106:A107" si="39">iferror(if(B106&gt;0,month(B106)&amp;"-"&amp;year(B106),B106),)</f>
        <v>1-2026</v>
      </c>
      <c r="B106" s="99">
        <v>46046.0</v>
      </c>
      <c r="C106" s="277" t="s">
        <v>67</v>
      </c>
      <c r="D106" s="146">
        <v>0.0</v>
      </c>
      <c r="E106" s="103">
        <v>0.0</v>
      </c>
      <c r="F106" s="103">
        <v>0.0</v>
      </c>
      <c r="G106" s="104" t="str">
        <f t="shared" si="1"/>
        <v>#DIV/0!</v>
      </c>
      <c r="H106" s="105" t="str">
        <f t="shared" si="2"/>
        <v>#DIV/0!</v>
      </c>
      <c r="I106" s="106" t="str">
        <f t="shared" si="3"/>
        <v>#DIV/0!</v>
      </c>
      <c r="J106" s="117">
        <v>3097.5</v>
      </c>
      <c r="K106" s="278">
        <v>290015.0</v>
      </c>
      <c r="L106" s="103">
        <v>0.0</v>
      </c>
      <c r="M106" s="118">
        <v>11198.569999999998</v>
      </c>
      <c r="N106" s="109">
        <f t="shared" si="38"/>
        <v>0.2765978156</v>
      </c>
      <c r="O106" s="110">
        <f t="shared" si="5"/>
        <v>3.615357546</v>
      </c>
      <c r="P106" s="109" t="str">
        <f t="shared" si="6"/>
        <v>#DIV/0!</v>
      </c>
      <c r="Q106" s="111" t="str">
        <f t="shared" si="7"/>
        <v>#DIV/0!</v>
      </c>
      <c r="R106" s="112">
        <f t="shared" si="37"/>
        <v>-11198.57</v>
      </c>
      <c r="S106" s="113" t="str">
        <f t="shared" si="9"/>
        <v>#DIV/0!</v>
      </c>
      <c r="T106" s="114"/>
      <c r="U106" s="114"/>
      <c r="V106" s="114"/>
      <c r="W106" s="114"/>
      <c r="X106" s="115"/>
      <c r="Y106" s="98"/>
      <c r="Z106" s="98"/>
    </row>
    <row r="107" collapsed="1">
      <c r="A107" s="98" t="str">
        <f t="shared" si="39"/>
        <v/>
      </c>
      <c r="B107" s="149" t="s">
        <v>54</v>
      </c>
      <c r="C107" s="150"/>
      <c r="D107" s="151">
        <f t="shared" ref="D107:F107" si="40">SUM(D89:D106)</f>
        <v>20324.34</v>
      </c>
      <c r="E107" s="153">
        <f t="shared" si="40"/>
        <v>236</v>
      </c>
      <c r="F107" s="153">
        <f t="shared" si="40"/>
        <v>250</v>
      </c>
      <c r="G107" s="154">
        <f t="shared" si="1"/>
        <v>0.944</v>
      </c>
      <c r="H107" s="155">
        <f t="shared" si="2"/>
        <v>86.12008475</v>
      </c>
      <c r="I107" s="156">
        <f t="shared" si="3"/>
        <v>91.22890333</v>
      </c>
      <c r="J107" s="151">
        <f t="shared" ref="J107:M107" si="41">SUM(J89:J106)</f>
        <v>6635.56</v>
      </c>
      <c r="K107" s="153">
        <f t="shared" si="41"/>
        <v>929099</v>
      </c>
      <c r="L107" s="153">
        <f t="shared" si="41"/>
        <v>83</v>
      </c>
      <c r="M107" s="157">
        <f t="shared" si="41"/>
        <v>18540.05</v>
      </c>
      <c r="N107" s="158">
        <f t="shared" si="38"/>
        <v>0.3579041049</v>
      </c>
      <c r="O107" s="159">
        <f t="shared" si="5"/>
        <v>2.794044512</v>
      </c>
      <c r="P107" s="158">
        <f t="shared" si="6"/>
        <v>0.3264834184</v>
      </c>
      <c r="Q107" s="160">
        <f t="shared" si="7"/>
        <v>0.9122092033</v>
      </c>
      <c r="R107" s="161">
        <f>SUM(R89:R106)</f>
        <v>1784.29</v>
      </c>
      <c r="S107" s="162">
        <f t="shared" si="9"/>
        <v>79.94650602</v>
      </c>
      <c r="T107" s="164" t="str">
        <f t="shared" ref="T107:U107" si="42">IFERROR((D107-#REF!)/D107,)</f>
        <v/>
      </c>
      <c r="U107" s="164" t="str">
        <f t="shared" si="42"/>
        <v/>
      </c>
      <c r="V107" s="164" t="str">
        <f t="shared" ref="V107:W107" si="43">IFERROR((D107-#REF!)/D107, )</f>
        <v/>
      </c>
      <c r="W107" s="164" t="str">
        <f t="shared" si="43"/>
        <v/>
      </c>
      <c r="X107" s="98"/>
      <c r="Y107" s="98"/>
      <c r="Z107" s="98"/>
    </row>
    <row r="108" hidden="1" outlineLevel="1">
      <c r="A108" s="98"/>
      <c r="B108" s="99">
        <v>46047.0</v>
      </c>
      <c r="C108" s="100" t="s">
        <v>32</v>
      </c>
      <c r="D108" s="101">
        <v>4689.49</v>
      </c>
      <c r="E108" s="103">
        <v>21.0</v>
      </c>
      <c r="F108" s="103">
        <v>28.0</v>
      </c>
      <c r="G108" s="104">
        <f t="shared" si="1"/>
        <v>0.75</v>
      </c>
      <c r="H108" s="105">
        <f t="shared" si="2"/>
        <v>223.3090476</v>
      </c>
      <c r="I108" s="106">
        <f t="shared" si="3"/>
        <v>297.7453968</v>
      </c>
      <c r="J108" s="107">
        <v>675.31</v>
      </c>
      <c r="K108" s="103">
        <v>128679.0</v>
      </c>
      <c r="L108" s="103">
        <v>8.0</v>
      </c>
      <c r="M108" s="108">
        <v>1984.89</v>
      </c>
      <c r="N108" s="109">
        <f t="shared" si="38"/>
        <v>0.3402254029</v>
      </c>
      <c r="O108" s="110">
        <f t="shared" si="5"/>
        <v>2.93922791</v>
      </c>
      <c r="P108" s="109">
        <f t="shared" si="6"/>
        <v>0.1440049984</v>
      </c>
      <c r="Q108" s="111">
        <f t="shared" si="7"/>
        <v>0.4232635105</v>
      </c>
      <c r="R108" s="112">
        <f t="shared" ref="R108:R125" si="44">D108-M108</f>
        <v>2704.6</v>
      </c>
      <c r="S108" s="113">
        <f t="shared" si="9"/>
        <v>84.41375</v>
      </c>
      <c r="T108" s="114"/>
      <c r="U108" s="114"/>
      <c r="V108" s="114"/>
      <c r="W108" s="114"/>
      <c r="X108" s="115"/>
      <c r="Y108" s="98"/>
      <c r="Z108" s="98"/>
    </row>
    <row r="109" hidden="1" outlineLevel="1">
      <c r="A109" s="98"/>
      <c r="B109" s="116"/>
      <c r="C109" s="100" t="s">
        <v>33</v>
      </c>
      <c r="D109" s="117">
        <v>5369.3</v>
      </c>
      <c r="E109" s="103">
        <v>97.0</v>
      </c>
      <c r="F109" s="103">
        <v>108.0</v>
      </c>
      <c r="G109" s="104">
        <f t="shared" si="1"/>
        <v>0.8981481481</v>
      </c>
      <c r="H109" s="105">
        <f t="shared" si="2"/>
        <v>55.35360825</v>
      </c>
      <c r="I109" s="106">
        <f t="shared" si="3"/>
        <v>61.63082155</v>
      </c>
      <c r="J109" s="117">
        <v>598.97</v>
      </c>
      <c r="K109" s="103">
        <v>137191.0</v>
      </c>
      <c r="L109" s="103">
        <v>16.0</v>
      </c>
      <c r="M109" s="118">
        <v>1557.65</v>
      </c>
      <c r="N109" s="109">
        <f t="shared" si="38"/>
        <v>0.3845343948</v>
      </c>
      <c r="O109" s="110">
        <f t="shared" si="5"/>
        <v>2.600547607</v>
      </c>
      <c r="P109" s="109">
        <f t="shared" si="6"/>
        <v>0.1115545788</v>
      </c>
      <c r="Q109" s="111">
        <f t="shared" si="7"/>
        <v>0.2901029929</v>
      </c>
      <c r="R109" s="119">
        <f t="shared" si="44"/>
        <v>3811.65</v>
      </c>
      <c r="S109" s="113">
        <f t="shared" si="9"/>
        <v>37.435625</v>
      </c>
      <c r="T109" s="114"/>
      <c r="U109" s="114"/>
      <c r="V109" s="114"/>
      <c r="W109" s="114"/>
      <c r="X109" s="115"/>
      <c r="Y109" s="98"/>
      <c r="Z109" s="98"/>
    </row>
    <row r="110" hidden="1" outlineLevel="1">
      <c r="A110" s="98"/>
      <c r="B110" s="116"/>
      <c r="C110" s="100" t="s">
        <v>34</v>
      </c>
      <c r="D110" s="120">
        <v>-69.95</v>
      </c>
      <c r="E110" s="103">
        <v>-1.0</v>
      </c>
      <c r="F110" s="103">
        <v>0.0</v>
      </c>
      <c r="G110" s="104" t="str">
        <f t="shared" si="1"/>
        <v>#DIV/0!</v>
      </c>
      <c r="H110" s="105">
        <f t="shared" si="2"/>
        <v>69.95</v>
      </c>
      <c r="I110" s="106" t="str">
        <f t="shared" si="3"/>
        <v>#DIV/0!</v>
      </c>
      <c r="J110" s="120">
        <v>6.9</v>
      </c>
      <c r="K110" s="103">
        <v>361.0</v>
      </c>
      <c r="L110" s="103">
        <v>0.0</v>
      </c>
      <c r="M110" s="121">
        <v>0.0</v>
      </c>
      <c r="N110" s="109" t="str">
        <f>(J110/M110)</f>
        <v>#DIV/0!</v>
      </c>
      <c r="O110" s="110">
        <f t="shared" si="5"/>
        <v>0</v>
      </c>
      <c r="P110" s="109">
        <f t="shared" si="6"/>
        <v>-0.09864188706</v>
      </c>
      <c r="Q110" s="111">
        <f t="shared" si="7"/>
        <v>0</v>
      </c>
      <c r="R110" s="122">
        <f t="shared" si="44"/>
        <v>-69.95</v>
      </c>
      <c r="S110" s="113" t="str">
        <f t="shared" si="9"/>
        <v>#DIV/0!</v>
      </c>
      <c r="T110" s="114"/>
      <c r="U110" s="114"/>
      <c r="V110" s="114"/>
      <c r="W110" s="114"/>
      <c r="X110" s="115"/>
      <c r="Y110" s="98"/>
      <c r="Z110" s="98"/>
    </row>
    <row r="111" hidden="1" outlineLevel="1">
      <c r="A111" s="98"/>
      <c r="B111" s="116"/>
      <c r="C111" s="100" t="s">
        <v>35</v>
      </c>
      <c r="D111" s="120">
        <v>662.45</v>
      </c>
      <c r="E111" s="103">
        <v>11.0</v>
      </c>
      <c r="F111" s="103">
        <v>10.0</v>
      </c>
      <c r="G111" s="104">
        <f t="shared" si="1"/>
        <v>1.1</v>
      </c>
      <c r="H111" s="105">
        <f t="shared" si="2"/>
        <v>60.22272727</v>
      </c>
      <c r="I111" s="106">
        <f t="shared" si="3"/>
        <v>54.74793388</v>
      </c>
      <c r="J111" s="120">
        <v>384.6</v>
      </c>
      <c r="K111" s="103">
        <v>26434.0</v>
      </c>
      <c r="L111" s="103">
        <v>8.0</v>
      </c>
      <c r="M111" s="121">
        <v>479.6</v>
      </c>
      <c r="N111" s="109">
        <f t="shared" ref="N111:N128" si="45">J111/M111</f>
        <v>0.8019182652</v>
      </c>
      <c r="O111" s="110">
        <f t="shared" si="5"/>
        <v>1.24700988</v>
      </c>
      <c r="P111" s="109">
        <f t="shared" si="6"/>
        <v>0.5805721187</v>
      </c>
      <c r="Q111" s="111">
        <f t="shared" si="7"/>
        <v>0.7239791682</v>
      </c>
      <c r="R111" s="122">
        <f t="shared" si="44"/>
        <v>182.85</v>
      </c>
      <c r="S111" s="113">
        <f t="shared" si="9"/>
        <v>48.075</v>
      </c>
      <c r="T111" s="114"/>
      <c r="U111" s="114"/>
      <c r="V111" s="114"/>
      <c r="W111" s="114"/>
      <c r="X111" s="115"/>
      <c r="Y111" s="98"/>
      <c r="Z111" s="98"/>
    </row>
    <row r="112" hidden="1" outlineLevel="1">
      <c r="A112" s="98"/>
      <c r="B112" s="116"/>
      <c r="C112" s="100" t="s">
        <v>36</v>
      </c>
      <c r="D112" s="120">
        <v>824.35</v>
      </c>
      <c r="E112" s="103">
        <v>13.0</v>
      </c>
      <c r="F112" s="103">
        <v>12.0</v>
      </c>
      <c r="G112" s="104">
        <f t="shared" si="1"/>
        <v>1.083333333</v>
      </c>
      <c r="H112" s="105">
        <f t="shared" si="2"/>
        <v>63.41153846</v>
      </c>
      <c r="I112" s="106">
        <f t="shared" si="3"/>
        <v>58.53372781</v>
      </c>
      <c r="J112" s="120">
        <v>32.98</v>
      </c>
      <c r="K112" s="103">
        <v>14982.0</v>
      </c>
      <c r="L112" s="103">
        <v>3.0</v>
      </c>
      <c r="M112" s="121">
        <v>179.85</v>
      </c>
      <c r="N112" s="109">
        <f t="shared" si="45"/>
        <v>0.1833750348</v>
      </c>
      <c r="O112" s="110">
        <f t="shared" si="5"/>
        <v>5.453305033</v>
      </c>
      <c r="P112" s="109">
        <f t="shared" si="6"/>
        <v>0.04000727846</v>
      </c>
      <c r="Q112" s="111">
        <f t="shared" si="7"/>
        <v>0.218171893</v>
      </c>
      <c r="R112" s="122">
        <f t="shared" si="44"/>
        <v>644.5</v>
      </c>
      <c r="S112" s="113">
        <f t="shared" si="9"/>
        <v>10.99333333</v>
      </c>
      <c r="T112" s="114"/>
      <c r="U112" s="114"/>
      <c r="V112" s="114"/>
      <c r="W112" s="114"/>
      <c r="X112" s="115"/>
      <c r="Y112" s="98"/>
      <c r="Z112" s="98"/>
    </row>
    <row r="113" hidden="1" outlineLevel="1">
      <c r="A113" s="98"/>
      <c r="B113" s="99" t="s">
        <v>37</v>
      </c>
      <c r="C113" s="100" t="s">
        <v>38</v>
      </c>
      <c r="D113" s="123">
        <v>89.9</v>
      </c>
      <c r="E113" s="103">
        <v>2.0</v>
      </c>
      <c r="F113" s="103">
        <v>2.0</v>
      </c>
      <c r="G113" s="104">
        <f t="shared" si="1"/>
        <v>1</v>
      </c>
      <c r="H113" s="105">
        <f t="shared" si="2"/>
        <v>44.95</v>
      </c>
      <c r="I113" s="106">
        <f t="shared" si="3"/>
        <v>44.95</v>
      </c>
      <c r="J113" s="123">
        <v>27.53</v>
      </c>
      <c r="K113" s="103">
        <v>94493.0</v>
      </c>
      <c r="L113" s="103">
        <v>2.0</v>
      </c>
      <c r="M113" s="124">
        <v>89.9</v>
      </c>
      <c r="N113" s="109">
        <f t="shared" si="45"/>
        <v>0.3062291435</v>
      </c>
      <c r="O113" s="110">
        <f t="shared" si="5"/>
        <v>3.265528514</v>
      </c>
      <c r="P113" s="109">
        <f t="shared" si="6"/>
        <v>0.3062291435</v>
      </c>
      <c r="Q113" s="111">
        <f t="shared" si="7"/>
        <v>1</v>
      </c>
      <c r="R113" s="125">
        <f t="shared" si="44"/>
        <v>0</v>
      </c>
      <c r="S113" s="113">
        <f t="shared" si="9"/>
        <v>13.765</v>
      </c>
      <c r="T113" s="114"/>
      <c r="U113" s="114"/>
      <c r="V113" s="114"/>
      <c r="W113" s="114"/>
      <c r="X113" s="115"/>
      <c r="Y113" s="98"/>
      <c r="Z113" s="98"/>
    </row>
    <row r="114" hidden="1" outlineLevel="1">
      <c r="A114" s="98"/>
      <c r="B114" s="116"/>
      <c r="C114" s="100" t="s">
        <v>39</v>
      </c>
      <c r="D114" s="126">
        <v>0.0</v>
      </c>
      <c r="E114" s="103">
        <v>0.0</v>
      </c>
      <c r="F114" s="103">
        <v>0.0</v>
      </c>
      <c r="G114" s="104" t="str">
        <f t="shared" si="1"/>
        <v>#DIV/0!</v>
      </c>
      <c r="H114" s="105" t="str">
        <f t="shared" si="2"/>
        <v>#DIV/0!</v>
      </c>
      <c r="I114" s="106" t="str">
        <f t="shared" si="3"/>
        <v>#DIV/0!</v>
      </c>
      <c r="J114" s="126">
        <v>0.0</v>
      </c>
      <c r="K114" s="103">
        <v>0.0</v>
      </c>
      <c r="L114" s="103">
        <v>0.0</v>
      </c>
      <c r="M114" s="127">
        <v>0.0</v>
      </c>
      <c r="N114" s="109" t="str">
        <f t="shared" si="45"/>
        <v>#DIV/0!</v>
      </c>
      <c r="O114" s="110" t="str">
        <f t="shared" si="5"/>
        <v>#DIV/0!</v>
      </c>
      <c r="P114" s="109" t="str">
        <f t="shared" si="6"/>
        <v>#DIV/0!</v>
      </c>
      <c r="Q114" s="111" t="str">
        <f t="shared" si="7"/>
        <v>#DIV/0!</v>
      </c>
      <c r="R114" s="128">
        <f t="shared" si="44"/>
        <v>0</v>
      </c>
      <c r="S114" s="113" t="str">
        <f t="shared" si="9"/>
        <v>#DIV/0!</v>
      </c>
      <c r="T114" s="114"/>
      <c r="U114" s="114"/>
      <c r="V114" s="114"/>
      <c r="W114" s="114"/>
      <c r="X114" s="115"/>
      <c r="Y114" s="98"/>
      <c r="Z114" s="98"/>
    </row>
    <row r="115" hidden="1" outlineLevel="1">
      <c r="A115" s="98"/>
      <c r="B115" s="116"/>
      <c r="C115" s="100" t="s">
        <v>40</v>
      </c>
      <c r="D115" s="129">
        <v>0.0</v>
      </c>
      <c r="E115" s="103">
        <v>0.0</v>
      </c>
      <c r="F115" s="103">
        <v>0.0</v>
      </c>
      <c r="G115" s="104" t="str">
        <f t="shared" si="1"/>
        <v>#DIV/0!</v>
      </c>
      <c r="H115" s="105" t="str">
        <f t="shared" si="2"/>
        <v>#DIV/0!</v>
      </c>
      <c r="I115" s="106" t="str">
        <f t="shared" si="3"/>
        <v>#DIV/0!</v>
      </c>
      <c r="J115" s="129">
        <v>0.0</v>
      </c>
      <c r="K115" s="103">
        <v>0.0</v>
      </c>
      <c r="L115" s="103">
        <v>0.0</v>
      </c>
      <c r="M115" s="130">
        <v>0.0</v>
      </c>
      <c r="N115" s="109" t="str">
        <f t="shared" si="45"/>
        <v>#DIV/0!</v>
      </c>
      <c r="O115" s="110" t="str">
        <f t="shared" si="5"/>
        <v>#DIV/0!</v>
      </c>
      <c r="P115" s="109" t="str">
        <f t="shared" si="6"/>
        <v>#DIV/0!</v>
      </c>
      <c r="Q115" s="111" t="str">
        <f t="shared" si="7"/>
        <v>#DIV/0!</v>
      </c>
      <c r="R115" s="131">
        <f t="shared" si="44"/>
        <v>0</v>
      </c>
      <c r="S115" s="113" t="str">
        <f t="shared" si="9"/>
        <v>#DIV/0!</v>
      </c>
      <c r="T115" s="114"/>
      <c r="U115" s="114"/>
      <c r="V115" s="114"/>
      <c r="W115" s="114"/>
      <c r="X115" s="115"/>
      <c r="Y115" s="98"/>
      <c r="Z115" s="98"/>
    </row>
    <row r="116" hidden="1" outlineLevel="1">
      <c r="A116" s="98"/>
      <c r="B116" s="116"/>
      <c r="C116" s="100" t="s">
        <v>41</v>
      </c>
      <c r="D116" s="132">
        <v>1951.25</v>
      </c>
      <c r="E116" s="103">
        <v>24.0</v>
      </c>
      <c r="F116" s="103">
        <v>23.0</v>
      </c>
      <c r="G116" s="104">
        <f t="shared" si="1"/>
        <v>1.043478261</v>
      </c>
      <c r="H116" s="105">
        <f t="shared" si="2"/>
        <v>81.30208333</v>
      </c>
      <c r="I116" s="106">
        <f t="shared" si="3"/>
        <v>77.91449653</v>
      </c>
      <c r="J116" s="132">
        <v>375.28</v>
      </c>
      <c r="K116" s="103">
        <v>37748.0</v>
      </c>
      <c r="L116" s="103">
        <v>12.0</v>
      </c>
      <c r="M116" s="133">
        <v>680.64</v>
      </c>
      <c r="N116" s="109">
        <f t="shared" si="45"/>
        <v>0.5513634227</v>
      </c>
      <c r="O116" s="110">
        <f t="shared" si="5"/>
        <v>1.813685781</v>
      </c>
      <c r="P116" s="109">
        <f t="shared" si="6"/>
        <v>0.1923279949</v>
      </c>
      <c r="Q116" s="111">
        <f t="shared" si="7"/>
        <v>0.3488225496</v>
      </c>
      <c r="R116" s="134">
        <f t="shared" si="44"/>
        <v>1270.61</v>
      </c>
      <c r="S116" s="113">
        <f t="shared" si="9"/>
        <v>31.27333333</v>
      </c>
      <c r="T116" s="114"/>
      <c r="U116" s="114"/>
      <c r="V116" s="114"/>
      <c r="W116" s="114"/>
      <c r="X116" s="115"/>
      <c r="Y116" s="98"/>
      <c r="Z116" s="98"/>
    </row>
    <row r="117" hidden="1" outlineLevel="1">
      <c r="A117" s="98"/>
      <c r="B117" s="116"/>
      <c r="C117" s="100" t="s">
        <v>42</v>
      </c>
      <c r="D117" s="120">
        <v>119.94</v>
      </c>
      <c r="E117" s="103">
        <v>6.0</v>
      </c>
      <c r="F117" s="103">
        <v>6.0</v>
      </c>
      <c r="G117" s="104">
        <f t="shared" si="1"/>
        <v>1</v>
      </c>
      <c r="H117" s="105">
        <f t="shared" si="2"/>
        <v>19.99</v>
      </c>
      <c r="I117" s="106">
        <f t="shared" si="3"/>
        <v>19.99</v>
      </c>
      <c r="J117" s="120">
        <v>323.8</v>
      </c>
      <c r="K117" s="103">
        <v>62858.0</v>
      </c>
      <c r="L117" s="103">
        <v>3.0</v>
      </c>
      <c r="M117" s="121">
        <v>59.97</v>
      </c>
      <c r="N117" s="109">
        <f t="shared" si="45"/>
        <v>5.39936635</v>
      </c>
      <c r="O117" s="110">
        <f t="shared" si="5"/>
        <v>0.1852069179</v>
      </c>
      <c r="P117" s="109">
        <f t="shared" si="6"/>
        <v>2.699683175</v>
      </c>
      <c r="Q117" s="111">
        <f t="shared" si="7"/>
        <v>0.5</v>
      </c>
      <c r="R117" s="122">
        <f t="shared" si="44"/>
        <v>59.97</v>
      </c>
      <c r="S117" s="113">
        <f t="shared" si="9"/>
        <v>107.9333333</v>
      </c>
      <c r="T117" s="114"/>
      <c r="U117" s="114"/>
      <c r="V117" s="114"/>
      <c r="W117" s="114"/>
      <c r="X117" s="115"/>
      <c r="Y117" s="98"/>
      <c r="Z117" s="98"/>
    </row>
    <row r="118" hidden="1" outlineLevel="1">
      <c r="A118" s="98"/>
      <c r="B118" s="116"/>
      <c r="C118" s="100" t="s">
        <v>43</v>
      </c>
      <c r="D118" s="135">
        <v>1325.54</v>
      </c>
      <c r="E118" s="103">
        <v>11.0</v>
      </c>
      <c r="F118" s="103">
        <v>11.0</v>
      </c>
      <c r="G118" s="104">
        <f t="shared" si="1"/>
        <v>1</v>
      </c>
      <c r="H118" s="105">
        <f t="shared" si="2"/>
        <v>120.5036364</v>
      </c>
      <c r="I118" s="106">
        <f t="shared" si="3"/>
        <v>120.5036364</v>
      </c>
      <c r="J118" s="135">
        <v>56.8</v>
      </c>
      <c r="K118" s="103">
        <v>7269.0</v>
      </c>
      <c r="L118" s="103">
        <v>2.0</v>
      </c>
      <c r="M118" s="136">
        <v>205.95</v>
      </c>
      <c r="N118" s="109">
        <f t="shared" si="45"/>
        <v>0.2757950959</v>
      </c>
      <c r="O118" s="110">
        <f t="shared" si="5"/>
        <v>3.625880282</v>
      </c>
      <c r="P118" s="109">
        <f t="shared" si="6"/>
        <v>0.04285046094</v>
      </c>
      <c r="Q118" s="111">
        <f t="shared" si="7"/>
        <v>0.1553706414</v>
      </c>
      <c r="R118" s="137">
        <f t="shared" si="44"/>
        <v>1119.59</v>
      </c>
      <c r="S118" s="113">
        <f t="shared" si="9"/>
        <v>28.4</v>
      </c>
      <c r="T118" s="114"/>
      <c r="U118" s="114"/>
      <c r="V118" s="114"/>
      <c r="W118" s="114"/>
      <c r="X118" s="115"/>
      <c r="Y118" s="98"/>
      <c r="Z118" s="98"/>
    </row>
    <row r="119" hidden="1" outlineLevel="1">
      <c r="A119" s="98"/>
      <c r="B119" s="116"/>
      <c r="C119" s="100" t="s">
        <v>44</v>
      </c>
      <c r="D119" s="138">
        <v>479.6</v>
      </c>
      <c r="E119" s="103">
        <v>8.0</v>
      </c>
      <c r="F119" s="103">
        <v>7.0</v>
      </c>
      <c r="G119" s="104">
        <f t="shared" si="1"/>
        <v>1.142857143</v>
      </c>
      <c r="H119" s="105">
        <f t="shared" si="2"/>
        <v>59.95</v>
      </c>
      <c r="I119" s="106">
        <f t="shared" si="3"/>
        <v>52.45625</v>
      </c>
      <c r="J119" s="138">
        <v>87.5</v>
      </c>
      <c r="K119" s="103">
        <v>43140.0</v>
      </c>
      <c r="L119" s="103">
        <v>3.0</v>
      </c>
      <c r="M119" s="139">
        <v>179.85</v>
      </c>
      <c r="N119" s="109">
        <f t="shared" si="45"/>
        <v>0.4865165416</v>
      </c>
      <c r="O119" s="110">
        <f t="shared" si="5"/>
        <v>2.055428571</v>
      </c>
      <c r="P119" s="109">
        <f t="shared" si="6"/>
        <v>0.1824437031</v>
      </c>
      <c r="Q119" s="111">
        <f t="shared" si="7"/>
        <v>0.375</v>
      </c>
      <c r="R119" s="140">
        <f t="shared" si="44"/>
        <v>299.75</v>
      </c>
      <c r="S119" s="113">
        <f t="shared" si="9"/>
        <v>29.16666667</v>
      </c>
      <c r="T119" s="114"/>
      <c r="U119" s="114"/>
      <c r="V119" s="114"/>
      <c r="W119" s="114"/>
      <c r="X119" s="115"/>
      <c r="Y119" s="98"/>
      <c r="Z119" s="98"/>
    </row>
    <row r="120" hidden="1" outlineLevel="1">
      <c r="A120" s="141"/>
      <c r="B120" s="116"/>
      <c r="C120" s="142" t="s">
        <v>45</v>
      </c>
      <c r="D120" s="101">
        <v>0.0</v>
      </c>
      <c r="E120" s="103">
        <v>0.0</v>
      </c>
      <c r="F120" s="103">
        <v>0.0</v>
      </c>
      <c r="G120" s="104" t="str">
        <f t="shared" si="1"/>
        <v>#DIV/0!</v>
      </c>
      <c r="H120" s="105" t="str">
        <f t="shared" si="2"/>
        <v>#DIV/0!</v>
      </c>
      <c r="I120" s="106" t="str">
        <f t="shared" si="3"/>
        <v>#DIV/0!</v>
      </c>
      <c r="J120" s="101">
        <v>0.0</v>
      </c>
      <c r="K120" s="103">
        <v>0.0</v>
      </c>
      <c r="L120" s="103">
        <v>0.0</v>
      </c>
      <c r="M120" s="108">
        <v>0.0</v>
      </c>
      <c r="N120" s="109" t="str">
        <f t="shared" si="45"/>
        <v>#DIV/0!</v>
      </c>
      <c r="O120" s="110" t="str">
        <f t="shared" si="5"/>
        <v>#DIV/0!</v>
      </c>
      <c r="P120" s="109" t="str">
        <f t="shared" si="6"/>
        <v>#DIV/0!</v>
      </c>
      <c r="Q120" s="111" t="str">
        <f t="shared" si="7"/>
        <v>#DIV/0!</v>
      </c>
      <c r="R120" s="112">
        <f t="shared" si="44"/>
        <v>0</v>
      </c>
      <c r="S120" s="113" t="str">
        <f t="shared" si="9"/>
        <v>#DIV/0!</v>
      </c>
      <c r="T120" s="143"/>
      <c r="U120" s="143"/>
      <c r="V120" s="143"/>
      <c r="W120" s="144"/>
      <c r="X120" s="145"/>
      <c r="Y120" s="98"/>
      <c r="Z120" s="98"/>
    </row>
    <row r="121" hidden="1" outlineLevel="1">
      <c r="A121" s="98"/>
      <c r="B121" s="116"/>
      <c r="C121" s="100" t="s">
        <v>46</v>
      </c>
      <c r="D121" s="146">
        <v>1222.6</v>
      </c>
      <c r="E121" s="103">
        <v>28.0</v>
      </c>
      <c r="F121" s="103">
        <v>29.0</v>
      </c>
      <c r="G121" s="104">
        <f t="shared" si="1"/>
        <v>0.9655172414</v>
      </c>
      <c r="H121" s="105">
        <f t="shared" si="2"/>
        <v>43.66428571</v>
      </c>
      <c r="I121" s="106">
        <f t="shared" si="3"/>
        <v>45.22372449</v>
      </c>
      <c r="J121" s="146">
        <v>178.14</v>
      </c>
      <c r="K121" s="103">
        <v>39564.0</v>
      </c>
      <c r="L121" s="103">
        <v>8.0</v>
      </c>
      <c r="M121" s="147">
        <v>304.65</v>
      </c>
      <c r="N121" s="109">
        <f t="shared" si="45"/>
        <v>0.584736583</v>
      </c>
      <c r="O121" s="110">
        <f t="shared" si="5"/>
        <v>1.710171775</v>
      </c>
      <c r="P121" s="109">
        <f t="shared" si="6"/>
        <v>0.1457058727</v>
      </c>
      <c r="Q121" s="111">
        <f t="shared" si="7"/>
        <v>0.249182071</v>
      </c>
      <c r="R121" s="112">
        <f t="shared" si="44"/>
        <v>917.95</v>
      </c>
      <c r="S121" s="113">
        <f t="shared" si="9"/>
        <v>22.2675</v>
      </c>
      <c r="T121" s="114"/>
      <c r="U121" s="114"/>
      <c r="V121" s="114"/>
      <c r="W121" s="114"/>
      <c r="X121" s="115"/>
      <c r="Y121" s="98"/>
      <c r="Z121" s="98"/>
    </row>
    <row r="122" hidden="1" outlineLevel="1">
      <c r="A122" s="98"/>
      <c r="B122" s="116"/>
      <c r="C122" s="100" t="s">
        <v>47</v>
      </c>
      <c r="D122" s="117">
        <v>119.4</v>
      </c>
      <c r="E122" s="103">
        <v>4.0</v>
      </c>
      <c r="F122" s="103">
        <v>2.0</v>
      </c>
      <c r="G122" s="104">
        <f t="shared" si="1"/>
        <v>2</v>
      </c>
      <c r="H122" s="105">
        <f t="shared" si="2"/>
        <v>29.85</v>
      </c>
      <c r="I122" s="106">
        <f t="shared" si="3"/>
        <v>14.925</v>
      </c>
      <c r="J122" s="117">
        <v>0.0</v>
      </c>
      <c r="K122" s="103">
        <v>0.0</v>
      </c>
      <c r="L122" s="103">
        <v>0.0</v>
      </c>
      <c r="M122" s="118">
        <v>0.0</v>
      </c>
      <c r="N122" s="109" t="str">
        <f t="shared" si="45"/>
        <v>#DIV/0!</v>
      </c>
      <c r="O122" s="110" t="str">
        <f t="shared" si="5"/>
        <v>#DIV/0!</v>
      </c>
      <c r="P122" s="109">
        <f t="shared" si="6"/>
        <v>0</v>
      </c>
      <c r="Q122" s="111">
        <f t="shared" si="7"/>
        <v>0</v>
      </c>
      <c r="R122" s="112">
        <f t="shared" si="44"/>
        <v>119.4</v>
      </c>
      <c r="S122" s="113" t="str">
        <f t="shared" si="9"/>
        <v>#DIV/0!</v>
      </c>
      <c r="T122" s="114"/>
      <c r="U122" s="114"/>
      <c r="V122" s="114"/>
      <c r="W122" s="114"/>
      <c r="X122" s="115"/>
      <c r="Y122" s="98"/>
      <c r="Z122" s="98"/>
    </row>
    <row r="123" hidden="1" outlineLevel="1">
      <c r="A123" s="98"/>
      <c r="B123" s="116"/>
      <c r="C123" s="100" t="s">
        <v>48</v>
      </c>
      <c r="D123" s="132">
        <v>2099.5</v>
      </c>
      <c r="E123" s="103">
        <v>10.0</v>
      </c>
      <c r="F123" s="103">
        <v>12.0</v>
      </c>
      <c r="G123" s="104">
        <f t="shared" si="1"/>
        <v>0.8333333333</v>
      </c>
      <c r="H123" s="105">
        <f t="shared" si="2"/>
        <v>209.95</v>
      </c>
      <c r="I123" s="106">
        <f t="shared" si="3"/>
        <v>251.94</v>
      </c>
      <c r="J123" s="132">
        <v>488.02</v>
      </c>
      <c r="K123" s="103">
        <v>41395.0</v>
      </c>
      <c r="L123" s="103">
        <v>8.0</v>
      </c>
      <c r="M123" s="133">
        <v>1179.7</v>
      </c>
      <c r="N123" s="109">
        <f t="shared" si="45"/>
        <v>0.4136814444</v>
      </c>
      <c r="O123" s="110">
        <f t="shared" si="5"/>
        <v>2.417318962</v>
      </c>
      <c r="P123" s="109">
        <f t="shared" si="6"/>
        <v>0.2324458204</v>
      </c>
      <c r="Q123" s="111">
        <f t="shared" si="7"/>
        <v>0.5618956894</v>
      </c>
      <c r="R123" s="112">
        <f t="shared" si="44"/>
        <v>919.8</v>
      </c>
      <c r="S123" s="113">
        <f t="shared" si="9"/>
        <v>61.0025</v>
      </c>
      <c r="T123" s="114"/>
      <c r="U123" s="114"/>
      <c r="V123" s="114"/>
      <c r="W123" s="114"/>
      <c r="X123" s="115"/>
      <c r="Y123" s="98"/>
      <c r="Z123" s="98"/>
    </row>
    <row r="124" hidden="1" outlineLevel="1">
      <c r="A124" s="98"/>
      <c r="B124" s="116"/>
      <c r="C124" s="100" t="s">
        <v>49</v>
      </c>
      <c r="D124" s="146">
        <v>30.0</v>
      </c>
      <c r="E124" s="103">
        <v>1.0</v>
      </c>
      <c r="F124" s="103">
        <v>1.0</v>
      </c>
      <c r="G124" s="104">
        <f t="shared" si="1"/>
        <v>1</v>
      </c>
      <c r="H124" s="105">
        <f t="shared" si="2"/>
        <v>30</v>
      </c>
      <c r="I124" s="106">
        <f t="shared" si="3"/>
        <v>30</v>
      </c>
      <c r="J124" s="146">
        <v>7.0</v>
      </c>
      <c r="K124" s="103">
        <v>7982.0</v>
      </c>
      <c r="L124" s="103">
        <v>1.0</v>
      </c>
      <c r="M124" s="147">
        <v>30.0</v>
      </c>
      <c r="N124" s="109">
        <f t="shared" si="45"/>
        <v>0.2333333333</v>
      </c>
      <c r="O124" s="110">
        <f t="shared" si="5"/>
        <v>4.285714286</v>
      </c>
      <c r="P124" s="109">
        <f t="shared" si="6"/>
        <v>0.2333333333</v>
      </c>
      <c r="Q124" s="111">
        <f t="shared" si="7"/>
        <v>1</v>
      </c>
      <c r="R124" s="112">
        <f t="shared" si="44"/>
        <v>0</v>
      </c>
      <c r="S124" s="113">
        <f t="shared" si="9"/>
        <v>7</v>
      </c>
      <c r="T124" s="114"/>
      <c r="U124" s="114"/>
      <c r="V124" s="114"/>
      <c r="W124" s="114"/>
      <c r="X124" s="115"/>
      <c r="Y124" s="98"/>
      <c r="Z124" s="98"/>
    </row>
    <row r="125" hidden="1" outlineLevel="1">
      <c r="A125" s="148" t="str">
        <f t="shared" ref="A125:A126" si="46">iferror(if(B125&gt;0,month(B125)&amp;"-"&amp;year(B125),B125),)</f>
        <v>1-2026</v>
      </c>
      <c r="B125" s="99">
        <v>46053.0</v>
      </c>
      <c r="C125" s="277" t="s">
        <v>67</v>
      </c>
      <c r="D125" s="146">
        <v>0.0</v>
      </c>
      <c r="E125" s="103">
        <v>0.0</v>
      </c>
      <c r="F125" s="103">
        <v>0.0</v>
      </c>
      <c r="G125" s="104" t="str">
        <f t="shared" si="1"/>
        <v>#DIV/0!</v>
      </c>
      <c r="H125" s="105" t="str">
        <f t="shared" si="2"/>
        <v>#DIV/0!</v>
      </c>
      <c r="I125" s="106" t="str">
        <f t="shared" si="3"/>
        <v>#DIV/0!</v>
      </c>
      <c r="J125" s="117">
        <v>3032.95</v>
      </c>
      <c r="K125" s="278">
        <v>264038.0</v>
      </c>
      <c r="L125" s="103">
        <v>0.0</v>
      </c>
      <c r="M125" s="118">
        <v>9507.420000000002</v>
      </c>
      <c r="N125" s="109">
        <f t="shared" si="45"/>
        <v>0.3190087321</v>
      </c>
      <c r="O125" s="110">
        <f t="shared" si="5"/>
        <v>3.13471043</v>
      </c>
      <c r="P125" s="109" t="str">
        <f t="shared" si="6"/>
        <v>#DIV/0!</v>
      </c>
      <c r="Q125" s="111" t="str">
        <f t="shared" si="7"/>
        <v>#DIV/0!</v>
      </c>
      <c r="R125" s="112">
        <f t="shared" si="44"/>
        <v>-9507.42</v>
      </c>
      <c r="S125" s="113" t="str">
        <f t="shared" si="9"/>
        <v>#DIV/0!</v>
      </c>
      <c r="T125" s="114"/>
      <c r="U125" s="114"/>
      <c r="V125" s="114"/>
      <c r="W125" s="114"/>
      <c r="X125" s="115"/>
      <c r="Y125" s="98"/>
      <c r="Z125" s="98"/>
    </row>
    <row r="126" collapsed="1">
      <c r="A126" s="98" t="str">
        <f t="shared" si="46"/>
        <v/>
      </c>
      <c r="B126" s="149" t="s">
        <v>55</v>
      </c>
      <c r="C126" s="150"/>
      <c r="D126" s="151">
        <f t="shared" ref="D126:F126" si="47">SUM(D108:D125)</f>
        <v>18913.37</v>
      </c>
      <c r="E126" s="153">
        <f t="shared" si="47"/>
        <v>235</v>
      </c>
      <c r="F126" s="153">
        <f t="shared" si="47"/>
        <v>251</v>
      </c>
      <c r="G126" s="154">
        <f t="shared" si="1"/>
        <v>0.9362549801</v>
      </c>
      <c r="H126" s="155">
        <f t="shared" si="2"/>
        <v>80.48242553</v>
      </c>
      <c r="I126" s="156">
        <f t="shared" si="3"/>
        <v>85.96208004</v>
      </c>
      <c r="J126" s="151">
        <f t="shared" ref="J126:M126" si="48">SUM(J108:J125)</f>
        <v>6275.78</v>
      </c>
      <c r="K126" s="153">
        <f t="shared" si="48"/>
        <v>906134</v>
      </c>
      <c r="L126" s="153">
        <f t="shared" si="48"/>
        <v>74</v>
      </c>
      <c r="M126" s="157">
        <f t="shared" si="48"/>
        <v>16440.07</v>
      </c>
      <c r="N126" s="158">
        <f t="shared" si="45"/>
        <v>0.3817368174</v>
      </c>
      <c r="O126" s="159">
        <f t="shared" si="5"/>
        <v>2.61960585</v>
      </c>
      <c r="P126" s="158">
        <f t="shared" si="6"/>
        <v>0.331817122</v>
      </c>
      <c r="Q126" s="160">
        <f t="shared" si="7"/>
        <v>0.8692300738</v>
      </c>
      <c r="R126" s="161">
        <f>SUM(R108:R125)</f>
        <v>2473.3</v>
      </c>
      <c r="S126" s="162">
        <f t="shared" si="9"/>
        <v>84.80783784</v>
      </c>
      <c r="T126" s="164" t="str">
        <f t="shared" ref="T126:U126" si="49">IFERROR((D126-#REF!)/D126,)</f>
        <v/>
      </c>
      <c r="U126" s="164" t="str">
        <f t="shared" si="49"/>
        <v/>
      </c>
      <c r="V126" s="164" t="str">
        <f t="shared" ref="V126:W126" si="50">IFERROR((D126-#REF!)/D126, )</f>
        <v/>
      </c>
      <c r="W126" s="164" t="str">
        <f t="shared" si="50"/>
        <v/>
      </c>
      <c r="X126" s="98"/>
      <c r="Y126" s="98"/>
      <c r="Z126" s="98"/>
    </row>
    <row r="127" hidden="1" outlineLevel="1">
      <c r="A127" s="98"/>
      <c r="B127" s="99">
        <v>46054.0</v>
      </c>
      <c r="C127" s="100" t="s">
        <v>32</v>
      </c>
      <c r="D127" s="101">
        <v>2163.12</v>
      </c>
      <c r="E127" s="103">
        <v>22.0</v>
      </c>
      <c r="F127" s="103">
        <v>27.0</v>
      </c>
      <c r="G127" s="104">
        <f t="shared" si="1"/>
        <v>0.8148148148</v>
      </c>
      <c r="H127" s="105">
        <f t="shared" si="2"/>
        <v>98.32363636</v>
      </c>
      <c r="I127" s="106">
        <f t="shared" si="3"/>
        <v>120.6699174</v>
      </c>
      <c r="J127" s="107">
        <v>485.61</v>
      </c>
      <c r="K127" s="103">
        <v>108973.0</v>
      </c>
      <c r="L127" s="103">
        <v>7.0</v>
      </c>
      <c r="M127" s="108">
        <v>2102.89</v>
      </c>
      <c r="N127" s="109">
        <f t="shared" si="45"/>
        <v>0.2309250603</v>
      </c>
      <c r="O127" s="110">
        <f t="shared" si="5"/>
        <v>4.330409176</v>
      </c>
      <c r="P127" s="109">
        <f t="shared" si="6"/>
        <v>0.2244951736</v>
      </c>
      <c r="Q127" s="111">
        <f t="shared" si="7"/>
        <v>0.9721559599</v>
      </c>
      <c r="R127" s="112">
        <f t="shared" ref="R127:R144" si="51">D127-M127</f>
        <v>60.23</v>
      </c>
      <c r="S127" s="113">
        <f t="shared" si="9"/>
        <v>69.37285714</v>
      </c>
      <c r="T127" s="114"/>
      <c r="U127" s="114"/>
      <c r="V127" s="114"/>
      <c r="W127" s="114"/>
      <c r="X127" s="115"/>
      <c r="Y127" s="98"/>
      <c r="Z127" s="98"/>
    </row>
    <row r="128" hidden="1" outlineLevel="1">
      <c r="A128" s="98"/>
      <c r="B128" s="116"/>
      <c r="C128" s="100" t="s">
        <v>33</v>
      </c>
      <c r="D128" s="117">
        <v>5763.41</v>
      </c>
      <c r="E128" s="103">
        <v>91.0</v>
      </c>
      <c r="F128" s="103">
        <v>100.0</v>
      </c>
      <c r="G128" s="104">
        <f t="shared" si="1"/>
        <v>0.91</v>
      </c>
      <c r="H128" s="105">
        <f t="shared" si="2"/>
        <v>63.33417582</v>
      </c>
      <c r="I128" s="106">
        <f t="shared" si="3"/>
        <v>69.59799541</v>
      </c>
      <c r="J128" s="117">
        <v>631.74</v>
      </c>
      <c r="K128" s="103">
        <v>142084.0</v>
      </c>
      <c r="L128" s="103">
        <v>23.0</v>
      </c>
      <c r="M128" s="118">
        <v>2126.5</v>
      </c>
      <c r="N128" s="109">
        <f t="shared" si="45"/>
        <v>0.2970797084</v>
      </c>
      <c r="O128" s="110">
        <f t="shared" si="5"/>
        <v>3.366099978</v>
      </c>
      <c r="P128" s="109">
        <f t="shared" si="6"/>
        <v>0.1096121914</v>
      </c>
      <c r="Q128" s="111">
        <f t="shared" si="7"/>
        <v>0.368965595</v>
      </c>
      <c r="R128" s="119">
        <f t="shared" si="51"/>
        <v>3636.91</v>
      </c>
      <c r="S128" s="113">
        <f t="shared" si="9"/>
        <v>27.46695652</v>
      </c>
      <c r="T128" s="114"/>
      <c r="U128" s="114"/>
      <c r="V128" s="114"/>
      <c r="W128" s="114"/>
      <c r="X128" s="115"/>
      <c r="Y128" s="98"/>
      <c r="Z128" s="98"/>
    </row>
    <row r="129" hidden="1" outlineLevel="1">
      <c r="A129" s="98"/>
      <c r="B129" s="116"/>
      <c r="C129" s="100" t="s">
        <v>34</v>
      </c>
      <c r="D129" s="120">
        <v>0.0</v>
      </c>
      <c r="E129" s="103">
        <v>0.0</v>
      </c>
      <c r="F129" s="103">
        <v>0.0</v>
      </c>
      <c r="G129" s="104" t="str">
        <f t="shared" si="1"/>
        <v>#DIV/0!</v>
      </c>
      <c r="H129" s="105" t="str">
        <f t="shared" si="2"/>
        <v>#DIV/0!</v>
      </c>
      <c r="I129" s="106" t="str">
        <f t="shared" si="3"/>
        <v>#DIV/0!</v>
      </c>
      <c r="J129" s="120">
        <v>11.7</v>
      </c>
      <c r="K129" s="103">
        <v>287.0</v>
      </c>
      <c r="L129" s="103">
        <v>0.0</v>
      </c>
      <c r="M129" s="121">
        <v>0.0</v>
      </c>
      <c r="N129" s="109" t="str">
        <f>(J129/M129)</f>
        <v>#DIV/0!</v>
      </c>
      <c r="O129" s="110">
        <f t="shared" si="5"/>
        <v>0</v>
      </c>
      <c r="P129" s="109" t="str">
        <f t="shared" si="6"/>
        <v>#DIV/0!</v>
      </c>
      <c r="Q129" s="111" t="str">
        <f t="shared" si="7"/>
        <v>#DIV/0!</v>
      </c>
      <c r="R129" s="122">
        <f t="shared" si="51"/>
        <v>0</v>
      </c>
      <c r="S129" s="113" t="str">
        <f t="shared" si="9"/>
        <v>#DIV/0!</v>
      </c>
      <c r="T129" s="114"/>
      <c r="U129" s="114"/>
      <c r="V129" s="114"/>
      <c r="W129" s="114"/>
      <c r="X129" s="115"/>
      <c r="Y129" s="98"/>
      <c r="Z129" s="98"/>
    </row>
    <row r="130" hidden="1" outlineLevel="1">
      <c r="A130" s="98"/>
      <c r="B130" s="116"/>
      <c r="C130" s="100" t="s">
        <v>35</v>
      </c>
      <c r="D130" s="120">
        <v>1133.06</v>
      </c>
      <c r="E130" s="103">
        <v>19.0</v>
      </c>
      <c r="F130" s="103">
        <v>16.0</v>
      </c>
      <c r="G130" s="104">
        <f t="shared" si="1"/>
        <v>1.1875</v>
      </c>
      <c r="H130" s="105">
        <f t="shared" si="2"/>
        <v>59.63473684</v>
      </c>
      <c r="I130" s="106">
        <f t="shared" si="3"/>
        <v>50.21872576</v>
      </c>
      <c r="J130" s="120">
        <v>365.77</v>
      </c>
      <c r="K130" s="103">
        <v>24887.0</v>
      </c>
      <c r="L130" s="103">
        <v>6.0</v>
      </c>
      <c r="M130" s="121">
        <v>359.7</v>
      </c>
      <c r="N130" s="109">
        <f t="shared" ref="N130:N147" si="52">J130/M130</f>
        <v>1.016875174</v>
      </c>
      <c r="O130" s="110">
        <f t="shared" si="5"/>
        <v>0.9834048719</v>
      </c>
      <c r="P130" s="109">
        <f t="shared" si="6"/>
        <v>0.3228160909</v>
      </c>
      <c r="Q130" s="111">
        <f t="shared" si="7"/>
        <v>0.3174589166</v>
      </c>
      <c r="R130" s="122">
        <f t="shared" si="51"/>
        <v>773.36</v>
      </c>
      <c r="S130" s="113">
        <f t="shared" si="9"/>
        <v>60.96166667</v>
      </c>
      <c r="T130" s="114"/>
      <c r="U130" s="114"/>
      <c r="V130" s="114"/>
      <c r="W130" s="114"/>
      <c r="X130" s="115"/>
      <c r="Y130" s="98"/>
      <c r="Z130" s="98"/>
    </row>
    <row r="131" hidden="1" outlineLevel="1">
      <c r="A131" s="98"/>
      <c r="B131" s="116"/>
      <c r="C131" s="100" t="s">
        <v>36</v>
      </c>
      <c r="D131" s="120">
        <v>699.45</v>
      </c>
      <c r="E131" s="103">
        <v>11.0</v>
      </c>
      <c r="F131" s="103">
        <v>11.0</v>
      </c>
      <c r="G131" s="104">
        <f t="shared" si="1"/>
        <v>1</v>
      </c>
      <c r="H131" s="105">
        <f t="shared" si="2"/>
        <v>63.58636364</v>
      </c>
      <c r="I131" s="106">
        <f t="shared" si="3"/>
        <v>63.58636364</v>
      </c>
      <c r="J131" s="120">
        <v>44.33</v>
      </c>
      <c r="K131" s="103">
        <v>13257.0</v>
      </c>
      <c r="L131" s="103">
        <v>4.0</v>
      </c>
      <c r="M131" s="121">
        <v>259.8</v>
      </c>
      <c r="N131" s="109">
        <f t="shared" si="52"/>
        <v>0.1706312548</v>
      </c>
      <c r="O131" s="110">
        <f t="shared" si="5"/>
        <v>5.860591022</v>
      </c>
      <c r="P131" s="109">
        <f t="shared" si="6"/>
        <v>0.06337836872</v>
      </c>
      <c r="Q131" s="111">
        <f t="shared" si="7"/>
        <v>0.3714346987</v>
      </c>
      <c r="R131" s="122">
        <f t="shared" si="51"/>
        <v>439.65</v>
      </c>
      <c r="S131" s="113">
        <f t="shared" si="9"/>
        <v>11.0825</v>
      </c>
      <c r="T131" s="114"/>
      <c r="U131" s="114"/>
      <c r="V131" s="114"/>
      <c r="W131" s="114"/>
      <c r="X131" s="115"/>
      <c r="Y131" s="98"/>
      <c r="Z131" s="98"/>
    </row>
    <row r="132" hidden="1" outlineLevel="1">
      <c r="A132" s="98"/>
      <c r="B132" s="99" t="s">
        <v>37</v>
      </c>
      <c r="C132" s="100" t="s">
        <v>38</v>
      </c>
      <c r="D132" s="123">
        <v>80.94</v>
      </c>
      <c r="E132" s="103">
        <v>2.0</v>
      </c>
      <c r="F132" s="103">
        <v>2.0</v>
      </c>
      <c r="G132" s="104">
        <f t="shared" si="1"/>
        <v>1</v>
      </c>
      <c r="H132" s="105">
        <f t="shared" si="2"/>
        <v>40.47</v>
      </c>
      <c r="I132" s="106">
        <f t="shared" si="3"/>
        <v>40.47</v>
      </c>
      <c r="J132" s="123">
        <v>29.97</v>
      </c>
      <c r="K132" s="103">
        <v>196982.0</v>
      </c>
      <c r="L132" s="103">
        <v>2.0</v>
      </c>
      <c r="M132" s="124">
        <v>80.94</v>
      </c>
      <c r="N132" s="109">
        <f t="shared" si="52"/>
        <v>0.3702742772</v>
      </c>
      <c r="O132" s="110">
        <f t="shared" si="5"/>
        <v>2.700700701</v>
      </c>
      <c r="P132" s="109">
        <f t="shared" si="6"/>
        <v>0.3702742772</v>
      </c>
      <c r="Q132" s="111">
        <f t="shared" si="7"/>
        <v>1</v>
      </c>
      <c r="R132" s="125">
        <f t="shared" si="51"/>
        <v>0</v>
      </c>
      <c r="S132" s="113">
        <f t="shared" si="9"/>
        <v>14.985</v>
      </c>
      <c r="T132" s="114"/>
      <c r="U132" s="114"/>
      <c r="V132" s="114"/>
      <c r="W132" s="114"/>
      <c r="X132" s="115"/>
      <c r="Y132" s="98"/>
      <c r="Z132" s="98"/>
    </row>
    <row r="133" hidden="1" outlineLevel="1">
      <c r="A133" s="98"/>
      <c r="B133" s="116"/>
      <c r="C133" s="100" t="s">
        <v>39</v>
      </c>
      <c r="D133" s="126">
        <v>0.0</v>
      </c>
      <c r="E133" s="103">
        <v>0.0</v>
      </c>
      <c r="F133" s="103">
        <v>0.0</v>
      </c>
      <c r="G133" s="104" t="str">
        <f t="shared" si="1"/>
        <v>#DIV/0!</v>
      </c>
      <c r="H133" s="105" t="str">
        <f t="shared" si="2"/>
        <v>#DIV/0!</v>
      </c>
      <c r="I133" s="106" t="str">
        <f t="shared" si="3"/>
        <v>#DIV/0!</v>
      </c>
      <c r="J133" s="126">
        <v>0.0</v>
      </c>
      <c r="K133" s="103">
        <v>0.0</v>
      </c>
      <c r="L133" s="103">
        <v>0.0</v>
      </c>
      <c r="M133" s="127">
        <v>0.0</v>
      </c>
      <c r="N133" s="109" t="str">
        <f t="shared" si="52"/>
        <v>#DIV/0!</v>
      </c>
      <c r="O133" s="110" t="str">
        <f t="shared" si="5"/>
        <v>#DIV/0!</v>
      </c>
      <c r="P133" s="109" t="str">
        <f t="shared" si="6"/>
        <v>#DIV/0!</v>
      </c>
      <c r="Q133" s="111" t="str">
        <f t="shared" si="7"/>
        <v>#DIV/0!</v>
      </c>
      <c r="R133" s="128">
        <f t="shared" si="51"/>
        <v>0</v>
      </c>
      <c r="S133" s="113" t="str">
        <f t="shared" si="9"/>
        <v>#DIV/0!</v>
      </c>
      <c r="T133" s="114"/>
      <c r="U133" s="114"/>
      <c r="V133" s="114"/>
      <c r="W133" s="114"/>
      <c r="X133" s="115"/>
      <c r="Y133" s="98"/>
      <c r="Z133" s="98"/>
    </row>
    <row r="134" hidden="1" outlineLevel="1">
      <c r="A134" s="98"/>
      <c r="B134" s="116"/>
      <c r="C134" s="100" t="s">
        <v>40</v>
      </c>
      <c r="D134" s="129">
        <v>0.0</v>
      </c>
      <c r="E134" s="103">
        <v>0.0</v>
      </c>
      <c r="F134" s="103">
        <v>0.0</v>
      </c>
      <c r="G134" s="104" t="str">
        <f t="shared" si="1"/>
        <v>#DIV/0!</v>
      </c>
      <c r="H134" s="105" t="str">
        <f t="shared" si="2"/>
        <v>#DIV/0!</v>
      </c>
      <c r="I134" s="106" t="str">
        <f t="shared" si="3"/>
        <v>#DIV/0!</v>
      </c>
      <c r="J134" s="129">
        <v>0.0</v>
      </c>
      <c r="K134" s="103">
        <v>0.0</v>
      </c>
      <c r="L134" s="103">
        <v>0.0</v>
      </c>
      <c r="M134" s="130">
        <v>0.0</v>
      </c>
      <c r="N134" s="109" t="str">
        <f t="shared" si="52"/>
        <v>#DIV/0!</v>
      </c>
      <c r="O134" s="110" t="str">
        <f t="shared" si="5"/>
        <v>#DIV/0!</v>
      </c>
      <c r="P134" s="109" t="str">
        <f t="shared" si="6"/>
        <v>#DIV/0!</v>
      </c>
      <c r="Q134" s="111" t="str">
        <f t="shared" si="7"/>
        <v>#DIV/0!</v>
      </c>
      <c r="R134" s="131">
        <f t="shared" si="51"/>
        <v>0</v>
      </c>
      <c r="S134" s="113" t="str">
        <f t="shared" si="9"/>
        <v>#DIV/0!</v>
      </c>
      <c r="T134" s="114"/>
      <c r="U134" s="114"/>
      <c r="V134" s="114"/>
      <c r="W134" s="114"/>
      <c r="X134" s="115"/>
      <c r="Y134" s="98"/>
      <c r="Z134" s="98"/>
    </row>
    <row r="135" hidden="1" outlineLevel="1">
      <c r="A135" s="98"/>
      <c r="B135" s="116"/>
      <c r="C135" s="100" t="s">
        <v>41</v>
      </c>
      <c r="D135" s="132">
        <v>2788.32</v>
      </c>
      <c r="E135" s="103">
        <v>41.0</v>
      </c>
      <c r="F135" s="103">
        <v>40.0</v>
      </c>
      <c r="G135" s="104">
        <f t="shared" si="1"/>
        <v>1.025</v>
      </c>
      <c r="H135" s="105">
        <f t="shared" si="2"/>
        <v>68.00780488</v>
      </c>
      <c r="I135" s="106">
        <f t="shared" si="3"/>
        <v>66.34907793</v>
      </c>
      <c r="J135" s="132">
        <v>556.11</v>
      </c>
      <c r="K135" s="103">
        <v>47970.0</v>
      </c>
      <c r="L135" s="103">
        <v>14.0</v>
      </c>
      <c r="M135" s="133">
        <v>875.87</v>
      </c>
      <c r="N135" s="109">
        <f t="shared" si="52"/>
        <v>0.6349229909</v>
      </c>
      <c r="O135" s="110">
        <f t="shared" si="5"/>
        <v>1.574994156</v>
      </c>
      <c r="P135" s="109">
        <f t="shared" si="6"/>
        <v>0.1994426752</v>
      </c>
      <c r="Q135" s="111">
        <f t="shared" si="7"/>
        <v>0.3141210478</v>
      </c>
      <c r="R135" s="134">
        <f t="shared" si="51"/>
        <v>1912.45</v>
      </c>
      <c r="S135" s="113">
        <f t="shared" si="9"/>
        <v>39.72214286</v>
      </c>
      <c r="T135" s="114"/>
      <c r="U135" s="114"/>
      <c r="V135" s="114"/>
      <c r="W135" s="114"/>
      <c r="X135" s="115"/>
      <c r="Y135" s="98"/>
      <c r="Z135" s="98"/>
    </row>
    <row r="136" hidden="1" outlineLevel="1">
      <c r="A136" s="98"/>
      <c r="B136" s="116"/>
      <c r="C136" s="100" t="s">
        <v>42</v>
      </c>
      <c r="D136" s="120">
        <v>119.94</v>
      </c>
      <c r="E136" s="103">
        <v>6.0</v>
      </c>
      <c r="F136" s="103">
        <v>6.0</v>
      </c>
      <c r="G136" s="104">
        <f t="shared" si="1"/>
        <v>1</v>
      </c>
      <c r="H136" s="105">
        <f t="shared" si="2"/>
        <v>19.99</v>
      </c>
      <c r="I136" s="106">
        <f t="shared" si="3"/>
        <v>19.99</v>
      </c>
      <c r="J136" s="120">
        <v>427.65</v>
      </c>
      <c r="K136" s="103">
        <v>71918.0</v>
      </c>
      <c r="L136" s="103">
        <v>4.0</v>
      </c>
      <c r="M136" s="121">
        <v>79.96</v>
      </c>
      <c r="N136" s="109">
        <f t="shared" si="52"/>
        <v>5.34829915</v>
      </c>
      <c r="O136" s="110">
        <f t="shared" si="5"/>
        <v>0.1869753303</v>
      </c>
      <c r="P136" s="109">
        <f t="shared" si="6"/>
        <v>3.565532766</v>
      </c>
      <c r="Q136" s="111">
        <f t="shared" si="7"/>
        <v>0.6666666667</v>
      </c>
      <c r="R136" s="122">
        <f t="shared" si="51"/>
        <v>39.98</v>
      </c>
      <c r="S136" s="113">
        <f t="shared" si="9"/>
        <v>106.9125</v>
      </c>
      <c r="T136" s="114"/>
      <c r="U136" s="114"/>
      <c r="V136" s="114"/>
      <c r="W136" s="114"/>
      <c r="X136" s="115"/>
      <c r="Y136" s="98"/>
      <c r="Z136" s="98"/>
    </row>
    <row r="137" hidden="1" outlineLevel="1">
      <c r="A137" s="98"/>
      <c r="B137" s="116"/>
      <c r="C137" s="100" t="s">
        <v>43</v>
      </c>
      <c r="D137" s="135">
        <v>1645.47</v>
      </c>
      <c r="E137" s="103">
        <v>13.0</v>
      </c>
      <c r="F137" s="103">
        <v>15.0</v>
      </c>
      <c r="G137" s="104">
        <f t="shared" si="1"/>
        <v>0.8666666667</v>
      </c>
      <c r="H137" s="105">
        <f t="shared" si="2"/>
        <v>126.5746154</v>
      </c>
      <c r="I137" s="106">
        <f t="shared" si="3"/>
        <v>146.0476331</v>
      </c>
      <c r="J137" s="135">
        <v>49.95</v>
      </c>
      <c r="K137" s="103">
        <v>8596.0</v>
      </c>
      <c r="L137" s="103">
        <v>2.0</v>
      </c>
      <c r="M137" s="136">
        <v>205.95</v>
      </c>
      <c r="N137" s="109">
        <f t="shared" si="52"/>
        <v>0.2425345958</v>
      </c>
      <c r="O137" s="110">
        <f t="shared" si="5"/>
        <v>4.123123123</v>
      </c>
      <c r="P137" s="109">
        <f t="shared" si="6"/>
        <v>0.03035606848</v>
      </c>
      <c r="Q137" s="111">
        <f t="shared" si="7"/>
        <v>0.1251618079</v>
      </c>
      <c r="R137" s="137">
        <f t="shared" si="51"/>
        <v>1439.52</v>
      </c>
      <c r="S137" s="113">
        <f t="shared" si="9"/>
        <v>24.975</v>
      </c>
      <c r="T137" s="114"/>
      <c r="U137" s="114"/>
      <c r="V137" s="114"/>
      <c r="W137" s="114"/>
      <c r="X137" s="115"/>
      <c r="Y137" s="98"/>
      <c r="Z137" s="98"/>
    </row>
    <row r="138" hidden="1" outlineLevel="1">
      <c r="A138" s="98"/>
      <c r="B138" s="116"/>
      <c r="C138" s="100" t="s">
        <v>44</v>
      </c>
      <c r="D138" s="138">
        <v>314.75</v>
      </c>
      <c r="E138" s="103">
        <v>5.0</v>
      </c>
      <c r="F138" s="103">
        <v>6.0</v>
      </c>
      <c r="G138" s="104">
        <f t="shared" si="1"/>
        <v>0.8333333333</v>
      </c>
      <c r="H138" s="105">
        <f t="shared" si="2"/>
        <v>62.95</v>
      </c>
      <c r="I138" s="106">
        <f t="shared" si="3"/>
        <v>75.54</v>
      </c>
      <c r="J138" s="138">
        <v>76.14</v>
      </c>
      <c r="K138" s="103">
        <v>55639.0</v>
      </c>
      <c r="L138" s="103">
        <v>4.0</v>
      </c>
      <c r="M138" s="139">
        <v>239.8</v>
      </c>
      <c r="N138" s="109">
        <f t="shared" si="52"/>
        <v>0.3175145955</v>
      </c>
      <c r="O138" s="110">
        <f t="shared" si="5"/>
        <v>3.149461518</v>
      </c>
      <c r="P138" s="109">
        <f t="shared" si="6"/>
        <v>0.2419062748</v>
      </c>
      <c r="Q138" s="111">
        <f t="shared" si="7"/>
        <v>0.7618745036</v>
      </c>
      <c r="R138" s="140">
        <f t="shared" si="51"/>
        <v>74.95</v>
      </c>
      <c r="S138" s="113">
        <f t="shared" si="9"/>
        <v>19.035</v>
      </c>
      <c r="T138" s="114"/>
      <c r="U138" s="114"/>
      <c r="V138" s="114"/>
      <c r="W138" s="114"/>
      <c r="X138" s="115"/>
      <c r="Y138" s="98"/>
      <c r="Z138" s="98"/>
    </row>
    <row r="139" hidden="1" outlineLevel="1">
      <c r="A139" s="141"/>
      <c r="B139" s="116"/>
      <c r="C139" s="142" t="s">
        <v>45</v>
      </c>
      <c r="D139" s="101">
        <v>19.95</v>
      </c>
      <c r="E139" s="103">
        <v>1.0</v>
      </c>
      <c r="F139" s="103">
        <v>3.0</v>
      </c>
      <c r="G139" s="104">
        <f t="shared" si="1"/>
        <v>0.3333333333</v>
      </c>
      <c r="H139" s="105">
        <f t="shared" si="2"/>
        <v>19.95</v>
      </c>
      <c r="I139" s="106">
        <f t="shared" si="3"/>
        <v>59.85</v>
      </c>
      <c r="J139" s="101">
        <v>0.0</v>
      </c>
      <c r="K139" s="103">
        <v>0.0</v>
      </c>
      <c r="L139" s="103">
        <v>0.0</v>
      </c>
      <c r="M139" s="108">
        <v>0.0</v>
      </c>
      <c r="N139" s="109" t="str">
        <f t="shared" si="52"/>
        <v>#DIV/0!</v>
      </c>
      <c r="O139" s="110" t="str">
        <f t="shared" si="5"/>
        <v>#DIV/0!</v>
      </c>
      <c r="P139" s="109">
        <f t="shared" si="6"/>
        <v>0</v>
      </c>
      <c r="Q139" s="111">
        <f t="shared" si="7"/>
        <v>0</v>
      </c>
      <c r="R139" s="112">
        <f t="shared" si="51"/>
        <v>19.95</v>
      </c>
      <c r="S139" s="113" t="str">
        <f t="shared" si="9"/>
        <v>#DIV/0!</v>
      </c>
      <c r="T139" s="143"/>
      <c r="U139" s="143"/>
      <c r="V139" s="143"/>
      <c r="W139" s="144"/>
      <c r="X139" s="145"/>
      <c r="Y139" s="98"/>
      <c r="Z139" s="98"/>
    </row>
    <row r="140" hidden="1" outlineLevel="1">
      <c r="A140" s="98"/>
      <c r="B140" s="116"/>
      <c r="C140" s="100" t="s">
        <v>46</v>
      </c>
      <c r="D140" s="146">
        <v>1126.7</v>
      </c>
      <c r="E140" s="103">
        <v>26.0</v>
      </c>
      <c r="F140" s="103">
        <v>25.0</v>
      </c>
      <c r="G140" s="104">
        <f t="shared" si="1"/>
        <v>1.04</v>
      </c>
      <c r="H140" s="105">
        <f t="shared" si="2"/>
        <v>43.33461538</v>
      </c>
      <c r="I140" s="106">
        <f t="shared" si="3"/>
        <v>41.66789941</v>
      </c>
      <c r="J140" s="146">
        <v>208.44</v>
      </c>
      <c r="K140" s="103">
        <v>54118.0</v>
      </c>
      <c r="L140" s="103">
        <v>5.0</v>
      </c>
      <c r="M140" s="147">
        <v>173.8</v>
      </c>
      <c r="N140" s="109">
        <f t="shared" si="52"/>
        <v>1.199309551</v>
      </c>
      <c r="O140" s="110">
        <f t="shared" si="5"/>
        <v>0.8338130877</v>
      </c>
      <c r="P140" s="109">
        <f t="shared" si="6"/>
        <v>0.1850004438</v>
      </c>
      <c r="Q140" s="111">
        <f t="shared" si="7"/>
        <v>0.1542557912</v>
      </c>
      <c r="R140" s="112">
        <f t="shared" si="51"/>
        <v>952.9</v>
      </c>
      <c r="S140" s="113">
        <f t="shared" si="9"/>
        <v>41.688</v>
      </c>
      <c r="T140" s="114"/>
      <c r="U140" s="114"/>
      <c r="V140" s="114"/>
      <c r="W140" s="114"/>
      <c r="X140" s="115"/>
      <c r="Y140" s="98"/>
      <c r="Z140" s="98"/>
    </row>
    <row r="141" hidden="1" outlineLevel="1">
      <c r="A141" s="98"/>
      <c r="B141" s="116"/>
      <c r="C141" s="100" t="s">
        <v>47</v>
      </c>
      <c r="D141" s="117">
        <v>0.0</v>
      </c>
      <c r="E141" s="103">
        <v>0.0</v>
      </c>
      <c r="F141" s="103">
        <v>0.0</v>
      </c>
      <c r="G141" s="104" t="str">
        <f t="shared" si="1"/>
        <v>#DIV/0!</v>
      </c>
      <c r="H141" s="105" t="str">
        <f t="shared" si="2"/>
        <v>#DIV/0!</v>
      </c>
      <c r="I141" s="106" t="str">
        <f t="shared" si="3"/>
        <v>#DIV/0!</v>
      </c>
      <c r="J141" s="117">
        <v>0.0</v>
      </c>
      <c r="K141" s="103">
        <v>0.0</v>
      </c>
      <c r="L141" s="103">
        <v>0.0</v>
      </c>
      <c r="M141" s="118">
        <v>0.0</v>
      </c>
      <c r="N141" s="109" t="str">
        <f t="shared" si="52"/>
        <v>#DIV/0!</v>
      </c>
      <c r="O141" s="110" t="str">
        <f t="shared" si="5"/>
        <v>#DIV/0!</v>
      </c>
      <c r="P141" s="109" t="str">
        <f t="shared" si="6"/>
        <v>#DIV/0!</v>
      </c>
      <c r="Q141" s="111" t="str">
        <f t="shared" si="7"/>
        <v>#DIV/0!</v>
      </c>
      <c r="R141" s="112">
        <f t="shared" si="51"/>
        <v>0</v>
      </c>
      <c r="S141" s="113" t="str">
        <f t="shared" si="9"/>
        <v>#DIV/0!</v>
      </c>
      <c r="T141" s="114"/>
      <c r="U141" s="114"/>
      <c r="V141" s="114"/>
      <c r="W141" s="114"/>
      <c r="X141" s="115"/>
      <c r="Y141" s="98"/>
      <c r="Z141" s="98"/>
    </row>
    <row r="142" hidden="1" outlineLevel="1">
      <c r="A142" s="98"/>
      <c r="B142" s="116"/>
      <c r="C142" s="100" t="s">
        <v>48</v>
      </c>
      <c r="D142" s="132">
        <v>3894.25</v>
      </c>
      <c r="E142" s="103">
        <v>15.0</v>
      </c>
      <c r="F142" s="103">
        <v>18.0</v>
      </c>
      <c r="G142" s="104">
        <f t="shared" si="1"/>
        <v>0.8333333333</v>
      </c>
      <c r="H142" s="105">
        <f t="shared" si="2"/>
        <v>259.6166667</v>
      </c>
      <c r="I142" s="106">
        <f t="shared" si="3"/>
        <v>311.54</v>
      </c>
      <c r="J142" s="132">
        <v>547.53</v>
      </c>
      <c r="K142" s="103">
        <v>43136.0</v>
      </c>
      <c r="L142" s="103">
        <v>10.0</v>
      </c>
      <c r="M142" s="133">
        <v>2494.5</v>
      </c>
      <c r="N142" s="109">
        <f t="shared" si="52"/>
        <v>0.2194948888</v>
      </c>
      <c r="O142" s="110">
        <f t="shared" si="5"/>
        <v>4.555914744</v>
      </c>
      <c r="P142" s="109">
        <f t="shared" si="6"/>
        <v>0.140599602</v>
      </c>
      <c r="Q142" s="111">
        <f t="shared" si="7"/>
        <v>0.6405597997</v>
      </c>
      <c r="R142" s="112">
        <f t="shared" si="51"/>
        <v>1399.75</v>
      </c>
      <c r="S142" s="113">
        <f t="shared" si="9"/>
        <v>54.753</v>
      </c>
      <c r="T142" s="114"/>
      <c r="U142" s="114"/>
      <c r="V142" s="114"/>
      <c r="W142" s="114"/>
      <c r="X142" s="115"/>
      <c r="Y142" s="98"/>
      <c r="Z142" s="98"/>
    </row>
    <row r="143" hidden="1" outlineLevel="1">
      <c r="A143" s="98"/>
      <c r="B143" s="116"/>
      <c r="C143" s="100" t="s">
        <v>49</v>
      </c>
      <c r="D143" s="146">
        <v>132.0</v>
      </c>
      <c r="E143" s="103">
        <v>0.0</v>
      </c>
      <c r="F143" s="103">
        <v>3.0</v>
      </c>
      <c r="G143" s="104">
        <f t="shared" si="1"/>
        <v>0</v>
      </c>
      <c r="H143" s="105" t="str">
        <f t="shared" si="2"/>
        <v>#DIV/0!</v>
      </c>
      <c r="I143" s="106" t="str">
        <f t="shared" si="3"/>
        <v>#DIV/0!</v>
      </c>
      <c r="J143" s="146">
        <v>6.95</v>
      </c>
      <c r="K143" s="103">
        <v>9436.0</v>
      </c>
      <c r="L143" s="103">
        <v>1.0</v>
      </c>
      <c r="M143" s="147">
        <v>96.0</v>
      </c>
      <c r="N143" s="109">
        <f t="shared" si="52"/>
        <v>0.07239583333</v>
      </c>
      <c r="O143" s="110">
        <f t="shared" si="5"/>
        <v>13.81294964</v>
      </c>
      <c r="P143" s="109">
        <f t="shared" si="6"/>
        <v>0.05265151515</v>
      </c>
      <c r="Q143" s="111">
        <f t="shared" si="7"/>
        <v>0.7272727273</v>
      </c>
      <c r="R143" s="112">
        <f t="shared" si="51"/>
        <v>36</v>
      </c>
      <c r="S143" s="113">
        <f t="shared" si="9"/>
        <v>6.95</v>
      </c>
      <c r="T143" s="114"/>
      <c r="U143" s="114"/>
      <c r="V143" s="114"/>
      <c r="W143" s="114"/>
      <c r="X143" s="115"/>
      <c r="Y143" s="98"/>
      <c r="Z143" s="98"/>
    </row>
    <row r="144" hidden="1" outlineLevel="1">
      <c r="A144" s="148" t="str">
        <f t="shared" ref="A144:A145" si="53">iferror(if(B144&gt;0,month(B144)&amp;"-"&amp;year(B144),B144),)</f>
        <v>2-2026</v>
      </c>
      <c r="B144" s="99">
        <v>46060.0</v>
      </c>
      <c r="C144" s="277" t="s">
        <v>67</v>
      </c>
      <c r="D144" s="146">
        <v>0.0</v>
      </c>
      <c r="E144" s="103">
        <v>0.0</v>
      </c>
      <c r="F144" s="103">
        <v>0.0</v>
      </c>
      <c r="G144" s="104" t="str">
        <f t="shared" si="1"/>
        <v>#DIV/0!</v>
      </c>
      <c r="H144" s="105" t="str">
        <f t="shared" si="2"/>
        <v>#DIV/0!</v>
      </c>
      <c r="I144" s="106" t="str">
        <f t="shared" si="3"/>
        <v>#DIV/0!</v>
      </c>
      <c r="J144" s="117">
        <v>5064.6</v>
      </c>
      <c r="K144" s="278">
        <v>432869.0</v>
      </c>
      <c r="L144" s="103">
        <v>0.0</v>
      </c>
      <c r="M144" s="118">
        <v>10517.509999999998</v>
      </c>
      <c r="N144" s="109">
        <f t="shared" si="52"/>
        <v>0.4815398321</v>
      </c>
      <c r="O144" s="110">
        <f t="shared" si="5"/>
        <v>2.076671405</v>
      </c>
      <c r="P144" s="109" t="str">
        <f t="shared" si="6"/>
        <v>#DIV/0!</v>
      </c>
      <c r="Q144" s="111" t="str">
        <f t="shared" si="7"/>
        <v>#DIV/0!</v>
      </c>
      <c r="R144" s="112">
        <f t="shared" si="51"/>
        <v>-10517.51</v>
      </c>
      <c r="S144" s="113" t="str">
        <f t="shared" si="9"/>
        <v>#DIV/0!</v>
      </c>
      <c r="T144" s="114"/>
      <c r="U144" s="114"/>
      <c r="V144" s="114"/>
      <c r="W144" s="114"/>
      <c r="X144" s="115"/>
      <c r="Y144" s="98"/>
      <c r="Z144" s="98"/>
    </row>
    <row r="145" collapsed="1">
      <c r="A145" s="98" t="str">
        <f t="shared" si="53"/>
        <v/>
      </c>
      <c r="B145" s="149" t="s">
        <v>56</v>
      </c>
      <c r="C145" s="150"/>
      <c r="D145" s="151">
        <f t="shared" ref="D145:F145" si="54">SUM(D127:D144)</f>
        <v>19881.36</v>
      </c>
      <c r="E145" s="153">
        <f t="shared" si="54"/>
        <v>252</v>
      </c>
      <c r="F145" s="153">
        <f t="shared" si="54"/>
        <v>272</v>
      </c>
      <c r="G145" s="154">
        <f t="shared" si="1"/>
        <v>0.9264705882</v>
      </c>
      <c r="H145" s="155">
        <f t="shared" si="2"/>
        <v>78.89428571</v>
      </c>
      <c r="I145" s="156">
        <f t="shared" si="3"/>
        <v>85.15573696</v>
      </c>
      <c r="J145" s="151">
        <f t="shared" ref="J145:M145" si="55">SUM(J127:J144)</f>
        <v>8506.49</v>
      </c>
      <c r="K145" s="153">
        <f t="shared" si="55"/>
        <v>1210152</v>
      </c>
      <c r="L145" s="153">
        <f t="shared" si="55"/>
        <v>82</v>
      </c>
      <c r="M145" s="157">
        <f t="shared" si="55"/>
        <v>19613.22</v>
      </c>
      <c r="N145" s="158">
        <f t="shared" si="52"/>
        <v>0.4337120575</v>
      </c>
      <c r="O145" s="159">
        <f t="shared" si="5"/>
        <v>2.305677195</v>
      </c>
      <c r="P145" s="158">
        <f t="shared" si="6"/>
        <v>0.4278625808</v>
      </c>
      <c r="Q145" s="160">
        <f t="shared" si="7"/>
        <v>0.9865129951</v>
      </c>
      <c r="R145" s="161">
        <f>SUM(R127:R144)</f>
        <v>268.14</v>
      </c>
      <c r="S145" s="162">
        <f t="shared" si="9"/>
        <v>103.7376829</v>
      </c>
      <c r="T145" s="164" t="str">
        <f t="shared" ref="T145:U145" si="56">IFERROR((D145-#REF!)/D145,)</f>
        <v/>
      </c>
      <c r="U145" s="164" t="str">
        <f t="shared" si="56"/>
        <v/>
      </c>
      <c r="V145" s="164" t="str">
        <f t="shared" ref="V145:W145" si="57">IFERROR((D145-#REF!)/D145, )</f>
        <v/>
      </c>
      <c r="W145" s="164" t="str">
        <f t="shared" si="57"/>
        <v/>
      </c>
      <c r="X145" s="98"/>
      <c r="Y145" s="98"/>
      <c r="Z145" s="98"/>
    </row>
    <row r="146" hidden="1" outlineLevel="1">
      <c r="A146" s="98"/>
      <c r="B146" s="99">
        <v>46061.0</v>
      </c>
      <c r="C146" s="100" t="s">
        <v>32</v>
      </c>
      <c r="D146" s="101">
        <v>4540.1</v>
      </c>
      <c r="E146" s="103">
        <v>25.0</v>
      </c>
      <c r="F146" s="103">
        <v>27.0</v>
      </c>
      <c r="G146" s="104">
        <f t="shared" si="1"/>
        <v>0.9259259259</v>
      </c>
      <c r="H146" s="105">
        <f t="shared" si="2"/>
        <v>181.604</v>
      </c>
      <c r="I146" s="106">
        <f t="shared" si="3"/>
        <v>196.13232</v>
      </c>
      <c r="J146" s="107">
        <v>587.8</v>
      </c>
      <c r="K146" s="103">
        <v>104053.0</v>
      </c>
      <c r="L146" s="103">
        <v>4.0</v>
      </c>
      <c r="M146" s="108">
        <v>1546.9</v>
      </c>
      <c r="N146" s="109">
        <f t="shared" si="52"/>
        <v>0.379985778</v>
      </c>
      <c r="O146" s="110">
        <f t="shared" si="5"/>
        <v>2.631677441</v>
      </c>
      <c r="P146" s="109">
        <f t="shared" si="6"/>
        <v>0.1294685139</v>
      </c>
      <c r="Q146" s="111">
        <f t="shared" si="7"/>
        <v>0.3407193674</v>
      </c>
      <c r="R146" s="112">
        <f t="shared" ref="R146:R163" si="58">D146-M146</f>
        <v>2993.2</v>
      </c>
      <c r="S146" s="113">
        <f t="shared" si="9"/>
        <v>146.95</v>
      </c>
      <c r="T146" s="114"/>
      <c r="U146" s="114"/>
      <c r="V146" s="114"/>
      <c r="W146" s="114"/>
      <c r="X146" s="115"/>
      <c r="Y146" s="98"/>
      <c r="Z146" s="98"/>
    </row>
    <row r="147" hidden="1" outlineLevel="1">
      <c r="A147" s="98"/>
      <c r="B147" s="116"/>
      <c r="C147" s="100" t="s">
        <v>33</v>
      </c>
      <c r="D147" s="117">
        <v>3414.65</v>
      </c>
      <c r="E147" s="103">
        <v>35.0</v>
      </c>
      <c r="F147" s="103">
        <v>52.0</v>
      </c>
      <c r="G147" s="104">
        <f t="shared" si="1"/>
        <v>0.6730769231</v>
      </c>
      <c r="H147" s="105">
        <f t="shared" si="2"/>
        <v>97.56142857</v>
      </c>
      <c r="I147" s="106">
        <f t="shared" si="3"/>
        <v>144.9484082</v>
      </c>
      <c r="J147" s="117">
        <v>472.57</v>
      </c>
      <c r="K147" s="103">
        <v>131083.0</v>
      </c>
      <c r="L147" s="103">
        <v>13.0</v>
      </c>
      <c r="M147" s="118">
        <v>934.55</v>
      </c>
      <c r="N147" s="109">
        <f t="shared" si="52"/>
        <v>0.5056658285</v>
      </c>
      <c r="O147" s="110">
        <f t="shared" si="5"/>
        <v>1.977590621</v>
      </c>
      <c r="P147" s="109">
        <f t="shared" si="6"/>
        <v>0.1383948575</v>
      </c>
      <c r="Q147" s="111">
        <f t="shared" si="7"/>
        <v>0.2736883722</v>
      </c>
      <c r="R147" s="119">
        <f t="shared" si="58"/>
        <v>2480.1</v>
      </c>
      <c r="S147" s="113">
        <f t="shared" si="9"/>
        <v>36.35153846</v>
      </c>
      <c r="T147" s="114"/>
      <c r="U147" s="114"/>
      <c r="V147" s="114"/>
      <c r="W147" s="114"/>
      <c r="X147" s="115"/>
      <c r="Y147" s="98"/>
      <c r="Z147" s="98"/>
    </row>
    <row r="148" hidden="1" outlineLevel="1">
      <c r="A148" s="98"/>
      <c r="B148" s="116"/>
      <c r="C148" s="100" t="s">
        <v>34</v>
      </c>
      <c r="D148" s="120">
        <v>0.0</v>
      </c>
      <c r="E148" s="103">
        <v>0.0</v>
      </c>
      <c r="F148" s="103">
        <v>0.0</v>
      </c>
      <c r="G148" s="104" t="str">
        <f t="shared" si="1"/>
        <v>#DIV/0!</v>
      </c>
      <c r="H148" s="105" t="str">
        <f t="shared" si="2"/>
        <v>#DIV/0!</v>
      </c>
      <c r="I148" s="106" t="str">
        <f t="shared" si="3"/>
        <v>#DIV/0!</v>
      </c>
      <c r="J148" s="120">
        <v>0.0</v>
      </c>
      <c r="K148" s="103">
        <v>0.0</v>
      </c>
      <c r="L148" s="103">
        <v>0.0</v>
      </c>
      <c r="M148" s="121">
        <v>0.0</v>
      </c>
      <c r="N148" s="109" t="str">
        <f>(J148/M148)</f>
        <v>#DIV/0!</v>
      </c>
      <c r="O148" s="110" t="str">
        <f t="shared" si="5"/>
        <v>#DIV/0!</v>
      </c>
      <c r="P148" s="109" t="str">
        <f t="shared" si="6"/>
        <v>#DIV/0!</v>
      </c>
      <c r="Q148" s="111" t="str">
        <f t="shared" si="7"/>
        <v>#DIV/0!</v>
      </c>
      <c r="R148" s="122">
        <f t="shared" si="58"/>
        <v>0</v>
      </c>
      <c r="S148" s="113" t="str">
        <f t="shared" si="9"/>
        <v>#DIV/0!</v>
      </c>
      <c r="T148" s="114"/>
      <c r="U148" s="114"/>
      <c r="V148" s="114"/>
      <c r="W148" s="114"/>
      <c r="X148" s="115"/>
      <c r="Y148" s="98"/>
      <c r="Z148" s="98"/>
    </row>
    <row r="149" hidden="1" outlineLevel="1">
      <c r="A149" s="98"/>
      <c r="B149" s="116"/>
      <c r="C149" s="100" t="s">
        <v>35</v>
      </c>
      <c r="D149" s="120">
        <v>359.7</v>
      </c>
      <c r="E149" s="103">
        <v>6.0</v>
      </c>
      <c r="F149" s="103">
        <v>7.0</v>
      </c>
      <c r="G149" s="104">
        <f t="shared" si="1"/>
        <v>0.8571428571</v>
      </c>
      <c r="H149" s="105">
        <f t="shared" si="2"/>
        <v>59.95</v>
      </c>
      <c r="I149" s="106">
        <f t="shared" si="3"/>
        <v>69.94166667</v>
      </c>
      <c r="J149" s="120">
        <v>207.61</v>
      </c>
      <c r="K149" s="103">
        <v>13060.0</v>
      </c>
      <c r="L149" s="103">
        <v>5.0</v>
      </c>
      <c r="M149" s="121">
        <v>299.75</v>
      </c>
      <c r="N149" s="109">
        <f t="shared" ref="N149:N166" si="59">J149/M149</f>
        <v>0.6926105088</v>
      </c>
      <c r="O149" s="110">
        <f t="shared" si="5"/>
        <v>1.443812918</v>
      </c>
      <c r="P149" s="109">
        <f t="shared" si="6"/>
        <v>0.577175424</v>
      </c>
      <c r="Q149" s="111">
        <f t="shared" si="7"/>
        <v>0.8333333333</v>
      </c>
      <c r="R149" s="122">
        <f t="shared" si="58"/>
        <v>59.95</v>
      </c>
      <c r="S149" s="113">
        <f t="shared" si="9"/>
        <v>41.522</v>
      </c>
      <c r="T149" s="114"/>
      <c r="U149" s="114"/>
      <c r="V149" s="114"/>
      <c r="W149" s="114"/>
      <c r="X149" s="115"/>
      <c r="Y149" s="98"/>
      <c r="Z149" s="98"/>
    </row>
    <row r="150" hidden="1" outlineLevel="1">
      <c r="A150" s="98"/>
      <c r="B150" s="116"/>
      <c r="C150" s="100" t="s">
        <v>36</v>
      </c>
      <c r="D150" s="120">
        <v>1019.2</v>
      </c>
      <c r="E150" s="103">
        <v>16.0</v>
      </c>
      <c r="F150" s="103">
        <v>16.0</v>
      </c>
      <c r="G150" s="104">
        <f t="shared" si="1"/>
        <v>1</v>
      </c>
      <c r="H150" s="105">
        <f t="shared" si="2"/>
        <v>63.7</v>
      </c>
      <c r="I150" s="106">
        <f t="shared" si="3"/>
        <v>63.7</v>
      </c>
      <c r="J150" s="120">
        <v>22.35</v>
      </c>
      <c r="K150" s="103">
        <v>13189.0</v>
      </c>
      <c r="L150" s="103">
        <v>2.0</v>
      </c>
      <c r="M150" s="121">
        <v>119.9</v>
      </c>
      <c r="N150" s="109">
        <f t="shared" si="59"/>
        <v>0.1864053378</v>
      </c>
      <c r="O150" s="110">
        <f t="shared" si="5"/>
        <v>5.364653244</v>
      </c>
      <c r="P150" s="109">
        <f t="shared" si="6"/>
        <v>0.02192896389</v>
      </c>
      <c r="Q150" s="111">
        <f t="shared" si="7"/>
        <v>0.1176412873</v>
      </c>
      <c r="R150" s="122">
        <f t="shared" si="58"/>
        <v>899.3</v>
      </c>
      <c r="S150" s="113">
        <f t="shared" si="9"/>
        <v>11.175</v>
      </c>
      <c r="T150" s="114"/>
      <c r="U150" s="114"/>
      <c r="V150" s="114"/>
      <c r="W150" s="114"/>
      <c r="X150" s="115"/>
      <c r="Y150" s="98"/>
      <c r="Z150" s="98"/>
    </row>
    <row r="151" hidden="1" outlineLevel="1">
      <c r="A151" s="98"/>
      <c r="B151" s="99" t="s">
        <v>37</v>
      </c>
      <c r="C151" s="100" t="s">
        <v>38</v>
      </c>
      <c r="D151" s="123">
        <v>0.0</v>
      </c>
      <c r="E151" s="103">
        <v>0.0</v>
      </c>
      <c r="F151" s="103">
        <v>0.0</v>
      </c>
      <c r="G151" s="104" t="str">
        <f t="shared" si="1"/>
        <v>#DIV/0!</v>
      </c>
      <c r="H151" s="105" t="str">
        <f t="shared" si="2"/>
        <v>#DIV/0!</v>
      </c>
      <c r="I151" s="106" t="str">
        <f t="shared" si="3"/>
        <v>#DIV/0!</v>
      </c>
      <c r="J151" s="123">
        <v>33.25</v>
      </c>
      <c r="K151" s="103">
        <v>263412.0</v>
      </c>
      <c r="L151" s="103">
        <v>0.0</v>
      </c>
      <c r="M151" s="124">
        <v>0.0</v>
      </c>
      <c r="N151" s="109" t="str">
        <f t="shared" si="59"/>
        <v>#DIV/0!</v>
      </c>
      <c r="O151" s="110">
        <f t="shared" si="5"/>
        <v>0</v>
      </c>
      <c r="P151" s="109" t="str">
        <f t="shared" si="6"/>
        <v>#DIV/0!</v>
      </c>
      <c r="Q151" s="111" t="str">
        <f t="shared" si="7"/>
        <v>#DIV/0!</v>
      </c>
      <c r="R151" s="125">
        <f t="shared" si="58"/>
        <v>0</v>
      </c>
      <c r="S151" s="113" t="str">
        <f t="shared" si="9"/>
        <v>#DIV/0!</v>
      </c>
      <c r="T151" s="114"/>
      <c r="U151" s="114"/>
      <c r="V151" s="114"/>
      <c r="W151" s="114"/>
      <c r="X151" s="115"/>
      <c r="Y151" s="98"/>
      <c r="Z151" s="98"/>
    </row>
    <row r="152" hidden="1" outlineLevel="1">
      <c r="A152" s="98"/>
      <c r="B152" s="116"/>
      <c r="C152" s="100" t="s">
        <v>39</v>
      </c>
      <c r="D152" s="126">
        <v>0.0</v>
      </c>
      <c r="E152" s="103">
        <v>0.0</v>
      </c>
      <c r="F152" s="103">
        <v>0.0</v>
      </c>
      <c r="G152" s="104" t="str">
        <f t="shared" si="1"/>
        <v>#DIV/0!</v>
      </c>
      <c r="H152" s="105" t="str">
        <f t="shared" si="2"/>
        <v>#DIV/0!</v>
      </c>
      <c r="I152" s="106" t="str">
        <f t="shared" si="3"/>
        <v>#DIV/0!</v>
      </c>
      <c r="J152" s="126">
        <v>0.0</v>
      </c>
      <c r="K152" s="103">
        <v>0.0</v>
      </c>
      <c r="L152" s="103">
        <v>0.0</v>
      </c>
      <c r="M152" s="127">
        <v>0.0</v>
      </c>
      <c r="N152" s="109" t="str">
        <f t="shared" si="59"/>
        <v>#DIV/0!</v>
      </c>
      <c r="O152" s="110" t="str">
        <f t="shared" si="5"/>
        <v>#DIV/0!</v>
      </c>
      <c r="P152" s="109" t="str">
        <f t="shared" si="6"/>
        <v>#DIV/0!</v>
      </c>
      <c r="Q152" s="111" t="str">
        <f t="shared" si="7"/>
        <v>#DIV/0!</v>
      </c>
      <c r="R152" s="128">
        <f t="shared" si="58"/>
        <v>0</v>
      </c>
      <c r="S152" s="113" t="str">
        <f t="shared" si="9"/>
        <v>#DIV/0!</v>
      </c>
      <c r="T152" s="114"/>
      <c r="U152" s="114"/>
      <c r="V152" s="114"/>
      <c r="W152" s="114"/>
      <c r="X152" s="115"/>
      <c r="Y152" s="98"/>
      <c r="Z152" s="98"/>
    </row>
    <row r="153" hidden="1" outlineLevel="1">
      <c r="A153" s="98"/>
      <c r="B153" s="116"/>
      <c r="C153" s="100" t="s">
        <v>40</v>
      </c>
      <c r="D153" s="129">
        <v>0.0</v>
      </c>
      <c r="E153" s="103">
        <v>0.0</v>
      </c>
      <c r="F153" s="103">
        <v>0.0</v>
      </c>
      <c r="G153" s="104" t="str">
        <f t="shared" si="1"/>
        <v>#DIV/0!</v>
      </c>
      <c r="H153" s="105" t="str">
        <f t="shared" si="2"/>
        <v>#DIV/0!</v>
      </c>
      <c r="I153" s="106" t="str">
        <f t="shared" si="3"/>
        <v>#DIV/0!</v>
      </c>
      <c r="J153" s="129">
        <v>0.0</v>
      </c>
      <c r="K153" s="103">
        <v>0.0</v>
      </c>
      <c r="L153" s="103">
        <v>0.0</v>
      </c>
      <c r="M153" s="130">
        <v>0.0</v>
      </c>
      <c r="N153" s="109" t="str">
        <f t="shared" si="59"/>
        <v>#DIV/0!</v>
      </c>
      <c r="O153" s="110" t="str">
        <f t="shared" si="5"/>
        <v>#DIV/0!</v>
      </c>
      <c r="P153" s="109" t="str">
        <f t="shared" si="6"/>
        <v>#DIV/0!</v>
      </c>
      <c r="Q153" s="111" t="str">
        <f t="shared" si="7"/>
        <v>#DIV/0!</v>
      </c>
      <c r="R153" s="131">
        <f t="shared" si="58"/>
        <v>0</v>
      </c>
      <c r="S153" s="113" t="str">
        <f t="shared" si="9"/>
        <v>#DIV/0!</v>
      </c>
      <c r="T153" s="114"/>
      <c r="U153" s="114"/>
      <c r="V153" s="114"/>
      <c r="W153" s="114"/>
      <c r="X153" s="115"/>
      <c r="Y153" s="98"/>
      <c r="Z153" s="98"/>
    </row>
    <row r="154" hidden="1" outlineLevel="1">
      <c r="A154" s="98"/>
      <c r="B154" s="116"/>
      <c r="C154" s="100" t="s">
        <v>41</v>
      </c>
      <c r="D154" s="132">
        <v>2454.7</v>
      </c>
      <c r="E154" s="103">
        <v>35.0</v>
      </c>
      <c r="F154" s="103">
        <v>34.0</v>
      </c>
      <c r="G154" s="104">
        <f t="shared" si="1"/>
        <v>1.029411765</v>
      </c>
      <c r="H154" s="105">
        <f t="shared" si="2"/>
        <v>70.13428571</v>
      </c>
      <c r="I154" s="106">
        <f t="shared" si="3"/>
        <v>68.13044898</v>
      </c>
      <c r="J154" s="132">
        <v>505.35</v>
      </c>
      <c r="K154" s="103">
        <v>41325.0</v>
      </c>
      <c r="L154" s="103">
        <v>7.0</v>
      </c>
      <c r="M154" s="133">
        <v>608.95</v>
      </c>
      <c r="N154" s="109">
        <f t="shared" si="59"/>
        <v>0.8298710896</v>
      </c>
      <c r="O154" s="110">
        <f t="shared" si="5"/>
        <v>1.205006431</v>
      </c>
      <c r="P154" s="109">
        <f t="shared" si="6"/>
        <v>0.2058703711</v>
      </c>
      <c r="Q154" s="111">
        <f t="shared" si="7"/>
        <v>0.2480751212</v>
      </c>
      <c r="R154" s="134">
        <f t="shared" si="58"/>
        <v>1845.75</v>
      </c>
      <c r="S154" s="113">
        <f t="shared" si="9"/>
        <v>72.19285714</v>
      </c>
      <c r="T154" s="114"/>
      <c r="U154" s="114"/>
      <c r="V154" s="114"/>
      <c r="W154" s="114"/>
      <c r="X154" s="115"/>
      <c r="Y154" s="98"/>
      <c r="Z154" s="98"/>
    </row>
    <row r="155" hidden="1" outlineLevel="1">
      <c r="A155" s="98"/>
      <c r="B155" s="116"/>
      <c r="C155" s="100" t="s">
        <v>42</v>
      </c>
      <c r="D155" s="120">
        <v>79.96</v>
      </c>
      <c r="E155" s="103">
        <v>4.0</v>
      </c>
      <c r="F155" s="103">
        <v>4.0</v>
      </c>
      <c r="G155" s="104">
        <f t="shared" si="1"/>
        <v>1</v>
      </c>
      <c r="H155" s="105">
        <f t="shared" si="2"/>
        <v>19.99</v>
      </c>
      <c r="I155" s="106">
        <f t="shared" si="3"/>
        <v>19.99</v>
      </c>
      <c r="J155" s="120">
        <v>402.14</v>
      </c>
      <c r="K155" s="103">
        <v>67598.0</v>
      </c>
      <c r="L155" s="103">
        <v>2.0</v>
      </c>
      <c r="M155" s="121">
        <v>39.98</v>
      </c>
      <c r="N155" s="109">
        <f t="shared" si="59"/>
        <v>10.05852926</v>
      </c>
      <c r="O155" s="110">
        <f t="shared" si="5"/>
        <v>0.09941811309</v>
      </c>
      <c r="P155" s="109">
        <f t="shared" si="6"/>
        <v>5.029264632</v>
      </c>
      <c r="Q155" s="111">
        <f t="shared" si="7"/>
        <v>0.5</v>
      </c>
      <c r="R155" s="122">
        <f t="shared" si="58"/>
        <v>39.98</v>
      </c>
      <c r="S155" s="113">
        <f t="shared" si="9"/>
        <v>201.07</v>
      </c>
      <c r="T155" s="114"/>
      <c r="U155" s="114"/>
      <c r="V155" s="114"/>
      <c r="W155" s="114"/>
      <c r="X155" s="115"/>
      <c r="Y155" s="98"/>
      <c r="Z155" s="98"/>
    </row>
    <row r="156" hidden="1" outlineLevel="1">
      <c r="A156" s="98"/>
      <c r="B156" s="116"/>
      <c r="C156" s="100" t="s">
        <v>43</v>
      </c>
      <c r="D156" s="135">
        <v>753.73</v>
      </c>
      <c r="E156" s="103">
        <v>7.0</v>
      </c>
      <c r="F156" s="103">
        <v>9.0</v>
      </c>
      <c r="G156" s="104">
        <f t="shared" si="1"/>
        <v>0.7777777778</v>
      </c>
      <c r="H156" s="105">
        <f t="shared" si="2"/>
        <v>107.6757143</v>
      </c>
      <c r="I156" s="106">
        <f t="shared" si="3"/>
        <v>138.4402041</v>
      </c>
      <c r="J156" s="135">
        <v>28.85</v>
      </c>
      <c r="K156" s="103">
        <v>9129.0</v>
      </c>
      <c r="L156" s="103">
        <v>2.0</v>
      </c>
      <c r="M156" s="136">
        <v>205.95</v>
      </c>
      <c r="N156" s="109">
        <f t="shared" si="59"/>
        <v>0.1400825443</v>
      </c>
      <c r="O156" s="110">
        <f t="shared" si="5"/>
        <v>7.13864818</v>
      </c>
      <c r="P156" s="109">
        <f t="shared" si="6"/>
        <v>0.03827630584</v>
      </c>
      <c r="Q156" s="111">
        <f t="shared" si="7"/>
        <v>0.273241081</v>
      </c>
      <c r="R156" s="137">
        <f t="shared" si="58"/>
        <v>547.78</v>
      </c>
      <c r="S156" s="113">
        <f t="shared" si="9"/>
        <v>14.425</v>
      </c>
      <c r="T156" s="114"/>
      <c r="U156" s="114"/>
      <c r="V156" s="114"/>
      <c r="W156" s="114"/>
      <c r="X156" s="115"/>
      <c r="Y156" s="98"/>
      <c r="Z156" s="98"/>
    </row>
    <row r="157" hidden="1" outlineLevel="1">
      <c r="A157" s="98"/>
      <c r="B157" s="116"/>
      <c r="C157" s="100" t="s">
        <v>44</v>
      </c>
      <c r="D157" s="138">
        <v>179.85</v>
      </c>
      <c r="E157" s="103">
        <v>3.0</v>
      </c>
      <c r="F157" s="103">
        <v>4.0</v>
      </c>
      <c r="G157" s="104">
        <f t="shared" si="1"/>
        <v>0.75</v>
      </c>
      <c r="H157" s="105">
        <f t="shared" si="2"/>
        <v>59.95</v>
      </c>
      <c r="I157" s="106">
        <f t="shared" si="3"/>
        <v>79.93333333</v>
      </c>
      <c r="J157" s="138">
        <v>74.35</v>
      </c>
      <c r="K157" s="103">
        <v>62698.0</v>
      </c>
      <c r="L157" s="103">
        <v>0.0</v>
      </c>
      <c r="M157" s="139">
        <v>0.0</v>
      </c>
      <c r="N157" s="109" t="str">
        <f t="shared" si="59"/>
        <v>#DIV/0!</v>
      </c>
      <c r="O157" s="110">
        <f t="shared" si="5"/>
        <v>0</v>
      </c>
      <c r="P157" s="109">
        <f t="shared" si="6"/>
        <v>0.4134000556</v>
      </c>
      <c r="Q157" s="111">
        <f t="shared" si="7"/>
        <v>0</v>
      </c>
      <c r="R157" s="140">
        <f t="shared" si="58"/>
        <v>179.85</v>
      </c>
      <c r="S157" s="113" t="str">
        <f t="shared" si="9"/>
        <v>#DIV/0!</v>
      </c>
      <c r="T157" s="114"/>
      <c r="U157" s="114"/>
      <c r="V157" s="114"/>
      <c r="W157" s="114"/>
      <c r="X157" s="115"/>
      <c r="Y157" s="98"/>
      <c r="Z157" s="98"/>
    </row>
    <row r="158" hidden="1" outlineLevel="1">
      <c r="A158" s="141"/>
      <c r="B158" s="116"/>
      <c r="C158" s="142" t="s">
        <v>45</v>
      </c>
      <c r="D158" s="101">
        <v>0.0</v>
      </c>
      <c r="E158" s="103">
        <v>0.0</v>
      </c>
      <c r="F158" s="103">
        <v>0.0</v>
      </c>
      <c r="G158" s="104" t="str">
        <f t="shared" si="1"/>
        <v>#DIV/0!</v>
      </c>
      <c r="H158" s="105" t="str">
        <f t="shared" si="2"/>
        <v>#DIV/0!</v>
      </c>
      <c r="I158" s="106" t="str">
        <f t="shared" si="3"/>
        <v>#DIV/0!</v>
      </c>
      <c r="J158" s="101">
        <v>0.0</v>
      </c>
      <c r="K158" s="103">
        <v>0.0</v>
      </c>
      <c r="L158" s="103">
        <v>0.0</v>
      </c>
      <c r="M158" s="108">
        <v>0.0</v>
      </c>
      <c r="N158" s="109" t="str">
        <f t="shared" si="59"/>
        <v>#DIV/0!</v>
      </c>
      <c r="O158" s="110" t="str">
        <f t="shared" si="5"/>
        <v>#DIV/0!</v>
      </c>
      <c r="P158" s="109" t="str">
        <f t="shared" si="6"/>
        <v>#DIV/0!</v>
      </c>
      <c r="Q158" s="111" t="str">
        <f t="shared" si="7"/>
        <v>#DIV/0!</v>
      </c>
      <c r="R158" s="112">
        <f t="shared" si="58"/>
        <v>0</v>
      </c>
      <c r="S158" s="113" t="str">
        <f t="shared" si="9"/>
        <v>#DIV/0!</v>
      </c>
      <c r="T158" s="143"/>
      <c r="U158" s="143"/>
      <c r="V158" s="143"/>
      <c r="W158" s="144"/>
      <c r="X158" s="145"/>
      <c r="Y158" s="98"/>
      <c r="Z158" s="98"/>
    </row>
    <row r="159" hidden="1" outlineLevel="1">
      <c r="A159" s="98"/>
      <c r="B159" s="116"/>
      <c r="C159" s="100" t="s">
        <v>46</v>
      </c>
      <c r="D159" s="146">
        <v>1888.85</v>
      </c>
      <c r="E159" s="103">
        <v>43.0</v>
      </c>
      <c r="F159" s="103">
        <v>42.0</v>
      </c>
      <c r="G159" s="104">
        <f t="shared" si="1"/>
        <v>1.023809524</v>
      </c>
      <c r="H159" s="105">
        <f t="shared" si="2"/>
        <v>43.92674419</v>
      </c>
      <c r="I159" s="106">
        <f t="shared" si="3"/>
        <v>42.905192</v>
      </c>
      <c r="J159" s="146">
        <v>270.85</v>
      </c>
      <c r="K159" s="103">
        <v>57268.0</v>
      </c>
      <c r="L159" s="103">
        <v>12.0</v>
      </c>
      <c r="M159" s="147">
        <v>347.6</v>
      </c>
      <c r="N159" s="109">
        <f t="shared" si="59"/>
        <v>0.7792002301</v>
      </c>
      <c r="O159" s="110">
        <f t="shared" si="5"/>
        <v>1.283367177</v>
      </c>
      <c r="P159" s="109">
        <f t="shared" si="6"/>
        <v>0.1433941287</v>
      </c>
      <c r="Q159" s="111">
        <f t="shared" si="7"/>
        <v>0.1840273182</v>
      </c>
      <c r="R159" s="112">
        <f t="shared" si="58"/>
        <v>1541.25</v>
      </c>
      <c r="S159" s="113">
        <f t="shared" si="9"/>
        <v>22.57083333</v>
      </c>
      <c r="T159" s="114"/>
      <c r="U159" s="114"/>
      <c r="V159" s="114"/>
      <c r="W159" s="114"/>
      <c r="X159" s="115"/>
      <c r="Y159" s="98"/>
      <c r="Z159" s="98"/>
    </row>
    <row r="160" hidden="1" outlineLevel="1">
      <c r="A160" s="98"/>
      <c r="B160" s="116"/>
      <c r="C160" s="100" t="s">
        <v>47</v>
      </c>
      <c r="D160" s="117">
        <v>29.85</v>
      </c>
      <c r="E160" s="103">
        <v>1.0</v>
      </c>
      <c r="F160" s="103">
        <v>1.0</v>
      </c>
      <c r="G160" s="104">
        <f t="shared" si="1"/>
        <v>1</v>
      </c>
      <c r="H160" s="105">
        <f t="shared" si="2"/>
        <v>29.85</v>
      </c>
      <c r="I160" s="106">
        <f t="shared" si="3"/>
        <v>29.85</v>
      </c>
      <c r="J160" s="117">
        <v>0.0</v>
      </c>
      <c r="K160" s="103">
        <v>0.0</v>
      </c>
      <c r="L160" s="103">
        <v>0.0</v>
      </c>
      <c r="M160" s="118">
        <v>0.0</v>
      </c>
      <c r="N160" s="109" t="str">
        <f t="shared" si="59"/>
        <v>#DIV/0!</v>
      </c>
      <c r="O160" s="110" t="str">
        <f t="shared" si="5"/>
        <v>#DIV/0!</v>
      </c>
      <c r="P160" s="109">
        <f t="shared" si="6"/>
        <v>0</v>
      </c>
      <c r="Q160" s="111">
        <f t="shared" si="7"/>
        <v>0</v>
      </c>
      <c r="R160" s="112">
        <f t="shared" si="58"/>
        <v>29.85</v>
      </c>
      <c r="S160" s="113" t="str">
        <f t="shared" si="9"/>
        <v>#DIV/0!</v>
      </c>
      <c r="T160" s="114"/>
      <c r="U160" s="114"/>
      <c r="V160" s="114"/>
      <c r="W160" s="114"/>
      <c r="X160" s="115"/>
      <c r="Y160" s="98"/>
      <c r="Z160" s="98"/>
    </row>
    <row r="161" hidden="1" outlineLevel="1">
      <c r="A161" s="98"/>
      <c r="B161" s="116"/>
      <c r="C161" s="100" t="s">
        <v>48</v>
      </c>
      <c r="D161" s="132">
        <v>3999.0</v>
      </c>
      <c r="E161" s="103">
        <v>20.0</v>
      </c>
      <c r="F161" s="103">
        <v>21.0</v>
      </c>
      <c r="G161" s="104">
        <f t="shared" si="1"/>
        <v>0.9523809524</v>
      </c>
      <c r="H161" s="105">
        <f t="shared" si="2"/>
        <v>199.95</v>
      </c>
      <c r="I161" s="106">
        <f t="shared" si="3"/>
        <v>209.9475</v>
      </c>
      <c r="J161" s="132">
        <v>353.95</v>
      </c>
      <c r="K161" s="103">
        <v>38602.0</v>
      </c>
      <c r="L161" s="103">
        <v>13.0</v>
      </c>
      <c r="M161" s="133">
        <v>2639.35</v>
      </c>
      <c r="N161" s="109">
        <f t="shared" si="59"/>
        <v>0.134104988</v>
      </c>
      <c r="O161" s="110">
        <f t="shared" si="5"/>
        <v>7.456844187</v>
      </c>
      <c r="P161" s="109">
        <f t="shared" si="6"/>
        <v>0.08850962741</v>
      </c>
      <c r="Q161" s="111">
        <f t="shared" si="7"/>
        <v>0.6600025006</v>
      </c>
      <c r="R161" s="112">
        <f t="shared" si="58"/>
        <v>1359.65</v>
      </c>
      <c r="S161" s="113">
        <f t="shared" si="9"/>
        <v>27.22692308</v>
      </c>
      <c r="T161" s="114"/>
      <c r="U161" s="114"/>
      <c r="V161" s="114"/>
      <c r="W161" s="114"/>
      <c r="X161" s="115"/>
      <c r="Y161" s="98"/>
      <c r="Z161" s="98"/>
    </row>
    <row r="162" hidden="1" outlineLevel="1">
      <c r="A162" s="98"/>
      <c r="B162" s="116"/>
      <c r="C162" s="100" t="s">
        <v>49</v>
      </c>
      <c r="D162" s="146">
        <v>0.0</v>
      </c>
      <c r="E162" s="103">
        <v>0.0</v>
      </c>
      <c r="F162" s="103">
        <v>0.0</v>
      </c>
      <c r="G162" s="104" t="str">
        <f t="shared" si="1"/>
        <v>#DIV/0!</v>
      </c>
      <c r="H162" s="105" t="str">
        <f t="shared" si="2"/>
        <v>#DIV/0!</v>
      </c>
      <c r="I162" s="106" t="str">
        <f t="shared" si="3"/>
        <v>#DIV/0!</v>
      </c>
      <c r="J162" s="146">
        <v>9.78</v>
      </c>
      <c r="K162" s="103">
        <v>9062.0</v>
      </c>
      <c r="L162" s="103">
        <v>0.0</v>
      </c>
      <c r="M162" s="147">
        <v>0.0</v>
      </c>
      <c r="N162" s="109" t="str">
        <f t="shared" si="59"/>
        <v>#DIV/0!</v>
      </c>
      <c r="O162" s="110">
        <f t="shared" si="5"/>
        <v>0</v>
      </c>
      <c r="P162" s="109" t="str">
        <f t="shared" si="6"/>
        <v>#DIV/0!</v>
      </c>
      <c r="Q162" s="111" t="str">
        <f t="shared" si="7"/>
        <v>#DIV/0!</v>
      </c>
      <c r="R162" s="112">
        <f t="shared" si="58"/>
        <v>0</v>
      </c>
      <c r="S162" s="113" t="str">
        <f t="shared" si="9"/>
        <v>#DIV/0!</v>
      </c>
      <c r="T162" s="114"/>
      <c r="U162" s="114"/>
      <c r="V162" s="114"/>
      <c r="W162" s="114"/>
      <c r="X162" s="115"/>
      <c r="Y162" s="98"/>
      <c r="Z162" s="98"/>
    </row>
    <row r="163" hidden="1" outlineLevel="1">
      <c r="A163" s="148" t="str">
        <f t="shared" ref="A163:A164" si="60">iferror(if(B163&gt;0,month(B163)&amp;"-"&amp;year(B163),B163),)</f>
        <v>2-2026</v>
      </c>
      <c r="B163" s="99">
        <v>46067.0</v>
      </c>
      <c r="C163" s="277" t="s">
        <v>67</v>
      </c>
      <c r="D163" s="146">
        <v>0.0</v>
      </c>
      <c r="E163" s="103">
        <v>0.0</v>
      </c>
      <c r="F163" s="103">
        <v>0.0</v>
      </c>
      <c r="G163" s="104" t="str">
        <f t="shared" si="1"/>
        <v>#DIV/0!</v>
      </c>
      <c r="H163" s="105" t="str">
        <f t="shared" si="2"/>
        <v>#DIV/0!</v>
      </c>
      <c r="I163" s="106" t="str">
        <f t="shared" si="3"/>
        <v>#DIV/0!</v>
      </c>
      <c r="J163" s="117">
        <v>10790.22</v>
      </c>
      <c r="K163" s="278">
        <v>940497.0</v>
      </c>
      <c r="L163" s="103">
        <v>0.0</v>
      </c>
      <c r="M163" s="118">
        <v>8691.91</v>
      </c>
      <c r="N163" s="109">
        <f t="shared" si="59"/>
        <v>1.241409541</v>
      </c>
      <c r="O163" s="110">
        <f t="shared" si="5"/>
        <v>0.805535939</v>
      </c>
      <c r="P163" s="109" t="str">
        <f t="shared" si="6"/>
        <v>#DIV/0!</v>
      </c>
      <c r="Q163" s="111" t="str">
        <f t="shared" si="7"/>
        <v>#DIV/0!</v>
      </c>
      <c r="R163" s="112">
        <f t="shared" si="58"/>
        <v>-8691.91</v>
      </c>
      <c r="S163" s="113" t="str">
        <f t="shared" si="9"/>
        <v>#DIV/0!</v>
      </c>
      <c r="T163" s="114"/>
      <c r="U163" s="114"/>
      <c r="V163" s="114"/>
      <c r="W163" s="114"/>
      <c r="X163" s="115"/>
      <c r="Y163" s="98"/>
      <c r="Z163" s="98"/>
    </row>
    <row r="164" collapsed="1">
      <c r="A164" s="98" t="str">
        <f t="shared" si="60"/>
        <v/>
      </c>
      <c r="B164" s="149" t="s">
        <v>57</v>
      </c>
      <c r="C164" s="150"/>
      <c r="D164" s="151">
        <f t="shared" ref="D164:F164" si="61">SUM(D146:D163)</f>
        <v>18719.59</v>
      </c>
      <c r="E164" s="153">
        <f t="shared" si="61"/>
        <v>195</v>
      </c>
      <c r="F164" s="153">
        <f t="shared" si="61"/>
        <v>217</v>
      </c>
      <c r="G164" s="154">
        <f t="shared" si="1"/>
        <v>0.8986175115</v>
      </c>
      <c r="H164" s="155">
        <f t="shared" si="2"/>
        <v>95.99789744</v>
      </c>
      <c r="I164" s="156">
        <f t="shared" si="3"/>
        <v>106.8284295</v>
      </c>
      <c r="J164" s="151">
        <f t="shared" ref="J164:M164" si="62">SUM(J146:J163)</f>
        <v>13759.07</v>
      </c>
      <c r="K164" s="153">
        <f t="shared" si="62"/>
        <v>1750976</v>
      </c>
      <c r="L164" s="153">
        <f t="shared" si="62"/>
        <v>60</v>
      </c>
      <c r="M164" s="157">
        <f t="shared" si="62"/>
        <v>15434.84</v>
      </c>
      <c r="N164" s="158">
        <f t="shared" si="59"/>
        <v>0.8914293896</v>
      </c>
      <c r="O164" s="159">
        <f t="shared" si="5"/>
        <v>1.121793842</v>
      </c>
      <c r="P164" s="158">
        <f t="shared" si="6"/>
        <v>0.7350091535</v>
      </c>
      <c r="Q164" s="160">
        <f t="shared" si="7"/>
        <v>0.8245287423</v>
      </c>
      <c r="R164" s="161">
        <f>SUM(R146:R163)</f>
        <v>3284.75</v>
      </c>
      <c r="S164" s="162">
        <f t="shared" si="9"/>
        <v>229.3178333</v>
      </c>
      <c r="T164" s="164" t="str">
        <f t="shared" ref="T164:U164" si="63">IFERROR((D164-#REF!)/D164,)</f>
        <v/>
      </c>
      <c r="U164" s="164" t="str">
        <f t="shared" si="63"/>
        <v/>
      </c>
      <c r="V164" s="164" t="str">
        <f t="shared" ref="V164:W164" si="64">IFERROR((D164-#REF!)/D164, )</f>
        <v/>
      </c>
      <c r="W164" s="164" t="str">
        <f t="shared" si="64"/>
        <v/>
      </c>
      <c r="X164" s="98"/>
      <c r="Y164" s="98"/>
      <c r="Z164" s="98"/>
    </row>
    <row r="165" hidden="1" outlineLevel="1">
      <c r="A165" s="98"/>
      <c r="B165" s="99">
        <v>46068.0</v>
      </c>
      <c r="C165" s="100" t="s">
        <v>32</v>
      </c>
      <c r="D165" s="101">
        <v>3998.34</v>
      </c>
      <c r="E165" s="103">
        <v>34.0</v>
      </c>
      <c r="F165" s="103">
        <v>35.0</v>
      </c>
      <c r="G165" s="104">
        <f t="shared" si="1"/>
        <v>0.9714285714</v>
      </c>
      <c r="H165" s="105">
        <f t="shared" si="2"/>
        <v>117.5982353</v>
      </c>
      <c r="I165" s="106">
        <f t="shared" si="3"/>
        <v>121.0570069</v>
      </c>
      <c r="J165" s="107">
        <v>658.34</v>
      </c>
      <c r="K165" s="103">
        <v>123278.0</v>
      </c>
      <c r="L165" s="103">
        <v>11.0</v>
      </c>
      <c r="M165" s="108">
        <v>1518.8</v>
      </c>
      <c r="N165" s="109">
        <f t="shared" si="59"/>
        <v>0.4334606268</v>
      </c>
      <c r="O165" s="110">
        <f t="shared" si="5"/>
        <v>2.307014613</v>
      </c>
      <c r="P165" s="109">
        <f t="shared" si="6"/>
        <v>0.1646533311</v>
      </c>
      <c r="Q165" s="111">
        <f t="shared" si="7"/>
        <v>0.3798576409</v>
      </c>
      <c r="R165" s="112">
        <f t="shared" ref="R165:R182" si="65">D165-M165</f>
        <v>2479.54</v>
      </c>
      <c r="S165" s="113">
        <f t="shared" si="9"/>
        <v>59.84909091</v>
      </c>
      <c r="T165" s="114"/>
      <c r="U165" s="114"/>
      <c r="V165" s="114"/>
      <c r="W165" s="114"/>
      <c r="X165" s="115"/>
      <c r="Y165" s="98"/>
      <c r="Z165" s="98"/>
    </row>
    <row r="166" hidden="1" outlineLevel="1">
      <c r="A166" s="98"/>
      <c r="B166" s="116"/>
      <c r="C166" s="100" t="s">
        <v>33</v>
      </c>
      <c r="D166" s="117">
        <v>12681.0</v>
      </c>
      <c r="E166" s="103">
        <v>87.0</v>
      </c>
      <c r="F166" s="103">
        <v>88.0</v>
      </c>
      <c r="G166" s="104">
        <f t="shared" si="1"/>
        <v>0.9886363636</v>
      </c>
      <c r="H166" s="105">
        <f t="shared" si="2"/>
        <v>145.7586207</v>
      </c>
      <c r="I166" s="106">
        <f t="shared" si="3"/>
        <v>147.4340071</v>
      </c>
      <c r="J166" s="117">
        <v>662.67</v>
      </c>
      <c r="K166" s="103">
        <v>162216.0</v>
      </c>
      <c r="L166" s="103">
        <v>24.0</v>
      </c>
      <c r="M166" s="118">
        <v>3428.05</v>
      </c>
      <c r="N166" s="109">
        <f t="shared" si="59"/>
        <v>0.1933081489</v>
      </c>
      <c r="O166" s="110">
        <f t="shared" si="5"/>
        <v>5.173087661</v>
      </c>
      <c r="P166" s="109">
        <f t="shared" si="6"/>
        <v>0.0522569198</v>
      </c>
      <c r="Q166" s="111">
        <f t="shared" si="7"/>
        <v>0.270329627</v>
      </c>
      <c r="R166" s="119">
        <f t="shared" si="65"/>
        <v>9252.95</v>
      </c>
      <c r="S166" s="113">
        <f t="shared" si="9"/>
        <v>27.61125</v>
      </c>
      <c r="T166" s="114"/>
      <c r="U166" s="114"/>
      <c r="V166" s="114"/>
      <c r="W166" s="114"/>
      <c r="X166" s="115"/>
      <c r="Y166" s="98"/>
      <c r="Z166" s="98"/>
    </row>
    <row r="167" hidden="1" outlineLevel="1">
      <c r="A167" s="98"/>
      <c r="B167" s="116"/>
      <c r="C167" s="100" t="s">
        <v>34</v>
      </c>
      <c r="D167" s="120">
        <v>0.0</v>
      </c>
      <c r="E167" s="103">
        <v>0.0</v>
      </c>
      <c r="F167" s="103">
        <v>0.0</v>
      </c>
      <c r="G167" s="104" t="str">
        <f t="shared" si="1"/>
        <v>#DIV/0!</v>
      </c>
      <c r="H167" s="105" t="str">
        <f t="shared" si="2"/>
        <v>#DIV/0!</v>
      </c>
      <c r="I167" s="106" t="str">
        <f t="shared" si="3"/>
        <v>#DIV/0!</v>
      </c>
      <c r="J167" s="120">
        <v>0.0</v>
      </c>
      <c r="K167" s="103">
        <v>0.0</v>
      </c>
      <c r="L167" s="103">
        <v>0.0</v>
      </c>
      <c r="M167" s="121">
        <v>0.0</v>
      </c>
      <c r="N167" s="109" t="str">
        <f>(J167/M167)</f>
        <v>#DIV/0!</v>
      </c>
      <c r="O167" s="110" t="str">
        <f t="shared" si="5"/>
        <v>#DIV/0!</v>
      </c>
      <c r="P167" s="109" t="str">
        <f t="shared" si="6"/>
        <v>#DIV/0!</v>
      </c>
      <c r="Q167" s="111" t="str">
        <f t="shared" si="7"/>
        <v>#DIV/0!</v>
      </c>
      <c r="R167" s="122">
        <f t="shared" si="65"/>
        <v>0</v>
      </c>
      <c r="S167" s="113" t="str">
        <f t="shared" si="9"/>
        <v>#DIV/0!</v>
      </c>
      <c r="T167" s="114"/>
      <c r="U167" s="114"/>
      <c r="V167" s="114"/>
      <c r="W167" s="114"/>
      <c r="X167" s="115"/>
      <c r="Y167" s="98"/>
      <c r="Z167" s="98"/>
    </row>
    <row r="168" hidden="1" outlineLevel="1">
      <c r="A168" s="98"/>
      <c r="B168" s="116"/>
      <c r="C168" s="100" t="s">
        <v>35</v>
      </c>
      <c r="D168" s="120">
        <v>0.0</v>
      </c>
      <c r="E168" s="103">
        <v>0.0</v>
      </c>
      <c r="F168" s="103">
        <v>0.0</v>
      </c>
      <c r="G168" s="104" t="str">
        <f t="shared" si="1"/>
        <v>#DIV/0!</v>
      </c>
      <c r="H168" s="105" t="str">
        <f t="shared" si="2"/>
        <v>#DIV/0!</v>
      </c>
      <c r="I168" s="106" t="str">
        <f t="shared" si="3"/>
        <v>#DIV/0!</v>
      </c>
      <c r="J168" s="120">
        <v>531.87</v>
      </c>
      <c r="K168" s="103">
        <v>28333.0</v>
      </c>
      <c r="L168" s="103">
        <v>13.0</v>
      </c>
      <c r="M168" s="121">
        <v>770.36</v>
      </c>
      <c r="N168" s="109">
        <f t="shared" ref="N168:N185" si="66">J168/M168</f>
        <v>0.6904174672</v>
      </c>
      <c r="O168" s="110">
        <f t="shared" si="5"/>
        <v>1.448399045</v>
      </c>
      <c r="P168" s="109" t="str">
        <f t="shared" si="6"/>
        <v>#DIV/0!</v>
      </c>
      <c r="Q168" s="111" t="str">
        <f t="shared" si="7"/>
        <v>#DIV/0!</v>
      </c>
      <c r="R168" s="122">
        <f t="shared" si="65"/>
        <v>-770.36</v>
      </c>
      <c r="S168" s="113">
        <f t="shared" si="9"/>
        <v>40.91307692</v>
      </c>
      <c r="T168" s="114"/>
      <c r="U168" s="114"/>
      <c r="V168" s="114"/>
      <c r="W168" s="114"/>
      <c r="X168" s="115"/>
      <c r="Y168" s="98"/>
      <c r="Z168" s="98"/>
    </row>
    <row r="169" hidden="1" outlineLevel="1">
      <c r="A169" s="98"/>
      <c r="B169" s="116"/>
      <c r="C169" s="100" t="s">
        <v>36</v>
      </c>
      <c r="D169" s="120">
        <v>774.4</v>
      </c>
      <c r="E169" s="103">
        <v>12.0</v>
      </c>
      <c r="F169" s="103">
        <v>11.0</v>
      </c>
      <c r="G169" s="104">
        <f t="shared" si="1"/>
        <v>1.090909091</v>
      </c>
      <c r="H169" s="105">
        <f t="shared" si="2"/>
        <v>64.53333333</v>
      </c>
      <c r="I169" s="106">
        <f t="shared" si="3"/>
        <v>59.15555556</v>
      </c>
      <c r="J169" s="120">
        <v>31.09</v>
      </c>
      <c r="K169" s="103">
        <v>11146.0</v>
      </c>
      <c r="L169" s="103">
        <v>5.0</v>
      </c>
      <c r="M169" s="121">
        <v>319.75</v>
      </c>
      <c r="N169" s="109">
        <f t="shared" si="66"/>
        <v>0.09723221267</v>
      </c>
      <c r="O169" s="110">
        <f t="shared" si="5"/>
        <v>10.28465745</v>
      </c>
      <c r="P169" s="109">
        <f t="shared" si="6"/>
        <v>0.04014721074</v>
      </c>
      <c r="Q169" s="111">
        <f t="shared" si="7"/>
        <v>0.4129003099</v>
      </c>
      <c r="R169" s="122">
        <f t="shared" si="65"/>
        <v>454.65</v>
      </c>
      <c r="S169" s="113">
        <f t="shared" si="9"/>
        <v>6.218</v>
      </c>
      <c r="T169" s="114"/>
      <c r="U169" s="114"/>
      <c r="V169" s="114"/>
      <c r="W169" s="114"/>
      <c r="X169" s="115"/>
      <c r="Y169" s="98"/>
      <c r="Z169" s="98"/>
    </row>
    <row r="170" hidden="1" outlineLevel="1">
      <c r="A170" s="98"/>
      <c r="B170" s="99" t="s">
        <v>37</v>
      </c>
      <c r="C170" s="100" t="s">
        <v>38</v>
      </c>
      <c r="D170" s="123">
        <v>31.47</v>
      </c>
      <c r="E170" s="103">
        <v>1.0</v>
      </c>
      <c r="F170" s="103">
        <v>1.0</v>
      </c>
      <c r="G170" s="104">
        <f t="shared" si="1"/>
        <v>1</v>
      </c>
      <c r="H170" s="105">
        <f t="shared" si="2"/>
        <v>31.47</v>
      </c>
      <c r="I170" s="106">
        <f t="shared" si="3"/>
        <v>31.47</v>
      </c>
      <c r="J170" s="123">
        <v>30.85</v>
      </c>
      <c r="K170" s="103">
        <v>214339.0</v>
      </c>
      <c r="L170" s="103">
        <v>1.0</v>
      </c>
      <c r="M170" s="124">
        <v>31.47</v>
      </c>
      <c r="N170" s="109">
        <f t="shared" si="66"/>
        <v>0.9802986972</v>
      </c>
      <c r="O170" s="110">
        <f t="shared" si="5"/>
        <v>1.020097245</v>
      </c>
      <c r="P170" s="109">
        <f t="shared" si="6"/>
        <v>0.9802986972</v>
      </c>
      <c r="Q170" s="111">
        <f t="shared" si="7"/>
        <v>1</v>
      </c>
      <c r="R170" s="125">
        <f t="shared" si="65"/>
        <v>0</v>
      </c>
      <c r="S170" s="113">
        <f t="shared" si="9"/>
        <v>30.85</v>
      </c>
      <c r="T170" s="114"/>
      <c r="U170" s="114"/>
      <c r="V170" s="114"/>
      <c r="W170" s="114"/>
      <c r="X170" s="115"/>
      <c r="Y170" s="98"/>
      <c r="Z170" s="98"/>
    </row>
    <row r="171" hidden="1" outlineLevel="1">
      <c r="A171" s="98"/>
      <c r="B171" s="116"/>
      <c r="C171" s="100" t="s">
        <v>39</v>
      </c>
      <c r="D171" s="126">
        <v>0.0</v>
      </c>
      <c r="E171" s="103">
        <v>0.0</v>
      </c>
      <c r="F171" s="103">
        <v>0.0</v>
      </c>
      <c r="G171" s="104" t="str">
        <f t="shared" si="1"/>
        <v>#DIV/0!</v>
      </c>
      <c r="H171" s="105" t="str">
        <f t="shared" si="2"/>
        <v>#DIV/0!</v>
      </c>
      <c r="I171" s="106" t="str">
        <f t="shared" si="3"/>
        <v>#DIV/0!</v>
      </c>
      <c r="J171" s="126">
        <v>0.0</v>
      </c>
      <c r="K171" s="103">
        <v>0.0</v>
      </c>
      <c r="L171" s="103">
        <v>0.0</v>
      </c>
      <c r="M171" s="127">
        <v>0.0</v>
      </c>
      <c r="N171" s="109" t="str">
        <f t="shared" si="66"/>
        <v>#DIV/0!</v>
      </c>
      <c r="O171" s="110" t="str">
        <f t="shared" si="5"/>
        <v>#DIV/0!</v>
      </c>
      <c r="P171" s="109" t="str">
        <f t="shared" si="6"/>
        <v>#DIV/0!</v>
      </c>
      <c r="Q171" s="111" t="str">
        <f t="shared" si="7"/>
        <v>#DIV/0!</v>
      </c>
      <c r="R171" s="128">
        <f t="shared" si="65"/>
        <v>0</v>
      </c>
      <c r="S171" s="113" t="str">
        <f t="shared" si="9"/>
        <v>#DIV/0!</v>
      </c>
      <c r="T171" s="114"/>
      <c r="U171" s="114"/>
      <c r="V171" s="114"/>
      <c r="W171" s="114"/>
      <c r="X171" s="115"/>
      <c r="Y171" s="98"/>
      <c r="Z171" s="98"/>
    </row>
    <row r="172" hidden="1" outlineLevel="1">
      <c r="A172" s="98"/>
      <c r="B172" s="116"/>
      <c r="C172" s="100" t="s">
        <v>40</v>
      </c>
      <c r="D172" s="129">
        <v>0.0</v>
      </c>
      <c r="E172" s="103">
        <v>0.0</v>
      </c>
      <c r="F172" s="103">
        <v>0.0</v>
      </c>
      <c r="G172" s="104" t="str">
        <f t="shared" si="1"/>
        <v>#DIV/0!</v>
      </c>
      <c r="H172" s="105" t="str">
        <f t="shared" si="2"/>
        <v>#DIV/0!</v>
      </c>
      <c r="I172" s="106" t="str">
        <f t="shared" si="3"/>
        <v>#DIV/0!</v>
      </c>
      <c r="J172" s="129">
        <v>0.0</v>
      </c>
      <c r="K172" s="103">
        <v>0.0</v>
      </c>
      <c r="L172" s="103">
        <v>0.0</v>
      </c>
      <c r="M172" s="130">
        <v>0.0</v>
      </c>
      <c r="N172" s="109" t="str">
        <f t="shared" si="66"/>
        <v>#DIV/0!</v>
      </c>
      <c r="O172" s="110" t="str">
        <f t="shared" si="5"/>
        <v>#DIV/0!</v>
      </c>
      <c r="P172" s="109" t="str">
        <f t="shared" si="6"/>
        <v>#DIV/0!</v>
      </c>
      <c r="Q172" s="111" t="str">
        <f t="shared" si="7"/>
        <v>#DIV/0!</v>
      </c>
      <c r="R172" s="131">
        <f t="shared" si="65"/>
        <v>0</v>
      </c>
      <c r="S172" s="113" t="str">
        <f t="shared" si="9"/>
        <v>#DIV/0!</v>
      </c>
      <c r="T172" s="114"/>
      <c r="U172" s="114"/>
      <c r="V172" s="114"/>
      <c r="W172" s="114"/>
      <c r="X172" s="115"/>
      <c r="Y172" s="98"/>
      <c r="Z172" s="98"/>
    </row>
    <row r="173" hidden="1" outlineLevel="1">
      <c r="A173" s="98"/>
      <c r="B173" s="116"/>
      <c r="C173" s="100" t="s">
        <v>41</v>
      </c>
      <c r="D173" s="132">
        <v>2455.63</v>
      </c>
      <c r="E173" s="103">
        <v>39.0</v>
      </c>
      <c r="F173" s="103">
        <v>37.0</v>
      </c>
      <c r="G173" s="104">
        <f t="shared" si="1"/>
        <v>1.054054054</v>
      </c>
      <c r="H173" s="105">
        <f t="shared" si="2"/>
        <v>62.96487179</v>
      </c>
      <c r="I173" s="106">
        <f t="shared" si="3"/>
        <v>59.73590401</v>
      </c>
      <c r="J173" s="132">
        <v>608.71</v>
      </c>
      <c r="K173" s="103">
        <v>49867.0</v>
      </c>
      <c r="L173" s="103">
        <v>13.0</v>
      </c>
      <c r="M173" s="133">
        <v>844.88</v>
      </c>
      <c r="N173" s="109">
        <f t="shared" si="66"/>
        <v>0.7204691791</v>
      </c>
      <c r="O173" s="110">
        <f t="shared" si="5"/>
        <v>1.387984426</v>
      </c>
      <c r="P173" s="109">
        <f t="shared" si="6"/>
        <v>0.2478834352</v>
      </c>
      <c r="Q173" s="111">
        <f t="shared" si="7"/>
        <v>0.3440583476</v>
      </c>
      <c r="R173" s="134">
        <f t="shared" si="65"/>
        <v>1610.75</v>
      </c>
      <c r="S173" s="113">
        <f t="shared" si="9"/>
        <v>46.82384615</v>
      </c>
      <c r="T173" s="114"/>
      <c r="U173" s="114"/>
      <c r="V173" s="114"/>
      <c r="W173" s="114"/>
      <c r="X173" s="115"/>
      <c r="Y173" s="98"/>
      <c r="Z173" s="98"/>
    </row>
    <row r="174" hidden="1" outlineLevel="1">
      <c r="A174" s="98"/>
      <c r="B174" s="116"/>
      <c r="C174" s="100" t="s">
        <v>42</v>
      </c>
      <c r="D174" s="120">
        <v>209.85</v>
      </c>
      <c r="E174" s="103">
        <v>11.0</v>
      </c>
      <c r="F174" s="103">
        <v>5.0</v>
      </c>
      <c r="G174" s="104">
        <f t="shared" si="1"/>
        <v>2.2</v>
      </c>
      <c r="H174" s="105">
        <f t="shared" si="2"/>
        <v>19.07727273</v>
      </c>
      <c r="I174" s="106">
        <f t="shared" si="3"/>
        <v>8.671487603</v>
      </c>
      <c r="J174" s="120">
        <v>429.11</v>
      </c>
      <c r="K174" s="103">
        <v>81326.0</v>
      </c>
      <c r="L174" s="103">
        <v>4.0</v>
      </c>
      <c r="M174" s="121">
        <v>79.96</v>
      </c>
      <c r="N174" s="109">
        <f t="shared" si="66"/>
        <v>5.366558279</v>
      </c>
      <c r="O174" s="110">
        <f t="shared" si="5"/>
        <v>0.1863391671</v>
      </c>
      <c r="P174" s="109">
        <f t="shared" si="6"/>
        <v>2.044841553</v>
      </c>
      <c r="Q174" s="111">
        <f t="shared" si="7"/>
        <v>0.381034072</v>
      </c>
      <c r="R174" s="122">
        <f t="shared" si="65"/>
        <v>129.89</v>
      </c>
      <c r="S174" s="113">
        <f t="shared" si="9"/>
        <v>107.2775</v>
      </c>
      <c r="T174" s="114"/>
      <c r="U174" s="114"/>
      <c r="V174" s="114"/>
      <c r="W174" s="114"/>
      <c r="X174" s="115"/>
      <c r="Y174" s="98"/>
      <c r="Z174" s="98"/>
    </row>
    <row r="175" hidden="1" outlineLevel="1">
      <c r="A175" s="98"/>
      <c r="B175" s="116"/>
      <c r="C175" s="100" t="s">
        <v>43</v>
      </c>
      <c r="D175" s="135">
        <v>1746.22</v>
      </c>
      <c r="E175" s="103">
        <v>14.0</v>
      </c>
      <c r="F175" s="103">
        <v>15.0</v>
      </c>
      <c r="G175" s="104">
        <f t="shared" si="1"/>
        <v>0.9333333333</v>
      </c>
      <c r="H175" s="105">
        <f t="shared" si="2"/>
        <v>124.73</v>
      </c>
      <c r="I175" s="106">
        <f t="shared" si="3"/>
        <v>133.6392857</v>
      </c>
      <c r="J175" s="135">
        <v>51.61</v>
      </c>
      <c r="K175" s="103">
        <v>17696.0</v>
      </c>
      <c r="L175" s="103">
        <v>2.0</v>
      </c>
      <c r="M175" s="136">
        <v>284.44</v>
      </c>
      <c r="N175" s="109">
        <f t="shared" si="66"/>
        <v>0.1814442413</v>
      </c>
      <c r="O175" s="110">
        <f t="shared" si="5"/>
        <v>5.511335013</v>
      </c>
      <c r="P175" s="109">
        <f t="shared" si="6"/>
        <v>0.02955526795</v>
      </c>
      <c r="Q175" s="111">
        <f t="shared" si="7"/>
        <v>0.1628889831</v>
      </c>
      <c r="R175" s="137">
        <f t="shared" si="65"/>
        <v>1461.78</v>
      </c>
      <c r="S175" s="113">
        <f t="shared" si="9"/>
        <v>25.805</v>
      </c>
      <c r="T175" s="114"/>
      <c r="U175" s="114"/>
      <c r="V175" s="114"/>
      <c r="W175" s="114"/>
      <c r="X175" s="115"/>
      <c r="Y175" s="98"/>
      <c r="Z175" s="98"/>
    </row>
    <row r="176" hidden="1" outlineLevel="1">
      <c r="A176" s="98"/>
      <c r="B176" s="116"/>
      <c r="C176" s="100" t="s">
        <v>44</v>
      </c>
      <c r="D176" s="138">
        <v>254.76</v>
      </c>
      <c r="E176" s="103">
        <v>6.0</v>
      </c>
      <c r="F176" s="103">
        <v>7.0</v>
      </c>
      <c r="G176" s="104">
        <f t="shared" si="1"/>
        <v>0.8571428571</v>
      </c>
      <c r="H176" s="105">
        <f t="shared" si="2"/>
        <v>42.46</v>
      </c>
      <c r="I176" s="106">
        <f t="shared" si="3"/>
        <v>49.53666667</v>
      </c>
      <c r="J176" s="138">
        <v>100.74</v>
      </c>
      <c r="K176" s="103">
        <v>67853.0</v>
      </c>
      <c r="L176" s="103">
        <v>1.0</v>
      </c>
      <c r="M176" s="139">
        <v>44.96</v>
      </c>
      <c r="N176" s="109">
        <f t="shared" si="66"/>
        <v>2.240658363</v>
      </c>
      <c r="O176" s="110">
        <f t="shared" si="5"/>
        <v>0.4462973992</v>
      </c>
      <c r="P176" s="109">
        <f t="shared" si="6"/>
        <v>0.3954309939</v>
      </c>
      <c r="Q176" s="111">
        <f t="shared" si="7"/>
        <v>0.1764798241</v>
      </c>
      <c r="R176" s="140">
        <f t="shared" si="65"/>
        <v>209.8</v>
      </c>
      <c r="S176" s="113">
        <f t="shared" si="9"/>
        <v>100.74</v>
      </c>
      <c r="T176" s="114"/>
      <c r="U176" s="114"/>
      <c r="V176" s="114"/>
      <c r="W176" s="114"/>
      <c r="X176" s="115"/>
      <c r="Y176" s="98"/>
      <c r="Z176" s="98"/>
    </row>
    <row r="177" hidden="1" outlineLevel="1">
      <c r="A177" s="141"/>
      <c r="B177" s="116"/>
      <c r="C177" s="142" t="s">
        <v>45</v>
      </c>
      <c r="D177" s="101">
        <v>0.0</v>
      </c>
      <c r="E177" s="103">
        <v>0.0</v>
      </c>
      <c r="F177" s="103">
        <v>0.0</v>
      </c>
      <c r="G177" s="104" t="str">
        <f t="shared" si="1"/>
        <v>#DIV/0!</v>
      </c>
      <c r="H177" s="105" t="str">
        <f t="shared" si="2"/>
        <v>#DIV/0!</v>
      </c>
      <c r="I177" s="106" t="str">
        <f t="shared" si="3"/>
        <v>#DIV/0!</v>
      </c>
      <c r="J177" s="101">
        <v>0.0</v>
      </c>
      <c r="K177" s="103">
        <v>0.0</v>
      </c>
      <c r="L177" s="103">
        <v>0.0</v>
      </c>
      <c r="M177" s="108">
        <v>0.0</v>
      </c>
      <c r="N177" s="109" t="str">
        <f t="shared" si="66"/>
        <v>#DIV/0!</v>
      </c>
      <c r="O177" s="110" t="str">
        <f t="shared" si="5"/>
        <v>#DIV/0!</v>
      </c>
      <c r="P177" s="109" t="str">
        <f t="shared" si="6"/>
        <v>#DIV/0!</v>
      </c>
      <c r="Q177" s="111" t="str">
        <f t="shared" si="7"/>
        <v>#DIV/0!</v>
      </c>
      <c r="R177" s="112">
        <f t="shared" si="65"/>
        <v>0</v>
      </c>
      <c r="S177" s="113" t="str">
        <f t="shared" si="9"/>
        <v>#DIV/0!</v>
      </c>
      <c r="T177" s="143"/>
      <c r="U177" s="143"/>
      <c r="V177" s="143"/>
      <c r="W177" s="144"/>
      <c r="X177" s="145"/>
      <c r="Y177" s="98"/>
      <c r="Z177" s="98"/>
    </row>
    <row r="178" hidden="1" outlineLevel="1">
      <c r="A178" s="98"/>
      <c r="B178" s="116"/>
      <c r="C178" s="100" t="s">
        <v>46</v>
      </c>
      <c r="D178" s="146">
        <v>2848.75</v>
      </c>
      <c r="E178" s="103">
        <v>77.0</v>
      </c>
      <c r="F178" s="103">
        <v>76.0</v>
      </c>
      <c r="G178" s="104">
        <f t="shared" si="1"/>
        <v>1.013157895</v>
      </c>
      <c r="H178" s="105">
        <f t="shared" si="2"/>
        <v>36.99675325</v>
      </c>
      <c r="I178" s="106">
        <f t="shared" si="3"/>
        <v>36.51627593</v>
      </c>
      <c r="J178" s="146">
        <v>269.75</v>
      </c>
      <c r="K178" s="103">
        <v>62334.0</v>
      </c>
      <c r="L178" s="103">
        <v>22.0</v>
      </c>
      <c r="M178" s="147">
        <v>573.34</v>
      </c>
      <c r="N178" s="109">
        <f t="shared" si="66"/>
        <v>0.4704887152</v>
      </c>
      <c r="O178" s="110">
        <f t="shared" si="5"/>
        <v>2.12544949</v>
      </c>
      <c r="P178" s="109">
        <f t="shared" si="6"/>
        <v>0.0946906538</v>
      </c>
      <c r="Q178" s="111">
        <f t="shared" si="7"/>
        <v>0.2012602018</v>
      </c>
      <c r="R178" s="112">
        <f t="shared" si="65"/>
        <v>2275.41</v>
      </c>
      <c r="S178" s="113">
        <f t="shared" si="9"/>
        <v>12.26136364</v>
      </c>
      <c r="T178" s="114"/>
      <c r="U178" s="114"/>
      <c r="V178" s="114"/>
      <c r="W178" s="114"/>
      <c r="X178" s="115"/>
      <c r="Y178" s="98"/>
      <c r="Z178" s="98"/>
    </row>
    <row r="179" hidden="1" outlineLevel="1">
      <c r="A179" s="98"/>
      <c r="B179" s="116"/>
      <c r="C179" s="100" t="s">
        <v>47</v>
      </c>
      <c r="D179" s="117">
        <v>119.4</v>
      </c>
      <c r="E179" s="103">
        <v>4.0</v>
      </c>
      <c r="F179" s="103">
        <v>1.0</v>
      </c>
      <c r="G179" s="104">
        <f t="shared" si="1"/>
        <v>4</v>
      </c>
      <c r="H179" s="105">
        <f t="shared" si="2"/>
        <v>29.85</v>
      </c>
      <c r="I179" s="106">
        <f t="shared" si="3"/>
        <v>7.4625</v>
      </c>
      <c r="J179" s="117">
        <v>0.0</v>
      </c>
      <c r="K179" s="103">
        <v>0.0</v>
      </c>
      <c r="L179" s="103">
        <v>0.0</v>
      </c>
      <c r="M179" s="118">
        <v>0.0</v>
      </c>
      <c r="N179" s="109" t="str">
        <f t="shared" si="66"/>
        <v>#DIV/0!</v>
      </c>
      <c r="O179" s="110" t="str">
        <f t="shared" si="5"/>
        <v>#DIV/0!</v>
      </c>
      <c r="P179" s="109">
        <f t="shared" si="6"/>
        <v>0</v>
      </c>
      <c r="Q179" s="111">
        <f t="shared" si="7"/>
        <v>0</v>
      </c>
      <c r="R179" s="112">
        <f t="shared" si="65"/>
        <v>119.4</v>
      </c>
      <c r="S179" s="113" t="str">
        <f t="shared" si="9"/>
        <v>#DIV/0!</v>
      </c>
      <c r="T179" s="114"/>
      <c r="U179" s="114"/>
      <c r="V179" s="114"/>
      <c r="W179" s="114"/>
      <c r="X179" s="115"/>
      <c r="Y179" s="98"/>
      <c r="Z179" s="98"/>
    </row>
    <row r="180" hidden="1" outlineLevel="1">
      <c r="A180" s="98"/>
      <c r="B180" s="116"/>
      <c r="C180" s="100" t="s">
        <v>48</v>
      </c>
      <c r="D180" s="132">
        <v>1739.55</v>
      </c>
      <c r="E180" s="103">
        <v>9.0</v>
      </c>
      <c r="F180" s="103">
        <v>10.0</v>
      </c>
      <c r="G180" s="104">
        <f t="shared" si="1"/>
        <v>0.9</v>
      </c>
      <c r="H180" s="105">
        <f t="shared" si="2"/>
        <v>193.2833333</v>
      </c>
      <c r="I180" s="106">
        <f t="shared" si="3"/>
        <v>214.7592593</v>
      </c>
      <c r="J180" s="132">
        <v>317.91</v>
      </c>
      <c r="K180" s="103">
        <v>33421.0</v>
      </c>
      <c r="L180" s="103">
        <v>9.0</v>
      </c>
      <c r="M180" s="133">
        <v>1719.55</v>
      </c>
      <c r="N180" s="109">
        <f t="shared" si="66"/>
        <v>0.1848797651</v>
      </c>
      <c r="O180" s="110">
        <f t="shared" si="5"/>
        <v>5.408920764</v>
      </c>
      <c r="P180" s="109">
        <f t="shared" si="6"/>
        <v>0.1827541606</v>
      </c>
      <c r="Q180" s="111">
        <f t="shared" si="7"/>
        <v>0.9885027737</v>
      </c>
      <c r="R180" s="112">
        <f t="shared" si="65"/>
        <v>20</v>
      </c>
      <c r="S180" s="113">
        <f t="shared" si="9"/>
        <v>35.32333333</v>
      </c>
      <c r="T180" s="114"/>
      <c r="U180" s="114"/>
      <c r="V180" s="114"/>
      <c r="W180" s="114"/>
      <c r="X180" s="115"/>
      <c r="Y180" s="98"/>
      <c r="Z180" s="98"/>
    </row>
    <row r="181" hidden="1" outlineLevel="1">
      <c r="A181" s="98"/>
      <c r="B181" s="116"/>
      <c r="C181" s="100" t="s">
        <v>49</v>
      </c>
      <c r="D181" s="146">
        <v>106.8</v>
      </c>
      <c r="E181" s="103">
        <v>2.0</v>
      </c>
      <c r="F181" s="103">
        <v>2.0</v>
      </c>
      <c r="G181" s="104">
        <f t="shared" si="1"/>
        <v>1</v>
      </c>
      <c r="H181" s="105">
        <f t="shared" si="2"/>
        <v>53.4</v>
      </c>
      <c r="I181" s="106">
        <f t="shared" si="3"/>
        <v>53.4</v>
      </c>
      <c r="J181" s="146">
        <v>3.09</v>
      </c>
      <c r="K181" s="103">
        <v>7258.0</v>
      </c>
      <c r="L181" s="103">
        <v>0.0</v>
      </c>
      <c r="M181" s="147">
        <v>0.0</v>
      </c>
      <c r="N181" s="109" t="str">
        <f t="shared" si="66"/>
        <v>#DIV/0!</v>
      </c>
      <c r="O181" s="110">
        <f t="shared" si="5"/>
        <v>0</v>
      </c>
      <c r="P181" s="109">
        <f t="shared" si="6"/>
        <v>0.02893258427</v>
      </c>
      <c r="Q181" s="111">
        <f t="shared" si="7"/>
        <v>0</v>
      </c>
      <c r="R181" s="112">
        <f t="shared" si="65"/>
        <v>106.8</v>
      </c>
      <c r="S181" s="113" t="str">
        <f t="shared" si="9"/>
        <v>#DIV/0!</v>
      </c>
      <c r="T181" s="114"/>
      <c r="U181" s="114"/>
      <c r="V181" s="114"/>
      <c r="W181" s="114"/>
      <c r="X181" s="115"/>
      <c r="Y181" s="98"/>
      <c r="Z181" s="98"/>
    </row>
    <row r="182" hidden="1" outlineLevel="1">
      <c r="A182" s="148" t="str">
        <f t="shared" ref="A182:A183" si="67">iferror(if(B182&gt;0,month(B182)&amp;"-"&amp;year(B182),B182),)</f>
        <v>2-2026</v>
      </c>
      <c r="B182" s="99">
        <v>46074.0</v>
      </c>
      <c r="C182" s="277" t="s">
        <v>67</v>
      </c>
      <c r="D182" s="146">
        <v>0.0</v>
      </c>
      <c r="E182" s="103">
        <v>0.0</v>
      </c>
      <c r="F182" s="103">
        <v>0.0</v>
      </c>
      <c r="G182" s="104" t="str">
        <f t="shared" si="1"/>
        <v>#DIV/0!</v>
      </c>
      <c r="H182" s="105" t="str">
        <f t="shared" si="2"/>
        <v>#DIV/0!</v>
      </c>
      <c r="I182" s="106" t="str">
        <f t="shared" si="3"/>
        <v>#DIV/0!</v>
      </c>
      <c r="J182" s="117">
        <v>6444.6900000000005</v>
      </c>
      <c r="K182" s="278">
        <v>661606.0</v>
      </c>
      <c r="L182" s="103">
        <v>0.0</v>
      </c>
      <c r="M182" s="118">
        <v>10225.81</v>
      </c>
      <c r="N182" s="109">
        <f t="shared" si="66"/>
        <v>0.6302376046</v>
      </c>
      <c r="O182" s="110">
        <f t="shared" si="5"/>
        <v>1.586703162</v>
      </c>
      <c r="P182" s="109" t="str">
        <f t="shared" si="6"/>
        <v>#DIV/0!</v>
      </c>
      <c r="Q182" s="111" t="str">
        <f t="shared" si="7"/>
        <v>#DIV/0!</v>
      </c>
      <c r="R182" s="112">
        <f t="shared" si="65"/>
        <v>-10225.81</v>
      </c>
      <c r="S182" s="113" t="str">
        <f t="shared" si="9"/>
        <v>#DIV/0!</v>
      </c>
      <c r="T182" s="114"/>
      <c r="U182" s="114"/>
      <c r="V182" s="114"/>
      <c r="W182" s="114"/>
      <c r="X182" s="115"/>
      <c r="Y182" s="98"/>
      <c r="Z182" s="98"/>
    </row>
    <row r="183" collapsed="1">
      <c r="A183" s="98" t="str">
        <f t="shared" si="67"/>
        <v/>
      </c>
      <c r="B183" s="149" t="s">
        <v>58</v>
      </c>
      <c r="C183" s="150"/>
      <c r="D183" s="151">
        <f t="shared" ref="D183:F183" si="68">SUM(D165:D182)</f>
        <v>26966.17</v>
      </c>
      <c r="E183" s="153">
        <f t="shared" si="68"/>
        <v>296</v>
      </c>
      <c r="F183" s="153">
        <f t="shared" si="68"/>
        <v>288</v>
      </c>
      <c r="G183" s="154">
        <f t="shared" si="1"/>
        <v>1.027777778</v>
      </c>
      <c r="H183" s="155">
        <f t="shared" si="2"/>
        <v>91.10192568</v>
      </c>
      <c r="I183" s="156">
        <f t="shared" si="3"/>
        <v>88.63971147</v>
      </c>
      <c r="J183" s="151">
        <f t="shared" ref="J183:M183" si="69">SUM(J165:J182)</f>
        <v>10140.43</v>
      </c>
      <c r="K183" s="153">
        <f t="shared" si="69"/>
        <v>1520673</v>
      </c>
      <c r="L183" s="153">
        <f t="shared" si="69"/>
        <v>105</v>
      </c>
      <c r="M183" s="157">
        <f t="shared" si="69"/>
        <v>19841.37</v>
      </c>
      <c r="N183" s="158">
        <f t="shared" si="66"/>
        <v>0.5110750921</v>
      </c>
      <c r="O183" s="159">
        <f t="shared" si="5"/>
        <v>1.956659629</v>
      </c>
      <c r="P183" s="158">
        <f t="shared" si="6"/>
        <v>0.376042649</v>
      </c>
      <c r="Q183" s="160">
        <f t="shared" si="7"/>
        <v>0.73578747</v>
      </c>
      <c r="R183" s="161">
        <f>SUM(R165:R182)</f>
        <v>7124.8</v>
      </c>
      <c r="S183" s="162">
        <f t="shared" si="9"/>
        <v>96.57552381</v>
      </c>
      <c r="T183" s="164" t="str">
        <f t="shared" ref="T183:U183" si="70">IFERROR((D183-#REF!)/D183,)</f>
        <v/>
      </c>
      <c r="U183" s="164" t="str">
        <f t="shared" si="70"/>
        <v/>
      </c>
      <c r="V183" s="164" t="str">
        <f t="shared" ref="V183:W183" si="71">IFERROR((D183-#REF!)/D183, )</f>
        <v/>
      </c>
      <c r="W183" s="164" t="str">
        <f t="shared" si="71"/>
        <v/>
      </c>
      <c r="X183" s="98"/>
      <c r="Y183" s="98"/>
      <c r="Z183" s="98"/>
    </row>
    <row r="184" hidden="1" outlineLevel="1">
      <c r="A184" s="98"/>
      <c r="B184" s="99">
        <v>46075.0</v>
      </c>
      <c r="C184" s="100" t="s">
        <v>32</v>
      </c>
      <c r="D184" s="101">
        <v>4621.82</v>
      </c>
      <c r="E184" s="103">
        <v>34.0</v>
      </c>
      <c r="F184" s="103">
        <v>29.0</v>
      </c>
      <c r="G184" s="104">
        <f t="shared" si="1"/>
        <v>1.172413793</v>
      </c>
      <c r="H184" s="105">
        <f t="shared" si="2"/>
        <v>135.9358824</v>
      </c>
      <c r="I184" s="106">
        <f t="shared" si="3"/>
        <v>115.9453114</v>
      </c>
      <c r="J184" s="107">
        <v>577.74</v>
      </c>
      <c r="K184" s="103">
        <v>97214.0</v>
      </c>
      <c r="L184" s="103">
        <v>14.0</v>
      </c>
      <c r="M184" s="108">
        <v>656.95</v>
      </c>
      <c r="N184" s="109">
        <f t="shared" si="66"/>
        <v>0.8794276581</v>
      </c>
      <c r="O184" s="110">
        <f t="shared" si="5"/>
        <v>1.137103195</v>
      </c>
      <c r="P184" s="109">
        <f t="shared" si="6"/>
        <v>0.1250027046</v>
      </c>
      <c r="Q184" s="111">
        <f t="shared" si="7"/>
        <v>0.1421409748</v>
      </c>
      <c r="R184" s="112">
        <f t="shared" ref="R184:R201" si="72">D184-M184</f>
        <v>3964.87</v>
      </c>
      <c r="S184" s="113">
        <f t="shared" si="9"/>
        <v>41.26714286</v>
      </c>
      <c r="T184" s="114"/>
      <c r="U184" s="114"/>
      <c r="V184" s="114"/>
      <c r="W184" s="114"/>
      <c r="X184" s="115"/>
      <c r="Y184" s="98"/>
      <c r="Z184" s="98"/>
    </row>
    <row r="185" hidden="1" outlineLevel="1">
      <c r="A185" s="98"/>
      <c r="B185" s="116"/>
      <c r="C185" s="100" t="s">
        <v>33</v>
      </c>
      <c r="D185" s="117">
        <v>6450.93</v>
      </c>
      <c r="E185" s="103">
        <v>68.0</v>
      </c>
      <c r="F185" s="103">
        <v>75.0</v>
      </c>
      <c r="G185" s="104">
        <f t="shared" si="1"/>
        <v>0.9066666667</v>
      </c>
      <c r="H185" s="105">
        <f t="shared" si="2"/>
        <v>94.86661765</v>
      </c>
      <c r="I185" s="106">
        <f t="shared" si="3"/>
        <v>104.6322989</v>
      </c>
      <c r="J185" s="117">
        <v>638.92</v>
      </c>
      <c r="K185" s="103">
        <v>167762.0</v>
      </c>
      <c r="L185" s="103">
        <v>20.0</v>
      </c>
      <c r="M185" s="118">
        <v>1630.5</v>
      </c>
      <c r="N185" s="109">
        <f t="shared" si="66"/>
        <v>0.3918552591</v>
      </c>
      <c r="O185" s="110">
        <f t="shared" si="5"/>
        <v>2.551962687</v>
      </c>
      <c r="P185" s="109">
        <f t="shared" si="6"/>
        <v>0.09904308371</v>
      </c>
      <c r="Q185" s="111">
        <f t="shared" si="7"/>
        <v>0.252754254</v>
      </c>
      <c r="R185" s="119">
        <f t="shared" si="72"/>
        <v>4820.43</v>
      </c>
      <c r="S185" s="113">
        <f t="shared" si="9"/>
        <v>31.946</v>
      </c>
      <c r="T185" s="114"/>
      <c r="U185" s="114"/>
      <c r="V185" s="114"/>
      <c r="W185" s="114"/>
      <c r="X185" s="115"/>
      <c r="Y185" s="98"/>
      <c r="Z185" s="98"/>
    </row>
    <row r="186" hidden="1" outlineLevel="1">
      <c r="A186" s="98"/>
      <c r="B186" s="116"/>
      <c r="C186" s="100" t="s">
        <v>34</v>
      </c>
      <c r="D186" s="120">
        <v>0.0</v>
      </c>
      <c r="E186" s="103">
        <v>0.0</v>
      </c>
      <c r="F186" s="103">
        <v>0.0</v>
      </c>
      <c r="G186" s="104" t="str">
        <f t="shared" si="1"/>
        <v>#DIV/0!</v>
      </c>
      <c r="H186" s="105" t="str">
        <f t="shared" si="2"/>
        <v>#DIV/0!</v>
      </c>
      <c r="I186" s="106" t="str">
        <f t="shared" si="3"/>
        <v>#DIV/0!</v>
      </c>
      <c r="J186" s="120">
        <v>0.0</v>
      </c>
      <c r="K186" s="103">
        <v>0.0</v>
      </c>
      <c r="L186" s="103">
        <v>0.0</v>
      </c>
      <c r="M186" s="121">
        <v>0.0</v>
      </c>
      <c r="N186" s="109" t="str">
        <f>(J186/M186)</f>
        <v>#DIV/0!</v>
      </c>
      <c r="O186" s="110" t="str">
        <f t="shared" si="5"/>
        <v>#DIV/0!</v>
      </c>
      <c r="P186" s="109" t="str">
        <f t="shared" si="6"/>
        <v>#DIV/0!</v>
      </c>
      <c r="Q186" s="111" t="str">
        <f t="shared" si="7"/>
        <v>#DIV/0!</v>
      </c>
      <c r="R186" s="122">
        <f t="shared" si="72"/>
        <v>0</v>
      </c>
      <c r="S186" s="113" t="str">
        <f t="shared" si="9"/>
        <v>#DIV/0!</v>
      </c>
      <c r="T186" s="114"/>
      <c r="U186" s="114"/>
      <c r="V186" s="114"/>
      <c r="W186" s="114"/>
      <c r="X186" s="115"/>
      <c r="Y186" s="98"/>
      <c r="Z186" s="98"/>
    </row>
    <row r="187" hidden="1" outlineLevel="1">
      <c r="A187" s="98"/>
      <c r="B187" s="116"/>
      <c r="C187" s="100" t="s">
        <v>35</v>
      </c>
      <c r="D187" s="120">
        <v>839.3</v>
      </c>
      <c r="E187" s="103">
        <v>14.0</v>
      </c>
      <c r="F187" s="103">
        <v>14.0</v>
      </c>
      <c r="G187" s="104">
        <f t="shared" si="1"/>
        <v>1</v>
      </c>
      <c r="H187" s="105">
        <f t="shared" si="2"/>
        <v>59.95</v>
      </c>
      <c r="I187" s="106">
        <f t="shared" si="3"/>
        <v>59.95</v>
      </c>
      <c r="J187" s="120">
        <v>379.57</v>
      </c>
      <c r="K187" s="103">
        <v>20723.0</v>
      </c>
      <c r="L187" s="103">
        <v>9.0</v>
      </c>
      <c r="M187" s="121">
        <v>539.55</v>
      </c>
      <c r="N187" s="109">
        <f t="shared" ref="N187:N204" si="73">J187/M187</f>
        <v>0.7034936521</v>
      </c>
      <c r="O187" s="110">
        <f t="shared" si="5"/>
        <v>1.421476934</v>
      </c>
      <c r="P187" s="109">
        <f t="shared" si="6"/>
        <v>0.4522459192</v>
      </c>
      <c r="Q187" s="111">
        <f t="shared" si="7"/>
        <v>0.6428571429</v>
      </c>
      <c r="R187" s="122">
        <f t="shared" si="72"/>
        <v>299.75</v>
      </c>
      <c r="S187" s="113">
        <f t="shared" si="9"/>
        <v>42.17444444</v>
      </c>
      <c r="T187" s="114"/>
      <c r="U187" s="114"/>
      <c r="V187" s="114"/>
      <c r="W187" s="114"/>
      <c r="X187" s="115"/>
      <c r="Y187" s="98"/>
      <c r="Z187" s="98"/>
    </row>
    <row r="188" hidden="1" outlineLevel="1">
      <c r="A188" s="98"/>
      <c r="B188" s="116"/>
      <c r="C188" s="100" t="s">
        <v>36</v>
      </c>
      <c r="D188" s="120">
        <v>709.45</v>
      </c>
      <c r="E188" s="103">
        <v>11.0</v>
      </c>
      <c r="F188" s="103">
        <v>11.0</v>
      </c>
      <c r="G188" s="104">
        <f t="shared" si="1"/>
        <v>1</v>
      </c>
      <c r="H188" s="105">
        <f t="shared" si="2"/>
        <v>64.49545455</v>
      </c>
      <c r="I188" s="106">
        <f t="shared" si="3"/>
        <v>64.49545455</v>
      </c>
      <c r="J188" s="120">
        <v>24.15</v>
      </c>
      <c r="K188" s="103">
        <v>7154.0</v>
      </c>
      <c r="L188" s="103">
        <v>3.0</v>
      </c>
      <c r="M188" s="121">
        <v>199.85</v>
      </c>
      <c r="N188" s="109">
        <f t="shared" si="73"/>
        <v>0.1208406305</v>
      </c>
      <c r="O188" s="110">
        <f t="shared" si="5"/>
        <v>8.275362319</v>
      </c>
      <c r="P188" s="109">
        <f t="shared" si="6"/>
        <v>0.03404045387</v>
      </c>
      <c r="Q188" s="111">
        <f t="shared" si="7"/>
        <v>0.2816970893</v>
      </c>
      <c r="R188" s="122">
        <f t="shared" si="72"/>
        <v>509.6</v>
      </c>
      <c r="S188" s="113">
        <f t="shared" si="9"/>
        <v>8.05</v>
      </c>
      <c r="T188" s="114"/>
      <c r="U188" s="114"/>
      <c r="V188" s="114"/>
      <c r="W188" s="114"/>
      <c r="X188" s="115"/>
      <c r="Y188" s="98"/>
      <c r="Z188" s="98"/>
    </row>
    <row r="189" hidden="1" outlineLevel="1">
      <c r="A189" s="98"/>
      <c r="B189" s="99" t="s">
        <v>37</v>
      </c>
      <c r="C189" s="100" t="s">
        <v>38</v>
      </c>
      <c r="D189" s="123">
        <v>82.9</v>
      </c>
      <c r="E189" s="103">
        <v>3.0</v>
      </c>
      <c r="F189" s="103">
        <v>3.0</v>
      </c>
      <c r="G189" s="104">
        <f t="shared" si="1"/>
        <v>1</v>
      </c>
      <c r="H189" s="105">
        <f t="shared" si="2"/>
        <v>27.63333333</v>
      </c>
      <c r="I189" s="106">
        <f t="shared" si="3"/>
        <v>27.63333333</v>
      </c>
      <c r="J189" s="123">
        <v>33.5</v>
      </c>
      <c r="K189" s="103">
        <v>135734.0</v>
      </c>
      <c r="L189" s="103">
        <v>2.0</v>
      </c>
      <c r="M189" s="124">
        <v>51.43</v>
      </c>
      <c r="N189" s="109">
        <f t="shared" si="73"/>
        <v>0.6513707953</v>
      </c>
      <c r="O189" s="110">
        <f t="shared" si="5"/>
        <v>1.535223881</v>
      </c>
      <c r="P189" s="109">
        <f t="shared" si="6"/>
        <v>0.4041013269</v>
      </c>
      <c r="Q189" s="111">
        <f t="shared" si="7"/>
        <v>0.6203860072</v>
      </c>
      <c r="R189" s="125">
        <f t="shared" si="72"/>
        <v>31.47</v>
      </c>
      <c r="S189" s="113">
        <f t="shared" si="9"/>
        <v>16.75</v>
      </c>
      <c r="T189" s="114"/>
      <c r="U189" s="114"/>
      <c r="V189" s="114"/>
      <c r="W189" s="114"/>
      <c r="X189" s="115"/>
      <c r="Y189" s="98"/>
      <c r="Z189" s="98"/>
    </row>
    <row r="190" hidden="1" outlineLevel="1">
      <c r="A190" s="98"/>
      <c r="B190" s="116"/>
      <c r="C190" s="100" t="s">
        <v>39</v>
      </c>
      <c r="D190" s="126">
        <v>0.0</v>
      </c>
      <c r="E190" s="103">
        <v>0.0</v>
      </c>
      <c r="F190" s="103">
        <v>0.0</v>
      </c>
      <c r="G190" s="104" t="str">
        <f t="shared" si="1"/>
        <v>#DIV/0!</v>
      </c>
      <c r="H190" s="105" t="str">
        <f t="shared" si="2"/>
        <v>#DIV/0!</v>
      </c>
      <c r="I190" s="106" t="str">
        <f t="shared" si="3"/>
        <v>#DIV/0!</v>
      </c>
      <c r="J190" s="126">
        <v>0.0</v>
      </c>
      <c r="K190" s="103">
        <v>0.0</v>
      </c>
      <c r="L190" s="103">
        <v>0.0</v>
      </c>
      <c r="M190" s="127">
        <v>0.0</v>
      </c>
      <c r="N190" s="109" t="str">
        <f t="shared" si="73"/>
        <v>#DIV/0!</v>
      </c>
      <c r="O190" s="110" t="str">
        <f t="shared" si="5"/>
        <v>#DIV/0!</v>
      </c>
      <c r="P190" s="109" t="str">
        <f t="shared" si="6"/>
        <v>#DIV/0!</v>
      </c>
      <c r="Q190" s="111" t="str">
        <f t="shared" si="7"/>
        <v>#DIV/0!</v>
      </c>
      <c r="R190" s="128">
        <f t="shared" si="72"/>
        <v>0</v>
      </c>
      <c r="S190" s="113" t="str">
        <f t="shared" si="9"/>
        <v>#DIV/0!</v>
      </c>
      <c r="T190" s="114"/>
      <c r="U190" s="114"/>
      <c r="V190" s="114"/>
      <c r="W190" s="114"/>
      <c r="X190" s="115"/>
      <c r="Y190" s="98"/>
      <c r="Z190" s="98"/>
    </row>
    <row r="191" hidden="1" outlineLevel="1">
      <c r="A191" s="98"/>
      <c r="B191" s="116"/>
      <c r="C191" s="100" t="s">
        <v>40</v>
      </c>
      <c r="D191" s="129">
        <v>0.0</v>
      </c>
      <c r="E191" s="103">
        <v>0.0</v>
      </c>
      <c r="F191" s="103">
        <v>0.0</v>
      </c>
      <c r="G191" s="104" t="str">
        <f t="shared" si="1"/>
        <v>#DIV/0!</v>
      </c>
      <c r="H191" s="105" t="str">
        <f t="shared" si="2"/>
        <v>#DIV/0!</v>
      </c>
      <c r="I191" s="106" t="str">
        <f t="shared" si="3"/>
        <v>#DIV/0!</v>
      </c>
      <c r="J191" s="129">
        <v>0.0</v>
      </c>
      <c r="K191" s="103">
        <v>0.0</v>
      </c>
      <c r="L191" s="103">
        <v>0.0</v>
      </c>
      <c r="M191" s="130">
        <v>0.0</v>
      </c>
      <c r="N191" s="109" t="str">
        <f t="shared" si="73"/>
        <v>#DIV/0!</v>
      </c>
      <c r="O191" s="110" t="str">
        <f t="shared" si="5"/>
        <v>#DIV/0!</v>
      </c>
      <c r="P191" s="109" t="str">
        <f t="shared" si="6"/>
        <v>#DIV/0!</v>
      </c>
      <c r="Q191" s="111" t="str">
        <f t="shared" si="7"/>
        <v>#DIV/0!</v>
      </c>
      <c r="R191" s="131">
        <f t="shared" si="72"/>
        <v>0</v>
      </c>
      <c r="S191" s="113" t="str">
        <f t="shared" si="9"/>
        <v>#DIV/0!</v>
      </c>
      <c r="T191" s="114"/>
      <c r="U191" s="114"/>
      <c r="V191" s="114"/>
      <c r="W191" s="114"/>
      <c r="X191" s="115"/>
      <c r="Y191" s="98"/>
      <c r="Z191" s="98"/>
    </row>
    <row r="192" hidden="1" outlineLevel="1">
      <c r="A192" s="98"/>
      <c r="B192" s="116"/>
      <c r="C192" s="100" t="s">
        <v>41</v>
      </c>
      <c r="D192" s="132">
        <v>2740.62</v>
      </c>
      <c r="E192" s="103">
        <v>41.0</v>
      </c>
      <c r="F192" s="103">
        <v>37.0</v>
      </c>
      <c r="G192" s="104">
        <f t="shared" si="1"/>
        <v>1.108108108</v>
      </c>
      <c r="H192" s="105">
        <f t="shared" si="2"/>
        <v>66.84439024</v>
      </c>
      <c r="I192" s="106">
        <f t="shared" si="3"/>
        <v>60.32298632</v>
      </c>
      <c r="J192" s="132">
        <v>586.82</v>
      </c>
      <c r="K192" s="103">
        <v>43866.0</v>
      </c>
      <c r="L192" s="103">
        <v>15.0</v>
      </c>
      <c r="M192" s="133">
        <v>1050.86</v>
      </c>
      <c r="N192" s="109">
        <f t="shared" si="73"/>
        <v>0.5584188189</v>
      </c>
      <c r="O192" s="110">
        <f t="shared" si="5"/>
        <v>1.790770594</v>
      </c>
      <c r="P192" s="109">
        <f t="shared" si="6"/>
        <v>0.2141194328</v>
      </c>
      <c r="Q192" s="111">
        <f t="shared" si="7"/>
        <v>0.3834387839</v>
      </c>
      <c r="R192" s="134">
        <f t="shared" si="72"/>
        <v>1689.76</v>
      </c>
      <c r="S192" s="113">
        <f t="shared" si="9"/>
        <v>39.12133333</v>
      </c>
      <c r="T192" s="114"/>
      <c r="U192" s="114"/>
      <c r="V192" s="114"/>
      <c r="W192" s="114"/>
      <c r="X192" s="115"/>
      <c r="Y192" s="98"/>
      <c r="Z192" s="98"/>
    </row>
    <row r="193" hidden="1" outlineLevel="1">
      <c r="A193" s="98"/>
      <c r="B193" s="116"/>
      <c r="C193" s="100" t="s">
        <v>42</v>
      </c>
      <c r="D193" s="120">
        <v>39.98</v>
      </c>
      <c r="E193" s="103">
        <v>2.0</v>
      </c>
      <c r="F193" s="103">
        <v>2.0</v>
      </c>
      <c r="G193" s="104">
        <f t="shared" si="1"/>
        <v>1</v>
      </c>
      <c r="H193" s="105">
        <f t="shared" si="2"/>
        <v>19.99</v>
      </c>
      <c r="I193" s="106">
        <f t="shared" si="3"/>
        <v>19.99</v>
      </c>
      <c r="J193" s="120">
        <v>432.11</v>
      </c>
      <c r="K193" s="103">
        <v>80819.0</v>
      </c>
      <c r="L193" s="103">
        <v>2.0</v>
      </c>
      <c r="M193" s="121">
        <v>39.98</v>
      </c>
      <c r="N193" s="109">
        <f t="shared" si="73"/>
        <v>10.80815408</v>
      </c>
      <c r="O193" s="110">
        <f t="shared" si="5"/>
        <v>0.09252273727</v>
      </c>
      <c r="P193" s="109">
        <f t="shared" si="6"/>
        <v>10.80815408</v>
      </c>
      <c r="Q193" s="111">
        <f t="shared" si="7"/>
        <v>1</v>
      </c>
      <c r="R193" s="122">
        <f t="shared" si="72"/>
        <v>0</v>
      </c>
      <c r="S193" s="113">
        <f t="shared" si="9"/>
        <v>216.055</v>
      </c>
      <c r="T193" s="114"/>
      <c r="U193" s="114"/>
      <c r="V193" s="114"/>
      <c r="W193" s="114"/>
      <c r="X193" s="115"/>
      <c r="Y193" s="98"/>
      <c r="Z193" s="98"/>
    </row>
    <row r="194" hidden="1" outlineLevel="1">
      <c r="A194" s="98"/>
      <c r="B194" s="116"/>
      <c r="C194" s="100" t="s">
        <v>43</v>
      </c>
      <c r="D194" s="135">
        <v>1559.48</v>
      </c>
      <c r="E194" s="103">
        <v>13.0</v>
      </c>
      <c r="F194" s="103">
        <v>14.0</v>
      </c>
      <c r="G194" s="104">
        <f t="shared" si="1"/>
        <v>0.9285714286</v>
      </c>
      <c r="H194" s="105">
        <f t="shared" si="2"/>
        <v>119.96</v>
      </c>
      <c r="I194" s="106">
        <f t="shared" si="3"/>
        <v>129.1876923</v>
      </c>
      <c r="J194" s="135">
        <v>64.97</v>
      </c>
      <c r="K194" s="103">
        <v>19433.0</v>
      </c>
      <c r="L194" s="103">
        <v>2.0</v>
      </c>
      <c r="M194" s="136">
        <v>119.96</v>
      </c>
      <c r="N194" s="109">
        <f t="shared" si="73"/>
        <v>0.5415971991</v>
      </c>
      <c r="O194" s="110">
        <f t="shared" si="5"/>
        <v>1.846390642</v>
      </c>
      <c r="P194" s="109">
        <f t="shared" si="6"/>
        <v>0.04166132301</v>
      </c>
      <c r="Q194" s="111">
        <f t="shared" si="7"/>
        <v>0.07692307692</v>
      </c>
      <c r="R194" s="137">
        <f t="shared" si="72"/>
        <v>1439.52</v>
      </c>
      <c r="S194" s="113">
        <f t="shared" si="9"/>
        <v>32.485</v>
      </c>
      <c r="T194" s="114"/>
      <c r="U194" s="114"/>
      <c r="V194" s="114"/>
      <c r="W194" s="114"/>
      <c r="X194" s="115"/>
      <c r="Y194" s="98"/>
      <c r="Z194" s="98"/>
    </row>
    <row r="195" hidden="1" outlineLevel="1">
      <c r="A195" s="98"/>
      <c r="B195" s="116"/>
      <c r="C195" s="100" t="s">
        <v>44</v>
      </c>
      <c r="D195" s="138">
        <v>250.98</v>
      </c>
      <c r="E195" s="103">
        <v>6.0</v>
      </c>
      <c r="F195" s="103">
        <v>6.0</v>
      </c>
      <c r="G195" s="104">
        <f t="shared" si="1"/>
        <v>1</v>
      </c>
      <c r="H195" s="105">
        <f t="shared" si="2"/>
        <v>41.83</v>
      </c>
      <c r="I195" s="106">
        <f t="shared" si="3"/>
        <v>41.83</v>
      </c>
      <c r="J195" s="138">
        <v>112.81</v>
      </c>
      <c r="K195" s="103">
        <v>59268.0</v>
      </c>
      <c r="L195" s="103">
        <v>1.0</v>
      </c>
      <c r="M195" s="139">
        <v>59.95</v>
      </c>
      <c r="N195" s="109">
        <f t="shared" si="73"/>
        <v>1.881734779</v>
      </c>
      <c r="O195" s="110">
        <f t="shared" si="5"/>
        <v>0.5314245191</v>
      </c>
      <c r="P195" s="109">
        <f t="shared" si="6"/>
        <v>0.4494780461</v>
      </c>
      <c r="Q195" s="111">
        <f t="shared" si="7"/>
        <v>0.2388636545</v>
      </c>
      <c r="R195" s="140">
        <f t="shared" si="72"/>
        <v>191.03</v>
      </c>
      <c r="S195" s="113">
        <f t="shared" si="9"/>
        <v>112.81</v>
      </c>
      <c r="T195" s="114"/>
      <c r="U195" s="114"/>
      <c r="V195" s="114"/>
      <c r="W195" s="114"/>
      <c r="X195" s="115"/>
      <c r="Y195" s="98"/>
      <c r="Z195" s="98"/>
    </row>
    <row r="196" hidden="1" outlineLevel="1">
      <c r="A196" s="141"/>
      <c r="B196" s="116"/>
      <c r="C196" s="142" t="s">
        <v>45</v>
      </c>
      <c r="D196" s="101">
        <v>0.0</v>
      </c>
      <c r="E196" s="103">
        <v>0.0</v>
      </c>
      <c r="F196" s="103">
        <v>0.0</v>
      </c>
      <c r="G196" s="104" t="str">
        <f t="shared" si="1"/>
        <v>#DIV/0!</v>
      </c>
      <c r="H196" s="105" t="str">
        <f t="shared" si="2"/>
        <v>#DIV/0!</v>
      </c>
      <c r="I196" s="106" t="str">
        <f t="shared" si="3"/>
        <v>#DIV/0!</v>
      </c>
      <c r="J196" s="101">
        <v>0.0</v>
      </c>
      <c r="K196" s="103">
        <v>0.0</v>
      </c>
      <c r="L196" s="103">
        <v>0.0</v>
      </c>
      <c r="M196" s="108">
        <v>0.0</v>
      </c>
      <c r="N196" s="109" t="str">
        <f t="shared" si="73"/>
        <v>#DIV/0!</v>
      </c>
      <c r="O196" s="110" t="str">
        <f t="shared" si="5"/>
        <v>#DIV/0!</v>
      </c>
      <c r="P196" s="109" t="str">
        <f t="shared" si="6"/>
        <v>#DIV/0!</v>
      </c>
      <c r="Q196" s="111" t="str">
        <f t="shared" si="7"/>
        <v>#DIV/0!</v>
      </c>
      <c r="R196" s="112">
        <f t="shared" si="72"/>
        <v>0</v>
      </c>
      <c r="S196" s="113" t="str">
        <f t="shared" si="9"/>
        <v>#DIV/0!</v>
      </c>
      <c r="T196" s="143"/>
      <c r="U196" s="143"/>
      <c r="V196" s="143"/>
      <c r="W196" s="144"/>
      <c r="X196" s="145"/>
      <c r="Y196" s="98"/>
      <c r="Z196" s="98"/>
    </row>
    <row r="197" hidden="1" outlineLevel="1">
      <c r="A197" s="98"/>
      <c r="B197" s="116"/>
      <c r="C197" s="100" t="s">
        <v>46</v>
      </c>
      <c r="D197" s="146">
        <v>1460.53</v>
      </c>
      <c r="E197" s="103">
        <v>32.0</v>
      </c>
      <c r="F197" s="103">
        <v>41.0</v>
      </c>
      <c r="G197" s="104">
        <f t="shared" si="1"/>
        <v>0.7804878049</v>
      </c>
      <c r="H197" s="105">
        <f t="shared" si="2"/>
        <v>45.6415625</v>
      </c>
      <c r="I197" s="106">
        <f t="shared" si="3"/>
        <v>58.47825195</v>
      </c>
      <c r="J197" s="146">
        <v>274.85</v>
      </c>
      <c r="K197" s="103">
        <v>55897.0</v>
      </c>
      <c r="L197" s="103">
        <v>16.0</v>
      </c>
      <c r="M197" s="147">
        <v>611.3</v>
      </c>
      <c r="N197" s="109">
        <f t="shared" si="73"/>
        <v>0.4496155734</v>
      </c>
      <c r="O197" s="110">
        <f t="shared" si="5"/>
        <v>2.224122248</v>
      </c>
      <c r="P197" s="109">
        <f t="shared" si="6"/>
        <v>0.1881851109</v>
      </c>
      <c r="Q197" s="111">
        <f t="shared" si="7"/>
        <v>0.418546692</v>
      </c>
      <c r="R197" s="112">
        <f t="shared" si="72"/>
        <v>849.23</v>
      </c>
      <c r="S197" s="113">
        <f t="shared" si="9"/>
        <v>17.178125</v>
      </c>
      <c r="T197" s="114"/>
      <c r="U197" s="114"/>
      <c r="V197" s="114"/>
      <c r="W197" s="114"/>
      <c r="X197" s="115"/>
      <c r="Y197" s="98"/>
      <c r="Z197" s="98"/>
    </row>
    <row r="198" hidden="1" outlineLevel="1">
      <c r="A198" s="98"/>
      <c r="B198" s="116"/>
      <c r="C198" s="100" t="s">
        <v>47</v>
      </c>
      <c r="D198" s="117">
        <v>29.85</v>
      </c>
      <c r="E198" s="103">
        <v>1.0</v>
      </c>
      <c r="F198" s="103">
        <v>1.0</v>
      </c>
      <c r="G198" s="104">
        <f t="shared" si="1"/>
        <v>1</v>
      </c>
      <c r="H198" s="105">
        <f t="shared" si="2"/>
        <v>29.85</v>
      </c>
      <c r="I198" s="106">
        <f t="shared" si="3"/>
        <v>29.85</v>
      </c>
      <c r="J198" s="117">
        <v>0.0</v>
      </c>
      <c r="K198" s="103">
        <v>0.0</v>
      </c>
      <c r="L198" s="103">
        <v>0.0</v>
      </c>
      <c r="M198" s="118">
        <v>0.0</v>
      </c>
      <c r="N198" s="109" t="str">
        <f t="shared" si="73"/>
        <v>#DIV/0!</v>
      </c>
      <c r="O198" s="110" t="str">
        <f t="shared" si="5"/>
        <v>#DIV/0!</v>
      </c>
      <c r="P198" s="109">
        <f t="shared" si="6"/>
        <v>0</v>
      </c>
      <c r="Q198" s="111">
        <f t="shared" si="7"/>
        <v>0</v>
      </c>
      <c r="R198" s="112">
        <f t="shared" si="72"/>
        <v>29.85</v>
      </c>
      <c r="S198" s="113" t="str">
        <f t="shared" si="9"/>
        <v>#DIV/0!</v>
      </c>
      <c r="T198" s="114"/>
      <c r="U198" s="114"/>
      <c r="V198" s="114"/>
      <c r="W198" s="114"/>
      <c r="X198" s="115"/>
      <c r="Y198" s="98"/>
      <c r="Z198" s="98"/>
    </row>
    <row r="199" hidden="1" outlineLevel="1">
      <c r="A199" s="98"/>
      <c r="B199" s="116"/>
      <c r="C199" s="100" t="s">
        <v>48</v>
      </c>
      <c r="D199" s="132">
        <v>1199.74</v>
      </c>
      <c r="E199" s="103">
        <v>6.0</v>
      </c>
      <c r="F199" s="103">
        <v>11.0</v>
      </c>
      <c r="G199" s="104">
        <f t="shared" si="1"/>
        <v>0.5454545455</v>
      </c>
      <c r="H199" s="105">
        <f t="shared" si="2"/>
        <v>199.9566667</v>
      </c>
      <c r="I199" s="106">
        <f t="shared" si="3"/>
        <v>366.5872222</v>
      </c>
      <c r="J199" s="132">
        <v>288.19</v>
      </c>
      <c r="K199" s="103">
        <v>35669.0</v>
      </c>
      <c r="L199" s="103">
        <v>5.0</v>
      </c>
      <c r="M199" s="133">
        <v>799.8</v>
      </c>
      <c r="N199" s="109">
        <f t="shared" si="73"/>
        <v>0.3603275819</v>
      </c>
      <c r="O199" s="110">
        <f t="shared" si="5"/>
        <v>2.775252438</v>
      </c>
      <c r="P199" s="109">
        <f t="shared" si="6"/>
        <v>0.2402103789</v>
      </c>
      <c r="Q199" s="111">
        <f t="shared" si="7"/>
        <v>0.6666444396</v>
      </c>
      <c r="R199" s="112">
        <f t="shared" si="72"/>
        <v>399.94</v>
      </c>
      <c r="S199" s="113">
        <f t="shared" si="9"/>
        <v>57.638</v>
      </c>
      <c r="T199" s="114"/>
      <c r="U199" s="114"/>
      <c r="V199" s="114"/>
      <c r="W199" s="114"/>
      <c r="X199" s="115"/>
      <c r="Y199" s="98"/>
      <c r="Z199" s="98"/>
    </row>
    <row r="200" hidden="1" outlineLevel="1">
      <c r="A200" s="98"/>
      <c r="B200" s="116"/>
      <c r="C200" s="100" t="s">
        <v>49</v>
      </c>
      <c r="D200" s="146">
        <v>-116.8</v>
      </c>
      <c r="E200" s="103">
        <v>-2.0</v>
      </c>
      <c r="F200" s="103">
        <v>2.0</v>
      </c>
      <c r="G200" s="104">
        <f t="shared" si="1"/>
        <v>-1</v>
      </c>
      <c r="H200" s="105">
        <f t="shared" si="2"/>
        <v>58.4</v>
      </c>
      <c r="I200" s="106">
        <f t="shared" si="3"/>
        <v>-58.4</v>
      </c>
      <c r="J200" s="146">
        <v>4.88</v>
      </c>
      <c r="K200" s="103">
        <v>4547.0</v>
      </c>
      <c r="L200" s="103">
        <v>1.0</v>
      </c>
      <c r="M200" s="147">
        <v>86.0</v>
      </c>
      <c r="N200" s="109">
        <f t="shared" si="73"/>
        <v>0.05674418605</v>
      </c>
      <c r="O200" s="110">
        <f t="shared" si="5"/>
        <v>17.62295082</v>
      </c>
      <c r="P200" s="109">
        <f t="shared" si="6"/>
        <v>-0.04178082192</v>
      </c>
      <c r="Q200" s="111">
        <f t="shared" si="7"/>
        <v>-0.7363013699</v>
      </c>
      <c r="R200" s="112">
        <f t="shared" si="72"/>
        <v>-202.8</v>
      </c>
      <c r="S200" s="113">
        <f t="shared" si="9"/>
        <v>4.88</v>
      </c>
      <c r="T200" s="114"/>
      <c r="U200" s="114"/>
      <c r="V200" s="114"/>
      <c r="W200" s="114"/>
      <c r="X200" s="115"/>
      <c r="Y200" s="98"/>
      <c r="Z200" s="98"/>
    </row>
    <row r="201" hidden="1" outlineLevel="1">
      <c r="A201" s="148" t="str">
        <f t="shared" ref="A201:A202" si="74">iferror(if(B201&gt;0,month(B201)&amp;"-"&amp;year(B201),B201),)</f>
        <v>2-2026</v>
      </c>
      <c r="B201" s="99">
        <v>46081.0</v>
      </c>
      <c r="C201" s="277" t="s">
        <v>67</v>
      </c>
      <c r="D201" s="146">
        <v>0.0</v>
      </c>
      <c r="E201" s="103">
        <v>0.0</v>
      </c>
      <c r="F201" s="103">
        <v>0.0</v>
      </c>
      <c r="G201" s="104" t="str">
        <f t="shared" si="1"/>
        <v>#DIV/0!</v>
      </c>
      <c r="H201" s="105" t="str">
        <f t="shared" si="2"/>
        <v>#DIV/0!</v>
      </c>
      <c r="I201" s="106" t="str">
        <f t="shared" si="3"/>
        <v>#DIV/0!</v>
      </c>
      <c r="J201" s="117">
        <v>6547.0</v>
      </c>
      <c r="K201" s="278">
        <v>679160.0</v>
      </c>
      <c r="L201" s="103">
        <v>0.0</v>
      </c>
      <c r="M201" s="118">
        <v>11091.0</v>
      </c>
      <c r="N201" s="109">
        <f t="shared" si="73"/>
        <v>0.5902984402</v>
      </c>
      <c r="O201" s="110">
        <f t="shared" si="5"/>
        <v>1.694058347</v>
      </c>
      <c r="P201" s="109" t="str">
        <f t="shared" si="6"/>
        <v>#DIV/0!</v>
      </c>
      <c r="Q201" s="111" t="str">
        <f t="shared" si="7"/>
        <v>#DIV/0!</v>
      </c>
      <c r="R201" s="112">
        <f t="shared" si="72"/>
        <v>-11091</v>
      </c>
      <c r="S201" s="113" t="str">
        <f t="shared" si="9"/>
        <v>#DIV/0!</v>
      </c>
      <c r="T201" s="114"/>
      <c r="U201" s="114"/>
      <c r="V201" s="114"/>
      <c r="W201" s="114"/>
      <c r="X201" s="115"/>
      <c r="Y201" s="98"/>
      <c r="Z201" s="98"/>
    </row>
    <row r="202" collapsed="1">
      <c r="A202" s="98" t="str">
        <f t="shared" si="74"/>
        <v/>
      </c>
      <c r="B202" s="149" t="s">
        <v>59</v>
      </c>
      <c r="C202" s="150"/>
      <c r="D202" s="151">
        <f t="shared" ref="D202:F202" si="75">SUM(D184:D201)</f>
        <v>19868.78</v>
      </c>
      <c r="E202" s="153">
        <f t="shared" si="75"/>
        <v>229</v>
      </c>
      <c r="F202" s="153">
        <f t="shared" si="75"/>
        <v>246</v>
      </c>
      <c r="G202" s="154">
        <f t="shared" si="1"/>
        <v>0.9308943089</v>
      </c>
      <c r="H202" s="155">
        <f t="shared" si="2"/>
        <v>86.76323144</v>
      </c>
      <c r="I202" s="156">
        <f t="shared" si="3"/>
        <v>93.20417002</v>
      </c>
      <c r="J202" s="151">
        <f t="shared" ref="J202:M202" si="76">SUM(J184:J201)</f>
        <v>9965.51</v>
      </c>
      <c r="K202" s="153">
        <f t="shared" si="76"/>
        <v>1407246</v>
      </c>
      <c r="L202" s="153">
        <f t="shared" si="76"/>
        <v>90</v>
      </c>
      <c r="M202" s="157">
        <f t="shared" si="76"/>
        <v>16937.13</v>
      </c>
      <c r="N202" s="158">
        <f t="shared" si="73"/>
        <v>0.5883824473</v>
      </c>
      <c r="O202" s="159">
        <f t="shared" si="5"/>
        <v>1.699574834</v>
      </c>
      <c r="P202" s="158">
        <f t="shared" si="6"/>
        <v>0.5015662763</v>
      </c>
      <c r="Q202" s="160">
        <f t="shared" si="7"/>
        <v>0.8524494206</v>
      </c>
      <c r="R202" s="161">
        <f>SUM(R184:R201)</f>
        <v>2931.65</v>
      </c>
      <c r="S202" s="162">
        <f t="shared" si="9"/>
        <v>110.7278889</v>
      </c>
      <c r="T202" s="164" t="str">
        <f t="shared" ref="T202:U202" si="77">IFERROR((D202-#REF!)/D202,)</f>
        <v/>
      </c>
      <c r="U202" s="164" t="str">
        <f t="shared" si="77"/>
        <v/>
      </c>
      <c r="V202" s="164" t="str">
        <f t="shared" ref="V202:W202" si="78">IFERROR((D202-#REF!)/D202, )</f>
        <v/>
      </c>
      <c r="W202" s="164" t="str">
        <f t="shared" si="78"/>
        <v/>
      </c>
      <c r="X202" s="98"/>
      <c r="Y202" s="98"/>
      <c r="Z202" s="98"/>
    </row>
    <row r="203" hidden="1" outlineLevel="1">
      <c r="A203" s="98"/>
      <c r="B203" s="99">
        <v>46082.0</v>
      </c>
      <c r="C203" s="100" t="s">
        <v>32</v>
      </c>
      <c r="D203" s="101">
        <v>7598.46</v>
      </c>
      <c r="E203" s="103">
        <v>45.0</v>
      </c>
      <c r="F203" s="103">
        <v>47.0</v>
      </c>
      <c r="G203" s="104">
        <f t="shared" si="1"/>
        <v>0.9574468085</v>
      </c>
      <c r="H203" s="105">
        <f t="shared" si="2"/>
        <v>168.8546667</v>
      </c>
      <c r="I203" s="106">
        <f t="shared" si="3"/>
        <v>176.3593185</v>
      </c>
      <c r="J203" s="107">
        <v>613.05</v>
      </c>
      <c r="K203" s="103">
        <v>181567.0</v>
      </c>
      <c r="L203" s="103">
        <v>11.0</v>
      </c>
      <c r="M203" s="108">
        <v>1305.81</v>
      </c>
      <c r="N203" s="109">
        <f t="shared" si="73"/>
        <v>0.4694787144</v>
      </c>
      <c r="O203" s="110">
        <f t="shared" si="5"/>
        <v>2.130022021</v>
      </c>
      <c r="P203" s="109">
        <f t="shared" si="6"/>
        <v>0.08068082217</v>
      </c>
      <c r="Q203" s="111">
        <f t="shared" si="7"/>
        <v>0.1718519279</v>
      </c>
      <c r="R203" s="112">
        <f t="shared" ref="R203:R220" si="79">D203-M203</f>
        <v>6292.65</v>
      </c>
      <c r="S203" s="113">
        <f t="shared" si="9"/>
        <v>55.73181818</v>
      </c>
      <c r="T203" s="114"/>
      <c r="U203" s="114"/>
      <c r="V203" s="114"/>
      <c r="W203" s="114"/>
      <c r="X203" s="115"/>
      <c r="Y203" s="98"/>
      <c r="Z203" s="98"/>
    </row>
    <row r="204" hidden="1" outlineLevel="1">
      <c r="A204" s="98"/>
      <c r="B204" s="116"/>
      <c r="C204" s="100" t="s">
        <v>33</v>
      </c>
      <c r="D204" s="117">
        <v>7897.84</v>
      </c>
      <c r="E204" s="103">
        <v>103.0</v>
      </c>
      <c r="F204" s="103">
        <v>113.0</v>
      </c>
      <c r="G204" s="104">
        <f t="shared" si="1"/>
        <v>0.9115044248</v>
      </c>
      <c r="H204" s="105">
        <f t="shared" si="2"/>
        <v>76.67805825</v>
      </c>
      <c r="I204" s="106">
        <f t="shared" si="3"/>
        <v>84.12252993</v>
      </c>
      <c r="J204" s="117">
        <v>614.56</v>
      </c>
      <c r="K204" s="103">
        <v>142121.0</v>
      </c>
      <c r="L204" s="103">
        <v>18.0</v>
      </c>
      <c r="M204" s="118">
        <v>1498.7</v>
      </c>
      <c r="N204" s="109">
        <f t="shared" si="73"/>
        <v>0.4100620538</v>
      </c>
      <c r="O204" s="110">
        <f t="shared" si="5"/>
        <v>2.438655298</v>
      </c>
      <c r="P204" s="109">
        <f t="shared" si="6"/>
        <v>0.0778136807</v>
      </c>
      <c r="Q204" s="111">
        <f t="shared" si="7"/>
        <v>0.1897607447</v>
      </c>
      <c r="R204" s="119">
        <f t="shared" si="79"/>
        <v>6399.14</v>
      </c>
      <c r="S204" s="113">
        <f t="shared" si="9"/>
        <v>34.14222222</v>
      </c>
      <c r="T204" s="114"/>
      <c r="U204" s="114"/>
      <c r="V204" s="114"/>
      <c r="W204" s="114"/>
      <c r="X204" s="115"/>
      <c r="Y204" s="98"/>
      <c r="Z204" s="98"/>
    </row>
    <row r="205" hidden="1" outlineLevel="1">
      <c r="A205" s="98"/>
      <c r="B205" s="116"/>
      <c r="C205" s="100" t="s">
        <v>34</v>
      </c>
      <c r="D205" s="120">
        <v>349.75</v>
      </c>
      <c r="E205" s="103">
        <v>5.0</v>
      </c>
      <c r="F205" s="103">
        <v>2.0</v>
      </c>
      <c r="G205" s="104">
        <f t="shared" si="1"/>
        <v>2.5</v>
      </c>
      <c r="H205" s="105">
        <f t="shared" si="2"/>
        <v>69.95</v>
      </c>
      <c r="I205" s="106">
        <f t="shared" si="3"/>
        <v>27.98</v>
      </c>
      <c r="J205" s="120">
        <v>7.22</v>
      </c>
      <c r="K205" s="103">
        <v>355.0</v>
      </c>
      <c r="L205" s="103">
        <v>0.0</v>
      </c>
      <c r="M205" s="121">
        <v>0.0</v>
      </c>
      <c r="N205" s="109" t="str">
        <f>(J205/M205)</f>
        <v>#DIV/0!</v>
      </c>
      <c r="O205" s="110">
        <f t="shared" si="5"/>
        <v>0</v>
      </c>
      <c r="P205" s="109">
        <f t="shared" si="6"/>
        <v>0.02064331665</v>
      </c>
      <c r="Q205" s="111">
        <f t="shared" si="7"/>
        <v>0</v>
      </c>
      <c r="R205" s="122">
        <f t="shared" si="79"/>
        <v>349.75</v>
      </c>
      <c r="S205" s="113" t="str">
        <f t="shared" si="9"/>
        <v>#DIV/0!</v>
      </c>
      <c r="T205" s="114"/>
      <c r="U205" s="114"/>
      <c r="V205" s="114"/>
      <c r="W205" s="114"/>
      <c r="X205" s="115"/>
      <c r="Y205" s="98"/>
      <c r="Z205" s="98"/>
    </row>
    <row r="206" hidden="1" outlineLevel="1">
      <c r="A206" s="98"/>
      <c r="B206" s="116"/>
      <c r="C206" s="100" t="s">
        <v>35</v>
      </c>
      <c r="D206" s="120">
        <v>680.46</v>
      </c>
      <c r="E206" s="103">
        <v>11.0</v>
      </c>
      <c r="F206" s="103">
        <v>11.0</v>
      </c>
      <c r="G206" s="104">
        <f t="shared" si="1"/>
        <v>1</v>
      </c>
      <c r="H206" s="105">
        <f t="shared" si="2"/>
        <v>61.86</v>
      </c>
      <c r="I206" s="106">
        <f t="shared" si="3"/>
        <v>61.86</v>
      </c>
      <c r="J206" s="120">
        <v>3.42</v>
      </c>
      <c r="K206" s="103">
        <v>8.0</v>
      </c>
      <c r="L206" s="103">
        <v>1.0</v>
      </c>
      <c r="M206" s="121">
        <v>62.95</v>
      </c>
      <c r="N206" s="109">
        <f t="shared" ref="N206:N223" si="80">J206/M206</f>
        <v>0.05432883241</v>
      </c>
      <c r="O206" s="110">
        <f t="shared" si="5"/>
        <v>18.40643275</v>
      </c>
      <c r="P206" s="109">
        <f t="shared" si="6"/>
        <v>0.005026011816</v>
      </c>
      <c r="Q206" s="111">
        <f t="shared" si="7"/>
        <v>0.09251094848</v>
      </c>
      <c r="R206" s="122">
        <f t="shared" si="79"/>
        <v>617.51</v>
      </c>
      <c r="S206" s="113">
        <f t="shared" si="9"/>
        <v>3.42</v>
      </c>
      <c r="T206" s="114"/>
      <c r="U206" s="114"/>
      <c r="V206" s="114"/>
      <c r="W206" s="114"/>
      <c r="X206" s="115"/>
      <c r="Y206" s="98"/>
      <c r="Z206" s="98"/>
    </row>
    <row r="207" hidden="1" outlineLevel="1">
      <c r="A207" s="98"/>
      <c r="B207" s="116"/>
      <c r="C207" s="100" t="s">
        <v>36</v>
      </c>
      <c r="D207" s="120">
        <v>494.6</v>
      </c>
      <c r="E207" s="103">
        <v>8.0</v>
      </c>
      <c r="F207" s="103">
        <v>8.0</v>
      </c>
      <c r="G207" s="104">
        <f t="shared" si="1"/>
        <v>1</v>
      </c>
      <c r="H207" s="105">
        <f t="shared" si="2"/>
        <v>61.825</v>
      </c>
      <c r="I207" s="106">
        <f t="shared" si="3"/>
        <v>61.825</v>
      </c>
      <c r="J207" s="120">
        <v>23.59</v>
      </c>
      <c r="K207" s="103">
        <v>6796.0</v>
      </c>
      <c r="L207" s="103">
        <v>2.0</v>
      </c>
      <c r="M207" s="121">
        <v>129.9</v>
      </c>
      <c r="N207" s="109">
        <f t="shared" si="80"/>
        <v>0.1816012317</v>
      </c>
      <c r="O207" s="110">
        <f t="shared" si="5"/>
        <v>5.506570581</v>
      </c>
      <c r="P207" s="109">
        <f t="shared" si="6"/>
        <v>0.04769510716</v>
      </c>
      <c r="Q207" s="111">
        <f t="shared" si="7"/>
        <v>0.2626364739</v>
      </c>
      <c r="R207" s="122">
        <f t="shared" si="79"/>
        <v>364.7</v>
      </c>
      <c r="S207" s="113">
        <f t="shared" si="9"/>
        <v>11.795</v>
      </c>
      <c r="T207" s="114"/>
      <c r="U207" s="114"/>
      <c r="V207" s="114"/>
      <c r="W207" s="114"/>
      <c r="X207" s="115"/>
      <c r="Y207" s="98"/>
      <c r="Z207" s="98"/>
    </row>
    <row r="208" hidden="1" outlineLevel="1">
      <c r="A208" s="98"/>
      <c r="B208" s="99" t="s">
        <v>37</v>
      </c>
      <c r="C208" s="100" t="s">
        <v>38</v>
      </c>
      <c r="D208" s="123">
        <v>121.42</v>
      </c>
      <c r="E208" s="103">
        <v>2.0</v>
      </c>
      <c r="F208" s="103">
        <v>2.0</v>
      </c>
      <c r="G208" s="104">
        <f t="shared" si="1"/>
        <v>1</v>
      </c>
      <c r="H208" s="105">
        <f t="shared" si="2"/>
        <v>60.71</v>
      </c>
      <c r="I208" s="106">
        <f t="shared" si="3"/>
        <v>60.71</v>
      </c>
      <c r="J208" s="123">
        <v>24.28</v>
      </c>
      <c r="K208" s="103">
        <v>70688.0</v>
      </c>
      <c r="L208" s="103">
        <v>2.0</v>
      </c>
      <c r="M208" s="124">
        <v>62.94</v>
      </c>
      <c r="N208" s="109">
        <f t="shared" si="80"/>
        <v>0.3857642199</v>
      </c>
      <c r="O208" s="110">
        <f t="shared" si="5"/>
        <v>2.592257002</v>
      </c>
      <c r="P208" s="109">
        <f t="shared" si="6"/>
        <v>0.1999670565</v>
      </c>
      <c r="Q208" s="111">
        <f t="shared" si="7"/>
        <v>0.5183660023</v>
      </c>
      <c r="R208" s="125">
        <f t="shared" si="79"/>
        <v>58.48</v>
      </c>
      <c r="S208" s="113">
        <f t="shared" si="9"/>
        <v>12.14</v>
      </c>
      <c r="T208" s="114"/>
      <c r="U208" s="114"/>
      <c r="V208" s="114"/>
      <c r="W208" s="114"/>
      <c r="X208" s="115"/>
      <c r="Y208" s="98"/>
      <c r="Z208" s="98"/>
    </row>
    <row r="209" hidden="1" outlineLevel="1">
      <c r="A209" s="98"/>
      <c r="B209" s="116"/>
      <c r="C209" s="100" t="s">
        <v>39</v>
      </c>
      <c r="D209" s="126">
        <v>0.0</v>
      </c>
      <c r="E209" s="103">
        <v>0.0</v>
      </c>
      <c r="F209" s="103">
        <v>0.0</v>
      </c>
      <c r="G209" s="104" t="str">
        <f t="shared" si="1"/>
        <v>#DIV/0!</v>
      </c>
      <c r="H209" s="105" t="str">
        <f t="shared" si="2"/>
        <v>#DIV/0!</v>
      </c>
      <c r="I209" s="106" t="str">
        <f t="shared" si="3"/>
        <v>#DIV/0!</v>
      </c>
      <c r="J209" s="126">
        <v>0.0</v>
      </c>
      <c r="K209" s="103">
        <v>0.0</v>
      </c>
      <c r="L209" s="103">
        <v>0.0</v>
      </c>
      <c r="M209" s="127">
        <v>0.0</v>
      </c>
      <c r="N209" s="109" t="str">
        <f t="shared" si="80"/>
        <v>#DIV/0!</v>
      </c>
      <c r="O209" s="110" t="str">
        <f t="shared" si="5"/>
        <v>#DIV/0!</v>
      </c>
      <c r="P209" s="109" t="str">
        <f t="shared" si="6"/>
        <v>#DIV/0!</v>
      </c>
      <c r="Q209" s="111" t="str">
        <f t="shared" si="7"/>
        <v>#DIV/0!</v>
      </c>
      <c r="R209" s="128">
        <f t="shared" si="79"/>
        <v>0</v>
      </c>
      <c r="S209" s="113" t="str">
        <f t="shared" si="9"/>
        <v>#DIV/0!</v>
      </c>
      <c r="T209" s="114"/>
      <c r="U209" s="114"/>
      <c r="V209" s="114"/>
      <c r="W209" s="114"/>
      <c r="X209" s="115"/>
      <c r="Y209" s="98"/>
      <c r="Z209" s="98"/>
    </row>
    <row r="210" hidden="1" outlineLevel="1">
      <c r="A210" s="98"/>
      <c r="B210" s="116"/>
      <c r="C210" s="100" t="s">
        <v>40</v>
      </c>
      <c r="D210" s="129">
        <v>0.0</v>
      </c>
      <c r="E210" s="103">
        <v>0.0</v>
      </c>
      <c r="F210" s="103">
        <v>0.0</v>
      </c>
      <c r="G210" s="104" t="str">
        <f t="shared" si="1"/>
        <v>#DIV/0!</v>
      </c>
      <c r="H210" s="105" t="str">
        <f t="shared" si="2"/>
        <v>#DIV/0!</v>
      </c>
      <c r="I210" s="106" t="str">
        <f t="shared" si="3"/>
        <v>#DIV/0!</v>
      </c>
      <c r="J210" s="129">
        <v>0.0</v>
      </c>
      <c r="K210" s="103">
        <v>0.0</v>
      </c>
      <c r="L210" s="103">
        <v>0.0</v>
      </c>
      <c r="M210" s="130">
        <v>0.0</v>
      </c>
      <c r="N210" s="109" t="str">
        <f t="shared" si="80"/>
        <v>#DIV/0!</v>
      </c>
      <c r="O210" s="110" t="str">
        <f t="shared" si="5"/>
        <v>#DIV/0!</v>
      </c>
      <c r="P210" s="109" t="str">
        <f t="shared" si="6"/>
        <v>#DIV/0!</v>
      </c>
      <c r="Q210" s="111" t="str">
        <f t="shared" si="7"/>
        <v>#DIV/0!</v>
      </c>
      <c r="R210" s="131">
        <f t="shared" si="79"/>
        <v>0</v>
      </c>
      <c r="S210" s="113" t="str">
        <f t="shared" si="9"/>
        <v>#DIV/0!</v>
      </c>
      <c r="T210" s="114"/>
      <c r="U210" s="114"/>
      <c r="V210" s="114"/>
      <c r="W210" s="114"/>
      <c r="X210" s="115"/>
      <c r="Y210" s="98"/>
      <c r="Z210" s="98"/>
    </row>
    <row r="211" hidden="1" outlineLevel="1">
      <c r="A211" s="98"/>
      <c r="B211" s="116"/>
      <c r="C211" s="100" t="s">
        <v>41</v>
      </c>
      <c r="D211" s="132">
        <v>2473.82</v>
      </c>
      <c r="E211" s="103">
        <v>39.0</v>
      </c>
      <c r="F211" s="103">
        <v>41.0</v>
      </c>
      <c r="G211" s="104">
        <f t="shared" si="1"/>
        <v>0.9512195122</v>
      </c>
      <c r="H211" s="105">
        <f t="shared" si="2"/>
        <v>63.43128205</v>
      </c>
      <c r="I211" s="106">
        <f t="shared" si="3"/>
        <v>66.68416831</v>
      </c>
      <c r="J211" s="132">
        <v>582.25</v>
      </c>
      <c r="K211" s="103">
        <v>46079.0</v>
      </c>
      <c r="L211" s="103">
        <v>9.0</v>
      </c>
      <c r="M211" s="133">
        <v>534.66</v>
      </c>
      <c r="N211" s="109">
        <f t="shared" si="80"/>
        <v>1.089009838</v>
      </c>
      <c r="O211" s="110">
        <f t="shared" si="5"/>
        <v>0.9182653499</v>
      </c>
      <c r="P211" s="109">
        <f t="shared" si="6"/>
        <v>0.2353647396</v>
      </c>
      <c r="Q211" s="111">
        <f t="shared" si="7"/>
        <v>0.2161272849</v>
      </c>
      <c r="R211" s="134">
        <f t="shared" si="79"/>
        <v>1939.16</v>
      </c>
      <c r="S211" s="113">
        <f t="shared" si="9"/>
        <v>64.69444444</v>
      </c>
      <c r="T211" s="114"/>
      <c r="U211" s="114"/>
      <c r="V211" s="114"/>
      <c r="W211" s="114"/>
      <c r="X211" s="115"/>
      <c r="Y211" s="98"/>
      <c r="Z211" s="98"/>
    </row>
    <row r="212" hidden="1" outlineLevel="1">
      <c r="A212" s="98"/>
      <c r="B212" s="116"/>
      <c r="C212" s="100" t="s">
        <v>42</v>
      </c>
      <c r="D212" s="120">
        <v>109.9</v>
      </c>
      <c r="E212" s="103">
        <v>6.0</v>
      </c>
      <c r="F212" s="103">
        <v>5.0</v>
      </c>
      <c r="G212" s="104">
        <f t="shared" si="1"/>
        <v>1.2</v>
      </c>
      <c r="H212" s="105">
        <f t="shared" si="2"/>
        <v>18.31666667</v>
      </c>
      <c r="I212" s="106">
        <f t="shared" si="3"/>
        <v>15.26388889</v>
      </c>
      <c r="J212" s="120">
        <v>450.42</v>
      </c>
      <c r="K212" s="103">
        <v>81264.0</v>
      </c>
      <c r="L212" s="103">
        <v>3.0</v>
      </c>
      <c r="M212" s="121">
        <v>49.93</v>
      </c>
      <c r="N212" s="109">
        <f t="shared" si="80"/>
        <v>9.021029441</v>
      </c>
      <c r="O212" s="110">
        <f t="shared" si="5"/>
        <v>0.1108520936</v>
      </c>
      <c r="P212" s="109">
        <f t="shared" si="6"/>
        <v>4.098453139</v>
      </c>
      <c r="Q212" s="111">
        <f t="shared" si="7"/>
        <v>0.454322111</v>
      </c>
      <c r="R212" s="122">
        <f t="shared" si="79"/>
        <v>59.97</v>
      </c>
      <c r="S212" s="113">
        <f t="shared" si="9"/>
        <v>150.14</v>
      </c>
      <c r="T212" s="114"/>
      <c r="U212" s="114"/>
      <c r="V212" s="114"/>
      <c r="W212" s="114"/>
      <c r="X212" s="115"/>
      <c r="Y212" s="98"/>
      <c r="Z212" s="98"/>
    </row>
    <row r="213" hidden="1" outlineLevel="1">
      <c r="A213" s="98"/>
      <c r="B213" s="116"/>
      <c r="C213" s="100" t="s">
        <v>43</v>
      </c>
      <c r="D213" s="135">
        <v>1285.59</v>
      </c>
      <c r="E213" s="103">
        <v>10.0</v>
      </c>
      <c r="F213" s="103">
        <v>13.0</v>
      </c>
      <c r="G213" s="104">
        <f t="shared" si="1"/>
        <v>0.7692307692</v>
      </c>
      <c r="H213" s="105">
        <f t="shared" si="2"/>
        <v>128.559</v>
      </c>
      <c r="I213" s="106">
        <f t="shared" si="3"/>
        <v>167.1267</v>
      </c>
      <c r="J213" s="135">
        <v>183.26</v>
      </c>
      <c r="K213" s="103">
        <v>26231.0</v>
      </c>
      <c r="L213" s="103">
        <v>4.0</v>
      </c>
      <c r="M213" s="136">
        <v>359.88</v>
      </c>
      <c r="N213" s="109">
        <f t="shared" si="80"/>
        <v>0.5092252973</v>
      </c>
      <c r="O213" s="110">
        <f t="shared" si="5"/>
        <v>1.963767325</v>
      </c>
      <c r="P213" s="109">
        <f t="shared" si="6"/>
        <v>0.1425493353</v>
      </c>
      <c r="Q213" s="111">
        <f t="shared" si="7"/>
        <v>0.2799337269</v>
      </c>
      <c r="R213" s="137">
        <f t="shared" si="79"/>
        <v>925.71</v>
      </c>
      <c r="S213" s="113">
        <f t="shared" si="9"/>
        <v>45.815</v>
      </c>
      <c r="T213" s="114"/>
      <c r="U213" s="114"/>
      <c r="V213" s="114"/>
      <c r="W213" s="114"/>
      <c r="X213" s="115"/>
      <c r="Y213" s="98"/>
      <c r="Z213" s="98"/>
    </row>
    <row r="214" hidden="1" outlineLevel="1">
      <c r="A214" s="98"/>
      <c r="B214" s="116"/>
      <c r="C214" s="100" t="s">
        <v>44</v>
      </c>
      <c r="D214" s="138">
        <v>659.25</v>
      </c>
      <c r="E214" s="103">
        <v>15.0</v>
      </c>
      <c r="F214" s="103">
        <v>17.0</v>
      </c>
      <c r="G214" s="104">
        <f t="shared" si="1"/>
        <v>0.8823529412</v>
      </c>
      <c r="H214" s="105">
        <f t="shared" si="2"/>
        <v>43.95</v>
      </c>
      <c r="I214" s="106">
        <f t="shared" si="3"/>
        <v>49.81</v>
      </c>
      <c r="J214" s="138">
        <v>105.12</v>
      </c>
      <c r="K214" s="103">
        <v>61066.0</v>
      </c>
      <c r="L214" s="103">
        <v>5.0</v>
      </c>
      <c r="M214" s="139">
        <v>239.75</v>
      </c>
      <c r="N214" s="109">
        <f t="shared" si="80"/>
        <v>0.4384567258</v>
      </c>
      <c r="O214" s="110">
        <f t="shared" si="5"/>
        <v>2.280726788</v>
      </c>
      <c r="P214" s="109">
        <f t="shared" si="6"/>
        <v>0.1594539249</v>
      </c>
      <c r="Q214" s="111">
        <f t="shared" si="7"/>
        <v>0.3636708381</v>
      </c>
      <c r="R214" s="140">
        <f t="shared" si="79"/>
        <v>419.5</v>
      </c>
      <c r="S214" s="113">
        <f t="shared" si="9"/>
        <v>21.024</v>
      </c>
      <c r="T214" s="114"/>
      <c r="U214" s="114"/>
      <c r="V214" s="114"/>
      <c r="W214" s="114"/>
      <c r="X214" s="115"/>
      <c r="Y214" s="98"/>
      <c r="Z214" s="98"/>
    </row>
    <row r="215" hidden="1" outlineLevel="1">
      <c r="A215" s="141"/>
      <c r="B215" s="116"/>
      <c r="C215" s="142" t="s">
        <v>45</v>
      </c>
      <c r="D215" s="101">
        <v>0.0</v>
      </c>
      <c r="E215" s="103">
        <v>0.0</v>
      </c>
      <c r="F215" s="103">
        <v>0.0</v>
      </c>
      <c r="G215" s="104" t="str">
        <f t="shared" si="1"/>
        <v>#DIV/0!</v>
      </c>
      <c r="H215" s="105" t="str">
        <f t="shared" si="2"/>
        <v>#DIV/0!</v>
      </c>
      <c r="I215" s="106" t="str">
        <f t="shared" si="3"/>
        <v>#DIV/0!</v>
      </c>
      <c r="J215" s="101">
        <v>0.0</v>
      </c>
      <c r="K215" s="103">
        <v>0.0</v>
      </c>
      <c r="L215" s="103">
        <v>0.0</v>
      </c>
      <c r="M215" s="108">
        <v>0.0</v>
      </c>
      <c r="N215" s="109" t="str">
        <f t="shared" si="80"/>
        <v>#DIV/0!</v>
      </c>
      <c r="O215" s="110" t="str">
        <f t="shared" si="5"/>
        <v>#DIV/0!</v>
      </c>
      <c r="P215" s="109" t="str">
        <f t="shared" si="6"/>
        <v>#DIV/0!</v>
      </c>
      <c r="Q215" s="111" t="str">
        <f t="shared" si="7"/>
        <v>#DIV/0!</v>
      </c>
      <c r="R215" s="112">
        <f t="shared" si="79"/>
        <v>0</v>
      </c>
      <c r="S215" s="113" t="str">
        <f t="shared" si="9"/>
        <v>#DIV/0!</v>
      </c>
      <c r="T215" s="143"/>
      <c r="U215" s="143"/>
      <c r="V215" s="143"/>
      <c r="W215" s="144"/>
      <c r="X215" s="145"/>
      <c r="Y215" s="98"/>
      <c r="Z215" s="98"/>
    </row>
    <row r="216" hidden="1" outlineLevel="1">
      <c r="A216" s="98"/>
      <c r="B216" s="116"/>
      <c r="C216" s="100" t="s">
        <v>46</v>
      </c>
      <c r="D216" s="146">
        <v>1141.69</v>
      </c>
      <c r="E216" s="103">
        <v>26.0</v>
      </c>
      <c r="F216" s="103">
        <v>29.0</v>
      </c>
      <c r="G216" s="104">
        <f t="shared" si="1"/>
        <v>0.8965517241</v>
      </c>
      <c r="H216" s="105">
        <f t="shared" si="2"/>
        <v>43.91115385</v>
      </c>
      <c r="I216" s="106">
        <f t="shared" si="3"/>
        <v>48.97782544</v>
      </c>
      <c r="J216" s="146">
        <v>212.37</v>
      </c>
      <c r="K216" s="103">
        <v>48920.0</v>
      </c>
      <c r="L216" s="103">
        <v>11.0</v>
      </c>
      <c r="M216" s="147">
        <v>390.55</v>
      </c>
      <c r="N216" s="109">
        <f t="shared" si="80"/>
        <v>0.5437716041</v>
      </c>
      <c r="O216" s="110">
        <f t="shared" si="5"/>
        <v>1.839007393</v>
      </c>
      <c r="P216" s="109">
        <f t="shared" si="6"/>
        <v>0.1860137165</v>
      </c>
      <c r="Q216" s="111">
        <f t="shared" si="7"/>
        <v>0.3420805998</v>
      </c>
      <c r="R216" s="112">
        <f t="shared" si="79"/>
        <v>751.14</v>
      </c>
      <c r="S216" s="113">
        <f t="shared" si="9"/>
        <v>19.30636364</v>
      </c>
      <c r="T216" s="114"/>
      <c r="U216" s="114"/>
      <c r="V216" s="114"/>
      <c r="W216" s="114"/>
      <c r="X216" s="115"/>
      <c r="Y216" s="98"/>
      <c r="Z216" s="98"/>
    </row>
    <row r="217" hidden="1" outlineLevel="1">
      <c r="A217" s="98"/>
      <c r="B217" s="116"/>
      <c r="C217" s="100" t="s">
        <v>47</v>
      </c>
      <c r="D217" s="117">
        <v>29.85</v>
      </c>
      <c r="E217" s="103">
        <v>1.0</v>
      </c>
      <c r="F217" s="103">
        <v>1.0</v>
      </c>
      <c r="G217" s="104">
        <f t="shared" si="1"/>
        <v>1</v>
      </c>
      <c r="H217" s="105">
        <f t="shared" si="2"/>
        <v>29.85</v>
      </c>
      <c r="I217" s="106">
        <f t="shared" si="3"/>
        <v>29.85</v>
      </c>
      <c r="J217" s="117">
        <v>0.0</v>
      </c>
      <c r="K217" s="103">
        <v>0.0</v>
      </c>
      <c r="L217" s="103">
        <v>0.0</v>
      </c>
      <c r="M217" s="118">
        <v>0.0</v>
      </c>
      <c r="N217" s="109" t="str">
        <f t="shared" si="80"/>
        <v>#DIV/0!</v>
      </c>
      <c r="O217" s="110" t="str">
        <f t="shared" si="5"/>
        <v>#DIV/0!</v>
      </c>
      <c r="P217" s="109">
        <f t="shared" si="6"/>
        <v>0</v>
      </c>
      <c r="Q217" s="111">
        <f t="shared" si="7"/>
        <v>0</v>
      </c>
      <c r="R217" s="112">
        <f t="shared" si="79"/>
        <v>29.85</v>
      </c>
      <c r="S217" s="113" t="str">
        <f t="shared" si="9"/>
        <v>#DIV/0!</v>
      </c>
      <c r="T217" s="114"/>
      <c r="U217" s="114"/>
      <c r="V217" s="114"/>
      <c r="W217" s="114"/>
      <c r="X217" s="115"/>
      <c r="Y217" s="98"/>
      <c r="Z217" s="98"/>
    </row>
    <row r="218" hidden="1" outlineLevel="1">
      <c r="A218" s="98"/>
      <c r="B218" s="116"/>
      <c r="C218" s="100" t="s">
        <v>48</v>
      </c>
      <c r="D218" s="132">
        <v>1739.55</v>
      </c>
      <c r="E218" s="103">
        <v>9.0</v>
      </c>
      <c r="F218" s="103">
        <v>10.0</v>
      </c>
      <c r="G218" s="104">
        <f t="shared" si="1"/>
        <v>0.9</v>
      </c>
      <c r="H218" s="105">
        <f t="shared" si="2"/>
        <v>193.2833333</v>
      </c>
      <c r="I218" s="106">
        <f t="shared" si="3"/>
        <v>214.7592593</v>
      </c>
      <c r="J218" s="132">
        <v>368.51</v>
      </c>
      <c r="K218" s="103">
        <v>40195.0</v>
      </c>
      <c r="L218" s="103">
        <v>5.0</v>
      </c>
      <c r="M218" s="133">
        <v>999.75</v>
      </c>
      <c r="N218" s="109">
        <f t="shared" si="80"/>
        <v>0.3686021505</v>
      </c>
      <c r="O218" s="110">
        <f t="shared" si="5"/>
        <v>2.712952159</v>
      </c>
      <c r="P218" s="109">
        <f t="shared" si="6"/>
        <v>0.2118421431</v>
      </c>
      <c r="Q218" s="111">
        <f t="shared" si="7"/>
        <v>0.5747175994</v>
      </c>
      <c r="R218" s="112">
        <f t="shared" si="79"/>
        <v>739.8</v>
      </c>
      <c r="S218" s="113">
        <f t="shared" si="9"/>
        <v>73.702</v>
      </c>
      <c r="T218" s="114"/>
      <c r="U218" s="114"/>
      <c r="V218" s="114"/>
      <c r="W218" s="114"/>
      <c r="X218" s="115"/>
      <c r="Y218" s="98"/>
      <c r="Z218" s="98"/>
    </row>
    <row r="219" hidden="1" outlineLevel="1">
      <c r="A219" s="98"/>
      <c r="B219" s="116"/>
      <c r="C219" s="100" t="s">
        <v>49</v>
      </c>
      <c r="D219" s="146">
        <v>-278.0</v>
      </c>
      <c r="E219" s="103">
        <v>-3.0</v>
      </c>
      <c r="F219" s="103">
        <v>0.0</v>
      </c>
      <c r="G219" s="104" t="str">
        <f t="shared" si="1"/>
        <v>#DIV/0!</v>
      </c>
      <c r="H219" s="105">
        <f t="shared" si="2"/>
        <v>92.66666667</v>
      </c>
      <c r="I219" s="106" t="str">
        <f t="shared" si="3"/>
        <v>#DIV/0!</v>
      </c>
      <c r="J219" s="146">
        <v>1.36</v>
      </c>
      <c r="K219" s="103">
        <v>1905.0</v>
      </c>
      <c r="L219" s="103">
        <v>0.0</v>
      </c>
      <c r="M219" s="147">
        <v>0.0</v>
      </c>
      <c r="N219" s="109" t="str">
        <f t="shared" si="80"/>
        <v>#DIV/0!</v>
      </c>
      <c r="O219" s="110">
        <f t="shared" si="5"/>
        <v>0</v>
      </c>
      <c r="P219" s="109">
        <f t="shared" si="6"/>
        <v>-0.004892086331</v>
      </c>
      <c r="Q219" s="111">
        <f t="shared" si="7"/>
        <v>0</v>
      </c>
      <c r="R219" s="112">
        <f t="shared" si="79"/>
        <v>-278</v>
      </c>
      <c r="S219" s="113" t="str">
        <f t="shared" si="9"/>
        <v>#DIV/0!</v>
      </c>
      <c r="T219" s="114"/>
      <c r="U219" s="114"/>
      <c r="V219" s="114"/>
      <c r="W219" s="114"/>
      <c r="X219" s="115"/>
      <c r="Y219" s="98"/>
      <c r="Z219" s="98"/>
    </row>
    <row r="220" hidden="1" outlineLevel="1">
      <c r="A220" s="148" t="str">
        <f t="shared" ref="A220:A221" si="81">iferror(if(B220&gt;0,month(B220)&amp;"-"&amp;year(B220),B220),)</f>
        <v>3-2026</v>
      </c>
      <c r="B220" s="99">
        <v>46088.0</v>
      </c>
      <c r="C220" s="277" t="s">
        <v>67</v>
      </c>
      <c r="D220" s="146">
        <v>0.0</v>
      </c>
      <c r="E220" s="103">
        <v>0.0</v>
      </c>
      <c r="F220" s="103">
        <v>0.0</v>
      </c>
      <c r="G220" s="104" t="str">
        <f t="shared" si="1"/>
        <v>#DIV/0!</v>
      </c>
      <c r="H220" s="105" t="str">
        <f t="shared" si="2"/>
        <v>#DIV/0!</v>
      </c>
      <c r="I220" s="106" t="str">
        <f t="shared" si="3"/>
        <v>#DIV/0!</v>
      </c>
      <c r="J220" s="117">
        <v>6086.1100000000015</v>
      </c>
      <c r="K220" s="278">
        <v>674397.0</v>
      </c>
      <c r="L220" s="103">
        <v>0.0</v>
      </c>
      <c r="M220" s="118">
        <v>13317.05</v>
      </c>
      <c r="N220" s="109">
        <f t="shared" si="80"/>
        <v>0.4570163813</v>
      </c>
      <c r="O220" s="110">
        <f t="shared" si="5"/>
        <v>2.188105374</v>
      </c>
      <c r="P220" s="109" t="str">
        <f t="shared" si="6"/>
        <v>#DIV/0!</v>
      </c>
      <c r="Q220" s="111" t="str">
        <f t="shared" si="7"/>
        <v>#DIV/0!</v>
      </c>
      <c r="R220" s="112">
        <f t="shared" si="79"/>
        <v>-13317.05</v>
      </c>
      <c r="S220" s="113" t="str">
        <f t="shared" si="9"/>
        <v>#DIV/0!</v>
      </c>
      <c r="T220" s="114"/>
      <c r="U220" s="114"/>
      <c r="V220" s="114"/>
      <c r="W220" s="114"/>
      <c r="X220" s="115"/>
      <c r="Y220" s="98"/>
      <c r="Z220" s="98"/>
    </row>
    <row r="221" collapsed="1">
      <c r="A221" s="98" t="str">
        <f t="shared" si="81"/>
        <v/>
      </c>
      <c r="B221" s="149" t="s">
        <v>60</v>
      </c>
      <c r="C221" s="150"/>
      <c r="D221" s="151">
        <f t="shared" ref="D221:F221" si="82">SUM(D203:D220)</f>
        <v>24304.18</v>
      </c>
      <c r="E221" s="153">
        <f t="shared" si="82"/>
        <v>277</v>
      </c>
      <c r="F221" s="153">
        <f t="shared" si="82"/>
        <v>299</v>
      </c>
      <c r="G221" s="154">
        <f t="shared" si="1"/>
        <v>0.9264214047</v>
      </c>
      <c r="H221" s="155">
        <f t="shared" si="2"/>
        <v>87.74072202</v>
      </c>
      <c r="I221" s="156">
        <f t="shared" si="3"/>
        <v>94.70929922</v>
      </c>
      <c r="J221" s="151">
        <f t="shared" ref="J221:M221" si="83">SUM(J203:J220)</f>
        <v>9275.52</v>
      </c>
      <c r="K221" s="153">
        <f t="shared" si="83"/>
        <v>1381592</v>
      </c>
      <c r="L221" s="153">
        <f t="shared" si="83"/>
        <v>71</v>
      </c>
      <c r="M221" s="157">
        <f t="shared" si="83"/>
        <v>18951.87</v>
      </c>
      <c r="N221" s="158">
        <f t="shared" si="80"/>
        <v>0.4894250541</v>
      </c>
      <c r="O221" s="159">
        <f t="shared" si="5"/>
        <v>2.04321375</v>
      </c>
      <c r="P221" s="158">
        <f t="shared" si="6"/>
        <v>0.3816429931</v>
      </c>
      <c r="Q221" s="160">
        <f t="shared" si="7"/>
        <v>0.779778211</v>
      </c>
      <c r="R221" s="161">
        <f>SUM(R203:R220)</f>
        <v>5352.31</v>
      </c>
      <c r="S221" s="162">
        <f t="shared" si="9"/>
        <v>130.6411268</v>
      </c>
      <c r="T221" s="164" t="str">
        <f t="shared" ref="T221:U221" si="84">IFERROR((D221-#REF!)/D221,)</f>
        <v/>
      </c>
      <c r="U221" s="164" t="str">
        <f t="shared" si="84"/>
        <v/>
      </c>
      <c r="V221" s="164" t="str">
        <f t="shared" ref="V221:W221" si="85">IFERROR((D221-monthly_reporting_2021!D12)/D221, )</f>
        <v/>
      </c>
      <c r="W221" s="164" t="str">
        <f t="shared" si="85"/>
        <v/>
      </c>
      <c r="X221" s="98"/>
      <c r="Y221" s="98"/>
      <c r="Z221" s="98"/>
    </row>
    <row r="222" outlineLevel="1">
      <c r="A222" s="165"/>
      <c r="B222" s="166">
        <v>46089.0</v>
      </c>
      <c r="C222" s="100" t="s">
        <v>32</v>
      </c>
      <c r="D222" s="167">
        <v>5333.09</v>
      </c>
      <c r="E222" s="169">
        <v>43.0</v>
      </c>
      <c r="F222" s="169">
        <v>42.0</v>
      </c>
      <c r="G222" s="104">
        <f t="shared" si="1"/>
        <v>1.023809524</v>
      </c>
      <c r="H222" s="105">
        <f t="shared" si="2"/>
        <v>124.0253488</v>
      </c>
      <c r="I222" s="106">
        <f t="shared" si="3"/>
        <v>121.1410384</v>
      </c>
      <c r="J222" s="170">
        <v>627.92</v>
      </c>
      <c r="K222" s="169">
        <v>100485.0</v>
      </c>
      <c r="L222" s="169">
        <v>12.0</v>
      </c>
      <c r="M222" s="171">
        <v>1146.75</v>
      </c>
      <c r="N222" s="109">
        <f t="shared" si="80"/>
        <v>0.5475648572</v>
      </c>
      <c r="O222" s="110">
        <f t="shared" si="5"/>
        <v>1.826267677</v>
      </c>
      <c r="P222" s="109">
        <f t="shared" si="6"/>
        <v>0.1177403719</v>
      </c>
      <c r="Q222" s="111">
        <f t="shared" si="7"/>
        <v>0.2150254355</v>
      </c>
      <c r="R222" s="112">
        <f t="shared" ref="R222:R239" si="86">D222-M222</f>
        <v>4186.34</v>
      </c>
      <c r="S222" s="113">
        <f t="shared" si="9"/>
        <v>52.32666667</v>
      </c>
      <c r="T222" s="172"/>
      <c r="U222" s="172"/>
      <c r="V222" s="172"/>
      <c r="W222" s="172"/>
      <c r="X222" s="173"/>
      <c r="Y222" s="165"/>
      <c r="Z222" s="165"/>
    </row>
    <row r="223" outlineLevel="1">
      <c r="A223" s="165"/>
      <c r="B223" s="174"/>
      <c r="C223" s="100" t="s">
        <v>33</v>
      </c>
      <c r="D223" s="175">
        <v>9585.6</v>
      </c>
      <c r="E223" s="169">
        <v>90.0</v>
      </c>
      <c r="F223" s="169">
        <v>92.0</v>
      </c>
      <c r="G223" s="104">
        <f t="shared" si="1"/>
        <v>0.9782608696</v>
      </c>
      <c r="H223" s="105">
        <f t="shared" si="2"/>
        <v>106.5066667</v>
      </c>
      <c r="I223" s="106">
        <f t="shared" si="3"/>
        <v>108.8734815</v>
      </c>
      <c r="J223" s="175">
        <v>582.22</v>
      </c>
      <c r="K223" s="169">
        <v>126250.0</v>
      </c>
      <c r="L223" s="169">
        <v>11.0</v>
      </c>
      <c r="M223" s="176">
        <v>1472.7</v>
      </c>
      <c r="N223" s="109">
        <f t="shared" si="80"/>
        <v>0.395341889</v>
      </c>
      <c r="O223" s="110">
        <f t="shared" si="5"/>
        <v>2.529456219</v>
      </c>
      <c r="P223" s="109">
        <f t="shared" si="6"/>
        <v>0.0607390252</v>
      </c>
      <c r="Q223" s="111">
        <f t="shared" si="7"/>
        <v>0.1536367051</v>
      </c>
      <c r="R223" s="119">
        <f t="shared" si="86"/>
        <v>8112.9</v>
      </c>
      <c r="S223" s="113">
        <f t="shared" si="9"/>
        <v>52.92909091</v>
      </c>
      <c r="T223" s="172"/>
      <c r="U223" s="172"/>
      <c r="V223" s="172"/>
      <c r="W223" s="172"/>
      <c r="X223" s="173"/>
      <c r="Y223" s="165"/>
      <c r="Z223" s="165"/>
    </row>
    <row r="224" outlineLevel="1">
      <c r="A224" s="165"/>
      <c r="B224" s="174"/>
      <c r="C224" s="100" t="s">
        <v>34</v>
      </c>
      <c r="D224" s="177">
        <v>0.0</v>
      </c>
      <c r="E224" s="169">
        <v>0.0</v>
      </c>
      <c r="F224" s="169">
        <v>0.0</v>
      </c>
      <c r="G224" s="104" t="str">
        <f t="shared" si="1"/>
        <v>#DIV/0!</v>
      </c>
      <c r="H224" s="105" t="str">
        <f t="shared" si="2"/>
        <v>#DIV/0!</v>
      </c>
      <c r="I224" s="106" t="str">
        <f t="shared" si="3"/>
        <v>#DIV/0!</v>
      </c>
      <c r="J224" s="177">
        <v>14.44</v>
      </c>
      <c r="K224" s="169">
        <v>391.0</v>
      </c>
      <c r="L224" s="169">
        <v>0.0</v>
      </c>
      <c r="M224" s="178">
        <v>0.0</v>
      </c>
      <c r="N224" s="109" t="str">
        <f>(J224/M224)</f>
        <v>#DIV/0!</v>
      </c>
      <c r="O224" s="110">
        <f t="shared" si="5"/>
        <v>0</v>
      </c>
      <c r="P224" s="109" t="str">
        <f t="shared" si="6"/>
        <v>#DIV/0!</v>
      </c>
      <c r="Q224" s="111" t="str">
        <f t="shared" si="7"/>
        <v>#DIV/0!</v>
      </c>
      <c r="R224" s="122">
        <f t="shared" si="86"/>
        <v>0</v>
      </c>
      <c r="S224" s="113" t="str">
        <f t="shared" si="9"/>
        <v>#DIV/0!</v>
      </c>
      <c r="T224" s="172"/>
      <c r="U224" s="172"/>
      <c r="V224" s="172"/>
      <c r="W224" s="172"/>
      <c r="X224" s="173"/>
      <c r="Y224" s="165"/>
      <c r="Z224" s="165"/>
    </row>
    <row r="225" outlineLevel="1">
      <c r="A225" s="165"/>
      <c r="B225" s="174"/>
      <c r="C225" s="100" t="s">
        <v>35</v>
      </c>
      <c r="D225" s="177">
        <v>200.84</v>
      </c>
      <c r="E225" s="169">
        <v>3.0</v>
      </c>
      <c r="F225" s="169">
        <v>4.0</v>
      </c>
      <c r="G225" s="104">
        <f t="shared" si="1"/>
        <v>0.75</v>
      </c>
      <c r="H225" s="105">
        <f t="shared" si="2"/>
        <v>66.94666667</v>
      </c>
      <c r="I225" s="106">
        <f t="shared" si="3"/>
        <v>89.26222222</v>
      </c>
      <c r="J225" s="177">
        <v>0.0</v>
      </c>
      <c r="K225" s="169">
        <v>13.0</v>
      </c>
      <c r="L225" s="169">
        <v>0.0</v>
      </c>
      <c r="M225" s="178">
        <v>0.0</v>
      </c>
      <c r="N225" s="109" t="str">
        <f t="shared" ref="N225:N242" si="87">J225/M225</f>
        <v>#DIV/0!</v>
      </c>
      <c r="O225" s="110" t="str">
        <f t="shared" si="5"/>
        <v>#DIV/0!</v>
      </c>
      <c r="P225" s="109">
        <f t="shared" si="6"/>
        <v>0</v>
      </c>
      <c r="Q225" s="111">
        <f t="shared" si="7"/>
        <v>0</v>
      </c>
      <c r="R225" s="122">
        <f t="shared" si="86"/>
        <v>200.84</v>
      </c>
      <c r="S225" s="113" t="str">
        <f t="shared" si="9"/>
        <v>#DIV/0!</v>
      </c>
      <c r="T225" s="172"/>
      <c r="U225" s="172"/>
      <c r="V225" s="172"/>
      <c r="W225" s="172"/>
      <c r="X225" s="173"/>
      <c r="Y225" s="165"/>
      <c r="Z225" s="165"/>
    </row>
    <row r="226" outlineLevel="1">
      <c r="A226" s="165"/>
      <c r="B226" s="174"/>
      <c r="C226" s="100" t="s">
        <v>36</v>
      </c>
      <c r="D226" s="177">
        <v>1089.15</v>
      </c>
      <c r="E226" s="169">
        <v>17.0</v>
      </c>
      <c r="F226" s="169">
        <v>18.0</v>
      </c>
      <c r="G226" s="104">
        <f t="shared" si="1"/>
        <v>0.9444444444</v>
      </c>
      <c r="H226" s="105">
        <f t="shared" si="2"/>
        <v>64.06764706</v>
      </c>
      <c r="I226" s="106">
        <f t="shared" si="3"/>
        <v>67.83633218</v>
      </c>
      <c r="J226" s="177">
        <v>29.14</v>
      </c>
      <c r="K226" s="169">
        <v>6464.0</v>
      </c>
      <c r="L226" s="169">
        <v>7.0</v>
      </c>
      <c r="M226" s="178">
        <v>449.65</v>
      </c>
      <c r="N226" s="109">
        <f t="shared" si="87"/>
        <v>0.06480596019</v>
      </c>
      <c r="O226" s="110">
        <f t="shared" si="5"/>
        <v>15.43067948</v>
      </c>
      <c r="P226" s="109">
        <f t="shared" si="6"/>
        <v>0.0267548088</v>
      </c>
      <c r="Q226" s="111">
        <f t="shared" si="7"/>
        <v>0.412844879</v>
      </c>
      <c r="R226" s="122">
        <f t="shared" si="86"/>
        <v>639.5</v>
      </c>
      <c r="S226" s="113">
        <f t="shared" si="9"/>
        <v>4.162857143</v>
      </c>
      <c r="T226" s="172"/>
      <c r="U226" s="172"/>
      <c r="V226" s="172"/>
      <c r="W226" s="172"/>
      <c r="X226" s="173"/>
      <c r="Y226" s="165"/>
      <c r="Z226" s="165"/>
    </row>
    <row r="227" outlineLevel="1">
      <c r="A227" s="165"/>
      <c r="B227" s="179" t="s">
        <v>37</v>
      </c>
      <c r="C227" s="100" t="s">
        <v>38</v>
      </c>
      <c r="D227" s="180">
        <v>179.9</v>
      </c>
      <c r="E227" s="169">
        <v>2.0</v>
      </c>
      <c r="F227" s="169">
        <v>2.0</v>
      </c>
      <c r="G227" s="104">
        <f t="shared" si="1"/>
        <v>1</v>
      </c>
      <c r="H227" s="105">
        <f t="shared" si="2"/>
        <v>89.95</v>
      </c>
      <c r="I227" s="106">
        <f t="shared" si="3"/>
        <v>89.95</v>
      </c>
      <c r="J227" s="180">
        <v>37.68</v>
      </c>
      <c r="K227" s="169">
        <v>36072.0</v>
      </c>
      <c r="L227" s="169">
        <v>0.0</v>
      </c>
      <c r="M227" s="181">
        <v>0.0</v>
      </c>
      <c r="N227" s="109" t="str">
        <f t="shared" si="87"/>
        <v>#DIV/0!</v>
      </c>
      <c r="O227" s="110">
        <f t="shared" si="5"/>
        <v>0</v>
      </c>
      <c r="P227" s="109">
        <f t="shared" si="6"/>
        <v>0.2094496943</v>
      </c>
      <c r="Q227" s="111">
        <f t="shared" si="7"/>
        <v>0</v>
      </c>
      <c r="R227" s="125">
        <f t="shared" si="86"/>
        <v>179.9</v>
      </c>
      <c r="S227" s="113" t="str">
        <f t="shared" si="9"/>
        <v>#DIV/0!</v>
      </c>
      <c r="T227" s="172"/>
      <c r="U227" s="172"/>
      <c r="V227" s="172"/>
      <c r="W227" s="172"/>
      <c r="X227" s="173"/>
      <c r="Y227" s="165"/>
      <c r="Z227" s="165"/>
    </row>
    <row r="228" outlineLevel="1">
      <c r="A228" s="165"/>
      <c r="B228" s="174"/>
      <c r="C228" s="100" t="s">
        <v>39</v>
      </c>
      <c r="D228" s="182">
        <v>0.0</v>
      </c>
      <c r="E228" s="169">
        <v>0.0</v>
      </c>
      <c r="F228" s="169">
        <v>0.0</v>
      </c>
      <c r="G228" s="104" t="str">
        <f t="shared" si="1"/>
        <v>#DIV/0!</v>
      </c>
      <c r="H228" s="105" t="str">
        <f t="shared" si="2"/>
        <v>#DIV/0!</v>
      </c>
      <c r="I228" s="106" t="str">
        <f t="shared" si="3"/>
        <v>#DIV/0!</v>
      </c>
      <c r="J228" s="182">
        <v>0.0</v>
      </c>
      <c r="K228" s="169">
        <v>0.0</v>
      </c>
      <c r="L228" s="169">
        <v>0.0</v>
      </c>
      <c r="M228" s="183">
        <v>0.0</v>
      </c>
      <c r="N228" s="109" t="str">
        <f t="shared" si="87"/>
        <v>#DIV/0!</v>
      </c>
      <c r="O228" s="110" t="str">
        <f t="shared" si="5"/>
        <v>#DIV/0!</v>
      </c>
      <c r="P228" s="109" t="str">
        <f t="shared" si="6"/>
        <v>#DIV/0!</v>
      </c>
      <c r="Q228" s="111" t="str">
        <f t="shared" si="7"/>
        <v>#DIV/0!</v>
      </c>
      <c r="R228" s="128">
        <f t="shared" si="86"/>
        <v>0</v>
      </c>
      <c r="S228" s="113" t="str">
        <f t="shared" si="9"/>
        <v>#DIV/0!</v>
      </c>
      <c r="T228" s="172"/>
      <c r="U228" s="172"/>
      <c r="V228" s="172"/>
      <c r="W228" s="172"/>
      <c r="X228" s="173"/>
      <c r="Y228" s="165"/>
      <c r="Z228" s="165"/>
    </row>
    <row r="229" outlineLevel="1">
      <c r="A229" s="165"/>
      <c r="B229" s="174"/>
      <c r="C229" s="100" t="s">
        <v>40</v>
      </c>
      <c r="D229" s="184">
        <v>0.0</v>
      </c>
      <c r="E229" s="169">
        <v>0.0</v>
      </c>
      <c r="F229" s="169">
        <v>0.0</v>
      </c>
      <c r="G229" s="104" t="str">
        <f t="shared" si="1"/>
        <v>#DIV/0!</v>
      </c>
      <c r="H229" s="105" t="str">
        <f t="shared" si="2"/>
        <v>#DIV/0!</v>
      </c>
      <c r="I229" s="106" t="str">
        <f t="shared" si="3"/>
        <v>#DIV/0!</v>
      </c>
      <c r="J229" s="184">
        <v>0.0</v>
      </c>
      <c r="K229" s="169">
        <v>0.0</v>
      </c>
      <c r="L229" s="169">
        <v>0.0</v>
      </c>
      <c r="M229" s="185">
        <v>0.0</v>
      </c>
      <c r="N229" s="109" t="str">
        <f t="shared" si="87"/>
        <v>#DIV/0!</v>
      </c>
      <c r="O229" s="110" t="str">
        <f t="shared" si="5"/>
        <v>#DIV/0!</v>
      </c>
      <c r="P229" s="109" t="str">
        <f t="shared" si="6"/>
        <v>#DIV/0!</v>
      </c>
      <c r="Q229" s="111" t="str">
        <f t="shared" si="7"/>
        <v>#DIV/0!</v>
      </c>
      <c r="R229" s="131">
        <f t="shared" si="86"/>
        <v>0</v>
      </c>
      <c r="S229" s="113" t="str">
        <f t="shared" si="9"/>
        <v>#DIV/0!</v>
      </c>
      <c r="T229" s="172"/>
      <c r="U229" s="172"/>
      <c r="V229" s="172"/>
      <c r="W229" s="172"/>
      <c r="X229" s="173"/>
      <c r="Y229" s="165"/>
      <c r="Z229" s="165"/>
    </row>
    <row r="230" outlineLevel="1">
      <c r="A230" s="165"/>
      <c r="B230" s="174"/>
      <c r="C230" s="100" t="s">
        <v>41</v>
      </c>
      <c r="D230" s="186">
        <v>215.99</v>
      </c>
      <c r="E230" s="169">
        <v>2.0</v>
      </c>
      <c r="F230" s="169">
        <v>2.0</v>
      </c>
      <c r="G230" s="104">
        <f t="shared" si="1"/>
        <v>1</v>
      </c>
      <c r="H230" s="105">
        <f t="shared" si="2"/>
        <v>107.995</v>
      </c>
      <c r="I230" s="106">
        <f t="shared" si="3"/>
        <v>107.995</v>
      </c>
      <c r="J230" s="186">
        <v>368.12</v>
      </c>
      <c r="K230" s="169">
        <v>40116.0</v>
      </c>
      <c r="L230" s="169">
        <v>3.0</v>
      </c>
      <c r="M230" s="187">
        <v>176.97</v>
      </c>
      <c r="N230" s="109">
        <f t="shared" si="87"/>
        <v>2.080126575</v>
      </c>
      <c r="O230" s="110">
        <f t="shared" si="5"/>
        <v>0.4807399761</v>
      </c>
      <c r="P230" s="109">
        <f t="shared" si="6"/>
        <v>1.704338164</v>
      </c>
      <c r="Q230" s="111">
        <f t="shared" si="7"/>
        <v>0.8193434881</v>
      </c>
      <c r="R230" s="134">
        <f t="shared" si="86"/>
        <v>39.02</v>
      </c>
      <c r="S230" s="113">
        <f t="shared" si="9"/>
        <v>122.7066667</v>
      </c>
      <c r="T230" s="172"/>
      <c r="U230" s="172"/>
      <c r="V230" s="172"/>
      <c r="W230" s="172"/>
      <c r="X230" s="173"/>
      <c r="Y230" s="165"/>
      <c r="Z230" s="165"/>
    </row>
    <row r="231" outlineLevel="1">
      <c r="A231" s="165"/>
      <c r="B231" s="174"/>
      <c r="C231" s="100" t="s">
        <v>42</v>
      </c>
      <c r="D231" s="177">
        <v>79.78</v>
      </c>
      <c r="E231" s="169">
        <v>6.0</v>
      </c>
      <c r="F231" s="169">
        <v>5.0</v>
      </c>
      <c r="G231" s="104">
        <f t="shared" si="1"/>
        <v>1.2</v>
      </c>
      <c r="H231" s="105">
        <f t="shared" si="2"/>
        <v>13.29666667</v>
      </c>
      <c r="I231" s="106">
        <f t="shared" si="3"/>
        <v>11.08055556</v>
      </c>
      <c r="J231" s="177">
        <v>212.71</v>
      </c>
      <c r="K231" s="169">
        <v>69839.0</v>
      </c>
      <c r="L231" s="169">
        <v>6.0</v>
      </c>
      <c r="M231" s="178">
        <v>79.78</v>
      </c>
      <c r="N231" s="109">
        <f t="shared" si="87"/>
        <v>2.666207069</v>
      </c>
      <c r="O231" s="110">
        <f t="shared" si="5"/>
        <v>0.375064642</v>
      </c>
      <c r="P231" s="109">
        <f t="shared" si="6"/>
        <v>2.666207069</v>
      </c>
      <c r="Q231" s="111">
        <f t="shared" si="7"/>
        <v>1</v>
      </c>
      <c r="R231" s="122">
        <f t="shared" si="86"/>
        <v>0</v>
      </c>
      <c r="S231" s="113">
        <f t="shared" si="9"/>
        <v>35.45166667</v>
      </c>
      <c r="T231" s="172"/>
      <c r="U231" s="172"/>
      <c r="V231" s="172"/>
      <c r="W231" s="172"/>
      <c r="X231" s="173"/>
      <c r="Y231" s="165"/>
      <c r="Z231" s="165"/>
    </row>
    <row r="232" outlineLevel="1">
      <c r="A232" s="165"/>
      <c r="B232" s="174"/>
      <c r="C232" s="100" t="s">
        <v>43</v>
      </c>
      <c r="D232" s="188">
        <v>639.75</v>
      </c>
      <c r="E232" s="169">
        <v>6.0</v>
      </c>
      <c r="F232" s="169">
        <v>9.0</v>
      </c>
      <c r="G232" s="104">
        <f t="shared" si="1"/>
        <v>0.6666666667</v>
      </c>
      <c r="H232" s="105">
        <f t="shared" si="2"/>
        <v>106.625</v>
      </c>
      <c r="I232" s="106">
        <f t="shared" si="3"/>
        <v>159.9375</v>
      </c>
      <c r="J232" s="188">
        <v>145.12</v>
      </c>
      <c r="K232" s="169">
        <v>26534.0</v>
      </c>
      <c r="L232" s="169">
        <v>5.0</v>
      </c>
      <c r="M232" s="189">
        <v>479.84</v>
      </c>
      <c r="N232" s="109">
        <f t="shared" si="87"/>
        <v>0.3024341447</v>
      </c>
      <c r="O232" s="110">
        <f t="shared" si="5"/>
        <v>3.306504961</v>
      </c>
      <c r="P232" s="109">
        <f t="shared" si="6"/>
        <v>0.2268386088</v>
      </c>
      <c r="Q232" s="111">
        <f t="shared" si="7"/>
        <v>0.7500429855</v>
      </c>
      <c r="R232" s="137">
        <f t="shared" si="86"/>
        <v>159.91</v>
      </c>
      <c r="S232" s="113">
        <f t="shared" si="9"/>
        <v>29.024</v>
      </c>
      <c r="T232" s="172"/>
      <c r="U232" s="172"/>
      <c r="V232" s="172"/>
      <c r="W232" s="172"/>
      <c r="X232" s="173"/>
      <c r="Y232" s="165"/>
      <c r="Z232" s="165"/>
    </row>
    <row r="233" outlineLevel="1">
      <c r="A233" s="165"/>
      <c r="B233" s="174"/>
      <c r="C233" s="100" t="s">
        <v>44</v>
      </c>
      <c r="D233" s="190">
        <v>359.6</v>
      </c>
      <c r="E233" s="169">
        <v>8.0</v>
      </c>
      <c r="F233" s="169">
        <v>10.0</v>
      </c>
      <c r="G233" s="104">
        <f t="shared" si="1"/>
        <v>0.8</v>
      </c>
      <c r="H233" s="105">
        <f t="shared" si="2"/>
        <v>44.95</v>
      </c>
      <c r="I233" s="106">
        <f t="shared" si="3"/>
        <v>56.1875</v>
      </c>
      <c r="J233" s="190">
        <v>72.45</v>
      </c>
      <c r="K233" s="169">
        <v>55748.0</v>
      </c>
      <c r="L233" s="169">
        <v>2.0</v>
      </c>
      <c r="M233" s="191">
        <v>89.9</v>
      </c>
      <c r="N233" s="109">
        <f t="shared" si="87"/>
        <v>0.8058954394</v>
      </c>
      <c r="O233" s="110">
        <f t="shared" si="5"/>
        <v>1.240855763</v>
      </c>
      <c r="P233" s="109">
        <f t="shared" si="6"/>
        <v>0.2014738598</v>
      </c>
      <c r="Q233" s="111">
        <f t="shared" si="7"/>
        <v>0.25</v>
      </c>
      <c r="R233" s="140">
        <f t="shared" si="86"/>
        <v>269.7</v>
      </c>
      <c r="S233" s="113">
        <f t="shared" si="9"/>
        <v>36.225</v>
      </c>
      <c r="T233" s="172"/>
      <c r="U233" s="172"/>
      <c r="V233" s="172"/>
      <c r="W233" s="172"/>
      <c r="X233" s="173"/>
      <c r="Y233" s="165"/>
      <c r="Z233" s="165"/>
    </row>
    <row r="234" outlineLevel="1">
      <c r="A234" s="192"/>
      <c r="B234" s="174"/>
      <c r="C234" s="142" t="s">
        <v>45</v>
      </c>
      <c r="D234" s="167">
        <v>29.95</v>
      </c>
      <c r="E234" s="169">
        <v>1.0</v>
      </c>
      <c r="F234" s="169">
        <v>1.0</v>
      </c>
      <c r="G234" s="104">
        <f t="shared" si="1"/>
        <v>1</v>
      </c>
      <c r="H234" s="105">
        <f t="shared" si="2"/>
        <v>29.95</v>
      </c>
      <c r="I234" s="106">
        <f t="shared" si="3"/>
        <v>29.95</v>
      </c>
      <c r="J234" s="167">
        <v>0.0</v>
      </c>
      <c r="K234" s="169">
        <v>0.0</v>
      </c>
      <c r="L234" s="169">
        <v>0.0</v>
      </c>
      <c r="M234" s="171">
        <v>0.0</v>
      </c>
      <c r="N234" s="109" t="str">
        <f t="shared" si="87"/>
        <v>#DIV/0!</v>
      </c>
      <c r="O234" s="110" t="str">
        <f t="shared" si="5"/>
        <v>#DIV/0!</v>
      </c>
      <c r="P234" s="109">
        <f t="shared" si="6"/>
        <v>0</v>
      </c>
      <c r="Q234" s="111">
        <f t="shared" si="7"/>
        <v>0</v>
      </c>
      <c r="R234" s="112">
        <f t="shared" si="86"/>
        <v>29.95</v>
      </c>
      <c r="S234" s="113" t="str">
        <f t="shared" si="9"/>
        <v>#DIV/0!</v>
      </c>
      <c r="T234" s="193"/>
      <c r="U234" s="193"/>
      <c r="V234" s="193"/>
      <c r="W234" s="194"/>
      <c r="X234" s="195"/>
      <c r="Y234" s="165"/>
      <c r="Z234" s="165"/>
    </row>
    <row r="235" outlineLevel="1">
      <c r="A235" s="165"/>
      <c r="B235" s="174"/>
      <c r="C235" s="100" t="s">
        <v>46</v>
      </c>
      <c r="D235" s="196">
        <v>1626.73</v>
      </c>
      <c r="E235" s="169">
        <v>37.0</v>
      </c>
      <c r="F235" s="169">
        <v>41.0</v>
      </c>
      <c r="G235" s="104">
        <f t="shared" si="1"/>
        <v>0.9024390244</v>
      </c>
      <c r="H235" s="105">
        <f t="shared" si="2"/>
        <v>43.96567568</v>
      </c>
      <c r="I235" s="106">
        <f t="shared" si="3"/>
        <v>48.71872169</v>
      </c>
      <c r="J235" s="196">
        <v>230.59</v>
      </c>
      <c r="K235" s="169">
        <v>44555.0</v>
      </c>
      <c r="L235" s="169">
        <v>13.0</v>
      </c>
      <c r="M235" s="197">
        <v>474.45</v>
      </c>
      <c r="N235" s="109">
        <f t="shared" si="87"/>
        <v>0.4860153862</v>
      </c>
      <c r="O235" s="110">
        <f t="shared" si="5"/>
        <v>2.057548029</v>
      </c>
      <c r="P235" s="109">
        <f t="shared" si="6"/>
        <v>0.1417506286</v>
      </c>
      <c r="Q235" s="111">
        <f t="shared" si="7"/>
        <v>0.2916587264</v>
      </c>
      <c r="R235" s="112">
        <f t="shared" si="86"/>
        <v>1152.28</v>
      </c>
      <c r="S235" s="113">
        <f t="shared" si="9"/>
        <v>17.73769231</v>
      </c>
      <c r="T235" s="172"/>
      <c r="U235" s="172"/>
      <c r="V235" s="172"/>
      <c r="W235" s="172"/>
      <c r="X235" s="173"/>
      <c r="Y235" s="165"/>
      <c r="Z235" s="165"/>
    </row>
    <row r="236" outlineLevel="1">
      <c r="A236" s="165"/>
      <c r="B236" s="174"/>
      <c r="C236" s="200" t="s">
        <v>47</v>
      </c>
      <c r="D236" s="175">
        <v>59.7</v>
      </c>
      <c r="E236" s="169">
        <v>2.0</v>
      </c>
      <c r="F236" s="169">
        <v>1.0</v>
      </c>
      <c r="G236" s="104">
        <f t="shared" si="1"/>
        <v>2</v>
      </c>
      <c r="H236" s="105">
        <f t="shared" si="2"/>
        <v>29.85</v>
      </c>
      <c r="I236" s="106">
        <f t="shared" si="3"/>
        <v>14.925</v>
      </c>
      <c r="J236" s="175">
        <v>0.0</v>
      </c>
      <c r="K236" s="169">
        <v>0.0</v>
      </c>
      <c r="L236" s="169">
        <v>0.0</v>
      </c>
      <c r="M236" s="176">
        <v>0.0</v>
      </c>
      <c r="N236" s="109" t="str">
        <f t="shared" si="87"/>
        <v>#DIV/0!</v>
      </c>
      <c r="O236" s="110" t="str">
        <f t="shared" si="5"/>
        <v>#DIV/0!</v>
      </c>
      <c r="P236" s="109">
        <f t="shared" si="6"/>
        <v>0</v>
      </c>
      <c r="Q236" s="111">
        <f t="shared" si="7"/>
        <v>0</v>
      </c>
      <c r="R236" s="112">
        <f t="shared" si="86"/>
        <v>59.7</v>
      </c>
      <c r="S236" s="113" t="str">
        <f t="shared" si="9"/>
        <v>#DIV/0!</v>
      </c>
      <c r="T236" s="172"/>
      <c r="U236" s="172"/>
      <c r="V236" s="172"/>
      <c r="W236" s="172"/>
      <c r="X236" s="173"/>
      <c r="Y236" s="165"/>
      <c r="Z236" s="165"/>
    </row>
    <row r="237" outlineLevel="1">
      <c r="A237" s="165"/>
      <c r="B237" s="174"/>
      <c r="C237" s="200" t="s">
        <v>48</v>
      </c>
      <c r="D237" s="186">
        <v>2819.34</v>
      </c>
      <c r="E237" s="169">
        <v>14.0</v>
      </c>
      <c r="F237" s="169">
        <v>14.0</v>
      </c>
      <c r="G237" s="104">
        <f t="shared" si="1"/>
        <v>1</v>
      </c>
      <c r="H237" s="105">
        <f t="shared" si="2"/>
        <v>201.3814286</v>
      </c>
      <c r="I237" s="106">
        <f t="shared" si="3"/>
        <v>201.3814286</v>
      </c>
      <c r="J237" s="186">
        <v>401.0</v>
      </c>
      <c r="K237" s="169">
        <v>53888.0</v>
      </c>
      <c r="L237" s="169">
        <v>9.0</v>
      </c>
      <c r="M237" s="187">
        <v>1999.59</v>
      </c>
      <c r="N237" s="109">
        <f t="shared" si="87"/>
        <v>0.2005411109</v>
      </c>
      <c r="O237" s="110">
        <f t="shared" si="5"/>
        <v>4.986508728</v>
      </c>
      <c r="P237" s="109">
        <f t="shared" si="6"/>
        <v>0.1422318699</v>
      </c>
      <c r="Q237" s="111">
        <f t="shared" si="7"/>
        <v>0.7092404605</v>
      </c>
      <c r="R237" s="112">
        <f t="shared" si="86"/>
        <v>819.75</v>
      </c>
      <c r="S237" s="113">
        <f t="shared" si="9"/>
        <v>44.55555556</v>
      </c>
      <c r="T237" s="172"/>
      <c r="U237" s="172"/>
      <c r="V237" s="172"/>
      <c r="W237" s="172"/>
      <c r="X237" s="173"/>
      <c r="Y237" s="165"/>
      <c r="Z237" s="165"/>
    </row>
    <row r="238" outlineLevel="1">
      <c r="A238" s="148"/>
      <c r="B238" s="166"/>
      <c r="C238" s="100" t="s">
        <v>49</v>
      </c>
      <c r="D238" s="196">
        <v>0.0</v>
      </c>
      <c r="E238" s="169">
        <v>0.0</v>
      </c>
      <c r="F238" s="169">
        <v>0.0</v>
      </c>
      <c r="G238" s="104" t="str">
        <f t="shared" si="1"/>
        <v>#DIV/0!</v>
      </c>
      <c r="H238" s="105" t="str">
        <f t="shared" si="2"/>
        <v>#DIV/0!</v>
      </c>
      <c r="I238" s="106" t="str">
        <f t="shared" si="3"/>
        <v>#DIV/0!</v>
      </c>
      <c r="J238" s="196">
        <v>0.47</v>
      </c>
      <c r="K238" s="169">
        <v>1374.0</v>
      </c>
      <c r="L238" s="169">
        <v>0.0</v>
      </c>
      <c r="M238" s="197">
        <v>0.0</v>
      </c>
      <c r="N238" s="109" t="str">
        <f t="shared" si="87"/>
        <v>#DIV/0!</v>
      </c>
      <c r="O238" s="110">
        <f t="shared" si="5"/>
        <v>0</v>
      </c>
      <c r="P238" s="109" t="str">
        <f t="shared" si="6"/>
        <v>#DIV/0!</v>
      </c>
      <c r="Q238" s="111" t="str">
        <f t="shared" si="7"/>
        <v>#DIV/0!</v>
      </c>
      <c r="R238" s="112">
        <f t="shared" si="86"/>
        <v>0</v>
      </c>
      <c r="S238" s="113" t="str">
        <f t="shared" si="9"/>
        <v>#DIV/0!</v>
      </c>
      <c r="T238" s="172"/>
      <c r="U238" s="172"/>
      <c r="V238" s="172"/>
      <c r="W238" s="172"/>
      <c r="X238" s="173"/>
      <c r="Y238" s="165"/>
      <c r="Z238" s="165"/>
    </row>
    <row r="239" outlineLevel="1">
      <c r="A239" s="148" t="str">
        <f t="shared" ref="A239:A240" si="88">iferror(if(B239&gt;0,month(B239)&amp;"-"&amp;year(B239),B239),)</f>
        <v>3-2026</v>
      </c>
      <c r="B239" s="166">
        <v>46095.0</v>
      </c>
      <c r="C239" s="279" t="s">
        <v>67</v>
      </c>
      <c r="D239" s="196">
        <v>0.0</v>
      </c>
      <c r="E239" s="169">
        <v>0.0</v>
      </c>
      <c r="F239" s="169">
        <v>0.0</v>
      </c>
      <c r="G239" s="104" t="str">
        <f t="shared" si="1"/>
        <v>#DIV/0!</v>
      </c>
      <c r="H239" s="105" t="str">
        <f t="shared" si="2"/>
        <v>#DIV/0!</v>
      </c>
      <c r="I239" s="106" t="str">
        <f t="shared" si="3"/>
        <v>#DIV/0!</v>
      </c>
      <c r="J239" s="117">
        <v>5442.0599999999995</v>
      </c>
      <c r="K239" s="278">
        <v>577156.0</v>
      </c>
      <c r="L239" s="280">
        <v>0.0</v>
      </c>
      <c r="M239" s="118">
        <v>9027.59</v>
      </c>
      <c r="N239" s="109">
        <f t="shared" si="87"/>
        <v>0.6028253388</v>
      </c>
      <c r="O239" s="110">
        <f t="shared" si="5"/>
        <v>1.658855286</v>
      </c>
      <c r="P239" s="109" t="str">
        <f t="shared" si="6"/>
        <v>#DIV/0!</v>
      </c>
      <c r="Q239" s="111" t="str">
        <f t="shared" si="7"/>
        <v>#DIV/0!</v>
      </c>
      <c r="R239" s="112">
        <f t="shared" si="86"/>
        <v>-9027.59</v>
      </c>
      <c r="S239" s="113" t="str">
        <f t="shared" si="9"/>
        <v>#DIV/0!</v>
      </c>
      <c r="T239" s="172"/>
      <c r="U239" s="172"/>
      <c r="V239" s="172"/>
      <c r="W239" s="172"/>
      <c r="X239" s="173"/>
      <c r="Y239" s="165"/>
      <c r="Z239" s="165"/>
    </row>
    <row r="240">
      <c r="A240" s="165" t="str">
        <f t="shared" si="88"/>
        <v/>
      </c>
      <c r="B240" s="149" t="s">
        <v>61</v>
      </c>
      <c r="C240" s="201"/>
      <c r="D240" s="151">
        <f t="shared" ref="D240:F240" si="89">SUM(D222:D239)</f>
        <v>22219.42</v>
      </c>
      <c r="E240" s="202">
        <f t="shared" si="89"/>
        <v>231</v>
      </c>
      <c r="F240" s="202">
        <f t="shared" si="89"/>
        <v>241</v>
      </c>
      <c r="G240" s="154">
        <f t="shared" si="1"/>
        <v>0.9585062241</v>
      </c>
      <c r="H240" s="155">
        <f t="shared" si="2"/>
        <v>96.18796537</v>
      </c>
      <c r="I240" s="156">
        <f t="shared" si="3"/>
        <v>100.3519466</v>
      </c>
      <c r="J240" s="151">
        <f t="shared" ref="J240:M240" si="90">SUM(J222:J239)</f>
        <v>8163.92</v>
      </c>
      <c r="K240" s="202">
        <f t="shared" si="90"/>
        <v>1138885</v>
      </c>
      <c r="L240" s="202">
        <f t="shared" si="90"/>
        <v>68</v>
      </c>
      <c r="M240" s="157">
        <f t="shared" si="90"/>
        <v>15397.22</v>
      </c>
      <c r="N240" s="158">
        <f t="shared" si="87"/>
        <v>0.5302203904</v>
      </c>
      <c r="O240" s="159">
        <f t="shared" si="5"/>
        <v>1.886008192</v>
      </c>
      <c r="P240" s="158">
        <f t="shared" si="6"/>
        <v>0.367422732</v>
      </c>
      <c r="Q240" s="160">
        <f t="shared" si="7"/>
        <v>0.6929622825</v>
      </c>
      <c r="R240" s="161">
        <f>SUM(R222:R239)</f>
        <v>6822.2</v>
      </c>
      <c r="S240" s="162">
        <f t="shared" si="9"/>
        <v>120.0576471</v>
      </c>
      <c r="T240" s="163" t="str">
        <f t="shared" ref="T240:U240" si="91">IFERROR((D240-#REF!)/D240,)</f>
        <v/>
      </c>
      <c r="U240" s="163" t="str">
        <f t="shared" si="91"/>
        <v/>
      </c>
      <c r="V240" s="163" t="str">
        <f t="shared" ref="V240:W240" si="92">IFERROR((D240-monthly_reporting_2021!D31)/D240, )</f>
        <v/>
      </c>
      <c r="W240" s="163" t="str">
        <f t="shared" si="92"/>
        <v/>
      </c>
      <c r="X240" s="165"/>
      <c r="Y240" s="165"/>
      <c r="Z240" s="165"/>
    </row>
    <row r="241" outlineLevel="1">
      <c r="A241" s="165"/>
      <c r="B241" s="166">
        <v>46096.0</v>
      </c>
      <c r="C241" s="100" t="s">
        <v>32</v>
      </c>
      <c r="D241" s="167">
        <v>3417.15</v>
      </c>
      <c r="E241" s="169">
        <v>17.0</v>
      </c>
      <c r="F241" s="169">
        <v>20.0</v>
      </c>
      <c r="G241" s="104">
        <f t="shared" si="1"/>
        <v>0.85</v>
      </c>
      <c r="H241" s="105">
        <f t="shared" si="2"/>
        <v>201.0088235</v>
      </c>
      <c r="I241" s="106">
        <f t="shared" si="3"/>
        <v>236.4809689</v>
      </c>
      <c r="J241" s="170">
        <v>658.59</v>
      </c>
      <c r="K241" s="169">
        <v>116709.0</v>
      </c>
      <c r="L241" s="169">
        <v>11.0</v>
      </c>
      <c r="M241" s="171">
        <v>1504.0</v>
      </c>
      <c r="N241" s="109">
        <f t="shared" si="87"/>
        <v>0.4378922872</v>
      </c>
      <c r="O241" s="110">
        <f t="shared" si="5"/>
        <v>2.283666621</v>
      </c>
      <c r="P241" s="109">
        <f t="shared" si="6"/>
        <v>0.1927307844</v>
      </c>
      <c r="Q241" s="111">
        <f t="shared" si="7"/>
        <v>0.4401328593</v>
      </c>
      <c r="R241" s="112">
        <f t="shared" ref="R241:R258" si="93">D241-M241</f>
        <v>1913.15</v>
      </c>
      <c r="S241" s="113">
        <f t="shared" si="9"/>
        <v>59.87181818</v>
      </c>
      <c r="T241" s="172"/>
      <c r="U241" s="172"/>
      <c r="V241" s="172"/>
      <c r="W241" s="172"/>
      <c r="X241" s="173"/>
      <c r="Y241" s="165"/>
      <c r="Z241" s="165"/>
    </row>
    <row r="242" outlineLevel="1">
      <c r="A242" s="165"/>
      <c r="B242" s="174"/>
      <c r="C242" s="100" t="s">
        <v>33</v>
      </c>
      <c r="D242" s="175">
        <v>14405.32</v>
      </c>
      <c r="E242" s="169">
        <v>84.0</v>
      </c>
      <c r="F242" s="169">
        <v>94.0</v>
      </c>
      <c r="G242" s="104">
        <f t="shared" si="1"/>
        <v>0.8936170213</v>
      </c>
      <c r="H242" s="105">
        <f t="shared" si="2"/>
        <v>171.4919048</v>
      </c>
      <c r="I242" s="106">
        <f t="shared" si="3"/>
        <v>191.9076077</v>
      </c>
      <c r="J242" s="175">
        <v>685.92</v>
      </c>
      <c r="K242" s="169">
        <v>155851.0</v>
      </c>
      <c r="L242" s="169">
        <v>23.0</v>
      </c>
      <c r="M242" s="176">
        <v>5878.1</v>
      </c>
      <c r="N242" s="109">
        <f t="shared" si="87"/>
        <v>0.1166907674</v>
      </c>
      <c r="O242" s="110">
        <f t="shared" si="5"/>
        <v>8.569658269</v>
      </c>
      <c r="P242" s="109">
        <f t="shared" si="6"/>
        <v>0.04761574196</v>
      </c>
      <c r="Q242" s="111">
        <f t="shared" si="7"/>
        <v>0.4080506368</v>
      </c>
      <c r="R242" s="119">
        <f t="shared" si="93"/>
        <v>8527.22</v>
      </c>
      <c r="S242" s="113">
        <f t="shared" si="9"/>
        <v>29.8226087</v>
      </c>
      <c r="T242" s="172"/>
      <c r="U242" s="172"/>
      <c r="V242" s="172"/>
      <c r="W242" s="172"/>
      <c r="X242" s="173"/>
      <c r="Y242" s="165"/>
      <c r="Z242" s="165"/>
    </row>
    <row r="243" outlineLevel="1">
      <c r="A243" s="165"/>
      <c r="B243" s="174"/>
      <c r="C243" s="100" t="s">
        <v>34</v>
      </c>
      <c r="D243" s="177">
        <v>209.85</v>
      </c>
      <c r="E243" s="169">
        <v>3.0</v>
      </c>
      <c r="F243" s="169">
        <v>1.0</v>
      </c>
      <c r="G243" s="104">
        <f t="shared" si="1"/>
        <v>3</v>
      </c>
      <c r="H243" s="105">
        <f t="shared" si="2"/>
        <v>69.95</v>
      </c>
      <c r="I243" s="106">
        <f t="shared" si="3"/>
        <v>23.31666667</v>
      </c>
      <c r="J243" s="177">
        <v>0.0</v>
      </c>
      <c r="K243" s="169">
        <v>388.0</v>
      </c>
      <c r="L243" s="169">
        <v>0.0</v>
      </c>
      <c r="M243" s="178">
        <v>0.0</v>
      </c>
      <c r="N243" s="109" t="str">
        <f>(J243/M243)</f>
        <v>#DIV/0!</v>
      </c>
      <c r="O243" s="110" t="str">
        <f t="shared" si="5"/>
        <v>#DIV/0!</v>
      </c>
      <c r="P243" s="109">
        <f t="shared" si="6"/>
        <v>0</v>
      </c>
      <c r="Q243" s="111">
        <f t="shared" si="7"/>
        <v>0</v>
      </c>
      <c r="R243" s="122">
        <f t="shared" si="93"/>
        <v>209.85</v>
      </c>
      <c r="S243" s="113" t="str">
        <f t="shared" si="9"/>
        <v>#DIV/0!</v>
      </c>
      <c r="T243" s="172"/>
      <c r="U243" s="172"/>
      <c r="V243" s="172"/>
      <c r="W243" s="172"/>
      <c r="X243" s="173"/>
      <c r="Y243" s="165"/>
      <c r="Z243" s="165"/>
    </row>
    <row r="244" outlineLevel="1">
      <c r="A244" s="165"/>
      <c r="B244" s="174"/>
      <c r="C244" s="100" t="s">
        <v>35</v>
      </c>
      <c r="D244" s="177">
        <v>1154.05</v>
      </c>
      <c r="E244" s="169">
        <v>19.0</v>
      </c>
      <c r="F244" s="169">
        <v>19.0</v>
      </c>
      <c r="G244" s="104">
        <f t="shared" si="1"/>
        <v>1</v>
      </c>
      <c r="H244" s="105">
        <f t="shared" si="2"/>
        <v>60.73947368</v>
      </c>
      <c r="I244" s="106">
        <f t="shared" si="3"/>
        <v>60.73947368</v>
      </c>
      <c r="J244" s="177">
        <v>368.78</v>
      </c>
      <c r="K244" s="169">
        <v>20250.0</v>
      </c>
      <c r="L244" s="169">
        <v>10.0</v>
      </c>
      <c r="M244" s="178">
        <v>599.5</v>
      </c>
      <c r="N244" s="109">
        <f t="shared" ref="N244:N259" si="94">J244/M244</f>
        <v>0.615145955</v>
      </c>
      <c r="O244" s="110">
        <f t="shared" si="5"/>
        <v>1.625630457</v>
      </c>
      <c r="P244" s="109">
        <f t="shared" si="6"/>
        <v>0.319552879</v>
      </c>
      <c r="Q244" s="111">
        <f t="shared" si="7"/>
        <v>0.5194748928</v>
      </c>
      <c r="R244" s="122">
        <f t="shared" si="93"/>
        <v>554.55</v>
      </c>
      <c r="S244" s="113">
        <f t="shared" si="9"/>
        <v>36.878</v>
      </c>
      <c r="T244" s="172"/>
      <c r="U244" s="172"/>
      <c r="V244" s="172"/>
      <c r="W244" s="172"/>
      <c r="X244" s="173"/>
      <c r="Y244" s="165"/>
      <c r="Z244" s="165"/>
    </row>
    <row r="245" outlineLevel="1">
      <c r="A245" s="165"/>
      <c r="B245" s="174"/>
      <c r="C245" s="100" t="s">
        <v>36</v>
      </c>
      <c r="D245" s="177">
        <v>419.7</v>
      </c>
      <c r="E245" s="169">
        <v>6.0</v>
      </c>
      <c r="F245" s="169">
        <v>5.0</v>
      </c>
      <c r="G245" s="104">
        <f t="shared" si="1"/>
        <v>1.2</v>
      </c>
      <c r="H245" s="105">
        <f t="shared" si="2"/>
        <v>69.95</v>
      </c>
      <c r="I245" s="106">
        <f t="shared" si="3"/>
        <v>58.29166667</v>
      </c>
      <c r="J245" s="177">
        <v>32.67</v>
      </c>
      <c r="K245" s="169">
        <v>7514.0</v>
      </c>
      <c r="L245" s="169">
        <v>2.0</v>
      </c>
      <c r="M245" s="178">
        <v>139.9</v>
      </c>
      <c r="N245" s="109">
        <f t="shared" si="94"/>
        <v>0.2335239457</v>
      </c>
      <c r="O245" s="110">
        <f t="shared" si="5"/>
        <v>4.2822161</v>
      </c>
      <c r="P245" s="109">
        <f t="shared" si="6"/>
        <v>0.07784131523</v>
      </c>
      <c r="Q245" s="111">
        <f t="shared" si="7"/>
        <v>0.3333333333</v>
      </c>
      <c r="R245" s="122">
        <f t="shared" si="93"/>
        <v>279.8</v>
      </c>
      <c r="S245" s="113">
        <f t="shared" si="9"/>
        <v>16.335</v>
      </c>
      <c r="T245" s="172"/>
      <c r="U245" s="172"/>
      <c r="V245" s="172"/>
      <c r="W245" s="172"/>
      <c r="X245" s="173"/>
      <c r="Y245" s="165"/>
      <c r="Z245" s="165"/>
    </row>
    <row r="246" outlineLevel="1">
      <c r="A246" s="165"/>
      <c r="B246" s="179" t="s">
        <v>37</v>
      </c>
      <c r="C246" s="100" t="s">
        <v>38</v>
      </c>
      <c r="D246" s="180">
        <v>136.92</v>
      </c>
      <c r="E246" s="169">
        <v>1.0</v>
      </c>
      <c r="F246" s="169">
        <v>3.0</v>
      </c>
      <c r="G246" s="104">
        <f t="shared" si="1"/>
        <v>0.3333333333</v>
      </c>
      <c r="H246" s="105">
        <f t="shared" si="2"/>
        <v>136.92</v>
      </c>
      <c r="I246" s="106">
        <f t="shared" si="3"/>
        <v>410.76</v>
      </c>
      <c r="J246" s="180">
        <v>36.26</v>
      </c>
      <c r="K246" s="169">
        <v>41913.0</v>
      </c>
      <c r="L246" s="169">
        <v>2.0</v>
      </c>
      <c r="M246" s="181">
        <v>109.91</v>
      </c>
      <c r="N246" s="109">
        <f t="shared" si="94"/>
        <v>0.329906287</v>
      </c>
      <c r="O246" s="110">
        <f t="shared" si="5"/>
        <v>3.031163817</v>
      </c>
      <c r="P246" s="109">
        <f t="shared" si="6"/>
        <v>0.2648261759</v>
      </c>
      <c r="Q246" s="111">
        <f t="shared" si="7"/>
        <v>0.8027315221</v>
      </c>
      <c r="R246" s="125">
        <f t="shared" si="93"/>
        <v>27.01</v>
      </c>
      <c r="S246" s="113">
        <f t="shared" si="9"/>
        <v>18.13</v>
      </c>
      <c r="T246" s="172"/>
      <c r="U246" s="172"/>
      <c r="V246" s="172"/>
      <c r="W246" s="172"/>
      <c r="X246" s="173"/>
      <c r="Y246" s="165"/>
      <c r="Z246" s="165"/>
    </row>
    <row r="247" outlineLevel="1">
      <c r="A247" s="165"/>
      <c r="B247" s="174"/>
      <c r="C247" s="100" t="s">
        <v>39</v>
      </c>
      <c r="D247" s="182">
        <v>0.0</v>
      </c>
      <c r="E247" s="169">
        <v>0.0</v>
      </c>
      <c r="F247" s="169">
        <v>0.0</v>
      </c>
      <c r="G247" s="104" t="str">
        <f t="shared" si="1"/>
        <v>#DIV/0!</v>
      </c>
      <c r="H247" s="105" t="str">
        <f t="shared" si="2"/>
        <v>#DIV/0!</v>
      </c>
      <c r="I247" s="106" t="str">
        <f t="shared" si="3"/>
        <v>#DIV/0!</v>
      </c>
      <c r="J247" s="182">
        <v>0.0</v>
      </c>
      <c r="K247" s="169">
        <v>0.0</v>
      </c>
      <c r="L247" s="169">
        <v>0.0</v>
      </c>
      <c r="M247" s="183">
        <v>0.0</v>
      </c>
      <c r="N247" s="109" t="str">
        <f t="shared" si="94"/>
        <v>#DIV/0!</v>
      </c>
      <c r="O247" s="110" t="str">
        <f t="shared" si="5"/>
        <v>#DIV/0!</v>
      </c>
      <c r="P247" s="109" t="str">
        <f t="shared" si="6"/>
        <v>#DIV/0!</v>
      </c>
      <c r="Q247" s="111" t="str">
        <f t="shared" si="7"/>
        <v>#DIV/0!</v>
      </c>
      <c r="R247" s="128">
        <f t="shared" si="93"/>
        <v>0</v>
      </c>
      <c r="S247" s="113" t="str">
        <f t="shared" si="9"/>
        <v>#DIV/0!</v>
      </c>
      <c r="T247" s="172"/>
      <c r="U247" s="172"/>
      <c r="V247" s="172"/>
      <c r="W247" s="172"/>
      <c r="X247" s="173"/>
      <c r="Y247" s="165"/>
      <c r="Z247" s="165"/>
    </row>
    <row r="248" outlineLevel="1">
      <c r="A248" s="165"/>
      <c r="B248" s="174"/>
      <c r="C248" s="100" t="s">
        <v>40</v>
      </c>
      <c r="D248" s="184">
        <v>0.0</v>
      </c>
      <c r="E248" s="169">
        <v>0.0</v>
      </c>
      <c r="F248" s="169">
        <v>0.0</v>
      </c>
      <c r="G248" s="104" t="str">
        <f t="shared" si="1"/>
        <v>#DIV/0!</v>
      </c>
      <c r="H248" s="105" t="str">
        <f t="shared" si="2"/>
        <v>#DIV/0!</v>
      </c>
      <c r="I248" s="106" t="str">
        <f t="shared" si="3"/>
        <v>#DIV/0!</v>
      </c>
      <c r="J248" s="184">
        <v>0.0</v>
      </c>
      <c r="K248" s="169">
        <v>0.0</v>
      </c>
      <c r="L248" s="169">
        <v>0.0</v>
      </c>
      <c r="M248" s="185">
        <v>0.0</v>
      </c>
      <c r="N248" s="109" t="str">
        <f t="shared" si="94"/>
        <v>#DIV/0!</v>
      </c>
      <c r="O248" s="110" t="str">
        <f t="shared" si="5"/>
        <v>#DIV/0!</v>
      </c>
      <c r="P248" s="109" t="str">
        <f t="shared" si="6"/>
        <v>#DIV/0!</v>
      </c>
      <c r="Q248" s="111" t="str">
        <f t="shared" si="7"/>
        <v>#DIV/0!</v>
      </c>
      <c r="R248" s="131">
        <f t="shared" si="93"/>
        <v>0</v>
      </c>
      <c r="S248" s="113" t="str">
        <f t="shared" si="9"/>
        <v>#DIV/0!</v>
      </c>
      <c r="T248" s="172"/>
      <c r="U248" s="172"/>
      <c r="V248" s="172"/>
      <c r="W248" s="172"/>
      <c r="X248" s="173"/>
      <c r="Y248" s="165"/>
      <c r="Z248" s="165"/>
    </row>
    <row r="249" outlineLevel="1">
      <c r="A249" s="165"/>
      <c r="B249" s="174"/>
      <c r="C249" s="100" t="s">
        <v>41</v>
      </c>
      <c r="D249" s="186">
        <v>1915.47</v>
      </c>
      <c r="E249" s="169">
        <v>26.0</v>
      </c>
      <c r="F249" s="169">
        <v>26.0</v>
      </c>
      <c r="G249" s="104">
        <f t="shared" si="1"/>
        <v>1</v>
      </c>
      <c r="H249" s="105">
        <f t="shared" si="2"/>
        <v>73.67192308</v>
      </c>
      <c r="I249" s="106">
        <f t="shared" si="3"/>
        <v>73.67192308</v>
      </c>
      <c r="J249" s="186">
        <v>403.32</v>
      </c>
      <c r="K249" s="169">
        <v>34183.0</v>
      </c>
      <c r="L249" s="169">
        <v>11.0</v>
      </c>
      <c r="M249" s="187">
        <v>1042.62</v>
      </c>
      <c r="N249" s="109">
        <f t="shared" si="94"/>
        <v>0.3868331703</v>
      </c>
      <c r="O249" s="110">
        <f t="shared" si="5"/>
        <v>2.585093722</v>
      </c>
      <c r="P249" s="109">
        <f t="shared" si="6"/>
        <v>0.2105592883</v>
      </c>
      <c r="Q249" s="111">
        <f t="shared" si="7"/>
        <v>0.5443154944</v>
      </c>
      <c r="R249" s="134">
        <f t="shared" si="93"/>
        <v>872.85</v>
      </c>
      <c r="S249" s="113">
        <f t="shared" si="9"/>
        <v>36.66545455</v>
      </c>
      <c r="T249" s="172"/>
      <c r="U249" s="172"/>
      <c r="V249" s="172"/>
      <c r="W249" s="172"/>
      <c r="X249" s="173"/>
      <c r="Y249" s="165"/>
      <c r="Z249" s="165"/>
    </row>
    <row r="250" outlineLevel="1">
      <c r="A250" s="165"/>
      <c r="B250" s="174"/>
      <c r="C250" s="100" t="s">
        <v>42</v>
      </c>
      <c r="D250" s="177">
        <v>19.99</v>
      </c>
      <c r="E250" s="169">
        <v>1.0</v>
      </c>
      <c r="F250" s="169">
        <v>1.0</v>
      </c>
      <c r="G250" s="104">
        <f t="shared" si="1"/>
        <v>1</v>
      </c>
      <c r="H250" s="105">
        <f t="shared" si="2"/>
        <v>19.99</v>
      </c>
      <c r="I250" s="106">
        <f t="shared" si="3"/>
        <v>19.99</v>
      </c>
      <c r="J250" s="177">
        <v>101.61</v>
      </c>
      <c r="K250" s="169">
        <v>58547.0</v>
      </c>
      <c r="L250" s="169">
        <v>1.0</v>
      </c>
      <c r="M250" s="178">
        <v>19.99</v>
      </c>
      <c r="N250" s="109">
        <f t="shared" si="94"/>
        <v>5.083041521</v>
      </c>
      <c r="O250" s="110">
        <f t="shared" si="5"/>
        <v>0.1967326051</v>
      </c>
      <c r="P250" s="109">
        <f t="shared" si="6"/>
        <v>5.083041521</v>
      </c>
      <c r="Q250" s="111">
        <f t="shared" si="7"/>
        <v>1</v>
      </c>
      <c r="R250" s="122">
        <f t="shared" si="93"/>
        <v>0</v>
      </c>
      <c r="S250" s="113">
        <f t="shared" si="9"/>
        <v>101.61</v>
      </c>
      <c r="T250" s="172"/>
      <c r="U250" s="172"/>
      <c r="V250" s="172"/>
      <c r="W250" s="172"/>
      <c r="X250" s="173"/>
      <c r="Y250" s="165"/>
      <c r="Z250" s="165"/>
    </row>
    <row r="251" outlineLevel="1">
      <c r="A251" s="165"/>
      <c r="B251" s="174"/>
      <c r="C251" s="100" t="s">
        <v>43</v>
      </c>
      <c r="D251" s="188">
        <v>784.17</v>
      </c>
      <c r="E251" s="169">
        <v>8.0</v>
      </c>
      <c r="F251" s="169">
        <v>10.0</v>
      </c>
      <c r="G251" s="104">
        <f t="shared" si="1"/>
        <v>0.8</v>
      </c>
      <c r="H251" s="105">
        <f t="shared" si="2"/>
        <v>98.02125</v>
      </c>
      <c r="I251" s="106">
        <f t="shared" si="3"/>
        <v>122.5265625</v>
      </c>
      <c r="J251" s="188">
        <v>265.11</v>
      </c>
      <c r="K251" s="169">
        <v>29524.0</v>
      </c>
      <c r="L251" s="169">
        <v>3.0</v>
      </c>
      <c r="M251" s="189">
        <v>257.13</v>
      </c>
      <c r="N251" s="109">
        <f t="shared" si="94"/>
        <v>1.031034885</v>
      </c>
      <c r="O251" s="110">
        <f t="shared" si="5"/>
        <v>0.9698992871</v>
      </c>
      <c r="P251" s="109">
        <f t="shared" si="6"/>
        <v>0.3380772026</v>
      </c>
      <c r="Q251" s="111">
        <f t="shared" si="7"/>
        <v>0.3279008378</v>
      </c>
      <c r="R251" s="137">
        <f t="shared" si="93"/>
        <v>527.04</v>
      </c>
      <c r="S251" s="113">
        <f t="shared" si="9"/>
        <v>88.37</v>
      </c>
      <c r="T251" s="172"/>
      <c r="U251" s="172"/>
      <c r="V251" s="172"/>
      <c r="W251" s="172"/>
      <c r="X251" s="173"/>
      <c r="Y251" s="165"/>
      <c r="Z251" s="165"/>
    </row>
    <row r="252" outlineLevel="1">
      <c r="A252" s="165"/>
      <c r="B252" s="174"/>
      <c r="C252" s="100" t="s">
        <v>44</v>
      </c>
      <c r="D252" s="190">
        <v>359.6</v>
      </c>
      <c r="E252" s="169">
        <v>8.0</v>
      </c>
      <c r="F252" s="169">
        <v>9.0</v>
      </c>
      <c r="G252" s="104">
        <f t="shared" si="1"/>
        <v>0.8888888889</v>
      </c>
      <c r="H252" s="105">
        <f t="shared" si="2"/>
        <v>44.95</v>
      </c>
      <c r="I252" s="106">
        <f t="shared" si="3"/>
        <v>50.56875</v>
      </c>
      <c r="J252" s="190">
        <v>84.35</v>
      </c>
      <c r="K252" s="169">
        <v>52577.0</v>
      </c>
      <c r="L252" s="169">
        <v>2.0</v>
      </c>
      <c r="M252" s="191">
        <v>89.9</v>
      </c>
      <c r="N252" s="109">
        <f t="shared" si="94"/>
        <v>0.9382647386</v>
      </c>
      <c r="O252" s="110">
        <f t="shared" si="5"/>
        <v>1.065797273</v>
      </c>
      <c r="P252" s="109">
        <f t="shared" si="6"/>
        <v>0.2345661846</v>
      </c>
      <c r="Q252" s="111">
        <f t="shared" si="7"/>
        <v>0.25</v>
      </c>
      <c r="R252" s="140">
        <f t="shared" si="93"/>
        <v>269.7</v>
      </c>
      <c r="S252" s="113">
        <f t="shared" si="9"/>
        <v>42.175</v>
      </c>
      <c r="T252" s="172"/>
      <c r="U252" s="172"/>
      <c r="V252" s="172"/>
      <c r="W252" s="172"/>
      <c r="X252" s="173"/>
      <c r="Y252" s="165"/>
      <c r="Z252" s="165"/>
    </row>
    <row r="253" outlineLevel="1">
      <c r="A253" s="192"/>
      <c r="B253" s="174"/>
      <c r="C253" s="142" t="s">
        <v>45</v>
      </c>
      <c r="D253" s="167">
        <v>59.9</v>
      </c>
      <c r="E253" s="169">
        <v>2.0</v>
      </c>
      <c r="F253" s="169">
        <v>2.0</v>
      </c>
      <c r="G253" s="104">
        <f t="shared" si="1"/>
        <v>1</v>
      </c>
      <c r="H253" s="105">
        <f t="shared" si="2"/>
        <v>29.95</v>
      </c>
      <c r="I253" s="106">
        <f t="shared" si="3"/>
        <v>29.95</v>
      </c>
      <c r="J253" s="167">
        <v>0.0</v>
      </c>
      <c r="K253" s="169">
        <v>0.0</v>
      </c>
      <c r="L253" s="169">
        <v>0.0</v>
      </c>
      <c r="M253" s="171">
        <v>0.0</v>
      </c>
      <c r="N253" s="109" t="str">
        <f t="shared" si="94"/>
        <v>#DIV/0!</v>
      </c>
      <c r="O253" s="110" t="str">
        <f t="shared" si="5"/>
        <v>#DIV/0!</v>
      </c>
      <c r="P253" s="109">
        <f t="shared" si="6"/>
        <v>0</v>
      </c>
      <c r="Q253" s="111">
        <f t="shared" si="7"/>
        <v>0</v>
      </c>
      <c r="R253" s="112">
        <f t="shared" si="93"/>
        <v>59.9</v>
      </c>
      <c r="S253" s="113" t="str">
        <f t="shared" si="9"/>
        <v>#DIV/0!</v>
      </c>
      <c r="T253" s="193"/>
      <c r="U253" s="193"/>
      <c r="V253" s="193"/>
      <c r="W253" s="194"/>
      <c r="X253" s="195"/>
      <c r="Y253" s="165"/>
      <c r="Z253" s="165"/>
    </row>
    <row r="254" outlineLevel="1">
      <c r="A254" s="165"/>
      <c r="B254" s="174"/>
      <c r="C254" s="100" t="s">
        <v>46</v>
      </c>
      <c r="D254" s="196">
        <v>997.85</v>
      </c>
      <c r="E254" s="169">
        <v>23.0</v>
      </c>
      <c r="F254" s="169">
        <v>24.0</v>
      </c>
      <c r="G254" s="104">
        <f t="shared" si="1"/>
        <v>0.9583333333</v>
      </c>
      <c r="H254" s="105">
        <f t="shared" si="2"/>
        <v>43.38478261</v>
      </c>
      <c r="I254" s="106">
        <f t="shared" si="3"/>
        <v>45.2710775</v>
      </c>
      <c r="J254" s="196">
        <v>191.62</v>
      </c>
      <c r="K254" s="169">
        <v>40208.0</v>
      </c>
      <c r="L254" s="169">
        <v>6.0</v>
      </c>
      <c r="M254" s="197">
        <v>261.7</v>
      </c>
      <c r="N254" s="109">
        <f t="shared" si="94"/>
        <v>0.732212457</v>
      </c>
      <c r="O254" s="110">
        <f t="shared" si="5"/>
        <v>1.365723828</v>
      </c>
      <c r="P254" s="109">
        <f t="shared" si="6"/>
        <v>0.1920328707</v>
      </c>
      <c r="Q254" s="111">
        <f t="shared" si="7"/>
        <v>0.2622638673</v>
      </c>
      <c r="R254" s="112">
        <f t="shared" si="93"/>
        <v>736.15</v>
      </c>
      <c r="S254" s="113">
        <f t="shared" si="9"/>
        <v>31.93666667</v>
      </c>
      <c r="T254" s="172"/>
      <c r="U254" s="172"/>
      <c r="V254" s="172"/>
      <c r="W254" s="172"/>
      <c r="X254" s="173"/>
      <c r="Y254" s="165"/>
      <c r="Z254" s="165"/>
    </row>
    <row r="255" outlineLevel="1">
      <c r="A255" s="165"/>
      <c r="B255" s="174"/>
      <c r="C255" s="200" t="s">
        <v>47</v>
      </c>
      <c r="D255" s="175">
        <v>-29.85</v>
      </c>
      <c r="E255" s="169">
        <v>-1.0</v>
      </c>
      <c r="F255" s="169">
        <v>0.0</v>
      </c>
      <c r="G255" s="104" t="str">
        <f t="shared" si="1"/>
        <v>#DIV/0!</v>
      </c>
      <c r="H255" s="105">
        <f t="shared" si="2"/>
        <v>29.85</v>
      </c>
      <c r="I255" s="106" t="str">
        <f t="shared" si="3"/>
        <v>#DIV/0!</v>
      </c>
      <c r="J255" s="175">
        <v>0.0</v>
      </c>
      <c r="K255" s="169">
        <v>0.0</v>
      </c>
      <c r="L255" s="169">
        <v>0.0</v>
      </c>
      <c r="M255" s="176">
        <v>0.0</v>
      </c>
      <c r="N255" s="109" t="str">
        <f t="shared" si="94"/>
        <v>#DIV/0!</v>
      </c>
      <c r="O255" s="110" t="str">
        <f t="shared" si="5"/>
        <v>#DIV/0!</v>
      </c>
      <c r="P255" s="109">
        <f t="shared" si="6"/>
        <v>0</v>
      </c>
      <c r="Q255" s="111">
        <f t="shared" si="7"/>
        <v>0</v>
      </c>
      <c r="R255" s="112">
        <f t="shared" si="93"/>
        <v>-29.85</v>
      </c>
      <c r="S255" s="113" t="str">
        <f t="shared" si="9"/>
        <v>#DIV/0!</v>
      </c>
      <c r="T255" s="172"/>
      <c r="U255" s="172"/>
      <c r="V255" s="172"/>
      <c r="W255" s="172"/>
      <c r="X255" s="173"/>
      <c r="Y255" s="165"/>
      <c r="Z255" s="165"/>
    </row>
    <row r="256" outlineLevel="1">
      <c r="A256" s="165"/>
      <c r="B256" s="174"/>
      <c r="C256" s="200" t="s">
        <v>48</v>
      </c>
      <c r="D256" s="186">
        <v>1107.19</v>
      </c>
      <c r="E256" s="169">
        <v>5.0</v>
      </c>
      <c r="F256" s="169">
        <v>6.0</v>
      </c>
      <c r="G256" s="104">
        <f t="shared" si="1"/>
        <v>0.8333333333</v>
      </c>
      <c r="H256" s="105">
        <f t="shared" si="2"/>
        <v>221.438</v>
      </c>
      <c r="I256" s="106">
        <f t="shared" si="3"/>
        <v>265.7256</v>
      </c>
      <c r="J256" s="186">
        <v>342.66</v>
      </c>
      <c r="K256" s="169">
        <v>45688.0</v>
      </c>
      <c r="L256" s="169">
        <v>5.0</v>
      </c>
      <c r="M256" s="187">
        <v>1187.19</v>
      </c>
      <c r="N256" s="109">
        <f t="shared" si="94"/>
        <v>0.2886311374</v>
      </c>
      <c r="O256" s="110">
        <f t="shared" si="5"/>
        <v>3.464629662</v>
      </c>
      <c r="P256" s="109">
        <f t="shared" si="6"/>
        <v>0.3094861767</v>
      </c>
      <c r="Q256" s="111">
        <f t="shared" si="7"/>
        <v>1.072254988</v>
      </c>
      <c r="R256" s="112">
        <f t="shared" si="93"/>
        <v>-80</v>
      </c>
      <c r="S256" s="113">
        <f t="shared" si="9"/>
        <v>68.532</v>
      </c>
      <c r="T256" s="172"/>
      <c r="U256" s="172"/>
      <c r="V256" s="172"/>
      <c r="W256" s="172"/>
      <c r="X256" s="173"/>
      <c r="Y256" s="165"/>
      <c r="Z256" s="165"/>
    </row>
    <row r="257" outlineLevel="1">
      <c r="A257" s="148"/>
      <c r="B257" s="166"/>
      <c r="C257" s="100" t="s">
        <v>49</v>
      </c>
      <c r="D257" s="196">
        <v>0.0</v>
      </c>
      <c r="E257" s="169">
        <v>0.0</v>
      </c>
      <c r="F257" s="169">
        <v>0.0</v>
      </c>
      <c r="G257" s="104" t="str">
        <f t="shared" si="1"/>
        <v>#DIV/0!</v>
      </c>
      <c r="H257" s="105" t="str">
        <f t="shared" si="2"/>
        <v>#DIV/0!</v>
      </c>
      <c r="I257" s="106" t="str">
        <f t="shared" si="3"/>
        <v>#DIV/0!</v>
      </c>
      <c r="J257" s="196">
        <v>3.14</v>
      </c>
      <c r="K257" s="169">
        <v>7802.0</v>
      </c>
      <c r="L257" s="169">
        <v>0.0</v>
      </c>
      <c r="M257" s="197">
        <v>0.0</v>
      </c>
      <c r="N257" s="109" t="str">
        <f t="shared" si="94"/>
        <v>#DIV/0!</v>
      </c>
      <c r="O257" s="110">
        <f t="shared" si="5"/>
        <v>0</v>
      </c>
      <c r="P257" s="109" t="str">
        <f t="shared" si="6"/>
        <v>#DIV/0!</v>
      </c>
      <c r="Q257" s="111" t="str">
        <f t="shared" si="7"/>
        <v>#DIV/0!</v>
      </c>
      <c r="R257" s="112">
        <f t="shared" si="93"/>
        <v>0</v>
      </c>
      <c r="S257" s="113" t="str">
        <f t="shared" si="9"/>
        <v>#DIV/0!</v>
      </c>
      <c r="T257" s="172"/>
      <c r="U257" s="172"/>
      <c r="V257" s="172"/>
      <c r="W257" s="172"/>
      <c r="X257" s="173"/>
      <c r="Y257" s="165"/>
      <c r="Z257" s="165"/>
    </row>
    <row r="258" outlineLevel="1">
      <c r="A258" s="148" t="str">
        <f t="shared" ref="A258:A259" si="95">iferror(if(B258&gt;0,month(B258)&amp;"-"&amp;year(B258),B258),)</f>
        <v>3-2026</v>
      </c>
      <c r="B258" s="166">
        <v>46102.0</v>
      </c>
      <c r="C258" s="279" t="s">
        <v>67</v>
      </c>
      <c r="D258" s="196">
        <v>0.0</v>
      </c>
      <c r="E258" s="169">
        <v>0.0</v>
      </c>
      <c r="F258" s="169">
        <v>0.0</v>
      </c>
      <c r="G258" s="104" t="str">
        <f t="shared" si="1"/>
        <v>#DIV/0!</v>
      </c>
      <c r="H258" s="105" t="str">
        <f t="shared" si="2"/>
        <v>#DIV/0!</v>
      </c>
      <c r="I258" s="106" t="str">
        <f t="shared" si="3"/>
        <v>#DIV/0!</v>
      </c>
      <c r="J258" s="117">
        <v>4917.55</v>
      </c>
      <c r="K258" s="278">
        <v>559192.0</v>
      </c>
      <c r="L258" s="280">
        <v>0.0</v>
      </c>
      <c r="M258" s="118">
        <v>10487.94</v>
      </c>
      <c r="N258" s="109">
        <f t="shared" si="94"/>
        <v>0.4688766335</v>
      </c>
      <c r="O258" s="110">
        <f t="shared" si="5"/>
        <v>2.132757166</v>
      </c>
      <c r="P258" s="109" t="str">
        <f t="shared" si="6"/>
        <v>#DIV/0!</v>
      </c>
      <c r="Q258" s="111" t="str">
        <f t="shared" si="7"/>
        <v>#DIV/0!</v>
      </c>
      <c r="R258" s="112">
        <f t="shared" si="93"/>
        <v>-10487.94</v>
      </c>
      <c r="S258" s="113" t="str">
        <f t="shared" si="9"/>
        <v>#DIV/0!</v>
      </c>
      <c r="T258" s="172"/>
      <c r="U258" s="172"/>
      <c r="V258" s="172"/>
      <c r="W258" s="172"/>
      <c r="X258" s="173"/>
      <c r="Y258" s="165"/>
      <c r="Z258" s="165"/>
    </row>
    <row r="259">
      <c r="A259" s="165" t="str">
        <f t="shared" si="95"/>
        <v/>
      </c>
      <c r="B259" s="203" t="s">
        <v>62</v>
      </c>
      <c r="C259" s="201"/>
      <c r="D259" s="151">
        <f t="shared" ref="D259:F259" si="96">SUM(D241:D258)</f>
        <v>24957.31</v>
      </c>
      <c r="E259" s="202">
        <f t="shared" si="96"/>
        <v>202</v>
      </c>
      <c r="F259" s="202">
        <f t="shared" si="96"/>
        <v>220</v>
      </c>
      <c r="G259" s="154">
        <f t="shared" si="1"/>
        <v>0.9181818182</v>
      </c>
      <c r="H259" s="155">
        <f t="shared" si="2"/>
        <v>123.5510396</v>
      </c>
      <c r="I259" s="156">
        <f t="shared" si="3"/>
        <v>134.5605382</v>
      </c>
      <c r="J259" s="151">
        <f t="shared" ref="J259:M259" si="97">SUM(J241:J258)</f>
        <v>8091.58</v>
      </c>
      <c r="K259" s="202">
        <f t="shared" si="97"/>
        <v>1170346</v>
      </c>
      <c r="L259" s="202">
        <f t="shared" si="97"/>
        <v>76</v>
      </c>
      <c r="M259" s="157">
        <f t="shared" si="97"/>
        <v>21577.88</v>
      </c>
      <c r="N259" s="158">
        <f t="shared" si="94"/>
        <v>0.374994207</v>
      </c>
      <c r="O259" s="159">
        <f t="shared" si="5"/>
        <v>2.666707862</v>
      </c>
      <c r="P259" s="158">
        <f t="shared" si="6"/>
        <v>0.3242168327</v>
      </c>
      <c r="Q259" s="160">
        <f t="shared" si="7"/>
        <v>0.8645915766</v>
      </c>
      <c r="R259" s="161">
        <f>SUM(R241:R258)</f>
        <v>3379.43</v>
      </c>
      <c r="S259" s="162">
        <f t="shared" si="9"/>
        <v>106.4681579</v>
      </c>
      <c r="T259" s="163">
        <f t="shared" ref="T259:U259" si="98">IFERROR((D259-D240)/D259,)</f>
        <v>0.1097029287</v>
      </c>
      <c r="U259" s="163">
        <f t="shared" si="98"/>
        <v>-0.1435643564</v>
      </c>
      <c r="V259" s="163" t="str">
        <f t="shared" ref="V259:W259" si="99">IFERROR((D259-monthly_reporting_2021!D32)/D259, )</f>
        <v/>
      </c>
      <c r="W259" s="163" t="str">
        <f t="shared" si="99"/>
        <v/>
      </c>
      <c r="X259" s="165"/>
      <c r="Y259" s="165"/>
      <c r="Z259" s="165"/>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259">
    <cfRule type="cellIs" dxfId="2" priority="5" operator="greaterThanOrEqual">
      <formula>0</formula>
    </cfRule>
  </conditionalFormatting>
  <conditionalFormatting sqref="T12:Y259">
    <cfRule type="cellIs" dxfId="3" priority="6" operator="lessThan">
      <formula>0</formula>
    </cfRule>
  </conditionalFormatting>
  <conditionalFormatting sqref="V12:W259">
    <cfRule type="cellIs" dxfId="0" priority="7" operator="greaterThanOrEqual">
      <formula>0</formula>
    </cfRule>
  </conditionalFormatting>
  <conditionalFormatting sqref="V12:W259">
    <cfRule type="cellIs" dxfId="4" priority="8" operator="lessThan">
      <formula>0</formula>
    </cfRule>
  </conditionalFormatting>
  <dataValidations>
    <dataValidation type="list" allowBlank="1" sqref="B12 B31 B50 B69 B88 B107 B126 B145 B164 B183 B202 B221 B240 B259">
      <formula1>"Previous Week,Current Week"</formula1>
    </dataValidation>
  </dataValidation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2" max="2" width="13.88"/>
    <col customWidth="1" min="3" max="3" width="40.0"/>
  </cols>
  <sheetData>
    <row r="1" ht="93.75" customHeight="1">
      <c r="A1" s="1" t="s">
        <v>68</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39" t="s">
        <v>2</v>
      </c>
      <c r="B3" s="27"/>
      <c r="C3" s="27"/>
      <c r="D3" s="281" t="s">
        <v>3</v>
      </c>
      <c r="E3" s="11"/>
      <c r="F3" s="11"/>
      <c r="G3" s="9"/>
      <c r="H3" s="27"/>
      <c r="I3" s="282" t="s">
        <v>4</v>
      </c>
      <c r="J3" s="11"/>
      <c r="K3" s="11"/>
      <c r="L3" s="9"/>
      <c r="M3" s="30"/>
      <c r="N3" s="30"/>
      <c r="O3" s="30"/>
      <c r="P3" s="30"/>
    </row>
    <row r="4" ht="21.0" customHeight="1">
      <c r="A4" s="26">
        <f>VLOOKUP("Current Week",$B$11:$X$208,match("SALES",$B$11:$X$11,0),FALSE)</f>
        <v>0</v>
      </c>
      <c r="B4" s="27"/>
      <c r="C4" s="27"/>
      <c r="D4" s="29">
        <f>VLOOKUP("Current Week",$B$11:$X$208,match("Units Sold",$B$11:$X$11,0),FALSE)</f>
        <v>0</v>
      </c>
      <c r="E4" s="11"/>
      <c r="F4" s="9"/>
      <c r="G4" s="30"/>
      <c r="H4" s="27"/>
      <c r="I4" s="29">
        <f>VLOOKUP("Current Week",$B$11:$X$208,match("Ordered Items",$B$11:$X$11,0),FALSE)</f>
        <v>0</v>
      </c>
      <c r="J4" s="11"/>
      <c r="K4" s="9"/>
      <c r="L4" s="30"/>
      <c r="M4" s="30"/>
      <c r="N4" s="30"/>
      <c r="O4" s="30"/>
      <c r="P4" s="30"/>
    </row>
    <row r="5">
      <c r="A5" s="259" t="str">
        <f>(A4-(VLOOKUP("Previous Week",$B$11:$X$213,match("SALES",$B$11:$X$11,0),FALSE)))/A4</f>
        <v>#DIV/0!</v>
      </c>
      <c r="B5" s="271"/>
      <c r="C5" s="271"/>
      <c r="D5" s="263" t="str">
        <f>(D4-(VLOOKUP("Previous Week",$B$11:$X$213,match("Units Sold",$B$11:$X$11,0),FALSE)))/D4</f>
        <v>#DIV/0!</v>
      </c>
      <c r="E5" s="11"/>
      <c r="F5" s="11"/>
      <c r="G5" s="9"/>
      <c r="H5" s="271"/>
      <c r="I5" s="263" t="str">
        <f>(I4-(VLOOKUP("Previous Week",$B$11:$X$213,match("Ordered Items",$B$11:$X$11,0),FALSE)))/I4</f>
        <v>#DIV/0!</v>
      </c>
      <c r="J5" s="11"/>
      <c r="K5" s="11"/>
      <c r="L5" s="9"/>
      <c r="M5" s="38"/>
      <c r="N5" s="38"/>
      <c r="O5" s="38"/>
      <c r="P5" s="38"/>
    </row>
    <row r="6" ht="6.0" customHeight="1">
      <c r="A6" s="39"/>
      <c r="B6" s="27"/>
      <c r="C6" s="27"/>
      <c r="D6" s="30"/>
      <c r="E6" s="30"/>
      <c r="F6" s="30"/>
      <c r="G6" s="30"/>
      <c r="H6" s="27"/>
      <c r="I6" s="30"/>
      <c r="J6" s="30"/>
      <c r="K6" s="30"/>
      <c r="L6" s="30"/>
      <c r="M6" s="30"/>
      <c r="N6" s="30"/>
      <c r="O6" s="30"/>
      <c r="P6" s="30"/>
    </row>
    <row r="7" ht="22.5" customHeight="1">
      <c r="A7" s="39" t="s">
        <v>5</v>
      </c>
      <c r="B7" s="27"/>
      <c r="C7" s="27"/>
      <c r="D7" s="283" t="s">
        <v>6</v>
      </c>
      <c r="E7" s="11"/>
      <c r="F7" s="11"/>
      <c r="G7" s="9"/>
      <c r="H7" s="27"/>
      <c r="I7" s="283" t="s">
        <v>7</v>
      </c>
      <c r="J7" s="11"/>
      <c r="K7" s="11"/>
      <c r="L7" s="9"/>
      <c r="M7" s="30"/>
      <c r="N7" s="30"/>
      <c r="O7" s="30"/>
      <c r="P7" s="30"/>
    </row>
    <row r="8" ht="21.0" customHeight="1">
      <c r="A8" s="26">
        <f>VLOOKUP("Current Week",$B$11:$X$208,match("AD SALES",$B$11:$X$11,0),FALSE)</f>
        <v>10487.94</v>
      </c>
      <c r="B8" s="27"/>
      <c r="C8" s="27"/>
      <c r="D8" s="41">
        <f>VLOOKUP("Current Week",$B$11:$X$208,match("SP AD SPEND",$B$11:$X$11,0),FALSE)</f>
        <v>4917.55</v>
      </c>
      <c r="E8" s="11"/>
      <c r="F8" s="9"/>
      <c r="G8" s="30"/>
      <c r="H8" s="27"/>
      <c r="I8" s="42">
        <f>D8/A8</f>
        <v>0.4688766335</v>
      </c>
      <c r="J8" s="11"/>
      <c r="K8" s="9"/>
      <c r="L8" s="30"/>
      <c r="M8" s="30"/>
      <c r="N8" s="30"/>
      <c r="O8" s="30"/>
      <c r="P8" s="30"/>
    </row>
    <row r="9" ht="19.5" customHeight="1">
      <c r="A9" s="270">
        <f>(A8-(VLOOKUP("Previous Week",$B$11:$X$213,match("AD SALES",$B$11:$X$11,0),FALSE)))/A8</f>
        <v>0.1392408805</v>
      </c>
      <c r="B9" s="271"/>
      <c r="C9" s="271"/>
      <c r="D9" s="273">
        <f>(D8-(VLOOKUP("Previous Week",$B$11:$X$213,match("SP AD SPEND",$B$11:$X$11,0),FALSE)))/D8</f>
        <v>-0.1066608372</v>
      </c>
      <c r="G9" s="47"/>
      <c r="H9" s="271"/>
      <c r="I9" s="275">
        <f>(I8-(VLOOKUP("Previous Week",$B$11:$X$213,match("ACOS",$B$11:$X$11,0),FALSE)))/I8</f>
        <v>-0.2856800609</v>
      </c>
      <c r="L9" s="47"/>
      <c r="M9" s="49"/>
      <c r="N9" s="49"/>
      <c r="O9" s="49"/>
      <c r="P9" s="51"/>
    </row>
    <row r="10" ht="15.0" customHeight="1">
      <c r="A10" s="24"/>
      <c r="B10" s="284"/>
      <c r="C10" s="285"/>
      <c r="D10" s="286" t="s">
        <v>8</v>
      </c>
      <c r="E10" s="56"/>
      <c r="F10" s="56"/>
      <c r="G10" s="56"/>
      <c r="H10" s="56"/>
      <c r="I10" s="57"/>
      <c r="J10" s="286"/>
      <c r="K10" s="287"/>
      <c r="L10" s="288" t="s">
        <v>9</v>
      </c>
      <c r="M10" s="56"/>
      <c r="N10" s="56"/>
      <c r="O10" s="56"/>
      <c r="P10" s="56"/>
      <c r="Q10" s="56"/>
      <c r="R10" s="56"/>
      <c r="S10" s="57"/>
      <c r="T10" s="289"/>
      <c r="U10" s="290"/>
      <c r="V10" s="291" t="s">
        <v>10</v>
      </c>
      <c r="W10" s="57"/>
      <c r="X10" s="292" t="s">
        <v>11</v>
      </c>
      <c r="Y10" s="57"/>
      <c r="Z10" s="30"/>
    </row>
    <row r="11" ht="37.5" customHeight="1">
      <c r="A11" s="64" t="s">
        <v>12</v>
      </c>
      <c r="B11" s="65" t="s">
        <v>13</v>
      </c>
      <c r="C11" s="66" t="s">
        <v>69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293"/>
      <c r="B13" s="99">
        <v>46012.0</v>
      </c>
      <c r="C13" s="294" t="s">
        <v>70</v>
      </c>
      <c r="D13" s="295"/>
      <c r="E13" s="296"/>
      <c r="F13" s="296"/>
      <c r="G13" s="104" t="str">
        <f t="shared" ref="G13:G22" si="1">E13/F13</f>
        <v>#DIV/0!</v>
      </c>
      <c r="H13" s="105" t="str">
        <f t="shared" ref="H13:H22" si="2">D13/E13</f>
        <v>#DIV/0!</v>
      </c>
      <c r="I13" s="106" t="str">
        <f t="shared" ref="I13:I22" si="3">H13/G13</f>
        <v>#DIV/0!</v>
      </c>
      <c r="J13" s="107">
        <v>2974.57</v>
      </c>
      <c r="K13" s="278">
        <v>115078.0</v>
      </c>
      <c r="L13" s="296"/>
      <c r="M13" s="108">
        <v>10437.51</v>
      </c>
      <c r="N13" s="109">
        <f t="shared" ref="N13:N14" si="4">J13/M13</f>
        <v>0.2849884695</v>
      </c>
      <c r="O13" s="110">
        <f t="shared" ref="O13:O199" si="5">M13/J13</f>
        <v>3.508913893</v>
      </c>
      <c r="P13" s="109" t="str">
        <f t="shared" ref="P13:P199" si="6">J13/D13</f>
        <v>#DIV/0!</v>
      </c>
      <c r="Q13" s="111" t="str">
        <f t="shared" ref="Q13:Q199" si="7">M13/D13</f>
        <v>#DIV/0!</v>
      </c>
      <c r="R13" s="112">
        <f t="shared" ref="R13:R24" si="8">D13-M13</f>
        <v>-10437.51</v>
      </c>
      <c r="S13" s="113" t="str">
        <f t="shared" ref="S13:S199" si="9">J13/L13</f>
        <v>#DIV/0!</v>
      </c>
      <c r="T13" s="114"/>
      <c r="U13" s="114"/>
      <c r="V13" s="114"/>
      <c r="W13" s="114"/>
      <c r="X13" s="115"/>
      <c r="Y13" s="98"/>
      <c r="Z13" s="98"/>
    </row>
    <row r="14" hidden="1" outlineLevel="1">
      <c r="A14" s="293"/>
      <c r="B14" s="116"/>
      <c r="C14" s="294" t="s">
        <v>71</v>
      </c>
      <c r="D14" s="297"/>
      <c r="E14" s="296"/>
      <c r="F14" s="296"/>
      <c r="G14" s="104" t="str">
        <f t="shared" si="1"/>
        <v>#DIV/0!</v>
      </c>
      <c r="H14" s="105" t="str">
        <f t="shared" si="2"/>
        <v>#DIV/0!</v>
      </c>
      <c r="I14" s="106" t="str">
        <f t="shared" si="3"/>
        <v>#DIV/0!</v>
      </c>
      <c r="J14" s="117">
        <v>145.64</v>
      </c>
      <c r="K14" s="278">
        <v>19906.0</v>
      </c>
      <c r="L14" s="296"/>
      <c r="M14" s="118">
        <v>319.75</v>
      </c>
      <c r="N14" s="109">
        <f t="shared" si="4"/>
        <v>0.4554808444</v>
      </c>
      <c r="O14" s="110">
        <f t="shared" si="5"/>
        <v>2.19548201</v>
      </c>
      <c r="P14" s="109" t="str">
        <f t="shared" si="6"/>
        <v>#DIV/0!</v>
      </c>
      <c r="Q14" s="111" t="str">
        <f t="shared" si="7"/>
        <v>#DIV/0!</v>
      </c>
      <c r="R14" s="119">
        <f t="shared" si="8"/>
        <v>-319.75</v>
      </c>
      <c r="S14" s="113" t="str">
        <f t="shared" si="9"/>
        <v>#DIV/0!</v>
      </c>
      <c r="T14" s="114"/>
      <c r="U14" s="114"/>
      <c r="V14" s="114"/>
      <c r="W14" s="114"/>
      <c r="X14" s="115"/>
      <c r="Y14" s="98"/>
      <c r="Z14" s="98"/>
    </row>
    <row r="15" hidden="1" outlineLevel="1">
      <c r="A15" s="293"/>
      <c r="B15" s="116"/>
      <c r="C15" s="294" t="s">
        <v>72</v>
      </c>
      <c r="D15" s="298"/>
      <c r="E15" s="296"/>
      <c r="F15" s="296"/>
      <c r="G15" s="104" t="str">
        <f t="shared" si="1"/>
        <v>#DIV/0!</v>
      </c>
      <c r="H15" s="105" t="str">
        <f t="shared" si="2"/>
        <v>#DIV/0!</v>
      </c>
      <c r="I15" s="106" t="str">
        <f t="shared" si="3"/>
        <v>#DIV/0!</v>
      </c>
      <c r="J15" s="120">
        <v>161.15</v>
      </c>
      <c r="K15" s="278">
        <v>19653.0</v>
      </c>
      <c r="L15" s="296"/>
      <c r="M15" s="121">
        <v>993.57</v>
      </c>
      <c r="N15" s="109">
        <f>(J15/M15)</f>
        <v>0.1621929003</v>
      </c>
      <c r="O15" s="110">
        <f t="shared" si="5"/>
        <v>6.165497983</v>
      </c>
      <c r="P15" s="109" t="str">
        <f t="shared" si="6"/>
        <v>#DIV/0!</v>
      </c>
      <c r="Q15" s="111" t="str">
        <f t="shared" si="7"/>
        <v>#DIV/0!</v>
      </c>
      <c r="R15" s="122">
        <f t="shared" si="8"/>
        <v>-993.57</v>
      </c>
      <c r="S15" s="113" t="str">
        <f t="shared" si="9"/>
        <v>#DIV/0!</v>
      </c>
      <c r="T15" s="114"/>
      <c r="U15" s="114"/>
      <c r="V15" s="114"/>
      <c r="W15" s="114"/>
      <c r="X15" s="115"/>
      <c r="Y15" s="98"/>
      <c r="Z15" s="98"/>
    </row>
    <row r="16" hidden="1" outlineLevel="1">
      <c r="A16" s="293"/>
      <c r="B16" s="116"/>
      <c r="C16" s="294" t="s">
        <v>73</v>
      </c>
      <c r="D16" s="298"/>
      <c r="E16" s="296"/>
      <c r="F16" s="296"/>
      <c r="G16" s="104" t="str">
        <f t="shared" si="1"/>
        <v>#DIV/0!</v>
      </c>
      <c r="H16" s="105" t="str">
        <f t="shared" si="2"/>
        <v>#DIV/0!</v>
      </c>
      <c r="I16" s="106" t="str">
        <f t="shared" si="3"/>
        <v>#DIV/0!</v>
      </c>
      <c r="J16" s="120">
        <v>195.37</v>
      </c>
      <c r="K16" s="278">
        <v>28885.0</v>
      </c>
      <c r="L16" s="296"/>
      <c r="M16" s="121">
        <v>359.7</v>
      </c>
      <c r="N16" s="109">
        <f t="shared" ref="N16:N27" si="10">J16/M16</f>
        <v>0.543147067</v>
      </c>
      <c r="O16" s="110">
        <f t="shared" si="5"/>
        <v>1.841121974</v>
      </c>
      <c r="P16" s="109" t="str">
        <f t="shared" si="6"/>
        <v>#DIV/0!</v>
      </c>
      <c r="Q16" s="111" t="str">
        <f t="shared" si="7"/>
        <v>#DIV/0!</v>
      </c>
      <c r="R16" s="122">
        <f t="shared" si="8"/>
        <v>-359.7</v>
      </c>
      <c r="S16" s="113" t="str">
        <f t="shared" si="9"/>
        <v>#DIV/0!</v>
      </c>
      <c r="T16" s="114"/>
      <c r="U16" s="114"/>
      <c r="V16" s="114"/>
      <c r="W16" s="114"/>
      <c r="X16" s="115"/>
      <c r="Y16" s="98"/>
      <c r="Z16" s="98"/>
    </row>
    <row r="17" hidden="1" outlineLevel="1">
      <c r="A17" s="293"/>
      <c r="B17" s="116"/>
      <c r="C17" s="294" t="s">
        <v>74</v>
      </c>
      <c r="D17" s="299"/>
      <c r="E17" s="296"/>
      <c r="F17" s="296"/>
      <c r="G17" s="104" t="str">
        <f t="shared" si="1"/>
        <v>#DIV/0!</v>
      </c>
      <c r="H17" s="105" t="str">
        <f t="shared" si="2"/>
        <v>#DIV/0!</v>
      </c>
      <c r="I17" s="106" t="str">
        <f t="shared" si="3"/>
        <v>#DIV/0!</v>
      </c>
      <c r="J17" s="300">
        <v>11.15</v>
      </c>
      <c r="K17" s="278">
        <v>1607.0</v>
      </c>
      <c r="L17" s="296"/>
      <c r="M17" s="300">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293"/>
      <c r="B18" s="116"/>
      <c r="C18" s="294" t="s">
        <v>75</v>
      </c>
      <c r="D18" s="301"/>
      <c r="E18" s="296"/>
      <c r="F18" s="296"/>
      <c r="G18" s="104" t="str">
        <f t="shared" si="1"/>
        <v>#DIV/0!</v>
      </c>
      <c r="H18" s="105" t="str">
        <f t="shared" si="2"/>
        <v>#DIV/0!</v>
      </c>
      <c r="I18" s="106" t="str">
        <f t="shared" si="3"/>
        <v>#DIV/0!</v>
      </c>
      <c r="J18" s="302">
        <v>215.11</v>
      </c>
      <c r="K18" s="278">
        <v>27058.0</v>
      </c>
      <c r="L18" s="296"/>
      <c r="M18" s="303">
        <v>22.48</v>
      </c>
      <c r="N18" s="109">
        <f t="shared" si="10"/>
        <v>9.568950178</v>
      </c>
      <c r="O18" s="110">
        <f t="shared" si="5"/>
        <v>0.104504672</v>
      </c>
      <c r="P18" s="109" t="str">
        <f t="shared" si="6"/>
        <v>#DIV/0!</v>
      </c>
      <c r="Q18" s="111" t="str">
        <f t="shared" si="7"/>
        <v>#DIV/0!</v>
      </c>
      <c r="R18" s="304">
        <f t="shared" si="8"/>
        <v>-22.48</v>
      </c>
      <c r="S18" s="113" t="str">
        <f t="shared" si="9"/>
        <v>#DIV/0!</v>
      </c>
      <c r="T18" s="114"/>
      <c r="U18" s="114"/>
      <c r="V18" s="114"/>
      <c r="W18" s="114"/>
      <c r="X18" s="115"/>
      <c r="Y18" s="98"/>
      <c r="Z18" s="98"/>
    </row>
    <row r="19" hidden="1" outlineLevel="1">
      <c r="A19" s="293"/>
      <c r="B19" s="116"/>
      <c r="C19" s="294" t="s">
        <v>76</v>
      </c>
      <c r="D19" s="298"/>
      <c r="E19" s="296"/>
      <c r="F19" s="296"/>
      <c r="G19" s="104" t="str">
        <f t="shared" si="1"/>
        <v>#DIV/0!</v>
      </c>
      <c r="H19" s="105" t="str">
        <f t="shared" si="2"/>
        <v>#DIV/0!</v>
      </c>
      <c r="I19" s="106" t="str">
        <f t="shared" si="3"/>
        <v>#DIV/0!</v>
      </c>
      <c r="J19" s="120">
        <v>452.36</v>
      </c>
      <c r="K19" s="278">
        <v>16814.0</v>
      </c>
      <c r="L19" s="296"/>
      <c r="M19" s="121">
        <v>1418.79</v>
      </c>
      <c r="N19" s="109">
        <f t="shared" si="10"/>
        <v>0.3188350637</v>
      </c>
      <c r="O19" s="110">
        <f t="shared" si="5"/>
        <v>3.136417897</v>
      </c>
      <c r="P19" s="109" t="str">
        <f t="shared" si="6"/>
        <v>#DIV/0!</v>
      </c>
      <c r="Q19" s="111" t="str">
        <f t="shared" si="7"/>
        <v>#DIV/0!</v>
      </c>
      <c r="R19" s="122">
        <f t="shared" si="8"/>
        <v>-1418.79</v>
      </c>
      <c r="S19" s="113" t="str">
        <f t="shared" si="9"/>
        <v>#DIV/0!</v>
      </c>
      <c r="T19" s="114"/>
      <c r="U19" s="114"/>
      <c r="V19" s="114"/>
      <c r="W19" s="114"/>
      <c r="X19" s="115"/>
      <c r="Y19" s="98"/>
      <c r="Z19" s="98"/>
    </row>
    <row r="20" hidden="1" outlineLevel="1">
      <c r="A20" s="293"/>
      <c r="B20" s="99" t="s">
        <v>37</v>
      </c>
      <c r="C20" s="294" t="s">
        <v>77</v>
      </c>
      <c r="D20" s="305"/>
      <c r="E20" s="296"/>
      <c r="F20" s="296"/>
      <c r="G20" s="104" t="str">
        <f t="shared" si="1"/>
        <v>#DIV/0!</v>
      </c>
      <c r="H20" s="105" t="str">
        <f t="shared" si="2"/>
        <v>#DIV/0!</v>
      </c>
      <c r="I20" s="106" t="str">
        <f t="shared" si="3"/>
        <v>#DIV/0!</v>
      </c>
      <c r="J20" s="123">
        <v>147.77</v>
      </c>
      <c r="K20" s="278">
        <v>6193.0</v>
      </c>
      <c r="L20" s="296"/>
      <c r="M20" s="124">
        <v>217.13</v>
      </c>
      <c r="N20" s="109">
        <f t="shared" si="10"/>
        <v>0.6805600332</v>
      </c>
      <c r="O20" s="110">
        <f t="shared" si="5"/>
        <v>1.469378088</v>
      </c>
      <c r="P20" s="109" t="str">
        <f t="shared" si="6"/>
        <v>#DIV/0!</v>
      </c>
      <c r="Q20" s="111" t="str">
        <f t="shared" si="7"/>
        <v>#DIV/0!</v>
      </c>
      <c r="R20" s="125">
        <f t="shared" si="8"/>
        <v>-217.13</v>
      </c>
      <c r="S20" s="113" t="str">
        <f t="shared" si="9"/>
        <v>#DIV/0!</v>
      </c>
      <c r="T20" s="114"/>
      <c r="U20" s="114"/>
      <c r="V20" s="114"/>
      <c r="W20" s="114"/>
      <c r="X20" s="115"/>
      <c r="Y20" s="98"/>
      <c r="Z20" s="98"/>
    </row>
    <row r="21" hidden="1" outlineLevel="1">
      <c r="A21" s="293"/>
      <c r="B21" s="116"/>
      <c r="C21" s="294" t="s">
        <v>78</v>
      </c>
      <c r="D21" s="306"/>
      <c r="E21" s="296"/>
      <c r="F21" s="296"/>
      <c r="G21" s="104" t="str">
        <f t="shared" si="1"/>
        <v>#DIV/0!</v>
      </c>
      <c r="H21" s="105" t="str">
        <f t="shared" si="2"/>
        <v>#DIV/0!</v>
      </c>
      <c r="I21" s="106" t="str">
        <f t="shared" si="3"/>
        <v>#DIV/0!</v>
      </c>
      <c r="J21" s="126">
        <v>1782.88</v>
      </c>
      <c r="K21" s="278">
        <v>165168.0</v>
      </c>
      <c r="L21" s="296"/>
      <c r="M21" s="127">
        <v>1677.74</v>
      </c>
      <c r="N21" s="109">
        <f t="shared" si="10"/>
        <v>1.062667636</v>
      </c>
      <c r="O21" s="110">
        <f t="shared" si="5"/>
        <v>0.9410279996</v>
      </c>
      <c r="P21" s="109" t="str">
        <f t="shared" si="6"/>
        <v>#DIV/0!</v>
      </c>
      <c r="Q21" s="111" t="str">
        <f t="shared" si="7"/>
        <v>#DIV/0!</v>
      </c>
      <c r="R21" s="128">
        <f t="shared" si="8"/>
        <v>-1677.74</v>
      </c>
      <c r="S21" s="113" t="str">
        <f t="shared" si="9"/>
        <v>#DIV/0!</v>
      </c>
      <c r="T21" s="114"/>
      <c r="U21" s="114"/>
      <c r="V21" s="114"/>
      <c r="W21" s="114"/>
      <c r="X21" s="115"/>
      <c r="Y21" s="98"/>
      <c r="Z21" s="98"/>
    </row>
    <row r="22" hidden="1" outlineLevel="1">
      <c r="A22" s="293"/>
      <c r="B22" s="116"/>
      <c r="C22" s="294" t="s">
        <v>79</v>
      </c>
      <c r="D22" s="307"/>
      <c r="E22" s="296"/>
      <c r="F22" s="296"/>
      <c r="G22" s="104" t="str">
        <f t="shared" si="1"/>
        <v>#DIV/0!</v>
      </c>
      <c r="H22" s="105" t="str">
        <f t="shared" si="2"/>
        <v>#DIV/0!</v>
      </c>
      <c r="I22" s="106" t="str">
        <f t="shared" si="3"/>
        <v>#DIV/0!</v>
      </c>
      <c r="J22" s="129">
        <v>128.2</v>
      </c>
      <c r="K22" s="278">
        <v>23119.0</v>
      </c>
      <c r="L22" s="296"/>
      <c r="M22" s="130">
        <v>427.86</v>
      </c>
      <c r="N22" s="109">
        <f t="shared" si="10"/>
        <v>0.2996307203</v>
      </c>
      <c r="O22" s="110">
        <f t="shared" si="5"/>
        <v>3.337441498</v>
      </c>
      <c r="P22" s="109" t="str">
        <f t="shared" si="6"/>
        <v>#DIV/0!</v>
      </c>
      <c r="Q22" s="111" t="str">
        <f t="shared" si="7"/>
        <v>#DIV/0!</v>
      </c>
      <c r="R22" s="131">
        <f t="shared" si="8"/>
        <v>-427.86</v>
      </c>
      <c r="S22" s="113" t="str">
        <f t="shared" si="9"/>
        <v>#DIV/0!</v>
      </c>
      <c r="T22" s="114"/>
      <c r="U22" s="114"/>
      <c r="V22" s="114"/>
      <c r="W22" s="114"/>
      <c r="X22" s="115"/>
      <c r="Y22" s="98"/>
      <c r="Z22" s="98"/>
    </row>
    <row r="23" hidden="1" outlineLevel="1">
      <c r="A23" s="293"/>
      <c r="B23" s="116"/>
      <c r="C23" s="294" t="s">
        <v>80</v>
      </c>
      <c r="D23" s="307"/>
      <c r="E23" s="296"/>
      <c r="F23" s="296"/>
      <c r="G23" s="308"/>
      <c r="H23" s="102"/>
      <c r="I23" s="309"/>
      <c r="J23" s="135">
        <v>440.24</v>
      </c>
      <c r="K23" s="278">
        <v>41970.0</v>
      </c>
      <c r="L23" s="296"/>
      <c r="M23" s="136">
        <v>3015.09</v>
      </c>
      <c r="N23" s="109">
        <f t="shared" si="10"/>
        <v>0.1460122252</v>
      </c>
      <c r="O23" s="110">
        <f t="shared" si="5"/>
        <v>6.848741595</v>
      </c>
      <c r="P23" s="109" t="str">
        <f t="shared" si="6"/>
        <v>#DIV/0!</v>
      </c>
      <c r="Q23" s="111" t="str">
        <f t="shared" si="7"/>
        <v>#DIV/0!</v>
      </c>
      <c r="R23" s="137">
        <f t="shared" si="8"/>
        <v>-3015.09</v>
      </c>
      <c r="S23" s="113" t="str">
        <f t="shared" si="9"/>
        <v>#DIV/0!</v>
      </c>
      <c r="T23" s="114"/>
      <c r="U23" s="114"/>
      <c r="V23" s="114"/>
      <c r="W23" s="114"/>
      <c r="X23" s="115"/>
      <c r="Y23" s="98"/>
      <c r="Z23" s="98"/>
    </row>
    <row r="24" hidden="1" outlineLevel="1">
      <c r="A24" s="310" t="str">
        <f t="shared" ref="A24:A25" si="11">iferror(if(B24&gt;0,month(B24)&amp;"-"&amp;year(B24),B24),)</f>
        <v>12-2025</v>
      </c>
      <c r="B24" s="99">
        <v>46018.0</v>
      </c>
      <c r="C24" s="294" t="s">
        <v>81</v>
      </c>
      <c r="D24" s="311"/>
      <c r="E24" s="296"/>
      <c r="F24" s="296"/>
      <c r="G24" s="104" t="str">
        <f t="shared" ref="G24:G35" si="13">E24/F24</f>
        <v>#DIV/0!</v>
      </c>
      <c r="H24" s="105" t="str">
        <f t="shared" ref="H24:H35" si="14">D24/E24</f>
        <v>#DIV/0!</v>
      </c>
      <c r="I24" s="106" t="str">
        <f t="shared" ref="I24:I35" si="15">H24/G24</f>
        <v>#DIV/0!</v>
      </c>
      <c r="J24" s="117">
        <v>0.0</v>
      </c>
      <c r="K24" s="278">
        <v>0.0</v>
      </c>
      <c r="L24" s="296"/>
      <c r="M24" s="118">
        <v>0.0</v>
      </c>
      <c r="N24" s="109" t="str">
        <f t="shared" si="10"/>
        <v>#DIV/0!</v>
      </c>
      <c r="O24" s="110" t="str">
        <f t="shared" si="5"/>
        <v>#DIV/0!</v>
      </c>
      <c r="P24" s="109" t="str">
        <f t="shared" si="6"/>
        <v>#DIV/0!</v>
      </c>
      <c r="Q24" s="111" t="str">
        <f t="shared" si="7"/>
        <v>#DIV/0!</v>
      </c>
      <c r="R24" s="112">
        <f t="shared" si="8"/>
        <v>0</v>
      </c>
      <c r="S24" s="113" t="str">
        <f t="shared" si="9"/>
        <v>#DIV/0!</v>
      </c>
      <c r="T24" s="114"/>
      <c r="U24" s="114"/>
      <c r="V24" s="114"/>
      <c r="W24" s="114"/>
      <c r="X24" s="115"/>
      <c r="Y24" s="98"/>
      <c r="Z24" s="98"/>
    </row>
    <row r="25" collapsed="1">
      <c r="A25" s="293" t="str">
        <f t="shared" si="11"/>
        <v/>
      </c>
      <c r="B25" s="149" t="s">
        <v>50</v>
      </c>
      <c r="C25" s="312"/>
      <c r="D25" s="151">
        <f t="shared" ref="D25:F25" si="12">SUM(D13:D24)</f>
        <v>0</v>
      </c>
      <c r="E25" s="153">
        <f t="shared" si="12"/>
        <v>0</v>
      </c>
      <c r="F25" s="153">
        <f t="shared" si="12"/>
        <v>0</v>
      </c>
      <c r="G25" s="154" t="str">
        <f t="shared" si="13"/>
        <v>#DIV/0!</v>
      </c>
      <c r="H25" s="155" t="str">
        <f t="shared" si="14"/>
        <v>#DIV/0!</v>
      </c>
      <c r="I25" s="156" t="str">
        <f t="shared" si="15"/>
        <v>#DIV/0!</v>
      </c>
      <c r="J25" s="151">
        <f t="shared" ref="J25:M25" si="16">SUM(J13:J24)</f>
        <v>6654.44</v>
      </c>
      <c r="K25" s="313">
        <f t="shared" si="16"/>
        <v>465451</v>
      </c>
      <c r="L25" s="153">
        <f t="shared" si="16"/>
        <v>0</v>
      </c>
      <c r="M25" s="157">
        <f t="shared" si="16"/>
        <v>18889.62</v>
      </c>
      <c r="N25" s="158">
        <f t="shared" si="10"/>
        <v>0.352280247</v>
      </c>
      <c r="O25" s="159">
        <f t="shared" si="5"/>
        <v>2.838649082</v>
      </c>
      <c r="P25" s="158" t="str">
        <f t="shared" si="6"/>
        <v>#DIV/0!</v>
      </c>
      <c r="Q25" s="160" t="str">
        <f t="shared" si="7"/>
        <v>#DIV/0!</v>
      </c>
      <c r="R25" s="161">
        <f>SUM(R13:R24)</f>
        <v>-18889.62</v>
      </c>
      <c r="S25" s="162" t="str">
        <f t="shared" si="9"/>
        <v>#DIV/0!</v>
      </c>
      <c r="T25" s="164" t="str">
        <f t="shared" ref="T25:U25" si="17">IFERROR((D25-#REF!)/D25,)</f>
        <v/>
      </c>
      <c r="U25" s="164" t="str">
        <f t="shared" si="17"/>
        <v/>
      </c>
      <c r="V25" s="164" t="str">
        <f t="shared" ref="V25:W25" si="18">IFERROR((D25-#REF!)/D25, )</f>
        <v/>
      </c>
      <c r="W25" s="164" t="str">
        <f t="shared" si="18"/>
        <v/>
      </c>
      <c r="X25" s="98"/>
      <c r="Y25" s="98"/>
      <c r="Z25" s="98"/>
    </row>
    <row r="26" hidden="1" outlineLevel="1">
      <c r="A26" s="293"/>
      <c r="B26" s="99">
        <v>46019.0</v>
      </c>
      <c r="C26" s="294" t="s">
        <v>70</v>
      </c>
      <c r="D26" s="295"/>
      <c r="E26" s="296"/>
      <c r="F26" s="296"/>
      <c r="G26" s="104" t="str">
        <f t="shared" si="13"/>
        <v>#DIV/0!</v>
      </c>
      <c r="H26" s="105" t="str">
        <f t="shared" si="14"/>
        <v>#DIV/0!</v>
      </c>
      <c r="I26" s="106" t="str">
        <f t="shared" si="15"/>
        <v>#DIV/0!</v>
      </c>
      <c r="J26" s="107">
        <v>1881.73</v>
      </c>
      <c r="K26" s="278">
        <v>105735.0</v>
      </c>
      <c r="L26" s="296"/>
      <c r="M26" s="108">
        <v>7796.98</v>
      </c>
      <c r="N26" s="109">
        <f t="shared" si="10"/>
        <v>0.2413408781</v>
      </c>
      <c r="O26" s="110">
        <f t="shared" si="5"/>
        <v>4.14351687</v>
      </c>
      <c r="P26" s="109" t="str">
        <f t="shared" si="6"/>
        <v>#DIV/0!</v>
      </c>
      <c r="Q26" s="111" t="str">
        <f t="shared" si="7"/>
        <v>#DIV/0!</v>
      </c>
      <c r="R26" s="112">
        <f t="shared" ref="R26:R37" si="19">D26-M26</f>
        <v>-7796.98</v>
      </c>
      <c r="S26" s="113" t="str">
        <f t="shared" si="9"/>
        <v>#DIV/0!</v>
      </c>
      <c r="T26" s="114"/>
      <c r="U26" s="114"/>
      <c r="V26" s="114"/>
      <c r="W26" s="114"/>
      <c r="X26" s="115"/>
      <c r="Y26" s="98"/>
      <c r="Z26" s="98"/>
    </row>
    <row r="27" hidden="1" outlineLevel="1">
      <c r="A27" s="293"/>
      <c r="B27" s="116"/>
      <c r="C27" s="294" t="s">
        <v>71</v>
      </c>
      <c r="D27" s="297"/>
      <c r="E27" s="296"/>
      <c r="F27" s="296"/>
      <c r="G27" s="104" t="str">
        <f t="shared" si="13"/>
        <v>#DIV/0!</v>
      </c>
      <c r="H27" s="105" t="str">
        <f t="shared" si="14"/>
        <v>#DIV/0!</v>
      </c>
      <c r="I27" s="106" t="str">
        <f t="shared" si="15"/>
        <v>#DIV/0!</v>
      </c>
      <c r="J27" s="117">
        <v>121.46</v>
      </c>
      <c r="K27" s="278">
        <v>15074.0</v>
      </c>
      <c r="L27" s="296"/>
      <c r="M27" s="118">
        <v>509.6</v>
      </c>
      <c r="N27" s="109">
        <f t="shared" si="10"/>
        <v>0.2383437991</v>
      </c>
      <c r="O27" s="110">
        <f t="shared" si="5"/>
        <v>4.195619957</v>
      </c>
      <c r="P27" s="109" t="str">
        <f t="shared" si="6"/>
        <v>#DIV/0!</v>
      </c>
      <c r="Q27" s="111" t="str">
        <f t="shared" si="7"/>
        <v>#DIV/0!</v>
      </c>
      <c r="R27" s="119">
        <f t="shared" si="19"/>
        <v>-509.6</v>
      </c>
      <c r="S27" s="113" t="str">
        <f t="shared" si="9"/>
        <v>#DIV/0!</v>
      </c>
      <c r="T27" s="114"/>
      <c r="U27" s="114"/>
      <c r="V27" s="114"/>
      <c r="W27" s="114"/>
      <c r="X27" s="115"/>
      <c r="Y27" s="98"/>
      <c r="Z27" s="98"/>
    </row>
    <row r="28" hidden="1" outlineLevel="1">
      <c r="A28" s="293"/>
      <c r="B28" s="116"/>
      <c r="C28" s="294" t="s">
        <v>72</v>
      </c>
      <c r="D28" s="298"/>
      <c r="E28" s="296"/>
      <c r="F28" s="296"/>
      <c r="G28" s="104" t="str">
        <f t="shared" si="13"/>
        <v>#DIV/0!</v>
      </c>
      <c r="H28" s="105" t="str">
        <f t="shared" si="14"/>
        <v>#DIV/0!</v>
      </c>
      <c r="I28" s="106" t="str">
        <f t="shared" si="15"/>
        <v>#DIV/0!</v>
      </c>
      <c r="J28" s="120">
        <v>424.73</v>
      </c>
      <c r="K28" s="278">
        <v>66686.0</v>
      </c>
      <c r="L28" s="296"/>
      <c r="M28" s="121">
        <v>1592.61</v>
      </c>
      <c r="N28" s="109">
        <f>(J28/M28)</f>
        <v>0.2666880153</v>
      </c>
      <c r="O28" s="110">
        <f t="shared" si="5"/>
        <v>3.749699809</v>
      </c>
      <c r="P28" s="109" t="str">
        <f t="shared" si="6"/>
        <v>#DIV/0!</v>
      </c>
      <c r="Q28" s="111" t="str">
        <f t="shared" si="7"/>
        <v>#DIV/0!</v>
      </c>
      <c r="R28" s="122">
        <f t="shared" si="19"/>
        <v>-1592.61</v>
      </c>
      <c r="S28" s="113" t="str">
        <f t="shared" si="9"/>
        <v>#DIV/0!</v>
      </c>
      <c r="T28" s="114"/>
      <c r="U28" s="114"/>
      <c r="V28" s="114"/>
      <c r="W28" s="114"/>
      <c r="X28" s="115"/>
      <c r="Y28" s="98"/>
      <c r="Z28" s="98"/>
    </row>
    <row r="29" hidden="1" outlineLevel="1">
      <c r="A29" s="293"/>
      <c r="B29" s="116"/>
      <c r="C29" s="294" t="s">
        <v>73</v>
      </c>
      <c r="D29" s="298"/>
      <c r="E29" s="296"/>
      <c r="F29" s="296"/>
      <c r="G29" s="104" t="str">
        <f t="shared" si="13"/>
        <v>#DIV/0!</v>
      </c>
      <c r="H29" s="105" t="str">
        <f t="shared" si="14"/>
        <v>#DIV/0!</v>
      </c>
      <c r="I29" s="106" t="str">
        <f t="shared" si="15"/>
        <v>#DIV/0!</v>
      </c>
      <c r="J29" s="120">
        <v>78.85</v>
      </c>
      <c r="K29" s="278">
        <v>48745.0</v>
      </c>
      <c r="L29" s="296"/>
      <c r="M29" s="121">
        <v>182.85</v>
      </c>
      <c r="N29" s="109">
        <f t="shared" ref="N29:N40" si="20">J29/M29</f>
        <v>0.4312277823</v>
      </c>
      <c r="O29" s="110">
        <f t="shared" si="5"/>
        <v>2.318960051</v>
      </c>
      <c r="P29" s="109" t="str">
        <f t="shared" si="6"/>
        <v>#DIV/0!</v>
      </c>
      <c r="Q29" s="111" t="str">
        <f t="shared" si="7"/>
        <v>#DIV/0!</v>
      </c>
      <c r="R29" s="122">
        <f t="shared" si="19"/>
        <v>-182.85</v>
      </c>
      <c r="S29" s="113" t="str">
        <f t="shared" si="9"/>
        <v>#DIV/0!</v>
      </c>
      <c r="T29" s="114"/>
      <c r="U29" s="114"/>
      <c r="V29" s="114"/>
      <c r="W29" s="114"/>
      <c r="X29" s="115"/>
      <c r="Y29" s="98"/>
      <c r="Z29" s="98"/>
    </row>
    <row r="30" hidden="1" outlineLevel="1">
      <c r="A30" s="293"/>
      <c r="B30" s="116"/>
      <c r="C30" s="294" t="s">
        <v>74</v>
      </c>
      <c r="D30" s="299"/>
      <c r="E30" s="296"/>
      <c r="F30" s="296"/>
      <c r="G30" s="104" t="str">
        <f t="shared" si="13"/>
        <v>#DIV/0!</v>
      </c>
      <c r="H30" s="105" t="str">
        <f t="shared" si="14"/>
        <v>#DIV/0!</v>
      </c>
      <c r="I30" s="106" t="str">
        <f t="shared" si="15"/>
        <v>#DIV/0!</v>
      </c>
      <c r="J30" s="300">
        <v>228.46</v>
      </c>
      <c r="K30" s="278">
        <v>24816.0</v>
      </c>
      <c r="L30" s="296"/>
      <c r="M30" s="300">
        <v>959.68</v>
      </c>
      <c r="N30" s="109">
        <f t="shared" si="20"/>
        <v>0.2380585195</v>
      </c>
      <c r="O30" s="110">
        <f t="shared" si="5"/>
        <v>4.200647816</v>
      </c>
      <c r="P30" s="109" t="str">
        <f t="shared" si="6"/>
        <v>#DIV/0!</v>
      </c>
      <c r="Q30" s="111" t="str">
        <f t="shared" si="7"/>
        <v>#DIV/0!</v>
      </c>
      <c r="R30" s="122">
        <f t="shared" si="19"/>
        <v>-959.68</v>
      </c>
      <c r="S30" s="113" t="str">
        <f t="shared" si="9"/>
        <v>#DIV/0!</v>
      </c>
      <c r="T30" s="114"/>
      <c r="U30" s="114"/>
      <c r="V30" s="114"/>
      <c r="W30" s="114"/>
      <c r="X30" s="115"/>
      <c r="Y30" s="98"/>
      <c r="Z30" s="98"/>
    </row>
    <row r="31" hidden="1" outlineLevel="1">
      <c r="A31" s="293"/>
      <c r="B31" s="116"/>
      <c r="C31" s="294" t="s">
        <v>75</v>
      </c>
      <c r="D31" s="301"/>
      <c r="E31" s="296"/>
      <c r="F31" s="296"/>
      <c r="G31" s="104" t="str">
        <f t="shared" si="13"/>
        <v>#DIV/0!</v>
      </c>
      <c r="H31" s="105" t="str">
        <f t="shared" si="14"/>
        <v>#DIV/0!</v>
      </c>
      <c r="I31" s="106" t="str">
        <f t="shared" si="15"/>
        <v>#DIV/0!</v>
      </c>
      <c r="J31" s="302">
        <v>33.91</v>
      </c>
      <c r="K31" s="278">
        <v>21585.0</v>
      </c>
      <c r="L31" s="296"/>
      <c r="M31" s="303">
        <v>22.48</v>
      </c>
      <c r="N31" s="109">
        <f t="shared" si="20"/>
        <v>1.508451957</v>
      </c>
      <c r="O31" s="110">
        <f t="shared" si="5"/>
        <v>0.6629312887</v>
      </c>
      <c r="P31" s="109" t="str">
        <f t="shared" si="6"/>
        <v>#DIV/0!</v>
      </c>
      <c r="Q31" s="111" t="str">
        <f t="shared" si="7"/>
        <v>#DIV/0!</v>
      </c>
      <c r="R31" s="304">
        <f t="shared" si="19"/>
        <v>-22.48</v>
      </c>
      <c r="S31" s="113" t="str">
        <f t="shared" si="9"/>
        <v>#DIV/0!</v>
      </c>
      <c r="T31" s="114"/>
      <c r="U31" s="114"/>
      <c r="V31" s="114"/>
      <c r="W31" s="114"/>
      <c r="X31" s="115"/>
      <c r="Y31" s="98"/>
      <c r="Z31" s="98"/>
    </row>
    <row r="32" hidden="1" outlineLevel="1">
      <c r="A32" s="293"/>
      <c r="B32" s="116"/>
      <c r="C32" s="294" t="s">
        <v>76</v>
      </c>
      <c r="D32" s="298"/>
      <c r="E32" s="296"/>
      <c r="F32" s="296"/>
      <c r="G32" s="104" t="str">
        <f t="shared" si="13"/>
        <v>#DIV/0!</v>
      </c>
      <c r="H32" s="105" t="str">
        <f t="shared" si="14"/>
        <v>#DIV/0!</v>
      </c>
      <c r="I32" s="106" t="str">
        <f t="shared" si="15"/>
        <v>#DIV/0!</v>
      </c>
      <c r="J32" s="120">
        <v>651.49</v>
      </c>
      <c r="K32" s="278">
        <v>29812.0</v>
      </c>
      <c r="L32" s="296"/>
      <c r="M32" s="121">
        <v>3259.38</v>
      </c>
      <c r="N32" s="109">
        <f t="shared" si="20"/>
        <v>0.1998815726</v>
      </c>
      <c r="O32" s="110">
        <f t="shared" si="5"/>
        <v>5.00296244</v>
      </c>
      <c r="P32" s="109" t="str">
        <f t="shared" si="6"/>
        <v>#DIV/0!</v>
      </c>
      <c r="Q32" s="111" t="str">
        <f t="shared" si="7"/>
        <v>#DIV/0!</v>
      </c>
      <c r="R32" s="122">
        <f t="shared" si="19"/>
        <v>-3259.38</v>
      </c>
      <c r="S32" s="113" t="str">
        <f t="shared" si="9"/>
        <v>#DIV/0!</v>
      </c>
      <c r="T32" s="114"/>
      <c r="U32" s="114"/>
      <c r="V32" s="114"/>
      <c r="W32" s="114"/>
      <c r="X32" s="115"/>
      <c r="Y32" s="98"/>
      <c r="Z32" s="98"/>
    </row>
    <row r="33" hidden="1" outlineLevel="1">
      <c r="A33" s="293"/>
      <c r="B33" s="99" t="s">
        <v>37</v>
      </c>
      <c r="C33" s="294" t="s">
        <v>77</v>
      </c>
      <c r="D33" s="305"/>
      <c r="E33" s="296"/>
      <c r="F33" s="296"/>
      <c r="G33" s="104" t="str">
        <f t="shared" si="13"/>
        <v>#DIV/0!</v>
      </c>
      <c r="H33" s="105" t="str">
        <f t="shared" si="14"/>
        <v>#DIV/0!</v>
      </c>
      <c r="I33" s="106" t="str">
        <f t="shared" si="15"/>
        <v>#DIV/0!</v>
      </c>
      <c r="J33" s="123">
        <v>29.45</v>
      </c>
      <c r="K33" s="278">
        <v>10095.0</v>
      </c>
      <c r="L33" s="296"/>
      <c r="M33" s="124">
        <v>717.79</v>
      </c>
      <c r="N33" s="109">
        <f t="shared" si="20"/>
        <v>0.04102871313</v>
      </c>
      <c r="O33" s="110">
        <f t="shared" si="5"/>
        <v>24.37317487</v>
      </c>
      <c r="P33" s="109" t="str">
        <f t="shared" si="6"/>
        <v>#DIV/0!</v>
      </c>
      <c r="Q33" s="111" t="str">
        <f t="shared" si="7"/>
        <v>#DIV/0!</v>
      </c>
      <c r="R33" s="125">
        <f t="shared" si="19"/>
        <v>-717.79</v>
      </c>
      <c r="S33" s="113" t="str">
        <f t="shared" si="9"/>
        <v>#DIV/0!</v>
      </c>
      <c r="T33" s="114"/>
      <c r="U33" s="114"/>
      <c r="V33" s="114"/>
      <c r="W33" s="114"/>
      <c r="X33" s="115"/>
      <c r="Y33" s="98"/>
      <c r="Z33" s="98"/>
    </row>
    <row r="34" hidden="1" outlineLevel="1">
      <c r="A34" s="293"/>
      <c r="B34" s="116"/>
      <c r="C34" s="294" t="s">
        <v>78</v>
      </c>
      <c r="D34" s="306"/>
      <c r="E34" s="296"/>
      <c r="F34" s="296"/>
      <c r="G34" s="104" t="str">
        <f t="shared" si="13"/>
        <v>#DIV/0!</v>
      </c>
      <c r="H34" s="105" t="str">
        <f t="shared" si="14"/>
        <v>#DIV/0!</v>
      </c>
      <c r="I34" s="106" t="str">
        <f t="shared" si="15"/>
        <v>#DIV/0!</v>
      </c>
      <c r="J34" s="126">
        <v>888.27</v>
      </c>
      <c r="K34" s="278">
        <v>108458.0</v>
      </c>
      <c r="L34" s="296"/>
      <c r="M34" s="127">
        <v>662.4</v>
      </c>
      <c r="N34" s="109">
        <f t="shared" si="20"/>
        <v>1.340987319</v>
      </c>
      <c r="O34" s="110">
        <f t="shared" si="5"/>
        <v>0.745719207</v>
      </c>
      <c r="P34" s="109" t="str">
        <f t="shared" si="6"/>
        <v>#DIV/0!</v>
      </c>
      <c r="Q34" s="111" t="str">
        <f t="shared" si="7"/>
        <v>#DIV/0!</v>
      </c>
      <c r="R34" s="128">
        <f t="shared" si="19"/>
        <v>-662.4</v>
      </c>
      <c r="S34" s="113" t="str">
        <f t="shared" si="9"/>
        <v>#DIV/0!</v>
      </c>
      <c r="T34" s="114"/>
      <c r="U34" s="114"/>
      <c r="V34" s="114"/>
      <c r="W34" s="114"/>
      <c r="X34" s="115"/>
      <c r="Y34" s="98"/>
      <c r="Z34" s="98"/>
    </row>
    <row r="35" hidden="1" outlineLevel="1">
      <c r="A35" s="293"/>
      <c r="B35" s="116"/>
      <c r="C35" s="294" t="s">
        <v>79</v>
      </c>
      <c r="D35" s="307"/>
      <c r="E35" s="296"/>
      <c r="F35" s="296"/>
      <c r="G35" s="104" t="str">
        <f t="shared" si="13"/>
        <v>#DIV/0!</v>
      </c>
      <c r="H35" s="105" t="str">
        <f t="shared" si="14"/>
        <v>#DIV/0!</v>
      </c>
      <c r="I35" s="106" t="str">
        <f t="shared" si="15"/>
        <v>#DIV/0!</v>
      </c>
      <c r="J35" s="129">
        <v>115.71</v>
      </c>
      <c r="K35" s="278">
        <v>20775.0</v>
      </c>
      <c r="L35" s="296"/>
      <c r="M35" s="130">
        <v>404.63</v>
      </c>
      <c r="N35" s="109">
        <f t="shared" si="20"/>
        <v>0.2859649556</v>
      </c>
      <c r="O35" s="110">
        <f t="shared" si="5"/>
        <v>3.496931985</v>
      </c>
      <c r="P35" s="109" t="str">
        <f t="shared" si="6"/>
        <v>#DIV/0!</v>
      </c>
      <c r="Q35" s="111" t="str">
        <f t="shared" si="7"/>
        <v>#DIV/0!</v>
      </c>
      <c r="R35" s="131">
        <f t="shared" si="19"/>
        <v>-404.63</v>
      </c>
      <c r="S35" s="113" t="str">
        <f t="shared" si="9"/>
        <v>#DIV/0!</v>
      </c>
      <c r="T35" s="114"/>
      <c r="U35" s="114"/>
      <c r="V35" s="114"/>
      <c r="W35" s="114"/>
      <c r="X35" s="115"/>
      <c r="Y35" s="98"/>
      <c r="Z35" s="98"/>
    </row>
    <row r="36" hidden="1" outlineLevel="1">
      <c r="A36" s="293"/>
      <c r="B36" s="116"/>
      <c r="C36" s="294" t="s">
        <v>80</v>
      </c>
      <c r="D36" s="307"/>
      <c r="E36" s="296"/>
      <c r="F36" s="296"/>
      <c r="G36" s="308"/>
      <c r="H36" s="102"/>
      <c r="I36" s="309"/>
      <c r="J36" s="135">
        <v>425.83</v>
      </c>
      <c r="K36" s="278">
        <v>55401.0</v>
      </c>
      <c r="L36" s="296"/>
      <c r="M36" s="136">
        <v>2105.6</v>
      </c>
      <c r="N36" s="109">
        <f t="shared" si="20"/>
        <v>0.2022368921</v>
      </c>
      <c r="O36" s="110">
        <f t="shared" si="5"/>
        <v>4.94469624</v>
      </c>
      <c r="P36" s="109" t="str">
        <f t="shared" si="6"/>
        <v>#DIV/0!</v>
      </c>
      <c r="Q36" s="111" t="str">
        <f t="shared" si="7"/>
        <v>#DIV/0!</v>
      </c>
      <c r="R36" s="137">
        <f t="shared" si="19"/>
        <v>-2105.6</v>
      </c>
      <c r="S36" s="113" t="str">
        <f t="shared" si="9"/>
        <v>#DIV/0!</v>
      </c>
      <c r="T36" s="114"/>
      <c r="U36" s="114"/>
      <c r="V36" s="114"/>
      <c r="W36" s="114"/>
      <c r="X36" s="115"/>
      <c r="Y36" s="98"/>
      <c r="Z36" s="98"/>
    </row>
    <row r="37" hidden="1" outlineLevel="1">
      <c r="A37" s="310" t="str">
        <f t="shared" ref="A37:A38" si="21">iferror(if(B37&gt;0,month(B37)&amp;"-"&amp;year(B37),B37),)</f>
        <v>1-2026</v>
      </c>
      <c r="B37" s="99">
        <v>46025.0</v>
      </c>
      <c r="C37" s="294" t="s">
        <v>81</v>
      </c>
      <c r="D37" s="311"/>
      <c r="E37" s="296"/>
      <c r="F37" s="296"/>
      <c r="G37" s="104" t="str">
        <f t="shared" ref="G37:G48" si="23">E37/F37</f>
        <v>#DIV/0!</v>
      </c>
      <c r="H37" s="105" t="str">
        <f t="shared" ref="H37:H48" si="24">D37/E37</f>
        <v>#DIV/0!</v>
      </c>
      <c r="I37" s="106" t="str">
        <f t="shared" ref="I37:I48" si="25">H37/G37</f>
        <v>#DIV/0!</v>
      </c>
      <c r="J37" s="117">
        <v>0.0</v>
      </c>
      <c r="K37" s="278">
        <v>0.0</v>
      </c>
      <c r="L37" s="296"/>
      <c r="M37" s="118">
        <v>0.0</v>
      </c>
      <c r="N37" s="109" t="str">
        <f t="shared" si="20"/>
        <v>#DIV/0!</v>
      </c>
      <c r="O37" s="110" t="str">
        <f t="shared" si="5"/>
        <v>#DIV/0!</v>
      </c>
      <c r="P37" s="109" t="str">
        <f t="shared" si="6"/>
        <v>#DIV/0!</v>
      </c>
      <c r="Q37" s="111" t="str">
        <f t="shared" si="7"/>
        <v>#DIV/0!</v>
      </c>
      <c r="R37" s="112">
        <f t="shared" si="19"/>
        <v>0</v>
      </c>
      <c r="S37" s="113" t="str">
        <f t="shared" si="9"/>
        <v>#DIV/0!</v>
      </c>
      <c r="T37" s="114"/>
      <c r="U37" s="114"/>
      <c r="V37" s="114"/>
      <c r="W37" s="114"/>
      <c r="X37" s="115"/>
      <c r="Y37" s="98"/>
      <c r="Z37" s="98"/>
    </row>
    <row r="38" collapsed="1">
      <c r="A38" s="293" t="str">
        <f t="shared" si="21"/>
        <v/>
      </c>
      <c r="B38" s="149" t="s">
        <v>51</v>
      </c>
      <c r="C38" s="312"/>
      <c r="D38" s="151">
        <f t="shared" ref="D38:F38" si="22">SUM(D26:D37)</f>
        <v>0</v>
      </c>
      <c r="E38" s="153">
        <f t="shared" si="22"/>
        <v>0</v>
      </c>
      <c r="F38" s="153">
        <f t="shared" si="22"/>
        <v>0</v>
      </c>
      <c r="G38" s="154" t="str">
        <f t="shared" si="23"/>
        <v>#DIV/0!</v>
      </c>
      <c r="H38" s="155" t="str">
        <f t="shared" si="24"/>
        <v>#DIV/0!</v>
      </c>
      <c r="I38" s="156" t="str">
        <f t="shared" si="25"/>
        <v>#DIV/0!</v>
      </c>
      <c r="J38" s="151">
        <f t="shared" ref="J38:M38" si="26">SUM(J26:J37)</f>
        <v>4879.89</v>
      </c>
      <c r="K38" s="313">
        <f t="shared" si="26"/>
        <v>507182</v>
      </c>
      <c r="L38" s="153">
        <f t="shared" si="26"/>
        <v>0</v>
      </c>
      <c r="M38" s="157">
        <f t="shared" si="26"/>
        <v>18214</v>
      </c>
      <c r="N38" s="158">
        <f t="shared" si="20"/>
        <v>0.2679197321</v>
      </c>
      <c r="O38" s="159">
        <f t="shared" si="5"/>
        <v>3.732461183</v>
      </c>
      <c r="P38" s="158" t="str">
        <f t="shared" si="6"/>
        <v>#DIV/0!</v>
      </c>
      <c r="Q38" s="160" t="str">
        <f t="shared" si="7"/>
        <v>#DIV/0!</v>
      </c>
      <c r="R38" s="161">
        <f>SUM(R26:R37)</f>
        <v>-18214</v>
      </c>
      <c r="S38" s="162" t="str">
        <f t="shared" si="9"/>
        <v>#DIV/0!</v>
      </c>
      <c r="T38" s="164" t="str">
        <f t="shared" ref="T38:U38" si="27">IFERROR((D38-#REF!)/D38,)</f>
        <v/>
      </c>
      <c r="U38" s="164" t="str">
        <f t="shared" si="27"/>
        <v/>
      </c>
      <c r="V38" s="164" t="str">
        <f t="shared" ref="V38:W38" si="28">IFERROR((D38-#REF!)/D38, )</f>
        <v/>
      </c>
      <c r="W38" s="164" t="str">
        <f t="shared" si="28"/>
        <v/>
      </c>
      <c r="X38" s="98"/>
      <c r="Y38" s="98"/>
      <c r="Z38" s="98"/>
    </row>
    <row r="39" hidden="1" outlineLevel="1">
      <c r="A39" s="293"/>
      <c r="B39" s="99">
        <v>46026.0</v>
      </c>
      <c r="C39" s="294" t="s">
        <v>70</v>
      </c>
      <c r="D39" s="295"/>
      <c r="E39" s="296"/>
      <c r="F39" s="296"/>
      <c r="G39" s="104" t="str">
        <f t="shared" si="23"/>
        <v>#DIV/0!</v>
      </c>
      <c r="H39" s="105" t="str">
        <f t="shared" si="24"/>
        <v>#DIV/0!</v>
      </c>
      <c r="I39" s="106" t="str">
        <f t="shared" si="25"/>
        <v>#DIV/0!</v>
      </c>
      <c r="J39" s="107">
        <v>924.26</v>
      </c>
      <c r="K39" s="278">
        <v>92918.0</v>
      </c>
      <c r="L39" s="296"/>
      <c r="M39" s="108">
        <v>2364.44</v>
      </c>
      <c r="N39" s="109">
        <f t="shared" si="20"/>
        <v>0.3909001709</v>
      </c>
      <c r="O39" s="110">
        <f t="shared" si="5"/>
        <v>2.55819791</v>
      </c>
      <c r="P39" s="109" t="str">
        <f t="shared" si="6"/>
        <v>#DIV/0!</v>
      </c>
      <c r="Q39" s="111" t="str">
        <f t="shared" si="7"/>
        <v>#DIV/0!</v>
      </c>
      <c r="R39" s="112">
        <f t="shared" ref="R39:R50" si="29">D39-M39</f>
        <v>-2364.44</v>
      </c>
      <c r="S39" s="113" t="str">
        <f t="shared" si="9"/>
        <v>#DIV/0!</v>
      </c>
      <c r="T39" s="114"/>
      <c r="U39" s="114"/>
      <c r="V39" s="114"/>
      <c r="W39" s="114"/>
      <c r="X39" s="115"/>
      <c r="Y39" s="98"/>
      <c r="Z39" s="98"/>
    </row>
    <row r="40" hidden="1" outlineLevel="1">
      <c r="A40" s="293"/>
      <c r="B40" s="116"/>
      <c r="C40" s="294" t="s">
        <v>71</v>
      </c>
      <c r="D40" s="297"/>
      <c r="E40" s="296"/>
      <c r="F40" s="296"/>
      <c r="G40" s="104" t="str">
        <f t="shared" si="23"/>
        <v>#DIV/0!</v>
      </c>
      <c r="H40" s="105" t="str">
        <f t="shared" si="24"/>
        <v>#DIV/0!</v>
      </c>
      <c r="I40" s="106" t="str">
        <f t="shared" si="25"/>
        <v>#DIV/0!</v>
      </c>
      <c r="J40" s="117">
        <v>99.21</v>
      </c>
      <c r="K40" s="278">
        <v>12548.0</v>
      </c>
      <c r="L40" s="296"/>
      <c r="M40" s="118">
        <v>289.77</v>
      </c>
      <c r="N40" s="109">
        <f t="shared" si="20"/>
        <v>0.3423749871</v>
      </c>
      <c r="O40" s="110">
        <f t="shared" si="5"/>
        <v>2.920774116</v>
      </c>
      <c r="P40" s="109" t="str">
        <f t="shared" si="6"/>
        <v>#DIV/0!</v>
      </c>
      <c r="Q40" s="111" t="str">
        <f t="shared" si="7"/>
        <v>#DIV/0!</v>
      </c>
      <c r="R40" s="119">
        <f t="shared" si="29"/>
        <v>-289.77</v>
      </c>
      <c r="S40" s="113" t="str">
        <f t="shared" si="9"/>
        <v>#DIV/0!</v>
      </c>
      <c r="T40" s="114"/>
      <c r="U40" s="114"/>
      <c r="V40" s="114"/>
      <c r="W40" s="114"/>
      <c r="X40" s="115"/>
      <c r="Y40" s="98"/>
      <c r="Z40" s="98"/>
    </row>
    <row r="41" hidden="1" outlineLevel="1">
      <c r="A41" s="293"/>
      <c r="B41" s="116"/>
      <c r="C41" s="294" t="s">
        <v>72</v>
      </c>
      <c r="D41" s="298"/>
      <c r="E41" s="296"/>
      <c r="F41" s="296"/>
      <c r="G41" s="104" t="str">
        <f t="shared" si="23"/>
        <v>#DIV/0!</v>
      </c>
      <c r="H41" s="105" t="str">
        <f t="shared" si="24"/>
        <v>#DIV/0!</v>
      </c>
      <c r="I41" s="106" t="str">
        <f t="shared" si="25"/>
        <v>#DIV/0!</v>
      </c>
      <c r="J41" s="120">
        <v>408.49</v>
      </c>
      <c r="K41" s="278">
        <v>66262.0</v>
      </c>
      <c r="L41" s="296"/>
      <c r="M41" s="121">
        <v>1174.35</v>
      </c>
      <c r="N41" s="109">
        <f>(J41/M41)</f>
        <v>0.3478434879</v>
      </c>
      <c r="O41" s="110">
        <f t="shared" si="5"/>
        <v>2.874856178</v>
      </c>
      <c r="P41" s="109" t="str">
        <f t="shared" si="6"/>
        <v>#DIV/0!</v>
      </c>
      <c r="Q41" s="111" t="str">
        <f t="shared" si="7"/>
        <v>#DIV/0!</v>
      </c>
      <c r="R41" s="122">
        <f t="shared" si="29"/>
        <v>-1174.35</v>
      </c>
      <c r="S41" s="113" t="str">
        <f t="shared" si="9"/>
        <v>#DIV/0!</v>
      </c>
      <c r="T41" s="114"/>
      <c r="U41" s="114"/>
      <c r="V41" s="114"/>
      <c r="W41" s="114"/>
      <c r="X41" s="115"/>
      <c r="Y41" s="98"/>
      <c r="Z41" s="98"/>
    </row>
    <row r="42" hidden="1" outlineLevel="1">
      <c r="A42" s="293"/>
      <c r="B42" s="116"/>
      <c r="C42" s="294" t="s">
        <v>73</v>
      </c>
      <c r="D42" s="298"/>
      <c r="E42" s="296"/>
      <c r="F42" s="296"/>
      <c r="G42" s="104" t="str">
        <f t="shared" si="23"/>
        <v>#DIV/0!</v>
      </c>
      <c r="H42" s="105" t="str">
        <f t="shared" si="24"/>
        <v>#DIV/0!</v>
      </c>
      <c r="I42" s="106" t="str">
        <f t="shared" si="25"/>
        <v>#DIV/0!</v>
      </c>
      <c r="J42" s="120">
        <v>199.42</v>
      </c>
      <c r="K42" s="278">
        <v>37771.0</v>
      </c>
      <c r="L42" s="296"/>
      <c r="M42" s="121">
        <v>341.73</v>
      </c>
      <c r="N42" s="109">
        <f t="shared" ref="N42:N53" si="30">J42/M42</f>
        <v>0.5835601206</v>
      </c>
      <c r="O42" s="110">
        <f t="shared" si="5"/>
        <v>1.713619497</v>
      </c>
      <c r="P42" s="109" t="str">
        <f t="shared" si="6"/>
        <v>#DIV/0!</v>
      </c>
      <c r="Q42" s="111" t="str">
        <f t="shared" si="7"/>
        <v>#DIV/0!</v>
      </c>
      <c r="R42" s="122">
        <f t="shared" si="29"/>
        <v>-341.73</v>
      </c>
      <c r="S42" s="113" t="str">
        <f t="shared" si="9"/>
        <v>#DIV/0!</v>
      </c>
      <c r="T42" s="114"/>
      <c r="U42" s="114"/>
      <c r="V42" s="114"/>
      <c r="W42" s="114"/>
      <c r="X42" s="115"/>
      <c r="Y42" s="98"/>
      <c r="Z42" s="98"/>
    </row>
    <row r="43" hidden="1" outlineLevel="1">
      <c r="A43" s="293"/>
      <c r="B43" s="116"/>
      <c r="C43" s="294" t="s">
        <v>74</v>
      </c>
      <c r="D43" s="299"/>
      <c r="E43" s="296"/>
      <c r="F43" s="296"/>
      <c r="G43" s="104" t="str">
        <f t="shared" si="23"/>
        <v>#DIV/0!</v>
      </c>
      <c r="H43" s="105" t="str">
        <f t="shared" si="24"/>
        <v>#DIV/0!</v>
      </c>
      <c r="I43" s="106" t="str">
        <f t="shared" si="25"/>
        <v>#DIV/0!</v>
      </c>
      <c r="J43" s="300">
        <v>177.71</v>
      </c>
      <c r="K43" s="278">
        <v>12538.0</v>
      </c>
      <c r="L43" s="296"/>
      <c r="M43" s="300">
        <v>719.76</v>
      </c>
      <c r="N43" s="109">
        <f t="shared" si="30"/>
        <v>0.246901745</v>
      </c>
      <c r="O43" s="110">
        <f t="shared" si="5"/>
        <v>4.050194137</v>
      </c>
      <c r="P43" s="109" t="str">
        <f t="shared" si="6"/>
        <v>#DIV/0!</v>
      </c>
      <c r="Q43" s="111" t="str">
        <f t="shared" si="7"/>
        <v>#DIV/0!</v>
      </c>
      <c r="R43" s="122">
        <f t="shared" si="29"/>
        <v>-719.76</v>
      </c>
      <c r="S43" s="113" t="str">
        <f t="shared" si="9"/>
        <v>#DIV/0!</v>
      </c>
      <c r="T43" s="114"/>
      <c r="U43" s="114"/>
      <c r="V43" s="114"/>
      <c r="W43" s="114"/>
      <c r="X43" s="115"/>
      <c r="Y43" s="98"/>
      <c r="Z43" s="98"/>
    </row>
    <row r="44" hidden="1" outlineLevel="1">
      <c r="A44" s="293"/>
      <c r="B44" s="116"/>
      <c r="C44" s="294" t="s">
        <v>75</v>
      </c>
      <c r="D44" s="301"/>
      <c r="E44" s="296"/>
      <c r="F44" s="296"/>
      <c r="G44" s="104" t="str">
        <f t="shared" si="23"/>
        <v>#DIV/0!</v>
      </c>
      <c r="H44" s="105" t="str">
        <f t="shared" si="24"/>
        <v>#DIV/0!</v>
      </c>
      <c r="I44" s="106" t="str">
        <f t="shared" si="25"/>
        <v>#DIV/0!</v>
      </c>
      <c r="J44" s="302">
        <v>34.78</v>
      </c>
      <c r="K44" s="278">
        <v>6981.0</v>
      </c>
      <c r="L44" s="296"/>
      <c r="M44" s="303">
        <v>59.95</v>
      </c>
      <c r="N44" s="109">
        <f t="shared" si="30"/>
        <v>0.5801501251</v>
      </c>
      <c r="O44" s="110">
        <f t="shared" si="5"/>
        <v>1.723691777</v>
      </c>
      <c r="P44" s="109" t="str">
        <f t="shared" si="6"/>
        <v>#DIV/0!</v>
      </c>
      <c r="Q44" s="111" t="str">
        <f t="shared" si="7"/>
        <v>#DIV/0!</v>
      </c>
      <c r="R44" s="304">
        <f t="shared" si="29"/>
        <v>-59.95</v>
      </c>
      <c r="S44" s="113" t="str">
        <f t="shared" si="9"/>
        <v>#DIV/0!</v>
      </c>
      <c r="T44" s="114"/>
      <c r="U44" s="114"/>
      <c r="V44" s="114"/>
      <c r="W44" s="114"/>
      <c r="X44" s="115"/>
      <c r="Y44" s="98"/>
      <c r="Z44" s="98"/>
    </row>
    <row r="45" hidden="1" outlineLevel="1">
      <c r="A45" s="293"/>
      <c r="B45" s="116"/>
      <c r="C45" s="294" t="s">
        <v>76</v>
      </c>
      <c r="D45" s="298"/>
      <c r="E45" s="296"/>
      <c r="F45" s="296"/>
      <c r="G45" s="104" t="str">
        <f t="shared" si="23"/>
        <v>#DIV/0!</v>
      </c>
      <c r="H45" s="105" t="str">
        <f t="shared" si="24"/>
        <v>#DIV/0!</v>
      </c>
      <c r="I45" s="106" t="str">
        <f t="shared" si="25"/>
        <v>#DIV/0!</v>
      </c>
      <c r="J45" s="120">
        <v>769.05</v>
      </c>
      <c r="K45" s="278">
        <v>33201.0</v>
      </c>
      <c r="L45" s="296"/>
      <c r="M45" s="121">
        <v>1987.46</v>
      </c>
      <c r="N45" s="109">
        <f t="shared" si="30"/>
        <v>0.3869511839</v>
      </c>
      <c r="O45" s="110">
        <f t="shared" si="5"/>
        <v>2.584305312</v>
      </c>
      <c r="P45" s="109" t="str">
        <f t="shared" si="6"/>
        <v>#DIV/0!</v>
      </c>
      <c r="Q45" s="111" t="str">
        <f t="shared" si="7"/>
        <v>#DIV/0!</v>
      </c>
      <c r="R45" s="122">
        <f t="shared" si="29"/>
        <v>-1987.46</v>
      </c>
      <c r="S45" s="113" t="str">
        <f t="shared" si="9"/>
        <v>#DIV/0!</v>
      </c>
      <c r="T45" s="114"/>
      <c r="U45" s="114"/>
      <c r="V45" s="114"/>
      <c r="W45" s="114"/>
      <c r="X45" s="115"/>
      <c r="Y45" s="98"/>
      <c r="Z45" s="98"/>
    </row>
    <row r="46" hidden="1" outlineLevel="1">
      <c r="A46" s="293"/>
      <c r="B46" s="99" t="s">
        <v>37</v>
      </c>
      <c r="C46" s="294" t="s">
        <v>77</v>
      </c>
      <c r="D46" s="305"/>
      <c r="E46" s="296"/>
      <c r="F46" s="296"/>
      <c r="G46" s="104" t="str">
        <f t="shared" si="23"/>
        <v>#DIV/0!</v>
      </c>
      <c r="H46" s="105" t="str">
        <f t="shared" si="24"/>
        <v>#DIV/0!</v>
      </c>
      <c r="I46" s="106" t="str">
        <f t="shared" si="25"/>
        <v>#DIV/0!</v>
      </c>
      <c r="J46" s="123">
        <v>367.79</v>
      </c>
      <c r="K46" s="278">
        <v>12648.0</v>
      </c>
      <c r="L46" s="296"/>
      <c r="M46" s="124">
        <v>880.74</v>
      </c>
      <c r="N46" s="109">
        <f t="shared" si="30"/>
        <v>0.4175920249</v>
      </c>
      <c r="O46" s="110">
        <f t="shared" si="5"/>
        <v>2.394681748</v>
      </c>
      <c r="P46" s="109" t="str">
        <f t="shared" si="6"/>
        <v>#DIV/0!</v>
      </c>
      <c r="Q46" s="111" t="str">
        <f t="shared" si="7"/>
        <v>#DIV/0!</v>
      </c>
      <c r="R46" s="125">
        <f t="shared" si="29"/>
        <v>-880.74</v>
      </c>
      <c r="S46" s="113" t="str">
        <f t="shared" si="9"/>
        <v>#DIV/0!</v>
      </c>
      <c r="T46" s="114"/>
      <c r="U46" s="114"/>
      <c r="V46" s="114"/>
      <c r="W46" s="114"/>
      <c r="X46" s="115"/>
      <c r="Y46" s="98"/>
      <c r="Z46" s="98"/>
    </row>
    <row r="47" hidden="1" outlineLevel="1">
      <c r="A47" s="293"/>
      <c r="B47" s="116"/>
      <c r="C47" s="294" t="s">
        <v>78</v>
      </c>
      <c r="D47" s="306"/>
      <c r="E47" s="296"/>
      <c r="F47" s="296"/>
      <c r="G47" s="104" t="str">
        <f t="shared" si="23"/>
        <v>#DIV/0!</v>
      </c>
      <c r="H47" s="105" t="str">
        <f t="shared" si="24"/>
        <v>#DIV/0!</v>
      </c>
      <c r="I47" s="106" t="str">
        <f t="shared" si="25"/>
        <v>#DIV/0!</v>
      </c>
      <c r="J47" s="126">
        <v>368.21</v>
      </c>
      <c r="K47" s="278">
        <v>38567.0</v>
      </c>
      <c r="L47" s="296"/>
      <c r="M47" s="127">
        <v>0.0</v>
      </c>
      <c r="N47" s="109" t="str">
        <f t="shared" si="30"/>
        <v>#DIV/0!</v>
      </c>
      <c r="O47" s="110">
        <f t="shared" si="5"/>
        <v>0</v>
      </c>
      <c r="P47" s="109" t="str">
        <f t="shared" si="6"/>
        <v>#DIV/0!</v>
      </c>
      <c r="Q47" s="111" t="str">
        <f t="shared" si="7"/>
        <v>#DIV/0!</v>
      </c>
      <c r="R47" s="128">
        <f t="shared" si="29"/>
        <v>0</v>
      </c>
      <c r="S47" s="113" t="str">
        <f t="shared" si="9"/>
        <v>#DIV/0!</v>
      </c>
      <c r="T47" s="114"/>
      <c r="U47" s="114"/>
      <c r="V47" s="114"/>
      <c r="W47" s="114"/>
      <c r="X47" s="115"/>
      <c r="Y47" s="98"/>
      <c r="Z47" s="98"/>
    </row>
    <row r="48" hidden="1" outlineLevel="1">
      <c r="A48" s="293"/>
      <c r="B48" s="116"/>
      <c r="C48" s="294" t="s">
        <v>79</v>
      </c>
      <c r="D48" s="307"/>
      <c r="E48" s="296"/>
      <c r="F48" s="296"/>
      <c r="G48" s="104" t="str">
        <f t="shared" si="23"/>
        <v>#DIV/0!</v>
      </c>
      <c r="H48" s="105" t="str">
        <f t="shared" si="24"/>
        <v>#DIV/0!</v>
      </c>
      <c r="I48" s="106" t="str">
        <f t="shared" si="25"/>
        <v>#DIV/0!</v>
      </c>
      <c r="J48" s="129">
        <v>129.94</v>
      </c>
      <c r="K48" s="278">
        <v>21209.0</v>
      </c>
      <c r="L48" s="296"/>
      <c r="M48" s="130">
        <v>369.6</v>
      </c>
      <c r="N48" s="109">
        <f t="shared" si="30"/>
        <v>0.3515692641</v>
      </c>
      <c r="O48" s="110">
        <f t="shared" si="5"/>
        <v>2.844389718</v>
      </c>
      <c r="P48" s="109" t="str">
        <f t="shared" si="6"/>
        <v>#DIV/0!</v>
      </c>
      <c r="Q48" s="111" t="str">
        <f t="shared" si="7"/>
        <v>#DIV/0!</v>
      </c>
      <c r="R48" s="131">
        <f t="shared" si="29"/>
        <v>-369.6</v>
      </c>
      <c r="S48" s="113" t="str">
        <f t="shared" si="9"/>
        <v>#DIV/0!</v>
      </c>
      <c r="T48" s="114"/>
      <c r="U48" s="114"/>
      <c r="V48" s="114"/>
      <c r="W48" s="114"/>
      <c r="X48" s="115"/>
      <c r="Y48" s="98"/>
      <c r="Z48" s="98"/>
    </row>
    <row r="49" hidden="1" outlineLevel="1">
      <c r="A49" s="293"/>
      <c r="B49" s="116"/>
      <c r="C49" s="294" t="s">
        <v>80</v>
      </c>
      <c r="D49" s="307"/>
      <c r="E49" s="296"/>
      <c r="F49" s="296"/>
      <c r="G49" s="308"/>
      <c r="H49" s="102"/>
      <c r="I49" s="309"/>
      <c r="J49" s="135">
        <v>449.36</v>
      </c>
      <c r="K49" s="278">
        <v>44217.0</v>
      </c>
      <c r="L49" s="296"/>
      <c r="M49" s="136">
        <v>1479.7</v>
      </c>
      <c r="N49" s="109">
        <f t="shared" si="30"/>
        <v>0.303683179</v>
      </c>
      <c r="O49" s="110">
        <f t="shared" si="5"/>
        <v>3.292905466</v>
      </c>
      <c r="P49" s="109" t="str">
        <f t="shared" si="6"/>
        <v>#DIV/0!</v>
      </c>
      <c r="Q49" s="111" t="str">
        <f t="shared" si="7"/>
        <v>#DIV/0!</v>
      </c>
      <c r="R49" s="137">
        <f t="shared" si="29"/>
        <v>-1479.7</v>
      </c>
      <c r="S49" s="113" t="str">
        <f t="shared" si="9"/>
        <v>#DIV/0!</v>
      </c>
      <c r="T49" s="114"/>
      <c r="U49" s="114"/>
      <c r="V49" s="114"/>
      <c r="W49" s="114"/>
      <c r="X49" s="115"/>
      <c r="Y49" s="98"/>
      <c r="Z49" s="98"/>
    </row>
    <row r="50" hidden="1" outlineLevel="1">
      <c r="A50" s="310" t="str">
        <f t="shared" ref="A50:A51" si="31">iferror(if(B50&gt;0,month(B50)&amp;"-"&amp;year(B50),B50),)</f>
        <v>1-2026</v>
      </c>
      <c r="B50" s="99">
        <v>46032.0</v>
      </c>
      <c r="C50" s="294" t="s">
        <v>81</v>
      </c>
      <c r="D50" s="311"/>
      <c r="E50" s="296"/>
      <c r="F50" s="296"/>
      <c r="G50" s="104" t="str">
        <f t="shared" ref="G50:G61" si="33">E50/F50</f>
        <v>#DIV/0!</v>
      </c>
      <c r="H50" s="105" t="str">
        <f t="shared" ref="H50:H61" si="34">D50/E50</f>
        <v>#DIV/0!</v>
      </c>
      <c r="I50" s="106" t="str">
        <f t="shared" ref="I50:I61" si="35">H50/G50</f>
        <v>#DIV/0!</v>
      </c>
      <c r="J50" s="117">
        <v>0.0</v>
      </c>
      <c r="K50" s="278">
        <v>0.0</v>
      </c>
      <c r="L50" s="296"/>
      <c r="M50" s="118">
        <v>0.0</v>
      </c>
      <c r="N50" s="109" t="str">
        <f t="shared" si="30"/>
        <v>#DIV/0!</v>
      </c>
      <c r="O50" s="110" t="str">
        <f t="shared" si="5"/>
        <v>#DIV/0!</v>
      </c>
      <c r="P50" s="109" t="str">
        <f t="shared" si="6"/>
        <v>#DIV/0!</v>
      </c>
      <c r="Q50" s="111" t="str">
        <f t="shared" si="7"/>
        <v>#DIV/0!</v>
      </c>
      <c r="R50" s="112">
        <f t="shared" si="29"/>
        <v>0</v>
      </c>
      <c r="S50" s="113" t="str">
        <f t="shared" si="9"/>
        <v>#DIV/0!</v>
      </c>
      <c r="T50" s="114"/>
      <c r="U50" s="114"/>
      <c r="V50" s="114"/>
      <c r="W50" s="114"/>
      <c r="X50" s="115"/>
      <c r="Y50" s="98"/>
      <c r="Z50" s="98"/>
    </row>
    <row r="51" collapsed="1">
      <c r="A51" s="293" t="str">
        <f t="shared" si="31"/>
        <v/>
      </c>
      <c r="B51" s="149" t="s">
        <v>52</v>
      </c>
      <c r="C51" s="312"/>
      <c r="D51" s="151">
        <f t="shared" ref="D51:F51" si="32">SUM(D39:D50)</f>
        <v>0</v>
      </c>
      <c r="E51" s="153">
        <f t="shared" si="32"/>
        <v>0</v>
      </c>
      <c r="F51" s="153">
        <f t="shared" si="32"/>
        <v>0</v>
      </c>
      <c r="G51" s="154" t="str">
        <f t="shared" si="33"/>
        <v>#DIV/0!</v>
      </c>
      <c r="H51" s="155" t="str">
        <f t="shared" si="34"/>
        <v>#DIV/0!</v>
      </c>
      <c r="I51" s="156" t="str">
        <f t="shared" si="35"/>
        <v>#DIV/0!</v>
      </c>
      <c r="J51" s="151">
        <f t="shared" ref="J51:M51" si="36">SUM(J39:J50)</f>
        <v>3928.22</v>
      </c>
      <c r="K51" s="313">
        <f t="shared" si="36"/>
        <v>378860</v>
      </c>
      <c r="L51" s="153">
        <f t="shared" si="36"/>
        <v>0</v>
      </c>
      <c r="M51" s="157">
        <f t="shared" si="36"/>
        <v>9667.5</v>
      </c>
      <c r="N51" s="158">
        <f t="shared" si="30"/>
        <v>0.4063325575</v>
      </c>
      <c r="O51" s="159">
        <f t="shared" si="5"/>
        <v>2.461038333</v>
      </c>
      <c r="P51" s="158" t="str">
        <f t="shared" si="6"/>
        <v>#DIV/0!</v>
      </c>
      <c r="Q51" s="160" t="str">
        <f t="shared" si="7"/>
        <v>#DIV/0!</v>
      </c>
      <c r="R51" s="161">
        <f>SUM(R39:R50)</f>
        <v>-9667.5</v>
      </c>
      <c r="S51" s="162" t="str">
        <f t="shared" si="9"/>
        <v>#DIV/0!</v>
      </c>
      <c r="T51" s="164" t="str">
        <f t="shared" ref="T51:U51" si="37">IFERROR((D51-#REF!)/D51,)</f>
        <v/>
      </c>
      <c r="U51" s="164" t="str">
        <f t="shared" si="37"/>
        <v/>
      </c>
      <c r="V51" s="164" t="str">
        <f t="shared" ref="V51:W51" si="38">IFERROR((D51-#REF!)/D51, )</f>
        <v/>
      </c>
      <c r="W51" s="164" t="str">
        <f t="shared" si="38"/>
        <v/>
      </c>
      <c r="X51" s="98"/>
      <c r="Y51" s="98"/>
      <c r="Z51" s="98"/>
    </row>
    <row r="52" hidden="1" outlineLevel="1">
      <c r="A52" s="293"/>
      <c r="B52" s="99">
        <v>46033.0</v>
      </c>
      <c r="C52" s="294" t="s">
        <v>70</v>
      </c>
      <c r="D52" s="295"/>
      <c r="E52" s="296"/>
      <c r="F52" s="296"/>
      <c r="G52" s="104" t="str">
        <f t="shared" si="33"/>
        <v>#DIV/0!</v>
      </c>
      <c r="H52" s="105" t="str">
        <f t="shared" si="34"/>
        <v>#DIV/0!</v>
      </c>
      <c r="I52" s="106" t="str">
        <f t="shared" si="35"/>
        <v>#DIV/0!</v>
      </c>
      <c r="J52" s="107">
        <v>736.7</v>
      </c>
      <c r="K52" s="278">
        <v>80068.0</v>
      </c>
      <c r="L52" s="296"/>
      <c r="M52" s="108">
        <v>156.9</v>
      </c>
      <c r="N52" s="109">
        <f t="shared" si="30"/>
        <v>4.695347355</v>
      </c>
      <c r="O52" s="110">
        <f t="shared" si="5"/>
        <v>0.2129767884</v>
      </c>
      <c r="P52" s="109" t="str">
        <f t="shared" si="6"/>
        <v>#DIV/0!</v>
      </c>
      <c r="Q52" s="111" t="str">
        <f t="shared" si="7"/>
        <v>#DIV/0!</v>
      </c>
      <c r="R52" s="112">
        <f t="shared" ref="R52:R63" si="39">D52-M52</f>
        <v>-156.9</v>
      </c>
      <c r="S52" s="113" t="str">
        <f t="shared" si="9"/>
        <v>#DIV/0!</v>
      </c>
      <c r="T52" s="114"/>
      <c r="U52" s="114"/>
      <c r="V52" s="114"/>
      <c r="W52" s="114"/>
      <c r="X52" s="115"/>
      <c r="Y52" s="98"/>
      <c r="Z52" s="98"/>
    </row>
    <row r="53" hidden="1" outlineLevel="1">
      <c r="A53" s="293"/>
      <c r="B53" s="116"/>
      <c r="C53" s="294" t="s">
        <v>71</v>
      </c>
      <c r="D53" s="297"/>
      <c r="E53" s="296"/>
      <c r="F53" s="296"/>
      <c r="G53" s="104" t="str">
        <f t="shared" si="33"/>
        <v>#DIV/0!</v>
      </c>
      <c r="H53" s="105" t="str">
        <f t="shared" si="34"/>
        <v>#DIV/0!</v>
      </c>
      <c r="I53" s="106" t="str">
        <f t="shared" si="35"/>
        <v>#DIV/0!</v>
      </c>
      <c r="J53" s="117">
        <v>96.57</v>
      </c>
      <c r="K53" s="278">
        <v>12707.0</v>
      </c>
      <c r="L53" s="296"/>
      <c r="M53" s="118">
        <v>489.6</v>
      </c>
      <c r="N53" s="109">
        <f t="shared" si="30"/>
        <v>0.1972426471</v>
      </c>
      <c r="O53" s="110">
        <f t="shared" si="5"/>
        <v>5.069897484</v>
      </c>
      <c r="P53" s="109" t="str">
        <f t="shared" si="6"/>
        <v>#DIV/0!</v>
      </c>
      <c r="Q53" s="111" t="str">
        <f t="shared" si="7"/>
        <v>#DIV/0!</v>
      </c>
      <c r="R53" s="119">
        <f t="shared" si="39"/>
        <v>-489.6</v>
      </c>
      <c r="S53" s="113" t="str">
        <f t="shared" si="9"/>
        <v>#DIV/0!</v>
      </c>
      <c r="T53" s="114"/>
      <c r="U53" s="114"/>
      <c r="V53" s="114"/>
      <c r="W53" s="114"/>
      <c r="X53" s="115"/>
      <c r="Y53" s="98"/>
      <c r="Z53" s="98"/>
    </row>
    <row r="54" hidden="1" outlineLevel="1">
      <c r="A54" s="293"/>
      <c r="B54" s="116"/>
      <c r="C54" s="294" t="s">
        <v>72</v>
      </c>
      <c r="D54" s="298"/>
      <c r="E54" s="296"/>
      <c r="F54" s="296"/>
      <c r="G54" s="104" t="str">
        <f t="shared" si="33"/>
        <v>#DIV/0!</v>
      </c>
      <c r="H54" s="105" t="str">
        <f t="shared" si="34"/>
        <v>#DIV/0!</v>
      </c>
      <c r="I54" s="106" t="str">
        <f t="shared" si="35"/>
        <v>#DIV/0!</v>
      </c>
      <c r="J54" s="120">
        <v>320.23</v>
      </c>
      <c r="K54" s="278">
        <v>63070.0</v>
      </c>
      <c r="L54" s="296"/>
      <c r="M54" s="121">
        <v>1010.85</v>
      </c>
      <c r="N54" s="109">
        <f>(J54/M54)</f>
        <v>0.3167927981</v>
      </c>
      <c r="O54" s="110">
        <f t="shared" si="5"/>
        <v>3.156637417</v>
      </c>
      <c r="P54" s="109" t="str">
        <f t="shared" si="6"/>
        <v>#DIV/0!</v>
      </c>
      <c r="Q54" s="111" t="str">
        <f t="shared" si="7"/>
        <v>#DIV/0!</v>
      </c>
      <c r="R54" s="122">
        <f t="shared" si="39"/>
        <v>-1010.85</v>
      </c>
      <c r="S54" s="113" t="str">
        <f t="shared" si="9"/>
        <v>#DIV/0!</v>
      </c>
      <c r="T54" s="114"/>
      <c r="U54" s="114"/>
      <c r="V54" s="114"/>
      <c r="W54" s="114"/>
      <c r="X54" s="115"/>
      <c r="Y54" s="98"/>
      <c r="Z54" s="98"/>
    </row>
    <row r="55" hidden="1" outlineLevel="1">
      <c r="A55" s="293"/>
      <c r="B55" s="116"/>
      <c r="C55" s="294" t="s">
        <v>73</v>
      </c>
      <c r="D55" s="298"/>
      <c r="E55" s="296"/>
      <c r="F55" s="296"/>
      <c r="G55" s="104" t="str">
        <f t="shared" si="33"/>
        <v>#DIV/0!</v>
      </c>
      <c r="H55" s="105" t="str">
        <f t="shared" si="34"/>
        <v>#DIV/0!</v>
      </c>
      <c r="I55" s="106" t="str">
        <f t="shared" si="35"/>
        <v>#DIV/0!</v>
      </c>
      <c r="J55" s="120">
        <v>539.59</v>
      </c>
      <c r="K55" s="278">
        <v>59054.0</v>
      </c>
      <c r="L55" s="296"/>
      <c r="M55" s="121">
        <v>608.5</v>
      </c>
      <c r="N55" s="109">
        <f t="shared" ref="N55:N66" si="40">J55/M55</f>
        <v>0.8867543139</v>
      </c>
      <c r="O55" s="110">
        <f t="shared" si="5"/>
        <v>1.127708075</v>
      </c>
      <c r="P55" s="109" t="str">
        <f t="shared" si="6"/>
        <v>#DIV/0!</v>
      </c>
      <c r="Q55" s="111" t="str">
        <f t="shared" si="7"/>
        <v>#DIV/0!</v>
      </c>
      <c r="R55" s="122">
        <f t="shared" si="39"/>
        <v>-608.5</v>
      </c>
      <c r="S55" s="113" t="str">
        <f t="shared" si="9"/>
        <v>#DIV/0!</v>
      </c>
      <c r="T55" s="114"/>
      <c r="U55" s="114"/>
      <c r="V55" s="114"/>
      <c r="W55" s="114"/>
      <c r="X55" s="115"/>
      <c r="Y55" s="98"/>
      <c r="Z55" s="98"/>
    </row>
    <row r="56" hidden="1" outlineLevel="1">
      <c r="A56" s="293"/>
      <c r="B56" s="116"/>
      <c r="C56" s="294" t="s">
        <v>74</v>
      </c>
      <c r="D56" s="299"/>
      <c r="E56" s="296"/>
      <c r="F56" s="296"/>
      <c r="G56" s="104" t="str">
        <f t="shared" si="33"/>
        <v>#DIV/0!</v>
      </c>
      <c r="H56" s="105" t="str">
        <f t="shared" si="34"/>
        <v>#DIV/0!</v>
      </c>
      <c r="I56" s="106" t="str">
        <f t="shared" si="35"/>
        <v>#DIV/0!</v>
      </c>
      <c r="J56" s="300">
        <v>109.83</v>
      </c>
      <c r="K56" s="278">
        <v>9248.0</v>
      </c>
      <c r="L56" s="296"/>
      <c r="M56" s="300">
        <v>599.8</v>
      </c>
      <c r="N56" s="109">
        <f t="shared" si="40"/>
        <v>0.183111037</v>
      </c>
      <c r="O56" s="110">
        <f t="shared" si="5"/>
        <v>5.461167258</v>
      </c>
      <c r="P56" s="109" t="str">
        <f t="shared" si="6"/>
        <v>#DIV/0!</v>
      </c>
      <c r="Q56" s="111" t="str">
        <f t="shared" si="7"/>
        <v>#DIV/0!</v>
      </c>
      <c r="R56" s="122">
        <f t="shared" si="39"/>
        <v>-599.8</v>
      </c>
      <c r="S56" s="113" t="str">
        <f t="shared" si="9"/>
        <v>#DIV/0!</v>
      </c>
      <c r="T56" s="114"/>
      <c r="U56" s="114"/>
      <c r="V56" s="114"/>
      <c r="W56" s="114"/>
      <c r="X56" s="115"/>
      <c r="Y56" s="98"/>
      <c r="Z56" s="98"/>
    </row>
    <row r="57" hidden="1" outlineLevel="1">
      <c r="A57" s="293"/>
      <c r="B57" s="116"/>
      <c r="C57" s="294" t="s">
        <v>75</v>
      </c>
      <c r="D57" s="301"/>
      <c r="E57" s="296"/>
      <c r="F57" s="296"/>
      <c r="G57" s="104" t="str">
        <f t="shared" si="33"/>
        <v>#DIV/0!</v>
      </c>
      <c r="H57" s="105" t="str">
        <f t="shared" si="34"/>
        <v>#DIV/0!</v>
      </c>
      <c r="I57" s="106" t="str">
        <f t="shared" si="35"/>
        <v>#DIV/0!</v>
      </c>
      <c r="J57" s="302">
        <v>102.44</v>
      </c>
      <c r="K57" s="278">
        <v>15319.0</v>
      </c>
      <c r="L57" s="296"/>
      <c r="M57" s="303">
        <v>59.95</v>
      </c>
      <c r="N57" s="109">
        <f t="shared" si="40"/>
        <v>1.708757298</v>
      </c>
      <c r="O57" s="110">
        <f t="shared" si="5"/>
        <v>0.5852206169</v>
      </c>
      <c r="P57" s="109" t="str">
        <f t="shared" si="6"/>
        <v>#DIV/0!</v>
      </c>
      <c r="Q57" s="111" t="str">
        <f t="shared" si="7"/>
        <v>#DIV/0!</v>
      </c>
      <c r="R57" s="304">
        <f t="shared" si="39"/>
        <v>-59.95</v>
      </c>
      <c r="S57" s="113" t="str">
        <f t="shared" si="9"/>
        <v>#DIV/0!</v>
      </c>
      <c r="T57" s="114"/>
      <c r="U57" s="114"/>
      <c r="V57" s="114"/>
      <c r="W57" s="114"/>
      <c r="X57" s="115"/>
      <c r="Y57" s="98"/>
      <c r="Z57" s="98"/>
    </row>
    <row r="58" hidden="1" outlineLevel="1">
      <c r="A58" s="293"/>
      <c r="B58" s="116"/>
      <c r="C58" s="294" t="s">
        <v>76</v>
      </c>
      <c r="D58" s="298"/>
      <c r="E58" s="296"/>
      <c r="F58" s="296"/>
      <c r="G58" s="104" t="str">
        <f t="shared" si="33"/>
        <v>#DIV/0!</v>
      </c>
      <c r="H58" s="105" t="str">
        <f t="shared" si="34"/>
        <v>#DIV/0!</v>
      </c>
      <c r="I58" s="106" t="str">
        <f t="shared" si="35"/>
        <v>#DIV/0!</v>
      </c>
      <c r="J58" s="120">
        <v>599.47</v>
      </c>
      <c r="K58" s="278">
        <v>30432.0</v>
      </c>
      <c r="L58" s="296"/>
      <c r="M58" s="121">
        <v>1656.64</v>
      </c>
      <c r="N58" s="109">
        <f t="shared" si="40"/>
        <v>0.3618589434</v>
      </c>
      <c r="O58" s="110">
        <f t="shared" si="5"/>
        <v>2.763507765</v>
      </c>
      <c r="P58" s="109" t="str">
        <f t="shared" si="6"/>
        <v>#DIV/0!</v>
      </c>
      <c r="Q58" s="111" t="str">
        <f t="shared" si="7"/>
        <v>#DIV/0!</v>
      </c>
      <c r="R58" s="122">
        <f t="shared" si="39"/>
        <v>-1656.64</v>
      </c>
      <c r="S58" s="113" t="str">
        <f t="shared" si="9"/>
        <v>#DIV/0!</v>
      </c>
      <c r="T58" s="114"/>
      <c r="U58" s="114"/>
      <c r="V58" s="114"/>
      <c r="W58" s="114"/>
      <c r="X58" s="115"/>
      <c r="Y58" s="98"/>
      <c r="Z58" s="98"/>
    </row>
    <row r="59" hidden="1" outlineLevel="1">
      <c r="A59" s="293"/>
      <c r="B59" s="99" t="s">
        <v>37</v>
      </c>
      <c r="C59" s="294" t="s">
        <v>77</v>
      </c>
      <c r="D59" s="305"/>
      <c r="E59" s="296"/>
      <c r="F59" s="296"/>
      <c r="G59" s="104" t="str">
        <f t="shared" si="33"/>
        <v>#DIV/0!</v>
      </c>
      <c r="H59" s="105" t="str">
        <f t="shared" si="34"/>
        <v>#DIV/0!</v>
      </c>
      <c r="I59" s="106" t="str">
        <f t="shared" si="35"/>
        <v>#DIV/0!</v>
      </c>
      <c r="J59" s="123">
        <v>490.26</v>
      </c>
      <c r="K59" s="278">
        <v>13467.0</v>
      </c>
      <c r="L59" s="296"/>
      <c r="M59" s="124">
        <v>559.8</v>
      </c>
      <c r="N59" s="109">
        <f t="shared" si="40"/>
        <v>0.8757770632</v>
      </c>
      <c r="O59" s="110">
        <f t="shared" si="5"/>
        <v>1.141843104</v>
      </c>
      <c r="P59" s="109" t="str">
        <f t="shared" si="6"/>
        <v>#DIV/0!</v>
      </c>
      <c r="Q59" s="111" t="str">
        <f t="shared" si="7"/>
        <v>#DIV/0!</v>
      </c>
      <c r="R59" s="125">
        <f t="shared" si="39"/>
        <v>-559.8</v>
      </c>
      <c r="S59" s="113" t="str">
        <f t="shared" si="9"/>
        <v>#DIV/0!</v>
      </c>
      <c r="T59" s="114"/>
      <c r="U59" s="114"/>
      <c r="V59" s="114"/>
      <c r="W59" s="114"/>
      <c r="X59" s="115"/>
      <c r="Y59" s="98"/>
      <c r="Z59" s="98"/>
    </row>
    <row r="60" hidden="1" outlineLevel="1">
      <c r="A60" s="293"/>
      <c r="B60" s="116"/>
      <c r="C60" s="294" t="s">
        <v>78</v>
      </c>
      <c r="D60" s="306"/>
      <c r="E60" s="296"/>
      <c r="F60" s="296"/>
      <c r="G60" s="104" t="str">
        <f t="shared" si="33"/>
        <v>#DIV/0!</v>
      </c>
      <c r="H60" s="105" t="str">
        <f t="shared" si="34"/>
        <v>#DIV/0!</v>
      </c>
      <c r="I60" s="106" t="str">
        <f t="shared" si="35"/>
        <v>#DIV/0!</v>
      </c>
      <c r="J60" s="126">
        <v>142.95</v>
      </c>
      <c r="K60" s="278">
        <v>23662.0</v>
      </c>
      <c r="L60" s="296"/>
      <c r="M60" s="127">
        <v>0.0</v>
      </c>
      <c r="N60" s="109" t="str">
        <f t="shared" si="40"/>
        <v>#DIV/0!</v>
      </c>
      <c r="O60" s="110">
        <f t="shared" si="5"/>
        <v>0</v>
      </c>
      <c r="P60" s="109" t="str">
        <f t="shared" si="6"/>
        <v>#DIV/0!</v>
      </c>
      <c r="Q60" s="111" t="str">
        <f t="shared" si="7"/>
        <v>#DIV/0!</v>
      </c>
      <c r="R60" s="128">
        <f t="shared" si="39"/>
        <v>0</v>
      </c>
      <c r="S60" s="113" t="str">
        <f t="shared" si="9"/>
        <v>#DIV/0!</v>
      </c>
      <c r="T60" s="114"/>
      <c r="U60" s="114"/>
      <c r="V60" s="114"/>
      <c r="W60" s="114"/>
      <c r="X60" s="115"/>
      <c r="Y60" s="98"/>
      <c r="Z60" s="98"/>
    </row>
    <row r="61" hidden="1" outlineLevel="1">
      <c r="A61" s="293"/>
      <c r="B61" s="116"/>
      <c r="C61" s="294" t="s">
        <v>79</v>
      </c>
      <c r="D61" s="307"/>
      <c r="E61" s="296"/>
      <c r="F61" s="296"/>
      <c r="G61" s="104" t="str">
        <f t="shared" si="33"/>
        <v>#DIV/0!</v>
      </c>
      <c r="H61" s="105" t="str">
        <f t="shared" si="34"/>
        <v>#DIV/0!</v>
      </c>
      <c r="I61" s="106" t="str">
        <f t="shared" si="35"/>
        <v>#DIV/0!</v>
      </c>
      <c r="J61" s="129">
        <v>205.96</v>
      </c>
      <c r="K61" s="278">
        <v>29503.0</v>
      </c>
      <c r="L61" s="296"/>
      <c r="M61" s="130">
        <v>290.33</v>
      </c>
      <c r="N61" s="109">
        <f t="shared" si="40"/>
        <v>0.7093996487</v>
      </c>
      <c r="O61" s="110">
        <f t="shared" si="5"/>
        <v>1.409642649</v>
      </c>
      <c r="P61" s="109" t="str">
        <f t="shared" si="6"/>
        <v>#DIV/0!</v>
      </c>
      <c r="Q61" s="111" t="str">
        <f t="shared" si="7"/>
        <v>#DIV/0!</v>
      </c>
      <c r="R61" s="131">
        <f t="shared" si="39"/>
        <v>-290.33</v>
      </c>
      <c r="S61" s="113" t="str">
        <f t="shared" si="9"/>
        <v>#DIV/0!</v>
      </c>
      <c r="T61" s="114"/>
      <c r="U61" s="114"/>
      <c r="V61" s="114"/>
      <c r="W61" s="114"/>
      <c r="X61" s="115"/>
      <c r="Y61" s="98"/>
      <c r="Z61" s="98"/>
    </row>
    <row r="62" hidden="1" outlineLevel="1">
      <c r="A62" s="293"/>
      <c r="B62" s="116"/>
      <c r="C62" s="294" t="s">
        <v>80</v>
      </c>
      <c r="D62" s="307"/>
      <c r="E62" s="296"/>
      <c r="F62" s="296"/>
      <c r="G62" s="308"/>
      <c r="H62" s="102"/>
      <c r="I62" s="309"/>
      <c r="J62" s="135">
        <v>460.72</v>
      </c>
      <c r="K62" s="278">
        <v>45334.0</v>
      </c>
      <c r="L62" s="296"/>
      <c r="M62" s="136">
        <v>1279.7</v>
      </c>
      <c r="N62" s="109">
        <f t="shared" si="40"/>
        <v>0.3600218801</v>
      </c>
      <c r="O62" s="110">
        <f t="shared" si="5"/>
        <v>2.77760896</v>
      </c>
      <c r="P62" s="109" t="str">
        <f t="shared" si="6"/>
        <v>#DIV/0!</v>
      </c>
      <c r="Q62" s="111" t="str">
        <f t="shared" si="7"/>
        <v>#DIV/0!</v>
      </c>
      <c r="R62" s="137">
        <f t="shared" si="39"/>
        <v>-1279.7</v>
      </c>
      <c r="S62" s="113" t="str">
        <f t="shared" si="9"/>
        <v>#DIV/0!</v>
      </c>
      <c r="T62" s="114"/>
      <c r="U62" s="114"/>
      <c r="V62" s="114"/>
      <c r="W62" s="114"/>
      <c r="X62" s="115"/>
      <c r="Y62" s="98"/>
      <c r="Z62" s="98"/>
    </row>
    <row r="63" hidden="1" outlineLevel="1">
      <c r="A63" s="310" t="str">
        <f t="shared" ref="A63:A64" si="41">iferror(if(B63&gt;0,month(B63)&amp;"-"&amp;year(B63),B63),)</f>
        <v>1-2026</v>
      </c>
      <c r="B63" s="99">
        <v>46039.0</v>
      </c>
      <c r="C63" s="294" t="s">
        <v>81</v>
      </c>
      <c r="D63" s="311"/>
      <c r="E63" s="296"/>
      <c r="F63" s="296"/>
      <c r="G63" s="104" t="str">
        <f t="shared" ref="G63:G199" si="43">E63/F63</f>
        <v>#DIV/0!</v>
      </c>
      <c r="H63" s="105" t="str">
        <f t="shared" ref="H63:H199" si="44">D63/E63</f>
        <v>#DIV/0!</v>
      </c>
      <c r="I63" s="106" t="str">
        <f t="shared" ref="I63:I199" si="45">H63/G63</f>
        <v>#DIV/0!</v>
      </c>
      <c r="J63" s="117">
        <v>0.0</v>
      </c>
      <c r="K63" s="278">
        <v>0.0</v>
      </c>
      <c r="L63" s="296"/>
      <c r="M63" s="118">
        <v>0.0</v>
      </c>
      <c r="N63" s="109" t="str">
        <f t="shared" si="40"/>
        <v>#DIV/0!</v>
      </c>
      <c r="O63" s="110" t="str">
        <f t="shared" si="5"/>
        <v>#DIV/0!</v>
      </c>
      <c r="P63" s="109" t="str">
        <f t="shared" si="6"/>
        <v>#DIV/0!</v>
      </c>
      <c r="Q63" s="111" t="str">
        <f t="shared" si="7"/>
        <v>#DIV/0!</v>
      </c>
      <c r="R63" s="112">
        <f t="shared" si="39"/>
        <v>0</v>
      </c>
      <c r="S63" s="113" t="str">
        <f t="shared" si="9"/>
        <v>#DIV/0!</v>
      </c>
      <c r="T63" s="114"/>
      <c r="U63" s="114"/>
      <c r="V63" s="114"/>
      <c r="W63" s="114"/>
      <c r="X63" s="115"/>
      <c r="Y63" s="98"/>
      <c r="Z63" s="98"/>
    </row>
    <row r="64" collapsed="1">
      <c r="A64" s="293" t="str">
        <f t="shared" si="41"/>
        <v/>
      </c>
      <c r="B64" s="149" t="s">
        <v>53</v>
      </c>
      <c r="C64" s="312"/>
      <c r="D64" s="151">
        <f t="shared" ref="D64:F64" si="42">SUM(D52:D63)</f>
        <v>0</v>
      </c>
      <c r="E64" s="153">
        <f t="shared" si="42"/>
        <v>0</v>
      </c>
      <c r="F64" s="153">
        <f t="shared" si="42"/>
        <v>0</v>
      </c>
      <c r="G64" s="154" t="str">
        <f t="shared" si="43"/>
        <v>#DIV/0!</v>
      </c>
      <c r="H64" s="155" t="str">
        <f t="shared" si="44"/>
        <v>#DIV/0!</v>
      </c>
      <c r="I64" s="156" t="str">
        <f t="shared" si="45"/>
        <v>#DIV/0!</v>
      </c>
      <c r="J64" s="151">
        <f t="shared" ref="J64:M64" si="46">SUM(J52:J63)</f>
        <v>3804.72</v>
      </c>
      <c r="K64" s="313">
        <f t="shared" si="46"/>
        <v>381864</v>
      </c>
      <c r="L64" s="153">
        <f t="shared" si="46"/>
        <v>0</v>
      </c>
      <c r="M64" s="157">
        <f t="shared" si="46"/>
        <v>6712.07</v>
      </c>
      <c r="N64" s="158">
        <f t="shared" si="40"/>
        <v>0.5668474852</v>
      </c>
      <c r="O64" s="159">
        <f t="shared" si="5"/>
        <v>1.764142959</v>
      </c>
      <c r="P64" s="158" t="str">
        <f t="shared" si="6"/>
        <v>#DIV/0!</v>
      </c>
      <c r="Q64" s="160" t="str">
        <f t="shared" si="7"/>
        <v>#DIV/0!</v>
      </c>
      <c r="R64" s="161">
        <f>SUM(R52:R63)</f>
        <v>-6712.07</v>
      </c>
      <c r="S64" s="162" t="str">
        <f t="shared" si="9"/>
        <v>#DIV/0!</v>
      </c>
      <c r="T64" s="164" t="str">
        <f t="shared" ref="T64:U64" si="47">IFERROR((D64-#REF!)/D64,)</f>
        <v/>
      </c>
      <c r="U64" s="164" t="str">
        <f t="shared" si="47"/>
        <v/>
      </c>
      <c r="V64" s="164" t="str">
        <f t="shared" ref="V64:W64" si="48">IFERROR((D64-#REF!)/D64, )</f>
        <v/>
      </c>
      <c r="W64" s="164" t="str">
        <f t="shared" si="48"/>
        <v/>
      </c>
      <c r="X64" s="98"/>
      <c r="Y64" s="98"/>
      <c r="Z64" s="98"/>
    </row>
    <row r="65" hidden="1" outlineLevel="1">
      <c r="A65" s="293"/>
      <c r="B65" s="99">
        <v>46040.0</v>
      </c>
      <c r="C65" s="294" t="s">
        <v>70</v>
      </c>
      <c r="D65" s="295"/>
      <c r="E65" s="296"/>
      <c r="F65" s="296"/>
      <c r="G65" s="104" t="str">
        <f t="shared" si="43"/>
        <v>#DIV/0!</v>
      </c>
      <c r="H65" s="105" t="str">
        <f t="shared" si="44"/>
        <v>#DIV/0!</v>
      </c>
      <c r="I65" s="106" t="str">
        <f t="shared" si="45"/>
        <v>#DIV/0!</v>
      </c>
      <c r="J65" s="107">
        <v>446.66</v>
      </c>
      <c r="K65" s="278">
        <v>46700.0</v>
      </c>
      <c r="L65" s="296"/>
      <c r="M65" s="108">
        <v>646.18</v>
      </c>
      <c r="N65" s="109">
        <f t="shared" si="40"/>
        <v>0.6912315454</v>
      </c>
      <c r="O65" s="110">
        <f t="shared" si="5"/>
        <v>1.446693234</v>
      </c>
      <c r="P65" s="109" t="str">
        <f t="shared" si="6"/>
        <v>#DIV/0!</v>
      </c>
      <c r="Q65" s="111" t="str">
        <f t="shared" si="7"/>
        <v>#DIV/0!</v>
      </c>
      <c r="R65" s="112">
        <f t="shared" ref="R65:R78" si="49">D65-M65</f>
        <v>-646.18</v>
      </c>
      <c r="S65" s="113" t="str">
        <f t="shared" si="9"/>
        <v>#DIV/0!</v>
      </c>
      <c r="T65" s="114"/>
      <c r="U65" s="114"/>
      <c r="V65" s="114"/>
      <c r="W65" s="114"/>
      <c r="X65" s="115"/>
      <c r="Y65" s="98"/>
      <c r="Z65" s="98"/>
    </row>
    <row r="66" hidden="1" outlineLevel="1">
      <c r="A66" s="293"/>
      <c r="B66" s="116"/>
      <c r="C66" s="294" t="s">
        <v>71</v>
      </c>
      <c r="D66" s="297"/>
      <c r="E66" s="296"/>
      <c r="F66" s="296"/>
      <c r="G66" s="104" t="str">
        <f t="shared" si="43"/>
        <v>#DIV/0!</v>
      </c>
      <c r="H66" s="105" t="str">
        <f t="shared" si="44"/>
        <v>#DIV/0!</v>
      </c>
      <c r="I66" s="106" t="str">
        <f t="shared" si="45"/>
        <v>#DIV/0!</v>
      </c>
      <c r="J66" s="117">
        <v>168.32</v>
      </c>
      <c r="K66" s="278">
        <v>12644.0</v>
      </c>
      <c r="L66" s="296"/>
      <c r="M66" s="118">
        <v>299.75</v>
      </c>
      <c r="N66" s="109">
        <f t="shared" si="40"/>
        <v>0.5615346122</v>
      </c>
      <c r="O66" s="110">
        <f t="shared" si="5"/>
        <v>1.780834125</v>
      </c>
      <c r="P66" s="109" t="str">
        <f t="shared" si="6"/>
        <v>#DIV/0!</v>
      </c>
      <c r="Q66" s="111" t="str">
        <f t="shared" si="7"/>
        <v>#DIV/0!</v>
      </c>
      <c r="R66" s="119">
        <f t="shared" si="49"/>
        <v>-299.75</v>
      </c>
      <c r="S66" s="113" t="str">
        <f t="shared" si="9"/>
        <v>#DIV/0!</v>
      </c>
      <c r="T66" s="114"/>
      <c r="U66" s="114"/>
      <c r="V66" s="114"/>
      <c r="W66" s="114"/>
      <c r="X66" s="115"/>
      <c r="Y66" s="98"/>
      <c r="Z66" s="98"/>
    </row>
    <row r="67" hidden="1" outlineLevel="1">
      <c r="A67" s="293"/>
      <c r="B67" s="116"/>
      <c r="C67" s="294" t="s">
        <v>72</v>
      </c>
      <c r="D67" s="298"/>
      <c r="E67" s="296"/>
      <c r="F67" s="296"/>
      <c r="G67" s="104" t="str">
        <f t="shared" si="43"/>
        <v>#DIV/0!</v>
      </c>
      <c r="H67" s="105" t="str">
        <f t="shared" si="44"/>
        <v>#DIV/0!</v>
      </c>
      <c r="I67" s="106" t="str">
        <f t="shared" si="45"/>
        <v>#DIV/0!</v>
      </c>
      <c r="J67" s="120">
        <v>135.59</v>
      </c>
      <c r="K67" s="278">
        <v>19068.0</v>
      </c>
      <c r="L67" s="296"/>
      <c r="M67" s="121">
        <v>704.39</v>
      </c>
      <c r="N67" s="109">
        <f>(J67/M67)</f>
        <v>0.1924927952</v>
      </c>
      <c r="O67" s="110">
        <f t="shared" si="5"/>
        <v>5.194999631</v>
      </c>
      <c r="P67" s="109" t="str">
        <f t="shared" si="6"/>
        <v>#DIV/0!</v>
      </c>
      <c r="Q67" s="111" t="str">
        <f t="shared" si="7"/>
        <v>#DIV/0!</v>
      </c>
      <c r="R67" s="122">
        <f t="shared" si="49"/>
        <v>-704.39</v>
      </c>
      <c r="S67" s="113" t="str">
        <f t="shared" si="9"/>
        <v>#DIV/0!</v>
      </c>
      <c r="T67" s="114"/>
      <c r="U67" s="114"/>
      <c r="V67" s="114"/>
      <c r="W67" s="114"/>
      <c r="X67" s="115"/>
      <c r="Y67" s="98"/>
      <c r="Z67" s="98"/>
    </row>
    <row r="68" hidden="1" outlineLevel="1">
      <c r="A68" s="293"/>
      <c r="B68" s="116"/>
      <c r="C68" s="294" t="s">
        <v>73</v>
      </c>
      <c r="D68" s="298"/>
      <c r="E68" s="296"/>
      <c r="F68" s="296"/>
      <c r="G68" s="104" t="str">
        <f t="shared" si="43"/>
        <v>#DIV/0!</v>
      </c>
      <c r="H68" s="105" t="str">
        <f t="shared" si="44"/>
        <v>#DIV/0!</v>
      </c>
      <c r="I68" s="106" t="str">
        <f t="shared" si="45"/>
        <v>#DIV/0!</v>
      </c>
      <c r="J68" s="120">
        <v>214.88</v>
      </c>
      <c r="K68" s="278">
        <v>32075.0</v>
      </c>
      <c r="L68" s="296"/>
      <c r="M68" s="121">
        <v>403.8</v>
      </c>
      <c r="N68" s="109">
        <f t="shared" ref="N68:N81" si="50">J68/M68</f>
        <v>0.5321446261</v>
      </c>
      <c r="O68" s="110">
        <f t="shared" si="5"/>
        <v>1.879188384</v>
      </c>
      <c r="P68" s="109" t="str">
        <f t="shared" si="6"/>
        <v>#DIV/0!</v>
      </c>
      <c r="Q68" s="111" t="str">
        <f t="shared" si="7"/>
        <v>#DIV/0!</v>
      </c>
      <c r="R68" s="122">
        <f t="shared" si="49"/>
        <v>-403.8</v>
      </c>
      <c r="S68" s="113" t="str">
        <f t="shared" si="9"/>
        <v>#DIV/0!</v>
      </c>
      <c r="T68" s="114"/>
      <c r="U68" s="114"/>
      <c r="V68" s="114"/>
      <c r="W68" s="114"/>
      <c r="X68" s="115"/>
      <c r="Y68" s="98"/>
      <c r="Z68" s="98"/>
    </row>
    <row r="69" hidden="1" outlineLevel="1">
      <c r="A69" s="293"/>
      <c r="B69" s="116"/>
      <c r="C69" s="294" t="s">
        <v>74</v>
      </c>
      <c r="D69" s="299"/>
      <c r="E69" s="296"/>
      <c r="F69" s="296"/>
      <c r="G69" s="104" t="str">
        <f t="shared" si="43"/>
        <v>#DIV/0!</v>
      </c>
      <c r="H69" s="105" t="str">
        <f t="shared" si="44"/>
        <v>#DIV/0!</v>
      </c>
      <c r="I69" s="106" t="str">
        <f t="shared" si="45"/>
        <v>#DIV/0!</v>
      </c>
      <c r="J69" s="300">
        <v>347.76</v>
      </c>
      <c r="K69" s="278">
        <v>33993.0</v>
      </c>
      <c r="L69" s="296"/>
      <c r="M69" s="300">
        <v>925.71</v>
      </c>
      <c r="N69" s="109">
        <f t="shared" si="50"/>
        <v>0.3756684059</v>
      </c>
      <c r="O69" s="110">
        <f t="shared" si="5"/>
        <v>2.661922015</v>
      </c>
      <c r="P69" s="109" t="str">
        <f t="shared" si="6"/>
        <v>#DIV/0!</v>
      </c>
      <c r="Q69" s="111" t="str">
        <f t="shared" si="7"/>
        <v>#DIV/0!</v>
      </c>
      <c r="R69" s="122">
        <f t="shared" si="49"/>
        <v>-925.71</v>
      </c>
      <c r="S69" s="113" t="str">
        <f t="shared" si="9"/>
        <v>#DIV/0!</v>
      </c>
      <c r="T69" s="114"/>
      <c r="U69" s="114"/>
      <c r="V69" s="114"/>
      <c r="W69" s="114"/>
      <c r="X69" s="115"/>
      <c r="Y69" s="98"/>
      <c r="Z69" s="98"/>
    </row>
    <row r="70" hidden="1" outlineLevel="1">
      <c r="A70" s="293"/>
      <c r="B70" s="116"/>
      <c r="C70" s="294" t="s">
        <v>75</v>
      </c>
      <c r="D70" s="301"/>
      <c r="E70" s="296"/>
      <c r="F70" s="296"/>
      <c r="G70" s="104" t="str">
        <f t="shared" si="43"/>
        <v>#DIV/0!</v>
      </c>
      <c r="H70" s="105" t="str">
        <f t="shared" si="44"/>
        <v>#DIV/0!</v>
      </c>
      <c r="I70" s="106" t="str">
        <f t="shared" si="45"/>
        <v>#DIV/0!</v>
      </c>
      <c r="J70" s="302">
        <v>37.7</v>
      </c>
      <c r="K70" s="278">
        <v>6261.0</v>
      </c>
      <c r="L70" s="296"/>
      <c r="M70" s="303">
        <v>59.95</v>
      </c>
      <c r="N70" s="109">
        <f t="shared" si="50"/>
        <v>0.6288573812</v>
      </c>
      <c r="O70" s="110">
        <f t="shared" si="5"/>
        <v>1.590185676</v>
      </c>
      <c r="P70" s="109" t="str">
        <f t="shared" si="6"/>
        <v>#DIV/0!</v>
      </c>
      <c r="Q70" s="111" t="str">
        <f t="shared" si="7"/>
        <v>#DIV/0!</v>
      </c>
      <c r="R70" s="304">
        <f t="shared" si="49"/>
        <v>-59.95</v>
      </c>
      <c r="S70" s="113" t="str">
        <f t="shared" si="9"/>
        <v>#DIV/0!</v>
      </c>
      <c r="T70" s="114"/>
      <c r="U70" s="114"/>
      <c r="V70" s="114"/>
      <c r="W70" s="114"/>
      <c r="X70" s="115"/>
      <c r="Y70" s="98"/>
      <c r="Z70" s="98"/>
    </row>
    <row r="71" hidden="1" outlineLevel="1">
      <c r="A71" s="293"/>
      <c r="B71" s="116"/>
      <c r="C71" s="294" t="s">
        <v>76</v>
      </c>
      <c r="D71" s="298"/>
      <c r="E71" s="296"/>
      <c r="F71" s="296"/>
      <c r="G71" s="104" t="str">
        <f t="shared" si="43"/>
        <v>#DIV/0!</v>
      </c>
      <c r="H71" s="105" t="str">
        <f t="shared" si="44"/>
        <v>#DIV/0!</v>
      </c>
      <c r="I71" s="106" t="str">
        <f t="shared" si="45"/>
        <v>#DIV/0!</v>
      </c>
      <c r="J71" s="120">
        <v>528.95</v>
      </c>
      <c r="K71" s="278">
        <v>31342.0</v>
      </c>
      <c r="L71" s="296"/>
      <c r="M71" s="121">
        <v>2179.77</v>
      </c>
      <c r="N71" s="109">
        <f t="shared" si="50"/>
        <v>0.2426632168</v>
      </c>
      <c r="O71" s="110">
        <f t="shared" si="5"/>
        <v>4.120937707</v>
      </c>
      <c r="P71" s="109" t="str">
        <f t="shared" si="6"/>
        <v>#DIV/0!</v>
      </c>
      <c r="Q71" s="111" t="str">
        <f t="shared" si="7"/>
        <v>#DIV/0!</v>
      </c>
      <c r="R71" s="122">
        <f t="shared" si="49"/>
        <v>-2179.77</v>
      </c>
      <c r="S71" s="113" t="str">
        <f t="shared" si="9"/>
        <v>#DIV/0!</v>
      </c>
      <c r="T71" s="114"/>
      <c r="U71" s="114"/>
      <c r="V71" s="114"/>
      <c r="W71" s="114"/>
      <c r="X71" s="115"/>
      <c r="Y71" s="98"/>
      <c r="Z71" s="98"/>
    </row>
    <row r="72" hidden="1" outlineLevel="1">
      <c r="A72" s="293"/>
      <c r="B72" s="99" t="s">
        <v>37</v>
      </c>
      <c r="C72" s="294" t="s">
        <v>77</v>
      </c>
      <c r="D72" s="305"/>
      <c r="E72" s="296"/>
      <c r="F72" s="296"/>
      <c r="G72" s="104" t="str">
        <f t="shared" si="43"/>
        <v>#DIV/0!</v>
      </c>
      <c r="H72" s="105" t="str">
        <f t="shared" si="44"/>
        <v>#DIV/0!</v>
      </c>
      <c r="I72" s="106" t="str">
        <f t="shared" si="45"/>
        <v>#DIV/0!</v>
      </c>
      <c r="J72" s="123">
        <v>221.65</v>
      </c>
      <c r="K72" s="278">
        <v>8512.0</v>
      </c>
      <c r="L72" s="296"/>
      <c r="M72" s="124">
        <v>936.47</v>
      </c>
      <c r="N72" s="109">
        <f t="shared" si="50"/>
        <v>0.2366867065</v>
      </c>
      <c r="O72" s="110">
        <f t="shared" si="5"/>
        <v>4.22499436</v>
      </c>
      <c r="P72" s="109" t="str">
        <f t="shared" si="6"/>
        <v>#DIV/0!</v>
      </c>
      <c r="Q72" s="111" t="str">
        <f t="shared" si="7"/>
        <v>#DIV/0!</v>
      </c>
      <c r="R72" s="125">
        <f t="shared" si="49"/>
        <v>-936.47</v>
      </c>
      <c r="S72" s="113" t="str">
        <f t="shared" si="9"/>
        <v>#DIV/0!</v>
      </c>
      <c r="T72" s="114"/>
      <c r="U72" s="114"/>
      <c r="V72" s="114"/>
      <c r="W72" s="114"/>
      <c r="X72" s="115"/>
      <c r="Y72" s="98"/>
      <c r="Z72" s="98"/>
    </row>
    <row r="73" hidden="1" outlineLevel="1">
      <c r="A73" s="293"/>
      <c r="B73" s="116"/>
      <c r="C73" s="294" t="s">
        <v>78</v>
      </c>
      <c r="D73" s="306"/>
      <c r="E73" s="296"/>
      <c r="F73" s="296"/>
      <c r="G73" s="104" t="str">
        <f t="shared" si="43"/>
        <v>#DIV/0!</v>
      </c>
      <c r="H73" s="105" t="str">
        <f t="shared" si="44"/>
        <v>#DIV/0!</v>
      </c>
      <c r="I73" s="106" t="str">
        <f t="shared" si="45"/>
        <v>#DIV/0!</v>
      </c>
      <c r="J73" s="126">
        <v>94.64</v>
      </c>
      <c r="K73" s="278">
        <v>17161.0</v>
      </c>
      <c r="L73" s="296"/>
      <c r="M73" s="127">
        <v>389.0</v>
      </c>
      <c r="N73" s="109">
        <f t="shared" si="50"/>
        <v>0.2432904884</v>
      </c>
      <c r="O73" s="110">
        <f t="shared" si="5"/>
        <v>4.110312764</v>
      </c>
      <c r="P73" s="109" t="str">
        <f t="shared" si="6"/>
        <v>#DIV/0!</v>
      </c>
      <c r="Q73" s="111" t="str">
        <f t="shared" si="7"/>
        <v>#DIV/0!</v>
      </c>
      <c r="R73" s="128">
        <f t="shared" si="49"/>
        <v>-389</v>
      </c>
      <c r="S73" s="113" t="str">
        <f t="shared" si="9"/>
        <v>#DIV/0!</v>
      </c>
      <c r="T73" s="114"/>
      <c r="U73" s="114"/>
      <c r="V73" s="114"/>
      <c r="W73" s="114"/>
      <c r="X73" s="115"/>
      <c r="Y73" s="98"/>
      <c r="Z73" s="98"/>
    </row>
    <row r="74" hidden="1" outlineLevel="1">
      <c r="A74" s="293"/>
      <c r="B74" s="116"/>
      <c r="C74" s="294" t="s">
        <v>79</v>
      </c>
      <c r="D74" s="307"/>
      <c r="E74" s="296"/>
      <c r="F74" s="296"/>
      <c r="G74" s="104" t="str">
        <f t="shared" si="43"/>
        <v>#DIV/0!</v>
      </c>
      <c r="H74" s="105" t="str">
        <f t="shared" si="44"/>
        <v>#DIV/0!</v>
      </c>
      <c r="I74" s="106" t="str">
        <f t="shared" si="45"/>
        <v>#DIV/0!</v>
      </c>
      <c r="J74" s="129">
        <v>150.11</v>
      </c>
      <c r="K74" s="278">
        <v>27589.0</v>
      </c>
      <c r="L74" s="296"/>
      <c r="M74" s="130">
        <v>609.3</v>
      </c>
      <c r="N74" s="109">
        <f t="shared" si="50"/>
        <v>0.2463646808</v>
      </c>
      <c r="O74" s="110">
        <f t="shared" si="5"/>
        <v>4.059023383</v>
      </c>
      <c r="P74" s="109" t="str">
        <f t="shared" si="6"/>
        <v>#DIV/0!</v>
      </c>
      <c r="Q74" s="111" t="str">
        <f t="shared" si="7"/>
        <v>#DIV/0!</v>
      </c>
      <c r="R74" s="131">
        <f t="shared" si="49"/>
        <v>-609.3</v>
      </c>
      <c r="S74" s="113" t="str">
        <f t="shared" si="9"/>
        <v>#DIV/0!</v>
      </c>
      <c r="T74" s="114"/>
      <c r="U74" s="114"/>
      <c r="V74" s="114"/>
      <c r="W74" s="114"/>
      <c r="X74" s="115"/>
      <c r="Y74" s="98"/>
      <c r="Z74" s="98"/>
    </row>
    <row r="75" hidden="1" outlineLevel="1">
      <c r="A75" s="293"/>
      <c r="B75" s="116"/>
      <c r="C75" s="294" t="s">
        <v>80</v>
      </c>
      <c r="D75" s="307"/>
      <c r="E75" s="296"/>
      <c r="F75" s="296"/>
      <c r="G75" s="104" t="str">
        <f t="shared" si="43"/>
        <v>#DIV/0!</v>
      </c>
      <c r="H75" s="105" t="str">
        <f t="shared" si="44"/>
        <v>#DIV/0!</v>
      </c>
      <c r="I75" s="106" t="str">
        <f t="shared" si="45"/>
        <v>#DIV/0!</v>
      </c>
      <c r="J75" s="135">
        <v>389.08</v>
      </c>
      <c r="K75" s="278">
        <v>38193.0</v>
      </c>
      <c r="L75" s="296"/>
      <c r="M75" s="136">
        <v>2759.4</v>
      </c>
      <c r="N75" s="109">
        <f t="shared" si="50"/>
        <v>0.141001667</v>
      </c>
      <c r="O75" s="110">
        <f t="shared" si="5"/>
        <v>7.092114732</v>
      </c>
      <c r="P75" s="109" t="str">
        <f t="shared" si="6"/>
        <v>#DIV/0!</v>
      </c>
      <c r="Q75" s="111" t="str">
        <f t="shared" si="7"/>
        <v>#DIV/0!</v>
      </c>
      <c r="R75" s="137">
        <f t="shared" si="49"/>
        <v>-2759.4</v>
      </c>
      <c r="S75" s="113" t="str">
        <f t="shared" si="9"/>
        <v>#DIV/0!</v>
      </c>
      <c r="T75" s="114"/>
      <c r="U75" s="114"/>
      <c r="V75" s="114"/>
      <c r="W75" s="114"/>
      <c r="X75" s="115"/>
      <c r="Y75" s="98"/>
      <c r="Z75" s="98"/>
    </row>
    <row r="76" hidden="1" outlineLevel="1">
      <c r="A76" s="293"/>
      <c r="B76" s="116"/>
      <c r="C76" s="294" t="s">
        <v>82</v>
      </c>
      <c r="D76" s="307"/>
      <c r="E76" s="296"/>
      <c r="F76" s="296"/>
      <c r="G76" s="104" t="str">
        <f t="shared" si="43"/>
        <v>#DIV/0!</v>
      </c>
      <c r="H76" s="105" t="str">
        <f t="shared" si="44"/>
        <v>#DIV/0!</v>
      </c>
      <c r="I76" s="106" t="str">
        <f t="shared" si="45"/>
        <v>#DIV/0!</v>
      </c>
      <c r="J76" s="135">
        <v>20.97</v>
      </c>
      <c r="K76" s="278">
        <v>2400.0</v>
      </c>
      <c r="L76" s="296"/>
      <c r="M76" s="136">
        <v>197.3</v>
      </c>
      <c r="N76" s="109">
        <f t="shared" si="50"/>
        <v>0.1062848454</v>
      </c>
      <c r="O76" s="110">
        <f t="shared" si="5"/>
        <v>9.408679065</v>
      </c>
      <c r="P76" s="109" t="str">
        <f t="shared" si="6"/>
        <v>#DIV/0!</v>
      </c>
      <c r="Q76" s="111" t="str">
        <f t="shared" si="7"/>
        <v>#DIV/0!</v>
      </c>
      <c r="R76" s="137">
        <f t="shared" si="49"/>
        <v>-197.3</v>
      </c>
      <c r="S76" s="113" t="str">
        <f t="shared" si="9"/>
        <v>#DIV/0!</v>
      </c>
      <c r="T76" s="114"/>
      <c r="U76" s="114"/>
      <c r="V76" s="114"/>
      <c r="W76" s="114"/>
      <c r="X76" s="115"/>
      <c r="Y76" s="98"/>
      <c r="Z76" s="98"/>
    </row>
    <row r="77" hidden="1" outlineLevel="1">
      <c r="A77" s="293"/>
      <c r="B77" s="116"/>
      <c r="C77" s="294" t="s">
        <v>83</v>
      </c>
      <c r="D77" s="307"/>
      <c r="E77" s="296"/>
      <c r="F77" s="296"/>
      <c r="G77" s="104" t="str">
        <f t="shared" si="43"/>
        <v>#DIV/0!</v>
      </c>
      <c r="H77" s="105" t="str">
        <f t="shared" si="44"/>
        <v>#DIV/0!</v>
      </c>
      <c r="I77" s="106" t="str">
        <f t="shared" si="45"/>
        <v>#DIV/0!</v>
      </c>
      <c r="J77" s="135">
        <v>341.19</v>
      </c>
      <c r="K77" s="278">
        <v>14077.0</v>
      </c>
      <c r="L77" s="296"/>
      <c r="M77" s="136">
        <v>1087.55</v>
      </c>
      <c r="N77" s="109">
        <f t="shared" si="50"/>
        <v>0.313723507</v>
      </c>
      <c r="O77" s="110">
        <f t="shared" si="5"/>
        <v>3.18752015</v>
      </c>
      <c r="P77" s="109" t="str">
        <f t="shared" si="6"/>
        <v>#DIV/0!</v>
      </c>
      <c r="Q77" s="111" t="str">
        <f t="shared" si="7"/>
        <v>#DIV/0!</v>
      </c>
      <c r="R77" s="137">
        <f t="shared" si="49"/>
        <v>-1087.55</v>
      </c>
      <c r="S77" s="113" t="str">
        <f t="shared" si="9"/>
        <v>#DIV/0!</v>
      </c>
      <c r="T77" s="114"/>
      <c r="U77" s="114"/>
      <c r="V77" s="114"/>
      <c r="W77" s="114"/>
      <c r="X77" s="115"/>
      <c r="Y77" s="98"/>
      <c r="Z77" s="98"/>
    </row>
    <row r="78" hidden="1" outlineLevel="1">
      <c r="A78" s="310" t="str">
        <f t="shared" ref="A78:A79" si="51">iferror(if(B78&gt;0,month(B78)&amp;"-"&amp;year(B78),B78),)</f>
        <v>1-2026</v>
      </c>
      <c r="B78" s="99">
        <v>46046.0</v>
      </c>
      <c r="C78" s="294" t="s">
        <v>81</v>
      </c>
      <c r="D78" s="311"/>
      <c r="E78" s="296"/>
      <c r="F78" s="296"/>
      <c r="G78" s="104" t="str">
        <f t="shared" si="43"/>
        <v>#DIV/0!</v>
      </c>
      <c r="H78" s="105" t="str">
        <f t="shared" si="44"/>
        <v>#DIV/0!</v>
      </c>
      <c r="I78" s="106" t="str">
        <f t="shared" si="45"/>
        <v>#DIV/0!</v>
      </c>
      <c r="J78" s="117">
        <v>0.0</v>
      </c>
      <c r="K78" s="278">
        <v>0.0</v>
      </c>
      <c r="L78" s="296"/>
      <c r="M78" s="118">
        <v>0.0</v>
      </c>
      <c r="N78" s="109" t="str">
        <f t="shared" si="50"/>
        <v>#DIV/0!</v>
      </c>
      <c r="O78" s="110" t="str">
        <f t="shared" si="5"/>
        <v>#DIV/0!</v>
      </c>
      <c r="P78" s="109" t="str">
        <f t="shared" si="6"/>
        <v>#DIV/0!</v>
      </c>
      <c r="Q78" s="111" t="str">
        <f t="shared" si="7"/>
        <v>#DIV/0!</v>
      </c>
      <c r="R78" s="112">
        <f t="shared" si="49"/>
        <v>0</v>
      </c>
      <c r="S78" s="113" t="str">
        <f t="shared" si="9"/>
        <v>#DIV/0!</v>
      </c>
      <c r="T78" s="114"/>
      <c r="U78" s="114"/>
      <c r="V78" s="114"/>
      <c r="W78" s="114"/>
      <c r="X78" s="115"/>
      <c r="Y78" s="98"/>
      <c r="Z78" s="98"/>
    </row>
    <row r="79" collapsed="1">
      <c r="A79" s="293" t="str">
        <f t="shared" si="51"/>
        <v/>
      </c>
      <c r="B79" s="149" t="s">
        <v>54</v>
      </c>
      <c r="C79" s="312"/>
      <c r="D79" s="151">
        <f t="shared" ref="D79:F79" si="52">SUM(D65:D78)</f>
        <v>0</v>
      </c>
      <c r="E79" s="153">
        <f t="shared" si="52"/>
        <v>0</v>
      </c>
      <c r="F79" s="153">
        <f t="shared" si="52"/>
        <v>0</v>
      </c>
      <c r="G79" s="154" t="str">
        <f t="shared" si="43"/>
        <v>#DIV/0!</v>
      </c>
      <c r="H79" s="155" t="str">
        <f t="shared" si="44"/>
        <v>#DIV/0!</v>
      </c>
      <c r="I79" s="156" t="str">
        <f t="shared" si="45"/>
        <v>#DIV/0!</v>
      </c>
      <c r="J79" s="151">
        <f t="shared" ref="J79:M79" si="53">SUM(J65:J78)</f>
        <v>3097.5</v>
      </c>
      <c r="K79" s="313">
        <f t="shared" si="53"/>
        <v>290015</v>
      </c>
      <c r="L79" s="153">
        <f t="shared" si="53"/>
        <v>0</v>
      </c>
      <c r="M79" s="157">
        <f t="shared" si="53"/>
        <v>11198.57</v>
      </c>
      <c r="N79" s="158">
        <f t="shared" si="50"/>
        <v>0.2765978156</v>
      </c>
      <c r="O79" s="159">
        <f t="shared" si="5"/>
        <v>3.615357546</v>
      </c>
      <c r="P79" s="158" t="str">
        <f t="shared" si="6"/>
        <v>#DIV/0!</v>
      </c>
      <c r="Q79" s="160" t="str">
        <f t="shared" si="7"/>
        <v>#DIV/0!</v>
      </c>
      <c r="R79" s="161">
        <f>SUM(R65:R78)</f>
        <v>-11198.57</v>
      </c>
      <c r="S79" s="162" t="str">
        <f t="shared" si="9"/>
        <v>#DIV/0!</v>
      </c>
      <c r="T79" s="164" t="str">
        <f t="shared" ref="T79:U79" si="54">IFERROR((D79-#REF!)/D79,)</f>
        <v/>
      </c>
      <c r="U79" s="164" t="str">
        <f t="shared" si="54"/>
        <v/>
      </c>
      <c r="V79" s="164" t="str">
        <f t="shared" ref="V79:W79" si="55">IFERROR((D79-#REF!)/D79, )</f>
        <v/>
      </c>
      <c r="W79" s="164" t="str">
        <f t="shared" si="55"/>
        <v/>
      </c>
      <c r="X79" s="98"/>
      <c r="Y79" s="98"/>
      <c r="Z79" s="98"/>
    </row>
    <row r="80" hidden="1" outlineLevel="1">
      <c r="A80" s="293"/>
      <c r="B80" s="99">
        <v>46047.0</v>
      </c>
      <c r="C80" s="294" t="s">
        <v>70</v>
      </c>
      <c r="D80" s="295"/>
      <c r="E80" s="296"/>
      <c r="F80" s="296"/>
      <c r="G80" s="104" t="str">
        <f t="shared" si="43"/>
        <v>#DIV/0!</v>
      </c>
      <c r="H80" s="105" t="str">
        <f t="shared" si="44"/>
        <v>#DIV/0!</v>
      </c>
      <c r="I80" s="106" t="str">
        <f t="shared" si="45"/>
        <v>#DIV/0!</v>
      </c>
      <c r="J80" s="107">
        <v>156.3</v>
      </c>
      <c r="K80" s="278">
        <v>19134.0</v>
      </c>
      <c r="L80" s="296"/>
      <c r="M80" s="108">
        <v>434.95</v>
      </c>
      <c r="N80" s="109">
        <f t="shared" si="50"/>
        <v>0.3593516496</v>
      </c>
      <c r="O80" s="110">
        <f t="shared" si="5"/>
        <v>2.782789507</v>
      </c>
      <c r="P80" s="109" t="str">
        <f t="shared" si="6"/>
        <v>#DIV/0!</v>
      </c>
      <c r="Q80" s="111" t="str">
        <f t="shared" si="7"/>
        <v>#DIV/0!</v>
      </c>
      <c r="R80" s="112">
        <f t="shared" ref="R80:R93" si="56">D80-M80</f>
        <v>-434.95</v>
      </c>
      <c r="S80" s="113" t="str">
        <f t="shared" si="9"/>
        <v>#DIV/0!</v>
      </c>
      <c r="T80" s="114"/>
      <c r="U80" s="114"/>
      <c r="V80" s="114"/>
      <c r="W80" s="114"/>
      <c r="X80" s="115"/>
      <c r="Y80" s="98"/>
      <c r="Z80" s="98"/>
    </row>
    <row r="81" hidden="1" outlineLevel="1">
      <c r="A81" s="293"/>
      <c r="B81" s="116"/>
      <c r="C81" s="294" t="s">
        <v>71</v>
      </c>
      <c r="D81" s="297"/>
      <c r="E81" s="296"/>
      <c r="F81" s="296"/>
      <c r="G81" s="104" t="str">
        <f t="shared" si="43"/>
        <v>#DIV/0!</v>
      </c>
      <c r="H81" s="105" t="str">
        <f t="shared" si="44"/>
        <v>#DIV/0!</v>
      </c>
      <c r="I81" s="106" t="str">
        <f t="shared" si="45"/>
        <v>#DIV/0!</v>
      </c>
      <c r="J81" s="117">
        <v>68.61</v>
      </c>
      <c r="K81" s="278">
        <v>9558.0</v>
      </c>
      <c r="L81" s="296"/>
      <c r="M81" s="118">
        <v>149.88</v>
      </c>
      <c r="N81" s="109">
        <f t="shared" si="50"/>
        <v>0.457766213</v>
      </c>
      <c r="O81" s="110">
        <f t="shared" si="5"/>
        <v>2.184521207</v>
      </c>
      <c r="P81" s="109" t="str">
        <f t="shared" si="6"/>
        <v>#DIV/0!</v>
      </c>
      <c r="Q81" s="111" t="str">
        <f t="shared" si="7"/>
        <v>#DIV/0!</v>
      </c>
      <c r="R81" s="119">
        <f t="shared" si="56"/>
        <v>-149.88</v>
      </c>
      <c r="S81" s="113" t="str">
        <f t="shared" si="9"/>
        <v>#DIV/0!</v>
      </c>
      <c r="T81" s="114"/>
      <c r="U81" s="114"/>
      <c r="V81" s="114"/>
      <c r="W81" s="114"/>
      <c r="X81" s="115"/>
      <c r="Y81" s="98"/>
      <c r="Z81" s="98"/>
    </row>
    <row r="82" hidden="1" outlineLevel="1">
      <c r="A82" s="293"/>
      <c r="B82" s="116"/>
      <c r="C82" s="294" t="s">
        <v>72</v>
      </c>
      <c r="D82" s="298"/>
      <c r="E82" s="296"/>
      <c r="F82" s="296"/>
      <c r="G82" s="104" t="str">
        <f t="shared" si="43"/>
        <v>#DIV/0!</v>
      </c>
      <c r="H82" s="105" t="str">
        <f t="shared" si="44"/>
        <v>#DIV/0!</v>
      </c>
      <c r="I82" s="106" t="str">
        <f t="shared" si="45"/>
        <v>#DIV/0!</v>
      </c>
      <c r="J82" s="120">
        <v>62.37</v>
      </c>
      <c r="K82" s="278">
        <v>2490.0</v>
      </c>
      <c r="L82" s="296"/>
      <c r="M82" s="121">
        <v>208.7</v>
      </c>
      <c r="N82" s="109">
        <f>(J82/M82)</f>
        <v>0.298850024</v>
      </c>
      <c r="O82" s="110">
        <f t="shared" si="5"/>
        <v>3.346160013</v>
      </c>
      <c r="P82" s="109" t="str">
        <f t="shared" si="6"/>
        <v>#DIV/0!</v>
      </c>
      <c r="Q82" s="111" t="str">
        <f t="shared" si="7"/>
        <v>#DIV/0!</v>
      </c>
      <c r="R82" s="122">
        <f t="shared" si="56"/>
        <v>-208.7</v>
      </c>
      <c r="S82" s="113" t="str">
        <f t="shared" si="9"/>
        <v>#DIV/0!</v>
      </c>
      <c r="T82" s="114"/>
      <c r="U82" s="114"/>
      <c r="V82" s="114"/>
      <c r="W82" s="114"/>
      <c r="X82" s="115"/>
      <c r="Y82" s="98"/>
      <c r="Z82" s="98"/>
    </row>
    <row r="83" hidden="1" outlineLevel="1">
      <c r="A83" s="293"/>
      <c r="B83" s="116"/>
      <c r="C83" s="294" t="s">
        <v>73</v>
      </c>
      <c r="D83" s="298"/>
      <c r="E83" s="296"/>
      <c r="F83" s="296"/>
      <c r="G83" s="104" t="str">
        <f t="shared" si="43"/>
        <v>#DIV/0!</v>
      </c>
      <c r="H83" s="105" t="str">
        <f t="shared" si="44"/>
        <v>#DIV/0!</v>
      </c>
      <c r="I83" s="106" t="str">
        <f t="shared" si="45"/>
        <v>#DIV/0!</v>
      </c>
      <c r="J83" s="120">
        <v>119.92</v>
      </c>
      <c r="K83" s="278">
        <v>22981.0</v>
      </c>
      <c r="L83" s="296"/>
      <c r="M83" s="121">
        <v>0.0</v>
      </c>
      <c r="N83" s="109" t="str">
        <f t="shared" ref="N83:N96" si="57">J83/M83</f>
        <v>#DIV/0!</v>
      </c>
      <c r="O83" s="110">
        <f t="shared" si="5"/>
        <v>0</v>
      </c>
      <c r="P83" s="109" t="str">
        <f t="shared" si="6"/>
        <v>#DIV/0!</v>
      </c>
      <c r="Q83" s="111" t="str">
        <f t="shared" si="7"/>
        <v>#DIV/0!</v>
      </c>
      <c r="R83" s="122">
        <f t="shared" si="56"/>
        <v>0</v>
      </c>
      <c r="S83" s="113" t="str">
        <f t="shared" si="9"/>
        <v>#DIV/0!</v>
      </c>
      <c r="T83" s="114"/>
      <c r="U83" s="114"/>
      <c r="V83" s="114"/>
      <c r="W83" s="114"/>
      <c r="X83" s="115"/>
      <c r="Y83" s="98"/>
      <c r="Z83" s="98"/>
    </row>
    <row r="84" hidden="1" outlineLevel="1">
      <c r="A84" s="293"/>
      <c r="B84" s="116"/>
      <c r="C84" s="294" t="s">
        <v>74</v>
      </c>
      <c r="D84" s="299"/>
      <c r="E84" s="296"/>
      <c r="F84" s="296"/>
      <c r="G84" s="104" t="str">
        <f t="shared" si="43"/>
        <v>#DIV/0!</v>
      </c>
      <c r="H84" s="105" t="str">
        <f t="shared" si="44"/>
        <v>#DIV/0!</v>
      </c>
      <c r="I84" s="106" t="str">
        <f t="shared" si="45"/>
        <v>#DIV/0!</v>
      </c>
      <c r="J84" s="300">
        <v>252.05</v>
      </c>
      <c r="K84" s="278">
        <v>28527.0</v>
      </c>
      <c r="L84" s="296"/>
      <c r="M84" s="300">
        <v>1045.67</v>
      </c>
      <c r="N84" s="109">
        <f t="shared" si="57"/>
        <v>0.2410416288</v>
      </c>
      <c r="O84" s="110">
        <f t="shared" si="5"/>
        <v>4.14866098</v>
      </c>
      <c r="P84" s="109" t="str">
        <f t="shared" si="6"/>
        <v>#DIV/0!</v>
      </c>
      <c r="Q84" s="111" t="str">
        <f t="shared" si="7"/>
        <v>#DIV/0!</v>
      </c>
      <c r="R84" s="122">
        <f t="shared" si="56"/>
        <v>-1045.67</v>
      </c>
      <c r="S84" s="113" t="str">
        <f t="shared" si="9"/>
        <v>#DIV/0!</v>
      </c>
      <c r="T84" s="114"/>
      <c r="U84" s="114"/>
      <c r="V84" s="114"/>
      <c r="W84" s="114"/>
      <c r="X84" s="115"/>
      <c r="Y84" s="98"/>
      <c r="Z84" s="98"/>
    </row>
    <row r="85" hidden="1" outlineLevel="1">
      <c r="A85" s="293"/>
      <c r="B85" s="116"/>
      <c r="C85" s="294" t="s">
        <v>75</v>
      </c>
      <c r="D85" s="301"/>
      <c r="E85" s="296"/>
      <c r="F85" s="296"/>
      <c r="G85" s="104" t="str">
        <f t="shared" si="43"/>
        <v>#DIV/0!</v>
      </c>
      <c r="H85" s="105" t="str">
        <f t="shared" si="44"/>
        <v>#DIV/0!</v>
      </c>
      <c r="I85" s="106" t="str">
        <f t="shared" si="45"/>
        <v>#DIV/0!</v>
      </c>
      <c r="J85" s="302">
        <v>27.62</v>
      </c>
      <c r="K85" s="278">
        <v>4096.0</v>
      </c>
      <c r="L85" s="296"/>
      <c r="M85" s="303">
        <v>171.29</v>
      </c>
      <c r="N85" s="109">
        <f t="shared" si="57"/>
        <v>0.161247008</v>
      </c>
      <c r="O85" s="110">
        <f t="shared" si="5"/>
        <v>6.20166546</v>
      </c>
      <c r="P85" s="109" t="str">
        <f t="shared" si="6"/>
        <v>#DIV/0!</v>
      </c>
      <c r="Q85" s="111" t="str">
        <f t="shared" si="7"/>
        <v>#DIV/0!</v>
      </c>
      <c r="R85" s="304">
        <f t="shared" si="56"/>
        <v>-171.29</v>
      </c>
      <c r="S85" s="113" t="str">
        <f t="shared" si="9"/>
        <v>#DIV/0!</v>
      </c>
      <c r="T85" s="114"/>
      <c r="U85" s="114"/>
      <c r="V85" s="114"/>
      <c r="W85" s="114"/>
      <c r="X85" s="115"/>
      <c r="Y85" s="98"/>
      <c r="Z85" s="98"/>
    </row>
    <row r="86" hidden="1" outlineLevel="1">
      <c r="A86" s="293"/>
      <c r="B86" s="116"/>
      <c r="C86" s="294" t="s">
        <v>76</v>
      </c>
      <c r="D86" s="298"/>
      <c r="E86" s="296"/>
      <c r="F86" s="296"/>
      <c r="G86" s="104" t="str">
        <f t="shared" si="43"/>
        <v>#DIV/0!</v>
      </c>
      <c r="H86" s="105" t="str">
        <f t="shared" si="44"/>
        <v>#DIV/0!</v>
      </c>
      <c r="I86" s="106" t="str">
        <f t="shared" si="45"/>
        <v>#DIV/0!</v>
      </c>
      <c r="J86" s="120">
        <v>522.66</v>
      </c>
      <c r="K86" s="278">
        <v>27075.0</v>
      </c>
      <c r="L86" s="296"/>
      <c r="M86" s="121">
        <v>1363.29</v>
      </c>
      <c r="N86" s="109">
        <f t="shared" si="57"/>
        <v>0.3833813789</v>
      </c>
      <c r="O86" s="110">
        <f t="shared" si="5"/>
        <v>2.608368729</v>
      </c>
      <c r="P86" s="109" t="str">
        <f t="shared" si="6"/>
        <v>#DIV/0!</v>
      </c>
      <c r="Q86" s="111" t="str">
        <f t="shared" si="7"/>
        <v>#DIV/0!</v>
      </c>
      <c r="R86" s="122">
        <f t="shared" si="56"/>
        <v>-1363.29</v>
      </c>
      <c r="S86" s="113" t="str">
        <f t="shared" si="9"/>
        <v>#DIV/0!</v>
      </c>
      <c r="T86" s="114"/>
      <c r="U86" s="114"/>
      <c r="V86" s="114"/>
      <c r="W86" s="114"/>
      <c r="X86" s="115"/>
      <c r="Y86" s="98"/>
      <c r="Z86" s="98"/>
    </row>
    <row r="87" hidden="1" outlineLevel="1">
      <c r="A87" s="293"/>
      <c r="B87" s="99" t="s">
        <v>37</v>
      </c>
      <c r="C87" s="294" t="s">
        <v>77</v>
      </c>
      <c r="D87" s="305"/>
      <c r="E87" s="296"/>
      <c r="F87" s="296"/>
      <c r="G87" s="104" t="str">
        <f t="shared" si="43"/>
        <v>#DIV/0!</v>
      </c>
      <c r="H87" s="105" t="str">
        <f t="shared" si="44"/>
        <v>#DIV/0!</v>
      </c>
      <c r="I87" s="106" t="str">
        <f t="shared" si="45"/>
        <v>#DIV/0!</v>
      </c>
      <c r="J87" s="123">
        <v>111.53</v>
      </c>
      <c r="K87" s="278">
        <v>6787.0</v>
      </c>
      <c r="L87" s="296"/>
      <c r="M87" s="124">
        <v>295.38</v>
      </c>
      <c r="N87" s="109">
        <f t="shared" si="57"/>
        <v>0.3775814205</v>
      </c>
      <c r="O87" s="110">
        <f t="shared" si="5"/>
        <v>2.648435399</v>
      </c>
      <c r="P87" s="109" t="str">
        <f t="shared" si="6"/>
        <v>#DIV/0!</v>
      </c>
      <c r="Q87" s="111" t="str">
        <f t="shared" si="7"/>
        <v>#DIV/0!</v>
      </c>
      <c r="R87" s="125">
        <f t="shared" si="56"/>
        <v>-295.38</v>
      </c>
      <c r="S87" s="113" t="str">
        <f t="shared" si="9"/>
        <v>#DIV/0!</v>
      </c>
      <c r="T87" s="114"/>
      <c r="U87" s="114"/>
      <c r="V87" s="114"/>
      <c r="W87" s="114"/>
      <c r="X87" s="115"/>
      <c r="Y87" s="98"/>
      <c r="Z87" s="98"/>
    </row>
    <row r="88" hidden="1" outlineLevel="1">
      <c r="A88" s="293"/>
      <c r="B88" s="116"/>
      <c r="C88" s="294" t="s">
        <v>78</v>
      </c>
      <c r="D88" s="306"/>
      <c r="E88" s="296"/>
      <c r="F88" s="296"/>
      <c r="G88" s="104" t="str">
        <f t="shared" si="43"/>
        <v>#DIV/0!</v>
      </c>
      <c r="H88" s="105" t="str">
        <f t="shared" si="44"/>
        <v>#DIV/0!</v>
      </c>
      <c r="I88" s="106" t="str">
        <f t="shared" si="45"/>
        <v>#DIV/0!</v>
      </c>
      <c r="J88" s="126">
        <v>78.75</v>
      </c>
      <c r="K88" s="278">
        <v>11989.0</v>
      </c>
      <c r="L88" s="296"/>
      <c r="M88" s="127">
        <v>1177.0</v>
      </c>
      <c r="N88" s="109">
        <f t="shared" si="57"/>
        <v>0.06690739167</v>
      </c>
      <c r="O88" s="110">
        <f t="shared" si="5"/>
        <v>14.94603175</v>
      </c>
      <c r="P88" s="109" t="str">
        <f t="shared" si="6"/>
        <v>#DIV/0!</v>
      </c>
      <c r="Q88" s="111" t="str">
        <f t="shared" si="7"/>
        <v>#DIV/0!</v>
      </c>
      <c r="R88" s="128">
        <f t="shared" si="56"/>
        <v>-1177</v>
      </c>
      <c r="S88" s="113" t="str">
        <f t="shared" si="9"/>
        <v>#DIV/0!</v>
      </c>
      <c r="T88" s="114"/>
      <c r="U88" s="114"/>
      <c r="V88" s="114"/>
      <c r="W88" s="114"/>
      <c r="X88" s="115"/>
      <c r="Y88" s="98"/>
      <c r="Z88" s="98"/>
    </row>
    <row r="89" hidden="1" outlineLevel="1">
      <c r="A89" s="293"/>
      <c r="B89" s="116"/>
      <c r="C89" s="294" t="s">
        <v>79</v>
      </c>
      <c r="D89" s="307"/>
      <c r="E89" s="296"/>
      <c r="F89" s="296"/>
      <c r="G89" s="104" t="str">
        <f t="shared" si="43"/>
        <v>#DIV/0!</v>
      </c>
      <c r="H89" s="105" t="str">
        <f t="shared" si="44"/>
        <v>#DIV/0!</v>
      </c>
      <c r="I89" s="106" t="str">
        <f t="shared" si="45"/>
        <v>#DIV/0!</v>
      </c>
      <c r="J89" s="129">
        <v>119.54</v>
      </c>
      <c r="K89" s="278">
        <v>18801.0</v>
      </c>
      <c r="L89" s="296"/>
      <c r="M89" s="130">
        <v>383.31</v>
      </c>
      <c r="N89" s="109">
        <f t="shared" si="57"/>
        <v>0.3118624612</v>
      </c>
      <c r="O89" s="110">
        <f t="shared" si="5"/>
        <v>3.206541743</v>
      </c>
      <c r="P89" s="109" t="str">
        <f t="shared" si="6"/>
        <v>#DIV/0!</v>
      </c>
      <c r="Q89" s="111" t="str">
        <f t="shared" si="7"/>
        <v>#DIV/0!</v>
      </c>
      <c r="R89" s="131">
        <f t="shared" si="56"/>
        <v>-383.31</v>
      </c>
      <c r="S89" s="113" t="str">
        <f t="shared" si="9"/>
        <v>#DIV/0!</v>
      </c>
      <c r="T89" s="114"/>
      <c r="U89" s="114"/>
      <c r="V89" s="114"/>
      <c r="W89" s="114"/>
      <c r="X89" s="115"/>
      <c r="Y89" s="98"/>
      <c r="Z89" s="98"/>
    </row>
    <row r="90" hidden="1" outlineLevel="1">
      <c r="A90" s="293"/>
      <c r="B90" s="116"/>
      <c r="C90" s="294" t="s">
        <v>80</v>
      </c>
      <c r="D90" s="307"/>
      <c r="E90" s="296"/>
      <c r="F90" s="296"/>
      <c r="G90" s="104" t="str">
        <f t="shared" si="43"/>
        <v>#DIV/0!</v>
      </c>
      <c r="H90" s="105" t="str">
        <f t="shared" si="44"/>
        <v>#DIV/0!</v>
      </c>
      <c r="I90" s="106" t="str">
        <f t="shared" si="45"/>
        <v>#DIV/0!</v>
      </c>
      <c r="J90" s="135">
        <v>376.48</v>
      </c>
      <c r="K90" s="278">
        <v>36429.0</v>
      </c>
      <c r="L90" s="296"/>
      <c r="M90" s="136">
        <v>739.85</v>
      </c>
      <c r="N90" s="109">
        <f t="shared" si="57"/>
        <v>0.508859904</v>
      </c>
      <c r="O90" s="110">
        <f t="shared" si="5"/>
        <v>1.965177433</v>
      </c>
      <c r="P90" s="109" t="str">
        <f t="shared" si="6"/>
        <v>#DIV/0!</v>
      </c>
      <c r="Q90" s="111" t="str">
        <f t="shared" si="7"/>
        <v>#DIV/0!</v>
      </c>
      <c r="R90" s="137">
        <f t="shared" si="56"/>
        <v>-739.85</v>
      </c>
      <c r="S90" s="113" t="str">
        <f t="shared" si="9"/>
        <v>#DIV/0!</v>
      </c>
      <c r="T90" s="114"/>
      <c r="U90" s="114"/>
      <c r="V90" s="114"/>
      <c r="W90" s="114"/>
      <c r="X90" s="115"/>
      <c r="Y90" s="98"/>
      <c r="Z90" s="98"/>
    </row>
    <row r="91" hidden="1" outlineLevel="1">
      <c r="A91" s="293"/>
      <c r="B91" s="116"/>
      <c r="C91" s="294" t="s">
        <v>82</v>
      </c>
      <c r="D91" s="307"/>
      <c r="E91" s="296"/>
      <c r="F91" s="296"/>
      <c r="G91" s="104" t="str">
        <f t="shared" si="43"/>
        <v>#DIV/0!</v>
      </c>
      <c r="H91" s="105" t="str">
        <f t="shared" si="44"/>
        <v>#DIV/0!</v>
      </c>
      <c r="I91" s="106" t="str">
        <f t="shared" si="45"/>
        <v>#DIV/0!</v>
      </c>
      <c r="J91" s="135">
        <v>117.28</v>
      </c>
      <c r="K91" s="278">
        <v>10425.0</v>
      </c>
      <c r="L91" s="296"/>
      <c r="M91" s="136">
        <v>210.6</v>
      </c>
      <c r="N91" s="109">
        <f t="shared" si="57"/>
        <v>0.5568850902</v>
      </c>
      <c r="O91" s="110">
        <f t="shared" si="5"/>
        <v>1.795702592</v>
      </c>
      <c r="P91" s="109" t="str">
        <f t="shared" si="6"/>
        <v>#DIV/0!</v>
      </c>
      <c r="Q91" s="111" t="str">
        <f t="shared" si="7"/>
        <v>#DIV/0!</v>
      </c>
      <c r="R91" s="137">
        <f t="shared" si="56"/>
        <v>-210.6</v>
      </c>
      <c r="S91" s="113" t="str">
        <f t="shared" si="9"/>
        <v>#DIV/0!</v>
      </c>
      <c r="T91" s="114"/>
      <c r="U91" s="114"/>
      <c r="V91" s="114"/>
      <c r="W91" s="114"/>
      <c r="X91" s="115"/>
      <c r="Y91" s="98"/>
      <c r="Z91" s="98"/>
    </row>
    <row r="92" hidden="1" outlineLevel="1">
      <c r="A92" s="293"/>
      <c r="B92" s="116"/>
      <c r="C92" s="294" t="s">
        <v>83</v>
      </c>
      <c r="D92" s="307"/>
      <c r="E92" s="296"/>
      <c r="F92" s="296"/>
      <c r="G92" s="104" t="str">
        <f t="shared" si="43"/>
        <v>#DIV/0!</v>
      </c>
      <c r="H92" s="105" t="str">
        <f t="shared" si="44"/>
        <v>#DIV/0!</v>
      </c>
      <c r="I92" s="106" t="str">
        <f t="shared" si="45"/>
        <v>#DIV/0!</v>
      </c>
      <c r="J92" s="135">
        <v>1019.84</v>
      </c>
      <c r="K92" s="278">
        <v>65746.0</v>
      </c>
      <c r="L92" s="296"/>
      <c r="M92" s="136">
        <v>3327.5</v>
      </c>
      <c r="N92" s="109">
        <f t="shared" si="57"/>
        <v>0.3064883546</v>
      </c>
      <c r="O92" s="110">
        <f t="shared" si="5"/>
        <v>3.262766709</v>
      </c>
      <c r="P92" s="109" t="str">
        <f t="shared" si="6"/>
        <v>#DIV/0!</v>
      </c>
      <c r="Q92" s="111" t="str">
        <f t="shared" si="7"/>
        <v>#DIV/0!</v>
      </c>
      <c r="R92" s="137">
        <f t="shared" si="56"/>
        <v>-3327.5</v>
      </c>
      <c r="S92" s="113" t="str">
        <f t="shared" si="9"/>
        <v>#DIV/0!</v>
      </c>
      <c r="T92" s="114"/>
      <c r="U92" s="114"/>
      <c r="V92" s="114"/>
      <c r="W92" s="114"/>
      <c r="X92" s="115"/>
      <c r="Y92" s="98"/>
      <c r="Z92" s="98"/>
    </row>
    <row r="93" hidden="1" outlineLevel="1">
      <c r="A93" s="310" t="str">
        <f t="shared" ref="A93:A94" si="58">iferror(if(B93&gt;0,month(B93)&amp;"-"&amp;year(B93),B93),)</f>
        <v>1-2026</v>
      </c>
      <c r="B93" s="99">
        <v>46053.0</v>
      </c>
      <c r="C93" s="294" t="s">
        <v>81</v>
      </c>
      <c r="D93" s="311"/>
      <c r="E93" s="296"/>
      <c r="F93" s="296"/>
      <c r="G93" s="104" t="str">
        <f t="shared" si="43"/>
        <v>#DIV/0!</v>
      </c>
      <c r="H93" s="105" t="str">
        <f t="shared" si="44"/>
        <v>#DIV/0!</v>
      </c>
      <c r="I93" s="106" t="str">
        <f t="shared" si="45"/>
        <v>#DIV/0!</v>
      </c>
      <c r="J93" s="117">
        <v>0.0</v>
      </c>
      <c r="K93" s="278">
        <v>0.0</v>
      </c>
      <c r="L93" s="296"/>
      <c r="M93" s="118">
        <v>0.0</v>
      </c>
      <c r="N93" s="109" t="str">
        <f t="shared" si="57"/>
        <v>#DIV/0!</v>
      </c>
      <c r="O93" s="110" t="str">
        <f t="shared" si="5"/>
        <v>#DIV/0!</v>
      </c>
      <c r="P93" s="109" t="str">
        <f t="shared" si="6"/>
        <v>#DIV/0!</v>
      </c>
      <c r="Q93" s="111" t="str">
        <f t="shared" si="7"/>
        <v>#DIV/0!</v>
      </c>
      <c r="R93" s="112">
        <f t="shared" si="56"/>
        <v>0</v>
      </c>
      <c r="S93" s="113" t="str">
        <f t="shared" si="9"/>
        <v>#DIV/0!</v>
      </c>
      <c r="T93" s="114"/>
      <c r="U93" s="114"/>
      <c r="V93" s="114"/>
      <c r="W93" s="114"/>
      <c r="X93" s="115"/>
      <c r="Y93" s="98"/>
      <c r="Z93" s="98"/>
    </row>
    <row r="94" collapsed="1">
      <c r="A94" s="293" t="str">
        <f t="shared" si="58"/>
        <v/>
      </c>
      <c r="B94" s="149" t="s">
        <v>55</v>
      </c>
      <c r="C94" s="312"/>
      <c r="D94" s="151">
        <f t="shared" ref="D94:F94" si="59">SUM(D80:D93)</f>
        <v>0</v>
      </c>
      <c r="E94" s="153">
        <f t="shared" si="59"/>
        <v>0</v>
      </c>
      <c r="F94" s="153">
        <f t="shared" si="59"/>
        <v>0</v>
      </c>
      <c r="G94" s="154" t="str">
        <f t="shared" si="43"/>
        <v>#DIV/0!</v>
      </c>
      <c r="H94" s="155" t="str">
        <f t="shared" si="44"/>
        <v>#DIV/0!</v>
      </c>
      <c r="I94" s="156" t="str">
        <f t="shared" si="45"/>
        <v>#DIV/0!</v>
      </c>
      <c r="J94" s="151">
        <f t="shared" ref="J94:M94" si="60">SUM(J80:J93)</f>
        <v>3032.95</v>
      </c>
      <c r="K94" s="313">
        <f t="shared" si="60"/>
        <v>264038</v>
      </c>
      <c r="L94" s="153">
        <f t="shared" si="60"/>
        <v>0</v>
      </c>
      <c r="M94" s="157">
        <f t="shared" si="60"/>
        <v>9507.42</v>
      </c>
      <c r="N94" s="158">
        <f t="shared" si="57"/>
        <v>0.3190087321</v>
      </c>
      <c r="O94" s="159">
        <f t="shared" si="5"/>
        <v>3.13471043</v>
      </c>
      <c r="P94" s="158" t="str">
        <f t="shared" si="6"/>
        <v>#DIV/0!</v>
      </c>
      <c r="Q94" s="160" t="str">
        <f t="shared" si="7"/>
        <v>#DIV/0!</v>
      </c>
      <c r="R94" s="161">
        <f>SUM(R80:R93)</f>
        <v>-9507.42</v>
      </c>
      <c r="S94" s="162" t="str">
        <f t="shared" si="9"/>
        <v>#DIV/0!</v>
      </c>
      <c r="T94" s="164" t="str">
        <f t="shared" ref="T94:U94" si="61">IFERROR((D94-#REF!)/D94,)</f>
        <v/>
      </c>
      <c r="U94" s="164" t="str">
        <f t="shared" si="61"/>
        <v/>
      </c>
      <c r="V94" s="164" t="str">
        <f t="shared" ref="V94:W94" si="62">IFERROR((D94-#REF!)/D94, )</f>
        <v/>
      </c>
      <c r="W94" s="164" t="str">
        <f t="shared" si="62"/>
        <v/>
      </c>
      <c r="X94" s="98"/>
      <c r="Y94" s="98"/>
      <c r="Z94" s="98"/>
    </row>
    <row r="95" hidden="1" outlineLevel="1">
      <c r="A95" s="293"/>
      <c r="B95" s="99">
        <v>46054.0</v>
      </c>
      <c r="C95" s="294" t="s">
        <v>70</v>
      </c>
      <c r="D95" s="295"/>
      <c r="E95" s="296"/>
      <c r="F95" s="296"/>
      <c r="G95" s="104" t="str">
        <f t="shared" si="43"/>
        <v>#DIV/0!</v>
      </c>
      <c r="H95" s="105" t="str">
        <f t="shared" si="44"/>
        <v>#DIV/0!</v>
      </c>
      <c r="I95" s="106" t="str">
        <f t="shared" si="45"/>
        <v>#DIV/0!</v>
      </c>
      <c r="J95" s="107">
        <v>268.38</v>
      </c>
      <c r="K95" s="278">
        <v>39379.0</v>
      </c>
      <c r="L95" s="296"/>
      <c r="M95" s="108">
        <v>613.28</v>
      </c>
      <c r="N95" s="109">
        <f t="shared" si="57"/>
        <v>0.4376141404</v>
      </c>
      <c r="O95" s="110">
        <f t="shared" si="5"/>
        <v>2.285118116</v>
      </c>
      <c r="P95" s="109" t="str">
        <f t="shared" si="6"/>
        <v>#DIV/0!</v>
      </c>
      <c r="Q95" s="111" t="str">
        <f t="shared" si="7"/>
        <v>#DIV/0!</v>
      </c>
      <c r="R95" s="112">
        <f t="shared" ref="R95:R108" si="63">D95-M95</f>
        <v>-613.28</v>
      </c>
      <c r="S95" s="113" t="str">
        <f t="shared" si="9"/>
        <v>#DIV/0!</v>
      </c>
      <c r="T95" s="114"/>
      <c r="U95" s="114"/>
      <c r="V95" s="114"/>
      <c r="W95" s="114"/>
      <c r="X95" s="115"/>
      <c r="Y95" s="98"/>
      <c r="Z95" s="98"/>
    </row>
    <row r="96" hidden="1" outlineLevel="1">
      <c r="A96" s="293"/>
      <c r="B96" s="116"/>
      <c r="C96" s="294" t="s">
        <v>71</v>
      </c>
      <c r="D96" s="297"/>
      <c r="E96" s="296"/>
      <c r="F96" s="296"/>
      <c r="G96" s="104" t="str">
        <f t="shared" si="43"/>
        <v>#DIV/0!</v>
      </c>
      <c r="H96" s="105" t="str">
        <f t="shared" si="44"/>
        <v>#DIV/0!</v>
      </c>
      <c r="I96" s="106" t="str">
        <f t="shared" si="45"/>
        <v>#DIV/0!</v>
      </c>
      <c r="J96" s="117">
        <v>125.83</v>
      </c>
      <c r="K96" s="278">
        <v>15324.0</v>
      </c>
      <c r="L96" s="296"/>
      <c r="M96" s="118">
        <v>224.83</v>
      </c>
      <c r="N96" s="109">
        <f t="shared" si="57"/>
        <v>0.5596673042</v>
      </c>
      <c r="O96" s="110">
        <f t="shared" si="5"/>
        <v>1.786775809</v>
      </c>
      <c r="P96" s="109" t="str">
        <f t="shared" si="6"/>
        <v>#DIV/0!</v>
      </c>
      <c r="Q96" s="111" t="str">
        <f t="shared" si="7"/>
        <v>#DIV/0!</v>
      </c>
      <c r="R96" s="119">
        <f t="shared" si="63"/>
        <v>-224.83</v>
      </c>
      <c r="S96" s="113" t="str">
        <f t="shared" si="9"/>
        <v>#DIV/0!</v>
      </c>
      <c r="T96" s="114"/>
      <c r="U96" s="114"/>
      <c r="V96" s="114"/>
      <c r="W96" s="114"/>
      <c r="X96" s="115"/>
      <c r="Y96" s="98"/>
      <c r="Z96" s="98"/>
    </row>
    <row r="97" hidden="1" outlineLevel="1">
      <c r="A97" s="293"/>
      <c r="B97" s="116"/>
      <c r="C97" s="294" t="s">
        <v>72</v>
      </c>
      <c r="D97" s="298"/>
      <c r="E97" s="296"/>
      <c r="F97" s="296"/>
      <c r="G97" s="104" t="str">
        <f t="shared" si="43"/>
        <v>#DIV/0!</v>
      </c>
      <c r="H97" s="105" t="str">
        <f t="shared" si="44"/>
        <v>#DIV/0!</v>
      </c>
      <c r="I97" s="106" t="str">
        <f t="shared" si="45"/>
        <v>#DIV/0!</v>
      </c>
      <c r="J97" s="120">
        <v>92.39</v>
      </c>
      <c r="K97" s="278">
        <v>9366.0</v>
      </c>
      <c r="L97" s="296"/>
      <c r="M97" s="121">
        <v>274.95</v>
      </c>
      <c r="N97" s="109">
        <f>(J97/M97)</f>
        <v>0.3360247318</v>
      </c>
      <c r="O97" s="110">
        <f t="shared" si="5"/>
        <v>2.975971425</v>
      </c>
      <c r="P97" s="109" t="str">
        <f t="shared" si="6"/>
        <v>#DIV/0!</v>
      </c>
      <c r="Q97" s="111" t="str">
        <f t="shared" si="7"/>
        <v>#DIV/0!</v>
      </c>
      <c r="R97" s="122">
        <f t="shared" si="63"/>
        <v>-274.95</v>
      </c>
      <c r="S97" s="113" t="str">
        <f t="shared" si="9"/>
        <v>#DIV/0!</v>
      </c>
      <c r="T97" s="114"/>
      <c r="U97" s="114"/>
      <c r="V97" s="114"/>
      <c r="W97" s="114"/>
      <c r="X97" s="115"/>
      <c r="Y97" s="98"/>
      <c r="Z97" s="98"/>
    </row>
    <row r="98" hidden="1" outlineLevel="1">
      <c r="A98" s="293"/>
      <c r="B98" s="116"/>
      <c r="C98" s="294" t="s">
        <v>73</v>
      </c>
      <c r="D98" s="298"/>
      <c r="E98" s="296"/>
      <c r="F98" s="296"/>
      <c r="G98" s="104" t="str">
        <f t="shared" si="43"/>
        <v>#DIV/0!</v>
      </c>
      <c r="H98" s="105" t="str">
        <f t="shared" si="44"/>
        <v>#DIV/0!</v>
      </c>
      <c r="I98" s="106" t="str">
        <f t="shared" si="45"/>
        <v>#DIV/0!</v>
      </c>
      <c r="J98" s="120">
        <v>255.91</v>
      </c>
      <c r="K98" s="278">
        <v>30480.0</v>
      </c>
      <c r="L98" s="296"/>
      <c r="M98" s="121">
        <v>362.7</v>
      </c>
      <c r="N98" s="109">
        <f t="shared" ref="N98:N111" si="64">J98/M98</f>
        <v>0.7055693411</v>
      </c>
      <c r="O98" s="110">
        <f t="shared" si="5"/>
        <v>1.417295143</v>
      </c>
      <c r="P98" s="109" t="str">
        <f t="shared" si="6"/>
        <v>#DIV/0!</v>
      </c>
      <c r="Q98" s="111" t="str">
        <f t="shared" si="7"/>
        <v>#DIV/0!</v>
      </c>
      <c r="R98" s="122">
        <f t="shared" si="63"/>
        <v>-362.7</v>
      </c>
      <c r="S98" s="113" t="str">
        <f t="shared" si="9"/>
        <v>#DIV/0!</v>
      </c>
      <c r="T98" s="114"/>
      <c r="U98" s="114"/>
      <c r="V98" s="114"/>
      <c r="W98" s="114"/>
      <c r="X98" s="115"/>
      <c r="Y98" s="98"/>
      <c r="Z98" s="98"/>
    </row>
    <row r="99" hidden="1" outlineLevel="1">
      <c r="A99" s="293"/>
      <c r="B99" s="116"/>
      <c r="C99" s="294" t="s">
        <v>74</v>
      </c>
      <c r="D99" s="299"/>
      <c r="E99" s="296"/>
      <c r="F99" s="296"/>
      <c r="G99" s="104" t="str">
        <f t="shared" si="43"/>
        <v>#DIV/0!</v>
      </c>
      <c r="H99" s="105" t="str">
        <f t="shared" si="44"/>
        <v>#DIV/0!</v>
      </c>
      <c r="I99" s="106" t="str">
        <f t="shared" si="45"/>
        <v>#DIV/0!</v>
      </c>
      <c r="J99" s="300">
        <v>655.15</v>
      </c>
      <c r="K99" s="278">
        <v>51351.0</v>
      </c>
      <c r="L99" s="296"/>
      <c r="M99" s="300">
        <v>1199.6</v>
      </c>
      <c r="N99" s="109">
        <f t="shared" si="64"/>
        <v>0.5461403801</v>
      </c>
      <c r="O99" s="110">
        <f t="shared" si="5"/>
        <v>1.831031062</v>
      </c>
      <c r="P99" s="109" t="str">
        <f t="shared" si="6"/>
        <v>#DIV/0!</v>
      </c>
      <c r="Q99" s="111" t="str">
        <f t="shared" si="7"/>
        <v>#DIV/0!</v>
      </c>
      <c r="R99" s="122">
        <f t="shared" si="63"/>
        <v>-1199.6</v>
      </c>
      <c r="S99" s="113" t="str">
        <f t="shared" si="9"/>
        <v>#DIV/0!</v>
      </c>
      <c r="T99" s="114"/>
      <c r="U99" s="114"/>
      <c r="V99" s="114"/>
      <c r="W99" s="114"/>
      <c r="X99" s="115"/>
      <c r="Y99" s="98"/>
      <c r="Z99" s="98"/>
    </row>
    <row r="100" hidden="1" outlineLevel="1">
      <c r="A100" s="293"/>
      <c r="B100" s="116"/>
      <c r="C100" s="294" t="s">
        <v>75</v>
      </c>
      <c r="D100" s="301"/>
      <c r="E100" s="296"/>
      <c r="F100" s="296"/>
      <c r="G100" s="104" t="str">
        <f t="shared" si="43"/>
        <v>#DIV/0!</v>
      </c>
      <c r="H100" s="105" t="str">
        <f t="shared" si="44"/>
        <v>#DIV/0!</v>
      </c>
      <c r="I100" s="106" t="str">
        <f t="shared" si="45"/>
        <v>#DIV/0!</v>
      </c>
      <c r="J100" s="302">
        <v>80.02</v>
      </c>
      <c r="K100" s="278">
        <v>9372.0</v>
      </c>
      <c r="L100" s="296"/>
      <c r="M100" s="303">
        <v>59.95</v>
      </c>
      <c r="N100" s="109">
        <f t="shared" si="64"/>
        <v>1.334778982</v>
      </c>
      <c r="O100" s="110">
        <f t="shared" si="5"/>
        <v>0.7491877031</v>
      </c>
      <c r="P100" s="109" t="str">
        <f t="shared" si="6"/>
        <v>#DIV/0!</v>
      </c>
      <c r="Q100" s="111" t="str">
        <f t="shared" si="7"/>
        <v>#DIV/0!</v>
      </c>
      <c r="R100" s="304">
        <f t="shared" si="63"/>
        <v>-59.95</v>
      </c>
      <c r="S100" s="113" t="str">
        <f t="shared" si="9"/>
        <v>#DIV/0!</v>
      </c>
      <c r="T100" s="114"/>
      <c r="U100" s="114"/>
      <c r="V100" s="114"/>
      <c r="W100" s="114"/>
      <c r="X100" s="115"/>
      <c r="Y100" s="98"/>
      <c r="Z100" s="98"/>
    </row>
    <row r="101" hidden="1" outlineLevel="1">
      <c r="A101" s="293"/>
      <c r="B101" s="116"/>
      <c r="C101" s="294" t="s">
        <v>76</v>
      </c>
      <c r="D101" s="298"/>
      <c r="E101" s="296"/>
      <c r="F101" s="296"/>
      <c r="G101" s="104" t="str">
        <f t="shared" si="43"/>
        <v>#DIV/0!</v>
      </c>
      <c r="H101" s="105" t="str">
        <f t="shared" si="44"/>
        <v>#DIV/0!</v>
      </c>
      <c r="I101" s="106" t="str">
        <f t="shared" si="45"/>
        <v>#DIV/0!</v>
      </c>
      <c r="J101" s="120">
        <v>592.69</v>
      </c>
      <c r="K101" s="278">
        <v>26681.0</v>
      </c>
      <c r="L101" s="296"/>
      <c r="M101" s="121">
        <v>1284.19</v>
      </c>
      <c r="N101" s="109">
        <f t="shared" si="64"/>
        <v>0.4615282785</v>
      </c>
      <c r="O101" s="110">
        <f t="shared" si="5"/>
        <v>2.166714471</v>
      </c>
      <c r="P101" s="109" t="str">
        <f t="shared" si="6"/>
        <v>#DIV/0!</v>
      </c>
      <c r="Q101" s="111" t="str">
        <f t="shared" si="7"/>
        <v>#DIV/0!</v>
      </c>
      <c r="R101" s="122">
        <f t="shared" si="63"/>
        <v>-1284.19</v>
      </c>
      <c r="S101" s="113" t="str">
        <f t="shared" si="9"/>
        <v>#DIV/0!</v>
      </c>
      <c r="T101" s="114"/>
      <c r="U101" s="114"/>
      <c r="V101" s="114"/>
      <c r="W101" s="114"/>
      <c r="X101" s="115"/>
      <c r="Y101" s="98"/>
      <c r="Z101" s="98"/>
    </row>
    <row r="102" hidden="1" outlineLevel="1">
      <c r="A102" s="293"/>
      <c r="B102" s="99" t="s">
        <v>37</v>
      </c>
      <c r="C102" s="294" t="s">
        <v>77</v>
      </c>
      <c r="D102" s="305"/>
      <c r="E102" s="296"/>
      <c r="F102" s="296"/>
      <c r="G102" s="104" t="str">
        <f t="shared" si="43"/>
        <v>#DIV/0!</v>
      </c>
      <c r="H102" s="105" t="str">
        <f t="shared" si="44"/>
        <v>#DIV/0!</v>
      </c>
      <c r="I102" s="106" t="str">
        <f t="shared" si="45"/>
        <v>#DIV/0!</v>
      </c>
      <c r="J102" s="123">
        <v>103.9</v>
      </c>
      <c r="K102" s="278">
        <v>4850.0</v>
      </c>
      <c r="L102" s="296"/>
      <c r="M102" s="124">
        <v>634.71</v>
      </c>
      <c r="N102" s="109">
        <f t="shared" si="64"/>
        <v>0.1636968064</v>
      </c>
      <c r="O102" s="110">
        <f t="shared" si="5"/>
        <v>6.108854668</v>
      </c>
      <c r="P102" s="109" t="str">
        <f t="shared" si="6"/>
        <v>#DIV/0!</v>
      </c>
      <c r="Q102" s="111" t="str">
        <f t="shared" si="7"/>
        <v>#DIV/0!</v>
      </c>
      <c r="R102" s="125">
        <f t="shared" si="63"/>
        <v>-634.71</v>
      </c>
      <c r="S102" s="113" t="str">
        <f t="shared" si="9"/>
        <v>#DIV/0!</v>
      </c>
      <c r="T102" s="114"/>
      <c r="U102" s="114"/>
      <c r="V102" s="114"/>
      <c r="W102" s="114"/>
      <c r="X102" s="115"/>
      <c r="Y102" s="98"/>
      <c r="Z102" s="98"/>
    </row>
    <row r="103" hidden="1" outlineLevel="1">
      <c r="A103" s="293"/>
      <c r="B103" s="116"/>
      <c r="C103" s="294" t="s">
        <v>78</v>
      </c>
      <c r="D103" s="306"/>
      <c r="E103" s="296"/>
      <c r="F103" s="296"/>
      <c r="G103" s="104" t="str">
        <f t="shared" si="43"/>
        <v>#DIV/0!</v>
      </c>
      <c r="H103" s="105" t="str">
        <f t="shared" si="44"/>
        <v>#DIV/0!</v>
      </c>
      <c r="I103" s="106" t="str">
        <f t="shared" si="45"/>
        <v>#DIV/0!</v>
      </c>
      <c r="J103" s="126">
        <v>636.48</v>
      </c>
      <c r="K103" s="278">
        <v>66071.0</v>
      </c>
      <c r="L103" s="296"/>
      <c r="M103" s="127">
        <v>0.0</v>
      </c>
      <c r="N103" s="109" t="str">
        <f t="shared" si="64"/>
        <v>#DIV/0!</v>
      </c>
      <c r="O103" s="110">
        <f t="shared" si="5"/>
        <v>0</v>
      </c>
      <c r="P103" s="109" t="str">
        <f t="shared" si="6"/>
        <v>#DIV/0!</v>
      </c>
      <c r="Q103" s="111" t="str">
        <f t="shared" si="7"/>
        <v>#DIV/0!</v>
      </c>
      <c r="R103" s="128">
        <f t="shared" si="63"/>
        <v>0</v>
      </c>
      <c r="S103" s="113" t="str">
        <f t="shared" si="9"/>
        <v>#DIV/0!</v>
      </c>
      <c r="T103" s="114"/>
      <c r="U103" s="114"/>
      <c r="V103" s="114"/>
      <c r="W103" s="114"/>
      <c r="X103" s="115"/>
      <c r="Y103" s="98"/>
      <c r="Z103" s="98"/>
    </row>
    <row r="104" hidden="1" outlineLevel="1">
      <c r="A104" s="293"/>
      <c r="B104" s="116"/>
      <c r="C104" s="294" t="s">
        <v>79</v>
      </c>
      <c r="D104" s="307"/>
      <c r="E104" s="296"/>
      <c r="F104" s="296"/>
      <c r="G104" s="104" t="str">
        <f t="shared" si="43"/>
        <v>#DIV/0!</v>
      </c>
      <c r="H104" s="105" t="str">
        <f t="shared" si="44"/>
        <v>#DIV/0!</v>
      </c>
      <c r="I104" s="106" t="str">
        <f t="shared" si="45"/>
        <v>#DIV/0!</v>
      </c>
      <c r="J104" s="129">
        <v>296.97</v>
      </c>
      <c r="K104" s="278">
        <v>40093.0</v>
      </c>
      <c r="L104" s="296"/>
      <c r="M104" s="130">
        <v>708.2</v>
      </c>
      <c r="N104" s="109">
        <f t="shared" si="64"/>
        <v>0.4193306975</v>
      </c>
      <c r="O104" s="110">
        <f t="shared" si="5"/>
        <v>2.384752669</v>
      </c>
      <c r="P104" s="109" t="str">
        <f t="shared" si="6"/>
        <v>#DIV/0!</v>
      </c>
      <c r="Q104" s="111" t="str">
        <f t="shared" si="7"/>
        <v>#DIV/0!</v>
      </c>
      <c r="R104" s="131">
        <f t="shared" si="63"/>
        <v>-708.2</v>
      </c>
      <c r="S104" s="113" t="str">
        <f t="shared" si="9"/>
        <v>#DIV/0!</v>
      </c>
      <c r="T104" s="114"/>
      <c r="U104" s="114"/>
      <c r="V104" s="114"/>
      <c r="W104" s="114"/>
      <c r="X104" s="115"/>
      <c r="Y104" s="98"/>
      <c r="Z104" s="98"/>
    </row>
    <row r="105" hidden="1" outlineLevel="1">
      <c r="A105" s="293"/>
      <c r="B105" s="116"/>
      <c r="C105" s="294" t="s">
        <v>80</v>
      </c>
      <c r="D105" s="307"/>
      <c r="E105" s="296"/>
      <c r="F105" s="296"/>
      <c r="G105" s="104" t="str">
        <f t="shared" si="43"/>
        <v>#DIV/0!</v>
      </c>
      <c r="H105" s="105" t="str">
        <f t="shared" si="44"/>
        <v>#DIV/0!</v>
      </c>
      <c r="I105" s="106" t="str">
        <f t="shared" si="45"/>
        <v>#DIV/0!</v>
      </c>
      <c r="J105" s="135">
        <v>694.71</v>
      </c>
      <c r="K105" s="278">
        <v>60224.0</v>
      </c>
      <c r="L105" s="296"/>
      <c r="M105" s="136">
        <v>2499.5</v>
      </c>
      <c r="N105" s="109">
        <f t="shared" si="64"/>
        <v>0.2779395879</v>
      </c>
      <c r="O105" s="110">
        <f t="shared" si="5"/>
        <v>3.597904161</v>
      </c>
      <c r="P105" s="109" t="str">
        <f t="shared" si="6"/>
        <v>#DIV/0!</v>
      </c>
      <c r="Q105" s="111" t="str">
        <f t="shared" si="7"/>
        <v>#DIV/0!</v>
      </c>
      <c r="R105" s="137">
        <f t="shared" si="63"/>
        <v>-2499.5</v>
      </c>
      <c r="S105" s="113" t="str">
        <f t="shared" si="9"/>
        <v>#DIV/0!</v>
      </c>
      <c r="T105" s="114"/>
      <c r="U105" s="114"/>
      <c r="V105" s="114"/>
      <c r="W105" s="114"/>
      <c r="X105" s="115"/>
      <c r="Y105" s="98"/>
      <c r="Z105" s="98"/>
    </row>
    <row r="106" hidden="1" outlineLevel="1">
      <c r="A106" s="293"/>
      <c r="B106" s="116"/>
      <c r="C106" s="294" t="s">
        <v>82</v>
      </c>
      <c r="D106" s="307"/>
      <c r="E106" s="296"/>
      <c r="F106" s="296"/>
      <c r="G106" s="104" t="str">
        <f t="shared" si="43"/>
        <v>#DIV/0!</v>
      </c>
      <c r="H106" s="105" t="str">
        <f t="shared" si="44"/>
        <v>#DIV/0!</v>
      </c>
      <c r="I106" s="106" t="str">
        <f t="shared" si="45"/>
        <v>#DIV/0!</v>
      </c>
      <c r="J106" s="135">
        <v>390.97</v>
      </c>
      <c r="K106" s="278">
        <v>17053.0</v>
      </c>
      <c r="L106" s="296"/>
      <c r="M106" s="136">
        <v>307.29</v>
      </c>
      <c r="N106" s="109">
        <f t="shared" si="64"/>
        <v>1.272316053</v>
      </c>
      <c r="O106" s="110">
        <f t="shared" si="5"/>
        <v>0.7859682329</v>
      </c>
      <c r="P106" s="109" t="str">
        <f t="shared" si="6"/>
        <v>#DIV/0!</v>
      </c>
      <c r="Q106" s="111" t="str">
        <f t="shared" si="7"/>
        <v>#DIV/0!</v>
      </c>
      <c r="R106" s="137">
        <f t="shared" si="63"/>
        <v>-307.29</v>
      </c>
      <c r="S106" s="113" t="str">
        <f t="shared" si="9"/>
        <v>#DIV/0!</v>
      </c>
      <c r="T106" s="114"/>
      <c r="U106" s="114"/>
      <c r="V106" s="114"/>
      <c r="W106" s="114"/>
      <c r="X106" s="115"/>
      <c r="Y106" s="98"/>
      <c r="Z106" s="98"/>
    </row>
    <row r="107" hidden="1" outlineLevel="1">
      <c r="A107" s="293"/>
      <c r="B107" s="116"/>
      <c r="C107" s="294" t="s">
        <v>83</v>
      </c>
      <c r="D107" s="307"/>
      <c r="E107" s="296"/>
      <c r="F107" s="296"/>
      <c r="G107" s="104" t="str">
        <f t="shared" si="43"/>
        <v>#DIV/0!</v>
      </c>
      <c r="H107" s="105" t="str">
        <f t="shared" si="44"/>
        <v>#DIV/0!</v>
      </c>
      <c r="I107" s="106" t="str">
        <f t="shared" si="45"/>
        <v>#DIV/0!</v>
      </c>
      <c r="J107" s="135">
        <v>871.2</v>
      </c>
      <c r="K107" s="278">
        <v>62625.0</v>
      </c>
      <c r="L107" s="296"/>
      <c r="M107" s="136">
        <v>2348.31</v>
      </c>
      <c r="N107" s="109">
        <f t="shared" si="64"/>
        <v>0.3709902015</v>
      </c>
      <c r="O107" s="110">
        <f t="shared" si="5"/>
        <v>2.695488981</v>
      </c>
      <c r="P107" s="109" t="str">
        <f t="shared" si="6"/>
        <v>#DIV/0!</v>
      </c>
      <c r="Q107" s="111" t="str">
        <f t="shared" si="7"/>
        <v>#DIV/0!</v>
      </c>
      <c r="R107" s="137">
        <f t="shared" si="63"/>
        <v>-2348.31</v>
      </c>
      <c r="S107" s="113" t="str">
        <f t="shared" si="9"/>
        <v>#DIV/0!</v>
      </c>
      <c r="T107" s="114"/>
      <c r="U107" s="114"/>
      <c r="V107" s="114"/>
      <c r="W107" s="114"/>
      <c r="X107" s="115"/>
      <c r="Y107" s="98"/>
      <c r="Z107" s="98"/>
    </row>
    <row r="108" hidden="1" outlineLevel="1">
      <c r="A108" s="310" t="str">
        <f t="shared" ref="A108:A109" si="65">iferror(if(B108&gt;0,month(B108)&amp;"-"&amp;year(B108),B108),)</f>
        <v>2-2026</v>
      </c>
      <c r="B108" s="99">
        <v>46060.0</v>
      </c>
      <c r="C108" s="294" t="s">
        <v>81</v>
      </c>
      <c r="D108" s="311"/>
      <c r="E108" s="296"/>
      <c r="F108" s="296"/>
      <c r="G108" s="104" t="str">
        <f t="shared" si="43"/>
        <v>#DIV/0!</v>
      </c>
      <c r="H108" s="105" t="str">
        <f t="shared" si="44"/>
        <v>#DIV/0!</v>
      </c>
      <c r="I108" s="106" t="str">
        <f t="shared" si="45"/>
        <v>#DIV/0!</v>
      </c>
      <c r="J108" s="117">
        <v>0.0</v>
      </c>
      <c r="K108" s="278">
        <v>0.0</v>
      </c>
      <c r="L108" s="296"/>
      <c r="M108" s="118">
        <v>0.0</v>
      </c>
      <c r="N108" s="109" t="str">
        <f t="shared" si="64"/>
        <v>#DIV/0!</v>
      </c>
      <c r="O108" s="110" t="str">
        <f t="shared" si="5"/>
        <v>#DIV/0!</v>
      </c>
      <c r="P108" s="109" t="str">
        <f t="shared" si="6"/>
        <v>#DIV/0!</v>
      </c>
      <c r="Q108" s="111" t="str">
        <f t="shared" si="7"/>
        <v>#DIV/0!</v>
      </c>
      <c r="R108" s="112">
        <f t="shared" si="63"/>
        <v>0</v>
      </c>
      <c r="S108" s="113" t="str">
        <f t="shared" si="9"/>
        <v>#DIV/0!</v>
      </c>
      <c r="T108" s="114"/>
      <c r="U108" s="114"/>
      <c r="V108" s="114"/>
      <c r="W108" s="114"/>
      <c r="X108" s="115"/>
      <c r="Y108" s="98"/>
      <c r="Z108" s="98"/>
    </row>
    <row r="109" collapsed="1">
      <c r="A109" s="293" t="str">
        <f t="shared" si="65"/>
        <v/>
      </c>
      <c r="B109" s="149" t="s">
        <v>56</v>
      </c>
      <c r="C109" s="312"/>
      <c r="D109" s="151">
        <f t="shared" ref="D109:F109" si="66">SUM(D95:D108)</f>
        <v>0</v>
      </c>
      <c r="E109" s="153">
        <f t="shared" si="66"/>
        <v>0</v>
      </c>
      <c r="F109" s="153">
        <f t="shared" si="66"/>
        <v>0</v>
      </c>
      <c r="G109" s="154" t="str">
        <f t="shared" si="43"/>
        <v>#DIV/0!</v>
      </c>
      <c r="H109" s="155" t="str">
        <f t="shared" si="44"/>
        <v>#DIV/0!</v>
      </c>
      <c r="I109" s="156" t="str">
        <f t="shared" si="45"/>
        <v>#DIV/0!</v>
      </c>
      <c r="J109" s="151">
        <f t="shared" ref="J109:M109" si="67">SUM(J95:J108)</f>
        <v>5064.6</v>
      </c>
      <c r="K109" s="313">
        <f t="shared" si="67"/>
        <v>432869</v>
      </c>
      <c r="L109" s="153">
        <f t="shared" si="67"/>
        <v>0</v>
      </c>
      <c r="M109" s="157">
        <f t="shared" si="67"/>
        <v>10517.51</v>
      </c>
      <c r="N109" s="158">
        <f t="shared" si="64"/>
        <v>0.4815398321</v>
      </c>
      <c r="O109" s="159">
        <f t="shared" si="5"/>
        <v>2.076671405</v>
      </c>
      <c r="P109" s="158" t="str">
        <f t="shared" si="6"/>
        <v>#DIV/0!</v>
      </c>
      <c r="Q109" s="160" t="str">
        <f t="shared" si="7"/>
        <v>#DIV/0!</v>
      </c>
      <c r="R109" s="161">
        <f>SUM(R95:R108)</f>
        <v>-10517.51</v>
      </c>
      <c r="S109" s="162" t="str">
        <f t="shared" si="9"/>
        <v>#DIV/0!</v>
      </c>
      <c r="T109" s="164" t="str">
        <f t="shared" ref="T109:U109" si="68">IFERROR((D109-#REF!)/D109,)</f>
        <v/>
      </c>
      <c r="U109" s="164" t="str">
        <f t="shared" si="68"/>
        <v/>
      </c>
      <c r="V109" s="164" t="str">
        <f t="shared" ref="V109:W109" si="69">IFERROR((D109-#REF!)/D109, )</f>
        <v/>
      </c>
      <c r="W109" s="164" t="str">
        <f t="shared" si="69"/>
        <v/>
      </c>
      <c r="X109" s="98"/>
      <c r="Y109" s="98"/>
      <c r="Z109" s="98"/>
    </row>
    <row r="110" hidden="1" outlineLevel="1">
      <c r="A110" s="293"/>
      <c r="B110" s="99">
        <v>46061.0</v>
      </c>
      <c r="C110" s="294" t="s">
        <v>70</v>
      </c>
      <c r="D110" s="295"/>
      <c r="E110" s="296"/>
      <c r="F110" s="296"/>
      <c r="G110" s="104" t="str">
        <f t="shared" si="43"/>
        <v>#DIV/0!</v>
      </c>
      <c r="H110" s="105" t="str">
        <f t="shared" si="44"/>
        <v>#DIV/0!</v>
      </c>
      <c r="I110" s="106" t="str">
        <f t="shared" si="45"/>
        <v>#DIV/0!</v>
      </c>
      <c r="J110" s="107">
        <v>744.4</v>
      </c>
      <c r="K110" s="278">
        <v>91275.0</v>
      </c>
      <c r="L110" s="296"/>
      <c r="M110" s="108">
        <v>586.23</v>
      </c>
      <c r="N110" s="109">
        <f t="shared" si="64"/>
        <v>1.269808778</v>
      </c>
      <c r="O110" s="110">
        <f t="shared" si="5"/>
        <v>0.7875201505</v>
      </c>
      <c r="P110" s="109" t="str">
        <f t="shared" si="6"/>
        <v>#DIV/0!</v>
      </c>
      <c r="Q110" s="111" t="str">
        <f t="shared" si="7"/>
        <v>#DIV/0!</v>
      </c>
      <c r="R110" s="112">
        <f t="shared" ref="R110:R123" si="70">D110-M110</f>
        <v>-586.23</v>
      </c>
      <c r="S110" s="113" t="str">
        <f t="shared" si="9"/>
        <v>#DIV/0!</v>
      </c>
      <c r="T110" s="114"/>
      <c r="U110" s="114"/>
      <c r="V110" s="114"/>
      <c r="W110" s="114"/>
      <c r="X110" s="115"/>
      <c r="Y110" s="98"/>
      <c r="Z110" s="98"/>
    </row>
    <row r="111" hidden="1" outlineLevel="1">
      <c r="A111" s="293"/>
      <c r="B111" s="116"/>
      <c r="C111" s="294" t="s">
        <v>71</v>
      </c>
      <c r="D111" s="297"/>
      <c r="E111" s="296"/>
      <c r="F111" s="296"/>
      <c r="G111" s="104" t="str">
        <f t="shared" si="43"/>
        <v>#DIV/0!</v>
      </c>
      <c r="H111" s="105" t="str">
        <f t="shared" si="44"/>
        <v>#DIV/0!</v>
      </c>
      <c r="I111" s="106" t="str">
        <f t="shared" si="45"/>
        <v>#DIV/0!</v>
      </c>
      <c r="J111" s="117">
        <v>393.43</v>
      </c>
      <c r="K111" s="278">
        <v>40328.0</v>
      </c>
      <c r="L111" s="296"/>
      <c r="M111" s="118">
        <v>683.89</v>
      </c>
      <c r="N111" s="109">
        <f t="shared" si="64"/>
        <v>0.5752825747</v>
      </c>
      <c r="O111" s="110">
        <f t="shared" si="5"/>
        <v>1.738276186</v>
      </c>
      <c r="P111" s="109" t="str">
        <f t="shared" si="6"/>
        <v>#DIV/0!</v>
      </c>
      <c r="Q111" s="111" t="str">
        <f t="shared" si="7"/>
        <v>#DIV/0!</v>
      </c>
      <c r="R111" s="119">
        <f t="shared" si="70"/>
        <v>-683.89</v>
      </c>
      <c r="S111" s="113" t="str">
        <f t="shared" si="9"/>
        <v>#DIV/0!</v>
      </c>
      <c r="T111" s="114"/>
      <c r="U111" s="114"/>
      <c r="V111" s="114"/>
      <c r="W111" s="114"/>
      <c r="X111" s="115"/>
      <c r="Y111" s="98"/>
      <c r="Z111" s="98"/>
    </row>
    <row r="112" hidden="1" outlineLevel="1">
      <c r="A112" s="293"/>
      <c r="B112" s="116"/>
      <c r="C112" s="294" t="s">
        <v>72</v>
      </c>
      <c r="D112" s="298"/>
      <c r="E112" s="296"/>
      <c r="F112" s="296"/>
      <c r="G112" s="104" t="str">
        <f t="shared" si="43"/>
        <v>#DIV/0!</v>
      </c>
      <c r="H112" s="105" t="str">
        <f t="shared" si="44"/>
        <v>#DIV/0!</v>
      </c>
      <c r="I112" s="106" t="str">
        <f t="shared" si="45"/>
        <v>#DIV/0!</v>
      </c>
      <c r="J112" s="120">
        <v>475.4</v>
      </c>
      <c r="K112" s="278">
        <v>53102.0</v>
      </c>
      <c r="L112" s="296"/>
      <c r="M112" s="121">
        <v>698.9</v>
      </c>
      <c r="N112" s="109">
        <f>(J112/M112)</f>
        <v>0.6802117613</v>
      </c>
      <c r="O112" s="110">
        <f t="shared" si="5"/>
        <v>1.470130416</v>
      </c>
      <c r="P112" s="109" t="str">
        <f t="shared" si="6"/>
        <v>#DIV/0!</v>
      </c>
      <c r="Q112" s="111" t="str">
        <f t="shared" si="7"/>
        <v>#DIV/0!</v>
      </c>
      <c r="R112" s="122">
        <f t="shared" si="70"/>
        <v>-698.9</v>
      </c>
      <c r="S112" s="113" t="str">
        <f t="shared" si="9"/>
        <v>#DIV/0!</v>
      </c>
      <c r="T112" s="114"/>
      <c r="U112" s="114"/>
      <c r="V112" s="114"/>
      <c r="W112" s="114"/>
      <c r="X112" s="115"/>
      <c r="Y112" s="98"/>
      <c r="Z112" s="98"/>
    </row>
    <row r="113" hidden="1" outlineLevel="1">
      <c r="A113" s="293"/>
      <c r="B113" s="116"/>
      <c r="C113" s="294" t="s">
        <v>73</v>
      </c>
      <c r="D113" s="298"/>
      <c r="E113" s="296"/>
      <c r="F113" s="296"/>
      <c r="G113" s="104" t="str">
        <f t="shared" si="43"/>
        <v>#DIV/0!</v>
      </c>
      <c r="H113" s="105" t="str">
        <f t="shared" si="44"/>
        <v>#DIV/0!</v>
      </c>
      <c r="I113" s="106" t="str">
        <f t="shared" si="45"/>
        <v>#DIV/0!</v>
      </c>
      <c r="J113" s="120">
        <v>369.59</v>
      </c>
      <c r="K113" s="278">
        <v>21561.0</v>
      </c>
      <c r="L113" s="296"/>
      <c r="M113" s="121">
        <v>119.9</v>
      </c>
      <c r="N113" s="109">
        <f t="shared" ref="N113:N126" si="71">J113/M113</f>
        <v>3.082485405</v>
      </c>
      <c r="O113" s="110">
        <f t="shared" si="5"/>
        <v>0.3244135393</v>
      </c>
      <c r="P113" s="109" t="str">
        <f t="shared" si="6"/>
        <v>#DIV/0!</v>
      </c>
      <c r="Q113" s="111" t="str">
        <f t="shared" si="7"/>
        <v>#DIV/0!</v>
      </c>
      <c r="R113" s="122">
        <f t="shared" si="70"/>
        <v>-119.9</v>
      </c>
      <c r="S113" s="113" t="str">
        <f t="shared" si="9"/>
        <v>#DIV/0!</v>
      </c>
      <c r="T113" s="114"/>
      <c r="U113" s="114"/>
      <c r="V113" s="114"/>
      <c r="W113" s="114"/>
      <c r="X113" s="115"/>
      <c r="Y113" s="98"/>
      <c r="Z113" s="98"/>
    </row>
    <row r="114" hidden="1" outlineLevel="1">
      <c r="A114" s="293"/>
      <c r="B114" s="116"/>
      <c r="C114" s="294" t="s">
        <v>74</v>
      </c>
      <c r="D114" s="299"/>
      <c r="E114" s="296"/>
      <c r="F114" s="296"/>
      <c r="G114" s="104" t="str">
        <f t="shared" si="43"/>
        <v>#DIV/0!</v>
      </c>
      <c r="H114" s="105" t="str">
        <f t="shared" si="44"/>
        <v>#DIV/0!</v>
      </c>
      <c r="I114" s="106" t="str">
        <f t="shared" si="45"/>
        <v>#DIV/0!</v>
      </c>
      <c r="J114" s="300">
        <v>1251.76</v>
      </c>
      <c r="K114" s="278">
        <v>80377.0</v>
      </c>
      <c r="L114" s="296"/>
      <c r="M114" s="300">
        <v>805.75</v>
      </c>
      <c r="N114" s="109">
        <f t="shared" si="71"/>
        <v>1.553533975</v>
      </c>
      <c r="O114" s="110">
        <f t="shared" si="5"/>
        <v>0.6436936793</v>
      </c>
      <c r="P114" s="109" t="str">
        <f t="shared" si="6"/>
        <v>#DIV/0!</v>
      </c>
      <c r="Q114" s="111" t="str">
        <f t="shared" si="7"/>
        <v>#DIV/0!</v>
      </c>
      <c r="R114" s="122">
        <f t="shared" si="70"/>
        <v>-805.75</v>
      </c>
      <c r="S114" s="113" t="str">
        <f t="shared" si="9"/>
        <v>#DIV/0!</v>
      </c>
      <c r="T114" s="114"/>
      <c r="U114" s="114"/>
      <c r="V114" s="114"/>
      <c r="W114" s="114"/>
      <c r="X114" s="115"/>
      <c r="Y114" s="98"/>
      <c r="Z114" s="98"/>
    </row>
    <row r="115" hidden="1" outlineLevel="1">
      <c r="A115" s="293"/>
      <c r="B115" s="116"/>
      <c r="C115" s="294" t="s">
        <v>75</v>
      </c>
      <c r="D115" s="301"/>
      <c r="E115" s="296"/>
      <c r="F115" s="296"/>
      <c r="G115" s="104" t="str">
        <f t="shared" si="43"/>
        <v>#DIV/0!</v>
      </c>
      <c r="H115" s="105" t="str">
        <f t="shared" si="44"/>
        <v>#DIV/0!</v>
      </c>
      <c r="I115" s="106" t="str">
        <f t="shared" si="45"/>
        <v>#DIV/0!</v>
      </c>
      <c r="J115" s="302">
        <v>1384.82</v>
      </c>
      <c r="K115" s="278">
        <v>99329.0</v>
      </c>
      <c r="L115" s="296"/>
      <c r="M115" s="303">
        <v>194.31</v>
      </c>
      <c r="N115" s="109">
        <f t="shared" si="71"/>
        <v>7.126859143</v>
      </c>
      <c r="O115" s="110">
        <f t="shared" si="5"/>
        <v>0.1403142647</v>
      </c>
      <c r="P115" s="109" t="str">
        <f t="shared" si="6"/>
        <v>#DIV/0!</v>
      </c>
      <c r="Q115" s="111" t="str">
        <f t="shared" si="7"/>
        <v>#DIV/0!</v>
      </c>
      <c r="R115" s="304">
        <f t="shared" si="70"/>
        <v>-194.31</v>
      </c>
      <c r="S115" s="113" t="str">
        <f t="shared" si="9"/>
        <v>#DIV/0!</v>
      </c>
      <c r="T115" s="114"/>
      <c r="U115" s="114"/>
      <c r="V115" s="114"/>
      <c r="W115" s="114"/>
      <c r="X115" s="115"/>
      <c r="Y115" s="98"/>
      <c r="Z115" s="98"/>
    </row>
    <row r="116" hidden="1" outlineLevel="1">
      <c r="A116" s="293"/>
      <c r="B116" s="116"/>
      <c r="C116" s="294" t="s">
        <v>76</v>
      </c>
      <c r="D116" s="298"/>
      <c r="E116" s="296"/>
      <c r="F116" s="296"/>
      <c r="G116" s="104" t="str">
        <f t="shared" si="43"/>
        <v>#DIV/0!</v>
      </c>
      <c r="H116" s="105" t="str">
        <f t="shared" si="44"/>
        <v>#DIV/0!</v>
      </c>
      <c r="I116" s="106" t="str">
        <f t="shared" si="45"/>
        <v>#DIV/0!</v>
      </c>
      <c r="J116" s="120">
        <v>989.25</v>
      </c>
      <c r="K116" s="278">
        <v>57237.0</v>
      </c>
      <c r="L116" s="296"/>
      <c r="M116" s="121">
        <v>1050.26</v>
      </c>
      <c r="N116" s="109">
        <f t="shared" si="71"/>
        <v>0.9419096224</v>
      </c>
      <c r="O116" s="110">
        <f t="shared" si="5"/>
        <v>1.061672985</v>
      </c>
      <c r="P116" s="109" t="str">
        <f t="shared" si="6"/>
        <v>#DIV/0!</v>
      </c>
      <c r="Q116" s="111" t="str">
        <f t="shared" si="7"/>
        <v>#DIV/0!</v>
      </c>
      <c r="R116" s="122">
        <f t="shared" si="70"/>
        <v>-1050.26</v>
      </c>
      <c r="S116" s="113" t="str">
        <f t="shared" si="9"/>
        <v>#DIV/0!</v>
      </c>
      <c r="T116" s="114"/>
      <c r="U116" s="114"/>
      <c r="V116" s="114"/>
      <c r="W116" s="114"/>
      <c r="X116" s="115"/>
      <c r="Y116" s="98"/>
      <c r="Z116" s="98"/>
    </row>
    <row r="117" hidden="1" outlineLevel="1">
      <c r="A117" s="293"/>
      <c r="B117" s="99" t="s">
        <v>37</v>
      </c>
      <c r="C117" s="294" t="s">
        <v>77</v>
      </c>
      <c r="D117" s="305"/>
      <c r="E117" s="296"/>
      <c r="F117" s="296"/>
      <c r="G117" s="104" t="str">
        <f t="shared" si="43"/>
        <v>#DIV/0!</v>
      </c>
      <c r="H117" s="105" t="str">
        <f t="shared" si="44"/>
        <v>#DIV/0!</v>
      </c>
      <c r="I117" s="106" t="str">
        <f t="shared" si="45"/>
        <v>#DIV/0!</v>
      </c>
      <c r="J117" s="123">
        <v>228.42</v>
      </c>
      <c r="K117" s="278">
        <v>12460.0</v>
      </c>
      <c r="L117" s="296"/>
      <c r="M117" s="124">
        <v>360.0</v>
      </c>
      <c r="N117" s="109">
        <f t="shared" si="71"/>
        <v>0.6345</v>
      </c>
      <c r="O117" s="110">
        <f t="shared" si="5"/>
        <v>1.576044129</v>
      </c>
      <c r="P117" s="109" t="str">
        <f t="shared" si="6"/>
        <v>#DIV/0!</v>
      </c>
      <c r="Q117" s="111" t="str">
        <f t="shared" si="7"/>
        <v>#DIV/0!</v>
      </c>
      <c r="R117" s="125">
        <f t="shared" si="70"/>
        <v>-360</v>
      </c>
      <c r="S117" s="113" t="str">
        <f t="shared" si="9"/>
        <v>#DIV/0!</v>
      </c>
      <c r="T117" s="114"/>
      <c r="U117" s="114"/>
      <c r="V117" s="114"/>
      <c r="W117" s="114"/>
      <c r="X117" s="115"/>
      <c r="Y117" s="98"/>
      <c r="Z117" s="98"/>
    </row>
    <row r="118" hidden="1" outlineLevel="1">
      <c r="A118" s="293"/>
      <c r="B118" s="116"/>
      <c r="C118" s="294" t="s">
        <v>78</v>
      </c>
      <c r="D118" s="306"/>
      <c r="E118" s="296"/>
      <c r="F118" s="296"/>
      <c r="G118" s="104" t="str">
        <f t="shared" si="43"/>
        <v>#DIV/0!</v>
      </c>
      <c r="H118" s="105" t="str">
        <f t="shared" si="44"/>
        <v>#DIV/0!</v>
      </c>
      <c r="I118" s="106" t="str">
        <f t="shared" si="45"/>
        <v>#DIV/0!</v>
      </c>
      <c r="J118" s="126">
        <v>1721.32</v>
      </c>
      <c r="K118" s="278">
        <v>188912.0</v>
      </c>
      <c r="L118" s="296"/>
      <c r="M118" s="127">
        <v>399.0</v>
      </c>
      <c r="N118" s="109">
        <f t="shared" si="71"/>
        <v>4.314085213</v>
      </c>
      <c r="O118" s="110">
        <f t="shared" si="5"/>
        <v>0.231798852</v>
      </c>
      <c r="P118" s="109" t="str">
        <f t="shared" si="6"/>
        <v>#DIV/0!</v>
      </c>
      <c r="Q118" s="111" t="str">
        <f t="shared" si="7"/>
        <v>#DIV/0!</v>
      </c>
      <c r="R118" s="128">
        <f t="shared" si="70"/>
        <v>-399</v>
      </c>
      <c r="S118" s="113" t="str">
        <f t="shared" si="9"/>
        <v>#DIV/0!</v>
      </c>
      <c r="T118" s="114"/>
      <c r="U118" s="114"/>
      <c r="V118" s="114"/>
      <c r="W118" s="114"/>
      <c r="X118" s="115"/>
      <c r="Y118" s="98"/>
      <c r="Z118" s="98"/>
    </row>
    <row r="119" hidden="1" outlineLevel="1">
      <c r="A119" s="293"/>
      <c r="B119" s="116"/>
      <c r="C119" s="294" t="s">
        <v>79</v>
      </c>
      <c r="D119" s="307"/>
      <c r="E119" s="296"/>
      <c r="F119" s="296"/>
      <c r="G119" s="104" t="str">
        <f t="shared" si="43"/>
        <v>#DIV/0!</v>
      </c>
      <c r="H119" s="105" t="str">
        <f t="shared" si="44"/>
        <v>#DIV/0!</v>
      </c>
      <c r="I119" s="106" t="str">
        <f t="shared" si="45"/>
        <v>#DIV/0!</v>
      </c>
      <c r="J119" s="129">
        <v>1151.75</v>
      </c>
      <c r="K119" s="278">
        <v>137896.0</v>
      </c>
      <c r="L119" s="296"/>
      <c r="M119" s="130">
        <v>1202.91</v>
      </c>
      <c r="N119" s="109">
        <f t="shared" si="71"/>
        <v>0.9574698024</v>
      </c>
      <c r="O119" s="110">
        <f t="shared" si="5"/>
        <v>1.044419362</v>
      </c>
      <c r="P119" s="109" t="str">
        <f t="shared" si="6"/>
        <v>#DIV/0!</v>
      </c>
      <c r="Q119" s="111" t="str">
        <f t="shared" si="7"/>
        <v>#DIV/0!</v>
      </c>
      <c r="R119" s="131">
        <f t="shared" si="70"/>
        <v>-1202.91</v>
      </c>
      <c r="S119" s="113" t="str">
        <f t="shared" si="9"/>
        <v>#DIV/0!</v>
      </c>
      <c r="T119" s="114"/>
      <c r="U119" s="114"/>
      <c r="V119" s="114"/>
      <c r="W119" s="114"/>
      <c r="X119" s="115"/>
      <c r="Y119" s="98"/>
      <c r="Z119" s="98"/>
    </row>
    <row r="120" hidden="1" outlineLevel="1">
      <c r="A120" s="293"/>
      <c r="B120" s="116"/>
      <c r="C120" s="294" t="s">
        <v>80</v>
      </c>
      <c r="D120" s="307"/>
      <c r="E120" s="296"/>
      <c r="F120" s="296"/>
      <c r="G120" s="104" t="str">
        <f t="shared" si="43"/>
        <v>#DIV/0!</v>
      </c>
      <c r="H120" s="105" t="str">
        <f t="shared" si="44"/>
        <v>#DIV/0!</v>
      </c>
      <c r="I120" s="106" t="str">
        <f t="shared" si="45"/>
        <v>#DIV/0!</v>
      </c>
      <c r="J120" s="135">
        <v>1135.94</v>
      </c>
      <c r="K120" s="278">
        <v>76855.0</v>
      </c>
      <c r="L120" s="296"/>
      <c r="M120" s="136">
        <v>1539.6</v>
      </c>
      <c r="N120" s="109">
        <f t="shared" si="71"/>
        <v>0.7378150169</v>
      </c>
      <c r="O120" s="110">
        <f t="shared" si="5"/>
        <v>1.355353276</v>
      </c>
      <c r="P120" s="109" t="str">
        <f t="shared" si="6"/>
        <v>#DIV/0!</v>
      </c>
      <c r="Q120" s="111" t="str">
        <f t="shared" si="7"/>
        <v>#DIV/0!</v>
      </c>
      <c r="R120" s="137">
        <f t="shared" si="70"/>
        <v>-1539.6</v>
      </c>
      <c r="S120" s="113" t="str">
        <f t="shared" si="9"/>
        <v>#DIV/0!</v>
      </c>
      <c r="T120" s="114"/>
      <c r="U120" s="114"/>
      <c r="V120" s="114"/>
      <c r="W120" s="114"/>
      <c r="X120" s="115"/>
      <c r="Y120" s="98"/>
      <c r="Z120" s="98"/>
    </row>
    <row r="121" hidden="1" outlineLevel="1">
      <c r="A121" s="293"/>
      <c r="B121" s="116"/>
      <c r="C121" s="294" t="s">
        <v>82</v>
      </c>
      <c r="D121" s="307"/>
      <c r="E121" s="296"/>
      <c r="F121" s="296"/>
      <c r="G121" s="104" t="str">
        <f t="shared" si="43"/>
        <v>#DIV/0!</v>
      </c>
      <c r="H121" s="105" t="str">
        <f t="shared" si="44"/>
        <v>#DIV/0!</v>
      </c>
      <c r="I121" s="106" t="str">
        <f t="shared" si="45"/>
        <v>#DIV/0!</v>
      </c>
      <c r="J121" s="135">
        <v>372.74</v>
      </c>
      <c r="K121" s="278">
        <v>22247.0</v>
      </c>
      <c r="L121" s="296"/>
      <c r="M121" s="136">
        <v>357.04</v>
      </c>
      <c r="N121" s="109">
        <f t="shared" si="71"/>
        <v>1.043972664</v>
      </c>
      <c r="O121" s="110">
        <f t="shared" si="5"/>
        <v>0.957879487</v>
      </c>
      <c r="P121" s="109" t="str">
        <f t="shared" si="6"/>
        <v>#DIV/0!</v>
      </c>
      <c r="Q121" s="111" t="str">
        <f t="shared" si="7"/>
        <v>#DIV/0!</v>
      </c>
      <c r="R121" s="137">
        <f t="shared" si="70"/>
        <v>-357.04</v>
      </c>
      <c r="S121" s="113" t="str">
        <f t="shared" si="9"/>
        <v>#DIV/0!</v>
      </c>
      <c r="T121" s="114"/>
      <c r="U121" s="114"/>
      <c r="V121" s="114"/>
      <c r="W121" s="114"/>
      <c r="X121" s="115"/>
      <c r="Y121" s="98"/>
      <c r="Z121" s="98"/>
    </row>
    <row r="122" hidden="1" outlineLevel="1">
      <c r="A122" s="293"/>
      <c r="B122" s="116"/>
      <c r="C122" s="294" t="s">
        <v>83</v>
      </c>
      <c r="D122" s="307"/>
      <c r="E122" s="296"/>
      <c r="F122" s="296"/>
      <c r="G122" s="104" t="str">
        <f t="shared" si="43"/>
        <v>#DIV/0!</v>
      </c>
      <c r="H122" s="105" t="str">
        <f t="shared" si="44"/>
        <v>#DIV/0!</v>
      </c>
      <c r="I122" s="106" t="str">
        <f t="shared" si="45"/>
        <v>#DIV/0!</v>
      </c>
      <c r="J122" s="135">
        <v>571.4</v>
      </c>
      <c r="K122" s="278">
        <v>58918.0</v>
      </c>
      <c r="L122" s="296"/>
      <c r="M122" s="136">
        <v>694.12</v>
      </c>
      <c r="N122" s="109">
        <f t="shared" si="71"/>
        <v>0.8232005993</v>
      </c>
      <c r="O122" s="110">
        <f t="shared" si="5"/>
        <v>1.214770739</v>
      </c>
      <c r="P122" s="109" t="str">
        <f t="shared" si="6"/>
        <v>#DIV/0!</v>
      </c>
      <c r="Q122" s="111" t="str">
        <f t="shared" si="7"/>
        <v>#DIV/0!</v>
      </c>
      <c r="R122" s="137">
        <f t="shared" si="70"/>
        <v>-694.12</v>
      </c>
      <c r="S122" s="113" t="str">
        <f t="shared" si="9"/>
        <v>#DIV/0!</v>
      </c>
      <c r="T122" s="114"/>
      <c r="U122" s="114"/>
      <c r="V122" s="114"/>
      <c r="W122" s="114"/>
      <c r="X122" s="115"/>
      <c r="Y122" s="98"/>
      <c r="Z122" s="98"/>
    </row>
    <row r="123" hidden="1" outlineLevel="1">
      <c r="A123" s="310" t="str">
        <f t="shared" ref="A123:A124" si="72">iferror(if(B123&gt;0,month(B123)&amp;"-"&amp;year(B123),B123),)</f>
        <v>2-2026</v>
      </c>
      <c r="B123" s="99">
        <v>46067.0</v>
      </c>
      <c r="C123" s="294" t="s">
        <v>81</v>
      </c>
      <c r="D123" s="311"/>
      <c r="E123" s="296"/>
      <c r="F123" s="296"/>
      <c r="G123" s="104" t="str">
        <f t="shared" si="43"/>
        <v>#DIV/0!</v>
      </c>
      <c r="H123" s="105" t="str">
        <f t="shared" si="44"/>
        <v>#DIV/0!</v>
      </c>
      <c r="I123" s="106" t="str">
        <f t="shared" si="45"/>
        <v>#DIV/0!</v>
      </c>
      <c r="J123" s="117">
        <v>0.0</v>
      </c>
      <c r="K123" s="278">
        <v>0.0</v>
      </c>
      <c r="L123" s="296"/>
      <c r="M123" s="118">
        <v>0.0</v>
      </c>
      <c r="N123" s="109" t="str">
        <f t="shared" si="71"/>
        <v>#DIV/0!</v>
      </c>
      <c r="O123" s="110" t="str">
        <f t="shared" si="5"/>
        <v>#DIV/0!</v>
      </c>
      <c r="P123" s="109" t="str">
        <f t="shared" si="6"/>
        <v>#DIV/0!</v>
      </c>
      <c r="Q123" s="111" t="str">
        <f t="shared" si="7"/>
        <v>#DIV/0!</v>
      </c>
      <c r="R123" s="112">
        <f t="shared" si="70"/>
        <v>0</v>
      </c>
      <c r="S123" s="113" t="str">
        <f t="shared" si="9"/>
        <v>#DIV/0!</v>
      </c>
      <c r="T123" s="114"/>
      <c r="U123" s="114"/>
      <c r="V123" s="114"/>
      <c r="W123" s="114"/>
      <c r="X123" s="115"/>
      <c r="Y123" s="98"/>
      <c r="Z123" s="98"/>
    </row>
    <row r="124" collapsed="1">
      <c r="A124" s="293" t="str">
        <f t="shared" si="72"/>
        <v/>
      </c>
      <c r="B124" s="149" t="s">
        <v>57</v>
      </c>
      <c r="C124" s="312"/>
      <c r="D124" s="151">
        <f t="shared" ref="D124:F124" si="73">SUM(D110:D123)</f>
        <v>0</v>
      </c>
      <c r="E124" s="153">
        <f t="shared" si="73"/>
        <v>0</v>
      </c>
      <c r="F124" s="153">
        <f t="shared" si="73"/>
        <v>0</v>
      </c>
      <c r="G124" s="154" t="str">
        <f t="shared" si="43"/>
        <v>#DIV/0!</v>
      </c>
      <c r="H124" s="155" t="str">
        <f t="shared" si="44"/>
        <v>#DIV/0!</v>
      </c>
      <c r="I124" s="156" t="str">
        <f t="shared" si="45"/>
        <v>#DIV/0!</v>
      </c>
      <c r="J124" s="151">
        <f t="shared" ref="J124:M124" si="74">SUM(J110:J123)</f>
        <v>10790.22</v>
      </c>
      <c r="K124" s="313">
        <f t="shared" si="74"/>
        <v>940497</v>
      </c>
      <c r="L124" s="153">
        <f t="shared" si="74"/>
        <v>0</v>
      </c>
      <c r="M124" s="157">
        <f t="shared" si="74"/>
        <v>8691.91</v>
      </c>
      <c r="N124" s="158">
        <f t="shared" si="71"/>
        <v>1.241409541</v>
      </c>
      <c r="O124" s="159">
        <f t="shared" si="5"/>
        <v>0.805535939</v>
      </c>
      <c r="P124" s="158" t="str">
        <f t="shared" si="6"/>
        <v>#DIV/0!</v>
      </c>
      <c r="Q124" s="160" t="str">
        <f t="shared" si="7"/>
        <v>#DIV/0!</v>
      </c>
      <c r="R124" s="161">
        <f>SUM(R110:R123)</f>
        <v>-8691.91</v>
      </c>
      <c r="S124" s="162" t="str">
        <f t="shared" si="9"/>
        <v>#DIV/0!</v>
      </c>
      <c r="T124" s="164" t="str">
        <f t="shared" ref="T124:U124" si="75">IFERROR((D124-#REF!)/D124,)</f>
        <v/>
      </c>
      <c r="U124" s="164" t="str">
        <f t="shared" si="75"/>
        <v/>
      </c>
      <c r="V124" s="164" t="str">
        <f t="shared" ref="V124:W124" si="76">IFERROR((D124-#REF!)/D124, )</f>
        <v/>
      </c>
      <c r="W124" s="164" t="str">
        <f t="shared" si="76"/>
        <v/>
      </c>
      <c r="X124" s="98"/>
      <c r="Y124" s="98"/>
      <c r="Z124" s="98"/>
    </row>
    <row r="125" hidden="1" outlineLevel="1">
      <c r="A125" s="293"/>
      <c r="B125" s="99">
        <v>46068.0</v>
      </c>
      <c r="C125" s="294" t="s">
        <v>70</v>
      </c>
      <c r="D125" s="295"/>
      <c r="E125" s="296"/>
      <c r="F125" s="296"/>
      <c r="G125" s="104" t="str">
        <f t="shared" si="43"/>
        <v>#DIV/0!</v>
      </c>
      <c r="H125" s="105" t="str">
        <f t="shared" si="44"/>
        <v>#DIV/0!</v>
      </c>
      <c r="I125" s="106" t="str">
        <f t="shared" si="45"/>
        <v>#DIV/0!</v>
      </c>
      <c r="J125" s="107">
        <v>575.8</v>
      </c>
      <c r="K125" s="278">
        <v>81293.0</v>
      </c>
      <c r="L125" s="296"/>
      <c r="M125" s="108">
        <v>1399.53</v>
      </c>
      <c r="N125" s="109">
        <f t="shared" si="71"/>
        <v>0.4114238351</v>
      </c>
      <c r="O125" s="110">
        <f t="shared" si="5"/>
        <v>2.430583536</v>
      </c>
      <c r="P125" s="109" t="str">
        <f t="shared" si="6"/>
        <v>#DIV/0!</v>
      </c>
      <c r="Q125" s="111" t="str">
        <f t="shared" si="7"/>
        <v>#DIV/0!</v>
      </c>
      <c r="R125" s="112">
        <f t="shared" ref="R125:R138" si="77">D125-M125</f>
        <v>-1399.53</v>
      </c>
      <c r="S125" s="113" t="str">
        <f t="shared" si="9"/>
        <v>#DIV/0!</v>
      </c>
      <c r="T125" s="114"/>
      <c r="U125" s="114"/>
      <c r="V125" s="114"/>
      <c r="W125" s="114"/>
      <c r="X125" s="115"/>
      <c r="Y125" s="98"/>
      <c r="Z125" s="98"/>
    </row>
    <row r="126" hidden="1" outlineLevel="1">
      <c r="A126" s="293"/>
      <c r="B126" s="116"/>
      <c r="C126" s="294" t="s">
        <v>71</v>
      </c>
      <c r="D126" s="297"/>
      <c r="E126" s="296"/>
      <c r="F126" s="296"/>
      <c r="G126" s="104" t="str">
        <f t="shared" si="43"/>
        <v>#DIV/0!</v>
      </c>
      <c r="H126" s="105" t="str">
        <f t="shared" si="44"/>
        <v>#DIV/0!</v>
      </c>
      <c r="I126" s="106" t="str">
        <f t="shared" si="45"/>
        <v>#DIV/0!</v>
      </c>
      <c r="J126" s="117">
        <v>200.09</v>
      </c>
      <c r="K126" s="278">
        <v>28348.0</v>
      </c>
      <c r="L126" s="296"/>
      <c r="M126" s="118">
        <v>440.04</v>
      </c>
      <c r="N126" s="109">
        <f t="shared" si="71"/>
        <v>0.4547086628</v>
      </c>
      <c r="O126" s="110">
        <f t="shared" si="5"/>
        <v>2.199210355</v>
      </c>
      <c r="P126" s="109" t="str">
        <f t="shared" si="6"/>
        <v>#DIV/0!</v>
      </c>
      <c r="Q126" s="111" t="str">
        <f t="shared" si="7"/>
        <v>#DIV/0!</v>
      </c>
      <c r="R126" s="119">
        <f t="shared" si="77"/>
        <v>-440.04</v>
      </c>
      <c r="S126" s="113" t="str">
        <f t="shared" si="9"/>
        <v>#DIV/0!</v>
      </c>
      <c r="T126" s="114"/>
      <c r="U126" s="114"/>
      <c r="V126" s="114"/>
      <c r="W126" s="114"/>
      <c r="X126" s="115"/>
      <c r="Y126" s="98"/>
      <c r="Z126" s="98"/>
    </row>
    <row r="127" hidden="1" outlineLevel="1">
      <c r="A127" s="293"/>
      <c r="B127" s="116"/>
      <c r="C127" s="294" t="s">
        <v>72</v>
      </c>
      <c r="D127" s="298"/>
      <c r="E127" s="296"/>
      <c r="F127" s="296"/>
      <c r="G127" s="104" t="str">
        <f t="shared" si="43"/>
        <v>#DIV/0!</v>
      </c>
      <c r="H127" s="105" t="str">
        <f t="shared" si="44"/>
        <v>#DIV/0!</v>
      </c>
      <c r="I127" s="106" t="str">
        <f t="shared" si="45"/>
        <v>#DIV/0!</v>
      </c>
      <c r="J127" s="120">
        <v>223.95</v>
      </c>
      <c r="K127" s="278">
        <v>28692.0</v>
      </c>
      <c r="L127" s="296"/>
      <c r="M127" s="121">
        <v>930.86</v>
      </c>
      <c r="N127" s="109">
        <f>(J127/M127)</f>
        <v>0.2405839761</v>
      </c>
      <c r="O127" s="110">
        <f t="shared" si="5"/>
        <v>4.156552802</v>
      </c>
      <c r="P127" s="109" t="str">
        <f t="shared" si="6"/>
        <v>#DIV/0!</v>
      </c>
      <c r="Q127" s="111" t="str">
        <f t="shared" si="7"/>
        <v>#DIV/0!</v>
      </c>
      <c r="R127" s="122">
        <f t="shared" si="77"/>
        <v>-930.86</v>
      </c>
      <c r="S127" s="113" t="str">
        <f t="shared" si="9"/>
        <v>#DIV/0!</v>
      </c>
      <c r="T127" s="114"/>
      <c r="U127" s="114"/>
      <c r="V127" s="114"/>
      <c r="W127" s="114"/>
      <c r="X127" s="115"/>
      <c r="Y127" s="98"/>
      <c r="Z127" s="98"/>
    </row>
    <row r="128" hidden="1" outlineLevel="1">
      <c r="A128" s="293"/>
      <c r="B128" s="116"/>
      <c r="C128" s="294" t="s">
        <v>73</v>
      </c>
      <c r="D128" s="298"/>
      <c r="E128" s="296"/>
      <c r="F128" s="296"/>
      <c r="G128" s="104" t="str">
        <f t="shared" si="43"/>
        <v>#DIV/0!</v>
      </c>
      <c r="H128" s="105" t="str">
        <f t="shared" si="44"/>
        <v>#DIV/0!</v>
      </c>
      <c r="I128" s="106" t="str">
        <f t="shared" si="45"/>
        <v>#DIV/0!</v>
      </c>
      <c r="J128" s="120">
        <v>517.3</v>
      </c>
      <c r="K128" s="278">
        <v>42353.0</v>
      </c>
      <c r="L128" s="296"/>
      <c r="M128" s="121">
        <v>299.75</v>
      </c>
      <c r="N128" s="109">
        <f t="shared" ref="N128:N141" si="78">J128/M128</f>
        <v>1.725771476</v>
      </c>
      <c r="O128" s="110">
        <f t="shared" si="5"/>
        <v>0.5794509956</v>
      </c>
      <c r="P128" s="109" t="str">
        <f t="shared" si="6"/>
        <v>#DIV/0!</v>
      </c>
      <c r="Q128" s="111" t="str">
        <f t="shared" si="7"/>
        <v>#DIV/0!</v>
      </c>
      <c r="R128" s="122">
        <f t="shared" si="77"/>
        <v>-299.75</v>
      </c>
      <c r="S128" s="113" t="str">
        <f t="shared" si="9"/>
        <v>#DIV/0!</v>
      </c>
      <c r="T128" s="114"/>
      <c r="U128" s="114"/>
      <c r="V128" s="114"/>
      <c r="W128" s="114"/>
      <c r="X128" s="115"/>
      <c r="Y128" s="98"/>
      <c r="Z128" s="98"/>
    </row>
    <row r="129" hidden="1" outlineLevel="1">
      <c r="A129" s="293"/>
      <c r="B129" s="116"/>
      <c r="C129" s="294" t="s">
        <v>74</v>
      </c>
      <c r="D129" s="299"/>
      <c r="E129" s="296"/>
      <c r="F129" s="296"/>
      <c r="G129" s="104" t="str">
        <f t="shared" si="43"/>
        <v>#DIV/0!</v>
      </c>
      <c r="H129" s="105" t="str">
        <f t="shared" si="44"/>
        <v>#DIV/0!</v>
      </c>
      <c r="I129" s="106" t="str">
        <f t="shared" si="45"/>
        <v>#DIV/0!</v>
      </c>
      <c r="J129" s="300">
        <v>818.21</v>
      </c>
      <c r="K129" s="278">
        <v>69601.0</v>
      </c>
      <c r="L129" s="296"/>
      <c r="M129" s="300">
        <v>1221.86</v>
      </c>
      <c r="N129" s="109">
        <f t="shared" si="78"/>
        <v>0.6696430033</v>
      </c>
      <c r="O129" s="110">
        <f t="shared" si="5"/>
        <v>1.493333007</v>
      </c>
      <c r="P129" s="109" t="str">
        <f t="shared" si="6"/>
        <v>#DIV/0!</v>
      </c>
      <c r="Q129" s="111" t="str">
        <f t="shared" si="7"/>
        <v>#DIV/0!</v>
      </c>
      <c r="R129" s="122">
        <f t="shared" si="77"/>
        <v>-1221.86</v>
      </c>
      <c r="S129" s="113" t="str">
        <f t="shared" si="9"/>
        <v>#DIV/0!</v>
      </c>
      <c r="T129" s="114"/>
      <c r="U129" s="114"/>
      <c r="V129" s="114"/>
      <c r="W129" s="114"/>
      <c r="X129" s="115"/>
      <c r="Y129" s="98"/>
      <c r="Z129" s="98"/>
    </row>
    <row r="130" hidden="1" outlineLevel="1">
      <c r="A130" s="293"/>
      <c r="B130" s="116"/>
      <c r="C130" s="294" t="s">
        <v>75</v>
      </c>
      <c r="D130" s="301"/>
      <c r="E130" s="296"/>
      <c r="F130" s="296"/>
      <c r="G130" s="104" t="str">
        <f t="shared" si="43"/>
        <v>#DIV/0!</v>
      </c>
      <c r="H130" s="105" t="str">
        <f t="shared" si="44"/>
        <v>#DIV/0!</v>
      </c>
      <c r="I130" s="106" t="str">
        <f t="shared" si="45"/>
        <v>#DIV/0!</v>
      </c>
      <c r="J130" s="302">
        <v>422.11</v>
      </c>
      <c r="K130" s="278">
        <v>59435.0</v>
      </c>
      <c r="L130" s="296"/>
      <c r="M130" s="303">
        <v>214.2</v>
      </c>
      <c r="N130" s="109">
        <f t="shared" si="78"/>
        <v>1.970634921</v>
      </c>
      <c r="O130" s="110">
        <f t="shared" si="5"/>
        <v>0.5074506645</v>
      </c>
      <c r="P130" s="109" t="str">
        <f t="shared" si="6"/>
        <v>#DIV/0!</v>
      </c>
      <c r="Q130" s="111" t="str">
        <f t="shared" si="7"/>
        <v>#DIV/0!</v>
      </c>
      <c r="R130" s="304">
        <f t="shared" si="77"/>
        <v>-214.2</v>
      </c>
      <c r="S130" s="113" t="str">
        <f t="shared" si="9"/>
        <v>#DIV/0!</v>
      </c>
      <c r="T130" s="114"/>
      <c r="U130" s="114"/>
      <c r="V130" s="114"/>
      <c r="W130" s="114"/>
      <c r="X130" s="115"/>
      <c r="Y130" s="98"/>
      <c r="Z130" s="98"/>
    </row>
    <row r="131" hidden="1" outlineLevel="1">
      <c r="A131" s="293"/>
      <c r="B131" s="116"/>
      <c r="C131" s="294" t="s">
        <v>76</v>
      </c>
      <c r="D131" s="298"/>
      <c r="E131" s="296"/>
      <c r="F131" s="296"/>
      <c r="G131" s="104" t="str">
        <f t="shared" si="43"/>
        <v>#DIV/0!</v>
      </c>
      <c r="H131" s="105" t="str">
        <f t="shared" si="44"/>
        <v>#DIV/0!</v>
      </c>
      <c r="I131" s="106" t="str">
        <f t="shared" si="45"/>
        <v>#DIV/0!</v>
      </c>
      <c r="J131" s="120">
        <v>956.28</v>
      </c>
      <c r="K131" s="278">
        <v>45228.0</v>
      </c>
      <c r="L131" s="296"/>
      <c r="M131" s="121">
        <v>1735.08</v>
      </c>
      <c r="N131" s="109">
        <f t="shared" si="78"/>
        <v>0.5511446158</v>
      </c>
      <c r="O131" s="110">
        <f t="shared" si="5"/>
        <v>1.814405823</v>
      </c>
      <c r="P131" s="109" t="str">
        <f t="shared" si="6"/>
        <v>#DIV/0!</v>
      </c>
      <c r="Q131" s="111" t="str">
        <f t="shared" si="7"/>
        <v>#DIV/0!</v>
      </c>
      <c r="R131" s="122">
        <f t="shared" si="77"/>
        <v>-1735.08</v>
      </c>
      <c r="S131" s="113" t="str">
        <f t="shared" si="9"/>
        <v>#DIV/0!</v>
      </c>
      <c r="T131" s="114"/>
      <c r="U131" s="114"/>
      <c r="V131" s="114"/>
      <c r="W131" s="114"/>
      <c r="X131" s="115"/>
      <c r="Y131" s="98"/>
      <c r="Z131" s="98"/>
    </row>
    <row r="132" hidden="1" outlineLevel="1">
      <c r="A132" s="293"/>
      <c r="B132" s="99" t="s">
        <v>37</v>
      </c>
      <c r="C132" s="294" t="s">
        <v>77</v>
      </c>
      <c r="D132" s="305"/>
      <c r="E132" s="296"/>
      <c r="F132" s="296"/>
      <c r="G132" s="104" t="str">
        <f t="shared" si="43"/>
        <v>#DIV/0!</v>
      </c>
      <c r="H132" s="105" t="str">
        <f t="shared" si="44"/>
        <v>#DIV/0!</v>
      </c>
      <c r="I132" s="106" t="str">
        <f t="shared" si="45"/>
        <v>#DIV/0!</v>
      </c>
      <c r="J132" s="123">
        <v>245.19</v>
      </c>
      <c r="K132" s="278">
        <v>13852.0</v>
      </c>
      <c r="L132" s="296"/>
      <c r="M132" s="124">
        <v>439.95</v>
      </c>
      <c r="N132" s="109">
        <f t="shared" si="78"/>
        <v>0.5573133311</v>
      </c>
      <c r="O132" s="110">
        <f t="shared" si="5"/>
        <v>1.79432277</v>
      </c>
      <c r="P132" s="109" t="str">
        <f t="shared" si="6"/>
        <v>#DIV/0!</v>
      </c>
      <c r="Q132" s="111" t="str">
        <f t="shared" si="7"/>
        <v>#DIV/0!</v>
      </c>
      <c r="R132" s="125">
        <f t="shared" si="77"/>
        <v>-439.95</v>
      </c>
      <c r="S132" s="113" t="str">
        <f t="shared" si="9"/>
        <v>#DIV/0!</v>
      </c>
      <c r="T132" s="114"/>
      <c r="U132" s="114"/>
      <c r="V132" s="114"/>
      <c r="W132" s="114"/>
      <c r="X132" s="115"/>
      <c r="Y132" s="98"/>
      <c r="Z132" s="98"/>
    </row>
    <row r="133" hidden="1" outlineLevel="1">
      <c r="A133" s="293"/>
      <c r="B133" s="116"/>
      <c r="C133" s="294" t="s">
        <v>78</v>
      </c>
      <c r="D133" s="306"/>
      <c r="E133" s="296"/>
      <c r="F133" s="296"/>
      <c r="G133" s="104" t="str">
        <f t="shared" si="43"/>
        <v>#DIV/0!</v>
      </c>
      <c r="H133" s="105" t="str">
        <f t="shared" si="44"/>
        <v>#DIV/0!</v>
      </c>
      <c r="I133" s="106" t="str">
        <f t="shared" si="45"/>
        <v>#DIV/0!</v>
      </c>
      <c r="J133" s="126">
        <v>646.82</v>
      </c>
      <c r="K133" s="278">
        <v>90725.0</v>
      </c>
      <c r="L133" s="296"/>
      <c r="M133" s="127">
        <v>0.0</v>
      </c>
      <c r="N133" s="109" t="str">
        <f t="shared" si="78"/>
        <v>#DIV/0!</v>
      </c>
      <c r="O133" s="110">
        <f t="shared" si="5"/>
        <v>0</v>
      </c>
      <c r="P133" s="109" t="str">
        <f t="shared" si="6"/>
        <v>#DIV/0!</v>
      </c>
      <c r="Q133" s="111" t="str">
        <f t="shared" si="7"/>
        <v>#DIV/0!</v>
      </c>
      <c r="R133" s="128">
        <f t="shared" si="77"/>
        <v>0</v>
      </c>
      <c r="S133" s="113" t="str">
        <f t="shared" si="9"/>
        <v>#DIV/0!</v>
      </c>
      <c r="T133" s="114"/>
      <c r="U133" s="114"/>
      <c r="V133" s="114"/>
      <c r="W133" s="114"/>
      <c r="X133" s="115"/>
      <c r="Y133" s="98"/>
      <c r="Z133" s="98"/>
    </row>
    <row r="134" hidden="1" outlineLevel="1">
      <c r="A134" s="293"/>
      <c r="B134" s="116"/>
      <c r="C134" s="294" t="s">
        <v>79</v>
      </c>
      <c r="D134" s="307"/>
      <c r="E134" s="296"/>
      <c r="F134" s="296"/>
      <c r="G134" s="104" t="str">
        <f t="shared" si="43"/>
        <v>#DIV/0!</v>
      </c>
      <c r="H134" s="105" t="str">
        <f t="shared" si="44"/>
        <v>#DIV/0!</v>
      </c>
      <c r="I134" s="106" t="str">
        <f t="shared" si="45"/>
        <v>#DIV/0!</v>
      </c>
      <c r="J134" s="129">
        <v>542.59</v>
      </c>
      <c r="K134" s="278">
        <v>74296.0</v>
      </c>
      <c r="L134" s="296"/>
      <c r="M134" s="130">
        <v>1381.47</v>
      </c>
      <c r="N134" s="109">
        <f t="shared" si="78"/>
        <v>0.3927627817</v>
      </c>
      <c r="O134" s="110">
        <f t="shared" si="5"/>
        <v>2.54606609</v>
      </c>
      <c r="P134" s="109" t="str">
        <f t="shared" si="6"/>
        <v>#DIV/0!</v>
      </c>
      <c r="Q134" s="111" t="str">
        <f t="shared" si="7"/>
        <v>#DIV/0!</v>
      </c>
      <c r="R134" s="131">
        <f t="shared" si="77"/>
        <v>-1381.47</v>
      </c>
      <c r="S134" s="113" t="str">
        <f t="shared" si="9"/>
        <v>#DIV/0!</v>
      </c>
      <c r="T134" s="114"/>
      <c r="U134" s="114"/>
      <c r="V134" s="114"/>
      <c r="W134" s="114"/>
      <c r="X134" s="115"/>
      <c r="Y134" s="98"/>
      <c r="Z134" s="98"/>
    </row>
    <row r="135" hidden="1" outlineLevel="1">
      <c r="A135" s="293"/>
      <c r="B135" s="116"/>
      <c r="C135" s="294" t="s">
        <v>80</v>
      </c>
      <c r="D135" s="307"/>
      <c r="E135" s="296"/>
      <c r="F135" s="296"/>
      <c r="G135" s="104" t="str">
        <f t="shared" si="43"/>
        <v>#DIV/0!</v>
      </c>
      <c r="H135" s="105" t="str">
        <f t="shared" si="44"/>
        <v>#DIV/0!</v>
      </c>
      <c r="I135" s="106" t="str">
        <f t="shared" si="45"/>
        <v>#DIV/0!</v>
      </c>
      <c r="J135" s="135">
        <v>379.27</v>
      </c>
      <c r="K135" s="278">
        <v>31003.0</v>
      </c>
      <c r="L135" s="296"/>
      <c r="M135" s="136">
        <v>359.9</v>
      </c>
      <c r="N135" s="109">
        <f t="shared" si="78"/>
        <v>1.053820506</v>
      </c>
      <c r="O135" s="110">
        <f t="shared" si="5"/>
        <v>0.9489282042</v>
      </c>
      <c r="P135" s="109" t="str">
        <f t="shared" si="6"/>
        <v>#DIV/0!</v>
      </c>
      <c r="Q135" s="111" t="str">
        <f t="shared" si="7"/>
        <v>#DIV/0!</v>
      </c>
      <c r="R135" s="137">
        <f t="shared" si="77"/>
        <v>-359.9</v>
      </c>
      <c r="S135" s="113" t="str">
        <f t="shared" si="9"/>
        <v>#DIV/0!</v>
      </c>
      <c r="T135" s="114"/>
      <c r="U135" s="114"/>
      <c r="V135" s="114"/>
      <c r="W135" s="114"/>
      <c r="X135" s="115"/>
      <c r="Y135" s="98"/>
      <c r="Z135" s="98"/>
    </row>
    <row r="136" hidden="1" outlineLevel="1">
      <c r="A136" s="293"/>
      <c r="B136" s="116"/>
      <c r="C136" s="294" t="s">
        <v>82</v>
      </c>
      <c r="D136" s="307"/>
      <c r="E136" s="296"/>
      <c r="F136" s="296"/>
      <c r="G136" s="104" t="str">
        <f t="shared" si="43"/>
        <v>#DIV/0!</v>
      </c>
      <c r="H136" s="105" t="str">
        <f t="shared" si="44"/>
        <v>#DIV/0!</v>
      </c>
      <c r="I136" s="106" t="str">
        <f t="shared" si="45"/>
        <v>#DIV/0!</v>
      </c>
      <c r="J136" s="135">
        <v>122.01</v>
      </c>
      <c r="K136" s="278">
        <v>9664.0</v>
      </c>
      <c r="L136" s="296"/>
      <c r="M136" s="136">
        <v>654.01</v>
      </c>
      <c r="N136" s="109">
        <f t="shared" si="78"/>
        <v>0.1865567805</v>
      </c>
      <c r="O136" s="110">
        <f t="shared" si="5"/>
        <v>5.360298336</v>
      </c>
      <c r="P136" s="109" t="str">
        <f t="shared" si="6"/>
        <v>#DIV/0!</v>
      </c>
      <c r="Q136" s="111" t="str">
        <f t="shared" si="7"/>
        <v>#DIV/0!</v>
      </c>
      <c r="R136" s="137">
        <f t="shared" si="77"/>
        <v>-654.01</v>
      </c>
      <c r="S136" s="113" t="str">
        <f t="shared" si="9"/>
        <v>#DIV/0!</v>
      </c>
      <c r="T136" s="114"/>
      <c r="U136" s="114"/>
      <c r="V136" s="114"/>
      <c r="W136" s="114"/>
      <c r="X136" s="115"/>
      <c r="Y136" s="98"/>
      <c r="Z136" s="98"/>
    </row>
    <row r="137" hidden="1" outlineLevel="1">
      <c r="A137" s="293"/>
      <c r="B137" s="116"/>
      <c r="C137" s="294" t="s">
        <v>83</v>
      </c>
      <c r="D137" s="307"/>
      <c r="E137" s="296"/>
      <c r="F137" s="296"/>
      <c r="G137" s="104" t="str">
        <f t="shared" si="43"/>
        <v>#DIV/0!</v>
      </c>
      <c r="H137" s="105" t="str">
        <f t="shared" si="44"/>
        <v>#DIV/0!</v>
      </c>
      <c r="I137" s="106" t="str">
        <f t="shared" si="45"/>
        <v>#DIV/0!</v>
      </c>
      <c r="J137" s="135">
        <v>795.07</v>
      </c>
      <c r="K137" s="278">
        <v>87116.0</v>
      </c>
      <c r="L137" s="296"/>
      <c r="M137" s="136">
        <v>1149.16</v>
      </c>
      <c r="N137" s="109">
        <f t="shared" si="78"/>
        <v>0.6918705837</v>
      </c>
      <c r="O137" s="110">
        <f t="shared" si="5"/>
        <v>1.445357013</v>
      </c>
      <c r="P137" s="109" t="str">
        <f t="shared" si="6"/>
        <v>#DIV/0!</v>
      </c>
      <c r="Q137" s="111" t="str">
        <f t="shared" si="7"/>
        <v>#DIV/0!</v>
      </c>
      <c r="R137" s="137">
        <f t="shared" si="77"/>
        <v>-1149.16</v>
      </c>
      <c r="S137" s="113" t="str">
        <f t="shared" si="9"/>
        <v>#DIV/0!</v>
      </c>
      <c r="T137" s="114"/>
      <c r="U137" s="114"/>
      <c r="V137" s="114"/>
      <c r="W137" s="114"/>
      <c r="X137" s="115"/>
      <c r="Y137" s="98"/>
      <c r="Z137" s="98"/>
    </row>
    <row r="138" hidden="1" outlineLevel="1">
      <c r="A138" s="310" t="str">
        <f t="shared" ref="A138:A139" si="79">iferror(if(B138&gt;0,month(B138)&amp;"-"&amp;year(B138),B138),)</f>
        <v>2-2026</v>
      </c>
      <c r="B138" s="99">
        <v>46074.0</v>
      </c>
      <c r="C138" s="294" t="s">
        <v>81</v>
      </c>
      <c r="D138" s="311"/>
      <c r="E138" s="296"/>
      <c r="F138" s="296"/>
      <c r="G138" s="104" t="str">
        <f t="shared" si="43"/>
        <v>#DIV/0!</v>
      </c>
      <c r="H138" s="105" t="str">
        <f t="shared" si="44"/>
        <v>#DIV/0!</v>
      </c>
      <c r="I138" s="106" t="str">
        <f t="shared" si="45"/>
        <v>#DIV/0!</v>
      </c>
      <c r="J138" s="117">
        <v>0.0</v>
      </c>
      <c r="K138" s="278">
        <v>0.0</v>
      </c>
      <c r="L138" s="296"/>
      <c r="M138" s="118">
        <v>0.0</v>
      </c>
      <c r="N138" s="109" t="str">
        <f t="shared" si="78"/>
        <v>#DIV/0!</v>
      </c>
      <c r="O138" s="110" t="str">
        <f t="shared" si="5"/>
        <v>#DIV/0!</v>
      </c>
      <c r="P138" s="109" t="str">
        <f t="shared" si="6"/>
        <v>#DIV/0!</v>
      </c>
      <c r="Q138" s="111" t="str">
        <f t="shared" si="7"/>
        <v>#DIV/0!</v>
      </c>
      <c r="R138" s="112">
        <f t="shared" si="77"/>
        <v>0</v>
      </c>
      <c r="S138" s="113" t="str">
        <f t="shared" si="9"/>
        <v>#DIV/0!</v>
      </c>
      <c r="T138" s="114"/>
      <c r="U138" s="114"/>
      <c r="V138" s="114"/>
      <c r="W138" s="114"/>
      <c r="X138" s="115"/>
      <c r="Y138" s="98"/>
      <c r="Z138" s="98"/>
    </row>
    <row r="139" collapsed="1">
      <c r="A139" s="293" t="str">
        <f t="shared" si="79"/>
        <v/>
      </c>
      <c r="B139" s="149" t="s">
        <v>58</v>
      </c>
      <c r="C139" s="312"/>
      <c r="D139" s="151">
        <f t="shared" ref="D139:F139" si="80">SUM(D125:D138)</f>
        <v>0</v>
      </c>
      <c r="E139" s="153">
        <f t="shared" si="80"/>
        <v>0</v>
      </c>
      <c r="F139" s="153">
        <f t="shared" si="80"/>
        <v>0</v>
      </c>
      <c r="G139" s="154" t="str">
        <f t="shared" si="43"/>
        <v>#DIV/0!</v>
      </c>
      <c r="H139" s="155" t="str">
        <f t="shared" si="44"/>
        <v>#DIV/0!</v>
      </c>
      <c r="I139" s="156" t="str">
        <f t="shared" si="45"/>
        <v>#DIV/0!</v>
      </c>
      <c r="J139" s="151">
        <f t="shared" ref="J139:M139" si="81">SUM(J125:J138)</f>
        <v>6444.69</v>
      </c>
      <c r="K139" s="313">
        <f t="shared" si="81"/>
        <v>661606</v>
      </c>
      <c r="L139" s="153">
        <f t="shared" si="81"/>
        <v>0</v>
      </c>
      <c r="M139" s="157">
        <f t="shared" si="81"/>
        <v>10225.81</v>
      </c>
      <c r="N139" s="158">
        <f t="shared" si="78"/>
        <v>0.6302376046</v>
      </c>
      <c r="O139" s="159">
        <f t="shared" si="5"/>
        <v>1.586703162</v>
      </c>
      <c r="P139" s="158" t="str">
        <f t="shared" si="6"/>
        <v>#DIV/0!</v>
      </c>
      <c r="Q139" s="160" t="str">
        <f t="shared" si="7"/>
        <v>#DIV/0!</v>
      </c>
      <c r="R139" s="161">
        <f>SUM(R125:R138)</f>
        <v>-10225.81</v>
      </c>
      <c r="S139" s="162" t="str">
        <f t="shared" si="9"/>
        <v>#DIV/0!</v>
      </c>
      <c r="T139" s="164" t="str">
        <f t="shared" ref="T139:U139" si="82">IFERROR((D139-#REF!)/D139,)</f>
        <v/>
      </c>
      <c r="U139" s="164" t="str">
        <f t="shared" si="82"/>
        <v/>
      </c>
      <c r="V139" s="164" t="str">
        <f t="shared" ref="V139:W139" si="83">IFERROR((D139-#REF!)/D139, )</f>
        <v/>
      </c>
      <c r="W139" s="164" t="str">
        <f t="shared" si="83"/>
        <v/>
      </c>
      <c r="X139" s="98"/>
      <c r="Y139" s="98"/>
      <c r="Z139" s="98"/>
    </row>
    <row r="140" hidden="1" outlineLevel="1">
      <c r="A140" s="293"/>
      <c r="B140" s="99">
        <v>46075.0</v>
      </c>
      <c r="C140" s="294" t="s">
        <v>70</v>
      </c>
      <c r="D140" s="295"/>
      <c r="E140" s="296"/>
      <c r="F140" s="296"/>
      <c r="G140" s="104" t="str">
        <f t="shared" si="43"/>
        <v>#DIV/0!</v>
      </c>
      <c r="H140" s="105" t="str">
        <f t="shared" si="44"/>
        <v>#DIV/0!</v>
      </c>
      <c r="I140" s="106" t="str">
        <f t="shared" si="45"/>
        <v>#DIV/0!</v>
      </c>
      <c r="J140" s="107">
        <v>801.53</v>
      </c>
      <c r="K140" s="278">
        <v>99441.0</v>
      </c>
      <c r="L140" s="296"/>
      <c r="M140" s="108">
        <v>1491.56</v>
      </c>
      <c r="N140" s="109">
        <f t="shared" si="78"/>
        <v>0.5373769744</v>
      </c>
      <c r="O140" s="110">
        <f t="shared" si="5"/>
        <v>1.860891046</v>
      </c>
      <c r="P140" s="109" t="str">
        <f t="shared" si="6"/>
        <v>#DIV/0!</v>
      </c>
      <c r="Q140" s="111" t="str">
        <f t="shared" si="7"/>
        <v>#DIV/0!</v>
      </c>
      <c r="R140" s="112">
        <f t="shared" ref="R140:R153" si="84">D140-M140</f>
        <v>-1491.56</v>
      </c>
      <c r="S140" s="113" t="str">
        <f t="shared" si="9"/>
        <v>#DIV/0!</v>
      </c>
      <c r="T140" s="114"/>
      <c r="U140" s="114"/>
      <c r="V140" s="114"/>
      <c r="W140" s="114"/>
      <c r="X140" s="115"/>
      <c r="Y140" s="98"/>
      <c r="Z140" s="98"/>
    </row>
    <row r="141" hidden="1" outlineLevel="1">
      <c r="A141" s="293"/>
      <c r="B141" s="116"/>
      <c r="C141" s="294" t="s">
        <v>71</v>
      </c>
      <c r="D141" s="297"/>
      <c r="E141" s="296"/>
      <c r="F141" s="296"/>
      <c r="G141" s="104" t="str">
        <f t="shared" si="43"/>
        <v>#DIV/0!</v>
      </c>
      <c r="H141" s="105" t="str">
        <f t="shared" si="44"/>
        <v>#DIV/0!</v>
      </c>
      <c r="I141" s="106" t="str">
        <f t="shared" si="45"/>
        <v>#DIV/0!</v>
      </c>
      <c r="J141" s="117">
        <v>211.74</v>
      </c>
      <c r="K141" s="278">
        <v>24473.0</v>
      </c>
      <c r="L141" s="296"/>
      <c r="M141" s="118">
        <v>446.69</v>
      </c>
      <c r="N141" s="109">
        <f t="shared" si="78"/>
        <v>0.4740200139</v>
      </c>
      <c r="O141" s="110">
        <f t="shared" si="5"/>
        <v>2.109615566</v>
      </c>
      <c r="P141" s="109" t="str">
        <f t="shared" si="6"/>
        <v>#DIV/0!</v>
      </c>
      <c r="Q141" s="111" t="str">
        <f t="shared" si="7"/>
        <v>#DIV/0!</v>
      </c>
      <c r="R141" s="119">
        <f t="shared" si="84"/>
        <v>-446.69</v>
      </c>
      <c r="S141" s="113" t="str">
        <f t="shared" si="9"/>
        <v>#DIV/0!</v>
      </c>
      <c r="T141" s="114"/>
      <c r="U141" s="114"/>
      <c r="V141" s="114"/>
      <c r="W141" s="114"/>
      <c r="X141" s="115"/>
      <c r="Y141" s="98"/>
      <c r="Z141" s="98"/>
    </row>
    <row r="142" hidden="1" outlineLevel="1">
      <c r="A142" s="293"/>
      <c r="B142" s="116"/>
      <c r="C142" s="294" t="s">
        <v>72</v>
      </c>
      <c r="D142" s="298"/>
      <c r="E142" s="296"/>
      <c r="F142" s="296"/>
      <c r="G142" s="104" t="str">
        <f t="shared" si="43"/>
        <v>#DIV/0!</v>
      </c>
      <c r="H142" s="105" t="str">
        <f t="shared" si="44"/>
        <v>#DIV/0!</v>
      </c>
      <c r="I142" s="106" t="str">
        <f t="shared" si="45"/>
        <v>#DIV/0!</v>
      </c>
      <c r="J142" s="120">
        <v>161.85</v>
      </c>
      <c r="K142" s="278">
        <v>25997.0</v>
      </c>
      <c r="L142" s="296"/>
      <c r="M142" s="121">
        <v>683.88</v>
      </c>
      <c r="N142" s="109">
        <f>(J142/M142)</f>
        <v>0.2366643271</v>
      </c>
      <c r="O142" s="110">
        <f t="shared" si="5"/>
        <v>4.225393883</v>
      </c>
      <c r="P142" s="109" t="str">
        <f t="shared" si="6"/>
        <v>#DIV/0!</v>
      </c>
      <c r="Q142" s="111" t="str">
        <f t="shared" si="7"/>
        <v>#DIV/0!</v>
      </c>
      <c r="R142" s="122">
        <f t="shared" si="84"/>
        <v>-683.88</v>
      </c>
      <c r="S142" s="113" t="str">
        <f t="shared" si="9"/>
        <v>#DIV/0!</v>
      </c>
      <c r="T142" s="114"/>
      <c r="U142" s="114"/>
      <c r="V142" s="114"/>
      <c r="W142" s="114"/>
      <c r="X142" s="115"/>
      <c r="Y142" s="98"/>
      <c r="Z142" s="98"/>
    </row>
    <row r="143" hidden="1" outlineLevel="1">
      <c r="A143" s="293"/>
      <c r="B143" s="116"/>
      <c r="C143" s="294" t="s">
        <v>73</v>
      </c>
      <c r="D143" s="298"/>
      <c r="E143" s="296"/>
      <c r="F143" s="296"/>
      <c r="G143" s="104" t="str">
        <f t="shared" si="43"/>
        <v>#DIV/0!</v>
      </c>
      <c r="H143" s="105" t="str">
        <f t="shared" si="44"/>
        <v>#DIV/0!</v>
      </c>
      <c r="I143" s="106" t="str">
        <f t="shared" si="45"/>
        <v>#DIV/0!</v>
      </c>
      <c r="J143" s="120">
        <v>460.64</v>
      </c>
      <c r="K143" s="278">
        <v>32724.0</v>
      </c>
      <c r="L143" s="296"/>
      <c r="M143" s="121">
        <v>299.75</v>
      </c>
      <c r="N143" s="109">
        <f t="shared" ref="N143:N156" si="85">J143/M143</f>
        <v>1.536747289</v>
      </c>
      <c r="O143" s="110">
        <f t="shared" si="5"/>
        <v>0.6507250782</v>
      </c>
      <c r="P143" s="109" t="str">
        <f t="shared" si="6"/>
        <v>#DIV/0!</v>
      </c>
      <c r="Q143" s="111" t="str">
        <f t="shared" si="7"/>
        <v>#DIV/0!</v>
      </c>
      <c r="R143" s="122">
        <f t="shared" si="84"/>
        <v>-299.75</v>
      </c>
      <c r="S143" s="113" t="str">
        <f t="shared" si="9"/>
        <v>#DIV/0!</v>
      </c>
      <c r="T143" s="114"/>
      <c r="U143" s="114"/>
      <c r="V143" s="114"/>
      <c r="W143" s="114"/>
      <c r="X143" s="115"/>
      <c r="Y143" s="98"/>
      <c r="Z143" s="98"/>
    </row>
    <row r="144" hidden="1" outlineLevel="1">
      <c r="A144" s="293"/>
      <c r="B144" s="116"/>
      <c r="C144" s="294" t="s">
        <v>74</v>
      </c>
      <c r="D144" s="299"/>
      <c r="E144" s="296"/>
      <c r="F144" s="296"/>
      <c r="G144" s="104" t="str">
        <f t="shared" si="43"/>
        <v>#DIV/0!</v>
      </c>
      <c r="H144" s="105" t="str">
        <f t="shared" si="44"/>
        <v>#DIV/0!</v>
      </c>
      <c r="I144" s="106" t="str">
        <f t="shared" si="45"/>
        <v>#DIV/0!</v>
      </c>
      <c r="J144" s="300">
        <v>638.89</v>
      </c>
      <c r="K144" s="278">
        <v>63318.0</v>
      </c>
      <c r="L144" s="296"/>
      <c r="M144" s="300">
        <v>839.72</v>
      </c>
      <c r="N144" s="109">
        <f t="shared" si="85"/>
        <v>0.7608369456</v>
      </c>
      <c r="O144" s="110">
        <f t="shared" si="5"/>
        <v>1.314342062</v>
      </c>
      <c r="P144" s="109" t="str">
        <f t="shared" si="6"/>
        <v>#DIV/0!</v>
      </c>
      <c r="Q144" s="111" t="str">
        <f t="shared" si="7"/>
        <v>#DIV/0!</v>
      </c>
      <c r="R144" s="122">
        <f t="shared" si="84"/>
        <v>-839.72</v>
      </c>
      <c r="S144" s="113" t="str">
        <f t="shared" si="9"/>
        <v>#DIV/0!</v>
      </c>
      <c r="T144" s="114"/>
      <c r="U144" s="114"/>
      <c r="V144" s="114"/>
      <c r="W144" s="114"/>
      <c r="X144" s="115"/>
      <c r="Y144" s="98"/>
      <c r="Z144" s="98"/>
    </row>
    <row r="145" hidden="1" outlineLevel="1">
      <c r="A145" s="293"/>
      <c r="B145" s="116"/>
      <c r="C145" s="294" t="s">
        <v>75</v>
      </c>
      <c r="D145" s="301"/>
      <c r="E145" s="296"/>
      <c r="F145" s="296"/>
      <c r="G145" s="104" t="str">
        <f t="shared" si="43"/>
        <v>#DIV/0!</v>
      </c>
      <c r="H145" s="105" t="str">
        <f t="shared" si="44"/>
        <v>#DIV/0!</v>
      </c>
      <c r="I145" s="106" t="str">
        <f t="shared" si="45"/>
        <v>#DIV/0!</v>
      </c>
      <c r="J145" s="302">
        <v>488.6</v>
      </c>
      <c r="K145" s="278">
        <v>63607.0</v>
      </c>
      <c r="L145" s="296"/>
      <c r="M145" s="303">
        <v>212.51</v>
      </c>
      <c r="N145" s="109">
        <f t="shared" si="85"/>
        <v>2.299185921</v>
      </c>
      <c r="O145" s="110">
        <f t="shared" si="5"/>
        <v>0.4349365534</v>
      </c>
      <c r="P145" s="109" t="str">
        <f t="shared" si="6"/>
        <v>#DIV/0!</v>
      </c>
      <c r="Q145" s="111" t="str">
        <f t="shared" si="7"/>
        <v>#DIV/0!</v>
      </c>
      <c r="R145" s="304">
        <f t="shared" si="84"/>
        <v>-212.51</v>
      </c>
      <c r="S145" s="113" t="str">
        <f t="shared" si="9"/>
        <v>#DIV/0!</v>
      </c>
      <c r="T145" s="114"/>
      <c r="U145" s="114"/>
      <c r="V145" s="114"/>
      <c r="W145" s="114"/>
      <c r="X145" s="115"/>
      <c r="Y145" s="98"/>
      <c r="Z145" s="98"/>
    </row>
    <row r="146" hidden="1" outlineLevel="1">
      <c r="A146" s="293"/>
      <c r="B146" s="116"/>
      <c r="C146" s="294" t="s">
        <v>76</v>
      </c>
      <c r="D146" s="298"/>
      <c r="E146" s="296"/>
      <c r="F146" s="296"/>
      <c r="G146" s="104" t="str">
        <f t="shared" si="43"/>
        <v>#DIV/0!</v>
      </c>
      <c r="H146" s="105" t="str">
        <f t="shared" si="44"/>
        <v>#DIV/0!</v>
      </c>
      <c r="I146" s="106" t="str">
        <f t="shared" si="45"/>
        <v>#DIV/0!</v>
      </c>
      <c r="J146" s="120">
        <v>939.82</v>
      </c>
      <c r="K146" s="278">
        <v>53437.0</v>
      </c>
      <c r="L146" s="296"/>
      <c r="M146" s="121">
        <v>2990.58</v>
      </c>
      <c r="N146" s="109">
        <f t="shared" si="85"/>
        <v>0.3142601101</v>
      </c>
      <c r="O146" s="110">
        <f t="shared" si="5"/>
        <v>3.182077419</v>
      </c>
      <c r="P146" s="109" t="str">
        <f t="shared" si="6"/>
        <v>#DIV/0!</v>
      </c>
      <c r="Q146" s="111" t="str">
        <f t="shared" si="7"/>
        <v>#DIV/0!</v>
      </c>
      <c r="R146" s="122">
        <f t="shared" si="84"/>
        <v>-2990.58</v>
      </c>
      <c r="S146" s="113" t="str">
        <f t="shared" si="9"/>
        <v>#DIV/0!</v>
      </c>
      <c r="T146" s="114"/>
      <c r="U146" s="114"/>
      <c r="V146" s="114"/>
      <c r="W146" s="114"/>
      <c r="X146" s="115"/>
      <c r="Y146" s="98"/>
      <c r="Z146" s="98"/>
    </row>
    <row r="147" hidden="1" outlineLevel="1">
      <c r="A147" s="293"/>
      <c r="B147" s="99" t="s">
        <v>37</v>
      </c>
      <c r="C147" s="294" t="s">
        <v>77</v>
      </c>
      <c r="D147" s="305"/>
      <c r="E147" s="296"/>
      <c r="F147" s="296"/>
      <c r="G147" s="104" t="str">
        <f t="shared" si="43"/>
        <v>#DIV/0!</v>
      </c>
      <c r="H147" s="105" t="str">
        <f t="shared" si="44"/>
        <v>#DIV/0!</v>
      </c>
      <c r="I147" s="106" t="str">
        <f t="shared" si="45"/>
        <v>#DIV/0!</v>
      </c>
      <c r="J147" s="123">
        <v>181.36</v>
      </c>
      <c r="K147" s="278">
        <v>12819.0</v>
      </c>
      <c r="L147" s="296"/>
      <c r="M147" s="124">
        <v>193.85</v>
      </c>
      <c r="N147" s="109">
        <f t="shared" si="85"/>
        <v>0.9355687387</v>
      </c>
      <c r="O147" s="110">
        <f t="shared" si="5"/>
        <v>1.068868549</v>
      </c>
      <c r="P147" s="109" t="str">
        <f t="shared" si="6"/>
        <v>#DIV/0!</v>
      </c>
      <c r="Q147" s="111" t="str">
        <f t="shared" si="7"/>
        <v>#DIV/0!</v>
      </c>
      <c r="R147" s="125">
        <f t="shared" si="84"/>
        <v>-193.85</v>
      </c>
      <c r="S147" s="113" t="str">
        <f t="shared" si="9"/>
        <v>#DIV/0!</v>
      </c>
      <c r="T147" s="114"/>
      <c r="U147" s="114"/>
      <c r="V147" s="114"/>
      <c r="W147" s="114"/>
      <c r="X147" s="115"/>
      <c r="Y147" s="98"/>
      <c r="Z147" s="98"/>
    </row>
    <row r="148" hidden="1" outlineLevel="1">
      <c r="A148" s="293"/>
      <c r="B148" s="116"/>
      <c r="C148" s="294" t="s">
        <v>78</v>
      </c>
      <c r="D148" s="306"/>
      <c r="E148" s="296"/>
      <c r="F148" s="296"/>
      <c r="G148" s="104" t="str">
        <f t="shared" si="43"/>
        <v>#DIV/0!</v>
      </c>
      <c r="H148" s="105" t="str">
        <f t="shared" si="44"/>
        <v>#DIV/0!</v>
      </c>
      <c r="I148" s="106" t="str">
        <f t="shared" si="45"/>
        <v>#DIV/0!</v>
      </c>
      <c r="J148" s="126">
        <v>338.61</v>
      </c>
      <c r="K148" s="278">
        <v>63797.0</v>
      </c>
      <c r="L148" s="296"/>
      <c r="M148" s="127">
        <v>279.5</v>
      </c>
      <c r="N148" s="109">
        <f t="shared" si="85"/>
        <v>1.211484794</v>
      </c>
      <c r="O148" s="110">
        <f t="shared" si="5"/>
        <v>0.8254333894</v>
      </c>
      <c r="P148" s="109" t="str">
        <f t="shared" si="6"/>
        <v>#DIV/0!</v>
      </c>
      <c r="Q148" s="111" t="str">
        <f t="shared" si="7"/>
        <v>#DIV/0!</v>
      </c>
      <c r="R148" s="128">
        <f t="shared" si="84"/>
        <v>-279.5</v>
      </c>
      <c r="S148" s="113" t="str">
        <f t="shared" si="9"/>
        <v>#DIV/0!</v>
      </c>
      <c r="T148" s="114"/>
      <c r="U148" s="114"/>
      <c r="V148" s="114"/>
      <c r="W148" s="114"/>
      <c r="X148" s="115"/>
      <c r="Y148" s="98"/>
      <c r="Z148" s="98"/>
    </row>
    <row r="149" hidden="1" outlineLevel="1">
      <c r="A149" s="293"/>
      <c r="B149" s="116"/>
      <c r="C149" s="294" t="s">
        <v>79</v>
      </c>
      <c r="D149" s="307"/>
      <c r="E149" s="296"/>
      <c r="F149" s="296"/>
      <c r="G149" s="104" t="str">
        <f t="shared" si="43"/>
        <v>#DIV/0!</v>
      </c>
      <c r="H149" s="105" t="str">
        <f t="shared" si="44"/>
        <v>#DIV/0!</v>
      </c>
      <c r="I149" s="106" t="str">
        <f t="shared" si="45"/>
        <v>#DIV/0!</v>
      </c>
      <c r="J149" s="129">
        <v>553.06</v>
      </c>
      <c r="K149" s="278">
        <v>72929.0</v>
      </c>
      <c r="L149" s="296"/>
      <c r="M149" s="130">
        <v>573.51</v>
      </c>
      <c r="N149" s="109">
        <f t="shared" si="85"/>
        <v>0.9643423829</v>
      </c>
      <c r="O149" s="110">
        <f t="shared" si="5"/>
        <v>1.036976097</v>
      </c>
      <c r="P149" s="109" t="str">
        <f t="shared" si="6"/>
        <v>#DIV/0!</v>
      </c>
      <c r="Q149" s="111" t="str">
        <f t="shared" si="7"/>
        <v>#DIV/0!</v>
      </c>
      <c r="R149" s="131">
        <f t="shared" si="84"/>
        <v>-573.51</v>
      </c>
      <c r="S149" s="113" t="str">
        <f t="shared" si="9"/>
        <v>#DIV/0!</v>
      </c>
      <c r="T149" s="114"/>
      <c r="U149" s="114"/>
      <c r="V149" s="114"/>
      <c r="W149" s="114"/>
      <c r="X149" s="115"/>
      <c r="Y149" s="98"/>
      <c r="Z149" s="98"/>
    </row>
    <row r="150" hidden="1" outlineLevel="1">
      <c r="A150" s="293"/>
      <c r="B150" s="116"/>
      <c r="C150" s="294" t="s">
        <v>80</v>
      </c>
      <c r="D150" s="307"/>
      <c r="E150" s="296"/>
      <c r="F150" s="296"/>
      <c r="G150" s="104" t="str">
        <f t="shared" si="43"/>
        <v>#DIV/0!</v>
      </c>
      <c r="H150" s="105" t="str">
        <f t="shared" si="44"/>
        <v>#DIV/0!</v>
      </c>
      <c r="I150" s="106" t="str">
        <f t="shared" si="45"/>
        <v>#DIV/0!</v>
      </c>
      <c r="J150" s="135">
        <v>503.41</v>
      </c>
      <c r="K150" s="278">
        <v>41509.0</v>
      </c>
      <c r="L150" s="296"/>
      <c r="M150" s="136">
        <v>599.85</v>
      </c>
      <c r="N150" s="109">
        <f t="shared" si="85"/>
        <v>0.8392264733</v>
      </c>
      <c r="O150" s="110">
        <f t="shared" si="5"/>
        <v>1.191573469</v>
      </c>
      <c r="P150" s="109" t="str">
        <f t="shared" si="6"/>
        <v>#DIV/0!</v>
      </c>
      <c r="Q150" s="111" t="str">
        <f t="shared" si="7"/>
        <v>#DIV/0!</v>
      </c>
      <c r="R150" s="137">
        <f t="shared" si="84"/>
        <v>-599.85</v>
      </c>
      <c r="S150" s="113" t="str">
        <f t="shared" si="9"/>
        <v>#DIV/0!</v>
      </c>
      <c r="T150" s="114"/>
      <c r="U150" s="114"/>
      <c r="V150" s="114"/>
      <c r="W150" s="114"/>
      <c r="X150" s="115"/>
      <c r="Y150" s="98"/>
      <c r="Z150" s="98"/>
    </row>
    <row r="151" hidden="1" outlineLevel="1">
      <c r="A151" s="293"/>
      <c r="B151" s="116"/>
      <c r="C151" s="294" t="s">
        <v>82</v>
      </c>
      <c r="D151" s="307"/>
      <c r="E151" s="296"/>
      <c r="F151" s="296"/>
      <c r="G151" s="104" t="str">
        <f t="shared" si="43"/>
        <v>#DIV/0!</v>
      </c>
      <c r="H151" s="105" t="str">
        <f t="shared" si="44"/>
        <v>#DIV/0!</v>
      </c>
      <c r="I151" s="106" t="str">
        <f t="shared" si="45"/>
        <v>#DIV/0!</v>
      </c>
      <c r="J151" s="135">
        <v>460.79</v>
      </c>
      <c r="K151" s="278">
        <v>31712.0</v>
      </c>
      <c r="L151" s="296"/>
      <c r="M151" s="136">
        <v>313.44</v>
      </c>
      <c r="N151" s="109">
        <f t="shared" si="85"/>
        <v>1.470105921</v>
      </c>
      <c r="O151" s="110">
        <f t="shared" si="5"/>
        <v>0.6802230951</v>
      </c>
      <c r="P151" s="109" t="str">
        <f t="shared" si="6"/>
        <v>#DIV/0!</v>
      </c>
      <c r="Q151" s="111" t="str">
        <f t="shared" si="7"/>
        <v>#DIV/0!</v>
      </c>
      <c r="R151" s="137">
        <f t="shared" si="84"/>
        <v>-313.44</v>
      </c>
      <c r="S151" s="113" t="str">
        <f t="shared" si="9"/>
        <v>#DIV/0!</v>
      </c>
      <c r="T151" s="114"/>
      <c r="U151" s="114"/>
      <c r="V151" s="114"/>
      <c r="W151" s="114"/>
      <c r="X151" s="115"/>
      <c r="Y151" s="98"/>
      <c r="Z151" s="98"/>
    </row>
    <row r="152" hidden="1" outlineLevel="1">
      <c r="A152" s="293"/>
      <c r="B152" s="116"/>
      <c r="C152" s="294" t="s">
        <v>83</v>
      </c>
      <c r="D152" s="307"/>
      <c r="E152" s="296"/>
      <c r="F152" s="296"/>
      <c r="G152" s="104" t="str">
        <f t="shared" si="43"/>
        <v>#DIV/0!</v>
      </c>
      <c r="H152" s="105" t="str">
        <f t="shared" si="44"/>
        <v>#DIV/0!</v>
      </c>
      <c r="I152" s="106" t="str">
        <f t="shared" si="45"/>
        <v>#DIV/0!</v>
      </c>
      <c r="J152" s="135">
        <v>807.11</v>
      </c>
      <c r="K152" s="278">
        <v>93397.0</v>
      </c>
      <c r="L152" s="296"/>
      <c r="M152" s="136">
        <v>2165.69</v>
      </c>
      <c r="N152" s="109">
        <f t="shared" si="85"/>
        <v>0.3726803005</v>
      </c>
      <c r="O152" s="110">
        <f t="shared" si="5"/>
        <v>2.683264982</v>
      </c>
      <c r="P152" s="109" t="str">
        <f t="shared" si="6"/>
        <v>#DIV/0!</v>
      </c>
      <c r="Q152" s="111" t="str">
        <f t="shared" si="7"/>
        <v>#DIV/0!</v>
      </c>
      <c r="R152" s="137">
        <f t="shared" si="84"/>
        <v>-2165.69</v>
      </c>
      <c r="S152" s="113" t="str">
        <f t="shared" si="9"/>
        <v>#DIV/0!</v>
      </c>
      <c r="T152" s="114"/>
      <c r="U152" s="114"/>
      <c r="V152" s="114"/>
      <c r="W152" s="114"/>
      <c r="X152" s="115"/>
      <c r="Y152" s="98"/>
      <c r="Z152" s="98"/>
    </row>
    <row r="153" hidden="1" outlineLevel="1">
      <c r="A153" s="310" t="str">
        <f t="shared" ref="A153:A154" si="86">iferror(if(B153&gt;0,month(B153)&amp;"-"&amp;year(B153),B153),)</f>
        <v>2-2026</v>
      </c>
      <c r="B153" s="99">
        <v>46081.0</v>
      </c>
      <c r="C153" s="294" t="s">
        <v>81</v>
      </c>
      <c r="D153" s="311"/>
      <c r="E153" s="296"/>
      <c r="F153" s="296"/>
      <c r="G153" s="104" t="str">
        <f t="shared" si="43"/>
        <v>#DIV/0!</v>
      </c>
      <c r="H153" s="105" t="str">
        <f t="shared" si="44"/>
        <v>#DIV/0!</v>
      </c>
      <c r="I153" s="106" t="str">
        <f t="shared" si="45"/>
        <v>#DIV/0!</v>
      </c>
      <c r="J153" s="117">
        <v>0.0</v>
      </c>
      <c r="K153" s="278">
        <v>0.0</v>
      </c>
      <c r="L153" s="296"/>
      <c r="M153" s="118">
        <v>0.0</v>
      </c>
      <c r="N153" s="109" t="str">
        <f t="shared" si="85"/>
        <v>#DIV/0!</v>
      </c>
      <c r="O153" s="110" t="str">
        <f t="shared" si="5"/>
        <v>#DIV/0!</v>
      </c>
      <c r="P153" s="109" t="str">
        <f t="shared" si="6"/>
        <v>#DIV/0!</v>
      </c>
      <c r="Q153" s="111" t="str">
        <f t="shared" si="7"/>
        <v>#DIV/0!</v>
      </c>
      <c r="R153" s="112">
        <f t="shared" si="84"/>
        <v>0</v>
      </c>
      <c r="S153" s="113" t="str">
        <f t="shared" si="9"/>
        <v>#DIV/0!</v>
      </c>
      <c r="T153" s="114"/>
      <c r="U153" s="114"/>
      <c r="V153" s="114"/>
      <c r="W153" s="114"/>
      <c r="X153" s="115"/>
      <c r="Y153" s="98"/>
      <c r="Z153" s="98"/>
    </row>
    <row r="154" collapsed="1">
      <c r="A154" s="293" t="str">
        <f t="shared" si="86"/>
        <v/>
      </c>
      <c r="B154" s="149" t="s">
        <v>59</v>
      </c>
      <c r="C154" s="312"/>
      <c r="D154" s="151">
        <f t="shared" ref="D154:F154" si="87">SUM(D140:D153)</f>
        <v>0</v>
      </c>
      <c r="E154" s="153">
        <f t="shared" si="87"/>
        <v>0</v>
      </c>
      <c r="F154" s="153">
        <f t="shared" si="87"/>
        <v>0</v>
      </c>
      <c r="G154" s="154" t="str">
        <f t="shared" si="43"/>
        <v>#DIV/0!</v>
      </c>
      <c r="H154" s="155" t="str">
        <f t="shared" si="44"/>
        <v>#DIV/0!</v>
      </c>
      <c r="I154" s="156" t="str">
        <f t="shared" si="45"/>
        <v>#DIV/0!</v>
      </c>
      <c r="J154" s="151">
        <f t="shared" ref="J154:M154" si="88">SUM(J140:J153)</f>
        <v>6547.41</v>
      </c>
      <c r="K154" s="313">
        <f t="shared" si="88"/>
        <v>679160</v>
      </c>
      <c r="L154" s="153">
        <f t="shared" si="88"/>
        <v>0</v>
      </c>
      <c r="M154" s="157">
        <f t="shared" si="88"/>
        <v>11090.53</v>
      </c>
      <c r="N154" s="158">
        <f t="shared" si="85"/>
        <v>0.5903604246</v>
      </c>
      <c r="O154" s="159">
        <f t="shared" si="5"/>
        <v>1.693880481</v>
      </c>
      <c r="P154" s="158" t="str">
        <f t="shared" si="6"/>
        <v>#DIV/0!</v>
      </c>
      <c r="Q154" s="160" t="str">
        <f t="shared" si="7"/>
        <v>#DIV/0!</v>
      </c>
      <c r="R154" s="161">
        <f>SUM(R140:R153)</f>
        <v>-11090.53</v>
      </c>
      <c r="S154" s="162" t="str">
        <f t="shared" si="9"/>
        <v>#DIV/0!</v>
      </c>
      <c r="T154" s="164" t="str">
        <f t="shared" ref="T154:U154" si="89">IFERROR((D154-#REF!)/D154,)</f>
        <v/>
      </c>
      <c r="U154" s="164" t="str">
        <f t="shared" si="89"/>
        <v/>
      </c>
      <c r="V154" s="164" t="str">
        <f t="shared" ref="V154:W154" si="90">IFERROR((D154-#REF!)/D154, )</f>
        <v/>
      </c>
      <c r="W154" s="164" t="str">
        <f t="shared" si="90"/>
        <v/>
      </c>
      <c r="X154" s="98"/>
      <c r="Y154" s="98"/>
      <c r="Z154" s="98"/>
    </row>
    <row r="155" hidden="1" outlineLevel="1">
      <c r="A155" s="293"/>
      <c r="B155" s="99">
        <v>46082.0</v>
      </c>
      <c r="C155" s="294" t="s">
        <v>70</v>
      </c>
      <c r="D155" s="295"/>
      <c r="E155" s="296"/>
      <c r="F155" s="296"/>
      <c r="G155" s="104" t="str">
        <f t="shared" si="43"/>
        <v>#DIV/0!</v>
      </c>
      <c r="H155" s="105" t="str">
        <f t="shared" si="44"/>
        <v>#DIV/0!</v>
      </c>
      <c r="I155" s="106" t="str">
        <f t="shared" si="45"/>
        <v>#DIV/0!</v>
      </c>
      <c r="J155" s="107">
        <v>942.82</v>
      </c>
      <c r="K155" s="278">
        <v>116464.0</v>
      </c>
      <c r="L155" s="296"/>
      <c r="M155" s="108">
        <v>2616.54</v>
      </c>
      <c r="N155" s="109">
        <f t="shared" si="85"/>
        <v>0.3603308186</v>
      </c>
      <c r="O155" s="110">
        <f t="shared" si="5"/>
        <v>2.775227509</v>
      </c>
      <c r="P155" s="109" t="str">
        <f t="shared" si="6"/>
        <v>#DIV/0!</v>
      </c>
      <c r="Q155" s="111" t="str">
        <f t="shared" si="7"/>
        <v>#DIV/0!</v>
      </c>
      <c r="R155" s="112">
        <f t="shared" ref="R155:R168" si="91">D155-M155</f>
        <v>-2616.54</v>
      </c>
      <c r="S155" s="113" t="str">
        <f t="shared" si="9"/>
        <v>#DIV/0!</v>
      </c>
      <c r="T155" s="114"/>
      <c r="U155" s="114"/>
      <c r="V155" s="114"/>
      <c r="W155" s="114"/>
      <c r="X155" s="115"/>
      <c r="Y155" s="98"/>
      <c r="Z155" s="98"/>
    </row>
    <row r="156" hidden="1" outlineLevel="1">
      <c r="A156" s="293"/>
      <c r="B156" s="116"/>
      <c r="C156" s="294" t="s">
        <v>71</v>
      </c>
      <c r="D156" s="297"/>
      <c r="E156" s="296"/>
      <c r="F156" s="296"/>
      <c r="G156" s="104" t="str">
        <f t="shared" si="43"/>
        <v>#DIV/0!</v>
      </c>
      <c r="H156" s="105" t="str">
        <f t="shared" si="44"/>
        <v>#DIV/0!</v>
      </c>
      <c r="I156" s="106" t="str">
        <f t="shared" si="45"/>
        <v>#DIV/0!</v>
      </c>
      <c r="J156" s="117">
        <v>140.19</v>
      </c>
      <c r="K156" s="278">
        <v>22458.0</v>
      </c>
      <c r="L156" s="296"/>
      <c r="M156" s="118">
        <v>251.88</v>
      </c>
      <c r="N156" s="109">
        <f t="shared" si="85"/>
        <v>0.5565745593</v>
      </c>
      <c r="O156" s="110">
        <f t="shared" si="5"/>
        <v>1.796704473</v>
      </c>
      <c r="P156" s="109" t="str">
        <f t="shared" si="6"/>
        <v>#DIV/0!</v>
      </c>
      <c r="Q156" s="111" t="str">
        <f t="shared" si="7"/>
        <v>#DIV/0!</v>
      </c>
      <c r="R156" s="119">
        <f t="shared" si="91"/>
        <v>-251.88</v>
      </c>
      <c r="S156" s="113" t="str">
        <f t="shared" si="9"/>
        <v>#DIV/0!</v>
      </c>
      <c r="T156" s="114"/>
      <c r="U156" s="114"/>
      <c r="V156" s="114"/>
      <c r="W156" s="114"/>
      <c r="X156" s="115"/>
      <c r="Y156" s="98"/>
      <c r="Z156" s="98"/>
    </row>
    <row r="157" hidden="1" outlineLevel="1">
      <c r="A157" s="293"/>
      <c r="B157" s="116"/>
      <c r="C157" s="294" t="s">
        <v>72</v>
      </c>
      <c r="D157" s="298"/>
      <c r="E157" s="296"/>
      <c r="F157" s="296"/>
      <c r="G157" s="104" t="str">
        <f t="shared" si="43"/>
        <v>#DIV/0!</v>
      </c>
      <c r="H157" s="105" t="str">
        <f t="shared" si="44"/>
        <v>#DIV/0!</v>
      </c>
      <c r="I157" s="106" t="str">
        <f t="shared" si="45"/>
        <v>#DIV/0!</v>
      </c>
      <c r="J157" s="120">
        <v>185.44</v>
      </c>
      <c r="K157" s="278">
        <v>31554.0</v>
      </c>
      <c r="L157" s="296"/>
      <c r="M157" s="121">
        <v>632.39</v>
      </c>
      <c r="N157" s="109">
        <f>(J157/M157)</f>
        <v>0.2932367684</v>
      </c>
      <c r="O157" s="110">
        <f t="shared" si="5"/>
        <v>3.410213546</v>
      </c>
      <c r="P157" s="109" t="str">
        <f t="shared" si="6"/>
        <v>#DIV/0!</v>
      </c>
      <c r="Q157" s="111" t="str">
        <f t="shared" si="7"/>
        <v>#DIV/0!</v>
      </c>
      <c r="R157" s="122">
        <f t="shared" si="91"/>
        <v>-632.39</v>
      </c>
      <c r="S157" s="113" t="str">
        <f t="shared" si="9"/>
        <v>#DIV/0!</v>
      </c>
      <c r="T157" s="114"/>
      <c r="U157" s="114"/>
      <c r="V157" s="114"/>
      <c r="W157" s="114"/>
      <c r="X157" s="115"/>
      <c r="Y157" s="98"/>
      <c r="Z157" s="98"/>
    </row>
    <row r="158" hidden="1" outlineLevel="1">
      <c r="A158" s="293"/>
      <c r="B158" s="116"/>
      <c r="C158" s="294" t="s">
        <v>73</v>
      </c>
      <c r="D158" s="298"/>
      <c r="E158" s="296"/>
      <c r="F158" s="296"/>
      <c r="G158" s="104" t="str">
        <f t="shared" si="43"/>
        <v>#DIV/0!</v>
      </c>
      <c r="H158" s="105" t="str">
        <f t="shared" si="44"/>
        <v>#DIV/0!</v>
      </c>
      <c r="I158" s="106" t="str">
        <f t="shared" si="45"/>
        <v>#DIV/0!</v>
      </c>
      <c r="J158" s="120">
        <v>381.25</v>
      </c>
      <c r="K158" s="278">
        <v>25098.0</v>
      </c>
      <c r="L158" s="296"/>
      <c r="M158" s="121">
        <v>377.7</v>
      </c>
      <c r="N158" s="109">
        <f t="shared" ref="N158:N171" si="92">J158/M158</f>
        <v>1.009398994</v>
      </c>
      <c r="O158" s="110">
        <f t="shared" si="5"/>
        <v>0.9906885246</v>
      </c>
      <c r="P158" s="109" t="str">
        <f t="shared" si="6"/>
        <v>#DIV/0!</v>
      </c>
      <c r="Q158" s="111" t="str">
        <f t="shared" si="7"/>
        <v>#DIV/0!</v>
      </c>
      <c r="R158" s="122">
        <f t="shared" si="91"/>
        <v>-377.7</v>
      </c>
      <c r="S158" s="113" t="str">
        <f t="shared" si="9"/>
        <v>#DIV/0!</v>
      </c>
      <c r="T158" s="114"/>
      <c r="U158" s="114"/>
      <c r="V158" s="114"/>
      <c r="W158" s="114"/>
      <c r="X158" s="115"/>
      <c r="Y158" s="98"/>
      <c r="Z158" s="98"/>
    </row>
    <row r="159" hidden="1" outlineLevel="1">
      <c r="A159" s="293"/>
      <c r="B159" s="116"/>
      <c r="C159" s="294" t="s">
        <v>74</v>
      </c>
      <c r="D159" s="299"/>
      <c r="E159" s="296"/>
      <c r="F159" s="296"/>
      <c r="G159" s="104" t="str">
        <f t="shared" si="43"/>
        <v>#DIV/0!</v>
      </c>
      <c r="H159" s="105" t="str">
        <f t="shared" si="44"/>
        <v>#DIV/0!</v>
      </c>
      <c r="I159" s="106" t="str">
        <f t="shared" si="45"/>
        <v>#DIV/0!</v>
      </c>
      <c r="J159" s="300">
        <v>574.1</v>
      </c>
      <c r="K159" s="278">
        <v>60826.0</v>
      </c>
      <c r="L159" s="296"/>
      <c r="M159" s="300">
        <v>872.02</v>
      </c>
      <c r="N159" s="109">
        <f t="shared" si="92"/>
        <v>0.6583564597</v>
      </c>
      <c r="O159" s="110">
        <f t="shared" si="5"/>
        <v>1.518933984</v>
      </c>
      <c r="P159" s="109" t="str">
        <f t="shared" si="6"/>
        <v>#DIV/0!</v>
      </c>
      <c r="Q159" s="111" t="str">
        <f t="shared" si="7"/>
        <v>#DIV/0!</v>
      </c>
      <c r="R159" s="122">
        <f t="shared" si="91"/>
        <v>-872.02</v>
      </c>
      <c r="S159" s="113" t="str">
        <f t="shared" si="9"/>
        <v>#DIV/0!</v>
      </c>
      <c r="T159" s="114"/>
      <c r="U159" s="114"/>
      <c r="V159" s="114"/>
      <c r="W159" s="114"/>
      <c r="X159" s="115"/>
      <c r="Y159" s="98"/>
      <c r="Z159" s="98"/>
    </row>
    <row r="160" hidden="1" outlineLevel="1">
      <c r="A160" s="293"/>
      <c r="B160" s="116"/>
      <c r="C160" s="294" t="s">
        <v>75</v>
      </c>
      <c r="D160" s="301"/>
      <c r="E160" s="296"/>
      <c r="F160" s="296"/>
      <c r="G160" s="104" t="str">
        <f t="shared" si="43"/>
        <v>#DIV/0!</v>
      </c>
      <c r="H160" s="105" t="str">
        <f t="shared" si="44"/>
        <v>#DIV/0!</v>
      </c>
      <c r="I160" s="106" t="str">
        <f t="shared" si="45"/>
        <v>#DIV/0!</v>
      </c>
      <c r="J160" s="302">
        <v>538.17</v>
      </c>
      <c r="K160" s="278">
        <v>65966.0</v>
      </c>
      <c r="L160" s="296"/>
      <c r="M160" s="303">
        <v>635.31</v>
      </c>
      <c r="N160" s="109">
        <f t="shared" si="92"/>
        <v>0.847098267</v>
      </c>
      <c r="O160" s="110">
        <f t="shared" si="5"/>
        <v>1.180500585</v>
      </c>
      <c r="P160" s="109" t="str">
        <f t="shared" si="6"/>
        <v>#DIV/0!</v>
      </c>
      <c r="Q160" s="111" t="str">
        <f t="shared" si="7"/>
        <v>#DIV/0!</v>
      </c>
      <c r="R160" s="304">
        <f t="shared" si="91"/>
        <v>-635.31</v>
      </c>
      <c r="S160" s="113" t="str">
        <f t="shared" si="9"/>
        <v>#DIV/0!</v>
      </c>
      <c r="T160" s="114"/>
      <c r="U160" s="114"/>
      <c r="V160" s="114"/>
      <c r="W160" s="114"/>
      <c r="X160" s="115"/>
      <c r="Y160" s="98"/>
      <c r="Z160" s="98"/>
    </row>
    <row r="161" hidden="1" outlineLevel="1">
      <c r="A161" s="293"/>
      <c r="B161" s="116"/>
      <c r="C161" s="294" t="s">
        <v>76</v>
      </c>
      <c r="D161" s="298"/>
      <c r="E161" s="296"/>
      <c r="F161" s="296"/>
      <c r="G161" s="104" t="str">
        <f t="shared" si="43"/>
        <v>#DIV/0!</v>
      </c>
      <c r="H161" s="105" t="str">
        <f t="shared" si="44"/>
        <v>#DIV/0!</v>
      </c>
      <c r="I161" s="106" t="str">
        <f t="shared" si="45"/>
        <v>#DIV/0!</v>
      </c>
      <c r="J161" s="120">
        <v>742.94</v>
      </c>
      <c r="K161" s="278">
        <v>43134.0</v>
      </c>
      <c r="L161" s="296"/>
      <c r="M161" s="121">
        <v>2580.72</v>
      </c>
      <c r="N161" s="109">
        <f t="shared" si="92"/>
        <v>0.2878809015</v>
      </c>
      <c r="O161" s="110">
        <f t="shared" si="5"/>
        <v>3.473658707</v>
      </c>
      <c r="P161" s="109" t="str">
        <f t="shared" si="6"/>
        <v>#DIV/0!</v>
      </c>
      <c r="Q161" s="111" t="str">
        <f t="shared" si="7"/>
        <v>#DIV/0!</v>
      </c>
      <c r="R161" s="122">
        <f t="shared" si="91"/>
        <v>-2580.72</v>
      </c>
      <c r="S161" s="113" t="str">
        <f t="shared" si="9"/>
        <v>#DIV/0!</v>
      </c>
      <c r="T161" s="114"/>
      <c r="U161" s="114"/>
      <c r="V161" s="114"/>
      <c r="W161" s="114"/>
      <c r="X161" s="115"/>
      <c r="Y161" s="98"/>
      <c r="Z161" s="98"/>
    </row>
    <row r="162" hidden="1" outlineLevel="1">
      <c r="A162" s="293"/>
      <c r="B162" s="99" t="s">
        <v>37</v>
      </c>
      <c r="C162" s="294" t="s">
        <v>77</v>
      </c>
      <c r="D162" s="305"/>
      <c r="E162" s="296"/>
      <c r="F162" s="296"/>
      <c r="G162" s="104" t="str">
        <f t="shared" si="43"/>
        <v>#DIV/0!</v>
      </c>
      <c r="H162" s="105" t="str">
        <f t="shared" si="44"/>
        <v>#DIV/0!</v>
      </c>
      <c r="I162" s="106" t="str">
        <f t="shared" si="45"/>
        <v>#DIV/0!</v>
      </c>
      <c r="J162" s="123">
        <v>183.52</v>
      </c>
      <c r="K162" s="278">
        <v>12788.0</v>
      </c>
      <c r="L162" s="296"/>
      <c r="M162" s="124">
        <v>156.85</v>
      </c>
      <c r="N162" s="109">
        <f t="shared" si="92"/>
        <v>1.170035065</v>
      </c>
      <c r="O162" s="110">
        <f t="shared" si="5"/>
        <v>0.8546752398</v>
      </c>
      <c r="P162" s="109" t="str">
        <f t="shared" si="6"/>
        <v>#DIV/0!</v>
      </c>
      <c r="Q162" s="111" t="str">
        <f t="shared" si="7"/>
        <v>#DIV/0!</v>
      </c>
      <c r="R162" s="125">
        <f t="shared" si="91"/>
        <v>-156.85</v>
      </c>
      <c r="S162" s="113" t="str">
        <f t="shared" si="9"/>
        <v>#DIV/0!</v>
      </c>
      <c r="T162" s="114"/>
      <c r="U162" s="114"/>
      <c r="V162" s="114"/>
      <c r="W162" s="114"/>
      <c r="X162" s="115"/>
      <c r="Y162" s="98"/>
      <c r="Z162" s="98"/>
    </row>
    <row r="163" hidden="1" outlineLevel="1">
      <c r="A163" s="293"/>
      <c r="B163" s="116"/>
      <c r="C163" s="294" t="s">
        <v>78</v>
      </c>
      <c r="D163" s="306"/>
      <c r="E163" s="296"/>
      <c r="F163" s="296"/>
      <c r="G163" s="104" t="str">
        <f t="shared" si="43"/>
        <v>#DIV/0!</v>
      </c>
      <c r="H163" s="105" t="str">
        <f t="shared" si="44"/>
        <v>#DIV/0!</v>
      </c>
      <c r="I163" s="106" t="str">
        <f t="shared" si="45"/>
        <v>#DIV/0!</v>
      </c>
      <c r="J163" s="126">
        <v>552.09</v>
      </c>
      <c r="K163" s="278">
        <v>89885.0</v>
      </c>
      <c r="L163" s="296"/>
      <c r="M163" s="127">
        <v>1797.0</v>
      </c>
      <c r="N163" s="109">
        <f t="shared" si="92"/>
        <v>0.3072287145</v>
      </c>
      <c r="O163" s="110">
        <f t="shared" si="5"/>
        <v>3.254904092</v>
      </c>
      <c r="P163" s="109" t="str">
        <f t="shared" si="6"/>
        <v>#DIV/0!</v>
      </c>
      <c r="Q163" s="111" t="str">
        <f t="shared" si="7"/>
        <v>#DIV/0!</v>
      </c>
      <c r="R163" s="128">
        <f t="shared" si="91"/>
        <v>-1797</v>
      </c>
      <c r="S163" s="113" t="str">
        <f t="shared" si="9"/>
        <v>#DIV/0!</v>
      </c>
      <c r="T163" s="114"/>
      <c r="U163" s="114"/>
      <c r="V163" s="114"/>
      <c r="W163" s="114"/>
      <c r="X163" s="115"/>
      <c r="Y163" s="98"/>
      <c r="Z163" s="98"/>
    </row>
    <row r="164" hidden="1" outlineLevel="1">
      <c r="A164" s="293"/>
      <c r="B164" s="116"/>
      <c r="C164" s="294" t="s">
        <v>79</v>
      </c>
      <c r="D164" s="307"/>
      <c r="E164" s="296"/>
      <c r="F164" s="296"/>
      <c r="G164" s="104" t="str">
        <f t="shared" si="43"/>
        <v>#DIV/0!</v>
      </c>
      <c r="H164" s="105" t="str">
        <f t="shared" si="44"/>
        <v>#DIV/0!</v>
      </c>
      <c r="I164" s="106" t="str">
        <f t="shared" si="45"/>
        <v>#DIV/0!</v>
      </c>
      <c r="J164" s="129">
        <v>522.77</v>
      </c>
      <c r="K164" s="278">
        <v>81091.0</v>
      </c>
      <c r="L164" s="296"/>
      <c r="M164" s="130">
        <v>417.72</v>
      </c>
      <c r="N164" s="109">
        <f t="shared" si="92"/>
        <v>1.251484248</v>
      </c>
      <c r="O164" s="110">
        <f t="shared" si="5"/>
        <v>0.799051208</v>
      </c>
      <c r="P164" s="109" t="str">
        <f t="shared" si="6"/>
        <v>#DIV/0!</v>
      </c>
      <c r="Q164" s="111" t="str">
        <f t="shared" si="7"/>
        <v>#DIV/0!</v>
      </c>
      <c r="R164" s="131">
        <f t="shared" si="91"/>
        <v>-417.72</v>
      </c>
      <c r="S164" s="113" t="str">
        <f t="shared" si="9"/>
        <v>#DIV/0!</v>
      </c>
      <c r="T164" s="114"/>
      <c r="U164" s="114"/>
      <c r="V164" s="114"/>
      <c r="W164" s="114"/>
      <c r="X164" s="115"/>
      <c r="Y164" s="98"/>
      <c r="Z164" s="98"/>
    </row>
    <row r="165" hidden="1" outlineLevel="1">
      <c r="A165" s="293"/>
      <c r="B165" s="116"/>
      <c r="C165" s="294" t="s">
        <v>80</v>
      </c>
      <c r="D165" s="307"/>
      <c r="E165" s="296"/>
      <c r="F165" s="296"/>
      <c r="G165" s="104" t="str">
        <f t="shared" si="43"/>
        <v>#DIV/0!</v>
      </c>
      <c r="H165" s="105" t="str">
        <f t="shared" si="44"/>
        <v>#DIV/0!</v>
      </c>
      <c r="I165" s="106" t="str">
        <f t="shared" si="45"/>
        <v>#DIV/0!</v>
      </c>
      <c r="J165" s="135">
        <v>411.05</v>
      </c>
      <c r="K165" s="278">
        <v>35600.0</v>
      </c>
      <c r="L165" s="296"/>
      <c r="M165" s="136">
        <v>799.8</v>
      </c>
      <c r="N165" s="109">
        <f t="shared" si="92"/>
        <v>0.5139409852</v>
      </c>
      <c r="O165" s="110">
        <f t="shared" si="5"/>
        <v>1.945748692</v>
      </c>
      <c r="P165" s="109" t="str">
        <f t="shared" si="6"/>
        <v>#DIV/0!</v>
      </c>
      <c r="Q165" s="111" t="str">
        <f t="shared" si="7"/>
        <v>#DIV/0!</v>
      </c>
      <c r="R165" s="137">
        <f t="shared" si="91"/>
        <v>-799.8</v>
      </c>
      <c r="S165" s="113" t="str">
        <f t="shared" si="9"/>
        <v>#DIV/0!</v>
      </c>
      <c r="T165" s="114"/>
      <c r="U165" s="114"/>
      <c r="V165" s="114"/>
      <c r="W165" s="114"/>
      <c r="X165" s="115"/>
      <c r="Y165" s="98"/>
      <c r="Z165" s="98"/>
    </row>
    <row r="166" hidden="1" outlineLevel="1">
      <c r="A166" s="293"/>
      <c r="B166" s="116"/>
      <c r="C166" s="294" t="s">
        <v>82</v>
      </c>
      <c r="D166" s="307"/>
      <c r="E166" s="296"/>
      <c r="F166" s="296"/>
      <c r="G166" s="104" t="str">
        <f t="shared" si="43"/>
        <v>#DIV/0!</v>
      </c>
      <c r="H166" s="105" t="str">
        <f t="shared" si="44"/>
        <v>#DIV/0!</v>
      </c>
      <c r="I166" s="106" t="str">
        <f t="shared" si="45"/>
        <v>#DIV/0!</v>
      </c>
      <c r="J166" s="135">
        <v>284.13</v>
      </c>
      <c r="K166" s="278">
        <v>22831.0</v>
      </c>
      <c r="L166" s="296"/>
      <c r="M166" s="136">
        <v>337.2</v>
      </c>
      <c r="N166" s="109">
        <f t="shared" si="92"/>
        <v>0.8426156584</v>
      </c>
      <c r="O166" s="110">
        <f t="shared" si="5"/>
        <v>1.186780699</v>
      </c>
      <c r="P166" s="109" t="str">
        <f t="shared" si="6"/>
        <v>#DIV/0!</v>
      </c>
      <c r="Q166" s="111" t="str">
        <f t="shared" si="7"/>
        <v>#DIV/0!</v>
      </c>
      <c r="R166" s="137">
        <f t="shared" si="91"/>
        <v>-337.2</v>
      </c>
      <c r="S166" s="113" t="str">
        <f t="shared" si="9"/>
        <v>#DIV/0!</v>
      </c>
      <c r="T166" s="114"/>
      <c r="U166" s="114"/>
      <c r="V166" s="114"/>
      <c r="W166" s="114"/>
      <c r="X166" s="115"/>
      <c r="Y166" s="98"/>
      <c r="Z166" s="98"/>
    </row>
    <row r="167" hidden="1" outlineLevel="1">
      <c r="A167" s="293"/>
      <c r="B167" s="116"/>
      <c r="C167" s="294" t="s">
        <v>83</v>
      </c>
      <c r="D167" s="307"/>
      <c r="E167" s="296"/>
      <c r="F167" s="296"/>
      <c r="G167" s="104" t="str">
        <f t="shared" si="43"/>
        <v>#DIV/0!</v>
      </c>
      <c r="H167" s="105" t="str">
        <f t="shared" si="44"/>
        <v>#DIV/0!</v>
      </c>
      <c r="I167" s="106" t="str">
        <f t="shared" si="45"/>
        <v>#DIV/0!</v>
      </c>
      <c r="J167" s="135">
        <v>627.64</v>
      </c>
      <c r="K167" s="278">
        <v>66702.0</v>
      </c>
      <c r="L167" s="296"/>
      <c r="M167" s="136">
        <v>1841.92</v>
      </c>
      <c r="N167" s="109">
        <f t="shared" si="92"/>
        <v>0.3407531272</v>
      </c>
      <c r="O167" s="110">
        <f t="shared" si="5"/>
        <v>2.934675929</v>
      </c>
      <c r="P167" s="109" t="str">
        <f t="shared" si="6"/>
        <v>#DIV/0!</v>
      </c>
      <c r="Q167" s="111" t="str">
        <f t="shared" si="7"/>
        <v>#DIV/0!</v>
      </c>
      <c r="R167" s="137">
        <f t="shared" si="91"/>
        <v>-1841.92</v>
      </c>
      <c r="S167" s="113" t="str">
        <f t="shared" si="9"/>
        <v>#DIV/0!</v>
      </c>
      <c r="T167" s="114"/>
      <c r="U167" s="114"/>
      <c r="V167" s="114"/>
      <c r="W167" s="114"/>
      <c r="X167" s="115"/>
      <c r="Y167" s="98"/>
      <c r="Z167" s="98"/>
    </row>
    <row r="168" hidden="1" outlineLevel="1">
      <c r="A168" s="310" t="str">
        <f t="shared" ref="A168:A169" si="93">iferror(if(B168&gt;0,month(B168)&amp;"-"&amp;year(B168),B168),)</f>
        <v>3-2026</v>
      </c>
      <c r="B168" s="99">
        <v>46088.0</v>
      </c>
      <c r="C168" s="294" t="s">
        <v>81</v>
      </c>
      <c r="D168" s="311"/>
      <c r="E168" s="296"/>
      <c r="F168" s="296"/>
      <c r="G168" s="104" t="str">
        <f t="shared" si="43"/>
        <v>#DIV/0!</v>
      </c>
      <c r="H168" s="105" t="str">
        <f t="shared" si="44"/>
        <v>#DIV/0!</v>
      </c>
      <c r="I168" s="106" t="str">
        <f t="shared" si="45"/>
        <v>#DIV/0!</v>
      </c>
      <c r="J168" s="117">
        <v>0.0</v>
      </c>
      <c r="K168" s="278">
        <v>0.0</v>
      </c>
      <c r="L168" s="296"/>
      <c r="M168" s="118">
        <v>0.0</v>
      </c>
      <c r="N168" s="109" t="str">
        <f t="shared" si="92"/>
        <v>#DIV/0!</v>
      </c>
      <c r="O168" s="110" t="str">
        <f t="shared" si="5"/>
        <v>#DIV/0!</v>
      </c>
      <c r="P168" s="109" t="str">
        <f t="shared" si="6"/>
        <v>#DIV/0!</v>
      </c>
      <c r="Q168" s="111" t="str">
        <f t="shared" si="7"/>
        <v>#DIV/0!</v>
      </c>
      <c r="R168" s="112">
        <f t="shared" si="91"/>
        <v>0</v>
      </c>
      <c r="S168" s="113" t="str">
        <f t="shared" si="9"/>
        <v>#DIV/0!</v>
      </c>
      <c r="T168" s="114"/>
      <c r="U168" s="114"/>
      <c r="V168" s="114"/>
      <c r="W168" s="114"/>
      <c r="X168" s="115"/>
      <c r="Y168" s="98"/>
      <c r="Z168" s="98"/>
    </row>
    <row r="169" collapsed="1">
      <c r="A169" s="293" t="str">
        <f t="shared" si="93"/>
        <v/>
      </c>
      <c r="B169" s="149" t="s">
        <v>60</v>
      </c>
      <c r="C169" s="312"/>
      <c r="D169" s="151">
        <f t="shared" ref="D169:F169" si="94">SUM(D155:D168)</f>
        <v>0</v>
      </c>
      <c r="E169" s="153">
        <f t="shared" si="94"/>
        <v>0</v>
      </c>
      <c r="F169" s="153">
        <f t="shared" si="94"/>
        <v>0</v>
      </c>
      <c r="G169" s="154" t="str">
        <f t="shared" si="43"/>
        <v>#DIV/0!</v>
      </c>
      <c r="H169" s="155" t="str">
        <f t="shared" si="44"/>
        <v>#DIV/0!</v>
      </c>
      <c r="I169" s="156" t="str">
        <f t="shared" si="45"/>
        <v>#DIV/0!</v>
      </c>
      <c r="J169" s="151">
        <f t="shared" ref="J169:M169" si="95">SUM(J155:J168)</f>
        <v>6086.11</v>
      </c>
      <c r="K169" s="313">
        <f t="shared" si="95"/>
        <v>674397</v>
      </c>
      <c r="L169" s="153">
        <f t="shared" si="95"/>
        <v>0</v>
      </c>
      <c r="M169" s="157">
        <f t="shared" si="95"/>
        <v>13317.05</v>
      </c>
      <c r="N169" s="158">
        <f t="shared" si="92"/>
        <v>0.4570163813</v>
      </c>
      <c r="O169" s="159">
        <f t="shared" si="5"/>
        <v>2.188105374</v>
      </c>
      <c r="P169" s="158" t="str">
        <f t="shared" si="6"/>
        <v>#DIV/0!</v>
      </c>
      <c r="Q169" s="160" t="str">
        <f t="shared" si="7"/>
        <v>#DIV/0!</v>
      </c>
      <c r="R169" s="161">
        <f>SUM(R155:R168)</f>
        <v>-13317.05</v>
      </c>
      <c r="S169" s="162" t="str">
        <f t="shared" si="9"/>
        <v>#DIV/0!</v>
      </c>
      <c r="T169" s="164" t="str">
        <f t="shared" ref="T169:U169" si="96">IFERROR((D169-#REF!)/D169,)</f>
        <v/>
      </c>
      <c r="U169" s="164" t="str">
        <f t="shared" si="96"/>
        <v/>
      </c>
      <c r="V169" s="164" t="str">
        <f t="shared" ref="V169:W169" si="97">IFERROR((D169-#REF!)/D169, )</f>
        <v/>
      </c>
      <c r="W169" s="164" t="str">
        <f t="shared" si="97"/>
        <v/>
      </c>
      <c r="X169" s="98"/>
      <c r="Y169" s="98"/>
      <c r="Z169" s="98"/>
    </row>
    <row r="170" outlineLevel="1">
      <c r="A170" s="205"/>
      <c r="B170" s="206">
        <v>46089.0</v>
      </c>
      <c r="C170" s="200" t="s">
        <v>70</v>
      </c>
      <c r="D170" s="101"/>
      <c r="E170" s="103"/>
      <c r="F170" s="103"/>
      <c r="G170" s="104" t="str">
        <f t="shared" si="43"/>
        <v>#DIV/0!</v>
      </c>
      <c r="H170" s="105" t="str">
        <f t="shared" si="44"/>
        <v>#DIV/0!</v>
      </c>
      <c r="I170" s="106" t="str">
        <f t="shared" si="45"/>
        <v>#DIV/0!</v>
      </c>
      <c r="J170" s="170">
        <v>747.42</v>
      </c>
      <c r="K170" s="314">
        <v>91085.0</v>
      </c>
      <c r="L170" s="169"/>
      <c r="M170" s="171">
        <v>2041.94</v>
      </c>
      <c r="N170" s="216">
        <f t="shared" si="92"/>
        <v>0.3660342615</v>
      </c>
      <c r="O170" s="217">
        <f t="shared" si="5"/>
        <v>2.731984694</v>
      </c>
      <c r="P170" s="216" t="str">
        <f t="shared" si="6"/>
        <v>#DIV/0!</v>
      </c>
      <c r="Q170" s="315" t="str">
        <f t="shared" si="7"/>
        <v>#DIV/0!</v>
      </c>
      <c r="R170" s="316">
        <f t="shared" ref="R170:R183" si="98">D170-M170</f>
        <v>-2041.94</v>
      </c>
      <c r="S170" s="317" t="str">
        <f t="shared" si="9"/>
        <v>#DIV/0!</v>
      </c>
      <c r="T170" s="221"/>
      <c r="U170" s="221"/>
      <c r="V170" s="221"/>
      <c r="W170" s="221"/>
      <c r="X170" s="14"/>
    </row>
    <row r="171" outlineLevel="1">
      <c r="A171" s="205"/>
      <c r="B171" s="206"/>
      <c r="C171" s="200" t="s">
        <v>71</v>
      </c>
      <c r="D171" s="117"/>
      <c r="E171" s="103"/>
      <c r="F171" s="103"/>
      <c r="G171" s="104" t="str">
        <f t="shared" si="43"/>
        <v>#DIV/0!</v>
      </c>
      <c r="H171" s="105" t="str">
        <f t="shared" si="44"/>
        <v>#DIV/0!</v>
      </c>
      <c r="I171" s="106" t="str">
        <f t="shared" si="45"/>
        <v>#DIV/0!</v>
      </c>
      <c r="J171" s="175">
        <v>162.89</v>
      </c>
      <c r="K171" s="314">
        <v>23798.0</v>
      </c>
      <c r="L171" s="103"/>
      <c r="M171" s="176">
        <v>379.7</v>
      </c>
      <c r="N171" s="216">
        <f t="shared" si="92"/>
        <v>0.4289965762</v>
      </c>
      <c r="O171" s="217">
        <f t="shared" si="5"/>
        <v>2.331020934</v>
      </c>
      <c r="P171" s="216" t="str">
        <f t="shared" si="6"/>
        <v>#DIV/0!</v>
      </c>
      <c r="Q171" s="315" t="str">
        <f t="shared" si="7"/>
        <v>#DIV/0!</v>
      </c>
      <c r="R171" s="318">
        <f t="shared" si="98"/>
        <v>-379.7</v>
      </c>
      <c r="S171" s="317" t="str">
        <f t="shared" si="9"/>
        <v>#DIV/0!</v>
      </c>
      <c r="T171" s="221"/>
      <c r="U171" s="221"/>
      <c r="V171" s="221"/>
      <c r="W171" s="221"/>
      <c r="X171" s="14"/>
    </row>
    <row r="172" outlineLevel="1">
      <c r="A172" s="205"/>
      <c r="B172" s="206"/>
      <c r="C172" s="200" t="s">
        <v>72</v>
      </c>
      <c r="D172" s="120"/>
      <c r="E172" s="103"/>
      <c r="F172" s="103"/>
      <c r="G172" s="104" t="str">
        <f t="shared" si="43"/>
        <v>#DIV/0!</v>
      </c>
      <c r="H172" s="105" t="str">
        <f t="shared" si="44"/>
        <v>#DIV/0!</v>
      </c>
      <c r="I172" s="106" t="str">
        <f t="shared" si="45"/>
        <v>#DIV/0!</v>
      </c>
      <c r="J172" s="177">
        <v>99.9</v>
      </c>
      <c r="K172" s="314">
        <v>18743.0</v>
      </c>
      <c r="L172" s="169"/>
      <c r="M172" s="178">
        <v>459.56</v>
      </c>
      <c r="N172" s="216">
        <f>(J172/M172)</f>
        <v>0.2173818435</v>
      </c>
      <c r="O172" s="217">
        <f t="shared" si="5"/>
        <v>4.6002002</v>
      </c>
      <c r="P172" s="216" t="str">
        <f t="shared" si="6"/>
        <v>#DIV/0!</v>
      </c>
      <c r="Q172" s="315" t="str">
        <f t="shared" si="7"/>
        <v>#DIV/0!</v>
      </c>
      <c r="R172" s="319">
        <f t="shared" si="98"/>
        <v>-459.56</v>
      </c>
      <c r="S172" s="317" t="str">
        <f t="shared" si="9"/>
        <v>#DIV/0!</v>
      </c>
      <c r="T172" s="221"/>
      <c r="U172" s="221"/>
      <c r="V172" s="221"/>
      <c r="W172" s="221"/>
      <c r="X172" s="14"/>
    </row>
    <row r="173" outlineLevel="1">
      <c r="A173" s="205"/>
      <c r="B173" s="206"/>
      <c r="C173" s="200" t="s">
        <v>73</v>
      </c>
      <c r="D173" s="120"/>
      <c r="E173" s="103"/>
      <c r="F173" s="103"/>
      <c r="G173" s="104" t="str">
        <f t="shared" si="43"/>
        <v>#DIV/0!</v>
      </c>
      <c r="H173" s="105" t="str">
        <f t="shared" si="44"/>
        <v>#DIV/0!</v>
      </c>
      <c r="I173" s="106" t="str">
        <f t="shared" si="45"/>
        <v>#DIV/0!</v>
      </c>
      <c r="J173" s="177">
        <v>385.74</v>
      </c>
      <c r="K173" s="314">
        <v>31837.0</v>
      </c>
      <c r="L173" s="103"/>
      <c r="M173" s="178">
        <v>62.95</v>
      </c>
      <c r="N173" s="216">
        <f t="shared" ref="N173:N186" si="99">J173/M173</f>
        <v>6.127720413</v>
      </c>
      <c r="O173" s="217">
        <f t="shared" si="5"/>
        <v>0.1631928242</v>
      </c>
      <c r="P173" s="216" t="str">
        <f t="shared" si="6"/>
        <v>#DIV/0!</v>
      </c>
      <c r="Q173" s="315" t="str">
        <f t="shared" si="7"/>
        <v>#DIV/0!</v>
      </c>
      <c r="R173" s="319">
        <f t="shared" si="98"/>
        <v>-62.95</v>
      </c>
      <c r="S173" s="317" t="str">
        <f t="shared" si="9"/>
        <v>#DIV/0!</v>
      </c>
      <c r="T173" s="221"/>
      <c r="U173" s="221"/>
      <c r="V173" s="221"/>
      <c r="W173" s="221"/>
      <c r="X173" s="14"/>
    </row>
    <row r="174" outlineLevel="1">
      <c r="A174" s="205"/>
      <c r="B174" s="206"/>
      <c r="C174" s="200" t="s">
        <v>74</v>
      </c>
      <c r="D174" s="300"/>
      <c r="E174" s="103"/>
      <c r="F174" s="103"/>
      <c r="G174" s="104" t="str">
        <f t="shared" si="43"/>
        <v>#DIV/0!</v>
      </c>
      <c r="H174" s="105" t="str">
        <f t="shared" si="44"/>
        <v>#DIV/0!</v>
      </c>
      <c r="I174" s="106" t="str">
        <f t="shared" si="45"/>
        <v>#DIV/0!</v>
      </c>
      <c r="J174" s="320">
        <v>394.36</v>
      </c>
      <c r="K174" s="314">
        <v>25241.0</v>
      </c>
      <c r="L174" s="169"/>
      <c r="M174" s="320">
        <v>561.1</v>
      </c>
      <c r="N174" s="216">
        <f t="shared" si="99"/>
        <v>0.7028337195</v>
      </c>
      <c r="O174" s="217">
        <f t="shared" si="5"/>
        <v>1.422811644</v>
      </c>
      <c r="P174" s="216" t="str">
        <f t="shared" si="6"/>
        <v>#DIV/0!</v>
      </c>
      <c r="Q174" s="315" t="str">
        <f t="shared" si="7"/>
        <v>#DIV/0!</v>
      </c>
      <c r="R174" s="319">
        <f t="shared" si="98"/>
        <v>-561.1</v>
      </c>
      <c r="S174" s="317" t="str">
        <f t="shared" si="9"/>
        <v>#DIV/0!</v>
      </c>
      <c r="T174" s="221"/>
      <c r="U174" s="221"/>
      <c r="V174" s="221"/>
      <c r="W174" s="221"/>
      <c r="X174" s="14"/>
    </row>
    <row r="175" outlineLevel="1">
      <c r="A175" s="205"/>
      <c r="B175" s="206"/>
      <c r="C175" s="200" t="s">
        <v>75</v>
      </c>
      <c r="D175" s="302"/>
      <c r="E175" s="103"/>
      <c r="F175" s="103"/>
      <c r="G175" s="104" t="str">
        <f t="shared" si="43"/>
        <v>#DIV/0!</v>
      </c>
      <c r="H175" s="105" t="str">
        <f t="shared" si="44"/>
        <v>#DIV/0!</v>
      </c>
      <c r="I175" s="106" t="str">
        <f t="shared" si="45"/>
        <v>#DIV/0!</v>
      </c>
      <c r="J175" s="321">
        <v>534.37</v>
      </c>
      <c r="K175" s="314">
        <v>72951.0</v>
      </c>
      <c r="L175" s="103"/>
      <c r="M175" s="322">
        <v>290.18</v>
      </c>
      <c r="N175" s="216">
        <f t="shared" si="99"/>
        <v>1.841512165</v>
      </c>
      <c r="O175" s="217">
        <f t="shared" si="5"/>
        <v>0.5430319816</v>
      </c>
      <c r="P175" s="216" t="str">
        <f t="shared" si="6"/>
        <v>#DIV/0!</v>
      </c>
      <c r="Q175" s="315" t="str">
        <f t="shared" si="7"/>
        <v>#DIV/0!</v>
      </c>
      <c r="R175" s="323">
        <f t="shared" si="98"/>
        <v>-290.18</v>
      </c>
      <c r="S175" s="317" t="str">
        <f t="shared" si="9"/>
        <v>#DIV/0!</v>
      </c>
      <c r="T175" s="221"/>
      <c r="U175" s="221"/>
      <c r="V175" s="221"/>
      <c r="W175" s="221"/>
      <c r="X175" s="14"/>
    </row>
    <row r="176" outlineLevel="1">
      <c r="A176" s="205"/>
      <c r="B176" s="206"/>
      <c r="C176" s="200" t="s">
        <v>76</v>
      </c>
      <c r="D176" s="120"/>
      <c r="E176" s="103"/>
      <c r="F176" s="103"/>
      <c r="G176" s="104" t="str">
        <f t="shared" si="43"/>
        <v>#DIV/0!</v>
      </c>
      <c r="H176" s="105" t="str">
        <f t="shared" si="44"/>
        <v>#DIV/0!</v>
      </c>
      <c r="I176" s="106" t="str">
        <f t="shared" si="45"/>
        <v>#DIV/0!</v>
      </c>
      <c r="J176" s="177">
        <v>496.18</v>
      </c>
      <c r="K176" s="314">
        <v>28082.0</v>
      </c>
      <c r="L176" s="103"/>
      <c r="M176" s="178">
        <v>1398.01</v>
      </c>
      <c r="N176" s="216">
        <f t="shared" si="99"/>
        <v>0.3549187774</v>
      </c>
      <c r="O176" s="217">
        <f t="shared" si="5"/>
        <v>2.817546052</v>
      </c>
      <c r="P176" s="216" t="str">
        <f t="shared" si="6"/>
        <v>#DIV/0!</v>
      </c>
      <c r="Q176" s="315" t="str">
        <f t="shared" si="7"/>
        <v>#DIV/0!</v>
      </c>
      <c r="R176" s="319">
        <f t="shared" si="98"/>
        <v>-1398.01</v>
      </c>
      <c r="S176" s="317" t="str">
        <f t="shared" si="9"/>
        <v>#DIV/0!</v>
      </c>
      <c r="T176" s="221"/>
      <c r="U176" s="221"/>
      <c r="V176" s="221"/>
      <c r="W176" s="221"/>
      <c r="X176" s="14"/>
    </row>
    <row r="177" outlineLevel="1">
      <c r="A177" s="205"/>
      <c r="B177" s="324" t="s">
        <v>37</v>
      </c>
      <c r="C177" s="200" t="s">
        <v>77</v>
      </c>
      <c r="D177" s="123"/>
      <c r="E177" s="103"/>
      <c r="F177" s="103"/>
      <c r="G177" s="104" t="str">
        <f t="shared" si="43"/>
        <v>#DIV/0!</v>
      </c>
      <c r="H177" s="105" t="str">
        <f t="shared" si="44"/>
        <v>#DIV/0!</v>
      </c>
      <c r="I177" s="106" t="str">
        <f t="shared" si="45"/>
        <v>#DIV/0!</v>
      </c>
      <c r="J177" s="180">
        <v>85.87</v>
      </c>
      <c r="K177" s="314">
        <v>7885.0</v>
      </c>
      <c r="L177" s="103"/>
      <c r="M177" s="181">
        <v>0.0</v>
      </c>
      <c r="N177" s="216" t="str">
        <f t="shared" si="99"/>
        <v>#DIV/0!</v>
      </c>
      <c r="O177" s="217">
        <f t="shared" si="5"/>
        <v>0</v>
      </c>
      <c r="P177" s="216" t="str">
        <f t="shared" si="6"/>
        <v>#DIV/0!</v>
      </c>
      <c r="Q177" s="315" t="str">
        <f t="shared" si="7"/>
        <v>#DIV/0!</v>
      </c>
      <c r="R177" s="325">
        <f t="shared" si="98"/>
        <v>0</v>
      </c>
      <c r="S177" s="317" t="str">
        <f t="shared" si="9"/>
        <v>#DIV/0!</v>
      </c>
      <c r="T177" s="221"/>
      <c r="U177" s="221"/>
      <c r="V177" s="221"/>
      <c r="W177" s="221"/>
      <c r="X177" s="14"/>
    </row>
    <row r="178" outlineLevel="1">
      <c r="A178" s="205"/>
      <c r="B178" s="206"/>
      <c r="C178" s="200" t="s">
        <v>78</v>
      </c>
      <c r="D178" s="126"/>
      <c r="E178" s="103"/>
      <c r="F178" s="103"/>
      <c r="G178" s="104" t="str">
        <f t="shared" si="43"/>
        <v>#DIV/0!</v>
      </c>
      <c r="H178" s="105" t="str">
        <f t="shared" si="44"/>
        <v>#DIV/0!</v>
      </c>
      <c r="I178" s="106" t="str">
        <f t="shared" si="45"/>
        <v>#DIV/0!</v>
      </c>
      <c r="J178" s="182">
        <v>673.32</v>
      </c>
      <c r="K178" s="314">
        <v>82081.0</v>
      </c>
      <c r="L178" s="169"/>
      <c r="M178" s="183">
        <v>0.0</v>
      </c>
      <c r="N178" s="216" t="str">
        <f t="shared" si="99"/>
        <v>#DIV/0!</v>
      </c>
      <c r="O178" s="217">
        <f t="shared" si="5"/>
        <v>0</v>
      </c>
      <c r="P178" s="216" t="str">
        <f t="shared" si="6"/>
        <v>#DIV/0!</v>
      </c>
      <c r="Q178" s="315" t="str">
        <f t="shared" si="7"/>
        <v>#DIV/0!</v>
      </c>
      <c r="R178" s="326">
        <f t="shared" si="98"/>
        <v>0</v>
      </c>
      <c r="S178" s="317" t="str">
        <f t="shared" si="9"/>
        <v>#DIV/0!</v>
      </c>
      <c r="T178" s="221"/>
      <c r="U178" s="221"/>
      <c r="V178" s="221"/>
      <c r="W178" s="221"/>
      <c r="X178" s="14"/>
    </row>
    <row r="179" outlineLevel="1">
      <c r="A179" s="205"/>
      <c r="B179" s="206"/>
      <c r="C179" s="200" t="s">
        <v>79</v>
      </c>
      <c r="D179" s="129"/>
      <c r="E179" s="103"/>
      <c r="F179" s="103"/>
      <c r="G179" s="104" t="str">
        <f t="shared" si="43"/>
        <v>#DIV/0!</v>
      </c>
      <c r="H179" s="105" t="str">
        <f t="shared" si="44"/>
        <v>#DIV/0!</v>
      </c>
      <c r="I179" s="106" t="str">
        <f t="shared" si="45"/>
        <v>#DIV/0!</v>
      </c>
      <c r="J179" s="184">
        <v>420.08</v>
      </c>
      <c r="K179" s="314">
        <v>62765.0</v>
      </c>
      <c r="L179" s="103"/>
      <c r="M179" s="185">
        <v>942.58</v>
      </c>
      <c r="N179" s="216">
        <f t="shared" si="99"/>
        <v>0.445670394</v>
      </c>
      <c r="O179" s="217">
        <f t="shared" si="5"/>
        <v>2.243810703</v>
      </c>
      <c r="P179" s="216" t="str">
        <f t="shared" si="6"/>
        <v>#DIV/0!</v>
      </c>
      <c r="Q179" s="315" t="str">
        <f t="shared" si="7"/>
        <v>#DIV/0!</v>
      </c>
      <c r="R179" s="327">
        <f t="shared" si="98"/>
        <v>-942.58</v>
      </c>
      <c r="S179" s="317" t="str">
        <f t="shared" si="9"/>
        <v>#DIV/0!</v>
      </c>
      <c r="T179" s="221"/>
      <c r="U179" s="221"/>
      <c r="V179" s="221"/>
      <c r="W179" s="221"/>
      <c r="X179" s="14"/>
    </row>
    <row r="180" outlineLevel="1">
      <c r="A180" s="205"/>
      <c r="B180" s="206"/>
      <c r="C180" s="200" t="s">
        <v>80</v>
      </c>
      <c r="D180" s="129"/>
      <c r="E180" s="103"/>
      <c r="F180" s="103"/>
      <c r="G180" s="104" t="str">
        <f t="shared" si="43"/>
        <v>#DIV/0!</v>
      </c>
      <c r="H180" s="105" t="str">
        <f t="shared" si="44"/>
        <v>#DIV/0!</v>
      </c>
      <c r="I180" s="106" t="str">
        <f t="shared" si="45"/>
        <v>#DIV/0!</v>
      </c>
      <c r="J180" s="188">
        <v>368.22</v>
      </c>
      <c r="K180" s="314">
        <v>25241.0</v>
      </c>
      <c r="L180" s="103"/>
      <c r="M180" s="189">
        <v>1199.7</v>
      </c>
      <c r="N180" s="216">
        <f t="shared" si="99"/>
        <v>0.3069267317</v>
      </c>
      <c r="O180" s="217">
        <f t="shared" si="5"/>
        <v>3.258106567</v>
      </c>
      <c r="P180" s="216" t="str">
        <f t="shared" si="6"/>
        <v>#DIV/0!</v>
      </c>
      <c r="Q180" s="315" t="str">
        <f t="shared" si="7"/>
        <v>#DIV/0!</v>
      </c>
      <c r="R180" s="328">
        <f t="shared" si="98"/>
        <v>-1199.7</v>
      </c>
      <c r="S180" s="317" t="str">
        <f t="shared" si="9"/>
        <v>#DIV/0!</v>
      </c>
      <c r="T180" s="221"/>
      <c r="U180" s="221"/>
      <c r="V180" s="221"/>
      <c r="W180" s="221"/>
      <c r="X180" s="14"/>
    </row>
    <row r="181" outlineLevel="1">
      <c r="A181" s="205"/>
      <c r="B181" s="206"/>
      <c r="C181" s="200" t="s">
        <v>82</v>
      </c>
      <c r="D181" s="129"/>
      <c r="E181" s="103"/>
      <c r="F181" s="103"/>
      <c r="G181" s="104" t="str">
        <f t="shared" si="43"/>
        <v>#DIV/0!</v>
      </c>
      <c r="H181" s="105" t="str">
        <f t="shared" si="44"/>
        <v>#DIV/0!</v>
      </c>
      <c r="I181" s="106" t="str">
        <f t="shared" si="45"/>
        <v>#DIV/0!</v>
      </c>
      <c r="J181" s="188">
        <v>316.36</v>
      </c>
      <c r="K181" s="314">
        <v>22103.0</v>
      </c>
      <c r="L181" s="103"/>
      <c r="M181" s="189">
        <v>212.38</v>
      </c>
      <c r="N181" s="216">
        <f t="shared" si="99"/>
        <v>1.489594124</v>
      </c>
      <c r="O181" s="217">
        <f t="shared" si="5"/>
        <v>0.6713238083</v>
      </c>
      <c r="P181" s="216" t="str">
        <f t="shared" si="6"/>
        <v>#DIV/0!</v>
      </c>
      <c r="Q181" s="315" t="str">
        <f t="shared" si="7"/>
        <v>#DIV/0!</v>
      </c>
      <c r="R181" s="328">
        <f t="shared" si="98"/>
        <v>-212.38</v>
      </c>
      <c r="S181" s="317" t="str">
        <f t="shared" si="9"/>
        <v>#DIV/0!</v>
      </c>
      <c r="T181" s="221"/>
      <c r="U181" s="221"/>
      <c r="V181" s="221"/>
      <c r="W181" s="221"/>
      <c r="X181" s="14"/>
    </row>
    <row r="182" outlineLevel="1">
      <c r="A182" s="205"/>
      <c r="B182" s="206"/>
      <c r="C182" s="200" t="s">
        <v>83</v>
      </c>
      <c r="D182" s="129"/>
      <c r="E182" s="103"/>
      <c r="F182" s="103"/>
      <c r="G182" s="104" t="str">
        <f t="shared" si="43"/>
        <v>#DIV/0!</v>
      </c>
      <c r="H182" s="105" t="str">
        <f t="shared" si="44"/>
        <v>#DIV/0!</v>
      </c>
      <c r="I182" s="106" t="str">
        <f t="shared" si="45"/>
        <v>#DIV/0!</v>
      </c>
      <c r="J182" s="188">
        <v>757.35</v>
      </c>
      <c r="K182" s="314">
        <v>85344.0</v>
      </c>
      <c r="L182" s="103"/>
      <c r="M182" s="189">
        <v>1479.49</v>
      </c>
      <c r="N182" s="216">
        <f t="shared" si="99"/>
        <v>0.5118993707</v>
      </c>
      <c r="O182" s="217">
        <f t="shared" si="5"/>
        <v>1.953508946</v>
      </c>
      <c r="P182" s="216" t="str">
        <f t="shared" si="6"/>
        <v>#DIV/0!</v>
      </c>
      <c r="Q182" s="315" t="str">
        <f t="shared" si="7"/>
        <v>#DIV/0!</v>
      </c>
      <c r="R182" s="328">
        <f t="shared" si="98"/>
        <v>-1479.49</v>
      </c>
      <c r="S182" s="317" t="str">
        <f t="shared" si="9"/>
        <v>#DIV/0!</v>
      </c>
      <c r="T182" s="221"/>
      <c r="U182" s="221"/>
      <c r="V182" s="221"/>
      <c r="W182" s="221"/>
      <c r="X182" s="14"/>
    </row>
    <row r="183" outlineLevel="1">
      <c r="A183" s="205" t="str">
        <f t="shared" ref="A183:A184" si="100">iferror(if(B183&gt;0,month(B183)&amp;"-"&amp;year(B183),B183),)</f>
        <v>3-2026</v>
      </c>
      <c r="B183" s="206">
        <v>46095.0</v>
      </c>
      <c r="C183" s="200" t="s">
        <v>81</v>
      </c>
      <c r="D183" s="329"/>
      <c r="E183" s="210"/>
      <c r="F183" s="210"/>
      <c r="G183" s="211" t="str">
        <f t="shared" si="43"/>
        <v>#DIV/0!</v>
      </c>
      <c r="H183" s="212" t="str">
        <f t="shared" si="44"/>
        <v>#DIV/0!</v>
      </c>
      <c r="I183" s="330" t="str">
        <f t="shared" si="45"/>
        <v>#DIV/0!</v>
      </c>
      <c r="J183" s="175">
        <v>0.0</v>
      </c>
      <c r="K183" s="169">
        <v>0.0</v>
      </c>
      <c r="L183" s="169"/>
      <c r="M183" s="176">
        <v>0.0</v>
      </c>
      <c r="N183" s="216" t="str">
        <f t="shared" si="99"/>
        <v>#DIV/0!</v>
      </c>
      <c r="O183" s="217" t="str">
        <f t="shared" si="5"/>
        <v>#DIV/0!</v>
      </c>
      <c r="P183" s="216" t="str">
        <f t="shared" si="6"/>
        <v>#DIV/0!</v>
      </c>
      <c r="Q183" s="315" t="str">
        <f t="shared" si="7"/>
        <v>#DIV/0!</v>
      </c>
      <c r="R183" s="316">
        <f t="shared" si="98"/>
        <v>0</v>
      </c>
      <c r="S183" s="317" t="str">
        <f t="shared" si="9"/>
        <v>#DIV/0!</v>
      </c>
      <c r="T183" s="221"/>
      <c r="U183" s="221"/>
      <c r="V183" s="221"/>
      <c r="W183" s="221"/>
      <c r="X183" s="14"/>
    </row>
    <row r="184">
      <c r="A184" s="98" t="str">
        <f t="shared" si="100"/>
        <v/>
      </c>
      <c r="B184" s="149" t="s">
        <v>61</v>
      </c>
      <c r="C184" s="150"/>
      <c r="D184" s="151">
        <f t="shared" ref="D184:F184" si="101">SUM(D170:D183)</f>
        <v>0</v>
      </c>
      <c r="E184" s="202">
        <f t="shared" si="101"/>
        <v>0</v>
      </c>
      <c r="F184" s="202">
        <f t="shared" si="101"/>
        <v>0</v>
      </c>
      <c r="G184" s="154" t="str">
        <f t="shared" si="43"/>
        <v>#DIV/0!</v>
      </c>
      <c r="H184" s="155" t="str">
        <f t="shared" si="44"/>
        <v>#DIV/0!</v>
      </c>
      <c r="I184" s="156" t="str">
        <f t="shared" si="45"/>
        <v>#DIV/0!</v>
      </c>
      <c r="J184" s="151">
        <f t="shared" ref="J184:M184" si="102">SUM(J170:J183)</f>
        <v>5442.06</v>
      </c>
      <c r="K184" s="313">
        <f t="shared" si="102"/>
        <v>577156</v>
      </c>
      <c r="L184" s="202">
        <f t="shared" si="102"/>
        <v>0</v>
      </c>
      <c r="M184" s="157">
        <f t="shared" si="102"/>
        <v>9027.59</v>
      </c>
      <c r="N184" s="158">
        <f t="shared" si="99"/>
        <v>0.6028253388</v>
      </c>
      <c r="O184" s="159">
        <f t="shared" si="5"/>
        <v>1.658855286</v>
      </c>
      <c r="P184" s="158" t="str">
        <f t="shared" si="6"/>
        <v>#DIV/0!</v>
      </c>
      <c r="Q184" s="160" t="str">
        <f t="shared" si="7"/>
        <v>#DIV/0!</v>
      </c>
      <c r="R184" s="161">
        <f>SUM(R170:R183)</f>
        <v>-9027.59</v>
      </c>
      <c r="S184" s="162" t="str">
        <f t="shared" si="9"/>
        <v>#DIV/0!</v>
      </c>
      <c r="T184" s="163" t="str">
        <f t="shared" ref="T184:U184" si="103">IFERROR((D184-#REF!)/D184,)</f>
        <v/>
      </c>
      <c r="U184" s="163" t="str">
        <f t="shared" si="103"/>
        <v/>
      </c>
      <c r="V184" s="163" t="str">
        <f t="shared" ref="V184:W184" si="104">IFERROR((D184-#REF!)/D184, )</f>
        <v/>
      </c>
      <c r="W184" s="163" t="str">
        <f t="shared" si="104"/>
        <v/>
      </c>
      <c r="X184" s="98"/>
      <c r="Y184" s="98"/>
      <c r="Z184" s="98"/>
    </row>
    <row r="185" outlineLevel="1">
      <c r="A185" s="205"/>
      <c r="B185" s="206">
        <v>46096.0</v>
      </c>
      <c r="C185" s="200" t="s">
        <v>70</v>
      </c>
      <c r="D185" s="101"/>
      <c r="E185" s="103"/>
      <c r="F185" s="103"/>
      <c r="G185" s="104" t="str">
        <f t="shared" si="43"/>
        <v>#DIV/0!</v>
      </c>
      <c r="H185" s="105" t="str">
        <f t="shared" si="44"/>
        <v>#DIV/0!</v>
      </c>
      <c r="I185" s="106" t="str">
        <f t="shared" si="45"/>
        <v>#DIV/0!</v>
      </c>
      <c r="J185" s="170">
        <v>756.47</v>
      </c>
      <c r="K185" s="314">
        <v>98232.0</v>
      </c>
      <c r="L185" s="169"/>
      <c r="M185" s="171">
        <v>3840.78</v>
      </c>
      <c r="N185" s="216">
        <f t="shared" si="99"/>
        <v>0.1969573889</v>
      </c>
      <c r="O185" s="217">
        <f t="shared" si="5"/>
        <v>5.07724034</v>
      </c>
      <c r="P185" s="216" t="str">
        <f t="shared" si="6"/>
        <v>#DIV/0!</v>
      </c>
      <c r="Q185" s="315" t="str">
        <f t="shared" si="7"/>
        <v>#DIV/0!</v>
      </c>
      <c r="R185" s="316">
        <f t="shared" ref="R185:R198" si="105">D185-M185</f>
        <v>-3840.78</v>
      </c>
      <c r="S185" s="317" t="str">
        <f t="shared" si="9"/>
        <v>#DIV/0!</v>
      </c>
      <c r="T185" s="221"/>
      <c r="U185" s="221"/>
      <c r="V185" s="221"/>
      <c r="W185" s="221"/>
      <c r="X185" s="14"/>
    </row>
    <row r="186" outlineLevel="1">
      <c r="A186" s="205"/>
      <c r="B186" s="206"/>
      <c r="C186" s="200" t="s">
        <v>71</v>
      </c>
      <c r="D186" s="117"/>
      <c r="E186" s="103"/>
      <c r="F186" s="103"/>
      <c r="G186" s="104" t="str">
        <f t="shared" si="43"/>
        <v>#DIV/0!</v>
      </c>
      <c r="H186" s="105" t="str">
        <f t="shared" si="44"/>
        <v>#DIV/0!</v>
      </c>
      <c r="I186" s="106" t="str">
        <f t="shared" si="45"/>
        <v>#DIV/0!</v>
      </c>
      <c r="J186" s="175">
        <v>105.99</v>
      </c>
      <c r="K186" s="314">
        <v>18274.0</v>
      </c>
      <c r="L186" s="103"/>
      <c r="M186" s="176">
        <v>269.78</v>
      </c>
      <c r="N186" s="216">
        <f t="shared" si="99"/>
        <v>0.3928756765</v>
      </c>
      <c r="O186" s="217">
        <f t="shared" si="5"/>
        <v>2.545334466</v>
      </c>
      <c r="P186" s="216" t="str">
        <f t="shared" si="6"/>
        <v>#DIV/0!</v>
      </c>
      <c r="Q186" s="315" t="str">
        <f t="shared" si="7"/>
        <v>#DIV/0!</v>
      </c>
      <c r="R186" s="318">
        <f t="shared" si="105"/>
        <v>-269.78</v>
      </c>
      <c r="S186" s="317" t="str">
        <f t="shared" si="9"/>
        <v>#DIV/0!</v>
      </c>
      <c r="T186" s="221"/>
      <c r="U186" s="221"/>
      <c r="V186" s="221"/>
      <c r="W186" s="221"/>
      <c r="X186" s="14"/>
    </row>
    <row r="187" outlineLevel="1">
      <c r="A187" s="205"/>
      <c r="B187" s="206"/>
      <c r="C187" s="200" t="s">
        <v>72</v>
      </c>
      <c r="D187" s="120"/>
      <c r="E187" s="103"/>
      <c r="F187" s="103"/>
      <c r="G187" s="104" t="str">
        <f t="shared" si="43"/>
        <v>#DIV/0!</v>
      </c>
      <c r="H187" s="105" t="str">
        <f t="shared" si="44"/>
        <v>#DIV/0!</v>
      </c>
      <c r="I187" s="106" t="str">
        <f t="shared" si="45"/>
        <v>#DIV/0!</v>
      </c>
      <c r="J187" s="177">
        <v>96.54</v>
      </c>
      <c r="K187" s="314">
        <v>18902.0</v>
      </c>
      <c r="L187" s="169"/>
      <c r="M187" s="178">
        <v>476.66</v>
      </c>
      <c r="N187" s="216">
        <f>(J187/M187)</f>
        <v>0.2025343012</v>
      </c>
      <c r="O187" s="217">
        <f t="shared" si="5"/>
        <v>4.93743526</v>
      </c>
      <c r="P187" s="216" t="str">
        <f t="shared" si="6"/>
        <v>#DIV/0!</v>
      </c>
      <c r="Q187" s="315" t="str">
        <f t="shared" si="7"/>
        <v>#DIV/0!</v>
      </c>
      <c r="R187" s="319">
        <f t="shared" si="105"/>
        <v>-476.66</v>
      </c>
      <c r="S187" s="317" t="str">
        <f t="shared" si="9"/>
        <v>#DIV/0!</v>
      </c>
      <c r="T187" s="221"/>
      <c r="U187" s="221"/>
      <c r="V187" s="221"/>
      <c r="W187" s="221"/>
      <c r="X187" s="14"/>
    </row>
    <row r="188" outlineLevel="1">
      <c r="A188" s="205"/>
      <c r="B188" s="206"/>
      <c r="C188" s="200" t="s">
        <v>73</v>
      </c>
      <c r="D188" s="120"/>
      <c r="E188" s="103"/>
      <c r="F188" s="103"/>
      <c r="G188" s="104" t="str">
        <f t="shared" si="43"/>
        <v>#DIV/0!</v>
      </c>
      <c r="H188" s="105" t="str">
        <f t="shared" si="44"/>
        <v>#DIV/0!</v>
      </c>
      <c r="I188" s="106" t="str">
        <f t="shared" si="45"/>
        <v>#DIV/0!</v>
      </c>
      <c r="J188" s="177">
        <v>439.84</v>
      </c>
      <c r="K188" s="314">
        <v>42167.0</v>
      </c>
      <c r="L188" s="103"/>
      <c r="M188" s="178">
        <v>398.68</v>
      </c>
      <c r="N188" s="216">
        <f t="shared" ref="N188:N199" si="106">J188/M188</f>
        <v>1.103240694</v>
      </c>
      <c r="O188" s="217">
        <f t="shared" si="5"/>
        <v>0.9064205166</v>
      </c>
      <c r="P188" s="216" t="str">
        <f t="shared" si="6"/>
        <v>#DIV/0!</v>
      </c>
      <c r="Q188" s="315" t="str">
        <f t="shared" si="7"/>
        <v>#DIV/0!</v>
      </c>
      <c r="R188" s="319">
        <f t="shared" si="105"/>
        <v>-398.68</v>
      </c>
      <c r="S188" s="317" t="str">
        <f t="shared" si="9"/>
        <v>#DIV/0!</v>
      </c>
      <c r="T188" s="221"/>
      <c r="U188" s="221"/>
      <c r="V188" s="221"/>
      <c r="W188" s="221"/>
      <c r="X188" s="14"/>
    </row>
    <row r="189" outlineLevel="1">
      <c r="A189" s="205"/>
      <c r="B189" s="206"/>
      <c r="C189" s="200" t="s">
        <v>74</v>
      </c>
      <c r="D189" s="300"/>
      <c r="E189" s="103"/>
      <c r="F189" s="103"/>
      <c r="G189" s="104" t="str">
        <f t="shared" si="43"/>
        <v>#DIV/0!</v>
      </c>
      <c r="H189" s="105" t="str">
        <f t="shared" si="44"/>
        <v>#DIV/0!</v>
      </c>
      <c r="I189" s="106" t="str">
        <f t="shared" si="45"/>
        <v>#DIV/0!</v>
      </c>
      <c r="J189" s="320">
        <v>429.1</v>
      </c>
      <c r="K189" s="314">
        <v>44045.0</v>
      </c>
      <c r="L189" s="169"/>
      <c r="M189" s="320">
        <v>479.84</v>
      </c>
      <c r="N189" s="216">
        <f t="shared" si="106"/>
        <v>0.8942564188</v>
      </c>
      <c r="O189" s="217">
        <f t="shared" si="5"/>
        <v>1.118247495</v>
      </c>
      <c r="P189" s="216" t="str">
        <f t="shared" si="6"/>
        <v>#DIV/0!</v>
      </c>
      <c r="Q189" s="315" t="str">
        <f t="shared" si="7"/>
        <v>#DIV/0!</v>
      </c>
      <c r="R189" s="319">
        <f t="shared" si="105"/>
        <v>-479.84</v>
      </c>
      <c r="S189" s="317" t="str">
        <f t="shared" si="9"/>
        <v>#DIV/0!</v>
      </c>
      <c r="T189" s="221"/>
      <c r="U189" s="221"/>
      <c r="V189" s="221"/>
      <c r="W189" s="221"/>
      <c r="X189" s="14"/>
    </row>
    <row r="190" outlineLevel="1">
      <c r="A190" s="205"/>
      <c r="B190" s="206"/>
      <c r="C190" s="200" t="s">
        <v>75</v>
      </c>
      <c r="D190" s="302"/>
      <c r="E190" s="103"/>
      <c r="F190" s="103"/>
      <c r="G190" s="104" t="str">
        <f t="shared" si="43"/>
        <v>#DIV/0!</v>
      </c>
      <c r="H190" s="105" t="str">
        <f t="shared" si="44"/>
        <v>#DIV/0!</v>
      </c>
      <c r="I190" s="106" t="str">
        <f t="shared" si="45"/>
        <v>#DIV/0!</v>
      </c>
      <c r="J190" s="321">
        <v>430.06</v>
      </c>
      <c r="K190" s="314">
        <v>49593.0</v>
      </c>
      <c r="L190" s="103"/>
      <c r="M190" s="322">
        <v>202.28</v>
      </c>
      <c r="N190" s="216">
        <f t="shared" si="106"/>
        <v>2.126062883</v>
      </c>
      <c r="O190" s="217">
        <f t="shared" si="5"/>
        <v>0.470352974</v>
      </c>
      <c r="P190" s="216" t="str">
        <f t="shared" si="6"/>
        <v>#DIV/0!</v>
      </c>
      <c r="Q190" s="315" t="str">
        <f t="shared" si="7"/>
        <v>#DIV/0!</v>
      </c>
      <c r="R190" s="323">
        <f t="shared" si="105"/>
        <v>-202.28</v>
      </c>
      <c r="S190" s="317" t="str">
        <f t="shared" si="9"/>
        <v>#DIV/0!</v>
      </c>
      <c r="T190" s="221"/>
      <c r="U190" s="221"/>
      <c r="V190" s="221"/>
      <c r="W190" s="221"/>
      <c r="X190" s="14"/>
    </row>
    <row r="191" outlineLevel="1">
      <c r="A191" s="205"/>
      <c r="B191" s="206"/>
      <c r="C191" s="200" t="s">
        <v>76</v>
      </c>
      <c r="D191" s="120"/>
      <c r="E191" s="103"/>
      <c r="F191" s="103"/>
      <c r="G191" s="104" t="str">
        <f t="shared" si="43"/>
        <v>#DIV/0!</v>
      </c>
      <c r="H191" s="105" t="str">
        <f t="shared" si="44"/>
        <v>#DIV/0!</v>
      </c>
      <c r="I191" s="106" t="str">
        <f t="shared" si="45"/>
        <v>#DIV/0!</v>
      </c>
      <c r="J191" s="177">
        <v>509.47</v>
      </c>
      <c r="K191" s="314">
        <v>31111.0</v>
      </c>
      <c r="L191" s="103"/>
      <c r="M191" s="178">
        <v>2571.58</v>
      </c>
      <c r="N191" s="216">
        <f t="shared" si="106"/>
        <v>0.1981155554</v>
      </c>
      <c r="O191" s="217">
        <f t="shared" si="5"/>
        <v>5.047559228</v>
      </c>
      <c r="P191" s="216" t="str">
        <f t="shared" si="6"/>
        <v>#DIV/0!</v>
      </c>
      <c r="Q191" s="315" t="str">
        <f t="shared" si="7"/>
        <v>#DIV/0!</v>
      </c>
      <c r="R191" s="319">
        <f t="shared" si="105"/>
        <v>-2571.58</v>
      </c>
      <c r="S191" s="317" t="str">
        <f t="shared" si="9"/>
        <v>#DIV/0!</v>
      </c>
      <c r="T191" s="221"/>
      <c r="U191" s="221"/>
      <c r="V191" s="221"/>
      <c r="W191" s="221"/>
      <c r="X191" s="14"/>
    </row>
    <row r="192" outlineLevel="1">
      <c r="A192" s="205"/>
      <c r="B192" s="324" t="s">
        <v>37</v>
      </c>
      <c r="C192" s="200" t="s">
        <v>77</v>
      </c>
      <c r="D192" s="123"/>
      <c r="E192" s="103"/>
      <c r="F192" s="103"/>
      <c r="G192" s="104" t="str">
        <f t="shared" si="43"/>
        <v>#DIV/0!</v>
      </c>
      <c r="H192" s="105" t="str">
        <f t="shared" si="44"/>
        <v>#DIV/0!</v>
      </c>
      <c r="I192" s="106" t="str">
        <f t="shared" si="45"/>
        <v>#DIV/0!</v>
      </c>
      <c r="J192" s="180">
        <v>52.07</v>
      </c>
      <c r="K192" s="314">
        <v>3372.0</v>
      </c>
      <c r="L192" s="103"/>
      <c r="M192" s="181">
        <v>239.95</v>
      </c>
      <c r="N192" s="216">
        <f t="shared" si="106"/>
        <v>0.2170035424</v>
      </c>
      <c r="O192" s="217">
        <f t="shared" si="5"/>
        <v>4.608219704</v>
      </c>
      <c r="P192" s="216" t="str">
        <f t="shared" si="6"/>
        <v>#DIV/0!</v>
      </c>
      <c r="Q192" s="315" t="str">
        <f t="shared" si="7"/>
        <v>#DIV/0!</v>
      </c>
      <c r="R192" s="325">
        <f t="shared" si="105"/>
        <v>-239.95</v>
      </c>
      <c r="S192" s="317" t="str">
        <f t="shared" si="9"/>
        <v>#DIV/0!</v>
      </c>
      <c r="T192" s="221"/>
      <c r="U192" s="221"/>
      <c r="V192" s="221"/>
      <c r="W192" s="221"/>
      <c r="X192" s="14"/>
    </row>
    <row r="193" outlineLevel="1">
      <c r="A193" s="205"/>
      <c r="B193" s="206"/>
      <c r="C193" s="200" t="s">
        <v>78</v>
      </c>
      <c r="D193" s="126"/>
      <c r="E193" s="103"/>
      <c r="F193" s="103"/>
      <c r="G193" s="104" t="str">
        <f t="shared" si="43"/>
        <v>#DIV/0!</v>
      </c>
      <c r="H193" s="105" t="str">
        <f t="shared" si="44"/>
        <v>#DIV/0!</v>
      </c>
      <c r="I193" s="106" t="str">
        <f t="shared" si="45"/>
        <v>#DIV/0!</v>
      </c>
      <c r="J193" s="182">
        <v>389.96</v>
      </c>
      <c r="K193" s="314">
        <v>58249.0</v>
      </c>
      <c r="L193" s="169"/>
      <c r="M193" s="183">
        <v>399.0</v>
      </c>
      <c r="N193" s="216">
        <f t="shared" si="106"/>
        <v>0.9773433584</v>
      </c>
      <c r="O193" s="217">
        <f t="shared" si="5"/>
        <v>1.023181865</v>
      </c>
      <c r="P193" s="216" t="str">
        <f t="shared" si="6"/>
        <v>#DIV/0!</v>
      </c>
      <c r="Q193" s="315" t="str">
        <f t="shared" si="7"/>
        <v>#DIV/0!</v>
      </c>
      <c r="R193" s="326">
        <f t="shared" si="105"/>
        <v>-399</v>
      </c>
      <c r="S193" s="317" t="str">
        <f t="shared" si="9"/>
        <v>#DIV/0!</v>
      </c>
      <c r="T193" s="221"/>
      <c r="U193" s="221"/>
      <c r="V193" s="221"/>
      <c r="W193" s="221"/>
      <c r="X193" s="14"/>
    </row>
    <row r="194" outlineLevel="1">
      <c r="A194" s="205"/>
      <c r="B194" s="206"/>
      <c r="C194" s="200" t="s">
        <v>79</v>
      </c>
      <c r="D194" s="129"/>
      <c r="E194" s="103"/>
      <c r="F194" s="103"/>
      <c r="G194" s="104" t="str">
        <f t="shared" si="43"/>
        <v>#DIV/0!</v>
      </c>
      <c r="H194" s="105" t="str">
        <f t="shared" si="44"/>
        <v>#DIV/0!</v>
      </c>
      <c r="I194" s="106" t="str">
        <f t="shared" si="45"/>
        <v>#DIV/0!</v>
      </c>
      <c r="J194" s="184">
        <v>361.87</v>
      </c>
      <c r="K194" s="314">
        <v>62619.0</v>
      </c>
      <c r="L194" s="103"/>
      <c r="M194" s="185">
        <v>377.57</v>
      </c>
      <c r="N194" s="216">
        <f t="shared" si="106"/>
        <v>0.9584183065</v>
      </c>
      <c r="O194" s="217">
        <f t="shared" si="5"/>
        <v>1.043385746</v>
      </c>
      <c r="P194" s="216" t="str">
        <f t="shared" si="6"/>
        <v>#DIV/0!</v>
      </c>
      <c r="Q194" s="315" t="str">
        <f t="shared" si="7"/>
        <v>#DIV/0!</v>
      </c>
      <c r="R194" s="327">
        <f t="shared" si="105"/>
        <v>-377.57</v>
      </c>
      <c r="S194" s="317" t="str">
        <f t="shared" si="9"/>
        <v>#DIV/0!</v>
      </c>
      <c r="T194" s="221"/>
      <c r="U194" s="221"/>
      <c r="V194" s="221"/>
      <c r="W194" s="221"/>
      <c r="X194" s="14"/>
    </row>
    <row r="195" outlineLevel="1">
      <c r="A195" s="205"/>
      <c r="B195" s="206"/>
      <c r="C195" s="200" t="s">
        <v>80</v>
      </c>
      <c r="D195" s="129"/>
      <c r="E195" s="103"/>
      <c r="F195" s="103"/>
      <c r="G195" s="104" t="str">
        <f t="shared" si="43"/>
        <v>#DIV/0!</v>
      </c>
      <c r="H195" s="105" t="str">
        <f t="shared" si="44"/>
        <v>#DIV/0!</v>
      </c>
      <c r="I195" s="106" t="str">
        <f t="shared" si="45"/>
        <v>#DIV/0!</v>
      </c>
      <c r="J195" s="188">
        <v>295.64</v>
      </c>
      <c r="K195" s="314">
        <v>26558.0</v>
      </c>
      <c r="L195" s="103"/>
      <c r="M195" s="189">
        <v>399.99</v>
      </c>
      <c r="N195" s="216">
        <f t="shared" si="106"/>
        <v>0.739118478</v>
      </c>
      <c r="O195" s="217">
        <f t="shared" si="5"/>
        <v>1.352963063</v>
      </c>
      <c r="P195" s="216" t="str">
        <f t="shared" si="6"/>
        <v>#DIV/0!</v>
      </c>
      <c r="Q195" s="315" t="str">
        <f t="shared" si="7"/>
        <v>#DIV/0!</v>
      </c>
      <c r="R195" s="328">
        <f t="shared" si="105"/>
        <v>-399.99</v>
      </c>
      <c r="S195" s="317" t="str">
        <f t="shared" si="9"/>
        <v>#DIV/0!</v>
      </c>
      <c r="T195" s="221"/>
      <c r="U195" s="221"/>
      <c r="V195" s="221"/>
      <c r="W195" s="221"/>
      <c r="X195" s="14"/>
    </row>
    <row r="196" outlineLevel="1">
      <c r="A196" s="205"/>
      <c r="B196" s="206"/>
      <c r="C196" s="200" t="s">
        <v>82</v>
      </c>
      <c r="D196" s="129"/>
      <c r="E196" s="103"/>
      <c r="F196" s="103"/>
      <c r="G196" s="104" t="str">
        <f t="shared" si="43"/>
        <v>#DIV/0!</v>
      </c>
      <c r="H196" s="105" t="str">
        <f t="shared" si="44"/>
        <v>#DIV/0!</v>
      </c>
      <c r="I196" s="106" t="str">
        <f t="shared" si="45"/>
        <v>#DIV/0!</v>
      </c>
      <c r="J196" s="188">
        <v>193.74</v>
      </c>
      <c r="K196" s="314">
        <v>13900.0</v>
      </c>
      <c r="L196" s="103"/>
      <c r="M196" s="189">
        <v>0.0</v>
      </c>
      <c r="N196" s="216" t="str">
        <f t="shared" si="106"/>
        <v>#DIV/0!</v>
      </c>
      <c r="O196" s="217">
        <f t="shared" si="5"/>
        <v>0</v>
      </c>
      <c r="P196" s="216" t="str">
        <f t="shared" si="6"/>
        <v>#DIV/0!</v>
      </c>
      <c r="Q196" s="315" t="str">
        <f t="shared" si="7"/>
        <v>#DIV/0!</v>
      </c>
      <c r="R196" s="328">
        <f t="shared" si="105"/>
        <v>0</v>
      </c>
      <c r="S196" s="317" t="str">
        <f t="shared" si="9"/>
        <v>#DIV/0!</v>
      </c>
      <c r="T196" s="221"/>
      <c r="U196" s="221"/>
      <c r="V196" s="221"/>
      <c r="W196" s="221"/>
      <c r="X196" s="14"/>
    </row>
    <row r="197" outlineLevel="1">
      <c r="A197" s="205"/>
      <c r="B197" s="206"/>
      <c r="C197" s="200" t="s">
        <v>83</v>
      </c>
      <c r="D197" s="129"/>
      <c r="E197" s="103"/>
      <c r="F197" s="103"/>
      <c r="G197" s="104" t="str">
        <f t="shared" si="43"/>
        <v>#DIV/0!</v>
      </c>
      <c r="H197" s="105" t="str">
        <f t="shared" si="44"/>
        <v>#DIV/0!</v>
      </c>
      <c r="I197" s="106" t="str">
        <f t="shared" si="45"/>
        <v>#DIV/0!</v>
      </c>
      <c r="J197" s="188">
        <v>856.8</v>
      </c>
      <c r="K197" s="314">
        <v>92170.0</v>
      </c>
      <c r="L197" s="103"/>
      <c r="M197" s="189">
        <v>831.83</v>
      </c>
      <c r="N197" s="216">
        <f t="shared" si="106"/>
        <v>1.030018153</v>
      </c>
      <c r="O197" s="217">
        <f t="shared" si="5"/>
        <v>0.970856676</v>
      </c>
      <c r="P197" s="216" t="str">
        <f t="shared" si="6"/>
        <v>#DIV/0!</v>
      </c>
      <c r="Q197" s="315" t="str">
        <f t="shared" si="7"/>
        <v>#DIV/0!</v>
      </c>
      <c r="R197" s="328">
        <f t="shared" si="105"/>
        <v>-831.83</v>
      </c>
      <c r="S197" s="317" t="str">
        <f t="shared" si="9"/>
        <v>#DIV/0!</v>
      </c>
      <c r="T197" s="221"/>
      <c r="U197" s="221"/>
      <c r="V197" s="221"/>
      <c r="W197" s="221"/>
      <c r="X197" s="14"/>
    </row>
    <row r="198" outlineLevel="1">
      <c r="A198" s="205" t="str">
        <f t="shared" ref="A198:A199" si="107">iferror(if(B198&gt;0,month(B198)&amp;"-"&amp;year(B198),B198),)</f>
        <v>3-2026</v>
      </c>
      <c r="B198" s="206">
        <v>46102.0</v>
      </c>
      <c r="C198" s="200" t="s">
        <v>81</v>
      </c>
      <c r="D198" s="329"/>
      <c r="E198" s="210"/>
      <c r="F198" s="210"/>
      <c r="G198" s="211" t="str">
        <f t="shared" si="43"/>
        <v>#DIV/0!</v>
      </c>
      <c r="H198" s="212" t="str">
        <f t="shared" si="44"/>
        <v>#DIV/0!</v>
      </c>
      <c r="I198" s="330" t="str">
        <f t="shared" si="45"/>
        <v>#DIV/0!</v>
      </c>
      <c r="J198" s="175">
        <v>0.0</v>
      </c>
      <c r="K198" s="169">
        <v>0.0</v>
      </c>
      <c r="L198" s="169"/>
      <c r="M198" s="176">
        <v>0.0</v>
      </c>
      <c r="N198" s="216" t="str">
        <f t="shared" si="106"/>
        <v>#DIV/0!</v>
      </c>
      <c r="O198" s="217" t="str">
        <f t="shared" si="5"/>
        <v>#DIV/0!</v>
      </c>
      <c r="P198" s="216" t="str">
        <f t="shared" si="6"/>
        <v>#DIV/0!</v>
      </c>
      <c r="Q198" s="315" t="str">
        <f t="shared" si="7"/>
        <v>#DIV/0!</v>
      </c>
      <c r="R198" s="316">
        <f t="shared" si="105"/>
        <v>0</v>
      </c>
      <c r="S198" s="317" t="str">
        <f t="shared" si="9"/>
        <v>#DIV/0!</v>
      </c>
      <c r="T198" s="221"/>
      <c r="U198" s="221"/>
      <c r="V198" s="221"/>
      <c r="W198" s="221"/>
      <c r="X198" s="14"/>
    </row>
    <row r="199">
      <c r="A199" s="98" t="str">
        <f t="shared" si="107"/>
        <v/>
      </c>
      <c r="B199" s="203" t="s">
        <v>62</v>
      </c>
      <c r="C199" s="150"/>
      <c r="D199" s="151">
        <f t="shared" ref="D199:F199" si="108">SUM(D185:D198)</f>
        <v>0</v>
      </c>
      <c r="E199" s="202">
        <f t="shared" si="108"/>
        <v>0</v>
      </c>
      <c r="F199" s="202">
        <f t="shared" si="108"/>
        <v>0</v>
      </c>
      <c r="G199" s="154" t="str">
        <f t="shared" si="43"/>
        <v>#DIV/0!</v>
      </c>
      <c r="H199" s="155" t="str">
        <f t="shared" si="44"/>
        <v>#DIV/0!</v>
      </c>
      <c r="I199" s="156" t="str">
        <f t="shared" si="45"/>
        <v>#DIV/0!</v>
      </c>
      <c r="J199" s="151">
        <f t="shared" ref="J199:M199" si="109">SUM(J185:J198)</f>
        <v>4917.55</v>
      </c>
      <c r="K199" s="313">
        <f t="shared" si="109"/>
        <v>559192</v>
      </c>
      <c r="L199" s="202">
        <f t="shared" si="109"/>
        <v>0</v>
      </c>
      <c r="M199" s="157">
        <f t="shared" si="109"/>
        <v>10487.94</v>
      </c>
      <c r="N199" s="158">
        <f t="shared" si="106"/>
        <v>0.4688766335</v>
      </c>
      <c r="O199" s="159">
        <f t="shared" si="5"/>
        <v>2.132757166</v>
      </c>
      <c r="P199" s="158" t="str">
        <f t="shared" si="6"/>
        <v>#DIV/0!</v>
      </c>
      <c r="Q199" s="160" t="str">
        <f t="shared" si="7"/>
        <v>#DIV/0!</v>
      </c>
      <c r="R199" s="161">
        <f>SUM(R185:R198)</f>
        <v>-10487.94</v>
      </c>
      <c r="S199" s="162" t="str">
        <f t="shared" si="9"/>
        <v>#DIV/0!</v>
      </c>
      <c r="T199" s="163" t="str">
        <f t="shared" ref="T199:U199" si="110">IFERROR((D199-D184)/D199,)</f>
        <v/>
      </c>
      <c r="U199" s="163" t="str">
        <f t="shared" si="110"/>
        <v/>
      </c>
      <c r="V199" s="163" t="str">
        <f t="shared" ref="V199:W199" si="111">IFERROR((D199-#REF!)/D199, )</f>
        <v/>
      </c>
      <c r="W199" s="163" t="str">
        <f t="shared" si="111"/>
        <v/>
      </c>
      <c r="X199" s="98"/>
      <c r="Y199" s="98"/>
      <c r="Z199" s="98"/>
    </row>
  </sheetData>
  <mergeCells count="19">
    <mergeCell ref="A1:B1"/>
    <mergeCell ref="A2:B2"/>
    <mergeCell ref="C2:W2"/>
    <mergeCell ref="D3:G3"/>
    <mergeCell ref="I3:L3"/>
    <mergeCell ref="D4:F4"/>
    <mergeCell ref="I4:K4"/>
    <mergeCell ref="D9:G9"/>
    <mergeCell ref="D10:I10"/>
    <mergeCell ref="L10:S10"/>
    <mergeCell ref="V10:W10"/>
    <mergeCell ref="X10:Y10"/>
    <mergeCell ref="D5:G5"/>
    <mergeCell ref="I5:L5"/>
    <mergeCell ref="D7:G7"/>
    <mergeCell ref="I7:L7"/>
    <mergeCell ref="D8:F8"/>
    <mergeCell ref="I8:K8"/>
    <mergeCell ref="I9:L9"/>
  </mergeCells>
  <conditionalFormatting sqref="A5:Q5 S5:V5 A9 C9">
    <cfRule type="cellIs" dxfId="0" priority="1" operator="greaterThanOrEqual">
      <formula>0</formula>
    </cfRule>
  </conditionalFormatting>
  <conditionalFormatting sqref="A5:Q5 S5:V5 A9 C9">
    <cfRule type="cellIs" dxfId="1" priority="2" operator="lessThanOrEqual">
      <formula>0</formula>
    </cfRule>
  </conditionalFormatting>
  <conditionalFormatting sqref="A9:V9">
    <cfRule type="cellIs" dxfId="0" priority="3" operator="lessThanOrEqual">
      <formula>0</formula>
    </cfRule>
  </conditionalFormatting>
  <conditionalFormatting sqref="A9:V9">
    <cfRule type="cellIs" dxfId="1" priority="4" operator="greaterThanOrEqual">
      <formula>0</formula>
    </cfRule>
  </conditionalFormatting>
  <conditionalFormatting sqref="T12:Y199">
    <cfRule type="cellIs" dxfId="2" priority="5" operator="greaterThanOrEqual">
      <formula>0</formula>
    </cfRule>
  </conditionalFormatting>
  <conditionalFormatting sqref="T12:Y199">
    <cfRule type="cellIs" dxfId="3" priority="6" operator="lessThan">
      <formula>0</formula>
    </cfRule>
  </conditionalFormatting>
  <conditionalFormatting sqref="V12:W199">
    <cfRule type="cellIs" dxfId="0" priority="7" operator="greaterThanOrEqual">
      <formula>0</formula>
    </cfRule>
  </conditionalFormatting>
  <conditionalFormatting sqref="V12:W199">
    <cfRule type="cellIs" dxfId="4" priority="8" operator="lessThan">
      <formula>0</formula>
    </cfRule>
  </conditionalFormatting>
  <dataValidations>
    <dataValidation type="list" allowBlank="1" sqref="B12 B25 B38 B51 B64 B79 B94 B109 B124 B139 B154 B169 B184 B199">
      <formula1>"Previous Week,Current Week"</formula1>
    </dataValidation>
  </dataValidation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11.25"/>
    <col customWidth="1" min="13" max="13" width="9.75"/>
    <col customWidth="1" min="14" max="14" width="11.13"/>
    <col customWidth="1" min="15" max="17" width="9.75"/>
    <col customWidth="1" min="18" max="18" width="10.75"/>
    <col customWidth="1" min="19" max="19" width="9.75"/>
    <col customWidth="1" min="20" max="20" width="10.88"/>
    <col customWidth="1" min="21" max="26" width="9.75"/>
    <col customWidth="1" min="27" max="27" width="0.38"/>
  </cols>
  <sheetData>
    <row r="1" ht="33.0" customHeight="1">
      <c r="A1" s="1" t="s">
        <v>84</v>
      </c>
      <c r="B1" s="2"/>
      <c r="C1" s="3"/>
      <c r="D1" s="4"/>
      <c r="E1" s="5"/>
      <c r="F1" s="4"/>
      <c r="G1" s="4"/>
      <c r="H1" s="4"/>
      <c r="I1" s="4"/>
      <c r="J1" s="4"/>
      <c r="K1" s="4"/>
      <c r="L1" s="4"/>
      <c r="M1" s="5"/>
      <c r="N1" s="4"/>
      <c r="O1" s="6"/>
      <c r="P1" s="4"/>
      <c r="Q1" s="4"/>
      <c r="R1" s="4"/>
      <c r="S1" s="4"/>
      <c r="T1" s="4"/>
      <c r="U1" s="7"/>
      <c r="V1" s="7"/>
      <c r="W1" s="4"/>
      <c r="X1" s="4"/>
      <c r="Y1" s="4"/>
      <c r="Z1" s="4"/>
      <c r="AA1" s="4"/>
    </row>
    <row r="2">
      <c r="A2" s="8"/>
      <c r="B2" s="9"/>
      <c r="C2" s="10" t="s">
        <v>1</v>
      </c>
      <c r="D2" s="11"/>
      <c r="E2" s="11"/>
      <c r="F2" s="11"/>
      <c r="G2" s="11"/>
      <c r="H2" s="11"/>
      <c r="I2" s="11"/>
      <c r="J2" s="11"/>
      <c r="K2" s="11"/>
      <c r="L2" s="11"/>
      <c r="M2" s="11"/>
      <c r="N2" s="11"/>
      <c r="O2" s="11"/>
      <c r="P2" s="11"/>
      <c r="Q2" s="11"/>
      <c r="R2" s="11"/>
      <c r="S2" s="11"/>
      <c r="T2" s="11"/>
      <c r="U2" s="11"/>
      <c r="V2" s="11"/>
      <c r="W2" s="11"/>
      <c r="X2" s="9"/>
      <c r="Y2" s="12" t="str">
        <f>(#REF!+#REF!+#REF!+#REF!)-(monthly_reporting_2021!E17+monthly_reporting_2021!E23+monthly_reporting_2021!E29+monthly_reporting_2021!E35)</f>
        <v>#REF!</v>
      </c>
      <c r="Z2" s="13" t="str">
        <f>((#REF!+#REF!+#REF!+#REF!)-(monthly_reporting_2021!F17+monthly_reporting_2021!F23+monthly_reporting_2021!F29+monthly_reporting_2021!F35))/(#REF!+#REF!+#REF!+#REF!)</f>
        <v>#REF!</v>
      </c>
      <c r="AA2" s="14"/>
    </row>
    <row r="3" ht="21.0" customHeight="1">
      <c r="A3" s="15"/>
      <c r="B3" s="16"/>
      <c r="C3" s="17" t="s">
        <v>2</v>
      </c>
      <c r="D3" s="18"/>
      <c r="E3" s="19"/>
      <c r="F3" s="18"/>
      <c r="G3" s="20" t="s">
        <v>3</v>
      </c>
      <c r="H3" s="11"/>
      <c r="I3" s="11"/>
      <c r="J3" s="9"/>
      <c r="K3" s="18"/>
      <c r="L3" s="21" t="s">
        <v>4</v>
      </c>
      <c r="M3" s="11"/>
      <c r="N3" s="11"/>
      <c r="O3" s="9"/>
      <c r="P3" s="22"/>
      <c r="Q3" s="22"/>
      <c r="R3" s="22"/>
      <c r="S3" s="22"/>
      <c r="T3" s="22"/>
      <c r="U3" s="23"/>
      <c r="V3" s="23"/>
      <c r="W3" s="22"/>
      <c r="X3" s="22"/>
      <c r="Y3" s="22"/>
      <c r="Z3" s="22"/>
      <c r="AA3" s="22"/>
    </row>
    <row r="4" ht="21.0" customHeight="1">
      <c r="A4" s="24"/>
      <c r="B4" s="25"/>
      <c r="C4" s="26">
        <f>VLOOKUP("Current Week",$B$11:$Y$982,match("SALES",$B$11:$Y$11,0),FALSE)</f>
        <v>45850.88</v>
      </c>
      <c r="D4" s="27"/>
      <c r="E4" s="28"/>
      <c r="F4" s="27"/>
      <c r="G4" s="29">
        <f>VLOOKUP("Current Week",$B$11:$Y$982,match("Units Sold",$B$11:$Y$11,0),FALSE)</f>
        <v>342</v>
      </c>
      <c r="H4" s="11"/>
      <c r="I4" s="9"/>
      <c r="J4" s="30"/>
      <c r="K4" s="27"/>
      <c r="L4" s="29">
        <f>VLOOKUP("Current Week",$B$11:$Y$982,match("Ordered Items",$B$11:$Y$11,0),FALSE)</f>
        <v>362</v>
      </c>
      <c r="M4" s="11"/>
      <c r="N4" s="9"/>
      <c r="O4" s="30"/>
      <c r="P4" s="30"/>
      <c r="Q4" s="30"/>
      <c r="R4" s="30"/>
      <c r="S4" s="30"/>
      <c r="T4" s="30"/>
      <c r="U4" s="31"/>
      <c r="V4" s="31"/>
      <c r="W4" s="30"/>
      <c r="X4" s="30"/>
      <c r="Y4" s="30"/>
      <c r="Z4" s="30"/>
      <c r="AA4" s="30"/>
    </row>
    <row r="5">
      <c r="A5" s="32"/>
      <c r="B5" s="33"/>
      <c r="C5" s="34">
        <f>(C4-(VLOOKUP("Previous Week",$B$11:$Y$987,match("SALES",$B$11:$Y$11,0),FALSE)))/C4</f>
        <v>0.1914155192</v>
      </c>
      <c r="D5" s="35"/>
      <c r="E5" s="36"/>
      <c r="F5" s="35"/>
      <c r="G5" s="37">
        <f>(G4-(VLOOKUP("Previous Week",$B$11:$Y$987,match("Units Sold",$B$11:$Y$11,0),FALSE)))/G4</f>
        <v>0.283625731</v>
      </c>
      <c r="H5" s="11"/>
      <c r="I5" s="11"/>
      <c r="J5" s="9"/>
      <c r="K5" s="35"/>
      <c r="L5" s="37">
        <f>(L4-(VLOOKUP("Previous Week",$B$11:$Y$987,match("Ordered Items",$B$11:$Y$11,0),FALSE)))/L4</f>
        <v>0.2651933702</v>
      </c>
      <c r="M5" s="11"/>
      <c r="N5" s="11"/>
      <c r="O5" s="9"/>
      <c r="P5" s="38"/>
      <c r="Q5" s="38"/>
      <c r="R5" s="38"/>
      <c r="S5" s="38"/>
      <c r="T5" s="38"/>
      <c r="U5" s="38"/>
      <c r="V5" s="38"/>
      <c r="W5" s="38"/>
      <c r="X5" s="38"/>
      <c r="Y5" s="38"/>
      <c r="Z5" s="38"/>
      <c r="AA5" s="38"/>
    </row>
    <row r="6" ht="6.0" customHeight="1">
      <c r="A6" s="24"/>
      <c r="B6" s="25"/>
      <c r="C6" s="39"/>
      <c r="D6" s="27"/>
      <c r="E6" s="28"/>
      <c r="F6" s="27"/>
      <c r="G6" s="30"/>
      <c r="H6" s="30"/>
      <c r="I6" s="30"/>
      <c r="J6" s="30"/>
      <c r="K6" s="27"/>
      <c r="L6" s="30"/>
      <c r="M6" s="30"/>
      <c r="N6" s="30"/>
      <c r="O6" s="30"/>
      <c r="P6" s="30"/>
      <c r="Q6" s="30"/>
      <c r="R6" s="30"/>
      <c r="S6" s="30"/>
      <c r="T6" s="30"/>
      <c r="U6" s="31"/>
      <c r="V6" s="31"/>
      <c r="W6" s="30"/>
      <c r="X6" s="30"/>
      <c r="Y6" s="30"/>
      <c r="Z6" s="30"/>
      <c r="AA6" s="30"/>
    </row>
    <row r="7" ht="22.5" customHeight="1">
      <c r="A7" s="15"/>
      <c r="B7" s="16"/>
      <c r="C7" s="17" t="s">
        <v>5</v>
      </c>
      <c r="D7" s="18"/>
      <c r="E7" s="19"/>
      <c r="F7" s="18"/>
      <c r="G7" s="40" t="s">
        <v>6</v>
      </c>
      <c r="H7" s="11"/>
      <c r="I7" s="11"/>
      <c r="J7" s="9"/>
      <c r="K7" s="18"/>
      <c r="L7" s="40" t="s">
        <v>7</v>
      </c>
      <c r="M7" s="11"/>
      <c r="N7" s="11"/>
      <c r="O7" s="9"/>
      <c r="P7" s="22"/>
      <c r="Q7" s="22"/>
      <c r="R7" s="22"/>
      <c r="S7" s="22"/>
      <c r="T7" s="22"/>
      <c r="U7" s="23"/>
      <c r="V7" s="23"/>
      <c r="W7" s="22"/>
      <c r="X7" s="22"/>
      <c r="Y7" s="22"/>
      <c r="Z7" s="22"/>
      <c r="AA7" s="22"/>
    </row>
    <row r="8" ht="21.0" customHeight="1">
      <c r="A8" s="24"/>
      <c r="B8" s="25"/>
      <c r="C8" s="26">
        <f>VLOOKUP("Current Week",$B$11:$Y$982,match("AD SALES",$B$11:$Y$11,0),FALSE)</f>
        <v>14363.4</v>
      </c>
      <c r="D8" s="27"/>
      <c r="E8" s="28"/>
      <c r="F8" s="27"/>
      <c r="G8" s="41">
        <f>VLOOKUP("Current Week",$B$11:$Y$982,match("SP AD SPEND",$B$11:$Y$11,0),FALSE)</f>
        <v>5806.71</v>
      </c>
      <c r="H8" s="11"/>
      <c r="I8" s="9"/>
      <c r="J8" s="30"/>
      <c r="K8" s="27"/>
      <c r="L8" s="42">
        <f>G8/C8</f>
        <v>0.4042712728</v>
      </c>
      <c r="M8" s="11"/>
      <c r="N8" s="9"/>
      <c r="O8" s="30"/>
      <c r="P8" s="30"/>
      <c r="Q8" s="30"/>
      <c r="R8" s="30"/>
      <c r="S8" s="30"/>
      <c r="T8" s="30"/>
      <c r="U8" s="31"/>
      <c r="V8" s="31"/>
      <c r="W8" s="30"/>
      <c r="X8" s="30"/>
      <c r="Y8" s="30"/>
      <c r="Z8" s="30"/>
      <c r="AA8" s="30"/>
    </row>
    <row r="9" ht="19.5" customHeight="1">
      <c r="A9" s="43"/>
      <c r="B9" s="44"/>
      <c r="C9" s="45">
        <f>(C8-(VLOOKUP("Previous Week",$B$11:$Y$987,match("AD SALES",$B$11:$Y$11,0),FALSE)))/C8</f>
        <v>-0.08545052007</v>
      </c>
      <c r="D9" s="35"/>
      <c r="E9" s="36"/>
      <c r="F9" s="35"/>
      <c r="G9" s="46">
        <f>(G8-(VLOOKUP("Previous Week",$B$11:$Y$987,match("SP AD SPEND",$B$11:$Y$11,0),FALSE)))/G8</f>
        <v>0.1226012665</v>
      </c>
      <c r="J9" s="47"/>
      <c r="K9" s="35"/>
      <c r="L9" s="48">
        <f>(L8-(VLOOKUP("Previous Week",$B$11:$Y$987,match("ACOS",$B$11:$Y$11,0),FALSE)))/L8</f>
        <v>0.191673211</v>
      </c>
      <c r="O9" s="47"/>
      <c r="P9" s="49"/>
      <c r="Q9" s="49"/>
      <c r="R9" s="49"/>
      <c r="S9" s="49"/>
      <c r="T9" s="49"/>
      <c r="U9" s="50"/>
      <c r="V9" s="50"/>
      <c r="W9" s="49"/>
      <c r="X9" s="49"/>
      <c r="Y9" s="49"/>
      <c r="Z9" s="49"/>
      <c r="AA9" s="51"/>
    </row>
    <row r="10" ht="15.0" customHeight="1">
      <c r="A10" s="52"/>
      <c r="B10" s="53"/>
      <c r="C10" s="54"/>
      <c r="D10" s="55" t="s">
        <v>8</v>
      </c>
      <c r="E10" s="56"/>
      <c r="F10" s="56"/>
      <c r="G10" s="56"/>
      <c r="H10" s="56"/>
      <c r="I10" s="56"/>
      <c r="J10" s="57"/>
      <c r="K10" s="55"/>
      <c r="L10" s="58"/>
      <c r="M10" s="59" t="s">
        <v>9</v>
      </c>
      <c r="N10" s="56"/>
      <c r="O10" s="56"/>
      <c r="P10" s="56"/>
      <c r="Q10" s="56"/>
      <c r="R10" s="56"/>
      <c r="S10" s="56"/>
      <c r="T10" s="57"/>
      <c r="U10" s="60"/>
      <c r="V10" s="61"/>
      <c r="W10" s="62" t="s">
        <v>10</v>
      </c>
      <c r="X10" s="57"/>
      <c r="Y10" s="63" t="s">
        <v>11</v>
      </c>
      <c r="Z10" s="57"/>
      <c r="AA10" s="14"/>
    </row>
    <row r="11" ht="37.5" customHeight="1">
      <c r="A11" s="64" t="s">
        <v>12</v>
      </c>
      <c r="B11" s="65" t="s">
        <v>13</v>
      </c>
      <c r="C11" s="66" t="s">
        <v>14</v>
      </c>
      <c r="D11" s="67" t="s">
        <v>15</v>
      </c>
      <c r="E11" s="68" t="s">
        <v>16</v>
      </c>
      <c r="F11" s="69" t="s">
        <v>17</v>
      </c>
      <c r="G11" s="70" t="s">
        <v>18</v>
      </c>
      <c r="H11" s="69" t="s">
        <v>19</v>
      </c>
      <c r="I11" s="69" t="s">
        <v>20</v>
      </c>
      <c r="J11" s="71" t="s">
        <v>21</v>
      </c>
      <c r="K11" s="72" t="s">
        <v>22</v>
      </c>
      <c r="L11" s="73" t="s">
        <v>23</v>
      </c>
      <c r="M11" s="70" t="s">
        <v>24</v>
      </c>
      <c r="N11" s="69" t="s">
        <v>25</v>
      </c>
      <c r="O11" s="69" t="s">
        <v>7</v>
      </c>
      <c r="P11" s="69" t="s">
        <v>26</v>
      </c>
      <c r="Q11" s="64" t="s">
        <v>27</v>
      </c>
      <c r="R11" s="74" t="s">
        <v>28</v>
      </c>
      <c r="S11" s="75" t="s">
        <v>29</v>
      </c>
      <c r="T11" s="64" t="s">
        <v>30</v>
      </c>
      <c r="U11" s="76" t="s">
        <v>15</v>
      </c>
      <c r="V11" s="77" t="s">
        <v>31</v>
      </c>
      <c r="W11" s="76" t="s">
        <v>15</v>
      </c>
      <c r="X11" s="77" t="s">
        <v>31</v>
      </c>
      <c r="Y11" s="69"/>
      <c r="Z11" s="78"/>
      <c r="AA11" s="78"/>
    </row>
    <row r="12">
      <c r="A12" s="79"/>
      <c r="B12" s="80"/>
      <c r="C12" s="81"/>
      <c r="D12" s="82"/>
      <c r="E12" s="83"/>
      <c r="F12" s="84"/>
      <c r="G12" s="84"/>
      <c r="H12" s="85"/>
      <c r="I12" s="86"/>
      <c r="J12" s="87"/>
      <c r="K12" s="82"/>
      <c r="L12" s="88"/>
      <c r="M12" s="88"/>
      <c r="N12" s="89"/>
      <c r="O12" s="90"/>
      <c r="P12" s="91"/>
      <c r="Q12" s="90"/>
      <c r="R12" s="92"/>
      <c r="S12" s="93"/>
      <c r="T12" s="94"/>
      <c r="U12" s="95"/>
      <c r="V12" s="95"/>
      <c r="W12" s="96"/>
      <c r="X12" s="96"/>
      <c r="Y12" s="97"/>
      <c r="Z12" s="78"/>
      <c r="AA12" s="78"/>
    </row>
    <row r="13" hidden="1" outlineLevel="1">
      <c r="A13" s="205"/>
      <c r="B13" s="206">
        <v>45641.0</v>
      </c>
      <c r="C13" s="207" t="s">
        <v>32</v>
      </c>
      <c r="D13" s="208">
        <v>10331.1</v>
      </c>
      <c r="E13" s="209"/>
      <c r="F13" s="210">
        <v>29.0</v>
      </c>
      <c r="G13" s="210">
        <v>30.0</v>
      </c>
      <c r="H13" s="211">
        <f t="shared" ref="H13:H973" si="1">F13/G13</f>
        <v>0.9666666667</v>
      </c>
      <c r="I13" s="212">
        <f t="shared" ref="I13:I973" si="2">D13/F13</f>
        <v>356.2448276</v>
      </c>
      <c r="J13" s="330">
        <f t="shared" ref="J13:J973" si="3">I13/H13</f>
        <v>368.529132</v>
      </c>
      <c r="K13" s="331">
        <v>93.48</v>
      </c>
      <c r="L13" s="332">
        <v>23980.0</v>
      </c>
      <c r="M13" s="214">
        <v>12.0</v>
      </c>
      <c r="N13" s="333">
        <v>2862.3</v>
      </c>
      <c r="O13" s="216">
        <f t="shared" ref="O13:O140" si="4">K13/N13</f>
        <v>0.03265905041</v>
      </c>
      <c r="P13" s="217">
        <f t="shared" ref="P13:P973" si="5">N13/K13</f>
        <v>30.61938383</v>
      </c>
      <c r="Q13" s="216">
        <f t="shared" ref="Q13:Q973" si="6">K13/D13</f>
        <v>0.009048407236</v>
      </c>
      <c r="R13" s="315">
        <f t="shared" ref="R13:R973" si="7">N13/D13</f>
        <v>0.2770566542</v>
      </c>
      <c r="S13" s="316">
        <f t="shared" ref="S13:S29" si="8">D13-N13</f>
        <v>7468.8</v>
      </c>
      <c r="T13" s="317">
        <f t="shared" ref="T13:T973" si="9">K13/M13</f>
        <v>7.79</v>
      </c>
      <c r="U13" s="221"/>
      <c r="V13" s="221"/>
      <c r="W13" s="221"/>
      <c r="X13" s="221"/>
      <c r="Y13" s="14"/>
      <c r="Z13" s="78"/>
      <c r="AA13" s="78"/>
    </row>
    <row r="14" hidden="1" outlineLevel="1">
      <c r="A14" s="205"/>
      <c r="B14" s="206"/>
      <c r="C14" s="207" t="s">
        <v>33</v>
      </c>
      <c r="D14" s="223">
        <v>8314.03</v>
      </c>
      <c r="E14" s="209"/>
      <c r="F14" s="210">
        <v>39.0</v>
      </c>
      <c r="G14" s="210">
        <v>46.0</v>
      </c>
      <c r="H14" s="211">
        <f t="shared" si="1"/>
        <v>0.847826087</v>
      </c>
      <c r="I14" s="212">
        <f t="shared" si="2"/>
        <v>213.1802564</v>
      </c>
      <c r="J14" s="330">
        <f t="shared" si="3"/>
        <v>251.4433794</v>
      </c>
      <c r="K14" s="334">
        <v>174.95</v>
      </c>
      <c r="L14" s="332">
        <v>16451.0</v>
      </c>
      <c r="M14" s="214">
        <v>5.0</v>
      </c>
      <c r="N14" s="215">
        <v>654.9</v>
      </c>
      <c r="O14" s="216">
        <f t="shared" si="4"/>
        <v>0.2671400214</v>
      </c>
      <c r="P14" s="217">
        <f t="shared" si="5"/>
        <v>3.743355244</v>
      </c>
      <c r="Q14" s="216">
        <f t="shared" si="6"/>
        <v>0.02104274341</v>
      </c>
      <c r="R14" s="315">
        <f t="shared" si="7"/>
        <v>0.0787704639</v>
      </c>
      <c r="S14" s="318">
        <f t="shared" si="8"/>
        <v>7659.13</v>
      </c>
      <c r="T14" s="317">
        <f t="shared" si="9"/>
        <v>34.99</v>
      </c>
      <c r="U14" s="221"/>
      <c r="V14" s="221"/>
      <c r="W14" s="221"/>
      <c r="X14" s="221"/>
      <c r="Y14" s="14"/>
      <c r="Z14" s="78"/>
      <c r="AA14" s="78"/>
    </row>
    <row r="15" hidden="1" outlineLevel="1">
      <c r="A15" s="205"/>
      <c r="B15" s="206"/>
      <c r="C15" s="207" t="s">
        <v>34</v>
      </c>
      <c r="D15" s="335">
        <v>0.0</v>
      </c>
      <c r="E15" s="209"/>
      <c r="F15" s="210">
        <v>0.0</v>
      </c>
      <c r="G15" s="210">
        <v>0.0</v>
      </c>
      <c r="H15" s="211" t="str">
        <f t="shared" si="1"/>
        <v>#DIV/0!</v>
      </c>
      <c r="I15" s="212" t="str">
        <f t="shared" si="2"/>
        <v>#DIV/0!</v>
      </c>
      <c r="J15" s="330" t="str">
        <f t="shared" si="3"/>
        <v>#DIV/0!</v>
      </c>
      <c r="K15" s="336">
        <v>0.0</v>
      </c>
      <c r="L15" s="332">
        <v>0.0</v>
      </c>
      <c r="M15" s="214">
        <v>0.0</v>
      </c>
      <c r="N15" s="337">
        <v>0.0</v>
      </c>
      <c r="O15" s="216" t="str">
        <f t="shared" si="4"/>
        <v>#DIV/0!</v>
      </c>
      <c r="P15" s="217" t="str">
        <f t="shared" si="5"/>
        <v>#DIV/0!</v>
      </c>
      <c r="Q15" s="216" t="str">
        <f t="shared" si="6"/>
        <v>#DIV/0!</v>
      </c>
      <c r="R15" s="315" t="str">
        <f t="shared" si="7"/>
        <v>#DIV/0!</v>
      </c>
      <c r="S15" s="319">
        <f t="shared" si="8"/>
        <v>0</v>
      </c>
      <c r="T15" s="317" t="str">
        <f t="shared" si="9"/>
        <v>#DIV/0!</v>
      </c>
      <c r="U15" s="221"/>
      <c r="V15" s="221"/>
      <c r="W15" s="221"/>
      <c r="X15" s="221"/>
      <c r="Y15" s="14"/>
      <c r="Z15" s="78"/>
      <c r="AA15" s="78"/>
    </row>
    <row r="16" hidden="1" outlineLevel="1">
      <c r="A16" s="205"/>
      <c r="B16" s="206"/>
      <c r="C16" s="207" t="s">
        <v>35</v>
      </c>
      <c r="D16" s="335">
        <v>59.95</v>
      </c>
      <c r="E16" s="209"/>
      <c r="F16" s="210">
        <v>1.0</v>
      </c>
      <c r="G16" s="210">
        <v>1.0</v>
      </c>
      <c r="H16" s="211">
        <f t="shared" si="1"/>
        <v>1</v>
      </c>
      <c r="I16" s="212">
        <f t="shared" si="2"/>
        <v>59.95</v>
      </c>
      <c r="J16" s="330">
        <f t="shared" si="3"/>
        <v>59.95</v>
      </c>
      <c r="K16" s="336">
        <v>58.66</v>
      </c>
      <c r="L16" s="332">
        <v>3967.0</v>
      </c>
      <c r="M16" s="214">
        <v>1.0</v>
      </c>
      <c r="N16" s="337">
        <v>59.95</v>
      </c>
      <c r="O16" s="216">
        <f t="shared" si="4"/>
        <v>0.9784820684</v>
      </c>
      <c r="P16" s="217">
        <f t="shared" si="5"/>
        <v>1.021991135</v>
      </c>
      <c r="Q16" s="216">
        <f t="shared" si="6"/>
        <v>0.9784820684</v>
      </c>
      <c r="R16" s="315">
        <f t="shared" si="7"/>
        <v>1</v>
      </c>
      <c r="S16" s="319">
        <f t="shared" si="8"/>
        <v>0</v>
      </c>
      <c r="T16" s="317">
        <f t="shared" si="9"/>
        <v>58.66</v>
      </c>
      <c r="U16" s="221"/>
      <c r="V16" s="221"/>
      <c r="W16" s="221"/>
      <c r="X16" s="221"/>
      <c r="Y16" s="14"/>
      <c r="Z16" s="78"/>
      <c r="AA16" s="78"/>
    </row>
    <row r="17" hidden="1" outlineLevel="1">
      <c r="A17" s="205"/>
      <c r="B17" s="206"/>
      <c r="C17" s="207" t="s">
        <v>65</v>
      </c>
      <c r="D17" s="320">
        <v>0.0</v>
      </c>
      <c r="E17" s="209"/>
      <c r="F17" s="210">
        <v>0.0</v>
      </c>
      <c r="G17" s="210">
        <v>0.0</v>
      </c>
      <c r="H17" s="211" t="str">
        <f t="shared" si="1"/>
        <v>#DIV/0!</v>
      </c>
      <c r="I17" s="212" t="str">
        <f t="shared" si="2"/>
        <v>#DIV/0!</v>
      </c>
      <c r="J17" s="330" t="str">
        <f t="shared" si="3"/>
        <v>#DIV/0!</v>
      </c>
      <c r="K17" s="320">
        <v>0.0</v>
      </c>
      <c r="L17" s="332">
        <v>0.0</v>
      </c>
      <c r="M17" s="214">
        <v>0.0</v>
      </c>
      <c r="N17" s="320">
        <v>0.0</v>
      </c>
      <c r="O17" s="216" t="str">
        <f t="shared" si="4"/>
        <v>#DIV/0!</v>
      </c>
      <c r="P17" s="217" t="str">
        <f t="shared" si="5"/>
        <v>#DIV/0!</v>
      </c>
      <c r="Q17" s="216" t="str">
        <f t="shared" si="6"/>
        <v>#DIV/0!</v>
      </c>
      <c r="R17" s="315" t="str">
        <f t="shared" si="7"/>
        <v>#DIV/0!</v>
      </c>
      <c r="S17" s="319">
        <f t="shared" si="8"/>
        <v>0</v>
      </c>
      <c r="T17" s="317" t="str">
        <f t="shared" si="9"/>
        <v>#DIV/0!</v>
      </c>
      <c r="U17" s="221"/>
      <c r="V17" s="221"/>
      <c r="W17" s="221"/>
      <c r="X17" s="221"/>
      <c r="Y17" s="14"/>
      <c r="Z17" s="78"/>
      <c r="AA17" s="78"/>
    </row>
    <row r="18" hidden="1" outlineLevel="1">
      <c r="A18" s="205"/>
      <c r="B18" s="206"/>
      <c r="C18" s="207" t="s">
        <v>85</v>
      </c>
      <c r="D18" s="338">
        <v>239.96</v>
      </c>
      <c r="E18" s="209"/>
      <c r="F18" s="210">
        <v>4.0</v>
      </c>
      <c r="G18" s="210">
        <v>4.0</v>
      </c>
      <c r="H18" s="211">
        <f t="shared" si="1"/>
        <v>1</v>
      </c>
      <c r="I18" s="212">
        <f t="shared" si="2"/>
        <v>59.99</v>
      </c>
      <c r="J18" s="330">
        <f t="shared" si="3"/>
        <v>59.99</v>
      </c>
      <c r="K18" s="339">
        <v>41.79</v>
      </c>
      <c r="L18" s="332">
        <v>11511.0</v>
      </c>
      <c r="M18" s="214">
        <v>1.0</v>
      </c>
      <c r="N18" s="340">
        <v>59.99</v>
      </c>
      <c r="O18" s="216">
        <f t="shared" si="4"/>
        <v>0.6966161027</v>
      </c>
      <c r="P18" s="217">
        <f t="shared" si="5"/>
        <v>1.435510888</v>
      </c>
      <c r="Q18" s="216">
        <f t="shared" si="6"/>
        <v>0.1741540257</v>
      </c>
      <c r="R18" s="315">
        <f t="shared" si="7"/>
        <v>0.25</v>
      </c>
      <c r="S18" s="323">
        <f t="shared" si="8"/>
        <v>179.97</v>
      </c>
      <c r="T18" s="317">
        <f t="shared" si="9"/>
        <v>41.79</v>
      </c>
      <c r="U18" s="221"/>
      <c r="V18" s="221"/>
      <c r="W18" s="221"/>
      <c r="X18" s="221"/>
      <c r="Y18" s="14"/>
      <c r="Z18" s="78"/>
      <c r="AA18" s="78"/>
    </row>
    <row r="19" hidden="1" outlineLevel="1">
      <c r="A19" s="205"/>
      <c r="B19" s="206"/>
      <c r="C19" s="207" t="s">
        <v>36</v>
      </c>
      <c r="D19" s="335">
        <v>689.73</v>
      </c>
      <c r="E19" s="209"/>
      <c r="F19" s="210">
        <v>11.0</v>
      </c>
      <c r="G19" s="210">
        <v>10.0</v>
      </c>
      <c r="H19" s="211">
        <f t="shared" si="1"/>
        <v>1.1</v>
      </c>
      <c r="I19" s="212">
        <f t="shared" si="2"/>
        <v>62.70272727</v>
      </c>
      <c r="J19" s="330">
        <f t="shared" si="3"/>
        <v>57.00247934</v>
      </c>
      <c r="K19" s="336">
        <v>160.43</v>
      </c>
      <c r="L19" s="332">
        <v>4358.0</v>
      </c>
      <c r="M19" s="214">
        <v>4.0</v>
      </c>
      <c r="N19" s="337">
        <v>279.8</v>
      </c>
      <c r="O19" s="216">
        <f t="shared" si="4"/>
        <v>0.5733738385</v>
      </c>
      <c r="P19" s="217">
        <f t="shared" si="5"/>
        <v>1.744062831</v>
      </c>
      <c r="Q19" s="216">
        <f t="shared" si="6"/>
        <v>0.2325982631</v>
      </c>
      <c r="R19" s="315">
        <f t="shared" si="7"/>
        <v>0.4056659852</v>
      </c>
      <c r="S19" s="319">
        <f t="shared" si="8"/>
        <v>409.93</v>
      </c>
      <c r="T19" s="317">
        <f t="shared" si="9"/>
        <v>40.1075</v>
      </c>
      <c r="U19" s="221"/>
      <c r="V19" s="221"/>
      <c r="W19" s="221"/>
      <c r="X19" s="221"/>
      <c r="Y19" s="14"/>
      <c r="Z19" s="78"/>
      <c r="AA19" s="78"/>
    </row>
    <row r="20" hidden="1" outlineLevel="1">
      <c r="A20" s="205"/>
      <c r="B20" s="324" t="s">
        <v>37</v>
      </c>
      <c r="C20" s="207" t="s">
        <v>38</v>
      </c>
      <c r="D20" s="341">
        <v>162.73</v>
      </c>
      <c r="E20" s="209"/>
      <c r="F20" s="210">
        <v>4.0</v>
      </c>
      <c r="G20" s="210">
        <v>7.0</v>
      </c>
      <c r="H20" s="211">
        <f t="shared" si="1"/>
        <v>0.5714285714</v>
      </c>
      <c r="I20" s="212">
        <f t="shared" si="2"/>
        <v>40.6825</v>
      </c>
      <c r="J20" s="330">
        <f t="shared" si="3"/>
        <v>71.194375</v>
      </c>
      <c r="K20" s="342">
        <v>159.89</v>
      </c>
      <c r="L20" s="332">
        <v>17913.0</v>
      </c>
      <c r="M20" s="214">
        <v>0.0</v>
      </c>
      <c r="N20" s="343">
        <v>0.0</v>
      </c>
      <c r="O20" s="216" t="str">
        <f t="shared" si="4"/>
        <v>#DIV/0!</v>
      </c>
      <c r="P20" s="217">
        <f t="shared" si="5"/>
        <v>0</v>
      </c>
      <c r="Q20" s="216">
        <f t="shared" si="6"/>
        <v>0.9825477785</v>
      </c>
      <c r="R20" s="315">
        <f t="shared" si="7"/>
        <v>0</v>
      </c>
      <c r="S20" s="325">
        <f t="shared" si="8"/>
        <v>162.73</v>
      </c>
      <c r="T20" s="317" t="str">
        <f t="shared" si="9"/>
        <v>#DIV/0!</v>
      </c>
      <c r="U20" s="221"/>
      <c r="V20" s="221"/>
      <c r="W20" s="221"/>
      <c r="X20" s="221"/>
      <c r="Y20" s="14"/>
      <c r="Z20" s="78"/>
      <c r="AA20" s="78"/>
    </row>
    <row r="21" hidden="1" outlineLevel="1">
      <c r="A21" s="205"/>
      <c r="B21" s="206"/>
      <c r="C21" s="207" t="s">
        <v>39</v>
      </c>
      <c r="D21" s="344">
        <v>-4.96</v>
      </c>
      <c r="E21" s="209"/>
      <c r="F21" s="210">
        <v>-1.0</v>
      </c>
      <c r="G21" s="210">
        <v>1.0</v>
      </c>
      <c r="H21" s="211">
        <f t="shared" si="1"/>
        <v>-1</v>
      </c>
      <c r="I21" s="212">
        <f t="shared" si="2"/>
        <v>4.96</v>
      </c>
      <c r="J21" s="330">
        <f t="shared" si="3"/>
        <v>-4.96</v>
      </c>
      <c r="K21" s="345">
        <v>79.62</v>
      </c>
      <c r="L21" s="332">
        <v>182108.0</v>
      </c>
      <c r="M21" s="214">
        <v>1.0</v>
      </c>
      <c r="N21" s="346">
        <v>84.96</v>
      </c>
      <c r="O21" s="216">
        <f t="shared" si="4"/>
        <v>0.9371468927</v>
      </c>
      <c r="P21" s="217">
        <f t="shared" si="5"/>
        <v>1.067068576</v>
      </c>
      <c r="Q21" s="216">
        <f t="shared" si="6"/>
        <v>-16.05241935</v>
      </c>
      <c r="R21" s="315">
        <f t="shared" si="7"/>
        <v>-17.12903226</v>
      </c>
      <c r="S21" s="326">
        <f t="shared" si="8"/>
        <v>-89.92</v>
      </c>
      <c r="T21" s="317">
        <f t="shared" si="9"/>
        <v>79.62</v>
      </c>
      <c r="U21" s="221"/>
      <c r="V21" s="221"/>
      <c r="W21" s="221"/>
      <c r="X21" s="221"/>
      <c r="Y21" s="14"/>
      <c r="Z21" s="78"/>
      <c r="AA21" s="78"/>
    </row>
    <row r="22" hidden="1" outlineLevel="1">
      <c r="A22" s="205"/>
      <c r="B22" s="206"/>
      <c r="C22" s="207" t="s">
        <v>40</v>
      </c>
      <c r="D22" s="347">
        <v>274.75</v>
      </c>
      <c r="E22" s="209"/>
      <c r="F22" s="210">
        <v>5.0</v>
      </c>
      <c r="G22" s="210">
        <v>4.0</v>
      </c>
      <c r="H22" s="211">
        <f t="shared" si="1"/>
        <v>1.25</v>
      </c>
      <c r="I22" s="212">
        <f t="shared" si="2"/>
        <v>54.95</v>
      </c>
      <c r="J22" s="330">
        <f t="shared" si="3"/>
        <v>43.96</v>
      </c>
      <c r="K22" s="348">
        <v>0.0</v>
      </c>
      <c r="L22" s="332">
        <v>0.0</v>
      </c>
      <c r="M22" s="214">
        <v>0.0</v>
      </c>
      <c r="N22" s="349">
        <v>0.0</v>
      </c>
      <c r="O22" s="216" t="str">
        <f t="shared" si="4"/>
        <v>#DIV/0!</v>
      </c>
      <c r="P22" s="217" t="str">
        <f t="shared" si="5"/>
        <v>#DIV/0!</v>
      </c>
      <c r="Q22" s="216">
        <f t="shared" si="6"/>
        <v>0</v>
      </c>
      <c r="R22" s="315">
        <f t="shared" si="7"/>
        <v>0</v>
      </c>
      <c r="S22" s="327">
        <f t="shared" si="8"/>
        <v>274.75</v>
      </c>
      <c r="T22" s="317" t="str">
        <f t="shared" si="9"/>
        <v>#DIV/0!</v>
      </c>
      <c r="U22" s="221"/>
      <c r="V22" s="221"/>
      <c r="W22" s="221"/>
      <c r="X22" s="221"/>
      <c r="Y22" s="14"/>
      <c r="Z22" s="78"/>
      <c r="AA22" s="78"/>
    </row>
    <row r="23" hidden="1" outlineLevel="1">
      <c r="A23" s="205"/>
      <c r="B23" s="206"/>
      <c r="C23" s="207" t="s">
        <v>41</v>
      </c>
      <c r="D23" s="224">
        <v>2437.8</v>
      </c>
      <c r="E23" s="209"/>
      <c r="F23" s="210">
        <v>29.0</v>
      </c>
      <c r="G23" s="210">
        <v>24.0</v>
      </c>
      <c r="H23" s="211">
        <f t="shared" si="1"/>
        <v>1.208333333</v>
      </c>
      <c r="I23" s="212">
        <f t="shared" si="2"/>
        <v>84.06206897</v>
      </c>
      <c r="J23" s="330">
        <f t="shared" si="3"/>
        <v>69.5686088</v>
      </c>
      <c r="K23" s="350">
        <v>63.47</v>
      </c>
      <c r="L23" s="332">
        <v>12313.0</v>
      </c>
      <c r="M23" s="214">
        <v>6.0</v>
      </c>
      <c r="N23" s="225">
        <v>579.7</v>
      </c>
      <c r="O23" s="216">
        <f t="shared" si="4"/>
        <v>0.109487666</v>
      </c>
      <c r="P23" s="217">
        <f t="shared" si="5"/>
        <v>9.133448873</v>
      </c>
      <c r="Q23" s="216">
        <f t="shared" si="6"/>
        <v>0.02603576996</v>
      </c>
      <c r="R23" s="315">
        <f t="shared" si="7"/>
        <v>0.2377963738</v>
      </c>
      <c r="S23" s="351">
        <f t="shared" si="8"/>
        <v>1858.1</v>
      </c>
      <c r="T23" s="317">
        <f t="shared" si="9"/>
        <v>10.57833333</v>
      </c>
      <c r="U23" s="221"/>
      <c r="V23" s="221"/>
      <c r="W23" s="221"/>
      <c r="X23" s="221"/>
      <c r="Y23" s="14"/>
      <c r="Z23" s="78"/>
      <c r="AA23" s="78"/>
    </row>
    <row r="24" hidden="1" outlineLevel="1">
      <c r="A24" s="205"/>
      <c r="B24" s="206"/>
      <c r="C24" s="207" t="s">
        <v>42</v>
      </c>
      <c r="D24" s="335">
        <v>67.96</v>
      </c>
      <c r="E24" s="209"/>
      <c r="F24" s="210">
        <v>1.0</v>
      </c>
      <c r="G24" s="210">
        <v>1.0</v>
      </c>
      <c r="H24" s="211">
        <f t="shared" si="1"/>
        <v>1</v>
      </c>
      <c r="I24" s="212">
        <f t="shared" si="2"/>
        <v>67.96</v>
      </c>
      <c r="J24" s="330">
        <f t="shared" si="3"/>
        <v>67.96</v>
      </c>
      <c r="K24" s="336">
        <v>2.14</v>
      </c>
      <c r="L24" s="332">
        <v>10943.0</v>
      </c>
      <c r="M24" s="214">
        <v>0.0</v>
      </c>
      <c r="N24" s="337">
        <v>0.0</v>
      </c>
      <c r="O24" s="216" t="str">
        <f t="shared" si="4"/>
        <v>#DIV/0!</v>
      </c>
      <c r="P24" s="217">
        <f t="shared" si="5"/>
        <v>0</v>
      </c>
      <c r="Q24" s="216">
        <f t="shared" si="6"/>
        <v>0.03148911124</v>
      </c>
      <c r="R24" s="315">
        <f t="shared" si="7"/>
        <v>0</v>
      </c>
      <c r="S24" s="319">
        <f t="shared" si="8"/>
        <v>67.96</v>
      </c>
      <c r="T24" s="317" t="str">
        <f t="shared" si="9"/>
        <v>#DIV/0!</v>
      </c>
      <c r="U24" s="221"/>
      <c r="V24" s="221"/>
      <c r="W24" s="221"/>
      <c r="X24" s="221"/>
      <c r="Y24" s="14"/>
      <c r="Z24" s="78"/>
      <c r="AA24" s="78"/>
    </row>
    <row r="25" hidden="1" outlineLevel="1">
      <c r="A25" s="205"/>
      <c r="B25" s="206"/>
      <c r="C25" s="207" t="s">
        <v>43</v>
      </c>
      <c r="D25" s="226">
        <v>-139.37</v>
      </c>
      <c r="E25" s="209"/>
      <c r="F25" s="210">
        <v>0.0</v>
      </c>
      <c r="G25" s="210">
        <v>3.0</v>
      </c>
      <c r="H25" s="211">
        <f t="shared" si="1"/>
        <v>0</v>
      </c>
      <c r="I25" s="212" t="str">
        <f t="shared" si="2"/>
        <v>#DIV/0!</v>
      </c>
      <c r="J25" s="330" t="str">
        <f t="shared" si="3"/>
        <v>#DIV/0!</v>
      </c>
      <c r="K25" s="352">
        <v>21.79</v>
      </c>
      <c r="L25" s="332">
        <v>21569.0</v>
      </c>
      <c r="M25" s="214">
        <v>0.0</v>
      </c>
      <c r="N25" s="227">
        <v>0.0</v>
      </c>
      <c r="O25" s="216" t="str">
        <f t="shared" si="4"/>
        <v>#DIV/0!</v>
      </c>
      <c r="P25" s="217">
        <f t="shared" si="5"/>
        <v>0</v>
      </c>
      <c r="Q25" s="216">
        <f t="shared" si="6"/>
        <v>-0.156346416</v>
      </c>
      <c r="R25" s="315">
        <f t="shared" si="7"/>
        <v>0</v>
      </c>
      <c r="S25" s="328">
        <f t="shared" si="8"/>
        <v>-139.37</v>
      </c>
      <c r="T25" s="317" t="str">
        <f t="shared" si="9"/>
        <v>#DIV/0!</v>
      </c>
      <c r="U25" s="221"/>
      <c r="V25" s="221"/>
      <c r="W25" s="221"/>
      <c r="X25" s="221"/>
      <c r="Y25" s="14"/>
      <c r="Z25" s="78"/>
      <c r="AA25" s="78"/>
    </row>
    <row r="26" hidden="1" outlineLevel="1">
      <c r="A26" s="205"/>
      <c r="B26" s="206"/>
      <c r="C26" s="207" t="s">
        <v>44</v>
      </c>
      <c r="D26" s="353">
        <v>0.0</v>
      </c>
      <c r="E26" s="209"/>
      <c r="F26" s="210">
        <v>0.0</v>
      </c>
      <c r="G26" s="210">
        <v>0.0</v>
      </c>
      <c r="H26" s="211" t="str">
        <f t="shared" si="1"/>
        <v>#DIV/0!</v>
      </c>
      <c r="I26" s="212" t="str">
        <f t="shared" si="2"/>
        <v>#DIV/0!</v>
      </c>
      <c r="J26" s="330" t="str">
        <f t="shared" si="3"/>
        <v>#DIV/0!</v>
      </c>
      <c r="K26" s="354">
        <v>3.1</v>
      </c>
      <c r="L26" s="332">
        <v>1684.0</v>
      </c>
      <c r="M26" s="214">
        <v>0.0</v>
      </c>
      <c r="N26" s="355">
        <v>0.0</v>
      </c>
      <c r="O26" s="216" t="str">
        <f t="shared" si="4"/>
        <v>#DIV/0!</v>
      </c>
      <c r="P26" s="217">
        <f t="shared" si="5"/>
        <v>0</v>
      </c>
      <c r="Q26" s="216" t="str">
        <f t="shared" si="6"/>
        <v>#DIV/0!</v>
      </c>
      <c r="R26" s="315" t="str">
        <f t="shared" si="7"/>
        <v>#DIV/0!</v>
      </c>
      <c r="S26" s="356">
        <f t="shared" si="8"/>
        <v>0</v>
      </c>
      <c r="T26" s="317" t="str">
        <f t="shared" si="9"/>
        <v>#DIV/0!</v>
      </c>
      <c r="U26" s="221"/>
      <c r="V26" s="221"/>
      <c r="W26" s="221"/>
      <c r="X26" s="221"/>
      <c r="Y26" s="14"/>
      <c r="Z26" s="78"/>
      <c r="AA26" s="78"/>
    </row>
    <row r="27" hidden="1" outlineLevel="1">
      <c r="A27" s="357"/>
      <c r="B27" s="206"/>
      <c r="C27" s="358" t="s">
        <v>45</v>
      </c>
      <c r="D27" s="208">
        <v>0.0</v>
      </c>
      <c r="E27" s="209"/>
      <c r="F27" s="210">
        <v>0.0</v>
      </c>
      <c r="G27" s="210">
        <v>0.0</v>
      </c>
      <c r="H27" s="104" t="str">
        <f t="shared" si="1"/>
        <v>#DIV/0!</v>
      </c>
      <c r="I27" s="105" t="str">
        <f t="shared" si="2"/>
        <v>#DIV/0!</v>
      </c>
      <c r="J27" s="106" t="str">
        <f t="shared" si="3"/>
        <v>#DIV/0!</v>
      </c>
      <c r="K27" s="331">
        <v>0.0</v>
      </c>
      <c r="L27" s="332">
        <v>0.0</v>
      </c>
      <c r="M27" s="214">
        <v>0.0</v>
      </c>
      <c r="N27" s="333">
        <v>0.0</v>
      </c>
      <c r="O27" s="109" t="str">
        <f t="shared" si="4"/>
        <v>#DIV/0!</v>
      </c>
      <c r="P27" s="110" t="str">
        <f t="shared" si="5"/>
        <v>#DIV/0!</v>
      </c>
      <c r="Q27" s="109" t="str">
        <f t="shared" si="6"/>
        <v>#DIV/0!</v>
      </c>
      <c r="R27" s="111" t="str">
        <f t="shared" si="7"/>
        <v>#DIV/0!</v>
      </c>
      <c r="S27" s="112">
        <f t="shared" si="8"/>
        <v>0</v>
      </c>
      <c r="T27" s="113" t="str">
        <f t="shared" si="9"/>
        <v>#DIV/0!</v>
      </c>
      <c r="U27" s="193"/>
      <c r="V27" s="193"/>
      <c r="W27" s="193"/>
      <c r="X27" s="194"/>
      <c r="Y27" s="195"/>
      <c r="Z27" s="78"/>
      <c r="AA27" s="78"/>
    </row>
    <row r="28" hidden="1" outlineLevel="1">
      <c r="A28" s="310"/>
      <c r="B28" s="99"/>
      <c r="C28" s="294" t="s">
        <v>46</v>
      </c>
      <c r="D28" s="196">
        <v>900.09</v>
      </c>
      <c r="E28" s="168"/>
      <c r="F28" s="169">
        <v>28.0</v>
      </c>
      <c r="G28" s="169">
        <v>26.0</v>
      </c>
      <c r="H28" s="104">
        <f t="shared" si="1"/>
        <v>1.076923077</v>
      </c>
      <c r="I28" s="105">
        <f t="shared" si="2"/>
        <v>32.14607143</v>
      </c>
      <c r="J28" s="106">
        <f t="shared" si="3"/>
        <v>29.84992347</v>
      </c>
      <c r="K28" s="146">
        <v>164.56</v>
      </c>
      <c r="L28" s="314">
        <v>45377.0</v>
      </c>
      <c r="M28" s="103">
        <v>18.0</v>
      </c>
      <c r="N28" s="197">
        <v>474.72</v>
      </c>
      <c r="O28" s="109">
        <f t="shared" si="4"/>
        <v>0.3466464442</v>
      </c>
      <c r="P28" s="110">
        <f t="shared" si="5"/>
        <v>2.884783666</v>
      </c>
      <c r="Q28" s="109">
        <f t="shared" si="6"/>
        <v>0.1828261618</v>
      </c>
      <c r="R28" s="111">
        <f t="shared" si="7"/>
        <v>0.5274139253</v>
      </c>
      <c r="S28" s="112">
        <f t="shared" si="8"/>
        <v>425.37</v>
      </c>
      <c r="T28" s="113">
        <f t="shared" si="9"/>
        <v>9.142222222</v>
      </c>
      <c r="U28" s="172"/>
      <c r="V28" s="172"/>
      <c r="W28" s="172"/>
      <c r="X28" s="172"/>
      <c r="Y28" s="173"/>
      <c r="Z28" s="165"/>
      <c r="AA28" s="165"/>
    </row>
    <row r="29" hidden="1" outlineLevel="1">
      <c r="A29" s="205" t="str">
        <f t="shared" ref="A29:A30" si="10">iferror(if(B29&gt;0,month(B29)&amp;"-"&amp;year(B29),B29),)</f>
        <v>12-2024</v>
      </c>
      <c r="B29" s="206">
        <v>45647.0</v>
      </c>
      <c r="C29" s="207" t="s">
        <v>49</v>
      </c>
      <c r="D29" s="329">
        <v>9.8</v>
      </c>
      <c r="E29" s="209"/>
      <c r="F29" s="210">
        <v>0.0</v>
      </c>
      <c r="G29" s="210">
        <v>1.0</v>
      </c>
      <c r="H29" s="211">
        <f t="shared" si="1"/>
        <v>0</v>
      </c>
      <c r="I29" s="212" t="str">
        <f t="shared" si="2"/>
        <v>#DIV/0!</v>
      </c>
      <c r="J29" s="330" t="str">
        <f t="shared" si="3"/>
        <v>#DIV/0!</v>
      </c>
      <c r="K29" s="359">
        <v>0.0</v>
      </c>
      <c r="L29" s="332">
        <v>12458.0</v>
      </c>
      <c r="M29" s="214">
        <v>0.0</v>
      </c>
      <c r="N29" s="360">
        <v>0.0</v>
      </c>
      <c r="O29" s="216" t="str">
        <f t="shared" si="4"/>
        <v>#DIV/0!</v>
      </c>
      <c r="P29" s="217" t="str">
        <f t="shared" si="5"/>
        <v>#DIV/0!</v>
      </c>
      <c r="Q29" s="216">
        <f t="shared" si="6"/>
        <v>0</v>
      </c>
      <c r="R29" s="315">
        <f t="shared" si="7"/>
        <v>0</v>
      </c>
      <c r="S29" s="316">
        <f t="shared" si="8"/>
        <v>9.8</v>
      </c>
      <c r="T29" s="317" t="str">
        <f t="shared" si="9"/>
        <v>#DIV/0!</v>
      </c>
      <c r="U29" s="221"/>
      <c r="V29" s="221"/>
      <c r="W29" s="221"/>
      <c r="X29" s="221"/>
      <c r="Y29" s="14"/>
      <c r="Z29" s="78"/>
      <c r="AA29" s="78"/>
    </row>
    <row r="30" collapsed="1">
      <c r="A30" s="361" t="str">
        <f t="shared" si="10"/>
        <v/>
      </c>
      <c r="B30" s="362" t="s">
        <v>86</v>
      </c>
      <c r="C30" s="363"/>
      <c r="D30" s="364">
        <f>SUM(D13:D29)</f>
        <v>23343.57</v>
      </c>
      <c r="E30" s="365"/>
      <c r="F30" s="366">
        <f t="shared" ref="F30:G30" si="11">SUM(F13:F29)</f>
        <v>150</v>
      </c>
      <c r="G30" s="366">
        <f t="shared" si="11"/>
        <v>158</v>
      </c>
      <c r="H30" s="367">
        <f t="shared" si="1"/>
        <v>0.9493670886</v>
      </c>
      <c r="I30" s="365">
        <f t="shared" si="2"/>
        <v>155.6238</v>
      </c>
      <c r="J30" s="368">
        <f t="shared" si="3"/>
        <v>163.923736</v>
      </c>
      <c r="K30" s="369">
        <f t="shared" ref="K30:N30" si="12">SUM(K13:K29)</f>
        <v>1023.88</v>
      </c>
      <c r="L30" s="370">
        <f t="shared" si="12"/>
        <v>364632</v>
      </c>
      <c r="M30" s="366">
        <f t="shared" si="12"/>
        <v>48</v>
      </c>
      <c r="N30" s="364">
        <f t="shared" si="12"/>
        <v>5056.32</v>
      </c>
      <c r="O30" s="371">
        <f t="shared" si="4"/>
        <v>0.2024950952</v>
      </c>
      <c r="P30" s="372">
        <f t="shared" si="5"/>
        <v>4.938391218</v>
      </c>
      <c r="Q30" s="371">
        <f t="shared" si="6"/>
        <v>0.04386132884</v>
      </c>
      <c r="R30" s="373">
        <f t="shared" si="7"/>
        <v>0.2166044011</v>
      </c>
      <c r="S30" s="374">
        <f>SUM(S13:S29)</f>
        <v>18287.25</v>
      </c>
      <c r="T30" s="375">
        <f t="shared" si="9"/>
        <v>21.33083333</v>
      </c>
      <c r="U30" s="376" t="str">
        <f>IFERROR((D30-#REF!)/D30,)</f>
        <v/>
      </c>
      <c r="V30" s="376" t="str">
        <f>IFERROR((F30-#REF!)/F30,)</f>
        <v/>
      </c>
      <c r="W30" s="377" t="str">
        <f>IFERROR((D30-monthly_reporting_2021!E49)/D30, )</f>
        <v/>
      </c>
      <c r="X30" s="378" t="str">
        <f>IFERROR((F30-monthly_reporting_2021!F49)/F30, )</f>
        <v/>
      </c>
      <c r="Y30" s="165"/>
      <c r="Z30" s="165"/>
      <c r="AA30" s="165"/>
    </row>
    <row r="31" hidden="1" outlineLevel="1">
      <c r="A31" s="379"/>
      <c r="B31" s="99">
        <v>45648.0</v>
      </c>
      <c r="C31" s="294" t="s">
        <v>32</v>
      </c>
      <c r="D31" s="167">
        <v>12504.3</v>
      </c>
      <c r="E31" s="168"/>
      <c r="F31" s="169">
        <v>32.0</v>
      </c>
      <c r="G31" s="169">
        <v>32.0</v>
      </c>
      <c r="H31" s="104">
        <f t="shared" si="1"/>
        <v>1</v>
      </c>
      <c r="I31" s="105">
        <f t="shared" si="2"/>
        <v>390.759375</v>
      </c>
      <c r="J31" s="106">
        <f t="shared" si="3"/>
        <v>390.759375</v>
      </c>
      <c r="K31" s="101">
        <v>106.38</v>
      </c>
      <c r="L31" s="169">
        <v>23406.0</v>
      </c>
      <c r="M31" s="103">
        <v>10.0</v>
      </c>
      <c r="N31" s="171">
        <v>4010.3</v>
      </c>
      <c r="O31" s="109">
        <f t="shared" si="4"/>
        <v>0.02652669376</v>
      </c>
      <c r="P31" s="110">
        <f t="shared" si="5"/>
        <v>37.69787554</v>
      </c>
      <c r="Q31" s="109">
        <f t="shared" si="6"/>
        <v>0.008507473429</v>
      </c>
      <c r="R31" s="111">
        <f t="shared" si="7"/>
        <v>0.3207136745</v>
      </c>
      <c r="S31" s="112">
        <f t="shared" ref="S31:S47" si="13">D31-N31</f>
        <v>8494</v>
      </c>
      <c r="T31" s="113">
        <f t="shared" si="9"/>
        <v>10.638</v>
      </c>
      <c r="U31" s="172"/>
      <c r="V31" s="172"/>
      <c r="W31" s="172"/>
      <c r="X31" s="172"/>
      <c r="Y31" s="173"/>
      <c r="Z31" s="165"/>
      <c r="AA31" s="165"/>
    </row>
    <row r="32" hidden="1" outlineLevel="1">
      <c r="A32" s="379"/>
      <c r="B32" s="174"/>
      <c r="C32" s="294" t="s">
        <v>33</v>
      </c>
      <c r="D32" s="175">
        <v>5241.86</v>
      </c>
      <c r="E32" s="168"/>
      <c r="F32" s="169">
        <v>31.0</v>
      </c>
      <c r="G32" s="169">
        <v>37.0</v>
      </c>
      <c r="H32" s="104">
        <f t="shared" si="1"/>
        <v>0.8378378378</v>
      </c>
      <c r="I32" s="105">
        <f t="shared" si="2"/>
        <v>169.0922581</v>
      </c>
      <c r="J32" s="106">
        <f t="shared" si="3"/>
        <v>201.8197919</v>
      </c>
      <c r="K32" s="117">
        <v>104.84</v>
      </c>
      <c r="L32" s="169">
        <v>18706.0</v>
      </c>
      <c r="M32" s="103">
        <v>1.0</v>
      </c>
      <c r="N32" s="176">
        <v>79.95</v>
      </c>
      <c r="O32" s="109">
        <f t="shared" si="4"/>
        <v>1.311319575</v>
      </c>
      <c r="P32" s="110">
        <f t="shared" si="5"/>
        <v>0.7625906143</v>
      </c>
      <c r="Q32" s="109">
        <f t="shared" si="6"/>
        <v>0.02000053416</v>
      </c>
      <c r="R32" s="111">
        <f t="shared" si="7"/>
        <v>0.01525221963</v>
      </c>
      <c r="S32" s="119">
        <f t="shared" si="13"/>
        <v>5161.91</v>
      </c>
      <c r="T32" s="113">
        <f t="shared" si="9"/>
        <v>104.84</v>
      </c>
      <c r="U32" s="172"/>
      <c r="V32" s="172"/>
      <c r="W32" s="172"/>
      <c r="X32" s="172"/>
      <c r="Y32" s="173"/>
      <c r="Z32" s="165"/>
      <c r="AA32" s="165"/>
    </row>
    <row r="33" hidden="1" outlineLevel="1">
      <c r="A33" s="379"/>
      <c r="B33" s="174"/>
      <c r="C33" s="294" t="s">
        <v>34</v>
      </c>
      <c r="D33" s="177">
        <v>139.9</v>
      </c>
      <c r="E33" s="168"/>
      <c r="F33" s="169">
        <v>2.0</v>
      </c>
      <c r="G33" s="169">
        <v>1.0</v>
      </c>
      <c r="H33" s="104">
        <f t="shared" si="1"/>
        <v>2</v>
      </c>
      <c r="I33" s="105">
        <f t="shared" si="2"/>
        <v>69.95</v>
      </c>
      <c r="J33" s="106">
        <f t="shared" si="3"/>
        <v>34.975</v>
      </c>
      <c r="K33" s="120">
        <v>0.0</v>
      </c>
      <c r="L33" s="169">
        <v>0.0</v>
      </c>
      <c r="M33" s="103">
        <v>0.0</v>
      </c>
      <c r="N33" s="178">
        <v>0.0</v>
      </c>
      <c r="O33" s="109" t="str">
        <f t="shared" si="4"/>
        <v>#DIV/0!</v>
      </c>
      <c r="P33" s="110" t="str">
        <f t="shared" si="5"/>
        <v>#DIV/0!</v>
      </c>
      <c r="Q33" s="109">
        <f t="shared" si="6"/>
        <v>0</v>
      </c>
      <c r="R33" s="111">
        <f t="shared" si="7"/>
        <v>0</v>
      </c>
      <c r="S33" s="122">
        <f t="shared" si="13"/>
        <v>139.9</v>
      </c>
      <c r="T33" s="113" t="str">
        <f t="shared" si="9"/>
        <v>#DIV/0!</v>
      </c>
      <c r="U33" s="172"/>
      <c r="V33" s="172"/>
      <c r="W33" s="172"/>
      <c r="X33" s="172"/>
      <c r="Y33" s="173"/>
      <c r="Z33" s="165"/>
      <c r="AA33" s="165"/>
    </row>
    <row r="34" hidden="1" outlineLevel="1">
      <c r="A34" s="379"/>
      <c r="B34" s="174"/>
      <c r="C34" s="294" t="s">
        <v>35</v>
      </c>
      <c r="D34" s="177">
        <v>359.7</v>
      </c>
      <c r="E34" s="168"/>
      <c r="F34" s="169">
        <v>6.0</v>
      </c>
      <c r="G34" s="169">
        <v>5.0</v>
      </c>
      <c r="H34" s="104">
        <f t="shared" si="1"/>
        <v>1.2</v>
      </c>
      <c r="I34" s="105">
        <f t="shared" si="2"/>
        <v>59.95</v>
      </c>
      <c r="J34" s="106">
        <f t="shared" si="3"/>
        <v>49.95833333</v>
      </c>
      <c r="K34" s="120">
        <v>15.23</v>
      </c>
      <c r="L34" s="169">
        <v>1618.0</v>
      </c>
      <c r="M34" s="103">
        <v>0.0</v>
      </c>
      <c r="N34" s="178">
        <v>0.0</v>
      </c>
      <c r="O34" s="109" t="str">
        <f t="shared" si="4"/>
        <v>#DIV/0!</v>
      </c>
      <c r="P34" s="110">
        <f t="shared" si="5"/>
        <v>0</v>
      </c>
      <c r="Q34" s="109">
        <f t="shared" si="6"/>
        <v>0.04234083959</v>
      </c>
      <c r="R34" s="111">
        <f t="shared" si="7"/>
        <v>0</v>
      </c>
      <c r="S34" s="122">
        <f t="shared" si="13"/>
        <v>359.7</v>
      </c>
      <c r="T34" s="113" t="str">
        <f t="shared" si="9"/>
        <v>#DIV/0!</v>
      </c>
      <c r="U34" s="172"/>
      <c r="V34" s="172"/>
      <c r="W34" s="172"/>
      <c r="X34" s="172"/>
      <c r="Y34" s="173"/>
      <c r="Z34" s="165"/>
      <c r="AA34" s="165"/>
    </row>
    <row r="35" hidden="1" outlineLevel="1">
      <c r="A35" s="379"/>
      <c r="B35" s="174"/>
      <c r="C35" s="294" t="s">
        <v>65</v>
      </c>
      <c r="D35" s="320">
        <v>0.0</v>
      </c>
      <c r="E35" s="168"/>
      <c r="F35" s="169">
        <v>0.0</v>
      </c>
      <c r="G35" s="169">
        <v>0.0</v>
      </c>
      <c r="H35" s="104" t="str">
        <f t="shared" si="1"/>
        <v>#DIV/0!</v>
      </c>
      <c r="I35" s="105" t="str">
        <f t="shared" si="2"/>
        <v>#DIV/0!</v>
      </c>
      <c r="J35" s="106" t="str">
        <f t="shared" si="3"/>
        <v>#DIV/0!</v>
      </c>
      <c r="K35" s="300">
        <v>0.0</v>
      </c>
      <c r="L35" s="169">
        <v>0.0</v>
      </c>
      <c r="M35" s="103">
        <v>0.0</v>
      </c>
      <c r="N35" s="320">
        <v>0.0</v>
      </c>
      <c r="O35" s="109" t="str">
        <f t="shared" si="4"/>
        <v>#DIV/0!</v>
      </c>
      <c r="P35" s="110" t="str">
        <f t="shared" si="5"/>
        <v>#DIV/0!</v>
      </c>
      <c r="Q35" s="109" t="str">
        <f t="shared" si="6"/>
        <v>#DIV/0!</v>
      </c>
      <c r="R35" s="111" t="str">
        <f t="shared" si="7"/>
        <v>#DIV/0!</v>
      </c>
      <c r="S35" s="122">
        <f t="shared" si="13"/>
        <v>0</v>
      </c>
      <c r="T35" s="113" t="str">
        <f t="shared" si="9"/>
        <v>#DIV/0!</v>
      </c>
      <c r="U35" s="172"/>
      <c r="V35" s="172"/>
      <c r="W35" s="172"/>
      <c r="X35" s="172"/>
      <c r="Y35" s="173"/>
      <c r="Z35" s="165"/>
      <c r="AA35" s="165"/>
    </row>
    <row r="36" hidden="1" outlineLevel="1">
      <c r="A36" s="379"/>
      <c r="B36" s="174"/>
      <c r="C36" s="294" t="s">
        <v>85</v>
      </c>
      <c r="D36" s="321">
        <v>119.98</v>
      </c>
      <c r="E36" s="168"/>
      <c r="F36" s="169">
        <v>2.0</v>
      </c>
      <c r="G36" s="169">
        <v>1.0</v>
      </c>
      <c r="H36" s="104">
        <f t="shared" si="1"/>
        <v>2</v>
      </c>
      <c r="I36" s="105">
        <f t="shared" si="2"/>
        <v>59.99</v>
      </c>
      <c r="J36" s="106">
        <f t="shared" si="3"/>
        <v>29.995</v>
      </c>
      <c r="K36" s="302">
        <v>41.55</v>
      </c>
      <c r="L36" s="169">
        <v>9951.0</v>
      </c>
      <c r="M36" s="103">
        <v>0.0</v>
      </c>
      <c r="N36" s="322">
        <v>0.0</v>
      </c>
      <c r="O36" s="109" t="str">
        <f t="shared" si="4"/>
        <v>#DIV/0!</v>
      </c>
      <c r="P36" s="110">
        <f t="shared" si="5"/>
        <v>0</v>
      </c>
      <c r="Q36" s="109">
        <f t="shared" si="6"/>
        <v>0.346307718</v>
      </c>
      <c r="R36" s="111">
        <f t="shared" si="7"/>
        <v>0</v>
      </c>
      <c r="S36" s="304">
        <f t="shared" si="13"/>
        <v>119.98</v>
      </c>
      <c r="T36" s="113" t="str">
        <f t="shared" si="9"/>
        <v>#DIV/0!</v>
      </c>
      <c r="U36" s="172"/>
      <c r="V36" s="172"/>
      <c r="W36" s="172"/>
      <c r="X36" s="172"/>
      <c r="Y36" s="173"/>
      <c r="Z36" s="165"/>
      <c r="AA36" s="165"/>
    </row>
    <row r="37" hidden="1" outlineLevel="1">
      <c r="A37" s="379"/>
      <c r="B37" s="174"/>
      <c r="C37" s="294" t="s">
        <v>36</v>
      </c>
      <c r="D37" s="177">
        <v>849.35</v>
      </c>
      <c r="E37" s="168"/>
      <c r="F37" s="169">
        <v>13.0</v>
      </c>
      <c r="G37" s="169">
        <v>8.0</v>
      </c>
      <c r="H37" s="104">
        <f t="shared" si="1"/>
        <v>1.625</v>
      </c>
      <c r="I37" s="105">
        <f t="shared" si="2"/>
        <v>65.33461538</v>
      </c>
      <c r="J37" s="106">
        <f t="shared" si="3"/>
        <v>40.20591716</v>
      </c>
      <c r="K37" s="120">
        <v>151.87</v>
      </c>
      <c r="L37" s="169">
        <v>3720.0</v>
      </c>
      <c r="M37" s="103">
        <v>1.0</v>
      </c>
      <c r="N37" s="178">
        <v>69.95</v>
      </c>
      <c r="O37" s="109">
        <f t="shared" si="4"/>
        <v>2.17112223</v>
      </c>
      <c r="P37" s="110">
        <f t="shared" si="5"/>
        <v>0.4605912952</v>
      </c>
      <c r="Q37" s="109">
        <f t="shared" si="6"/>
        <v>0.1788073232</v>
      </c>
      <c r="R37" s="111">
        <f t="shared" si="7"/>
        <v>0.0823570966</v>
      </c>
      <c r="S37" s="122">
        <f t="shared" si="13"/>
        <v>779.4</v>
      </c>
      <c r="T37" s="113">
        <f t="shared" si="9"/>
        <v>151.87</v>
      </c>
      <c r="U37" s="172"/>
      <c r="V37" s="172"/>
      <c r="W37" s="172"/>
      <c r="X37" s="172"/>
      <c r="Y37" s="173"/>
      <c r="Z37" s="165"/>
      <c r="AA37" s="165"/>
    </row>
    <row r="38" hidden="1" outlineLevel="1">
      <c r="A38" s="379"/>
      <c r="B38" s="99" t="s">
        <v>37</v>
      </c>
      <c r="C38" s="294" t="s">
        <v>38</v>
      </c>
      <c r="D38" s="180">
        <v>765.75</v>
      </c>
      <c r="E38" s="168"/>
      <c r="F38" s="169">
        <v>11.0</v>
      </c>
      <c r="G38" s="169">
        <v>14.0</v>
      </c>
      <c r="H38" s="104">
        <f t="shared" si="1"/>
        <v>0.7857142857</v>
      </c>
      <c r="I38" s="105">
        <f t="shared" si="2"/>
        <v>69.61363636</v>
      </c>
      <c r="J38" s="106">
        <f t="shared" si="3"/>
        <v>88.59917355</v>
      </c>
      <c r="K38" s="123">
        <v>243.42</v>
      </c>
      <c r="L38" s="169">
        <v>28115.0</v>
      </c>
      <c r="M38" s="103">
        <v>4.0</v>
      </c>
      <c r="N38" s="181">
        <v>150.89</v>
      </c>
      <c r="O38" s="109">
        <f t="shared" si="4"/>
        <v>1.613228179</v>
      </c>
      <c r="P38" s="110">
        <f t="shared" si="5"/>
        <v>0.619875113</v>
      </c>
      <c r="Q38" s="109">
        <f t="shared" si="6"/>
        <v>0.317884427</v>
      </c>
      <c r="R38" s="111">
        <f t="shared" si="7"/>
        <v>0.1970486451</v>
      </c>
      <c r="S38" s="125">
        <f t="shared" si="13"/>
        <v>614.86</v>
      </c>
      <c r="T38" s="113">
        <f t="shared" si="9"/>
        <v>60.855</v>
      </c>
      <c r="U38" s="172"/>
      <c r="V38" s="172"/>
      <c r="W38" s="172"/>
      <c r="X38" s="172"/>
      <c r="Y38" s="173"/>
      <c r="Z38" s="165"/>
      <c r="AA38" s="165"/>
    </row>
    <row r="39" hidden="1" outlineLevel="1">
      <c r="A39" s="379"/>
      <c r="B39" s="174"/>
      <c r="C39" s="294" t="s">
        <v>39</v>
      </c>
      <c r="D39" s="182">
        <v>0.0</v>
      </c>
      <c r="E39" s="168"/>
      <c r="F39" s="169">
        <v>0.0</v>
      </c>
      <c r="G39" s="169">
        <v>0.0</v>
      </c>
      <c r="H39" s="104" t="str">
        <f t="shared" si="1"/>
        <v>#DIV/0!</v>
      </c>
      <c r="I39" s="105" t="str">
        <f t="shared" si="2"/>
        <v>#DIV/0!</v>
      </c>
      <c r="J39" s="106" t="str">
        <f t="shared" si="3"/>
        <v>#DIV/0!</v>
      </c>
      <c r="K39" s="126">
        <v>53.92</v>
      </c>
      <c r="L39" s="169">
        <v>167085.0</v>
      </c>
      <c r="M39" s="103">
        <v>0.0</v>
      </c>
      <c r="N39" s="183">
        <v>0.0</v>
      </c>
      <c r="O39" s="109" t="str">
        <f t="shared" si="4"/>
        <v>#DIV/0!</v>
      </c>
      <c r="P39" s="110">
        <f t="shared" si="5"/>
        <v>0</v>
      </c>
      <c r="Q39" s="109" t="str">
        <f t="shared" si="6"/>
        <v>#DIV/0!</v>
      </c>
      <c r="R39" s="111" t="str">
        <f t="shared" si="7"/>
        <v>#DIV/0!</v>
      </c>
      <c r="S39" s="128">
        <f t="shared" si="13"/>
        <v>0</v>
      </c>
      <c r="T39" s="113" t="str">
        <f t="shared" si="9"/>
        <v>#DIV/0!</v>
      </c>
      <c r="U39" s="172"/>
      <c r="V39" s="172"/>
      <c r="W39" s="172"/>
      <c r="X39" s="172"/>
      <c r="Y39" s="173"/>
      <c r="Z39" s="165"/>
      <c r="AA39" s="165"/>
    </row>
    <row r="40" hidden="1" outlineLevel="1">
      <c r="A40" s="379"/>
      <c r="B40" s="174"/>
      <c r="C40" s="294" t="s">
        <v>40</v>
      </c>
      <c r="D40" s="184">
        <v>0.0</v>
      </c>
      <c r="E40" s="168"/>
      <c r="F40" s="169">
        <v>0.0</v>
      </c>
      <c r="G40" s="169">
        <v>1.0</v>
      </c>
      <c r="H40" s="104">
        <f t="shared" si="1"/>
        <v>0</v>
      </c>
      <c r="I40" s="105" t="str">
        <f t="shared" si="2"/>
        <v>#DIV/0!</v>
      </c>
      <c r="J40" s="106" t="str">
        <f t="shared" si="3"/>
        <v>#DIV/0!</v>
      </c>
      <c r="K40" s="129">
        <v>0.0</v>
      </c>
      <c r="L40" s="169">
        <v>0.0</v>
      </c>
      <c r="M40" s="103">
        <v>0.0</v>
      </c>
      <c r="N40" s="185">
        <v>0.0</v>
      </c>
      <c r="O40" s="109" t="str">
        <f t="shared" si="4"/>
        <v>#DIV/0!</v>
      </c>
      <c r="P40" s="110" t="str">
        <f t="shared" si="5"/>
        <v>#DIV/0!</v>
      </c>
      <c r="Q40" s="109" t="str">
        <f t="shared" si="6"/>
        <v>#DIV/0!</v>
      </c>
      <c r="R40" s="111" t="str">
        <f t="shared" si="7"/>
        <v>#DIV/0!</v>
      </c>
      <c r="S40" s="131">
        <f t="shared" si="13"/>
        <v>0</v>
      </c>
      <c r="T40" s="113" t="str">
        <f t="shared" si="9"/>
        <v>#DIV/0!</v>
      </c>
      <c r="U40" s="172"/>
      <c r="V40" s="172"/>
      <c r="W40" s="172"/>
      <c r="X40" s="172"/>
      <c r="Y40" s="173"/>
      <c r="Z40" s="165"/>
      <c r="AA40" s="165"/>
    </row>
    <row r="41" hidden="1" outlineLevel="1">
      <c r="A41" s="379"/>
      <c r="B41" s="174"/>
      <c r="C41" s="294" t="s">
        <v>41</v>
      </c>
      <c r="D41" s="186">
        <v>766.15</v>
      </c>
      <c r="E41" s="168"/>
      <c r="F41" s="169">
        <v>15.0</v>
      </c>
      <c r="G41" s="169">
        <v>14.0</v>
      </c>
      <c r="H41" s="104">
        <f t="shared" si="1"/>
        <v>1.071428571</v>
      </c>
      <c r="I41" s="105">
        <f t="shared" si="2"/>
        <v>51.07666667</v>
      </c>
      <c r="J41" s="106">
        <f t="shared" si="3"/>
        <v>47.67155556</v>
      </c>
      <c r="K41" s="132">
        <v>56.99</v>
      </c>
      <c r="L41" s="169">
        <v>12059.0</v>
      </c>
      <c r="M41" s="103">
        <v>1.0</v>
      </c>
      <c r="N41" s="187">
        <v>67.0</v>
      </c>
      <c r="O41" s="109">
        <f t="shared" si="4"/>
        <v>0.8505970149</v>
      </c>
      <c r="P41" s="110">
        <f t="shared" si="5"/>
        <v>1.17564485</v>
      </c>
      <c r="Q41" s="109">
        <f t="shared" si="6"/>
        <v>0.07438491157</v>
      </c>
      <c r="R41" s="111">
        <f t="shared" si="7"/>
        <v>0.0874502382</v>
      </c>
      <c r="S41" s="134">
        <f t="shared" si="13"/>
        <v>699.15</v>
      </c>
      <c r="T41" s="113">
        <f t="shared" si="9"/>
        <v>56.99</v>
      </c>
      <c r="U41" s="172"/>
      <c r="V41" s="172"/>
      <c r="W41" s="172"/>
      <c r="X41" s="172"/>
      <c r="Y41" s="173"/>
      <c r="Z41" s="165"/>
      <c r="AA41" s="165"/>
    </row>
    <row r="42" hidden="1" outlineLevel="1">
      <c r="A42" s="379"/>
      <c r="B42" s="174"/>
      <c r="C42" s="294" t="s">
        <v>42</v>
      </c>
      <c r="D42" s="177">
        <v>-10.91</v>
      </c>
      <c r="E42" s="168"/>
      <c r="F42" s="169">
        <v>1.0</v>
      </c>
      <c r="G42" s="169">
        <v>1.0</v>
      </c>
      <c r="H42" s="104">
        <f t="shared" si="1"/>
        <v>1</v>
      </c>
      <c r="I42" s="105">
        <f t="shared" si="2"/>
        <v>-10.91</v>
      </c>
      <c r="J42" s="106">
        <f t="shared" si="3"/>
        <v>-10.91</v>
      </c>
      <c r="K42" s="120">
        <v>8.58</v>
      </c>
      <c r="L42" s="169">
        <v>10088.0</v>
      </c>
      <c r="M42" s="103">
        <v>1.0</v>
      </c>
      <c r="N42" s="178">
        <v>19.99</v>
      </c>
      <c r="O42" s="109">
        <f t="shared" si="4"/>
        <v>0.4292146073</v>
      </c>
      <c r="P42" s="110">
        <f t="shared" si="5"/>
        <v>2.32983683</v>
      </c>
      <c r="Q42" s="109">
        <f t="shared" si="6"/>
        <v>-0.7864344638</v>
      </c>
      <c r="R42" s="111">
        <f t="shared" si="7"/>
        <v>-1.832263978</v>
      </c>
      <c r="S42" s="122">
        <f t="shared" si="13"/>
        <v>-30.9</v>
      </c>
      <c r="T42" s="113">
        <f t="shared" si="9"/>
        <v>8.58</v>
      </c>
      <c r="U42" s="172"/>
      <c r="V42" s="172"/>
      <c r="W42" s="172"/>
      <c r="X42" s="172"/>
      <c r="Y42" s="173"/>
      <c r="Z42" s="165"/>
      <c r="AA42" s="165"/>
    </row>
    <row r="43" hidden="1" outlineLevel="1">
      <c r="A43" s="379"/>
      <c r="B43" s="174"/>
      <c r="C43" s="294" t="s">
        <v>43</v>
      </c>
      <c r="D43" s="188">
        <v>299.9</v>
      </c>
      <c r="E43" s="168"/>
      <c r="F43" s="169">
        <v>2.0</v>
      </c>
      <c r="G43" s="169">
        <v>3.0</v>
      </c>
      <c r="H43" s="104">
        <f t="shared" si="1"/>
        <v>0.6666666667</v>
      </c>
      <c r="I43" s="105">
        <f t="shared" si="2"/>
        <v>149.95</v>
      </c>
      <c r="J43" s="106">
        <f t="shared" si="3"/>
        <v>224.925</v>
      </c>
      <c r="K43" s="135">
        <v>19.96</v>
      </c>
      <c r="L43" s="169">
        <v>26977.0</v>
      </c>
      <c r="M43" s="103">
        <v>0.0</v>
      </c>
      <c r="N43" s="189">
        <v>0.0</v>
      </c>
      <c r="O43" s="109" t="str">
        <f t="shared" si="4"/>
        <v>#DIV/0!</v>
      </c>
      <c r="P43" s="110">
        <f t="shared" si="5"/>
        <v>0</v>
      </c>
      <c r="Q43" s="109">
        <f t="shared" si="6"/>
        <v>0.06655551851</v>
      </c>
      <c r="R43" s="111">
        <f t="shared" si="7"/>
        <v>0</v>
      </c>
      <c r="S43" s="137">
        <f t="shared" si="13"/>
        <v>299.9</v>
      </c>
      <c r="T43" s="113" t="str">
        <f t="shared" si="9"/>
        <v>#DIV/0!</v>
      </c>
      <c r="U43" s="172"/>
      <c r="V43" s="172"/>
      <c r="W43" s="172"/>
      <c r="X43" s="172"/>
      <c r="Y43" s="173"/>
      <c r="Z43" s="165"/>
      <c r="AA43" s="165"/>
    </row>
    <row r="44" hidden="1" outlineLevel="1">
      <c r="A44" s="379"/>
      <c r="B44" s="174"/>
      <c r="C44" s="294" t="s">
        <v>44</v>
      </c>
      <c r="D44" s="190">
        <v>0.0</v>
      </c>
      <c r="E44" s="168"/>
      <c r="F44" s="169">
        <v>0.0</v>
      </c>
      <c r="G44" s="169">
        <v>0.0</v>
      </c>
      <c r="H44" s="104" t="str">
        <f t="shared" si="1"/>
        <v>#DIV/0!</v>
      </c>
      <c r="I44" s="105" t="str">
        <f t="shared" si="2"/>
        <v>#DIV/0!</v>
      </c>
      <c r="J44" s="106" t="str">
        <f t="shared" si="3"/>
        <v>#DIV/0!</v>
      </c>
      <c r="K44" s="138">
        <v>1.02</v>
      </c>
      <c r="L44" s="169">
        <v>12691.0</v>
      </c>
      <c r="M44" s="103">
        <v>0.0</v>
      </c>
      <c r="N44" s="191">
        <v>0.0</v>
      </c>
      <c r="O44" s="109" t="str">
        <f t="shared" si="4"/>
        <v>#DIV/0!</v>
      </c>
      <c r="P44" s="110">
        <f t="shared" si="5"/>
        <v>0</v>
      </c>
      <c r="Q44" s="109" t="str">
        <f t="shared" si="6"/>
        <v>#DIV/0!</v>
      </c>
      <c r="R44" s="111" t="str">
        <f t="shared" si="7"/>
        <v>#DIV/0!</v>
      </c>
      <c r="S44" s="140">
        <f t="shared" si="13"/>
        <v>0</v>
      </c>
      <c r="T44" s="113" t="str">
        <f t="shared" si="9"/>
        <v>#DIV/0!</v>
      </c>
      <c r="U44" s="172"/>
      <c r="V44" s="172"/>
      <c r="W44" s="172"/>
      <c r="X44" s="172"/>
      <c r="Y44" s="173"/>
      <c r="Z44" s="165"/>
      <c r="AA44" s="165"/>
    </row>
    <row r="45" hidden="1" outlineLevel="1">
      <c r="A45" s="361"/>
      <c r="B45" s="174"/>
      <c r="C45" s="380" t="s">
        <v>45</v>
      </c>
      <c r="D45" s="167">
        <v>79.8</v>
      </c>
      <c r="E45" s="168"/>
      <c r="F45" s="169">
        <v>4.0</v>
      </c>
      <c r="G45" s="169">
        <v>2.0</v>
      </c>
      <c r="H45" s="104">
        <f t="shared" si="1"/>
        <v>2</v>
      </c>
      <c r="I45" s="105">
        <f t="shared" si="2"/>
        <v>19.95</v>
      </c>
      <c r="J45" s="106">
        <f t="shared" si="3"/>
        <v>9.975</v>
      </c>
      <c r="K45" s="101">
        <v>0.0</v>
      </c>
      <c r="L45" s="169">
        <v>0.0</v>
      </c>
      <c r="M45" s="103">
        <v>0.0</v>
      </c>
      <c r="N45" s="171">
        <v>0.0</v>
      </c>
      <c r="O45" s="109" t="str">
        <f t="shared" si="4"/>
        <v>#DIV/0!</v>
      </c>
      <c r="P45" s="110" t="str">
        <f t="shared" si="5"/>
        <v>#DIV/0!</v>
      </c>
      <c r="Q45" s="109">
        <f t="shared" si="6"/>
        <v>0</v>
      </c>
      <c r="R45" s="111">
        <f t="shared" si="7"/>
        <v>0</v>
      </c>
      <c r="S45" s="112">
        <f t="shared" si="13"/>
        <v>79.8</v>
      </c>
      <c r="T45" s="113" t="str">
        <f t="shared" si="9"/>
        <v>#DIV/0!</v>
      </c>
      <c r="U45" s="193"/>
      <c r="V45" s="193"/>
      <c r="W45" s="193"/>
      <c r="X45" s="194"/>
      <c r="Y45" s="195"/>
      <c r="Z45" s="165"/>
      <c r="AA45" s="165"/>
    </row>
    <row r="46" hidden="1" outlineLevel="1">
      <c r="A46" s="310"/>
      <c r="B46" s="99"/>
      <c r="C46" s="294" t="s">
        <v>46</v>
      </c>
      <c r="D46" s="196">
        <v>359.6</v>
      </c>
      <c r="E46" s="168"/>
      <c r="F46" s="169">
        <v>10.0</v>
      </c>
      <c r="G46" s="169">
        <v>12.0</v>
      </c>
      <c r="H46" s="104">
        <f t="shared" si="1"/>
        <v>0.8333333333</v>
      </c>
      <c r="I46" s="105">
        <f t="shared" si="2"/>
        <v>35.96</v>
      </c>
      <c r="J46" s="106">
        <f t="shared" si="3"/>
        <v>43.152</v>
      </c>
      <c r="K46" s="146">
        <v>98.1</v>
      </c>
      <c r="L46" s="169">
        <v>44788.0</v>
      </c>
      <c r="M46" s="103">
        <v>4.0</v>
      </c>
      <c r="N46" s="197">
        <v>143.84</v>
      </c>
      <c r="O46" s="109">
        <f t="shared" si="4"/>
        <v>0.6820077864</v>
      </c>
      <c r="P46" s="110">
        <f t="shared" si="5"/>
        <v>1.466258919</v>
      </c>
      <c r="Q46" s="109">
        <f t="shared" si="6"/>
        <v>0.2728031146</v>
      </c>
      <c r="R46" s="111">
        <f t="shared" si="7"/>
        <v>0.4</v>
      </c>
      <c r="S46" s="112">
        <f t="shared" si="13"/>
        <v>215.76</v>
      </c>
      <c r="T46" s="113">
        <f t="shared" si="9"/>
        <v>24.525</v>
      </c>
      <c r="U46" s="172"/>
      <c r="V46" s="172"/>
      <c r="W46" s="172"/>
      <c r="X46" s="172"/>
      <c r="Y46" s="173"/>
      <c r="Z46" s="165"/>
      <c r="AA46" s="165"/>
    </row>
    <row r="47" hidden="1" outlineLevel="1">
      <c r="A47" s="310" t="str">
        <f t="shared" ref="A47:A48" si="14">iferror(if(B47&gt;0,month(B47)&amp;"-"&amp;year(B47),B47),)</f>
        <v>12-2024</v>
      </c>
      <c r="B47" s="99">
        <v>45654.0</v>
      </c>
      <c r="C47" s="207" t="s">
        <v>49</v>
      </c>
      <c r="D47" s="196">
        <v>0.0</v>
      </c>
      <c r="E47" s="168"/>
      <c r="F47" s="169">
        <v>0.0</v>
      </c>
      <c r="G47" s="169">
        <v>0.0</v>
      </c>
      <c r="H47" s="104" t="str">
        <f t="shared" si="1"/>
        <v>#DIV/0!</v>
      </c>
      <c r="I47" s="105" t="str">
        <f t="shared" si="2"/>
        <v>#DIV/0!</v>
      </c>
      <c r="J47" s="106" t="str">
        <f t="shared" si="3"/>
        <v>#DIV/0!</v>
      </c>
      <c r="K47" s="196">
        <v>0.62</v>
      </c>
      <c r="L47" s="169">
        <v>8458.0</v>
      </c>
      <c r="M47" s="169">
        <v>0.0</v>
      </c>
      <c r="N47" s="197">
        <v>0.0</v>
      </c>
      <c r="O47" s="109" t="str">
        <f t="shared" si="4"/>
        <v>#DIV/0!</v>
      </c>
      <c r="P47" s="110">
        <f t="shared" si="5"/>
        <v>0</v>
      </c>
      <c r="Q47" s="109" t="str">
        <f t="shared" si="6"/>
        <v>#DIV/0!</v>
      </c>
      <c r="R47" s="111" t="str">
        <f t="shared" si="7"/>
        <v>#DIV/0!</v>
      </c>
      <c r="S47" s="112">
        <f t="shared" si="13"/>
        <v>0</v>
      </c>
      <c r="T47" s="113" t="str">
        <f t="shared" si="9"/>
        <v>#DIV/0!</v>
      </c>
      <c r="U47" s="172"/>
      <c r="V47" s="172"/>
      <c r="W47" s="172"/>
      <c r="X47" s="172"/>
      <c r="Y47" s="173"/>
      <c r="Z47" s="165"/>
      <c r="AA47" s="165"/>
    </row>
    <row r="48" collapsed="1">
      <c r="A48" s="361" t="str">
        <f t="shared" si="14"/>
        <v/>
      </c>
      <c r="B48" s="362" t="s">
        <v>87</v>
      </c>
      <c r="C48" s="363"/>
      <c r="D48" s="364">
        <f>SUM(D31:D47)</f>
        <v>21475.38</v>
      </c>
      <c r="E48" s="365"/>
      <c r="F48" s="366">
        <f t="shared" ref="F48:G48" si="15">SUM(F31:F47)</f>
        <v>129</v>
      </c>
      <c r="G48" s="366">
        <f t="shared" si="15"/>
        <v>131</v>
      </c>
      <c r="H48" s="367">
        <f t="shared" si="1"/>
        <v>0.9847328244</v>
      </c>
      <c r="I48" s="365">
        <f t="shared" si="2"/>
        <v>166.475814</v>
      </c>
      <c r="J48" s="368">
        <f t="shared" si="3"/>
        <v>169.0568343</v>
      </c>
      <c r="K48" s="369">
        <f t="shared" ref="K48:N48" si="16">SUM(K31:K47)</f>
        <v>902.48</v>
      </c>
      <c r="L48" s="366">
        <f t="shared" si="16"/>
        <v>367662</v>
      </c>
      <c r="M48" s="366">
        <f t="shared" si="16"/>
        <v>22</v>
      </c>
      <c r="N48" s="364">
        <f t="shared" si="16"/>
        <v>4541.92</v>
      </c>
      <c r="O48" s="371">
        <f t="shared" si="4"/>
        <v>0.1987001092</v>
      </c>
      <c r="P48" s="372">
        <f t="shared" si="5"/>
        <v>5.032709866</v>
      </c>
      <c r="Q48" s="371">
        <f t="shared" si="6"/>
        <v>0.04202393625</v>
      </c>
      <c r="R48" s="373">
        <f t="shared" si="7"/>
        <v>0.2114942786</v>
      </c>
      <c r="S48" s="374">
        <f>SUM(S31:S47)</f>
        <v>16933.46</v>
      </c>
      <c r="T48" s="375">
        <f t="shared" si="9"/>
        <v>41.02181818</v>
      </c>
      <c r="U48" s="376" t="str">
        <f>IFERROR((D48-#REF!)/D48,)</f>
        <v/>
      </c>
      <c r="V48" s="376" t="str">
        <f>IFERROR((F48-#REF!)/F48,)</f>
        <v/>
      </c>
      <c r="W48" s="377" t="str">
        <f>IFERROR((D48-monthly_reporting_2021!E49)/D48, )</f>
        <v/>
      </c>
      <c r="X48" s="378" t="str">
        <f>IFERROR((F48-monthly_reporting_2021!F49)/F48, )</f>
        <v/>
      </c>
      <c r="Y48" s="165"/>
      <c r="Z48" s="165"/>
      <c r="AA48" s="165"/>
    </row>
    <row r="49" hidden="1" outlineLevel="1">
      <c r="A49" s="379"/>
      <c r="B49" s="99">
        <v>45655.0</v>
      </c>
      <c r="C49" s="294" t="s">
        <v>32</v>
      </c>
      <c r="D49" s="167">
        <v>8188.57</v>
      </c>
      <c r="E49" s="168"/>
      <c r="F49" s="169">
        <v>27.0</v>
      </c>
      <c r="G49" s="169">
        <v>28.0</v>
      </c>
      <c r="H49" s="104">
        <f t="shared" si="1"/>
        <v>0.9642857143</v>
      </c>
      <c r="I49" s="105">
        <f t="shared" si="2"/>
        <v>303.2803704</v>
      </c>
      <c r="J49" s="106">
        <f t="shared" si="3"/>
        <v>314.5129767</v>
      </c>
      <c r="K49" s="101">
        <v>129.44</v>
      </c>
      <c r="L49" s="169">
        <v>29413.0</v>
      </c>
      <c r="M49" s="103">
        <v>10.0</v>
      </c>
      <c r="N49" s="171">
        <v>1910.85</v>
      </c>
      <c r="O49" s="109">
        <f t="shared" si="4"/>
        <v>0.06773948766</v>
      </c>
      <c r="P49" s="110">
        <f t="shared" si="5"/>
        <v>14.7624382</v>
      </c>
      <c r="Q49" s="109">
        <f t="shared" si="6"/>
        <v>0.01580739983</v>
      </c>
      <c r="R49" s="111">
        <f t="shared" si="7"/>
        <v>0.233355763</v>
      </c>
      <c r="S49" s="112">
        <f t="shared" ref="S49:S65" si="17">D49-N49</f>
        <v>6277.72</v>
      </c>
      <c r="T49" s="113">
        <f t="shared" si="9"/>
        <v>12.944</v>
      </c>
      <c r="U49" s="172"/>
      <c r="V49" s="172"/>
      <c r="W49" s="172"/>
      <c r="X49" s="172"/>
      <c r="Y49" s="173"/>
      <c r="Z49" s="165"/>
      <c r="AA49" s="165"/>
    </row>
    <row r="50" hidden="1" outlineLevel="1">
      <c r="A50" s="379"/>
      <c r="B50" s="174"/>
      <c r="C50" s="294" t="s">
        <v>33</v>
      </c>
      <c r="D50" s="175">
        <v>6119.25</v>
      </c>
      <c r="E50" s="168"/>
      <c r="F50" s="169">
        <v>47.0</v>
      </c>
      <c r="G50" s="169">
        <v>52.0</v>
      </c>
      <c r="H50" s="104">
        <f t="shared" si="1"/>
        <v>0.9038461538</v>
      </c>
      <c r="I50" s="105">
        <f t="shared" si="2"/>
        <v>130.1968085</v>
      </c>
      <c r="J50" s="106">
        <f t="shared" si="3"/>
        <v>144.0475328</v>
      </c>
      <c r="K50" s="117">
        <v>150.31</v>
      </c>
      <c r="L50" s="169">
        <v>24899.0</v>
      </c>
      <c r="M50" s="103">
        <v>2.0</v>
      </c>
      <c r="N50" s="176">
        <v>59.95</v>
      </c>
      <c r="O50" s="109">
        <f t="shared" si="4"/>
        <v>2.507256047</v>
      </c>
      <c r="P50" s="110">
        <f t="shared" si="5"/>
        <v>0.3988423924</v>
      </c>
      <c r="Q50" s="109">
        <f t="shared" si="6"/>
        <v>0.02456346775</v>
      </c>
      <c r="R50" s="111">
        <f t="shared" si="7"/>
        <v>0.009796952241</v>
      </c>
      <c r="S50" s="119">
        <f t="shared" si="17"/>
        <v>6059.3</v>
      </c>
      <c r="T50" s="113">
        <f t="shared" si="9"/>
        <v>75.155</v>
      </c>
      <c r="U50" s="172"/>
      <c r="V50" s="172"/>
      <c r="W50" s="172"/>
      <c r="X50" s="172"/>
      <c r="Y50" s="173"/>
      <c r="Z50" s="165"/>
      <c r="AA50" s="165"/>
    </row>
    <row r="51" hidden="1" outlineLevel="1">
      <c r="A51" s="379"/>
      <c r="B51" s="174"/>
      <c r="C51" s="294" t="s">
        <v>34</v>
      </c>
      <c r="D51" s="177">
        <v>0.0</v>
      </c>
      <c r="E51" s="168"/>
      <c r="F51" s="169">
        <v>0.0</v>
      </c>
      <c r="G51" s="169">
        <v>0.0</v>
      </c>
      <c r="H51" s="104" t="str">
        <f t="shared" si="1"/>
        <v>#DIV/0!</v>
      </c>
      <c r="I51" s="105" t="str">
        <f t="shared" si="2"/>
        <v>#DIV/0!</v>
      </c>
      <c r="J51" s="106" t="str">
        <f t="shared" si="3"/>
        <v>#DIV/0!</v>
      </c>
      <c r="K51" s="120">
        <v>0.0</v>
      </c>
      <c r="L51" s="169">
        <v>0.0</v>
      </c>
      <c r="M51" s="103">
        <v>0.0</v>
      </c>
      <c r="N51" s="178">
        <v>0.0</v>
      </c>
      <c r="O51" s="109" t="str">
        <f t="shared" si="4"/>
        <v>#DIV/0!</v>
      </c>
      <c r="P51" s="110" t="str">
        <f t="shared" si="5"/>
        <v>#DIV/0!</v>
      </c>
      <c r="Q51" s="109" t="str">
        <f t="shared" si="6"/>
        <v>#DIV/0!</v>
      </c>
      <c r="R51" s="111" t="str">
        <f t="shared" si="7"/>
        <v>#DIV/0!</v>
      </c>
      <c r="S51" s="122">
        <f t="shared" si="17"/>
        <v>0</v>
      </c>
      <c r="T51" s="113" t="str">
        <f t="shared" si="9"/>
        <v>#DIV/0!</v>
      </c>
      <c r="U51" s="172"/>
      <c r="V51" s="172"/>
      <c r="W51" s="172"/>
      <c r="X51" s="172"/>
      <c r="Y51" s="173"/>
      <c r="Z51" s="165"/>
      <c r="AA51" s="165"/>
    </row>
    <row r="52" hidden="1" outlineLevel="1">
      <c r="A52" s="379"/>
      <c r="B52" s="174"/>
      <c r="C52" s="294" t="s">
        <v>35</v>
      </c>
      <c r="D52" s="177">
        <v>0.0</v>
      </c>
      <c r="E52" s="168"/>
      <c r="F52" s="169">
        <v>0.0</v>
      </c>
      <c r="G52" s="169">
        <v>0.0</v>
      </c>
      <c r="H52" s="104" t="str">
        <f t="shared" si="1"/>
        <v>#DIV/0!</v>
      </c>
      <c r="I52" s="105" t="str">
        <f t="shared" si="2"/>
        <v>#DIV/0!</v>
      </c>
      <c r="J52" s="106" t="str">
        <f t="shared" si="3"/>
        <v>#DIV/0!</v>
      </c>
      <c r="K52" s="120">
        <v>0.0</v>
      </c>
      <c r="L52" s="169">
        <v>0.0</v>
      </c>
      <c r="M52" s="103">
        <v>0.0</v>
      </c>
      <c r="N52" s="178">
        <v>0.0</v>
      </c>
      <c r="O52" s="109" t="str">
        <f t="shared" si="4"/>
        <v>#DIV/0!</v>
      </c>
      <c r="P52" s="110" t="str">
        <f t="shared" si="5"/>
        <v>#DIV/0!</v>
      </c>
      <c r="Q52" s="109" t="str">
        <f t="shared" si="6"/>
        <v>#DIV/0!</v>
      </c>
      <c r="R52" s="111" t="str">
        <f t="shared" si="7"/>
        <v>#DIV/0!</v>
      </c>
      <c r="S52" s="122">
        <f t="shared" si="17"/>
        <v>0</v>
      </c>
      <c r="T52" s="113" t="str">
        <f t="shared" si="9"/>
        <v>#DIV/0!</v>
      </c>
      <c r="U52" s="172"/>
      <c r="V52" s="172"/>
      <c r="W52" s="172"/>
      <c r="X52" s="172"/>
      <c r="Y52" s="173"/>
      <c r="Z52" s="165"/>
      <c r="AA52" s="165"/>
    </row>
    <row r="53" hidden="1" outlineLevel="1">
      <c r="A53" s="379"/>
      <c r="B53" s="174"/>
      <c r="C53" s="294" t="s">
        <v>65</v>
      </c>
      <c r="D53" s="320">
        <v>39.0</v>
      </c>
      <c r="E53" s="168"/>
      <c r="F53" s="169">
        <v>1.0</v>
      </c>
      <c r="G53" s="169">
        <v>1.0</v>
      </c>
      <c r="H53" s="104">
        <f t="shared" si="1"/>
        <v>1</v>
      </c>
      <c r="I53" s="105">
        <f t="shared" si="2"/>
        <v>39</v>
      </c>
      <c r="J53" s="106">
        <f t="shared" si="3"/>
        <v>39</v>
      </c>
      <c r="K53" s="300">
        <v>0.0</v>
      </c>
      <c r="L53" s="169">
        <v>0.0</v>
      </c>
      <c r="M53" s="103">
        <v>0.0</v>
      </c>
      <c r="N53" s="320">
        <v>0.0</v>
      </c>
      <c r="O53" s="109" t="str">
        <f t="shared" si="4"/>
        <v>#DIV/0!</v>
      </c>
      <c r="P53" s="110" t="str">
        <f t="shared" si="5"/>
        <v>#DIV/0!</v>
      </c>
      <c r="Q53" s="109">
        <f t="shared" si="6"/>
        <v>0</v>
      </c>
      <c r="R53" s="111">
        <f t="shared" si="7"/>
        <v>0</v>
      </c>
      <c r="S53" s="122">
        <f t="shared" si="17"/>
        <v>39</v>
      </c>
      <c r="T53" s="113" t="str">
        <f t="shared" si="9"/>
        <v>#DIV/0!</v>
      </c>
      <c r="U53" s="172"/>
      <c r="V53" s="172"/>
      <c r="W53" s="172"/>
      <c r="X53" s="172"/>
      <c r="Y53" s="173"/>
      <c r="Z53" s="165"/>
      <c r="AA53" s="165"/>
    </row>
    <row r="54" hidden="1" outlineLevel="1">
      <c r="A54" s="379"/>
      <c r="B54" s="174"/>
      <c r="C54" s="294" t="s">
        <v>85</v>
      </c>
      <c r="D54" s="321">
        <v>0.0</v>
      </c>
      <c r="E54" s="168"/>
      <c r="F54" s="169">
        <v>0.0</v>
      </c>
      <c r="G54" s="169">
        <v>0.0</v>
      </c>
      <c r="H54" s="104" t="str">
        <f t="shared" si="1"/>
        <v>#DIV/0!</v>
      </c>
      <c r="I54" s="105" t="str">
        <f t="shared" si="2"/>
        <v>#DIV/0!</v>
      </c>
      <c r="J54" s="106" t="str">
        <f t="shared" si="3"/>
        <v>#DIV/0!</v>
      </c>
      <c r="K54" s="302">
        <v>63.85</v>
      </c>
      <c r="L54" s="169">
        <v>9126.0</v>
      </c>
      <c r="M54" s="103">
        <v>0.0</v>
      </c>
      <c r="N54" s="322">
        <v>0.0</v>
      </c>
      <c r="O54" s="109" t="str">
        <f t="shared" si="4"/>
        <v>#DIV/0!</v>
      </c>
      <c r="P54" s="110">
        <f t="shared" si="5"/>
        <v>0</v>
      </c>
      <c r="Q54" s="109" t="str">
        <f t="shared" si="6"/>
        <v>#DIV/0!</v>
      </c>
      <c r="R54" s="111" t="str">
        <f t="shared" si="7"/>
        <v>#DIV/0!</v>
      </c>
      <c r="S54" s="304">
        <f t="shared" si="17"/>
        <v>0</v>
      </c>
      <c r="T54" s="113" t="str">
        <f t="shared" si="9"/>
        <v>#DIV/0!</v>
      </c>
      <c r="U54" s="172"/>
      <c r="V54" s="172"/>
      <c r="W54" s="172"/>
      <c r="X54" s="172"/>
      <c r="Y54" s="173"/>
      <c r="Z54" s="165"/>
      <c r="AA54" s="165"/>
    </row>
    <row r="55" hidden="1" outlineLevel="1">
      <c r="A55" s="379"/>
      <c r="B55" s="174"/>
      <c r="C55" s="294" t="s">
        <v>36</v>
      </c>
      <c r="D55" s="177">
        <v>559.6</v>
      </c>
      <c r="E55" s="168"/>
      <c r="F55" s="169">
        <v>8.0</v>
      </c>
      <c r="G55" s="169">
        <v>8.0</v>
      </c>
      <c r="H55" s="104">
        <f t="shared" si="1"/>
        <v>1</v>
      </c>
      <c r="I55" s="105">
        <f t="shared" si="2"/>
        <v>69.95</v>
      </c>
      <c r="J55" s="106">
        <f t="shared" si="3"/>
        <v>69.95</v>
      </c>
      <c r="K55" s="120">
        <v>109.95</v>
      </c>
      <c r="L55" s="169">
        <v>4948.0</v>
      </c>
      <c r="M55" s="103">
        <v>2.0</v>
      </c>
      <c r="N55" s="178">
        <v>139.9</v>
      </c>
      <c r="O55" s="109">
        <f t="shared" si="4"/>
        <v>0.7859185132</v>
      </c>
      <c r="P55" s="110">
        <f t="shared" si="5"/>
        <v>1.272396544</v>
      </c>
      <c r="Q55" s="109">
        <f t="shared" si="6"/>
        <v>0.1964796283</v>
      </c>
      <c r="R55" s="111">
        <f t="shared" si="7"/>
        <v>0.25</v>
      </c>
      <c r="S55" s="122">
        <f t="shared" si="17"/>
        <v>419.7</v>
      </c>
      <c r="T55" s="113">
        <f t="shared" si="9"/>
        <v>54.975</v>
      </c>
      <c r="U55" s="172"/>
      <c r="V55" s="172"/>
      <c r="W55" s="172"/>
      <c r="X55" s="172"/>
      <c r="Y55" s="173"/>
      <c r="Z55" s="165"/>
      <c r="AA55" s="165"/>
    </row>
    <row r="56" hidden="1" outlineLevel="1">
      <c r="A56" s="379"/>
      <c r="B56" s="99" t="s">
        <v>37</v>
      </c>
      <c r="C56" s="294" t="s">
        <v>38</v>
      </c>
      <c r="D56" s="180">
        <v>787.34</v>
      </c>
      <c r="E56" s="168"/>
      <c r="F56" s="169">
        <v>15.0</v>
      </c>
      <c r="G56" s="169">
        <v>17.0</v>
      </c>
      <c r="H56" s="104">
        <f t="shared" si="1"/>
        <v>0.8823529412</v>
      </c>
      <c r="I56" s="105">
        <f t="shared" si="2"/>
        <v>52.48933333</v>
      </c>
      <c r="J56" s="106">
        <f t="shared" si="3"/>
        <v>59.48791111</v>
      </c>
      <c r="K56" s="123">
        <v>181.4</v>
      </c>
      <c r="L56" s="169">
        <v>21748.0</v>
      </c>
      <c r="M56" s="103">
        <v>4.0</v>
      </c>
      <c r="N56" s="181">
        <v>86.24</v>
      </c>
      <c r="O56" s="109">
        <f t="shared" si="4"/>
        <v>2.103432282</v>
      </c>
      <c r="P56" s="110">
        <f t="shared" si="5"/>
        <v>0.4754134509</v>
      </c>
      <c r="Q56" s="109">
        <f t="shared" si="6"/>
        <v>0.230396017</v>
      </c>
      <c r="R56" s="111">
        <f t="shared" si="7"/>
        <v>0.1095333655</v>
      </c>
      <c r="S56" s="125">
        <f t="shared" si="17"/>
        <v>701.1</v>
      </c>
      <c r="T56" s="113">
        <f t="shared" si="9"/>
        <v>45.35</v>
      </c>
      <c r="U56" s="172"/>
      <c r="V56" s="172"/>
      <c r="W56" s="172"/>
      <c r="X56" s="172"/>
      <c r="Y56" s="173"/>
      <c r="Z56" s="165"/>
      <c r="AA56" s="165"/>
    </row>
    <row r="57" hidden="1" outlineLevel="1">
      <c r="A57" s="379"/>
      <c r="B57" s="174"/>
      <c r="C57" s="294" t="s">
        <v>39</v>
      </c>
      <c r="D57" s="182">
        <v>0.0</v>
      </c>
      <c r="E57" s="168"/>
      <c r="F57" s="169">
        <v>0.0</v>
      </c>
      <c r="G57" s="169">
        <v>0.0</v>
      </c>
      <c r="H57" s="104" t="str">
        <f t="shared" si="1"/>
        <v>#DIV/0!</v>
      </c>
      <c r="I57" s="105" t="str">
        <f t="shared" si="2"/>
        <v>#DIV/0!</v>
      </c>
      <c r="J57" s="106" t="str">
        <f t="shared" si="3"/>
        <v>#DIV/0!</v>
      </c>
      <c r="K57" s="126">
        <v>110.73</v>
      </c>
      <c r="L57" s="169">
        <v>148952.0</v>
      </c>
      <c r="M57" s="103">
        <v>0.0</v>
      </c>
      <c r="N57" s="183">
        <v>0.0</v>
      </c>
      <c r="O57" s="109" t="str">
        <f t="shared" si="4"/>
        <v>#DIV/0!</v>
      </c>
      <c r="P57" s="110">
        <f t="shared" si="5"/>
        <v>0</v>
      </c>
      <c r="Q57" s="109" t="str">
        <f t="shared" si="6"/>
        <v>#DIV/0!</v>
      </c>
      <c r="R57" s="111" t="str">
        <f t="shared" si="7"/>
        <v>#DIV/0!</v>
      </c>
      <c r="S57" s="128">
        <f t="shared" si="17"/>
        <v>0</v>
      </c>
      <c r="T57" s="113" t="str">
        <f t="shared" si="9"/>
        <v>#DIV/0!</v>
      </c>
      <c r="U57" s="172"/>
      <c r="V57" s="172"/>
      <c r="W57" s="172"/>
      <c r="X57" s="172"/>
      <c r="Y57" s="173"/>
      <c r="Z57" s="165"/>
      <c r="AA57" s="165"/>
    </row>
    <row r="58" hidden="1" outlineLevel="1">
      <c r="A58" s="379"/>
      <c r="B58" s="174"/>
      <c r="C58" s="294" t="s">
        <v>40</v>
      </c>
      <c r="D58" s="184">
        <v>219.8</v>
      </c>
      <c r="E58" s="168"/>
      <c r="F58" s="169">
        <v>4.0</v>
      </c>
      <c r="G58" s="169">
        <v>4.0</v>
      </c>
      <c r="H58" s="104">
        <f t="shared" si="1"/>
        <v>1</v>
      </c>
      <c r="I58" s="105">
        <f t="shared" si="2"/>
        <v>54.95</v>
      </c>
      <c r="J58" s="106">
        <f t="shared" si="3"/>
        <v>54.95</v>
      </c>
      <c r="K58" s="129">
        <v>0.0</v>
      </c>
      <c r="L58" s="169">
        <v>0.0</v>
      </c>
      <c r="M58" s="103">
        <v>0.0</v>
      </c>
      <c r="N58" s="185">
        <v>0.0</v>
      </c>
      <c r="O58" s="109" t="str">
        <f t="shared" si="4"/>
        <v>#DIV/0!</v>
      </c>
      <c r="P58" s="110" t="str">
        <f t="shared" si="5"/>
        <v>#DIV/0!</v>
      </c>
      <c r="Q58" s="109">
        <f t="shared" si="6"/>
        <v>0</v>
      </c>
      <c r="R58" s="111">
        <f t="shared" si="7"/>
        <v>0</v>
      </c>
      <c r="S58" s="131">
        <f t="shared" si="17"/>
        <v>219.8</v>
      </c>
      <c r="T58" s="113" t="str">
        <f t="shared" si="9"/>
        <v>#DIV/0!</v>
      </c>
      <c r="U58" s="172"/>
      <c r="V58" s="172"/>
      <c r="W58" s="172"/>
      <c r="X58" s="172"/>
      <c r="Y58" s="173"/>
      <c r="Z58" s="165"/>
      <c r="AA58" s="165"/>
    </row>
    <row r="59" hidden="1" outlineLevel="1">
      <c r="A59" s="379"/>
      <c r="B59" s="174"/>
      <c r="C59" s="294" t="s">
        <v>41</v>
      </c>
      <c r="D59" s="186">
        <v>2148.25</v>
      </c>
      <c r="E59" s="168"/>
      <c r="F59" s="169">
        <v>30.0</v>
      </c>
      <c r="G59" s="169">
        <v>29.0</v>
      </c>
      <c r="H59" s="104">
        <f t="shared" si="1"/>
        <v>1.034482759</v>
      </c>
      <c r="I59" s="105">
        <f t="shared" si="2"/>
        <v>71.60833333</v>
      </c>
      <c r="J59" s="106">
        <f t="shared" si="3"/>
        <v>69.22138889</v>
      </c>
      <c r="K59" s="132">
        <v>95.12</v>
      </c>
      <c r="L59" s="169">
        <v>24865.0</v>
      </c>
      <c r="M59" s="103">
        <v>5.0</v>
      </c>
      <c r="N59" s="187">
        <v>381.85</v>
      </c>
      <c r="O59" s="109">
        <f t="shared" si="4"/>
        <v>0.2491030509</v>
      </c>
      <c r="P59" s="110">
        <f t="shared" si="5"/>
        <v>4.01440286</v>
      </c>
      <c r="Q59" s="109">
        <f t="shared" si="6"/>
        <v>0.04427790062</v>
      </c>
      <c r="R59" s="111">
        <f t="shared" si="7"/>
        <v>0.1777493309</v>
      </c>
      <c r="S59" s="134">
        <f t="shared" si="17"/>
        <v>1766.4</v>
      </c>
      <c r="T59" s="113">
        <f t="shared" si="9"/>
        <v>19.024</v>
      </c>
      <c r="U59" s="172"/>
      <c r="V59" s="172"/>
      <c r="W59" s="172"/>
      <c r="X59" s="172"/>
      <c r="Y59" s="173"/>
      <c r="Z59" s="165"/>
      <c r="AA59" s="165"/>
    </row>
    <row r="60" hidden="1" outlineLevel="1">
      <c r="A60" s="379"/>
      <c r="B60" s="174"/>
      <c r="C60" s="294" t="s">
        <v>42</v>
      </c>
      <c r="D60" s="177">
        <v>59.97</v>
      </c>
      <c r="E60" s="168"/>
      <c r="F60" s="169">
        <v>3.0</v>
      </c>
      <c r="G60" s="169">
        <v>2.0</v>
      </c>
      <c r="H60" s="104">
        <f t="shared" si="1"/>
        <v>1.5</v>
      </c>
      <c r="I60" s="105">
        <f t="shared" si="2"/>
        <v>19.99</v>
      </c>
      <c r="J60" s="106">
        <f t="shared" si="3"/>
        <v>13.32666667</v>
      </c>
      <c r="K60" s="120">
        <v>23.38</v>
      </c>
      <c r="L60" s="169">
        <v>15937.0</v>
      </c>
      <c r="M60" s="103">
        <v>4.0</v>
      </c>
      <c r="N60" s="178">
        <v>59.97</v>
      </c>
      <c r="O60" s="109">
        <f t="shared" si="4"/>
        <v>0.3898615975</v>
      </c>
      <c r="P60" s="110">
        <f t="shared" si="5"/>
        <v>2.565012831</v>
      </c>
      <c r="Q60" s="109">
        <f t="shared" si="6"/>
        <v>0.3898615975</v>
      </c>
      <c r="R60" s="111">
        <f t="shared" si="7"/>
        <v>1</v>
      </c>
      <c r="S60" s="122">
        <f t="shared" si="17"/>
        <v>0</v>
      </c>
      <c r="T60" s="113">
        <f t="shared" si="9"/>
        <v>5.845</v>
      </c>
      <c r="U60" s="172"/>
      <c r="V60" s="172"/>
      <c r="W60" s="172"/>
      <c r="X60" s="172"/>
      <c r="Y60" s="173"/>
      <c r="Z60" s="165"/>
      <c r="AA60" s="165"/>
    </row>
    <row r="61" hidden="1" outlineLevel="1">
      <c r="A61" s="379"/>
      <c r="B61" s="174"/>
      <c r="C61" s="294" t="s">
        <v>43</v>
      </c>
      <c r="D61" s="188">
        <v>195.0</v>
      </c>
      <c r="E61" s="168"/>
      <c r="F61" s="169">
        <v>1.0</v>
      </c>
      <c r="G61" s="169">
        <v>1.0</v>
      </c>
      <c r="H61" s="104">
        <f t="shared" si="1"/>
        <v>1</v>
      </c>
      <c r="I61" s="105">
        <f t="shared" si="2"/>
        <v>195</v>
      </c>
      <c r="J61" s="106">
        <f t="shared" si="3"/>
        <v>195</v>
      </c>
      <c r="K61" s="135">
        <v>27.6</v>
      </c>
      <c r="L61" s="169">
        <v>25799.0</v>
      </c>
      <c r="M61" s="103">
        <v>0.0</v>
      </c>
      <c r="N61" s="189">
        <v>0.0</v>
      </c>
      <c r="O61" s="109" t="str">
        <f t="shared" si="4"/>
        <v>#DIV/0!</v>
      </c>
      <c r="P61" s="110">
        <f t="shared" si="5"/>
        <v>0</v>
      </c>
      <c r="Q61" s="109">
        <f t="shared" si="6"/>
        <v>0.1415384615</v>
      </c>
      <c r="R61" s="111">
        <f t="shared" si="7"/>
        <v>0</v>
      </c>
      <c r="S61" s="137">
        <f t="shared" si="17"/>
        <v>195</v>
      </c>
      <c r="T61" s="113" t="str">
        <f t="shared" si="9"/>
        <v>#DIV/0!</v>
      </c>
      <c r="U61" s="172"/>
      <c r="V61" s="172"/>
      <c r="W61" s="172"/>
      <c r="X61" s="172"/>
      <c r="Y61" s="173"/>
      <c r="Z61" s="165"/>
      <c r="AA61" s="165"/>
    </row>
    <row r="62" hidden="1" outlineLevel="1">
      <c r="A62" s="379"/>
      <c r="B62" s="174"/>
      <c r="C62" s="294" t="s">
        <v>44</v>
      </c>
      <c r="D62" s="190">
        <v>59.95</v>
      </c>
      <c r="E62" s="168"/>
      <c r="F62" s="169">
        <v>1.0</v>
      </c>
      <c r="G62" s="169">
        <v>1.0</v>
      </c>
      <c r="H62" s="104">
        <f t="shared" si="1"/>
        <v>1</v>
      </c>
      <c r="I62" s="105">
        <f t="shared" si="2"/>
        <v>59.95</v>
      </c>
      <c r="J62" s="106">
        <f t="shared" si="3"/>
        <v>59.95</v>
      </c>
      <c r="K62" s="138">
        <v>4.81</v>
      </c>
      <c r="L62" s="169">
        <v>3791.0</v>
      </c>
      <c r="M62" s="103">
        <v>0.0</v>
      </c>
      <c r="N62" s="191">
        <v>0.0</v>
      </c>
      <c r="O62" s="109" t="str">
        <f t="shared" si="4"/>
        <v>#DIV/0!</v>
      </c>
      <c r="P62" s="110">
        <f t="shared" si="5"/>
        <v>0</v>
      </c>
      <c r="Q62" s="109">
        <f t="shared" si="6"/>
        <v>0.08023352794</v>
      </c>
      <c r="R62" s="111">
        <f t="shared" si="7"/>
        <v>0</v>
      </c>
      <c r="S62" s="140">
        <f t="shared" si="17"/>
        <v>59.95</v>
      </c>
      <c r="T62" s="113" t="str">
        <f t="shared" si="9"/>
        <v>#DIV/0!</v>
      </c>
      <c r="U62" s="172"/>
      <c r="V62" s="172"/>
      <c r="W62" s="172"/>
      <c r="X62" s="172"/>
      <c r="Y62" s="173"/>
      <c r="Z62" s="165"/>
      <c r="AA62" s="165"/>
    </row>
    <row r="63" hidden="1" outlineLevel="1">
      <c r="A63" s="361"/>
      <c r="B63" s="174"/>
      <c r="C63" s="380" t="s">
        <v>45</v>
      </c>
      <c r="D63" s="167">
        <v>679.4</v>
      </c>
      <c r="E63" s="168"/>
      <c r="F63" s="169">
        <v>12.0</v>
      </c>
      <c r="G63" s="169">
        <v>9.0</v>
      </c>
      <c r="H63" s="104">
        <f t="shared" si="1"/>
        <v>1.333333333</v>
      </c>
      <c r="I63" s="105">
        <f t="shared" si="2"/>
        <v>56.61666667</v>
      </c>
      <c r="J63" s="106">
        <f t="shared" si="3"/>
        <v>42.4625</v>
      </c>
      <c r="K63" s="101">
        <v>0.0</v>
      </c>
      <c r="L63" s="169">
        <v>0.0</v>
      </c>
      <c r="M63" s="103">
        <v>0.0</v>
      </c>
      <c r="N63" s="171">
        <v>0.0</v>
      </c>
      <c r="O63" s="109" t="str">
        <f t="shared" si="4"/>
        <v>#DIV/0!</v>
      </c>
      <c r="P63" s="110" t="str">
        <f t="shared" si="5"/>
        <v>#DIV/0!</v>
      </c>
      <c r="Q63" s="109">
        <f t="shared" si="6"/>
        <v>0</v>
      </c>
      <c r="R63" s="111">
        <f t="shared" si="7"/>
        <v>0</v>
      </c>
      <c r="S63" s="112">
        <f t="shared" si="17"/>
        <v>679.4</v>
      </c>
      <c r="T63" s="113" t="str">
        <f t="shared" si="9"/>
        <v>#DIV/0!</v>
      </c>
      <c r="U63" s="193"/>
      <c r="V63" s="193"/>
      <c r="W63" s="193"/>
      <c r="X63" s="194"/>
      <c r="Y63" s="195"/>
      <c r="Z63" s="165"/>
      <c r="AA63" s="165"/>
    </row>
    <row r="64" hidden="1" outlineLevel="1">
      <c r="A64" s="310"/>
      <c r="B64" s="99"/>
      <c r="C64" s="294" t="s">
        <v>46</v>
      </c>
      <c r="D64" s="196">
        <v>303.85</v>
      </c>
      <c r="E64" s="168"/>
      <c r="F64" s="169">
        <v>8.0</v>
      </c>
      <c r="G64" s="169">
        <v>15.0</v>
      </c>
      <c r="H64" s="104">
        <f t="shared" si="1"/>
        <v>0.5333333333</v>
      </c>
      <c r="I64" s="105">
        <f t="shared" si="2"/>
        <v>37.98125</v>
      </c>
      <c r="J64" s="106">
        <f t="shared" si="3"/>
        <v>71.21484375</v>
      </c>
      <c r="K64" s="146">
        <v>128.01</v>
      </c>
      <c r="L64" s="169">
        <v>45345.0</v>
      </c>
      <c r="M64" s="103">
        <v>8.0</v>
      </c>
      <c r="N64" s="197">
        <v>251.72</v>
      </c>
      <c r="O64" s="109">
        <f t="shared" si="4"/>
        <v>0.5085412363</v>
      </c>
      <c r="P64" s="110">
        <f t="shared" si="5"/>
        <v>1.966408874</v>
      </c>
      <c r="Q64" s="109">
        <f t="shared" si="6"/>
        <v>0.4212934013</v>
      </c>
      <c r="R64" s="111">
        <f t="shared" si="7"/>
        <v>0.8284350831</v>
      </c>
      <c r="S64" s="112">
        <f t="shared" si="17"/>
        <v>52.13</v>
      </c>
      <c r="T64" s="113">
        <f t="shared" si="9"/>
        <v>16.00125</v>
      </c>
      <c r="U64" s="172"/>
      <c r="V64" s="172"/>
      <c r="W64" s="172"/>
      <c r="X64" s="172"/>
      <c r="Y64" s="173"/>
      <c r="Z64" s="165"/>
      <c r="AA64" s="165"/>
    </row>
    <row r="65" hidden="1" outlineLevel="1">
      <c r="A65" s="310" t="str">
        <f t="shared" ref="A65:A66" si="18">iferror(if(B65&gt;0,month(B65)&amp;"-"&amp;year(B65),B65),)</f>
        <v>1-2025</v>
      </c>
      <c r="B65" s="99">
        <v>45661.0</v>
      </c>
      <c r="C65" s="207" t="s">
        <v>49</v>
      </c>
      <c r="D65" s="196">
        <v>156.76</v>
      </c>
      <c r="E65" s="168"/>
      <c r="F65" s="169">
        <v>1.0</v>
      </c>
      <c r="G65" s="169">
        <v>1.0</v>
      </c>
      <c r="H65" s="104">
        <f t="shared" si="1"/>
        <v>1</v>
      </c>
      <c r="I65" s="105">
        <f t="shared" si="2"/>
        <v>156.76</v>
      </c>
      <c r="J65" s="106">
        <f t="shared" si="3"/>
        <v>156.76</v>
      </c>
      <c r="K65" s="196">
        <v>2.28</v>
      </c>
      <c r="L65" s="169">
        <v>7662.0</v>
      </c>
      <c r="M65" s="169">
        <v>0.0</v>
      </c>
      <c r="N65" s="197">
        <v>0.0</v>
      </c>
      <c r="O65" s="109" t="str">
        <f t="shared" si="4"/>
        <v>#DIV/0!</v>
      </c>
      <c r="P65" s="110">
        <f t="shared" si="5"/>
        <v>0</v>
      </c>
      <c r="Q65" s="109">
        <f t="shared" si="6"/>
        <v>0.01454452666</v>
      </c>
      <c r="R65" s="111">
        <f t="shared" si="7"/>
        <v>0</v>
      </c>
      <c r="S65" s="112">
        <f t="shared" si="17"/>
        <v>156.76</v>
      </c>
      <c r="T65" s="113" t="str">
        <f t="shared" si="9"/>
        <v>#DIV/0!</v>
      </c>
      <c r="U65" s="172"/>
      <c r="V65" s="172"/>
      <c r="W65" s="172"/>
      <c r="X65" s="172"/>
      <c r="Y65" s="173"/>
      <c r="Z65" s="165"/>
      <c r="AA65" s="165"/>
    </row>
    <row r="66" collapsed="1">
      <c r="A66" s="361" t="str">
        <f t="shared" si="18"/>
        <v/>
      </c>
      <c r="B66" s="362" t="s">
        <v>88</v>
      </c>
      <c r="C66" s="363"/>
      <c r="D66" s="364">
        <f>SUM(D49:D65)</f>
        <v>19516.74</v>
      </c>
      <c r="E66" s="365"/>
      <c r="F66" s="366">
        <f t="shared" ref="F66:G66" si="19">SUM(F49:F65)</f>
        <v>158</v>
      </c>
      <c r="G66" s="366">
        <f t="shared" si="19"/>
        <v>168</v>
      </c>
      <c r="H66" s="367">
        <f t="shared" si="1"/>
        <v>0.9404761905</v>
      </c>
      <c r="I66" s="365">
        <f t="shared" si="2"/>
        <v>123.5236709</v>
      </c>
      <c r="J66" s="368">
        <f t="shared" si="3"/>
        <v>131.3416247</v>
      </c>
      <c r="K66" s="369">
        <f t="shared" ref="K66:N66" si="20">SUM(K49:K65)</f>
        <v>1026.88</v>
      </c>
      <c r="L66" s="366">
        <f t="shared" si="20"/>
        <v>362485</v>
      </c>
      <c r="M66" s="366">
        <f t="shared" si="20"/>
        <v>35</v>
      </c>
      <c r="N66" s="364">
        <f t="shared" si="20"/>
        <v>2890.48</v>
      </c>
      <c r="O66" s="371">
        <f t="shared" si="4"/>
        <v>0.3552627937</v>
      </c>
      <c r="P66" s="372">
        <f t="shared" si="5"/>
        <v>2.8148177</v>
      </c>
      <c r="Q66" s="371">
        <f t="shared" si="6"/>
        <v>0.05261534457</v>
      </c>
      <c r="R66" s="373">
        <f t="shared" si="7"/>
        <v>0.1481026032</v>
      </c>
      <c r="S66" s="374">
        <f>SUM(S49:S65)</f>
        <v>16626.26</v>
      </c>
      <c r="T66" s="375">
        <f t="shared" si="9"/>
        <v>29.33942857</v>
      </c>
      <c r="U66" s="376" t="str">
        <f>IFERROR((D66-#REF!)/D66,)</f>
        <v/>
      </c>
      <c r="V66" s="376" t="str">
        <f>IFERROR((F66-#REF!)/F66,)</f>
        <v/>
      </c>
      <c r="W66" s="377" t="str">
        <f>IFERROR((D66-monthly_reporting_2021!E49)/D66, )</f>
        <v/>
      </c>
      <c r="X66" s="378" t="str">
        <f>IFERROR((F66-monthly_reporting_2021!F49)/F66, )</f>
        <v/>
      </c>
      <c r="Y66" s="165"/>
      <c r="Z66" s="165"/>
      <c r="AA66" s="165"/>
    </row>
    <row r="67" hidden="1" outlineLevel="1">
      <c r="A67" s="379"/>
      <c r="B67" s="99">
        <v>45662.0</v>
      </c>
      <c r="C67" s="294" t="s">
        <v>32</v>
      </c>
      <c r="D67" s="167">
        <v>7753.96</v>
      </c>
      <c r="E67" s="168"/>
      <c r="F67" s="169">
        <v>24.0</v>
      </c>
      <c r="G67" s="169">
        <v>26.0</v>
      </c>
      <c r="H67" s="104">
        <f t="shared" si="1"/>
        <v>0.9230769231</v>
      </c>
      <c r="I67" s="105">
        <f t="shared" si="2"/>
        <v>323.0816667</v>
      </c>
      <c r="J67" s="106">
        <f t="shared" si="3"/>
        <v>350.0051389</v>
      </c>
      <c r="K67" s="107">
        <v>169.02</v>
      </c>
      <c r="L67" s="103">
        <v>44579.0</v>
      </c>
      <c r="M67" s="103">
        <v>16.0</v>
      </c>
      <c r="N67" s="108">
        <v>933.8</v>
      </c>
      <c r="O67" s="109">
        <f t="shared" si="4"/>
        <v>0.181002356</v>
      </c>
      <c r="P67" s="110">
        <f t="shared" si="5"/>
        <v>5.524789966</v>
      </c>
      <c r="Q67" s="109">
        <f t="shared" si="6"/>
        <v>0.02179789424</v>
      </c>
      <c r="R67" s="111">
        <f t="shared" si="7"/>
        <v>0.1204287874</v>
      </c>
      <c r="S67" s="112">
        <f t="shared" ref="S67:S83" si="21">D67-N67</f>
        <v>6820.16</v>
      </c>
      <c r="T67" s="113">
        <f t="shared" si="9"/>
        <v>10.56375</v>
      </c>
      <c r="U67" s="172"/>
      <c r="V67" s="172"/>
      <c r="W67" s="172"/>
      <c r="X67" s="172"/>
      <c r="Y67" s="173"/>
      <c r="Z67" s="165"/>
      <c r="AA67" s="165"/>
    </row>
    <row r="68" hidden="1" outlineLevel="1">
      <c r="A68" s="379"/>
      <c r="B68" s="174"/>
      <c r="C68" s="294" t="s">
        <v>33</v>
      </c>
      <c r="D68" s="175">
        <v>1654.48</v>
      </c>
      <c r="E68" s="168"/>
      <c r="F68" s="169">
        <v>21.0</v>
      </c>
      <c r="G68" s="169">
        <v>27.0</v>
      </c>
      <c r="H68" s="104">
        <f t="shared" si="1"/>
        <v>0.7777777778</v>
      </c>
      <c r="I68" s="105">
        <f t="shared" si="2"/>
        <v>78.7847619</v>
      </c>
      <c r="J68" s="106">
        <f t="shared" si="3"/>
        <v>101.2946939</v>
      </c>
      <c r="K68" s="117">
        <v>104.29</v>
      </c>
      <c r="L68" s="103">
        <v>25301.0</v>
      </c>
      <c r="M68" s="103">
        <v>4.0</v>
      </c>
      <c r="N68" s="118">
        <v>951.9</v>
      </c>
      <c r="O68" s="109">
        <f t="shared" si="4"/>
        <v>0.1095598277</v>
      </c>
      <c r="P68" s="110">
        <f t="shared" si="5"/>
        <v>9.127433119</v>
      </c>
      <c r="Q68" s="109">
        <f t="shared" si="6"/>
        <v>0.06303491127</v>
      </c>
      <c r="R68" s="111">
        <f t="shared" si="7"/>
        <v>0.5753469368</v>
      </c>
      <c r="S68" s="119">
        <f t="shared" si="21"/>
        <v>702.58</v>
      </c>
      <c r="T68" s="113">
        <f t="shared" si="9"/>
        <v>26.0725</v>
      </c>
      <c r="U68" s="172"/>
      <c r="V68" s="172"/>
      <c r="W68" s="172"/>
      <c r="X68" s="172"/>
      <c r="Y68" s="173"/>
      <c r="Z68" s="165"/>
      <c r="AA68" s="165"/>
    </row>
    <row r="69" hidden="1" outlineLevel="1">
      <c r="A69" s="379"/>
      <c r="B69" s="174"/>
      <c r="C69" s="294" t="s">
        <v>34</v>
      </c>
      <c r="D69" s="177">
        <v>0.0</v>
      </c>
      <c r="E69" s="168"/>
      <c r="F69" s="169">
        <v>0.0</v>
      </c>
      <c r="G69" s="169">
        <v>0.0</v>
      </c>
      <c r="H69" s="104" t="str">
        <f t="shared" si="1"/>
        <v>#DIV/0!</v>
      </c>
      <c r="I69" s="105" t="str">
        <f t="shared" si="2"/>
        <v>#DIV/0!</v>
      </c>
      <c r="J69" s="106" t="str">
        <f t="shared" si="3"/>
        <v>#DIV/0!</v>
      </c>
      <c r="K69" s="120">
        <v>0.0</v>
      </c>
      <c r="L69" s="103">
        <v>0.0</v>
      </c>
      <c r="M69" s="103">
        <v>0.0</v>
      </c>
      <c r="N69" s="121">
        <v>0.0</v>
      </c>
      <c r="O69" s="109" t="str">
        <f t="shared" si="4"/>
        <v>#DIV/0!</v>
      </c>
      <c r="P69" s="110" t="str">
        <f t="shared" si="5"/>
        <v>#DIV/0!</v>
      </c>
      <c r="Q69" s="109" t="str">
        <f t="shared" si="6"/>
        <v>#DIV/0!</v>
      </c>
      <c r="R69" s="111" t="str">
        <f t="shared" si="7"/>
        <v>#DIV/0!</v>
      </c>
      <c r="S69" s="122">
        <f t="shared" si="21"/>
        <v>0</v>
      </c>
      <c r="T69" s="113" t="str">
        <f t="shared" si="9"/>
        <v>#DIV/0!</v>
      </c>
      <c r="U69" s="172"/>
      <c r="V69" s="172"/>
      <c r="W69" s="172"/>
      <c r="X69" s="172"/>
      <c r="Y69" s="173"/>
      <c r="Z69" s="165"/>
      <c r="AA69" s="165"/>
    </row>
    <row r="70" hidden="1" outlineLevel="1">
      <c r="A70" s="379"/>
      <c r="B70" s="174"/>
      <c r="C70" s="294" t="s">
        <v>35</v>
      </c>
      <c r="D70" s="177">
        <v>0.0</v>
      </c>
      <c r="E70" s="168"/>
      <c r="F70" s="169">
        <v>0.0</v>
      </c>
      <c r="G70" s="169">
        <v>0.0</v>
      </c>
      <c r="H70" s="104" t="str">
        <f t="shared" si="1"/>
        <v>#DIV/0!</v>
      </c>
      <c r="I70" s="105" t="str">
        <f t="shared" si="2"/>
        <v>#DIV/0!</v>
      </c>
      <c r="J70" s="106" t="str">
        <f t="shared" si="3"/>
        <v>#DIV/0!</v>
      </c>
      <c r="K70" s="120">
        <v>0.0</v>
      </c>
      <c r="L70" s="103">
        <v>0.0</v>
      </c>
      <c r="M70" s="103">
        <v>0.0</v>
      </c>
      <c r="N70" s="121">
        <v>0.0</v>
      </c>
      <c r="O70" s="109" t="str">
        <f t="shared" si="4"/>
        <v>#DIV/0!</v>
      </c>
      <c r="P70" s="110" t="str">
        <f t="shared" si="5"/>
        <v>#DIV/0!</v>
      </c>
      <c r="Q70" s="109" t="str">
        <f t="shared" si="6"/>
        <v>#DIV/0!</v>
      </c>
      <c r="R70" s="111" t="str">
        <f t="shared" si="7"/>
        <v>#DIV/0!</v>
      </c>
      <c r="S70" s="122">
        <f t="shared" si="21"/>
        <v>0</v>
      </c>
      <c r="T70" s="113" t="str">
        <f t="shared" si="9"/>
        <v>#DIV/0!</v>
      </c>
      <c r="U70" s="172"/>
      <c r="V70" s="172"/>
      <c r="W70" s="172"/>
      <c r="X70" s="172"/>
      <c r="Y70" s="173"/>
      <c r="Z70" s="165"/>
      <c r="AA70" s="165"/>
    </row>
    <row r="71" hidden="1" outlineLevel="1">
      <c r="A71" s="379"/>
      <c r="B71" s="174"/>
      <c r="C71" s="294" t="s">
        <v>65</v>
      </c>
      <c r="D71" s="320">
        <v>0.0</v>
      </c>
      <c r="E71" s="168"/>
      <c r="F71" s="169">
        <v>0.0</v>
      </c>
      <c r="G71" s="169">
        <v>0.0</v>
      </c>
      <c r="H71" s="104" t="str">
        <f t="shared" si="1"/>
        <v>#DIV/0!</v>
      </c>
      <c r="I71" s="105" t="str">
        <f t="shared" si="2"/>
        <v>#DIV/0!</v>
      </c>
      <c r="J71" s="106" t="str">
        <f t="shared" si="3"/>
        <v>#DIV/0!</v>
      </c>
      <c r="K71" s="300">
        <v>0.0</v>
      </c>
      <c r="L71" s="103">
        <v>0.0</v>
      </c>
      <c r="M71" s="103">
        <v>0.0</v>
      </c>
      <c r="N71" s="300">
        <v>0.0</v>
      </c>
      <c r="O71" s="109" t="str">
        <f t="shared" si="4"/>
        <v>#DIV/0!</v>
      </c>
      <c r="P71" s="110" t="str">
        <f t="shared" si="5"/>
        <v>#DIV/0!</v>
      </c>
      <c r="Q71" s="109" t="str">
        <f t="shared" si="6"/>
        <v>#DIV/0!</v>
      </c>
      <c r="R71" s="111" t="str">
        <f t="shared" si="7"/>
        <v>#DIV/0!</v>
      </c>
      <c r="S71" s="122">
        <f t="shared" si="21"/>
        <v>0</v>
      </c>
      <c r="T71" s="113" t="str">
        <f t="shared" si="9"/>
        <v>#DIV/0!</v>
      </c>
      <c r="U71" s="172"/>
      <c r="V71" s="172"/>
      <c r="W71" s="172"/>
      <c r="X71" s="172"/>
      <c r="Y71" s="173"/>
      <c r="Z71" s="165"/>
      <c r="AA71" s="165"/>
    </row>
    <row r="72" hidden="1" outlineLevel="1">
      <c r="A72" s="379"/>
      <c r="B72" s="174"/>
      <c r="C72" s="294" t="s">
        <v>85</v>
      </c>
      <c r="D72" s="321">
        <v>64.95</v>
      </c>
      <c r="E72" s="168"/>
      <c r="F72" s="169">
        <v>1.0</v>
      </c>
      <c r="G72" s="169">
        <v>1.0</v>
      </c>
      <c r="H72" s="104">
        <f t="shared" si="1"/>
        <v>1</v>
      </c>
      <c r="I72" s="105">
        <f t="shared" si="2"/>
        <v>64.95</v>
      </c>
      <c r="J72" s="106">
        <f t="shared" si="3"/>
        <v>64.95</v>
      </c>
      <c r="K72" s="302">
        <v>42.63</v>
      </c>
      <c r="L72" s="103">
        <v>7041.0</v>
      </c>
      <c r="M72" s="103">
        <v>3.0</v>
      </c>
      <c r="N72" s="303">
        <v>184.93</v>
      </c>
      <c r="O72" s="109">
        <f t="shared" si="4"/>
        <v>0.2305196561</v>
      </c>
      <c r="P72" s="110">
        <f t="shared" si="5"/>
        <v>4.338024865</v>
      </c>
      <c r="Q72" s="109">
        <f t="shared" si="6"/>
        <v>0.6563510393</v>
      </c>
      <c r="R72" s="111">
        <f t="shared" si="7"/>
        <v>2.847267129</v>
      </c>
      <c r="S72" s="304">
        <f t="shared" si="21"/>
        <v>-119.98</v>
      </c>
      <c r="T72" s="113">
        <f t="shared" si="9"/>
        <v>14.21</v>
      </c>
      <c r="U72" s="172"/>
      <c r="V72" s="172"/>
      <c r="W72" s="172"/>
      <c r="X72" s="172"/>
      <c r="Y72" s="173"/>
      <c r="Z72" s="165"/>
      <c r="AA72" s="165"/>
    </row>
    <row r="73" hidden="1" outlineLevel="1">
      <c r="A73" s="379"/>
      <c r="B73" s="174"/>
      <c r="C73" s="294" t="s">
        <v>36</v>
      </c>
      <c r="D73" s="177">
        <v>929.86</v>
      </c>
      <c r="E73" s="168"/>
      <c r="F73" s="169">
        <v>14.0</v>
      </c>
      <c r="G73" s="169">
        <v>14.0</v>
      </c>
      <c r="H73" s="104">
        <f t="shared" si="1"/>
        <v>1</v>
      </c>
      <c r="I73" s="105">
        <f t="shared" si="2"/>
        <v>66.41857143</v>
      </c>
      <c r="J73" s="106">
        <f t="shared" si="3"/>
        <v>66.41857143</v>
      </c>
      <c r="K73" s="120">
        <v>123.76</v>
      </c>
      <c r="L73" s="103">
        <v>5860.0</v>
      </c>
      <c r="M73" s="103">
        <v>3.0</v>
      </c>
      <c r="N73" s="121">
        <v>199.85</v>
      </c>
      <c r="O73" s="109">
        <f t="shared" si="4"/>
        <v>0.6192644483</v>
      </c>
      <c r="P73" s="110">
        <f t="shared" si="5"/>
        <v>1.614819005</v>
      </c>
      <c r="Q73" s="109">
        <f t="shared" si="6"/>
        <v>0.1330953047</v>
      </c>
      <c r="R73" s="111">
        <f t="shared" si="7"/>
        <v>0.2149248274</v>
      </c>
      <c r="S73" s="122">
        <f t="shared" si="21"/>
        <v>730.01</v>
      </c>
      <c r="T73" s="113">
        <f t="shared" si="9"/>
        <v>41.25333333</v>
      </c>
      <c r="U73" s="172"/>
      <c r="V73" s="172"/>
      <c r="W73" s="172"/>
      <c r="X73" s="172"/>
      <c r="Y73" s="173"/>
      <c r="Z73" s="165"/>
      <c r="AA73" s="165"/>
    </row>
    <row r="74" hidden="1" outlineLevel="1">
      <c r="A74" s="379"/>
      <c r="B74" s="99" t="s">
        <v>37</v>
      </c>
      <c r="C74" s="294" t="s">
        <v>38</v>
      </c>
      <c r="D74" s="180">
        <v>1117.44</v>
      </c>
      <c r="E74" s="168"/>
      <c r="F74" s="169">
        <v>19.0</v>
      </c>
      <c r="G74" s="169">
        <v>20.0</v>
      </c>
      <c r="H74" s="104">
        <f t="shared" si="1"/>
        <v>0.95</v>
      </c>
      <c r="I74" s="105">
        <f t="shared" si="2"/>
        <v>58.81263158</v>
      </c>
      <c r="J74" s="106">
        <f t="shared" si="3"/>
        <v>61.90803324</v>
      </c>
      <c r="K74" s="123">
        <v>143.4</v>
      </c>
      <c r="L74" s="103">
        <v>20285.0</v>
      </c>
      <c r="M74" s="103">
        <v>7.0</v>
      </c>
      <c r="N74" s="124">
        <v>107.8</v>
      </c>
      <c r="O74" s="109">
        <f t="shared" si="4"/>
        <v>1.330241187</v>
      </c>
      <c r="P74" s="110">
        <f t="shared" si="5"/>
        <v>0.7517433752</v>
      </c>
      <c r="Q74" s="109">
        <f t="shared" si="6"/>
        <v>0.1283290378</v>
      </c>
      <c r="R74" s="111">
        <f t="shared" si="7"/>
        <v>0.09647050401</v>
      </c>
      <c r="S74" s="125">
        <f t="shared" si="21"/>
        <v>1009.64</v>
      </c>
      <c r="T74" s="113">
        <f t="shared" si="9"/>
        <v>20.48571429</v>
      </c>
      <c r="U74" s="172"/>
      <c r="V74" s="172"/>
      <c r="W74" s="172"/>
      <c r="X74" s="172"/>
      <c r="Y74" s="173"/>
      <c r="Z74" s="165"/>
      <c r="AA74" s="165"/>
    </row>
    <row r="75" hidden="1" outlineLevel="1">
      <c r="A75" s="379"/>
      <c r="B75" s="174"/>
      <c r="C75" s="294" t="s">
        <v>39</v>
      </c>
      <c r="D75" s="182">
        <v>99.95</v>
      </c>
      <c r="E75" s="168"/>
      <c r="F75" s="169">
        <v>1.0</v>
      </c>
      <c r="G75" s="169">
        <v>1.0</v>
      </c>
      <c r="H75" s="104">
        <f t="shared" si="1"/>
        <v>1</v>
      </c>
      <c r="I75" s="105">
        <f t="shared" si="2"/>
        <v>99.95</v>
      </c>
      <c r="J75" s="106">
        <f t="shared" si="3"/>
        <v>99.95</v>
      </c>
      <c r="K75" s="126">
        <v>108.68</v>
      </c>
      <c r="L75" s="103">
        <v>119332.0</v>
      </c>
      <c r="M75" s="103">
        <v>0.0</v>
      </c>
      <c r="N75" s="127">
        <v>0.0</v>
      </c>
      <c r="O75" s="109" t="str">
        <f t="shared" si="4"/>
        <v>#DIV/0!</v>
      </c>
      <c r="P75" s="110">
        <f t="shared" si="5"/>
        <v>0</v>
      </c>
      <c r="Q75" s="109">
        <f t="shared" si="6"/>
        <v>1.087343672</v>
      </c>
      <c r="R75" s="111">
        <f t="shared" si="7"/>
        <v>0</v>
      </c>
      <c r="S75" s="128">
        <f t="shared" si="21"/>
        <v>99.95</v>
      </c>
      <c r="T75" s="113" t="str">
        <f t="shared" si="9"/>
        <v>#DIV/0!</v>
      </c>
      <c r="U75" s="172"/>
      <c r="V75" s="172"/>
      <c r="W75" s="172"/>
      <c r="X75" s="172"/>
      <c r="Y75" s="173"/>
      <c r="Z75" s="165"/>
      <c r="AA75" s="165"/>
    </row>
    <row r="76" hidden="1" outlineLevel="1">
      <c r="A76" s="379"/>
      <c r="B76" s="174"/>
      <c r="C76" s="294" t="s">
        <v>40</v>
      </c>
      <c r="D76" s="184">
        <v>-54.95</v>
      </c>
      <c r="E76" s="168"/>
      <c r="F76" s="169">
        <v>-1.0</v>
      </c>
      <c r="G76" s="169">
        <v>0.0</v>
      </c>
      <c r="H76" s="104" t="str">
        <f t="shared" si="1"/>
        <v>#DIV/0!</v>
      </c>
      <c r="I76" s="105">
        <f t="shared" si="2"/>
        <v>54.95</v>
      </c>
      <c r="J76" s="106" t="str">
        <f t="shared" si="3"/>
        <v>#DIV/0!</v>
      </c>
      <c r="K76" s="129">
        <v>0.0</v>
      </c>
      <c r="L76" s="103">
        <v>0.0</v>
      </c>
      <c r="M76" s="103">
        <v>0.0</v>
      </c>
      <c r="N76" s="130">
        <v>0.0</v>
      </c>
      <c r="O76" s="109" t="str">
        <f t="shared" si="4"/>
        <v>#DIV/0!</v>
      </c>
      <c r="P76" s="110" t="str">
        <f t="shared" si="5"/>
        <v>#DIV/0!</v>
      </c>
      <c r="Q76" s="109">
        <f t="shared" si="6"/>
        <v>0</v>
      </c>
      <c r="R76" s="111">
        <f t="shared" si="7"/>
        <v>0</v>
      </c>
      <c r="S76" s="131">
        <f t="shared" si="21"/>
        <v>-54.95</v>
      </c>
      <c r="T76" s="113" t="str">
        <f t="shared" si="9"/>
        <v>#DIV/0!</v>
      </c>
      <c r="U76" s="172"/>
      <c r="V76" s="172"/>
      <c r="W76" s="172"/>
      <c r="X76" s="172"/>
      <c r="Y76" s="173"/>
      <c r="Z76" s="165"/>
      <c r="AA76" s="165"/>
    </row>
    <row r="77" hidden="1" outlineLevel="1">
      <c r="A77" s="379"/>
      <c r="B77" s="174"/>
      <c r="C77" s="294" t="s">
        <v>41</v>
      </c>
      <c r="D77" s="186">
        <v>2116.55</v>
      </c>
      <c r="E77" s="168"/>
      <c r="F77" s="169">
        <v>32.0</v>
      </c>
      <c r="G77" s="169">
        <v>29.0</v>
      </c>
      <c r="H77" s="104">
        <f t="shared" si="1"/>
        <v>1.103448276</v>
      </c>
      <c r="I77" s="105">
        <f t="shared" si="2"/>
        <v>66.1421875</v>
      </c>
      <c r="J77" s="106">
        <f t="shared" si="3"/>
        <v>59.94135742</v>
      </c>
      <c r="K77" s="132">
        <v>119.38</v>
      </c>
      <c r="L77" s="103">
        <v>28955.0</v>
      </c>
      <c r="M77" s="103">
        <v>12.0</v>
      </c>
      <c r="N77" s="133">
        <v>1170.25</v>
      </c>
      <c r="O77" s="109">
        <f t="shared" si="4"/>
        <v>0.1020123905</v>
      </c>
      <c r="P77" s="110">
        <f t="shared" si="5"/>
        <v>9.802730776</v>
      </c>
      <c r="Q77" s="109">
        <f t="shared" si="6"/>
        <v>0.05640310883</v>
      </c>
      <c r="R77" s="111">
        <f t="shared" si="7"/>
        <v>0.5529044908</v>
      </c>
      <c r="S77" s="134">
        <f t="shared" si="21"/>
        <v>946.3</v>
      </c>
      <c r="T77" s="113">
        <f t="shared" si="9"/>
        <v>9.948333333</v>
      </c>
      <c r="U77" s="172"/>
      <c r="V77" s="172"/>
      <c r="W77" s="172"/>
      <c r="X77" s="172"/>
      <c r="Y77" s="173"/>
      <c r="Z77" s="165"/>
      <c r="AA77" s="165"/>
    </row>
    <row r="78" hidden="1" outlineLevel="1">
      <c r="A78" s="379"/>
      <c r="B78" s="174"/>
      <c r="C78" s="294" t="s">
        <v>42</v>
      </c>
      <c r="D78" s="177">
        <v>29.98</v>
      </c>
      <c r="E78" s="168"/>
      <c r="F78" s="169">
        <v>2.0</v>
      </c>
      <c r="G78" s="169">
        <v>2.0</v>
      </c>
      <c r="H78" s="104">
        <f t="shared" si="1"/>
        <v>1</v>
      </c>
      <c r="I78" s="105">
        <f t="shared" si="2"/>
        <v>14.99</v>
      </c>
      <c r="J78" s="106">
        <f t="shared" si="3"/>
        <v>14.99</v>
      </c>
      <c r="K78" s="120">
        <v>16.17</v>
      </c>
      <c r="L78" s="103">
        <v>22820.0</v>
      </c>
      <c r="M78" s="103">
        <v>0.0</v>
      </c>
      <c r="N78" s="121">
        <v>0.0</v>
      </c>
      <c r="O78" s="109" t="str">
        <f t="shared" si="4"/>
        <v>#DIV/0!</v>
      </c>
      <c r="P78" s="110">
        <f t="shared" si="5"/>
        <v>0</v>
      </c>
      <c r="Q78" s="109">
        <f t="shared" si="6"/>
        <v>0.539359573</v>
      </c>
      <c r="R78" s="111">
        <f t="shared" si="7"/>
        <v>0</v>
      </c>
      <c r="S78" s="122">
        <f t="shared" si="21"/>
        <v>29.98</v>
      </c>
      <c r="T78" s="113" t="str">
        <f t="shared" si="9"/>
        <v>#DIV/0!</v>
      </c>
      <c r="U78" s="172"/>
      <c r="V78" s="172"/>
      <c r="W78" s="172"/>
      <c r="X78" s="172"/>
      <c r="Y78" s="173"/>
      <c r="Z78" s="165"/>
      <c r="AA78" s="165"/>
    </row>
    <row r="79" hidden="1" outlineLevel="1">
      <c r="A79" s="379"/>
      <c r="B79" s="174"/>
      <c r="C79" s="294" t="s">
        <v>43</v>
      </c>
      <c r="D79" s="188">
        <v>39.0</v>
      </c>
      <c r="E79" s="168"/>
      <c r="F79" s="169">
        <v>0.0</v>
      </c>
      <c r="G79" s="169">
        <v>1.0</v>
      </c>
      <c r="H79" s="104">
        <f t="shared" si="1"/>
        <v>0</v>
      </c>
      <c r="I79" s="105" t="str">
        <f t="shared" si="2"/>
        <v>#DIV/0!</v>
      </c>
      <c r="J79" s="106" t="str">
        <f t="shared" si="3"/>
        <v>#DIV/0!</v>
      </c>
      <c r="K79" s="135">
        <v>13.25</v>
      </c>
      <c r="L79" s="103">
        <v>21425.0</v>
      </c>
      <c r="M79" s="103">
        <v>0.0</v>
      </c>
      <c r="N79" s="136">
        <v>0.0</v>
      </c>
      <c r="O79" s="109" t="str">
        <f t="shared" si="4"/>
        <v>#DIV/0!</v>
      </c>
      <c r="P79" s="110">
        <f t="shared" si="5"/>
        <v>0</v>
      </c>
      <c r="Q79" s="109">
        <f t="shared" si="6"/>
        <v>0.3397435897</v>
      </c>
      <c r="R79" s="111">
        <f t="shared" si="7"/>
        <v>0</v>
      </c>
      <c r="S79" s="137">
        <f t="shared" si="21"/>
        <v>39</v>
      </c>
      <c r="T79" s="113" t="str">
        <f t="shared" si="9"/>
        <v>#DIV/0!</v>
      </c>
      <c r="U79" s="172"/>
      <c r="V79" s="172"/>
      <c r="W79" s="172"/>
      <c r="X79" s="172"/>
      <c r="Y79" s="173"/>
      <c r="Z79" s="165"/>
      <c r="AA79" s="165"/>
    </row>
    <row r="80" hidden="1" outlineLevel="1">
      <c r="A80" s="379"/>
      <c r="B80" s="174"/>
      <c r="C80" s="294" t="s">
        <v>44</v>
      </c>
      <c r="D80" s="190">
        <v>59.95</v>
      </c>
      <c r="E80" s="168"/>
      <c r="F80" s="169">
        <v>1.0</v>
      </c>
      <c r="G80" s="169">
        <v>1.0</v>
      </c>
      <c r="H80" s="104">
        <f t="shared" si="1"/>
        <v>1</v>
      </c>
      <c r="I80" s="105">
        <f t="shared" si="2"/>
        <v>59.95</v>
      </c>
      <c r="J80" s="106">
        <f t="shared" si="3"/>
        <v>59.95</v>
      </c>
      <c r="K80" s="138">
        <v>4.85</v>
      </c>
      <c r="L80" s="103">
        <v>1339.0</v>
      </c>
      <c r="M80" s="103">
        <v>1.0</v>
      </c>
      <c r="N80" s="139">
        <v>59.95</v>
      </c>
      <c r="O80" s="109">
        <f t="shared" si="4"/>
        <v>0.08090075063</v>
      </c>
      <c r="P80" s="110">
        <f t="shared" si="5"/>
        <v>12.36082474</v>
      </c>
      <c r="Q80" s="109">
        <f t="shared" si="6"/>
        <v>0.08090075063</v>
      </c>
      <c r="R80" s="111">
        <f t="shared" si="7"/>
        <v>1</v>
      </c>
      <c r="S80" s="140">
        <f t="shared" si="21"/>
        <v>0</v>
      </c>
      <c r="T80" s="113">
        <f t="shared" si="9"/>
        <v>4.85</v>
      </c>
      <c r="U80" s="172"/>
      <c r="V80" s="172"/>
      <c r="W80" s="172"/>
      <c r="X80" s="172"/>
      <c r="Y80" s="173"/>
      <c r="Z80" s="165"/>
      <c r="AA80" s="165"/>
    </row>
    <row r="81" hidden="1" outlineLevel="1">
      <c r="A81" s="361"/>
      <c r="B81" s="174"/>
      <c r="C81" s="380" t="s">
        <v>45</v>
      </c>
      <c r="D81" s="167">
        <v>419.93</v>
      </c>
      <c r="E81" s="168"/>
      <c r="F81" s="169">
        <v>7.0</v>
      </c>
      <c r="G81" s="169">
        <v>6.0</v>
      </c>
      <c r="H81" s="104">
        <f t="shared" si="1"/>
        <v>1.166666667</v>
      </c>
      <c r="I81" s="105">
        <f t="shared" si="2"/>
        <v>59.99</v>
      </c>
      <c r="J81" s="106">
        <f t="shared" si="3"/>
        <v>51.42</v>
      </c>
      <c r="K81" s="101">
        <v>0.0</v>
      </c>
      <c r="L81" s="103">
        <v>37401.0</v>
      </c>
      <c r="M81" s="103">
        <v>0.0</v>
      </c>
      <c r="N81" s="108">
        <v>251.72</v>
      </c>
      <c r="O81" s="109">
        <f t="shared" si="4"/>
        <v>0</v>
      </c>
      <c r="P81" s="110" t="str">
        <f t="shared" si="5"/>
        <v>#DIV/0!</v>
      </c>
      <c r="Q81" s="109">
        <f t="shared" si="6"/>
        <v>0</v>
      </c>
      <c r="R81" s="111">
        <f t="shared" si="7"/>
        <v>0.5994332389</v>
      </c>
      <c r="S81" s="112">
        <f t="shared" si="21"/>
        <v>168.21</v>
      </c>
      <c r="T81" s="113" t="str">
        <f t="shared" si="9"/>
        <v>#DIV/0!</v>
      </c>
      <c r="U81" s="193"/>
      <c r="V81" s="193"/>
      <c r="W81" s="193"/>
      <c r="X81" s="194"/>
      <c r="Y81" s="195"/>
      <c r="Z81" s="165"/>
      <c r="AA81" s="165"/>
    </row>
    <row r="82" hidden="1" outlineLevel="1">
      <c r="A82" s="379"/>
      <c r="B82" s="174"/>
      <c r="C82" s="294" t="s">
        <v>46</v>
      </c>
      <c r="D82" s="196">
        <v>472.87</v>
      </c>
      <c r="E82" s="168"/>
      <c r="F82" s="169">
        <v>13.0</v>
      </c>
      <c r="G82" s="169">
        <v>13.0</v>
      </c>
      <c r="H82" s="104">
        <f t="shared" si="1"/>
        <v>1</v>
      </c>
      <c r="I82" s="105">
        <f t="shared" si="2"/>
        <v>36.37461538</v>
      </c>
      <c r="J82" s="106">
        <f t="shared" si="3"/>
        <v>36.37461538</v>
      </c>
      <c r="K82" s="146">
        <v>120.98</v>
      </c>
      <c r="L82" s="103">
        <v>0.0</v>
      </c>
      <c r="M82" s="103">
        <v>8.0</v>
      </c>
      <c r="N82" s="147">
        <v>0.0</v>
      </c>
      <c r="O82" s="109" t="str">
        <f t="shared" si="4"/>
        <v>#DIV/0!</v>
      </c>
      <c r="P82" s="110">
        <f t="shared" si="5"/>
        <v>0</v>
      </c>
      <c r="Q82" s="109">
        <f t="shared" si="6"/>
        <v>0.2558419862</v>
      </c>
      <c r="R82" s="111">
        <f t="shared" si="7"/>
        <v>0</v>
      </c>
      <c r="S82" s="112">
        <f t="shared" si="21"/>
        <v>472.87</v>
      </c>
      <c r="T82" s="113">
        <f t="shared" si="9"/>
        <v>15.1225</v>
      </c>
      <c r="U82" s="172"/>
      <c r="V82" s="172"/>
      <c r="W82" s="172"/>
      <c r="X82" s="172"/>
      <c r="Y82" s="173"/>
      <c r="Z82" s="165"/>
      <c r="AA82" s="165"/>
    </row>
    <row r="83" hidden="1" outlineLevel="1">
      <c r="A83" s="310" t="str">
        <f t="shared" ref="A83:A84" si="22">iferror(if(B83&gt;0,month(B83)&amp;"-"&amp;year(B83),B83),)</f>
        <v>1-2025</v>
      </c>
      <c r="B83" s="99">
        <v>45668.0</v>
      </c>
      <c r="C83" s="294" t="s">
        <v>49</v>
      </c>
      <c r="D83" s="196">
        <v>0.0</v>
      </c>
      <c r="E83" s="168"/>
      <c r="F83" s="169">
        <v>0.0</v>
      </c>
      <c r="G83" s="169">
        <v>0.0</v>
      </c>
      <c r="H83" s="104" t="str">
        <f t="shared" si="1"/>
        <v>#DIV/0!</v>
      </c>
      <c r="I83" s="105" t="str">
        <f t="shared" si="2"/>
        <v>#DIV/0!</v>
      </c>
      <c r="J83" s="106" t="str">
        <f t="shared" si="3"/>
        <v>#DIV/0!</v>
      </c>
      <c r="K83" s="146">
        <v>3.71</v>
      </c>
      <c r="L83" s="103">
        <v>6184.0</v>
      </c>
      <c r="M83" s="103">
        <v>0.0</v>
      </c>
      <c r="N83" s="147">
        <v>0.0</v>
      </c>
      <c r="O83" s="109" t="str">
        <f t="shared" si="4"/>
        <v>#DIV/0!</v>
      </c>
      <c r="P83" s="110">
        <f t="shared" si="5"/>
        <v>0</v>
      </c>
      <c r="Q83" s="109" t="str">
        <f t="shared" si="6"/>
        <v>#DIV/0!</v>
      </c>
      <c r="R83" s="111" t="str">
        <f t="shared" si="7"/>
        <v>#DIV/0!</v>
      </c>
      <c r="S83" s="112">
        <f t="shared" si="21"/>
        <v>0</v>
      </c>
      <c r="T83" s="113" t="str">
        <f t="shared" si="9"/>
        <v>#DIV/0!</v>
      </c>
      <c r="U83" s="172"/>
      <c r="V83" s="172"/>
      <c r="W83" s="172"/>
      <c r="X83" s="172"/>
      <c r="Y83" s="173"/>
      <c r="Z83" s="165"/>
      <c r="AA83" s="165"/>
    </row>
    <row r="84" collapsed="1">
      <c r="A84" s="361" t="str">
        <f t="shared" si="22"/>
        <v/>
      </c>
      <c r="B84" s="362" t="s">
        <v>89</v>
      </c>
      <c r="C84" s="363"/>
      <c r="D84" s="364">
        <f>SUM(D67:D83)</f>
        <v>14703.97</v>
      </c>
      <c r="E84" s="365"/>
      <c r="F84" s="366">
        <f t="shared" ref="F84:G84" si="23">SUM(F67:F83)</f>
        <v>134</v>
      </c>
      <c r="G84" s="366">
        <f t="shared" si="23"/>
        <v>141</v>
      </c>
      <c r="H84" s="367">
        <f t="shared" si="1"/>
        <v>0.9503546099</v>
      </c>
      <c r="I84" s="365">
        <f t="shared" si="2"/>
        <v>109.7311194</v>
      </c>
      <c r="J84" s="368">
        <f t="shared" si="3"/>
        <v>115.4633421</v>
      </c>
      <c r="K84" s="369">
        <f t="shared" ref="K84:N84" si="24">SUM(K67:K83)</f>
        <v>970.12</v>
      </c>
      <c r="L84" s="366">
        <f t="shared" si="24"/>
        <v>340522</v>
      </c>
      <c r="M84" s="366">
        <f t="shared" si="24"/>
        <v>54</v>
      </c>
      <c r="N84" s="364">
        <f t="shared" si="24"/>
        <v>3860.2</v>
      </c>
      <c r="O84" s="371">
        <f t="shared" si="4"/>
        <v>0.2513134035</v>
      </c>
      <c r="P84" s="372">
        <f t="shared" si="5"/>
        <v>3.97909537</v>
      </c>
      <c r="Q84" s="371">
        <f t="shared" si="6"/>
        <v>0.06597673962</v>
      </c>
      <c r="R84" s="373">
        <f t="shared" si="7"/>
        <v>0.2625277391</v>
      </c>
      <c r="S84" s="374">
        <f>SUM(S67:S83)</f>
        <v>10843.77</v>
      </c>
      <c r="T84" s="375">
        <f t="shared" si="9"/>
        <v>17.96518519</v>
      </c>
      <c r="U84" s="376" t="str">
        <f>IFERROR((D84-#REF!)/D84,)</f>
        <v/>
      </c>
      <c r="V84" s="376" t="str">
        <f>IFERROR((F84-#REF!)/F84,)</f>
        <v/>
      </c>
      <c r="W84" s="377" t="str">
        <f>IFERROR((D84-monthly_reporting_2021!E49)/D84, )</f>
        <v/>
      </c>
      <c r="X84" s="378" t="str">
        <f>IFERROR((F84-monthly_reporting_2021!F49)/F84, )</f>
        <v/>
      </c>
      <c r="Y84" s="165"/>
      <c r="Z84" s="165"/>
      <c r="AA84" s="165"/>
    </row>
    <row r="85" hidden="1" outlineLevel="1">
      <c r="A85" s="379"/>
      <c r="B85" s="99">
        <v>45669.0</v>
      </c>
      <c r="C85" s="294" t="s">
        <v>32</v>
      </c>
      <c r="D85" s="167">
        <v>10610.64</v>
      </c>
      <c r="E85" s="168"/>
      <c r="F85" s="169">
        <v>26.0</v>
      </c>
      <c r="G85" s="169">
        <v>31.0</v>
      </c>
      <c r="H85" s="104">
        <f t="shared" si="1"/>
        <v>0.8387096774</v>
      </c>
      <c r="I85" s="105">
        <f t="shared" si="2"/>
        <v>408.1015385</v>
      </c>
      <c r="J85" s="106">
        <f t="shared" si="3"/>
        <v>486.5826036</v>
      </c>
      <c r="K85" s="107">
        <v>89.05</v>
      </c>
      <c r="L85" s="103">
        <v>25999.0</v>
      </c>
      <c r="M85" s="103">
        <v>10.0</v>
      </c>
      <c r="N85" s="108">
        <v>2795.9</v>
      </c>
      <c r="O85" s="109">
        <f t="shared" si="4"/>
        <v>0.03185020923</v>
      </c>
      <c r="P85" s="110">
        <f t="shared" si="5"/>
        <v>31.396968</v>
      </c>
      <c r="Q85" s="109">
        <f t="shared" si="6"/>
        <v>0.008392519207</v>
      </c>
      <c r="R85" s="111">
        <f t="shared" si="7"/>
        <v>0.2634996569</v>
      </c>
      <c r="S85" s="112">
        <f t="shared" ref="S85:S101" si="25">D85-N85</f>
        <v>7814.74</v>
      </c>
      <c r="T85" s="113">
        <f t="shared" si="9"/>
        <v>8.905</v>
      </c>
      <c r="U85" s="172"/>
      <c r="V85" s="172"/>
      <c r="W85" s="172"/>
      <c r="X85" s="172"/>
      <c r="Y85" s="173"/>
      <c r="Z85" s="165"/>
      <c r="AA85" s="165"/>
    </row>
    <row r="86" hidden="1" outlineLevel="1">
      <c r="A86" s="379"/>
      <c r="B86" s="174"/>
      <c r="C86" s="294" t="s">
        <v>33</v>
      </c>
      <c r="D86" s="175">
        <v>-422.05</v>
      </c>
      <c r="E86" s="168"/>
      <c r="F86" s="169">
        <v>14.0</v>
      </c>
      <c r="G86" s="169">
        <v>20.0</v>
      </c>
      <c r="H86" s="104">
        <f t="shared" si="1"/>
        <v>0.7</v>
      </c>
      <c r="I86" s="105">
        <f t="shared" si="2"/>
        <v>-30.14642857</v>
      </c>
      <c r="J86" s="106">
        <f t="shared" si="3"/>
        <v>-43.06632653</v>
      </c>
      <c r="K86" s="117">
        <v>129.86</v>
      </c>
      <c r="L86" s="103">
        <v>35081.0</v>
      </c>
      <c r="M86" s="103">
        <v>1.0</v>
      </c>
      <c r="N86" s="118">
        <v>0.0</v>
      </c>
      <c r="O86" s="109" t="str">
        <f t="shared" si="4"/>
        <v>#DIV/0!</v>
      </c>
      <c r="P86" s="110">
        <f t="shared" si="5"/>
        <v>0</v>
      </c>
      <c r="Q86" s="109">
        <f t="shared" si="6"/>
        <v>-0.3076886625</v>
      </c>
      <c r="R86" s="111">
        <f t="shared" si="7"/>
        <v>0</v>
      </c>
      <c r="S86" s="119">
        <f t="shared" si="25"/>
        <v>-422.05</v>
      </c>
      <c r="T86" s="113">
        <f t="shared" si="9"/>
        <v>129.86</v>
      </c>
      <c r="U86" s="172"/>
      <c r="V86" s="172"/>
      <c r="W86" s="172"/>
      <c r="X86" s="172"/>
      <c r="Y86" s="173"/>
      <c r="Z86" s="165"/>
      <c r="AA86" s="165"/>
    </row>
    <row r="87" hidden="1" outlineLevel="1">
      <c r="A87" s="379"/>
      <c r="B87" s="174"/>
      <c r="C87" s="294" t="s">
        <v>34</v>
      </c>
      <c r="D87" s="177">
        <v>0.0</v>
      </c>
      <c r="E87" s="168"/>
      <c r="F87" s="169">
        <v>0.0</v>
      </c>
      <c r="G87" s="169">
        <v>0.0</v>
      </c>
      <c r="H87" s="104" t="str">
        <f t="shared" si="1"/>
        <v>#DIV/0!</v>
      </c>
      <c r="I87" s="105" t="str">
        <f t="shared" si="2"/>
        <v>#DIV/0!</v>
      </c>
      <c r="J87" s="106" t="str">
        <f t="shared" si="3"/>
        <v>#DIV/0!</v>
      </c>
      <c r="K87" s="120">
        <v>0.0</v>
      </c>
      <c r="L87" s="103">
        <v>0.0</v>
      </c>
      <c r="M87" s="103">
        <v>0.0</v>
      </c>
      <c r="N87" s="121">
        <v>0.0</v>
      </c>
      <c r="O87" s="109" t="str">
        <f t="shared" si="4"/>
        <v>#DIV/0!</v>
      </c>
      <c r="P87" s="110" t="str">
        <f t="shared" si="5"/>
        <v>#DIV/0!</v>
      </c>
      <c r="Q87" s="109" t="str">
        <f t="shared" si="6"/>
        <v>#DIV/0!</v>
      </c>
      <c r="R87" s="111" t="str">
        <f t="shared" si="7"/>
        <v>#DIV/0!</v>
      </c>
      <c r="S87" s="122">
        <f t="shared" si="25"/>
        <v>0</v>
      </c>
      <c r="T87" s="113" t="str">
        <f t="shared" si="9"/>
        <v>#DIV/0!</v>
      </c>
      <c r="U87" s="172"/>
      <c r="V87" s="172"/>
      <c r="W87" s="172"/>
      <c r="X87" s="172"/>
      <c r="Y87" s="173"/>
      <c r="Z87" s="165"/>
      <c r="AA87" s="165"/>
    </row>
    <row r="88" hidden="1" outlineLevel="1">
      <c r="A88" s="379"/>
      <c r="B88" s="174"/>
      <c r="C88" s="294" t="s">
        <v>35</v>
      </c>
      <c r="D88" s="177">
        <v>251.8</v>
      </c>
      <c r="E88" s="168"/>
      <c r="F88" s="169">
        <v>4.0</v>
      </c>
      <c r="G88" s="169">
        <v>2.0</v>
      </c>
      <c r="H88" s="104">
        <f t="shared" si="1"/>
        <v>2</v>
      </c>
      <c r="I88" s="105">
        <f t="shared" si="2"/>
        <v>62.95</v>
      </c>
      <c r="J88" s="106">
        <f t="shared" si="3"/>
        <v>31.475</v>
      </c>
      <c r="K88" s="120">
        <v>0.0</v>
      </c>
      <c r="L88" s="103">
        <v>0.0</v>
      </c>
      <c r="M88" s="103">
        <v>0.0</v>
      </c>
      <c r="N88" s="121">
        <v>0.0</v>
      </c>
      <c r="O88" s="109" t="str">
        <f t="shared" si="4"/>
        <v>#DIV/0!</v>
      </c>
      <c r="P88" s="110" t="str">
        <f t="shared" si="5"/>
        <v>#DIV/0!</v>
      </c>
      <c r="Q88" s="109">
        <f t="shared" si="6"/>
        <v>0</v>
      </c>
      <c r="R88" s="111">
        <f t="shared" si="7"/>
        <v>0</v>
      </c>
      <c r="S88" s="122">
        <f t="shared" si="25"/>
        <v>251.8</v>
      </c>
      <c r="T88" s="113" t="str">
        <f t="shared" si="9"/>
        <v>#DIV/0!</v>
      </c>
      <c r="U88" s="172"/>
      <c r="V88" s="172"/>
      <c r="W88" s="172"/>
      <c r="X88" s="172"/>
      <c r="Y88" s="173"/>
      <c r="Z88" s="165"/>
      <c r="AA88" s="165"/>
    </row>
    <row r="89" hidden="1" outlineLevel="1">
      <c r="A89" s="379"/>
      <c r="B89" s="174"/>
      <c r="C89" s="294" t="s">
        <v>65</v>
      </c>
      <c r="D89" s="320">
        <v>0.0</v>
      </c>
      <c r="E89" s="168"/>
      <c r="F89" s="169">
        <v>0.0</v>
      </c>
      <c r="G89" s="169">
        <v>0.0</v>
      </c>
      <c r="H89" s="104" t="str">
        <f t="shared" si="1"/>
        <v>#DIV/0!</v>
      </c>
      <c r="I89" s="105" t="str">
        <f t="shared" si="2"/>
        <v>#DIV/0!</v>
      </c>
      <c r="J89" s="106" t="str">
        <f t="shared" si="3"/>
        <v>#DIV/0!</v>
      </c>
      <c r="K89" s="300">
        <v>0.0</v>
      </c>
      <c r="L89" s="103">
        <v>0.0</v>
      </c>
      <c r="M89" s="103">
        <v>0.0</v>
      </c>
      <c r="N89" s="300">
        <v>0.0</v>
      </c>
      <c r="O89" s="109" t="str">
        <f t="shared" si="4"/>
        <v>#DIV/0!</v>
      </c>
      <c r="P89" s="110" t="str">
        <f t="shared" si="5"/>
        <v>#DIV/0!</v>
      </c>
      <c r="Q89" s="109" t="str">
        <f t="shared" si="6"/>
        <v>#DIV/0!</v>
      </c>
      <c r="R89" s="111" t="str">
        <f t="shared" si="7"/>
        <v>#DIV/0!</v>
      </c>
      <c r="S89" s="122">
        <f t="shared" si="25"/>
        <v>0</v>
      </c>
      <c r="T89" s="113" t="str">
        <f t="shared" si="9"/>
        <v>#DIV/0!</v>
      </c>
      <c r="U89" s="172"/>
      <c r="V89" s="172"/>
      <c r="W89" s="172"/>
      <c r="X89" s="172"/>
      <c r="Y89" s="173"/>
      <c r="Z89" s="165"/>
      <c r="AA89" s="165"/>
    </row>
    <row r="90" hidden="1" outlineLevel="1">
      <c r="A90" s="379"/>
      <c r="B90" s="174"/>
      <c r="C90" s="294" t="s">
        <v>85</v>
      </c>
      <c r="D90" s="321">
        <v>0.0</v>
      </c>
      <c r="E90" s="168"/>
      <c r="F90" s="169">
        <v>0.0</v>
      </c>
      <c r="G90" s="169">
        <v>0.0</v>
      </c>
      <c r="H90" s="104" t="str">
        <f t="shared" si="1"/>
        <v>#DIV/0!</v>
      </c>
      <c r="I90" s="105" t="str">
        <f t="shared" si="2"/>
        <v>#DIV/0!</v>
      </c>
      <c r="J90" s="106" t="str">
        <f t="shared" si="3"/>
        <v>#DIV/0!</v>
      </c>
      <c r="K90" s="302">
        <v>2.13</v>
      </c>
      <c r="L90" s="103">
        <v>1611.0</v>
      </c>
      <c r="M90" s="103">
        <v>0.0</v>
      </c>
      <c r="N90" s="303">
        <v>0.0</v>
      </c>
      <c r="O90" s="109" t="str">
        <f t="shared" si="4"/>
        <v>#DIV/0!</v>
      </c>
      <c r="P90" s="110">
        <f t="shared" si="5"/>
        <v>0</v>
      </c>
      <c r="Q90" s="109" t="str">
        <f t="shared" si="6"/>
        <v>#DIV/0!</v>
      </c>
      <c r="R90" s="111" t="str">
        <f t="shared" si="7"/>
        <v>#DIV/0!</v>
      </c>
      <c r="S90" s="304">
        <f t="shared" si="25"/>
        <v>0</v>
      </c>
      <c r="T90" s="113" t="str">
        <f t="shared" si="9"/>
        <v>#DIV/0!</v>
      </c>
      <c r="U90" s="172"/>
      <c r="V90" s="172"/>
      <c r="W90" s="172"/>
      <c r="X90" s="172"/>
      <c r="Y90" s="173"/>
      <c r="Z90" s="165"/>
      <c r="AA90" s="165"/>
    </row>
    <row r="91" hidden="1" outlineLevel="1">
      <c r="A91" s="379"/>
      <c r="B91" s="174"/>
      <c r="C91" s="294" t="s">
        <v>36</v>
      </c>
      <c r="D91" s="177">
        <v>569.83</v>
      </c>
      <c r="E91" s="168"/>
      <c r="F91" s="169">
        <v>9.0</v>
      </c>
      <c r="G91" s="169">
        <v>9.0</v>
      </c>
      <c r="H91" s="104">
        <f t="shared" si="1"/>
        <v>1</v>
      </c>
      <c r="I91" s="105">
        <f t="shared" si="2"/>
        <v>63.31444444</v>
      </c>
      <c r="J91" s="106">
        <f t="shared" si="3"/>
        <v>63.31444444</v>
      </c>
      <c r="K91" s="120">
        <v>302.46</v>
      </c>
      <c r="L91" s="103">
        <v>6203.0</v>
      </c>
      <c r="M91" s="103">
        <v>1.0</v>
      </c>
      <c r="N91" s="121">
        <v>69.95</v>
      </c>
      <c r="O91" s="109">
        <f t="shared" si="4"/>
        <v>4.323945675</v>
      </c>
      <c r="P91" s="110">
        <f t="shared" si="5"/>
        <v>0.2312702506</v>
      </c>
      <c r="Q91" s="109">
        <f t="shared" si="6"/>
        <v>0.5307898847</v>
      </c>
      <c r="R91" s="111">
        <f t="shared" si="7"/>
        <v>0.1227559097</v>
      </c>
      <c r="S91" s="122">
        <f t="shared" si="25"/>
        <v>499.88</v>
      </c>
      <c r="T91" s="113">
        <f t="shared" si="9"/>
        <v>302.46</v>
      </c>
      <c r="U91" s="172"/>
      <c r="V91" s="172"/>
      <c r="W91" s="172"/>
      <c r="X91" s="172"/>
      <c r="Y91" s="173"/>
      <c r="Z91" s="165"/>
      <c r="AA91" s="165"/>
    </row>
    <row r="92" hidden="1" outlineLevel="1">
      <c r="A92" s="379"/>
      <c r="B92" s="99" t="s">
        <v>37</v>
      </c>
      <c r="C92" s="294" t="s">
        <v>38</v>
      </c>
      <c r="D92" s="180">
        <v>1344.93</v>
      </c>
      <c r="E92" s="168"/>
      <c r="F92" s="169">
        <v>27.0</v>
      </c>
      <c r="G92" s="169">
        <v>26.0</v>
      </c>
      <c r="H92" s="104">
        <f t="shared" si="1"/>
        <v>1.038461538</v>
      </c>
      <c r="I92" s="105">
        <f t="shared" si="2"/>
        <v>49.81222222</v>
      </c>
      <c r="J92" s="106">
        <f t="shared" si="3"/>
        <v>47.9673251</v>
      </c>
      <c r="K92" s="123">
        <v>153.1</v>
      </c>
      <c r="L92" s="103">
        <v>17899.0</v>
      </c>
      <c r="M92" s="103">
        <v>8.0</v>
      </c>
      <c r="N92" s="124">
        <v>249.74</v>
      </c>
      <c r="O92" s="109">
        <f t="shared" si="4"/>
        <v>0.6130375591</v>
      </c>
      <c r="P92" s="110">
        <f t="shared" si="5"/>
        <v>1.631221424</v>
      </c>
      <c r="Q92" s="109">
        <f t="shared" si="6"/>
        <v>0.1138349208</v>
      </c>
      <c r="R92" s="111">
        <f t="shared" si="7"/>
        <v>0.1856899616</v>
      </c>
      <c r="S92" s="125">
        <f t="shared" si="25"/>
        <v>1095.19</v>
      </c>
      <c r="T92" s="113">
        <f t="shared" si="9"/>
        <v>19.1375</v>
      </c>
      <c r="U92" s="172"/>
      <c r="V92" s="172"/>
      <c r="W92" s="172"/>
      <c r="X92" s="172"/>
      <c r="Y92" s="173"/>
      <c r="Z92" s="165"/>
      <c r="AA92" s="165"/>
    </row>
    <row r="93" hidden="1" outlineLevel="1">
      <c r="A93" s="379"/>
      <c r="B93" s="174"/>
      <c r="C93" s="294" t="s">
        <v>39</v>
      </c>
      <c r="D93" s="182">
        <v>0.0</v>
      </c>
      <c r="E93" s="168"/>
      <c r="F93" s="169">
        <v>0.0</v>
      </c>
      <c r="G93" s="169">
        <v>0.0</v>
      </c>
      <c r="H93" s="104" t="str">
        <f t="shared" si="1"/>
        <v>#DIV/0!</v>
      </c>
      <c r="I93" s="105" t="str">
        <f t="shared" si="2"/>
        <v>#DIV/0!</v>
      </c>
      <c r="J93" s="106" t="str">
        <f t="shared" si="3"/>
        <v>#DIV/0!</v>
      </c>
      <c r="K93" s="126">
        <v>73.57</v>
      </c>
      <c r="L93" s="103">
        <v>99519.0</v>
      </c>
      <c r="M93" s="103">
        <v>0.0</v>
      </c>
      <c r="N93" s="127">
        <v>0.0</v>
      </c>
      <c r="O93" s="109" t="str">
        <f t="shared" si="4"/>
        <v>#DIV/0!</v>
      </c>
      <c r="P93" s="110">
        <f t="shared" si="5"/>
        <v>0</v>
      </c>
      <c r="Q93" s="109" t="str">
        <f t="shared" si="6"/>
        <v>#DIV/0!</v>
      </c>
      <c r="R93" s="111" t="str">
        <f t="shared" si="7"/>
        <v>#DIV/0!</v>
      </c>
      <c r="S93" s="128">
        <f t="shared" si="25"/>
        <v>0</v>
      </c>
      <c r="T93" s="113" t="str">
        <f t="shared" si="9"/>
        <v>#DIV/0!</v>
      </c>
      <c r="U93" s="172"/>
      <c r="V93" s="172"/>
      <c r="W93" s="172"/>
      <c r="X93" s="172"/>
      <c r="Y93" s="173"/>
      <c r="Z93" s="165"/>
      <c r="AA93" s="165"/>
    </row>
    <row r="94" hidden="1" outlineLevel="1">
      <c r="A94" s="379"/>
      <c r="B94" s="174"/>
      <c r="C94" s="294" t="s">
        <v>40</v>
      </c>
      <c r="D94" s="184">
        <v>54.95</v>
      </c>
      <c r="E94" s="168"/>
      <c r="F94" s="169">
        <v>1.0</v>
      </c>
      <c r="G94" s="169">
        <v>1.0</v>
      </c>
      <c r="H94" s="104">
        <f t="shared" si="1"/>
        <v>1</v>
      </c>
      <c r="I94" s="105">
        <f t="shared" si="2"/>
        <v>54.95</v>
      </c>
      <c r="J94" s="106">
        <f t="shared" si="3"/>
        <v>54.95</v>
      </c>
      <c r="K94" s="129">
        <v>0.0</v>
      </c>
      <c r="L94" s="103">
        <v>0.0</v>
      </c>
      <c r="M94" s="103">
        <v>0.0</v>
      </c>
      <c r="N94" s="130">
        <v>0.0</v>
      </c>
      <c r="O94" s="109" t="str">
        <f t="shared" si="4"/>
        <v>#DIV/0!</v>
      </c>
      <c r="P94" s="110" t="str">
        <f t="shared" si="5"/>
        <v>#DIV/0!</v>
      </c>
      <c r="Q94" s="109">
        <f t="shared" si="6"/>
        <v>0</v>
      </c>
      <c r="R94" s="111">
        <f t="shared" si="7"/>
        <v>0</v>
      </c>
      <c r="S94" s="131">
        <f t="shared" si="25"/>
        <v>54.95</v>
      </c>
      <c r="T94" s="113" t="str">
        <f t="shared" si="9"/>
        <v>#DIV/0!</v>
      </c>
      <c r="U94" s="172"/>
      <c r="V94" s="172"/>
      <c r="W94" s="172"/>
      <c r="X94" s="172"/>
      <c r="Y94" s="173"/>
      <c r="Z94" s="165"/>
      <c r="AA94" s="165"/>
    </row>
    <row r="95" hidden="1" outlineLevel="1">
      <c r="A95" s="379"/>
      <c r="B95" s="174"/>
      <c r="C95" s="294" t="s">
        <v>41</v>
      </c>
      <c r="D95" s="186">
        <v>613.44</v>
      </c>
      <c r="E95" s="168"/>
      <c r="F95" s="169">
        <v>15.0</v>
      </c>
      <c r="G95" s="169">
        <v>16.0</v>
      </c>
      <c r="H95" s="104">
        <f t="shared" si="1"/>
        <v>0.9375</v>
      </c>
      <c r="I95" s="105">
        <f t="shared" si="2"/>
        <v>40.896</v>
      </c>
      <c r="J95" s="106">
        <f t="shared" si="3"/>
        <v>43.6224</v>
      </c>
      <c r="K95" s="132">
        <v>39.18</v>
      </c>
      <c r="L95" s="103">
        <v>5351.0</v>
      </c>
      <c r="M95" s="103">
        <v>8.0</v>
      </c>
      <c r="N95" s="133">
        <v>524.0</v>
      </c>
      <c r="O95" s="109">
        <f t="shared" si="4"/>
        <v>0.07477099237</v>
      </c>
      <c r="P95" s="110">
        <f t="shared" si="5"/>
        <v>13.3741705</v>
      </c>
      <c r="Q95" s="109">
        <f t="shared" si="6"/>
        <v>0.06386932707</v>
      </c>
      <c r="R95" s="111">
        <f t="shared" si="7"/>
        <v>0.8541992697</v>
      </c>
      <c r="S95" s="134">
        <f t="shared" si="25"/>
        <v>89.44</v>
      </c>
      <c r="T95" s="113">
        <f t="shared" si="9"/>
        <v>4.8975</v>
      </c>
      <c r="U95" s="172"/>
      <c r="V95" s="172"/>
      <c r="W95" s="172"/>
      <c r="X95" s="172"/>
      <c r="Y95" s="173"/>
      <c r="Z95" s="165"/>
      <c r="AA95" s="165"/>
    </row>
    <row r="96" hidden="1" outlineLevel="1">
      <c r="A96" s="379"/>
      <c r="B96" s="174"/>
      <c r="C96" s="294" t="s">
        <v>42</v>
      </c>
      <c r="D96" s="177">
        <v>49.95</v>
      </c>
      <c r="E96" s="168"/>
      <c r="F96" s="169">
        <v>5.0</v>
      </c>
      <c r="G96" s="169">
        <v>4.0</v>
      </c>
      <c r="H96" s="104">
        <f t="shared" si="1"/>
        <v>1.25</v>
      </c>
      <c r="I96" s="105">
        <f t="shared" si="2"/>
        <v>9.99</v>
      </c>
      <c r="J96" s="106">
        <f t="shared" si="3"/>
        <v>7.992</v>
      </c>
      <c r="K96" s="120">
        <v>9.31</v>
      </c>
      <c r="L96" s="103">
        <v>24144.0</v>
      </c>
      <c r="M96" s="103">
        <v>2.0</v>
      </c>
      <c r="N96" s="121">
        <v>19.99</v>
      </c>
      <c r="O96" s="109">
        <f t="shared" si="4"/>
        <v>0.4657328664</v>
      </c>
      <c r="P96" s="110">
        <f t="shared" si="5"/>
        <v>2.147153598</v>
      </c>
      <c r="Q96" s="109">
        <f t="shared" si="6"/>
        <v>0.1863863864</v>
      </c>
      <c r="R96" s="111">
        <f t="shared" si="7"/>
        <v>0.4002002002</v>
      </c>
      <c r="S96" s="122">
        <f t="shared" si="25"/>
        <v>29.96</v>
      </c>
      <c r="T96" s="113">
        <f t="shared" si="9"/>
        <v>4.655</v>
      </c>
      <c r="U96" s="172"/>
      <c r="V96" s="172"/>
      <c r="W96" s="172"/>
      <c r="X96" s="172"/>
      <c r="Y96" s="173"/>
      <c r="Z96" s="165"/>
      <c r="AA96" s="165"/>
    </row>
    <row r="97" hidden="1" outlineLevel="1">
      <c r="A97" s="379"/>
      <c r="B97" s="174"/>
      <c r="C97" s="294" t="s">
        <v>43</v>
      </c>
      <c r="D97" s="188">
        <v>344.0</v>
      </c>
      <c r="E97" s="168"/>
      <c r="F97" s="169">
        <v>2.0</v>
      </c>
      <c r="G97" s="169">
        <v>2.0</v>
      </c>
      <c r="H97" s="104">
        <f t="shared" si="1"/>
        <v>1</v>
      </c>
      <c r="I97" s="105">
        <f t="shared" si="2"/>
        <v>172</v>
      </c>
      <c r="J97" s="106">
        <f t="shared" si="3"/>
        <v>172</v>
      </c>
      <c r="K97" s="135">
        <v>16.25</v>
      </c>
      <c r="L97" s="103">
        <v>21537.0</v>
      </c>
      <c r="M97" s="103">
        <v>1.0</v>
      </c>
      <c r="N97" s="136">
        <v>195.0</v>
      </c>
      <c r="O97" s="109">
        <f t="shared" si="4"/>
        <v>0.08333333333</v>
      </c>
      <c r="P97" s="110">
        <f t="shared" si="5"/>
        <v>12</v>
      </c>
      <c r="Q97" s="109">
        <f t="shared" si="6"/>
        <v>0.04723837209</v>
      </c>
      <c r="R97" s="111">
        <f t="shared" si="7"/>
        <v>0.5668604651</v>
      </c>
      <c r="S97" s="137">
        <f t="shared" si="25"/>
        <v>149</v>
      </c>
      <c r="T97" s="113">
        <f t="shared" si="9"/>
        <v>16.25</v>
      </c>
      <c r="U97" s="172"/>
      <c r="V97" s="172"/>
      <c r="W97" s="172"/>
      <c r="X97" s="172"/>
      <c r="Y97" s="173"/>
      <c r="Z97" s="165"/>
      <c r="AA97" s="165"/>
    </row>
    <row r="98" hidden="1" outlineLevel="1">
      <c r="A98" s="379"/>
      <c r="B98" s="174"/>
      <c r="C98" s="294" t="s">
        <v>44</v>
      </c>
      <c r="D98" s="190">
        <v>0.0</v>
      </c>
      <c r="E98" s="168"/>
      <c r="F98" s="169">
        <v>0.0</v>
      </c>
      <c r="G98" s="169">
        <v>0.0</v>
      </c>
      <c r="H98" s="104" t="str">
        <f t="shared" si="1"/>
        <v>#DIV/0!</v>
      </c>
      <c r="I98" s="105" t="str">
        <f t="shared" si="2"/>
        <v>#DIV/0!</v>
      </c>
      <c r="J98" s="106" t="str">
        <f t="shared" si="3"/>
        <v>#DIV/0!</v>
      </c>
      <c r="K98" s="138">
        <v>1.89</v>
      </c>
      <c r="L98" s="103">
        <v>1230.0</v>
      </c>
      <c r="M98" s="103">
        <v>0.0</v>
      </c>
      <c r="N98" s="139">
        <v>0.0</v>
      </c>
      <c r="O98" s="109" t="str">
        <f t="shared" si="4"/>
        <v>#DIV/0!</v>
      </c>
      <c r="P98" s="110">
        <f t="shared" si="5"/>
        <v>0</v>
      </c>
      <c r="Q98" s="109" t="str">
        <f t="shared" si="6"/>
        <v>#DIV/0!</v>
      </c>
      <c r="R98" s="111" t="str">
        <f t="shared" si="7"/>
        <v>#DIV/0!</v>
      </c>
      <c r="S98" s="140">
        <f t="shared" si="25"/>
        <v>0</v>
      </c>
      <c r="T98" s="113" t="str">
        <f t="shared" si="9"/>
        <v>#DIV/0!</v>
      </c>
      <c r="U98" s="172"/>
      <c r="V98" s="172"/>
      <c r="W98" s="172"/>
      <c r="X98" s="172"/>
      <c r="Y98" s="173"/>
      <c r="Z98" s="165"/>
      <c r="AA98" s="165"/>
    </row>
    <row r="99" hidden="1" outlineLevel="1">
      <c r="A99" s="361"/>
      <c r="B99" s="174"/>
      <c r="C99" s="380" t="s">
        <v>45</v>
      </c>
      <c r="D99" s="167">
        <v>0.0</v>
      </c>
      <c r="E99" s="168"/>
      <c r="F99" s="169">
        <v>0.0</v>
      </c>
      <c r="G99" s="169">
        <v>0.0</v>
      </c>
      <c r="H99" s="104" t="str">
        <f t="shared" si="1"/>
        <v>#DIV/0!</v>
      </c>
      <c r="I99" s="105" t="str">
        <f t="shared" si="2"/>
        <v>#DIV/0!</v>
      </c>
      <c r="J99" s="106" t="str">
        <f t="shared" si="3"/>
        <v>#DIV/0!</v>
      </c>
      <c r="K99" s="101">
        <v>0.0</v>
      </c>
      <c r="L99" s="103">
        <v>0.0</v>
      </c>
      <c r="M99" s="103">
        <v>0.0</v>
      </c>
      <c r="N99" s="108">
        <v>0.0</v>
      </c>
      <c r="O99" s="109" t="str">
        <f t="shared" si="4"/>
        <v>#DIV/0!</v>
      </c>
      <c r="P99" s="110" t="str">
        <f t="shared" si="5"/>
        <v>#DIV/0!</v>
      </c>
      <c r="Q99" s="109" t="str">
        <f t="shared" si="6"/>
        <v>#DIV/0!</v>
      </c>
      <c r="R99" s="111" t="str">
        <f t="shared" si="7"/>
        <v>#DIV/0!</v>
      </c>
      <c r="S99" s="112">
        <f t="shared" si="25"/>
        <v>0</v>
      </c>
      <c r="T99" s="113" t="str">
        <f t="shared" si="9"/>
        <v>#DIV/0!</v>
      </c>
      <c r="U99" s="193"/>
      <c r="V99" s="193"/>
      <c r="W99" s="193"/>
      <c r="X99" s="194"/>
      <c r="Y99" s="195"/>
      <c r="Z99" s="165"/>
      <c r="AA99" s="165"/>
    </row>
    <row r="100" hidden="1" outlineLevel="1">
      <c r="A100" s="379"/>
      <c r="B100" s="174"/>
      <c r="C100" s="294" t="s">
        <v>46</v>
      </c>
      <c r="D100" s="196">
        <v>940.35</v>
      </c>
      <c r="E100" s="168"/>
      <c r="F100" s="169">
        <v>26.0</v>
      </c>
      <c r="G100" s="169">
        <v>25.0</v>
      </c>
      <c r="H100" s="104">
        <f t="shared" si="1"/>
        <v>1.04</v>
      </c>
      <c r="I100" s="105">
        <f t="shared" si="2"/>
        <v>36.16730769</v>
      </c>
      <c r="J100" s="106">
        <f t="shared" si="3"/>
        <v>34.7762574</v>
      </c>
      <c r="K100" s="146">
        <v>111.95</v>
      </c>
      <c r="L100" s="103">
        <v>38466.0</v>
      </c>
      <c r="M100" s="103">
        <v>14.0</v>
      </c>
      <c r="N100" s="147">
        <v>323.64</v>
      </c>
      <c r="O100" s="109">
        <f t="shared" si="4"/>
        <v>0.3459090347</v>
      </c>
      <c r="P100" s="110">
        <f t="shared" si="5"/>
        <v>2.890933452</v>
      </c>
      <c r="Q100" s="109">
        <f t="shared" si="6"/>
        <v>0.119051417</v>
      </c>
      <c r="R100" s="111">
        <f t="shared" si="7"/>
        <v>0.344169724</v>
      </c>
      <c r="S100" s="112">
        <f t="shared" si="25"/>
        <v>616.71</v>
      </c>
      <c r="T100" s="113">
        <f t="shared" si="9"/>
        <v>7.996428571</v>
      </c>
      <c r="U100" s="172"/>
      <c r="V100" s="172"/>
      <c r="W100" s="172"/>
      <c r="X100" s="172"/>
      <c r="Y100" s="173"/>
      <c r="Z100" s="165"/>
      <c r="AA100" s="165"/>
    </row>
    <row r="101" hidden="1" outlineLevel="1">
      <c r="A101" s="310" t="str">
        <f t="shared" ref="A101:A102" si="26">iferror(if(B101&gt;0,month(B101)&amp;"-"&amp;year(B101),B101),)</f>
        <v>1-2025</v>
      </c>
      <c r="B101" s="99">
        <v>45675.0</v>
      </c>
      <c r="C101" s="294" t="s">
        <v>49</v>
      </c>
      <c r="D101" s="196">
        <v>0.0</v>
      </c>
      <c r="E101" s="168"/>
      <c r="F101" s="169">
        <v>0.0</v>
      </c>
      <c r="G101" s="169">
        <v>0.0</v>
      </c>
      <c r="H101" s="104" t="str">
        <f t="shared" si="1"/>
        <v>#DIV/0!</v>
      </c>
      <c r="I101" s="105" t="str">
        <f t="shared" si="2"/>
        <v>#DIV/0!</v>
      </c>
      <c r="J101" s="106" t="str">
        <f t="shared" si="3"/>
        <v>#DIV/0!</v>
      </c>
      <c r="K101" s="146">
        <v>5.13</v>
      </c>
      <c r="L101" s="103">
        <v>7342.0</v>
      </c>
      <c r="M101" s="103">
        <v>0.0</v>
      </c>
      <c r="N101" s="147">
        <v>0.0</v>
      </c>
      <c r="O101" s="109" t="str">
        <f t="shared" si="4"/>
        <v>#DIV/0!</v>
      </c>
      <c r="P101" s="110">
        <f t="shared" si="5"/>
        <v>0</v>
      </c>
      <c r="Q101" s="109" t="str">
        <f t="shared" si="6"/>
        <v>#DIV/0!</v>
      </c>
      <c r="R101" s="111" t="str">
        <f t="shared" si="7"/>
        <v>#DIV/0!</v>
      </c>
      <c r="S101" s="112">
        <f t="shared" si="25"/>
        <v>0</v>
      </c>
      <c r="T101" s="113" t="str">
        <f t="shared" si="9"/>
        <v>#DIV/0!</v>
      </c>
      <c r="U101" s="172"/>
      <c r="V101" s="172"/>
      <c r="W101" s="172"/>
      <c r="X101" s="172"/>
      <c r="Y101" s="173"/>
      <c r="Z101" s="165"/>
      <c r="AA101" s="165"/>
    </row>
    <row r="102" collapsed="1">
      <c r="A102" s="361" t="str">
        <f t="shared" si="26"/>
        <v/>
      </c>
      <c r="B102" s="362" t="s">
        <v>90</v>
      </c>
      <c r="C102" s="363"/>
      <c r="D102" s="364">
        <f>SUM(D85:D101)</f>
        <v>14357.84</v>
      </c>
      <c r="E102" s="365"/>
      <c r="F102" s="366">
        <f t="shared" ref="F102:G102" si="27">SUM(F85:F101)</f>
        <v>129</v>
      </c>
      <c r="G102" s="366">
        <f t="shared" si="27"/>
        <v>136</v>
      </c>
      <c r="H102" s="367">
        <f t="shared" si="1"/>
        <v>0.9485294118</v>
      </c>
      <c r="I102" s="365">
        <f t="shared" si="2"/>
        <v>111.3010853</v>
      </c>
      <c r="J102" s="368">
        <f t="shared" si="3"/>
        <v>117.340679</v>
      </c>
      <c r="K102" s="369">
        <f t="shared" ref="K102:N102" si="28">SUM(K85:K101)</f>
        <v>933.88</v>
      </c>
      <c r="L102" s="366">
        <f t="shared" si="28"/>
        <v>284382</v>
      </c>
      <c r="M102" s="366">
        <f t="shared" si="28"/>
        <v>45</v>
      </c>
      <c r="N102" s="364">
        <f t="shared" si="28"/>
        <v>4178.22</v>
      </c>
      <c r="O102" s="371">
        <f t="shared" si="4"/>
        <v>0.2235114475</v>
      </c>
      <c r="P102" s="372">
        <f t="shared" si="5"/>
        <v>4.474043774</v>
      </c>
      <c r="Q102" s="371">
        <f t="shared" si="6"/>
        <v>0.06504320984</v>
      </c>
      <c r="R102" s="373">
        <f t="shared" si="7"/>
        <v>0.2910061681</v>
      </c>
      <c r="S102" s="374">
        <f>SUM(S85:S101)</f>
        <v>10179.62</v>
      </c>
      <c r="T102" s="375">
        <f t="shared" si="9"/>
        <v>20.75288889</v>
      </c>
      <c r="U102" s="376" t="str">
        <f>IFERROR((D102-#REF!)/D102,)</f>
        <v/>
      </c>
      <c r="V102" s="376" t="str">
        <f>IFERROR((F102-#REF!)/F102,)</f>
        <v/>
      </c>
      <c r="W102" s="377" t="str">
        <f>IFERROR((D102-monthly_reporting_2021!E49)/D102, )</f>
        <v/>
      </c>
      <c r="X102" s="378" t="str">
        <f>IFERROR((F102-monthly_reporting_2021!F49)/F102, )</f>
        <v/>
      </c>
      <c r="Y102" s="165"/>
      <c r="Z102" s="165"/>
      <c r="AA102" s="165"/>
    </row>
    <row r="103" hidden="1" outlineLevel="1">
      <c r="A103" s="379"/>
      <c r="B103" s="99">
        <v>45676.0</v>
      </c>
      <c r="C103" s="294" t="s">
        <v>32</v>
      </c>
      <c r="D103" s="167">
        <v>5219.09</v>
      </c>
      <c r="E103" s="168"/>
      <c r="F103" s="169">
        <v>30.0</v>
      </c>
      <c r="G103" s="169">
        <v>31.0</v>
      </c>
      <c r="H103" s="104">
        <f t="shared" si="1"/>
        <v>0.9677419355</v>
      </c>
      <c r="I103" s="105">
        <f t="shared" si="2"/>
        <v>173.9696667</v>
      </c>
      <c r="J103" s="106">
        <f t="shared" si="3"/>
        <v>179.7686556</v>
      </c>
      <c r="K103" s="107">
        <v>251.03</v>
      </c>
      <c r="L103" s="103">
        <v>30736.0</v>
      </c>
      <c r="M103" s="103">
        <v>8.0</v>
      </c>
      <c r="N103" s="108">
        <v>514.85</v>
      </c>
      <c r="O103" s="109">
        <f t="shared" si="4"/>
        <v>0.4875789065</v>
      </c>
      <c r="P103" s="110">
        <f t="shared" si="5"/>
        <v>2.050950086</v>
      </c>
      <c r="Q103" s="109">
        <f t="shared" si="6"/>
        <v>0.04809842329</v>
      </c>
      <c r="R103" s="111">
        <f t="shared" si="7"/>
        <v>0.09864746536</v>
      </c>
      <c r="S103" s="112">
        <f t="shared" ref="S103:S119" si="29">D103-N103</f>
        <v>4704.24</v>
      </c>
      <c r="T103" s="113">
        <f t="shared" si="9"/>
        <v>31.37875</v>
      </c>
      <c r="U103" s="172"/>
      <c r="V103" s="172"/>
      <c r="W103" s="172"/>
      <c r="X103" s="172"/>
      <c r="Y103" s="173"/>
      <c r="Z103" s="165"/>
      <c r="AA103" s="165"/>
    </row>
    <row r="104" hidden="1" outlineLevel="1">
      <c r="A104" s="379"/>
      <c r="B104" s="174"/>
      <c r="C104" s="294" t="s">
        <v>33</v>
      </c>
      <c r="D104" s="175">
        <v>1471.06</v>
      </c>
      <c r="E104" s="168"/>
      <c r="F104" s="169">
        <v>16.0</v>
      </c>
      <c r="G104" s="169">
        <v>21.0</v>
      </c>
      <c r="H104" s="104">
        <f t="shared" si="1"/>
        <v>0.7619047619</v>
      </c>
      <c r="I104" s="105">
        <f t="shared" si="2"/>
        <v>91.94125</v>
      </c>
      <c r="J104" s="106">
        <f t="shared" si="3"/>
        <v>120.6728906</v>
      </c>
      <c r="K104" s="117">
        <v>228.59</v>
      </c>
      <c r="L104" s="103">
        <v>65754.0</v>
      </c>
      <c r="M104" s="103">
        <v>4.0</v>
      </c>
      <c r="N104" s="118">
        <v>542.9</v>
      </c>
      <c r="O104" s="109">
        <f t="shared" si="4"/>
        <v>0.421053601</v>
      </c>
      <c r="P104" s="110">
        <f t="shared" si="5"/>
        <v>2.374994532</v>
      </c>
      <c r="Q104" s="109">
        <f t="shared" si="6"/>
        <v>0.1553913505</v>
      </c>
      <c r="R104" s="111">
        <f t="shared" si="7"/>
        <v>0.3690536076</v>
      </c>
      <c r="S104" s="119">
        <f t="shared" si="29"/>
        <v>928.16</v>
      </c>
      <c r="T104" s="113">
        <f t="shared" si="9"/>
        <v>57.1475</v>
      </c>
      <c r="U104" s="172"/>
      <c r="V104" s="172"/>
      <c r="W104" s="172"/>
      <c r="X104" s="172"/>
      <c r="Y104" s="173"/>
      <c r="Z104" s="165"/>
      <c r="AA104" s="165"/>
    </row>
    <row r="105" hidden="1" outlineLevel="1">
      <c r="A105" s="379"/>
      <c r="B105" s="174"/>
      <c r="C105" s="294" t="s">
        <v>34</v>
      </c>
      <c r="D105" s="177">
        <v>0.0</v>
      </c>
      <c r="E105" s="168"/>
      <c r="F105" s="169">
        <v>0.0</v>
      </c>
      <c r="G105" s="169">
        <v>0.0</v>
      </c>
      <c r="H105" s="104" t="str">
        <f t="shared" si="1"/>
        <v>#DIV/0!</v>
      </c>
      <c r="I105" s="105" t="str">
        <f t="shared" si="2"/>
        <v>#DIV/0!</v>
      </c>
      <c r="J105" s="106" t="str">
        <f t="shared" si="3"/>
        <v>#DIV/0!</v>
      </c>
      <c r="K105" s="120">
        <v>0.0</v>
      </c>
      <c r="L105" s="103">
        <v>0.0</v>
      </c>
      <c r="M105" s="103">
        <v>0.0</v>
      </c>
      <c r="N105" s="121">
        <v>0.0</v>
      </c>
      <c r="O105" s="109" t="str">
        <f t="shared" si="4"/>
        <v>#DIV/0!</v>
      </c>
      <c r="P105" s="110" t="str">
        <f t="shared" si="5"/>
        <v>#DIV/0!</v>
      </c>
      <c r="Q105" s="109" t="str">
        <f t="shared" si="6"/>
        <v>#DIV/0!</v>
      </c>
      <c r="R105" s="111" t="str">
        <f t="shared" si="7"/>
        <v>#DIV/0!</v>
      </c>
      <c r="S105" s="122">
        <f t="shared" si="29"/>
        <v>0</v>
      </c>
      <c r="T105" s="113" t="str">
        <f t="shared" si="9"/>
        <v>#DIV/0!</v>
      </c>
      <c r="U105" s="172"/>
      <c r="V105" s="172"/>
      <c r="W105" s="172"/>
      <c r="X105" s="172"/>
      <c r="Y105" s="173"/>
      <c r="Z105" s="165"/>
      <c r="AA105" s="165"/>
    </row>
    <row r="106" hidden="1" outlineLevel="1">
      <c r="A106" s="379"/>
      <c r="B106" s="174"/>
      <c r="C106" s="294" t="s">
        <v>35</v>
      </c>
      <c r="D106" s="177">
        <v>314.75</v>
      </c>
      <c r="E106" s="168"/>
      <c r="F106" s="169">
        <v>5.0</v>
      </c>
      <c r="G106" s="169">
        <v>2.0</v>
      </c>
      <c r="H106" s="104">
        <f t="shared" si="1"/>
        <v>2.5</v>
      </c>
      <c r="I106" s="105">
        <f t="shared" si="2"/>
        <v>62.95</v>
      </c>
      <c r="J106" s="106">
        <f t="shared" si="3"/>
        <v>25.18</v>
      </c>
      <c r="K106" s="120">
        <v>0.0</v>
      </c>
      <c r="L106" s="103">
        <v>0.0</v>
      </c>
      <c r="M106" s="103">
        <v>0.0</v>
      </c>
      <c r="N106" s="121">
        <v>0.0</v>
      </c>
      <c r="O106" s="109" t="str">
        <f t="shared" si="4"/>
        <v>#DIV/0!</v>
      </c>
      <c r="P106" s="110" t="str">
        <f t="shared" si="5"/>
        <v>#DIV/0!</v>
      </c>
      <c r="Q106" s="109">
        <f t="shared" si="6"/>
        <v>0</v>
      </c>
      <c r="R106" s="111">
        <f t="shared" si="7"/>
        <v>0</v>
      </c>
      <c r="S106" s="122">
        <f t="shared" si="29"/>
        <v>314.75</v>
      </c>
      <c r="T106" s="113" t="str">
        <f t="shared" si="9"/>
        <v>#DIV/0!</v>
      </c>
      <c r="U106" s="172"/>
      <c r="V106" s="172"/>
      <c r="W106" s="172"/>
      <c r="X106" s="172"/>
      <c r="Y106" s="173"/>
      <c r="Z106" s="165"/>
      <c r="AA106" s="165"/>
    </row>
    <row r="107" hidden="1" outlineLevel="1">
      <c r="A107" s="379"/>
      <c r="B107" s="174"/>
      <c r="C107" s="294" t="s">
        <v>65</v>
      </c>
      <c r="D107" s="320">
        <v>0.0</v>
      </c>
      <c r="E107" s="168"/>
      <c r="F107" s="169">
        <v>0.0</v>
      </c>
      <c r="G107" s="169">
        <v>0.0</v>
      </c>
      <c r="H107" s="104" t="str">
        <f t="shared" si="1"/>
        <v>#DIV/0!</v>
      </c>
      <c r="I107" s="105" t="str">
        <f t="shared" si="2"/>
        <v>#DIV/0!</v>
      </c>
      <c r="J107" s="106" t="str">
        <f t="shared" si="3"/>
        <v>#DIV/0!</v>
      </c>
      <c r="K107" s="300">
        <v>0.0</v>
      </c>
      <c r="L107" s="103">
        <v>0.0</v>
      </c>
      <c r="M107" s="103">
        <v>0.0</v>
      </c>
      <c r="N107" s="300">
        <v>0.0</v>
      </c>
      <c r="O107" s="109" t="str">
        <f t="shared" si="4"/>
        <v>#DIV/0!</v>
      </c>
      <c r="P107" s="110" t="str">
        <f t="shared" si="5"/>
        <v>#DIV/0!</v>
      </c>
      <c r="Q107" s="109" t="str">
        <f t="shared" si="6"/>
        <v>#DIV/0!</v>
      </c>
      <c r="R107" s="111" t="str">
        <f t="shared" si="7"/>
        <v>#DIV/0!</v>
      </c>
      <c r="S107" s="122">
        <f t="shared" si="29"/>
        <v>0</v>
      </c>
      <c r="T107" s="113" t="str">
        <f t="shared" si="9"/>
        <v>#DIV/0!</v>
      </c>
      <c r="U107" s="172"/>
      <c r="V107" s="172"/>
      <c r="W107" s="172"/>
      <c r="X107" s="172"/>
      <c r="Y107" s="173"/>
      <c r="Z107" s="165"/>
      <c r="AA107" s="165"/>
    </row>
    <row r="108" hidden="1" outlineLevel="1">
      <c r="A108" s="379"/>
      <c r="B108" s="174"/>
      <c r="C108" s="294" t="s">
        <v>85</v>
      </c>
      <c r="D108" s="321">
        <v>-59.99</v>
      </c>
      <c r="E108" s="168"/>
      <c r="F108" s="169">
        <v>-1.0</v>
      </c>
      <c r="G108" s="169">
        <v>0.0</v>
      </c>
      <c r="H108" s="104" t="str">
        <f t="shared" si="1"/>
        <v>#DIV/0!</v>
      </c>
      <c r="I108" s="105">
        <f t="shared" si="2"/>
        <v>59.99</v>
      </c>
      <c r="J108" s="106" t="str">
        <f t="shared" si="3"/>
        <v>#DIV/0!</v>
      </c>
      <c r="K108" s="302">
        <v>2.0</v>
      </c>
      <c r="L108" s="103">
        <v>1511.0</v>
      </c>
      <c r="M108" s="103">
        <v>0.0</v>
      </c>
      <c r="N108" s="303">
        <v>0.0</v>
      </c>
      <c r="O108" s="109" t="str">
        <f t="shared" si="4"/>
        <v>#DIV/0!</v>
      </c>
      <c r="P108" s="110">
        <f t="shared" si="5"/>
        <v>0</v>
      </c>
      <c r="Q108" s="109">
        <f t="shared" si="6"/>
        <v>-0.03333888981</v>
      </c>
      <c r="R108" s="111">
        <f t="shared" si="7"/>
        <v>0</v>
      </c>
      <c r="S108" s="304">
        <f t="shared" si="29"/>
        <v>-59.99</v>
      </c>
      <c r="T108" s="113" t="str">
        <f t="shared" si="9"/>
        <v>#DIV/0!</v>
      </c>
      <c r="U108" s="172"/>
      <c r="V108" s="172"/>
      <c r="W108" s="172"/>
      <c r="X108" s="172"/>
      <c r="Y108" s="173"/>
      <c r="Z108" s="165"/>
      <c r="AA108" s="165"/>
    </row>
    <row r="109" hidden="1" outlineLevel="1">
      <c r="A109" s="379"/>
      <c r="B109" s="174"/>
      <c r="C109" s="294" t="s">
        <v>36</v>
      </c>
      <c r="D109" s="177">
        <v>580.11</v>
      </c>
      <c r="E109" s="168"/>
      <c r="F109" s="169">
        <v>9.0</v>
      </c>
      <c r="G109" s="169">
        <v>10.0</v>
      </c>
      <c r="H109" s="104">
        <f t="shared" si="1"/>
        <v>0.9</v>
      </c>
      <c r="I109" s="105">
        <f t="shared" si="2"/>
        <v>64.45666667</v>
      </c>
      <c r="J109" s="106">
        <f t="shared" si="3"/>
        <v>71.61851852</v>
      </c>
      <c r="K109" s="120">
        <v>217.73</v>
      </c>
      <c r="L109" s="103">
        <v>5546.0</v>
      </c>
      <c r="M109" s="103">
        <v>2.0</v>
      </c>
      <c r="N109" s="121">
        <v>119.9</v>
      </c>
      <c r="O109" s="109">
        <f t="shared" si="4"/>
        <v>1.815929942</v>
      </c>
      <c r="P109" s="110">
        <f t="shared" si="5"/>
        <v>0.5506820374</v>
      </c>
      <c r="Q109" s="109">
        <f t="shared" si="6"/>
        <v>0.3753253693</v>
      </c>
      <c r="R109" s="111">
        <f t="shared" si="7"/>
        <v>0.2066849391</v>
      </c>
      <c r="S109" s="122">
        <f t="shared" si="29"/>
        <v>460.21</v>
      </c>
      <c r="T109" s="113">
        <f t="shared" si="9"/>
        <v>108.865</v>
      </c>
      <c r="U109" s="172"/>
      <c r="V109" s="172"/>
      <c r="W109" s="172"/>
      <c r="X109" s="172"/>
      <c r="Y109" s="173"/>
      <c r="Z109" s="165"/>
      <c r="AA109" s="165"/>
    </row>
    <row r="110" hidden="1" outlineLevel="1">
      <c r="A110" s="379"/>
      <c r="B110" s="99" t="s">
        <v>37</v>
      </c>
      <c r="C110" s="294" t="s">
        <v>38</v>
      </c>
      <c r="D110" s="180">
        <v>592.11</v>
      </c>
      <c r="E110" s="168"/>
      <c r="F110" s="169">
        <v>10.0</v>
      </c>
      <c r="G110" s="169">
        <v>15.0</v>
      </c>
      <c r="H110" s="104">
        <f t="shared" si="1"/>
        <v>0.6666666667</v>
      </c>
      <c r="I110" s="105">
        <f t="shared" si="2"/>
        <v>59.211</v>
      </c>
      <c r="J110" s="106">
        <f t="shared" si="3"/>
        <v>88.8165</v>
      </c>
      <c r="K110" s="123">
        <v>160.23</v>
      </c>
      <c r="L110" s="103">
        <v>16248.0</v>
      </c>
      <c r="M110" s="103">
        <v>6.0</v>
      </c>
      <c r="N110" s="124">
        <v>64.68</v>
      </c>
      <c r="O110" s="109">
        <f t="shared" si="4"/>
        <v>2.477272727</v>
      </c>
      <c r="P110" s="110">
        <f t="shared" si="5"/>
        <v>0.4036697248</v>
      </c>
      <c r="Q110" s="109">
        <f t="shared" si="6"/>
        <v>0.2706085018</v>
      </c>
      <c r="R110" s="111">
        <f t="shared" si="7"/>
        <v>0.1092364594</v>
      </c>
      <c r="S110" s="125">
        <f t="shared" si="29"/>
        <v>527.43</v>
      </c>
      <c r="T110" s="113">
        <f t="shared" si="9"/>
        <v>26.705</v>
      </c>
      <c r="U110" s="172"/>
      <c r="V110" s="172"/>
      <c r="W110" s="172"/>
      <c r="X110" s="172"/>
      <c r="Y110" s="173"/>
      <c r="Z110" s="165"/>
      <c r="AA110" s="165"/>
    </row>
    <row r="111" hidden="1" outlineLevel="1">
      <c r="A111" s="379"/>
      <c r="B111" s="174"/>
      <c r="C111" s="294" t="s">
        <v>39</v>
      </c>
      <c r="D111" s="182">
        <v>35.9</v>
      </c>
      <c r="E111" s="168"/>
      <c r="F111" s="169">
        <v>1.0</v>
      </c>
      <c r="G111" s="169">
        <v>1.0</v>
      </c>
      <c r="H111" s="104">
        <f t="shared" si="1"/>
        <v>1</v>
      </c>
      <c r="I111" s="105">
        <f t="shared" si="2"/>
        <v>35.9</v>
      </c>
      <c r="J111" s="106">
        <f t="shared" si="3"/>
        <v>35.9</v>
      </c>
      <c r="K111" s="126">
        <v>68.18</v>
      </c>
      <c r="L111" s="103">
        <v>35241.0</v>
      </c>
      <c r="M111" s="103">
        <v>0.0</v>
      </c>
      <c r="N111" s="127">
        <v>0.0</v>
      </c>
      <c r="O111" s="109" t="str">
        <f t="shared" si="4"/>
        <v>#DIV/0!</v>
      </c>
      <c r="P111" s="110">
        <f t="shared" si="5"/>
        <v>0</v>
      </c>
      <c r="Q111" s="109">
        <f t="shared" si="6"/>
        <v>1.899164345</v>
      </c>
      <c r="R111" s="111">
        <f t="shared" si="7"/>
        <v>0</v>
      </c>
      <c r="S111" s="128">
        <f t="shared" si="29"/>
        <v>35.9</v>
      </c>
      <c r="T111" s="113" t="str">
        <f t="shared" si="9"/>
        <v>#DIV/0!</v>
      </c>
      <c r="U111" s="172"/>
      <c r="V111" s="172"/>
      <c r="W111" s="172"/>
      <c r="X111" s="172"/>
      <c r="Y111" s="173"/>
      <c r="Z111" s="165"/>
      <c r="AA111" s="165"/>
    </row>
    <row r="112" hidden="1" outlineLevel="1">
      <c r="A112" s="379"/>
      <c r="B112" s="174"/>
      <c r="C112" s="294" t="s">
        <v>40</v>
      </c>
      <c r="D112" s="184">
        <v>329.7</v>
      </c>
      <c r="E112" s="168"/>
      <c r="F112" s="169">
        <v>6.0</v>
      </c>
      <c r="G112" s="169">
        <v>5.0</v>
      </c>
      <c r="H112" s="104">
        <f t="shared" si="1"/>
        <v>1.2</v>
      </c>
      <c r="I112" s="105">
        <f t="shared" si="2"/>
        <v>54.95</v>
      </c>
      <c r="J112" s="106">
        <f t="shared" si="3"/>
        <v>45.79166667</v>
      </c>
      <c r="K112" s="129">
        <v>0.0</v>
      </c>
      <c r="L112" s="103">
        <v>0.0</v>
      </c>
      <c r="M112" s="103">
        <v>0.0</v>
      </c>
      <c r="N112" s="130">
        <v>0.0</v>
      </c>
      <c r="O112" s="109" t="str">
        <f t="shared" si="4"/>
        <v>#DIV/0!</v>
      </c>
      <c r="P112" s="110" t="str">
        <f t="shared" si="5"/>
        <v>#DIV/0!</v>
      </c>
      <c r="Q112" s="109">
        <f t="shared" si="6"/>
        <v>0</v>
      </c>
      <c r="R112" s="111">
        <f t="shared" si="7"/>
        <v>0</v>
      </c>
      <c r="S112" s="131">
        <f t="shared" si="29"/>
        <v>329.7</v>
      </c>
      <c r="T112" s="113" t="str">
        <f t="shared" si="9"/>
        <v>#DIV/0!</v>
      </c>
      <c r="U112" s="172"/>
      <c r="V112" s="172"/>
      <c r="W112" s="172"/>
      <c r="X112" s="172"/>
      <c r="Y112" s="173"/>
      <c r="Z112" s="165"/>
      <c r="AA112" s="165"/>
    </row>
    <row r="113" hidden="1" outlineLevel="1">
      <c r="A113" s="379"/>
      <c r="B113" s="174"/>
      <c r="C113" s="294" t="s">
        <v>41</v>
      </c>
      <c r="D113" s="186">
        <v>220.0</v>
      </c>
      <c r="E113" s="168"/>
      <c r="F113" s="169">
        <v>4.0</v>
      </c>
      <c r="G113" s="169">
        <v>2.0</v>
      </c>
      <c r="H113" s="104">
        <f t="shared" si="1"/>
        <v>2</v>
      </c>
      <c r="I113" s="105">
        <f t="shared" si="2"/>
        <v>55</v>
      </c>
      <c r="J113" s="106">
        <f t="shared" si="3"/>
        <v>27.5</v>
      </c>
      <c r="K113" s="132">
        <v>0.0</v>
      </c>
      <c r="L113" s="103">
        <v>15.0</v>
      </c>
      <c r="M113" s="103">
        <v>0.0</v>
      </c>
      <c r="N113" s="133">
        <v>0.0</v>
      </c>
      <c r="O113" s="109" t="str">
        <f t="shared" si="4"/>
        <v>#DIV/0!</v>
      </c>
      <c r="P113" s="110" t="str">
        <f t="shared" si="5"/>
        <v>#DIV/0!</v>
      </c>
      <c r="Q113" s="109">
        <f t="shared" si="6"/>
        <v>0</v>
      </c>
      <c r="R113" s="111">
        <f t="shared" si="7"/>
        <v>0</v>
      </c>
      <c r="S113" s="134">
        <f t="shared" si="29"/>
        <v>220</v>
      </c>
      <c r="T113" s="113" t="str">
        <f t="shared" si="9"/>
        <v>#DIV/0!</v>
      </c>
      <c r="U113" s="172"/>
      <c r="V113" s="172"/>
      <c r="W113" s="172"/>
      <c r="X113" s="172"/>
      <c r="Y113" s="173"/>
      <c r="Z113" s="165"/>
      <c r="AA113" s="165"/>
    </row>
    <row r="114" hidden="1" outlineLevel="1">
      <c r="A114" s="379"/>
      <c r="B114" s="174"/>
      <c r="C114" s="294" t="s">
        <v>42</v>
      </c>
      <c r="D114" s="177">
        <v>-69.96</v>
      </c>
      <c r="E114" s="168"/>
      <c r="F114" s="169">
        <v>0.0</v>
      </c>
      <c r="G114" s="169">
        <v>2.0</v>
      </c>
      <c r="H114" s="104">
        <f t="shared" si="1"/>
        <v>0</v>
      </c>
      <c r="I114" s="105" t="str">
        <f t="shared" si="2"/>
        <v>#DIV/0!</v>
      </c>
      <c r="J114" s="106" t="str">
        <f t="shared" si="3"/>
        <v>#DIV/0!</v>
      </c>
      <c r="K114" s="120">
        <v>12.11</v>
      </c>
      <c r="L114" s="103">
        <v>16322.0</v>
      </c>
      <c r="M114" s="103">
        <v>2.0</v>
      </c>
      <c r="N114" s="121">
        <v>19.99</v>
      </c>
      <c r="O114" s="109">
        <f t="shared" si="4"/>
        <v>0.6058029015</v>
      </c>
      <c r="P114" s="110">
        <f t="shared" si="5"/>
        <v>1.650701899</v>
      </c>
      <c r="Q114" s="109">
        <f t="shared" si="6"/>
        <v>-0.1730989137</v>
      </c>
      <c r="R114" s="111">
        <f t="shared" si="7"/>
        <v>-0.2857347055</v>
      </c>
      <c r="S114" s="122">
        <f t="shared" si="29"/>
        <v>-89.95</v>
      </c>
      <c r="T114" s="113">
        <f t="shared" si="9"/>
        <v>6.055</v>
      </c>
      <c r="U114" s="172"/>
      <c r="V114" s="172"/>
      <c r="W114" s="172"/>
      <c r="X114" s="172"/>
      <c r="Y114" s="173"/>
      <c r="Z114" s="165"/>
      <c r="AA114" s="165"/>
    </row>
    <row r="115" hidden="1" outlineLevel="1">
      <c r="A115" s="379"/>
      <c r="B115" s="174"/>
      <c r="C115" s="294" t="s">
        <v>43</v>
      </c>
      <c r="D115" s="188">
        <v>298.0</v>
      </c>
      <c r="E115" s="168"/>
      <c r="F115" s="169">
        <v>2.0</v>
      </c>
      <c r="G115" s="169">
        <v>2.0</v>
      </c>
      <c r="H115" s="104">
        <f t="shared" si="1"/>
        <v>1</v>
      </c>
      <c r="I115" s="105">
        <f t="shared" si="2"/>
        <v>149</v>
      </c>
      <c r="J115" s="106">
        <f t="shared" si="3"/>
        <v>149</v>
      </c>
      <c r="K115" s="135">
        <v>29.35</v>
      </c>
      <c r="L115" s="103">
        <v>23712.0</v>
      </c>
      <c r="M115" s="103">
        <v>0.0</v>
      </c>
      <c r="N115" s="136">
        <v>0.0</v>
      </c>
      <c r="O115" s="109" t="str">
        <f t="shared" si="4"/>
        <v>#DIV/0!</v>
      </c>
      <c r="P115" s="110">
        <f t="shared" si="5"/>
        <v>0</v>
      </c>
      <c r="Q115" s="109">
        <f t="shared" si="6"/>
        <v>0.09848993289</v>
      </c>
      <c r="R115" s="111">
        <f t="shared" si="7"/>
        <v>0</v>
      </c>
      <c r="S115" s="137">
        <f t="shared" si="29"/>
        <v>298</v>
      </c>
      <c r="T115" s="113" t="str">
        <f t="shared" si="9"/>
        <v>#DIV/0!</v>
      </c>
      <c r="U115" s="172"/>
      <c r="V115" s="172"/>
      <c r="W115" s="172"/>
      <c r="X115" s="172"/>
      <c r="Y115" s="173"/>
      <c r="Z115" s="165"/>
      <c r="AA115" s="165"/>
    </row>
    <row r="116" hidden="1" outlineLevel="1">
      <c r="A116" s="379"/>
      <c r="B116" s="174"/>
      <c r="C116" s="294" t="s">
        <v>44</v>
      </c>
      <c r="D116" s="190">
        <v>239.8</v>
      </c>
      <c r="E116" s="168"/>
      <c r="F116" s="169">
        <v>4.0</v>
      </c>
      <c r="G116" s="169">
        <v>4.0</v>
      </c>
      <c r="H116" s="104">
        <f t="shared" si="1"/>
        <v>1</v>
      </c>
      <c r="I116" s="105">
        <f t="shared" si="2"/>
        <v>59.95</v>
      </c>
      <c r="J116" s="106">
        <f t="shared" si="3"/>
        <v>59.95</v>
      </c>
      <c r="K116" s="138">
        <v>5.89</v>
      </c>
      <c r="L116" s="103">
        <v>872.0</v>
      </c>
      <c r="M116" s="103">
        <v>1.0</v>
      </c>
      <c r="N116" s="139">
        <v>59.95</v>
      </c>
      <c r="O116" s="109">
        <f t="shared" si="4"/>
        <v>0.09824854045</v>
      </c>
      <c r="P116" s="110">
        <f t="shared" si="5"/>
        <v>10.17826825</v>
      </c>
      <c r="Q116" s="109">
        <f t="shared" si="6"/>
        <v>0.02456213511</v>
      </c>
      <c r="R116" s="111">
        <f t="shared" si="7"/>
        <v>0.25</v>
      </c>
      <c r="S116" s="140">
        <f t="shared" si="29"/>
        <v>179.85</v>
      </c>
      <c r="T116" s="113">
        <f t="shared" si="9"/>
        <v>5.89</v>
      </c>
      <c r="U116" s="172"/>
      <c r="V116" s="172"/>
      <c r="W116" s="172"/>
      <c r="X116" s="172"/>
      <c r="Y116" s="173"/>
      <c r="Z116" s="165"/>
      <c r="AA116" s="165"/>
    </row>
    <row r="117" hidden="1" outlineLevel="1">
      <c r="A117" s="361"/>
      <c r="B117" s="174"/>
      <c r="C117" s="380" t="s">
        <v>45</v>
      </c>
      <c r="D117" s="167">
        <v>19.95</v>
      </c>
      <c r="E117" s="168"/>
      <c r="F117" s="169">
        <v>1.0</v>
      </c>
      <c r="G117" s="169">
        <v>1.0</v>
      </c>
      <c r="H117" s="104">
        <f t="shared" si="1"/>
        <v>1</v>
      </c>
      <c r="I117" s="105">
        <f t="shared" si="2"/>
        <v>19.95</v>
      </c>
      <c r="J117" s="106">
        <f t="shared" si="3"/>
        <v>19.95</v>
      </c>
      <c r="K117" s="101">
        <v>0.0</v>
      </c>
      <c r="L117" s="103">
        <v>0.0</v>
      </c>
      <c r="M117" s="103">
        <v>0.0</v>
      </c>
      <c r="N117" s="108">
        <v>0.0</v>
      </c>
      <c r="O117" s="109" t="str">
        <f t="shared" si="4"/>
        <v>#DIV/0!</v>
      </c>
      <c r="P117" s="110" t="str">
        <f t="shared" si="5"/>
        <v>#DIV/0!</v>
      </c>
      <c r="Q117" s="109">
        <f t="shared" si="6"/>
        <v>0</v>
      </c>
      <c r="R117" s="111">
        <f t="shared" si="7"/>
        <v>0</v>
      </c>
      <c r="S117" s="112">
        <f t="shared" si="29"/>
        <v>19.95</v>
      </c>
      <c r="T117" s="113" t="str">
        <f t="shared" si="9"/>
        <v>#DIV/0!</v>
      </c>
      <c r="U117" s="193"/>
      <c r="V117" s="193"/>
      <c r="W117" s="193"/>
      <c r="X117" s="194"/>
      <c r="Y117" s="195"/>
      <c r="Z117" s="165"/>
      <c r="AA117" s="165"/>
    </row>
    <row r="118" hidden="1" outlineLevel="1">
      <c r="A118" s="379"/>
      <c r="B118" s="174"/>
      <c r="C118" s="294" t="s">
        <v>46</v>
      </c>
      <c r="D118" s="196">
        <v>638.64</v>
      </c>
      <c r="E118" s="168"/>
      <c r="F118" s="169">
        <v>18.0</v>
      </c>
      <c r="G118" s="169">
        <v>20.0</v>
      </c>
      <c r="H118" s="104">
        <f t="shared" si="1"/>
        <v>0.9</v>
      </c>
      <c r="I118" s="105">
        <f t="shared" si="2"/>
        <v>35.48</v>
      </c>
      <c r="J118" s="106">
        <f t="shared" si="3"/>
        <v>39.42222222</v>
      </c>
      <c r="K118" s="146">
        <v>117.81</v>
      </c>
      <c r="L118" s="103">
        <v>43098.0</v>
      </c>
      <c r="M118" s="103">
        <v>9.0</v>
      </c>
      <c r="N118" s="147">
        <v>277.68</v>
      </c>
      <c r="O118" s="109">
        <f t="shared" si="4"/>
        <v>0.4242653414</v>
      </c>
      <c r="P118" s="110">
        <f t="shared" si="5"/>
        <v>2.357015533</v>
      </c>
      <c r="Q118" s="109">
        <f t="shared" si="6"/>
        <v>0.184470124</v>
      </c>
      <c r="R118" s="111">
        <f t="shared" si="7"/>
        <v>0.4347989478</v>
      </c>
      <c r="S118" s="112">
        <f t="shared" si="29"/>
        <v>360.96</v>
      </c>
      <c r="T118" s="113">
        <f t="shared" si="9"/>
        <v>13.09</v>
      </c>
      <c r="U118" s="172"/>
      <c r="V118" s="172"/>
      <c r="W118" s="172"/>
      <c r="X118" s="172"/>
      <c r="Y118" s="173"/>
      <c r="Z118" s="165"/>
      <c r="AA118" s="165"/>
    </row>
    <row r="119" hidden="1" outlineLevel="1">
      <c r="A119" s="310" t="str">
        <f t="shared" ref="A119:A120" si="30">iferror(if(B119&gt;0,month(B119)&amp;"-"&amp;year(B119),B119),)</f>
        <v>1-2025</v>
      </c>
      <c r="B119" s="99">
        <v>45682.0</v>
      </c>
      <c r="C119" s="294" t="s">
        <v>49</v>
      </c>
      <c r="D119" s="196">
        <v>0.0</v>
      </c>
      <c r="E119" s="168"/>
      <c r="F119" s="169">
        <v>0.0</v>
      </c>
      <c r="G119" s="169">
        <v>0.0</v>
      </c>
      <c r="H119" s="104" t="str">
        <f t="shared" si="1"/>
        <v>#DIV/0!</v>
      </c>
      <c r="I119" s="105" t="str">
        <f t="shared" si="2"/>
        <v>#DIV/0!</v>
      </c>
      <c r="J119" s="106" t="str">
        <f t="shared" si="3"/>
        <v>#DIV/0!</v>
      </c>
      <c r="K119" s="146">
        <v>1.2</v>
      </c>
      <c r="L119" s="103">
        <v>7739.0</v>
      </c>
      <c r="M119" s="103">
        <v>0.0</v>
      </c>
      <c r="N119" s="147">
        <v>0.0</v>
      </c>
      <c r="O119" s="109" t="str">
        <f t="shared" si="4"/>
        <v>#DIV/0!</v>
      </c>
      <c r="P119" s="110">
        <f t="shared" si="5"/>
        <v>0</v>
      </c>
      <c r="Q119" s="109" t="str">
        <f t="shared" si="6"/>
        <v>#DIV/0!</v>
      </c>
      <c r="R119" s="111" t="str">
        <f t="shared" si="7"/>
        <v>#DIV/0!</v>
      </c>
      <c r="S119" s="112">
        <f t="shared" si="29"/>
        <v>0</v>
      </c>
      <c r="T119" s="113" t="str">
        <f t="shared" si="9"/>
        <v>#DIV/0!</v>
      </c>
      <c r="U119" s="172"/>
      <c r="V119" s="172"/>
      <c r="W119" s="172"/>
      <c r="X119" s="172"/>
      <c r="Y119" s="173"/>
      <c r="Z119" s="165"/>
      <c r="AA119" s="165"/>
    </row>
    <row r="120" collapsed="1">
      <c r="A120" s="361" t="str">
        <f t="shared" si="30"/>
        <v/>
      </c>
      <c r="B120" s="362" t="s">
        <v>91</v>
      </c>
      <c r="C120" s="363"/>
      <c r="D120" s="364">
        <f>SUM(D103:D119)</f>
        <v>9829.16</v>
      </c>
      <c r="E120" s="365"/>
      <c r="F120" s="366">
        <f t="shared" ref="F120:G120" si="31">SUM(F103:F119)</f>
        <v>105</v>
      </c>
      <c r="G120" s="366">
        <f t="shared" si="31"/>
        <v>116</v>
      </c>
      <c r="H120" s="367">
        <f t="shared" si="1"/>
        <v>0.9051724138</v>
      </c>
      <c r="I120" s="365">
        <f t="shared" si="2"/>
        <v>93.61104762</v>
      </c>
      <c r="J120" s="368">
        <f t="shared" si="3"/>
        <v>103.4179193</v>
      </c>
      <c r="K120" s="369">
        <f t="shared" ref="K120:N120" si="32">SUM(K103:K119)</f>
        <v>1094.12</v>
      </c>
      <c r="L120" s="366">
        <f t="shared" si="32"/>
        <v>246794</v>
      </c>
      <c r="M120" s="366">
        <f t="shared" si="32"/>
        <v>32</v>
      </c>
      <c r="N120" s="364">
        <f t="shared" si="32"/>
        <v>1599.95</v>
      </c>
      <c r="O120" s="371">
        <f t="shared" si="4"/>
        <v>0.6838463702</v>
      </c>
      <c r="P120" s="372">
        <f t="shared" si="5"/>
        <v>1.462316748</v>
      </c>
      <c r="Q120" s="371">
        <f t="shared" si="6"/>
        <v>0.111313683</v>
      </c>
      <c r="R120" s="373">
        <f t="shared" si="7"/>
        <v>0.1627758628</v>
      </c>
      <c r="S120" s="374">
        <f>SUM(S103:S119)</f>
        <v>8229.21</v>
      </c>
      <c r="T120" s="375">
        <f t="shared" si="9"/>
        <v>34.19125</v>
      </c>
      <c r="U120" s="376" t="str">
        <f>IFERROR((D120-#REF!)/D120,)</f>
        <v/>
      </c>
      <c r="V120" s="376" t="str">
        <f>IFERROR((F120-#REF!)/F120,)</f>
        <v/>
      </c>
      <c r="W120" s="377" t="str">
        <f>IFERROR((D120-monthly_reporting_2021!E49)/D120, )</f>
        <v/>
      </c>
      <c r="X120" s="378" t="str">
        <f>IFERROR((F120-monthly_reporting_2021!F49)/F120, )</f>
        <v/>
      </c>
      <c r="Y120" s="165"/>
      <c r="Z120" s="165"/>
      <c r="AA120" s="165"/>
    </row>
    <row r="121" hidden="1" outlineLevel="1">
      <c r="A121" s="379"/>
      <c r="B121" s="99">
        <v>45683.0</v>
      </c>
      <c r="C121" s="294" t="s">
        <v>32</v>
      </c>
      <c r="D121" s="167">
        <v>3275.99</v>
      </c>
      <c r="E121" s="168"/>
      <c r="F121" s="169">
        <v>9.0</v>
      </c>
      <c r="G121" s="169">
        <v>15.0</v>
      </c>
      <c r="H121" s="104">
        <f t="shared" si="1"/>
        <v>0.6</v>
      </c>
      <c r="I121" s="105">
        <f t="shared" si="2"/>
        <v>363.9988889</v>
      </c>
      <c r="J121" s="106">
        <f t="shared" si="3"/>
        <v>606.6648148</v>
      </c>
      <c r="K121" s="107">
        <v>480.63</v>
      </c>
      <c r="L121" s="103">
        <v>48160.0</v>
      </c>
      <c r="M121" s="103">
        <v>5.0</v>
      </c>
      <c r="N121" s="108">
        <v>1033.0</v>
      </c>
      <c r="O121" s="109">
        <f t="shared" si="4"/>
        <v>0.4652758955</v>
      </c>
      <c r="P121" s="110">
        <f t="shared" si="5"/>
        <v>2.149262426</v>
      </c>
      <c r="Q121" s="109">
        <f t="shared" si="6"/>
        <v>0.1467129021</v>
      </c>
      <c r="R121" s="111">
        <f t="shared" si="7"/>
        <v>0.3153245279</v>
      </c>
      <c r="S121" s="112">
        <f t="shared" ref="S121:S137" si="33">D121-N121</f>
        <v>2242.99</v>
      </c>
      <c r="T121" s="113">
        <f t="shared" si="9"/>
        <v>96.126</v>
      </c>
      <c r="U121" s="172"/>
      <c r="V121" s="172"/>
      <c r="W121" s="172"/>
      <c r="X121" s="172"/>
      <c r="Y121" s="173"/>
      <c r="Z121" s="165"/>
      <c r="AA121" s="165"/>
    </row>
    <row r="122" hidden="1" outlineLevel="1">
      <c r="A122" s="379"/>
      <c r="B122" s="174"/>
      <c r="C122" s="294" t="s">
        <v>33</v>
      </c>
      <c r="D122" s="175">
        <v>452.55</v>
      </c>
      <c r="E122" s="168"/>
      <c r="F122" s="169">
        <v>40.0</v>
      </c>
      <c r="G122" s="169">
        <v>37.0</v>
      </c>
      <c r="H122" s="104">
        <f t="shared" si="1"/>
        <v>1.081081081</v>
      </c>
      <c r="I122" s="105">
        <f t="shared" si="2"/>
        <v>11.31375</v>
      </c>
      <c r="J122" s="106">
        <f t="shared" si="3"/>
        <v>10.46521875</v>
      </c>
      <c r="K122" s="117">
        <v>401.67</v>
      </c>
      <c r="L122" s="103">
        <v>107458.0</v>
      </c>
      <c r="M122" s="103">
        <v>4.0</v>
      </c>
      <c r="N122" s="118">
        <v>289.8</v>
      </c>
      <c r="O122" s="109">
        <f t="shared" si="4"/>
        <v>1.386024845</v>
      </c>
      <c r="P122" s="110">
        <f t="shared" si="5"/>
        <v>0.7214877885</v>
      </c>
      <c r="Q122" s="109">
        <f t="shared" si="6"/>
        <v>0.8875704342</v>
      </c>
      <c r="R122" s="111">
        <f t="shared" si="7"/>
        <v>0.6403712297</v>
      </c>
      <c r="S122" s="119">
        <f t="shared" si="33"/>
        <v>162.75</v>
      </c>
      <c r="T122" s="113">
        <f t="shared" si="9"/>
        <v>100.4175</v>
      </c>
      <c r="U122" s="172"/>
      <c r="V122" s="172"/>
      <c r="W122" s="172"/>
      <c r="X122" s="172"/>
      <c r="Y122" s="173"/>
      <c r="Z122" s="165"/>
      <c r="AA122" s="165"/>
    </row>
    <row r="123" hidden="1" outlineLevel="1">
      <c r="A123" s="379"/>
      <c r="B123" s="174"/>
      <c r="C123" s="294" t="s">
        <v>34</v>
      </c>
      <c r="D123" s="177">
        <v>0.0</v>
      </c>
      <c r="E123" s="168"/>
      <c r="F123" s="169">
        <v>0.0</v>
      </c>
      <c r="G123" s="169">
        <v>0.0</v>
      </c>
      <c r="H123" s="104" t="str">
        <f t="shared" si="1"/>
        <v>#DIV/0!</v>
      </c>
      <c r="I123" s="105" t="str">
        <f t="shared" si="2"/>
        <v>#DIV/0!</v>
      </c>
      <c r="J123" s="106" t="str">
        <f t="shared" si="3"/>
        <v>#DIV/0!</v>
      </c>
      <c r="K123" s="120">
        <v>0.0</v>
      </c>
      <c r="L123" s="103">
        <v>0.0</v>
      </c>
      <c r="M123" s="103">
        <v>0.0</v>
      </c>
      <c r="N123" s="121">
        <v>0.0</v>
      </c>
      <c r="O123" s="109" t="str">
        <f t="shared" si="4"/>
        <v>#DIV/0!</v>
      </c>
      <c r="P123" s="110" t="str">
        <f t="shared" si="5"/>
        <v>#DIV/0!</v>
      </c>
      <c r="Q123" s="109" t="str">
        <f t="shared" si="6"/>
        <v>#DIV/0!</v>
      </c>
      <c r="R123" s="111" t="str">
        <f t="shared" si="7"/>
        <v>#DIV/0!</v>
      </c>
      <c r="S123" s="122">
        <f t="shared" si="33"/>
        <v>0</v>
      </c>
      <c r="T123" s="113" t="str">
        <f t="shared" si="9"/>
        <v>#DIV/0!</v>
      </c>
      <c r="U123" s="172"/>
      <c r="V123" s="172"/>
      <c r="W123" s="172"/>
      <c r="X123" s="172"/>
      <c r="Y123" s="173"/>
      <c r="Z123" s="165"/>
      <c r="AA123" s="165"/>
    </row>
    <row r="124" hidden="1" outlineLevel="1">
      <c r="A124" s="379"/>
      <c r="B124" s="174"/>
      <c r="C124" s="294" t="s">
        <v>35</v>
      </c>
      <c r="D124" s="177">
        <v>395.65</v>
      </c>
      <c r="E124" s="168"/>
      <c r="F124" s="169">
        <v>7.0</v>
      </c>
      <c r="G124" s="169">
        <v>7.0</v>
      </c>
      <c r="H124" s="104">
        <f t="shared" si="1"/>
        <v>1</v>
      </c>
      <c r="I124" s="105">
        <f t="shared" si="2"/>
        <v>56.52142857</v>
      </c>
      <c r="J124" s="106">
        <f t="shared" si="3"/>
        <v>56.52142857</v>
      </c>
      <c r="K124" s="120">
        <v>52.21</v>
      </c>
      <c r="L124" s="103">
        <v>4185.0</v>
      </c>
      <c r="M124" s="103">
        <v>3.0</v>
      </c>
      <c r="N124" s="121">
        <v>161.85</v>
      </c>
      <c r="O124" s="109">
        <f t="shared" si="4"/>
        <v>0.3225826382</v>
      </c>
      <c r="P124" s="110">
        <f t="shared" si="5"/>
        <v>3.099980847</v>
      </c>
      <c r="Q124" s="109">
        <f t="shared" si="6"/>
        <v>0.1319600657</v>
      </c>
      <c r="R124" s="111">
        <f t="shared" si="7"/>
        <v>0.4090736762</v>
      </c>
      <c r="S124" s="122">
        <f t="shared" si="33"/>
        <v>233.8</v>
      </c>
      <c r="T124" s="113">
        <f t="shared" si="9"/>
        <v>17.40333333</v>
      </c>
      <c r="U124" s="172"/>
      <c r="V124" s="172"/>
      <c r="W124" s="172"/>
      <c r="X124" s="172"/>
      <c r="Y124" s="173"/>
      <c r="Z124" s="165"/>
      <c r="AA124" s="165"/>
    </row>
    <row r="125" hidden="1" outlineLevel="1">
      <c r="A125" s="379"/>
      <c r="B125" s="174"/>
      <c r="C125" s="294" t="s">
        <v>65</v>
      </c>
      <c r="D125" s="320">
        <v>39.0</v>
      </c>
      <c r="E125" s="168"/>
      <c r="F125" s="169">
        <v>1.0</v>
      </c>
      <c r="G125" s="169">
        <v>1.0</v>
      </c>
      <c r="H125" s="104">
        <f t="shared" si="1"/>
        <v>1</v>
      </c>
      <c r="I125" s="105">
        <f t="shared" si="2"/>
        <v>39</v>
      </c>
      <c r="J125" s="106">
        <f t="shared" si="3"/>
        <v>39</v>
      </c>
      <c r="K125" s="300">
        <v>0.0</v>
      </c>
      <c r="L125" s="103">
        <v>0.0</v>
      </c>
      <c r="M125" s="103">
        <v>0.0</v>
      </c>
      <c r="N125" s="300">
        <v>0.0</v>
      </c>
      <c r="O125" s="109" t="str">
        <f t="shared" si="4"/>
        <v>#DIV/0!</v>
      </c>
      <c r="P125" s="110" t="str">
        <f t="shared" si="5"/>
        <v>#DIV/0!</v>
      </c>
      <c r="Q125" s="109">
        <f t="shared" si="6"/>
        <v>0</v>
      </c>
      <c r="R125" s="111">
        <f t="shared" si="7"/>
        <v>0</v>
      </c>
      <c r="S125" s="122">
        <f t="shared" si="33"/>
        <v>39</v>
      </c>
      <c r="T125" s="113" t="str">
        <f t="shared" si="9"/>
        <v>#DIV/0!</v>
      </c>
      <c r="U125" s="172"/>
      <c r="V125" s="172"/>
      <c r="W125" s="172"/>
      <c r="X125" s="172"/>
      <c r="Y125" s="173"/>
      <c r="Z125" s="165"/>
      <c r="AA125" s="165"/>
    </row>
    <row r="126" hidden="1" outlineLevel="1">
      <c r="A126" s="379"/>
      <c r="B126" s="174"/>
      <c r="C126" s="294" t="s">
        <v>85</v>
      </c>
      <c r="D126" s="321">
        <v>0.0</v>
      </c>
      <c r="E126" s="168"/>
      <c r="F126" s="169">
        <v>0.0</v>
      </c>
      <c r="G126" s="169">
        <v>0.0</v>
      </c>
      <c r="H126" s="104" t="str">
        <f t="shared" si="1"/>
        <v>#DIV/0!</v>
      </c>
      <c r="I126" s="105" t="str">
        <f t="shared" si="2"/>
        <v>#DIV/0!</v>
      </c>
      <c r="J126" s="106" t="str">
        <f t="shared" si="3"/>
        <v>#DIV/0!</v>
      </c>
      <c r="K126" s="302">
        <v>24.06</v>
      </c>
      <c r="L126" s="103">
        <v>4657.0</v>
      </c>
      <c r="M126" s="103">
        <v>1.0</v>
      </c>
      <c r="N126" s="303">
        <v>59.99</v>
      </c>
      <c r="O126" s="109">
        <f t="shared" si="4"/>
        <v>0.4010668445</v>
      </c>
      <c r="P126" s="110">
        <f t="shared" si="5"/>
        <v>2.493349958</v>
      </c>
      <c r="Q126" s="109" t="str">
        <f t="shared" si="6"/>
        <v>#DIV/0!</v>
      </c>
      <c r="R126" s="111" t="str">
        <f t="shared" si="7"/>
        <v>#DIV/0!</v>
      </c>
      <c r="S126" s="304">
        <f t="shared" si="33"/>
        <v>-59.99</v>
      </c>
      <c r="T126" s="113">
        <f t="shared" si="9"/>
        <v>24.06</v>
      </c>
      <c r="U126" s="172"/>
      <c r="V126" s="172"/>
      <c r="W126" s="172"/>
      <c r="X126" s="172"/>
      <c r="Y126" s="173"/>
      <c r="Z126" s="165"/>
      <c r="AA126" s="165"/>
    </row>
    <row r="127" hidden="1" outlineLevel="1">
      <c r="A127" s="379"/>
      <c r="B127" s="174"/>
      <c r="C127" s="294" t="s">
        <v>36</v>
      </c>
      <c r="D127" s="177">
        <v>189.57</v>
      </c>
      <c r="E127" s="168"/>
      <c r="F127" s="169">
        <v>3.0</v>
      </c>
      <c r="G127" s="169">
        <v>4.0</v>
      </c>
      <c r="H127" s="104">
        <f t="shared" si="1"/>
        <v>0.75</v>
      </c>
      <c r="I127" s="105">
        <f t="shared" si="2"/>
        <v>63.19</v>
      </c>
      <c r="J127" s="106">
        <f t="shared" si="3"/>
        <v>84.25333333</v>
      </c>
      <c r="K127" s="120">
        <v>105.38</v>
      </c>
      <c r="L127" s="103">
        <v>5971.0</v>
      </c>
      <c r="M127" s="103">
        <v>2.0</v>
      </c>
      <c r="N127" s="121">
        <v>139.9</v>
      </c>
      <c r="O127" s="109">
        <f t="shared" si="4"/>
        <v>0.7532523231</v>
      </c>
      <c r="P127" s="110">
        <f t="shared" si="5"/>
        <v>1.32757639</v>
      </c>
      <c r="Q127" s="109">
        <f t="shared" si="6"/>
        <v>0.555889645</v>
      </c>
      <c r="R127" s="111">
        <f t="shared" si="7"/>
        <v>0.7379859682</v>
      </c>
      <c r="S127" s="122">
        <f t="shared" si="33"/>
        <v>49.67</v>
      </c>
      <c r="T127" s="113">
        <f t="shared" si="9"/>
        <v>52.69</v>
      </c>
      <c r="U127" s="172"/>
      <c r="V127" s="172"/>
      <c r="W127" s="172"/>
      <c r="X127" s="172"/>
      <c r="Y127" s="173"/>
      <c r="Z127" s="165"/>
      <c r="AA127" s="165"/>
    </row>
    <row r="128" hidden="1" outlineLevel="1">
      <c r="A128" s="379"/>
      <c r="B128" s="99" t="s">
        <v>37</v>
      </c>
      <c r="C128" s="294" t="s">
        <v>38</v>
      </c>
      <c r="D128" s="180">
        <v>851.99</v>
      </c>
      <c r="E128" s="168"/>
      <c r="F128" s="169">
        <v>15.0</v>
      </c>
      <c r="G128" s="169">
        <v>16.0</v>
      </c>
      <c r="H128" s="104">
        <f t="shared" si="1"/>
        <v>0.9375</v>
      </c>
      <c r="I128" s="105">
        <f t="shared" si="2"/>
        <v>56.79933333</v>
      </c>
      <c r="J128" s="106">
        <f t="shared" si="3"/>
        <v>60.58595556</v>
      </c>
      <c r="K128" s="123">
        <v>154.0</v>
      </c>
      <c r="L128" s="103">
        <v>14576.0</v>
      </c>
      <c r="M128" s="103">
        <v>5.0</v>
      </c>
      <c r="N128" s="124">
        <v>172.45</v>
      </c>
      <c r="O128" s="109">
        <f t="shared" si="4"/>
        <v>0.8930124674</v>
      </c>
      <c r="P128" s="110">
        <f t="shared" si="5"/>
        <v>1.119805195</v>
      </c>
      <c r="Q128" s="109">
        <f t="shared" si="6"/>
        <v>0.1807532952</v>
      </c>
      <c r="R128" s="111">
        <f t="shared" si="7"/>
        <v>0.202408479</v>
      </c>
      <c r="S128" s="125">
        <f t="shared" si="33"/>
        <v>679.54</v>
      </c>
      <c r="T128" s="113">
        <f t="shared" si="9"/>
        <v>30.8</v>
      </c>
      <c r="U128" s="172"/>
      <c r="V128" s="172"/>
      <c r="W128" s="172"/>
      <c r="X128" s="172"/>
      <c r="Y128" s="173"/>
      <c r="Z128" s="165"/>
      <c r="AA128" s="165"/>
    </row>
    <row r="129" hidden="1" outlineLevel="1">
      <c r="A129" s="379"/>
      <c r="B129" s="174"/>
      <c r="C129" s="294" t="s">
        <v>39</v>
      </c>
      <c r="D129" s="182">
        <v>0.0</v>
      </c>
      <c r="E129" s="168"/>
      <c r="F129" s="169">
        <v>0.0</v>
      </c>
      <c r="G129" s="169">
        <v>0.0</v>
      </c>
      <c r="H129" s="104" t="str">
        <f t="shared" si="1"/>
        <v>#DIV/0!</v>
      </c>
      <c r="I129" s="105" t="str">
        <f t="shared" si="2"/>
        <v>#DIV/0!</v>
      </c>
      <c r="J129" s="106" t="str">
        <f t="shared" si="3"/>
        <v>#DIV/0!</v>
      </c>
      <c r="K129" s="126">
        <v>84.87</v>
      </c>
      <c r="L129" s="103">
        <v>58326.0</v>
      </c>
      <c r="M129" s="103">
        <v>0.0</v>
      </c>
      <c r="N129" s="127">
        <v>0.0</v>
      </c>
      <c r="O129" s="109" t="str">
        <f t="shared" si="4"/>
        <v>#DIV/0!</v>
      </c>
      <c r="P129" s="110">
        <f t="shared" si="5"/>
        <v>0</v>
      </c>
      <c r="Q129" s="109" t="str">
        <f t="shared" si="6"/>
        <v>#DIV/0!</v>
      </c>
      <c r="R129" s="111" t="str">
        <f t="shared" si="7"/>
        <v>#DIV/0!</v>
      </c>
      <c r="S129" s="128">
        <f t="shared" si="33"/>
        <v>0</v>
      </c>
      <c r="T129" s="113" t="str">
        <f t="shared" si="9"/>
        <v>#DIV/0!</v>
      </c>
      <c r="U129" s="172"/>
      <c r="V129" s="172"/>
      <c r="W129" s="172"/>
      <c r="X129" s="172"/>
      <c r="Y129" s="173"/>
      <c r="Z129" s="165"/>
      <c r="AA129" s="165"/>
    </row>
    <row r="130" hidden="1" outlineLevel="1">
      <c r="A130" s="379"/>
      <c r="B130" s="174"/>
      <c r="C130" s="294" t="s">
        <v>40</v>
      </c>
      <c r="D130" s="184">
        <v>439.6</v>
      </c>
      <c r="E130" s="168"/>
      <c r="F130" s="169">
        <v>8.0</v>
      </c>
      <c r="G130" s="169">
        <v>4.0</v>
      </c>
      <c r="H130" s="104">
        <f t="shared" si="1"/>
        <v>2</v>
      </c>
      <c r="I130" s="105">
        <f t="shared" si="2"/>
        <v>54.95</v>
      </c>
      <c r="J130" s="106">
        <f t="shared" si="3"/>
        <v>27.475</v>
      </c>
      <c r="K130" s="129">
        <v>0.0</v>
      </c>
      <c r="L130" s="103">
        <v>0.0</v>
      </c>
      <c r="M130" s="103">
        <v>0.0</v>
      </c>
      <c r="N130" s="130">
        <v>0.0</v>
      </c>
      <c r="O130" s="109" t="str">
        <f t="shared" si="4"/>
        <v>#DIV/0!</v>
      </c>
      <c r="P130" s="110" t="str">
        <f t="shared" si="5"/>
        <v>#DIV/0!</v>
      </c>
      <c r="Q130" s="109">
        <f t="shared" si="6"/>
        <v>0</v>
      </c>
      <c r="R130" s="111">
        <f t="shared" si="7"/>
        <v>0</v>
      </c>
      <c r="S130" s="131">
        <f t="shared" si="33"/>
        <v>439.6</v>
      </c>
      <c r="T130" s="113" t="str">
        <f t="shared" si="9"/>
        <v>#DIV/0!</v>
      </c>
      <c r="U130" s="172"/>
      <c r="V130" s="172"/>
      <c r="W130" s="172"/>
      <c r="X130" s="172"/>
      <c r="Y130" s="173"/>
      <c r="Z130" s="165"/>
      <c r="AA130" s="165"/>
    </row>
    <row r="131" hidden="1" outlineLevel="1">
      <c r="A131" s="379"/>
      <c r="B131" s="174"/>
      <c r="C131" s="294" t="s">
        <v>41</v>
      </c>
      <c r="D131" s="186">
        <v>330.0</v>
      </c>
      <c r="E131" s="168"/>
      <c r="F131" s="169">
        <v>6.0</v>
      </c>
      <c r="G131" s="169">
        <v>6.0</v>
      </c>
      <c r="H131" s="104">
        <f t="shared" si="1"/>
        <v>1</v>
      </c>
      <c r="I131" s="105">
        <f t="shared" si="2"/>
        <v>55</v>
      </c>
      <c r="J131" s="106">
        <f t="shared" si="3"/>
        <v>55</v>
      </c>
      <c r="K131" s="132">
        <v>38.86</v>
      </c>
      <c r="L131" s="103">
        <v>6385.0</v>
      </c>
      <c r="M131" s="103">
        <v>0.0</v>
      </c>
      <c r="N131" s="133">
        <v>0.0</v>
      </c>
      <c r="O131" s="109" t="str">
        <f t="shared" si="4"/>
        <v>#DIV/0!</v>
      </c>
      <c r="P131" s="110">
        <f t="shared" si="5"/>
        <v>0</v>
      </c>
      <c r="Q131" s="109">
        <f t="shared" si="6"/>
        <v>0.1177575758</v>
      </c>
      <c r="R131" s="111">
        <f t="shared" si="7"/>
        <v>0</v>
      </c>
      <c r="S131" s="134">
        <f t="shared" si="33"/>
        <v>330</v>
      </c>
      <c r="T131" s="113" t="str">
        <f t="shared" si="9"/>
        <v>#DIV/0!</v>
      </c>
      <c r="U131" s="172"/>
      <c r="V131" s="172"/>
      <c r="W131" s="172"/>
      <c r="X131" s="172"/>
      <c r="Y131" s="173"/>
      <c r="Z131" s="165"/>
      <c r="AA131" s="165"/>
    </row>
    <row r="132" hidden="1" outlineLevel="1">
      <c r="A132" s="379"/>
      <c r="B132" s="174"/>
      <c r="C132" s="294" t="s">
        <v>42</v>
      </c>
      <c r="D132" s="177">
        <v>39.98</v>
      </c>
      <c r="E132" s="168"/>
      <c r="F132" s="169">
        <v>2.0</v>
      </c>
      <c r="G132" s="169">
        <v>1.0</v>
      </c>
      <c r="H132" s="104">
        <f t="shared" si="1"/>
        <v>2</v>
      </c>
      <c r="I132" s="105">
        <f t="shared" si="2"/>
        <v>19.99</v>
      </c>
      <c r="J132" s="106">
        <f t="shared" si="3"/>
        <v>9.995</v>
      </c>
      <c r="K132" s="120">
        <v>6.94</v>
      </c>
      <c r="L132" s="103">
        <v>21359.0</v>
      </c>
      <c r="M132" s="103">
        <v>2.0</v>
      </c>
      <c r="N132" s="121">
        <v>39.98</v>
      </c>
      <c r="O132" s="109">
        <f t="shared" si="4"/>
        <v>0.1735867934</v>
      </c>
      <c r="P132" s="110">
        <f t="shared" si="5"/>
        <v>5.760806916</v>
      </c>
      <c r="Q132" s="109">
        <f t="shared" si="6"/>
        <v>0.1735867934</v>
      </c>
      <c r="R132" s="111">
        <f t="shared" si="7"/>
        <v>1</v>
      </c>
      <c r="S132" s="122">
        <f t="shared" si="33"/>
        <v>0</v>
      </c>
      <c r="T132" s="113">
        <f t="shared" si="9"/>
        <v>3.47</v>
      </c>
      <c r="U132" s="172"/>
      <c r="V132" s="172"/>
      <c r="W132" s="172"/>
      <c r="X132" s="172"/>
      <c r="Y132" s="173"/>
      <c r="Z132" s="165"/>
      <c r="AA132" s="165"/>
    </row>
    <row r="133" hidden="1" outlineLevel="1">
      <c r="A133" s="379"/>
      <c r="B133" s="174"/>
      <c r="C133" s="294" t="s">
        <v>43</v>
      </c>
      <c r="D133" s="188">
        <v>447.0</v>
      </c>
      <c r="E133" s="168"/>
      <c r="F133" s="169">
        <v>3.0</v>
      </c>
      <c r="G133" s="169">
        <v>3.0</v>
      </c>
      <c r="H133" s="104">
        <f t="shared" si="1"/>
        <v>1</v>
      </c>
      <c r="I133" s="105">
        <f t="shared" si="2"/>
        <v>149</v>
      </c>
      <c r="J133" s="106">
        <f t="shared" si="3"/>
        <v>149</v>
      </c>
      <c r="K133" s="135">
        <v>42.91</v>
      </c>
      <c r="L133" s="103">
        <v>27786.0</v>
      </c>
      <c r="M133" s="103">
        <v>0.0</v>
      </c>
      <c r="N133" s="136">
        <v>0.0</v>
      </c>
      <c r="O133" s="109" t="str">
        <f t="shared" si="4"/>
        <v>#DIV/0!</v>
      </c>
      <c r="P133" s="110">
        <f t="shared" si="5"/>
        <v>0</v>
      </c>
      <c r="Q133" s="109">
        <f t="shared" si="6"/>
        <v>0.09599552573</v>
      </c>
      <c r="R133" s="111">
        <f t="shared" si="7"/>
        <v>0</v>
      </c>
      <c r="S133" s="137">
        <f t="shared" si="33"/>
        <v>447</v>
      </c>
      <c r="T133" s="113" t="str">
        <f t="shared" si="9"/>
        <v>#DIV/0!</v>
      </c>
      <c r="U133" s="172"/>
      <c r="V133" s="172"/>
      <c r="W133" s="172"/>
      <c r="X133" s="172"/>
      <c r="Y133" s="173"/>
      <c r="Z133" s="165"/>
      <c r="AA133" s="165"/>
    </row>
    <row r="134" hidden="1" outlineLevel="1">
      <c r="A134" s="379"/>
      <c r="B134" s="174"/>
      <c r="C134" s="294" t="s">
        <v>44</v>
      </c>
      <c r="D134" s="190">
        <v>119.9</v>
      </c>
      <c r="E134" s="168"/>
      <c r="F134" s="169">
        <v>2.0</v>
      </c>
      <c r="G134" s="169">
        <v>1.0</v>
      </c>
      <c r="H134" s="104">
        <f t="shared" si="1"/>
        <v>2</v>
      </c>
      <c r="I134" s="105">
        <f t="shared" si="2"/>
        <v>59.95</v>
      </c>
      <c r="J134" s="106">
        <f t="shared" si="3"/>
        <v>29.975</v>
      </c>
      <c r="K134" s="138">
        <v>7.41</v>
      </c>
      <c r="L134" s="103">
        <v>1796.0</v>
      </c>
      <c r="M134" s="103">
        <v>0.0</v>
      </c>
      <c r="N134" s="139">
        <v>0.0</v>
      </c>
      <c r="O134" s="109" t="str">
        <f t="shared" si="4"/>
        <v>#DIV/0!</v>
      </c>
      <c r="P134" s="110">
        <f t="shared" si="5"/>
        <v>0</v>
      </c>
      <c r="Q134" s="109">
        <f t="shared" si="6"/>
        <v>0.06180150125</v>
      </c>
      <c r="R134" s="111">
        <f t="shared" si="7"/>
        <v>0</v>
      </c>
      <c r="S134" s="140">
        <f t="shared" si="33"/>
        <v>119.9</v>
      </c>
      <c r="T134" s="113" t="str">
        <f t="shared" si="9"/>
        <v>#DIV/0!</v>
      </c>
      <c r="U134" s="172"/>
      <c r="V134" s="172"/>
      <c r="W134" s="172"/>
      <c r="X134" s="172"/>
      <c r="Y134" s="173"/>
      <c r="Z134" s="165"/>
      <c r="AA134" s="165"/>
    </row>
    <row r="135" hidden="1" outlineLevel="1">
      <c r="A135" s="361"/>
      <c r="B135" s="174"/>
      <c r="C135" s="380" t="s">
        <v>45</v>
      </c>
      <c r="D135" s="167">
        <v>99.89</v>
      </c>
      <c r="E135" s="168"/>
      <c r="F135" s="169">
        <v>3.0</v>
      </c>
      <c r="G135" s="169">
        <v>3.0</v>
      </c>
      <c r="H135" s="104">
        <f t="shared" si="1"/>
        <v>1</v>
      </c>
      <c r="I135" s="105">
        <f t="shared" si="2"/>
        <v>33.29666667</v>
      </c>
      <c r="J135" s="106">
        <f t="shared" si="3"/>
        <v>33.29666667</v>
      </c>
      <c r="K135" s="101">
        <v>0.0</v>
      </c>
      <c r="L135" s="103">
        <v>0.0</v>
      </c>
      <c r="M135" s="103">
        <v>0.0</v>
      </c>
      <c r="N135" s="108">
        <v>0.0</v>
      </c>
      <c r="O135" s="109" t="str">
        <f t="shared" si="4"/>
        <v>#DIV/0!</v>
      </c>
      <c r="P135" s="110" t="str">
        <f t="shared" si="5"/>
        <v>#DIV/0!</v>
      </c>
      <c r="Q135" s="109">
        <f t="shared" si="6"/>
        <v>0</v>
      </c>
      <c r="R135" s="111">
        <f t="shared" si="7"/>
        <v>0</v>
      </c>
      <c r="S135" s="112">
        <f t="shared" si="33"/>
        <v>99.89</v>
      </c>
      <c r="T135" s="113" t="str">
        <f t="shared" si="9"/>
        <v>#DIV/0!</v>
      </c>
      <c r="U135" s="193"/>
      <c r="V135" s="193"/>
      <c r="W135" s="193"/>
      <c r="X135" s="194"/>
      <c r="Y135" s="195"/>
      <c r="Z135" s="165"/>
      <c r="AA135" s="165"/>
    </row>
    <row r="136" hidden="1" outlineLevel="1">
      <c r="A136" s="379"/>
      <c r="B136" s="174"/>
      <c r="C136" s="294" t="s">
        <v>46</v>
      </c>
      <c r="D136" s="196">
        <v>359.6</v>
      </c>
      <c r="E136" s="168"/>
      <c r="F136" s="169">
        <v>10.0</v>
      </c>
      <c r="G136" s="169">
        <v>13.0</v>
      </c>
      <c r="H136" s="104">
        <f t="shared" si="1"/>
        <v>0.7692307692</v>
      </c>
      <c r="I136" s="105">
        <f t="shared" si="2"/>
        <v>35.96</v>
      </c>
      <c r="J136" s="106">
        <f t="shared" si="3"/>
        <v>46.748</v>
      </c>
      <c r="K136" s="146">
        <v>159.04</v>
      </c>
      <c r="L136" s="103">
        <v>41214.0</v>
      </c>
      <c r="M136" s="103">
        <v>8.0</v>
      </c>
      <c r="N136" s="147">
        <v>287.68</v>
      </c>
      <c r="O136" s="109">
        <f t="shared" si="4"/>
        <v>0.552836485</v>
      </c>
      <c r="P136" s="110">
        <f t="shared" si="5"/>
        <v>1.808853119</v>
      </c>
      <c r="Q136" s="109">
        <f t="shared" si="6"/>
        <v>0.442269188</v>
      </c>
      <c r="R136" s="111">
        <f t="shared" si="7"/>
        <v>0.8</v>
      </c>
      <c r="S136" s="112">
        <f t="shared" si="33"/>
        <v>71.92</v>
      </c>
      <c r="T136" s="113">
        <f t="shared" si="9"/>
        <v>19.88</v>
      </c>
      <c r="U136" s="172"/>
      <c r="V136" s="172"/>
      <c r="W136" s="172"/>
      <c r="X136" s="172"/>
      <c r="Y136" s="173"/>
      <c r="Z136" s="165"/>
      <c r="AA136" s="165"/>
    </row>
    <row r="137" hidden="1" outlineLevel="1">
      <c r="A137" s="310" t="str">
        <f t="shared" ref="A137:A138" si="34">iferror(if(B137&gt;0,month(B137)&amp;"-"&amp;year(B137),B137),)</f>
        <v>2-2025</v>
      </c>
      <c r="B137" s="99">
        <v>45689.0</v>
      </c>
      <c r="C137" s="294" t="s">
        <v>49</v>
      </c>
      <c r="D137" s="196">
        <v>0.0</v>
      </c>
      <c r="E137" s="168"/>
      <c r="F137" s="169">
        <v>0.0</v>
      </c>
      <c r="G137" s="169">
        <v>0.0</v>
      </c>
      <c r="H137" s="104" t="str">
        <f t="shared" si="1"/>
        <v>#DIV/0!</v>
      </c>
      <c r="I137" s="105" t="str">
        <f t="shared" si="2"/>
        <v>#DIV/0!</v>
      </c>
      <c r="J137" s="106" t="str">
        <f t="shared" si="3"/>
        <v>#DIV/0!</v>
      </c>
      <c r="K137" s="146">
        <v>4.0</v>
      </c>
      <c r="L137" s="103">
        <v>6557.0</v>
      </c>
      <c r="M137" s="103">
        <v>0.0</v>
      </c>
      <c r="N137" s="147">
        <v>0.0</v>
      </c>
      <c r="O137" s="109" t="str">
        <f t="shared" si="4"/>
        <v>#DIV/0!</v>
      </c>
      <c r="P137" s="110">
        <f t="shared" si="5"/>
        <v>0</v>
      </c>
      <c r="Q137" s="109" t="str">
        <f t="shared" si="6"/>
        <v>#DIV/0!</v>
      </c>
      <c r="R137" s="111" t="str">
        <f t="shared" si="7"/>
        <v>#DIV/0!</v>
      </c>
      <c r="S137" s="112">
        <f t="shared" si="33"/>
        <v>0</v>
      </c>
      <c r="T137" s="113" t="str">
        <f t="shared" si="9"/>
        <v>#DIV/0!</v>
      </c>
      <c r="U137" s="172"/>
      <c r="V137" s="172"/>
      <c r="W137" s="172"/>
      <c r="X137" s="172"/>
      <c r="Y137" s="173"/>
      <c r="Z137" s="165"/>
      <c r="AA137" s="165"/>
    </row>
    <row r="138" ht="17.25" customHeight="1" collapsed="1">
      <c r="A138" s="361" t="str">
        <f t="shared" si="34"/>
        <v/>
      </c>
      <c r="B138" s="362" t="s">
        <v>92</v>
      </c>
      <c r="C138" s="363"/>
      <c r="D138" s="364">
        <f>SUM(D121:D137)</f>
        <v>7040.72</v>
      </c>
      <c r="E138" s="365"/>
      <c r="F138" s="366">
        <f t="shared" ref="F138:G138" si="35">SUM(F121:F137)</f>
        <v>109</v>
      </c>
      <c r="G138" s="366">
        <f t="shared" si="35"/>
        <v>111</v>
      </c>
      <c r="H138" s="367">
        <f t="shared" si="1"/>
        <v>0.981981982</v>
      </c>
      <c r="I138" s="365">
        <f t="shared" si="2"/>
        <v>64.59376147</v>
      </c>
      <c r="J138" s="368">
        <f t="shared" si="3"/>
        <v>65.7789681</v>
      </c>
      <c r="K138" s="369">
        <f t="shared" ref="K138:N138" si="36">SUM(K121:K137)</f>
        <v>1561.98</v>
      </c>
      <c r="L138" s="366">
        <f t="shared" si="36"/>
        <v>348430</v>
      </c>
      <c r="M138" s="366">
        <f t="shared" si="36"/>
        <v>30</v>
      </c>
      <c r="N138" s="364">
        <f t="shared" si="36"/>
        <v>2184.65</v>
      </c>
      <c r="O138" s="371">
        <f t="shared" si="4"/>
        <v>0.7149795162</v>
      </c>
      <c r="P138" s="372">
        <f t="shared" si="5"/>
        <v>1.398641468</v>
      </c>
      <c r="Q138" s="371">
        <f t="shared" si="6"/>
        <v>0.2218494699</v>
      </c>
      <c r="R138" s="373">
        <f t="shared" si="7"/>
        <v>0.3102878683</v>
      </c>
      <c r="S138" s="374">
        <f>SUM(S121:S137)</f>
        <v>4856.07</v>
      </c>
      <c r="T138" s="375">
        <f t="shared" si="9"/>
        <v>52.066</v>
      </c>
      <c r="U138" s="376" t="str">
        <f>IFERROR((D138-#REF!)/D138,)</f>
        <v/>
      </c>
      <c r="V138" s="376" t="str">
        <f>IFERROR((F138-#REF!)/F138,)</f>
        <v/>
      </c>
      <c r="W138" s="377" t="str">
        <f>IFERROR((D138-monthly_reporting_2021!E49)/D138, )</f>
        <v/>
      </c>
      <c r="X138" s="378" t="str">
        <f>IFERROR((F138-monthly_reporting_2021!F49)/F138, )</f>
        <v/>
      </c>
      <c r="Y138" s="165"/>
      <c r="Z138" s="165"/>
      <c r="AA138" s="165"/>
    </row>
    <row r="139" hidden="1" outlineLevel="1">
      <c r="A139" s="379"/>
      <c r="B139" s="99">
        <v>45690.0</v>
      </c>
      <c r="C139" s="294" t="s">
        <v>32</v>
      </c>
      <c r="D139" s="101">
        <v>4622.6</v>
      </c>
      <c r="E139" s="105"/>
      <c r="F139" s="103">
        <v>15.0</v>
      </c>
      <c r="G139" s="103">
        <v>20.0</v>
      </c>
      <c r="H139" s="104">
        <f t="shared" si="1"/>
        <v>0.75</v>
      </c>
      <c r="I139" s="105">
        <f t="shared" si="2"/>
        <v>308.1733333</v>
      </c>
      <c r="J139" s="106">
        <f t="shared" si="3"/>
        <v>410.8977778</v>
      </c>
      <c r="K139" s="107">
        <v>682.26</v>
      </c>
      <c r="L139" s="103">
        <v>63764.0</v>
      </c>
      <c r="M139" s="103">
        <v>8.0</v>
      </c>
      <c r="N139" s="108">
        <v>4704.0</v>
      </c>
      <c r="O139" s="109">
        <f t="shared" si="4"/>
        <v>0.1450382653</v>
      </c>
      <c r="P139" s="110">
        <f t="shared" si="5"/>
        <v>6.894732214</v>
      </c>
      <c r="Q139" s="109">
        <f t="shared" si="6"/>
        <v>0.1475922641</v>
      </c>
      <c r="R139" s="111">
        <f t="shared" si="7"/>
        <v>1.017609138</v>
      </c>
      <c r="S139" s="112">
        <f t="shared" ref="S139:S155" si="37">D139-N139</f>
        <v>-81.4</v>
      </c>
      <c r="T139" s="113">
        <f t="shared" si="9"/>
        <v>85.2825</v>
      </c>
      <c r="U139" s="172"/>
      <c r="V139" s="172"/>
      <c r="W139" s="172"/>
      <c r="X139" s="172"/>
      <c r="Y139" s="173"/>
      <c r="Z139" s="165"/>
      <c r="AA139" s="165"/>
    </row>
    <row r="140" hidden="1" outlineLevel="1">
      <c r="A140" s="379"/>
      <c r="B140" s="174"/>
      <c r="C140" s="294" t="s">
        <v>33</v>
      </c>
      <c r="D140" s="117">
        <v>2343.89</v>
      </c>
      <c r="E140" s="105"/>
      <c r="F140" s="103">
        <v>32.0</v>
      </c>
      <c r="G140" s="103">
        <v>33.0</v>
      </c>
      <c r="H140" s="104">
        <f t="shared" si="1"/>
        <v>0.9696969697</v>
      </c>
      <c r="I140" s="105">
        <f t="shared" si="2"/>
        <v>73.2465625</v>
      </c>
      <c r="J140" s="106">
        <f t="shared" si="3"/>
        <v>75.53551758</v>
      </c>
      <c r="K140" s="117">
        <v>408.41</v>
      </c>
      <c r="L140" s="103">
        <v>93358.0</v>
      </c>
      <c r="M140" s="103">
        <v>10.0</v>
      </c>
      <c r="N140" s="118">
        <v>413.8</v>
      </c>
      <c r="O140" s="109">
        <f t="shared" si="4"/>
        <v>0.9869743838</v>
      </c>
      <c r="P140" s="110">
        <f t="shared" si="5"/>
        <v>1.013197522</v>
      </c>
      <c r="Q140" s="109">
        <f t="shared" si="6"/>
        <v>0.1742445251</v>
      </c>
      <c r="R140" s="111">
        <f t="shared" si="7"/>
        <v>0.1765441211</v>
      </c>
      <c r="S140" s="119">
        <f t="shared" si="37"/>
        <v>1930.09</v>
      </c>
      <c r="T140" s="113">
        <f t="shared" si="9"/>
        <v>40.841</v>
      </c>
      <c r="U140" s="172"/>
      <c r="V140" s="172"/>
      <c r="W140" s="172"/>
      <c r="X140" s="172"/>
      <c r="Y140" s="173"/>
      <c r="Z140" s="165"/>
      <c r="AA140" s="165"/>
    </row>
    <row r="141" hidden="1" outlineLevel="1">
      <c r="A141" s="379"/>
      <c r="B141" s="174"/>
      <c r="C141" s="294" t="s">
        <v>34</v>
      </c>
      <c r="D141" s="120">
        <v>0.0</v>
      </c>
      <c r="E141" s="105"/>
      <c r="F141" s="103">
        <v>0.0</v>
      </c>
      <c r="G141" s="103">
        <v>0.0</v>
      </c>
      <c r="H141" s="104" t="str">
        <f t="shared" si="1"/>
        <v>#DIV/0!</v>
      </c>
      <c r="I141" s="105" t="str">
        <f t="shared" si="2"/>
        <v>#DIV/0!</v>
      </c>
      <c r="J141" s="106" t="str">
        <f t="shared" si="3"/>
        <v>#DIV/0!</v>
      </c>
      <c r="K141" s="120">
        <v>0.0</v>
      </c>
      <c r="L141" s="103">
        <v>0.0</v>
      </c>
      <c r="M141" s="103">
        <v>0.0</v>
      </c>
      <c r="N141" s="121">
        <v>0.0</v>
      </c>
      <c r="O141" s="109" t="str">
        <f>(K141/N141)</f>
        <v>#DIV/0!</v>
      </c>
      <c r="P141" s="110" t="str">
        <f t="shared" si="5"/>
        <v>#DIV/0!</v>
      </c>
      <c r="Q141" s="109" t="str">
        <f t="shared" si="6"/>
        <v>#DIV/0!</v>
      </c>
      <c r="R141" s="111" t="str">
        <f t="shared" si="7"/>
        <v>#DIV/0!</v>
      </c>
      <c r="S141" s="122">
        <f t="shared" si="37"/>
        <v>0</v>
      </c>
      <c r="T141" s="113" t="str">
        <f t="shared" si="9"/>
        <v>#DIV/0!</v>
      </c>
      <c r="U141" s="172"/>
      <c r="V141" s="172"/>
      <c r="W141" s="172"/>
      <c r="X141" s="172"/>
      <c r="Y141" s="173"/>
      <c r="Z141" s="165"/>
      <c r="AA141" s="165"/>
    </row>
    <row r="142" hidden="1" outlineLevel="1">
      <c r="A142" s="379"/>
      <c r="B142" s="174"/>
      <c r="C142" s="294" t="s">
        <v>35</v>
      </c>
      <c r="D142" s="120">
        <v>557.5</v>
      </c>
      <c r="E142" s="105"/>
      <c r="F142" s="103">
        <v>10.0</v>
      </c>
      <c r="G142" s="103">
        <v>7.0</v>
      </c>
      <c r="H142" s="104">
        <f t="shared" si="1"/>
        <v>1.428571429</v>
      </c>
      <c r="I142" s="105">
        <f t="shared" si="2"/>
        <v>55.75</v>
      </c>
      <c r="J142" s="106">
        <f t="shared" si="3"/>
        <v>39.025</v>
      </c>
      <c r="K142" s="120">
        <v>94.66</v>
      </c>
      <c r="L142" s="103">
        <v>7555.0</v>
      </c>
      <c r="M142" s="103">
        <v>4.0</v>
      </c>
      <c r="N142" s="121">
        <v>215.8</v>
      </c>
      <c r="O142" s="109">
        <f t="shared" ref="O142:O158" si="38">K142/N142</f>
        <v>0.4386468953</v>
      </c>
      <c r="P142" s="110">
        <f t="shared" si="5"/>
        <v>2.27973801</v>
      </c>
      <c r="Q142" s="109">
        <f t="shared" si="6"/>
        <v>0.169793722</v>
      </c>
      <c r="R142" s="111">
        <f t="shared" si="7"/>
        <v>0.3870852018</v>
      </c>
      <c r="S142" s="122">
        <f t="shared" si="37"/>
        <v>341.7</v>
      </c>
      <c r="T142" s="113">
        <f t="shared" si="9"/>
        <v>23.665</v>
      </c>
      <c r="U142" s="172"/>
      <c r="V142" s="172"/>
      <c r="W142" s="172"/>
      <c r="X142" s="172"/>
      <c r="Y142" s="173"/>
      <c r="Z142" s="165"/>
      <c r="AA142" s="165"/>
    </row>
    <row r="143" hidden="1" outlineLevel="1">
      <c r="A143" s="379"/>
      <c r="B143" s="174"/>
      <c r="C143" s="294" t="s">
        <v>65</v>
      </c>
      <c r="D143" s="300">
        <v>39.0</v>
      </c>
      <c r="E143" s="105"/>
      <c r="F143" s="103">
        <v>1.0</v>
      </c>
      <c r="G143" s="103">
        <v>1.0</v>
      </c>
      <c r="H143" s="104">
        <f t="shared" si="1"/>
        <v>1</v>
      </c>
      <c r="I143" s="105">
        <f t="shared" si="2"/>
        <v>39</v>
      </c>
      <c r="J143" s="106">
        <f t="shared" si="3"/>
        <v>39</v>
      </c>
      <c r="K143" s="300">
        <v>0.0</v>
      </c>
      <c r="L143" s="103">
        <v>0.0</v>
      </c>
      <c r="M143" s="103">
        <v>0.0</v>
      </c>
      <c r="N143" s="300">
        <v>0.0</v>
      </c>
      <c r="O143" s="109" t="str">
        <f t="shared" si="38"/>
        <v>#DIV/0!</v>
      </c>
      <c r="P143" s="110" t="str">
        <f t="shared" si="5"/>
        <v>#DIV/0!</v>
      </c>
      <c r="Q143" s="109">
        <f t="shared" si="6"/>
        <v>0</v>
      </c>
      <c r="R143" s="111">
        <f t="shared" si="7"/>
        <v>0</v>
      </c>
      <c r="S143" s="122">
        <f t="shared" si="37"/>
        <v>39</v>
      </c>
      <c r="T143" s="113" t="str">
        <f t="shared" si="9"/>
        <v>#DIV/0!</v>
      </c>
      <c r="U143" s="172"/>
      <c r="V143" s="172"/>
      <c r="W143" s="172"/>
      <c r="X143" s="172"/>
      <c r="Y143" s="173"/>
      <c r="Z143" s="165"/>
      <c r="AA143" s="165"/>
    </row>
    <row r="144" hidden="1" outlineLevel="1">
      <c r="A144" s="379"/>
      <c r="B144" s="174"/>
      <c r="C144" s="294" t="s">
        <v>85</v>
      </c>
      <c r="D144" s="302">
        <v>0.0</v>
      </c>
      <c r="E144" s="105"/>
      <c r="F144" s="103">
        <v>0.0</v>
      </c>
      <c r="G144" s="103">
        <v>0.0</v>
      </c>
      <c r="H144" s="104" t="str">
        <f t="shared" si="1"/>
        <v>#DIV/0!</v>
      </c>
      <c r="I144" s="105" t="str">
        <f t="shared" si="2"/>
        <v>#DIV/0!</v>
      </c>
      <c r="J144" s="106" t="str">
        <f t="shared" si="3"/>
        <v>#DIV/0!</v>
      </c>
      <c r="K144" s="302">
        <v>26.6</v>
      </c>
      <c r="L144" s="103">
        <v>7162.0</v>
      </c>
      <c r="M144" s="103">
        <v>4.0</v>
      </c>
      <c r="N144" s="303">
        <v>239.96</v>
      </c>
      <c r="O144" s="109">
        <f t="shared" si="38"/>
        <v>0.1108518086</v>
      </c>
      <c r="P144" s="110">
        <f t="shared" si="5"/>
        <v>9.021052632</v>
      </c>
      <c r="Q144" s="109" t="str">
        <f t="shared" si="6"/>
        <v>#DIV/0!</v>
      </c>
      <c r="R144" s="111" t="str">
        <f t="shared" si="7"/>
        <v>#DIV/0!</v>
      </c>
      <c r="S144" s="304">
        <f t="shared" si="37"/>
        <v>-239.96</v>
      </c>
      <c r="T144" s="113">
        <f t="shared" si="9"/>
        <v>6.65</v>
      </c>
      <c r="U144" s="172"/>
      <c r="V144" s="172"/>
      <c r="W144" s="172"/>
      <c r="X144" s="172"/>
      <c r="Y144" s="173"/>
      <c r="Z144" s="165"/>
      <c r="AA144" s="165"/>
    </row>
    <row r="145" hidden="1" outlineLevel="1">
      <c r="A145" s="379"/>
      <c r="B145" s="174"/>
      <c r="C145" s="294" t="s">
        <v>36</v>
      </c>
      <c r="D145" s="120">
        <v>180.41</v>
      </c>
      <c r="E145" s="105"/>
      <c r="F145" s="103">
        <v>3.0</v>
      </c>
      <c r="G145" s="103">
        <v>3.0</v>
      </c>
      <c r="H145" s="104">
        <f t="shared" si="1"/>
        <v>1</v>
      </c>
      <c r="I145" s="105">
        <f t="shared" si="2"/>
        <v>60.13666667</v>
      </c>
      <c r="J145" s="106">
        <f t="shared" si="3"/>
        <v>60.13666667</v>
      </c>
      <c r="K145" s="120">
        <v>110.61</v>
      </c>
      <c r="L145" s="103">
        <v>6260.0</v>
      </c>
      <c r="M145" s="103">
        <v>2.0</v>
      </c>
      <c r="N145" s="121">
        <v>139.9</v>
      </c>
      <c r="O145" s="109">
        <f t="shared" si="38"/>
        <v>0.7906361687</v>
      </c>
      <c r="P145" s="110">
        <f t="shared" si="5"/>
        <v>1.264804267</v>
      </c>
      <c r="Q145" s="109">
        <f t="shared" si="6"/>
        <v>0.6131034865</v>
      </c>
      <c r="R145" s="111">
        <f t="shared" si="7"/>
        <v>0.775455906</v>
      </c>
      <c r="S145" s="122">
        <f t="shared" si="37"/>
        <v>40.51</v>
      </c>
      <c r="T145" s="113">
        <f t="shared" si="9"/>
        <v>55.305</v>
      </c>
      <c r="U145" s="172"/>
      <c r="V145" s="172"/>
      <c r="W145" s="172"/>
      <c r="X145" s="172"/>
      <c r="Y145" s="173"/>
      <c r="Z145" s="165"/>
      <c r="AA145" s="165"/>
    </row>
    <row r="146" hidden="1" outlineLevel="1">
      <c r="A146" s="379"/>
      <c r="B146" s="99" t="s">
        <v>37</v>
      </c>
      <c r="C146" s="294" t="s">
        <v>38</v>
      </c>
      <c r="D146" s="123">
        <v>545.44</v>
      </c>
      <c r="E146" s="105"/>
      <c r="F146" s="103">
        <v>10.0</v>
      </c>
      <c r="G146" s="103">
        <v>11.0</v>
      </c>
      <c r="H146" s="104">
        <f t="shared" si="1"/>
        <v>0.9090909091</v>
      </c>
      <c r="I146" s="105">
        <f t="shared" si="2"/>
        <v>54.544</v>
      </c>
      <c r="J146" s="106">
        <f t="shared" si="3"/>
        <v>59.9984</v>
      </c>
      <c r="K146" s="123">
        <v>130.91</v>
      </c>
      <c r="L146" s="103">
        <v>13564.0</v>
      </c>
      <c r="M146" s="103">
        <v>2.0</v>
      </c>
      <c r="N146" s="124">
        <v>43.12</v>
      </c>
      <c r="O146" s="109">
        <f t="shared" si="38"/>
        <v>3.035946197</v>
      </c>
      <c r="P146" s="110">
        <f t="shared" si="5"/>
        <v>0.3293866015</v>
      </c>
      <c r="Q146" s="109">
        <f t="shared" si="6"/>
        <v>0.2400080669</v>
      </c>
      <c r="R146" s="111">
        <f t="shared" si="7"/>
        <v>0.07905544148</v>
      </c>
      <c r="S146" s="125">
        <f t="shared" si="37"/>
        <v>502.32</v>
      </c>
      <c r="T146" s="113">
        <f t="shared" si="9"/>
        <v>65.455</v>
      </c>
      <c r="U146" s="172"/>
      <c r="V146" s="172"/>
      <c r="W146" s="172"/>
      <c r="X146" s="172"/>
      <c r="Y146" s="173"/>
      <c r="Z146" s="165"/>
      <c r="AA146" s="165"/>
    </row>
    <row r="147" hidden="1" outlineLevel="1">
      <c r="A147" s="379"/>
      <c r="B147" s="174"/>
      <c r="C147" s="294" t="s">
        <v>39</v>
      </c>
      <c r="D147" s="126">
        <v>0.0</v>
      </c>
      <c r="E147" s="105"/>
      <c r="F147" s="103">
        <v>0.0</v>
      </c>
      <c r="G147" s="103">
        <v>0.0</v>
      </c>
      <c r="H147" s="104" t="str">
        <f t="shared" si="1"/>
        <v>#DIV/0!</v>
      </c>
      <c r="I147" s="105" t="str">
        <f t="shared" si="2"/>
        <v>#DIV/0!</v>
      </c>
      <c r="J147" s="106" t="str">
        <f t="shared" si="3"/>
        <v>#DIV/0!</v>
      </c>
      <c r="K147" s="126">
        <v>58.08</v>
      </c>
      <c r="L147" s="103">
        <v>34947.0</v>
      </c>
      <c r="M147" s="103">
        <v>0.0</v>
      </c>
      <c r="N147" s="127">
        <v>0.0</v>
      </c>
      <c r="O147" s="109" t="str">
        <f t="shared" si="38"/>
        <v>#DIV/0!</v>
      </c>
      <c r="P147" s="110">
        <f t="shared" si="5"/>
        <v>0</v>
      </c>
      <c r="Q147" s="109" t="str">
        <f t="shared" si="6"/>
        <v>#DIV/0!</v>
      </c>
      <c r="R147" s="111" t="str">
        <f t="shared" si="7"/>
        <v>#DIV/0!</v>
      </c>
      <c r="S147" s="128">
        <f t="shared" si="37"/>
        <v>0</v>
      </c>
      <c r="T147" s="113" t="str">
        <f t="shared" si="9"/>
        <v>#DIV/0!</v>
      </c>
      <c r="U147" s="172"/>
      <c r="V147" s="172"/>
      <c r="W147" s="172"/>
      <c r="X147" s="172"/>
      <c r="Y147" s="173"/>
      <c r="Z147" s="165"/>
      <c r="AA147" s="165"/>
    </row>
    <row r="148" hidden="1" outlineLevel="1">
      <c r="A148" s="379"/>
      <c r="B148" s="174"/>
      <c r="C148" s="294" t="s">
        <v>40</v>
      </c>
      <c r="D148" s="129">
        <v>219.8</v>
      </c>
      <c r="E148" s="105"/>
      <c r="F148" s="103">
        <v>4.0</v>
      </c>
      <c r="G148" s="103">
        <v>4.0</v>
      </c>
      <c r="H148" s="104">
        <f t="shared" si="1"/>
        <v>1</v>
      </c>
      <c r="I148" s="105">
        <f t="shared" si="2"/>
        <v>54.95</v>
      </c>
      <c r="J148" s="106">
        <f t="shared" si="3"/>
        <v>54.95</v>
      </c>
      <c r="K148" s="129">
        <v>0.0</v>
      </c>
      <c r="L148" s="103">
        <v>0.0</v>
      </c>
      <c r="M148" s="103">
        <v>0.0</v>
      </c>
      <c r="N148" s="130">
        <v>0.0</v>
      </c>
      <c r="O148" s="109" t="str">
        <f t="shared" si="38"/>
        <v>#DIV/0!</v>
      </c>
      <c r="P148" s="110" t="str">
        <f t="shared" si="5"/>
        <v>#DIV/0!</v>
      </c>
      <c r="Q148" s="109">
        <f t="shared" si="6"/>
        <v>0</v>
      </c>
      <c r="R148" s="111">
        <f t="shared" si="7"/>
        <v>0</v>
      </c>
      <c r="S148" s="131">
        <f t="shared" si="37"/>
        <v>219.8</v>
      </c>
      <c r="T148" s="113" t="str">
        <f t="shared" si="9"/>
        <v>#DIV/0!</v>
      </c>
      <c r="U148" s="172"/>
      <c r="V148" s="172"/>
      <c r="W148" s="172"/>
      <c r="X148" s="172"/>
      <c r="Y148" s="173"/>
      <c r="Z148" s="165"/>
      <c r="AA148" s="165"/>
    </row>
    <row r="149" hidden="1" outlineLevel="1">
      <c r="A149" s="379"/>
      <c r="B149" s="174"/>
      <c r="C149" s="294" t="s">
        <v>41</v>
      </c>
      <c r="D149" s="132">
        <v>641.7</v>
      </c>
      <c r="E149" s="105"/>
      <c r="F149" s="103">
        <v>8.0</v>
      </c>
      <c r="G149" s="103">
        <v>7.0</v>
      </c>
      <c r="H149" s="104">
        <f t="shared" si="1"/>
        <v>1.142857143</v>
      </c>
      <c r="I149" s="105">
        <f t="shared" si="2"/>
        <v>80.2125</v>
      </c>
      <c r="J149" s="106">
        <f t="shared" si="3"/>
        <v>70.1859375</v>
      </c>
      <c r="K149" s="132">
        <v>95.34</v>
      </c>
      <c r="L149" s="103">
        <v>7828.0</v>
      </c>
      <c r="M149" s="103">
        <v>3.0</v>
      </c>
      <c r="N149" s="133">
        <v>366.7</v>
      </c>
      <c r="O149" s="109">
        <f t="shared" si="38"/>
        <v>0.259994546</v>
      </c>
      <c r="P149" s="110">
        <f t="shared" si="5"/>
        <v>3.846234529</v>
      </c>
      <c r="Q149" s="109">
        <f t="shared" si="6"/>
        <v>0.1485741</v>
      </c>
      <c r="R149" s="111">
        <f t="shared" si="7"/>
        <v>0.5714508337</v>
      </c>
      <c r="S149" s="134">
        <f t="shared" si="37"/>
        <v>275</v>
      </c>
      <c r="T149" s="113">
        <f t="shared" si="9"/>
        <v>31.78</v>
      </c>
      <c r="U149" s="172"/>
      <c r="V149" s="172"/>
      <c r="W149" s="172"/>
      <c r="X149" s="172"/>
      <c r="Y149" s="173"/>
      <c r="Z149" s="165"/>
      <c r="AA149" s="165"/>
    </row>
    <row r="150" hidden="1" outlineLevel="1">
      <c r="A150" s="379"/>
      <c r="B150" s="174"/>
      <c r="C150" s="294" t="s">
        <v>42</v>
      </c>
      <c r="D150" s="120">
        <v>0.0</v>
      </c>
      <c r="E150" s="105"/>
      <c r="F150" s="103">
        <v>0.0</v>
      </c>
      <c r="G150" s="103">
        <v>0.0</v>
      </c>
      <c r="H150" s="104" t="str">
        <f t="shared" si="1"/>
        <v>#DIV/0!</v>
      </c>
      <c r="I150" s="105" t="str">
        <f t="shared" si="2"/>
        <v>#DIV/0!</v>
      </c>
      <c r="J150" s="106" t="str">
        <f t="shared" si="3"/>
        <v>#DIV/0!</v>
      </c>
      <c r="K150" s="120">
        <v>6.62</v>
      </c>
      <c r="L150" s="103">
        <v>18618.0</v>
      </c>
      <c r="M150" s="103">
        <v>0.0</v>
      </c>
      <c r="N150" s="121">
        <v>0.0</v>
      </c>
      <c r="O150" s="109" t="str">
        <f t="shared" si="38"/>
        <v>#DIV/0!</v>
      </c>
      <c r="P150" s="110">
        <f t="shared" si="5"/>
        <v>0</v>
      </c>
      <c r="Q150" s="109" t="str">
        <f t="shared" si="6"/>
        <v>#DIV/0!</v>
      </c>
      <c r="R150" s="111" t="str">
        <f t="shared" si="7"/>
        <v>#DIV/0!</v>
      </c>
      <c r="S150" s="122">
        <f t="shared" si="37"/>
        <v>0</v>
      </c>
      <c r="T150" s="113" t="str">
        <f t="shared" si="9"/>
        <v>#DIV/0!</v>
      </c>
      <c r="U150" s="172"/>
      <c r="V150" s="172"/>
      <c r="W150" s="172"/>
      <c r="X150" s="172"/>
      <c r="Y150" s="173"/>
      <c r="Z150" s="165"/>
      <c r="AA150" s="165"/>
    </row>
    <row r="151" hidden="1" outlineLevel="1">
      <c r="A151" s="379"/>
      <c r="B151" s="174"/>
      <c r="C151" s="294" t="s">
        <v>43</v>
      </c>
      <c r="D151" s="135">
        <v>149.0</v>
      </c>
      <c r="E151" s="105"/>
      <c r="F151" s="103">
        <v>1.0</v>
      </c>
      <c r="G151" s="103">
        <v>2.0</v>
      </c>
      <c r="H151" s="104">
        <f t="shared" si="1"/>
        <v>0.5</v>
      </c>
      <c r="I151" s="105">
        <f t="shared" si="2"/>
        <v>149</v>
      </c>
      <c r="J151" s="106">
        <f t="shared" si="3"/>
        <v>298</v>
      </c>
      <c r="K151" s="135">
        <v>56.6</v>
      </c>
      <c r="L151" s="103">
        <v>29672.0</v>
      </c>
      <c r="M151" s="103">
        <v>0.0</v>
      </c>
      <c r="N151" s="136">
        <v>0.0</v>
      </c>
      <c r="O151" s="109" t="str">
        <f t="shared" si="38"/>
        <v>#DIV/0!</v>
      </c>
      <c r="P151" s="110">
        <f t="shared" si="5"/>
        <v>0</v>
      </c>
      <c r="Q151" s="109">
        <f t="shared" si="6"/>
        <v>0.3798657718</v>
      </c>
      <c r="R151" s="111">
        <f t="shared" si="7"/>
        <v>0</v>
      </c>
      <c r="S151" s="137">
        <f t="shared" si="37"/>
        <v>149</v>
      </c>
      <c r="T151" s="113" t="str">
        <f t="shared" si="9"/>
        <v>#DIV/0!</v>
      </c>
      <c r="U151" s="172"/>
      <c r="V151" s="172"/>
      <c r="W151" s="172"/>
      <c r="X151" s="172"/>
      <c r="Y151" s="173"/>
      <c r="Z151" s="165"/>
      <c r="AA151" s="165"/>
    </row>
    <row r="152" hidden="1" outlineLevel="1">
      <c r="A152" s="379"/>
      <c r="B152" s="174"/>
      <c r="C152" s="294" t="s">
        <v>44</v>
      </c>
      <c r="D152" s="138">
        <v>179.85</v>
      </c>
      <c r="E152" s="105"/>
      <c r="F152" s="103">
        <v>3.0</v>
      </c>
      <c r="G152" s="103">
        <v>3.0</v>
      </c>
      <c r="H152" s="104">
        <f t="shared" si="1"/>
        <v>1</v>
      </c>
      <c r="I152" s="105">
        <f t="shared" si="2"/>
        <v>59.95</v>
      </c>
      <c r="J152" s="106">
        <f t="shared" si="3"/>
        <v>59.95</v>
      </c>
      <c r="K152" s="138">
        <v>7.14</v>
      </c>
      <c r="L152" s="103">
        <v>3327.0</v>
      </c>
      <c r="M152" s="103">
        <v>1.0</v>
      </c>
      <c r="N152" s="139">
        <v>59.95</v>
      </c>
      <c r="O152" s="109">
        <f t="shared" si="38"/>
        <v>0.1190992494</v>
      </c>
      <c r="P152" s="110">
        <f t="shared" si="5"/>
        <v>8.396358543</v>
      </c>
      <c r="Q152" s="109">
        <f t="shared" si="6"/>
        <v>0.03969974979</v>
      </c>
      <c r="R152" s="111">
        <f t="shared" si="7"/>
        <v>0.3333333333</v>
      </c>
      <c r="S152" s="140">
        <f t="shared" si="37"/>
        <v>119.9</v>
      </c>
      <c r="T152" s="113">
        <f t="shared" si="9"/>
        <v>7.14</v>
      </c>
      <c r="U152" s="172"/>
      <c r="V152" s="172"/>
      <c r="W152" s="172"/>
      <c r="X152" s="172"/>
      <c r="Y152" s="173"/>
      <c r="Z152" s="165"/>
      <c r="AA152" s="165"/>
    </row>
    <row r="153" hidden="1" outlineLevel="1">
      <c r="A153" s="361"/>
      <c r="B153" s="174"/>
      <c r="C153" s="380" t="s">
        <v>45</v>
      </c>
      <c r="D153" s="101">
        <v>399.84</v>
      </c>
      <c r="E153" s="105"/>
      <c r="F153" s="103">
        <v>8.0</v>
      </c>
      <c r="G153" s="103">
        <v>6.0</v>
      </c>
      <c r="H153" s="104">
        <f t="shared" si="1"/>
        <v>1.333333333</v>
      </c>
      <c r="I153" s="105">
        <f t="shared" si="2"/>
        <v>49.98</v>
      </c>
      <c r="J153" s="106">
        <f t="shared" si="3"/>
        <v>37.485</v>
      </c>
      <c r="K153" s="101">
        <v>0.0</v>
      </c>
      <c r="L153" s="103">
        <v>0.0</v>
      </c>
      <c r="M153" s="103">
        <v>0.0</v>
      </c>
      <c r="N153" s="108">
        <v>0.0</v>
      </c>
      <c r="O153" s="109" t="str">
        <f t="shared" si="38"/>
        <v>#DIV/0!</v>
      </c>
      <c r="P153" s="110" t="str">
        <f t="shared" si="5"/>
        <v>#DIV/0!</v>
      </c>
      <c r="Q153" s="109">
        <f t="shared" si="6"/>
        <v>0</v>
      </c>
      <c r="R153" s="111">
        <f t="shared" si="7"/>
        <v>0</v>
      </c>
      <c r="S153" s="112">
        <f t="shared" si="37"/>
        <v>399.84</v>
      </c>
      <c r="T153" s="113" t="str">
        <f t="shared" si="9"/>
        <v>#DIV/0!</v>
      </c>
      <c r="U153" s="193"/>
      <c r="V153" s="193"/>
      <c r="W153" s="193"/>
      <c r="X153" s="194"/>
      <c r="Y153" s="195"/>
      <c r="Z153" s="165"/>
      <c r="AA153" s="165"/>
    </row>
    <row r="154" hidden="1" outlineLevel="1">
      <c r="A154" s="379"/>
      <c r="B154" s="174"/>
      <c r="C154" s="294" t="s">
        <v>46</v>
      </c>
      <c r="D154" s="146">
        <v>755.16</v>
      </c>
      <c r="E154" s="105"/>
      <c r="F154" s="103">
        <v>21.0</v>
      </c>
      <c r="G154" s="103">
        <v>22.0</v>
      </c>
      <c r="H154" s="104">
        <f t="shared" si="1"/>
        <v>0.9545454545</v>
      </c>
      <c r="I154" s="105">
        <f t="shared" si="2"/>
        <v>35.96</v>
      </c>
      <c r="J154" s="106">
        <f t="shared" si="3"/>
        <v>37.67238095</v>
      </c>
      <c r="K154" s="146">
        <v>159.49</v>
      </c>
      <c r="L154" s="103">
        <v>61366.0</v>
      </c>
      <c r="M154" s="103">
        <v>13.0</v>
      </c>
      <c r="N154" s="147">
        <v>395.56</v>
      </c>
      <c r="O154" s="109">
        <f t="shared" si="38"/>
        <v>0.4032005258</v>
      </c>
      <c r="P154" s="110">
        <f t="shared" si="5"/>
        <v>2.480155496</v>
      </c>
      <c r="Q154" s="109">
        <f t="shared" si="6"/>
        <v>0.2112002754</v>
      </c>
      <c r="R154" s="111">
        <f t="shared" si="7"/>
        <v>0.5238095238</v>
      </c>
      <c r="S154" s="112">
        <f t="shared" si="37"/>
        <v>359.6</v>
      </c>
      <c r="T154" s="113">
        <f t="shared" si="9"/>
        <v>12.26846154</v>
      </c>
      <c r="U154" s="172"/>
      <c r="V154" s="172"/>
      <c r="W154" s="172"/>
      <c r="X154" s="172"/>
      <c r="Y154" s="173"/>
      <c r="Z154" s="165"/>
      <c r="AA154" s="165"/>
    </row>
    <row r="155" hidden="1" outlineLevel="1">
      <c r="A155" s="310" t="str">
        <f t="shared" ref="A155:A156" si="39">iferror(if(B155&gt;0,month(B155)&amp;"-"&amp;year(B155),B155),)</f>
        <v>2-2025</v>
      </c>
      <c r="B155" s="99">
        <v>45696.0</v>
      </c>
      <c r="C155" s="294" t="s">
        <v>49</v>
      </c>
      <c r="D155" s="146">
        <v>0.0</v>
      </c>
      <c r="E155" s="105"/>
      <c r="F155" s="103">
        <v>0.0</v>
      </c>
      <c r="G155" s="103">
        <v>0.0</v>
      </c>
      <c r="H155" s="104" t="str">
        <f t="shared" si="1"/>
        <v>#DIV/0!</v>
      </c>
      <c r="I155" s="105" t="str">
        <f t="shared" si="2"/>
        <v>#DIV/0!</v>
      </c>
      <c r="J155" s="106" t="str">
        <f t="shared" si="3"/>
        <v>#DIV/0!</v>
      </c>
      <c r="K155" s="146">
        <v>2.18</v>
      </c>
      <c r="L155" s="103">
        <v>6511.0</v>
      </c>
      <c r="M155" s="103">
        <v>0.0</v>
      </c>
      <c r="N155" s="147">
        <v>0.0</v>
      </c>
      <c r="O155" s="109" t="str">
        <f t="shared" si="38"/>
        <v>#DIV/0!</v>
      </c>
      <c r="P155" s="110">
        <f t="shared" si="5"/>
        <v>0</v>
      </c>
      <c r="Q155" s="109" t="str">
        <f t="shared" si="6"/>
        <v>#DIV/0!</v>
      </c>
      <c r="R155" s="111" t="str">
        <f t="shared" si="7"/>
        <v>#DIV/0!</v>
      </c>
      <c r="S155" s="112">
        <f t="shared" si="37"/>
        <v>0</v>
      </c>
      <c r="T155" s="113" t="str">
        <f t="shared" si="9"/>
        <v>#DIV/0!</v>
      </c>
      <c r="U155" s="172"/>
      <c r="V155" s="172"/>
      <c r="W155" s="172"/>
      <c r="X155" s="172"/>
      <c r="Y155" s="173"/>
      <c r="Z155" s="165"/>
      <c r="AA155" s="165"/>
    </row>
    <row r="156" collapsed="1">
      <c r="A156" s="361" t="str">
        <f t="shared" si="39"/>
        <v/>
      </c>
      <c r="B156" s="362" t="s">
        <v>93</v>
      </c>
      <c r="C156" s="363"/>
      <c r="D156" s="364">
        <f>SUM(D139:D155)</f>
        <v>10634.19</v>
      </c>
      <c r="E156" s="365"/>
      <c r="F156" s="366">
        <f t="shared" ref="F156:G156" si="40">SUM(F139:F155)</f>
        <v>116</v>
      </c>
      <c r="G156" s="366">
        <f t="shared" si="40"/>
        <v>119</v>
      </c>
      <c r="H156" s="367">
        <f t="shared" si="1"/>
        <v>0.974789916</v>
      </c>
      <c r="I156" s="365">
        <f t="shared" si="2"/>
        <v>91.67405172</v>
      </c>
      <c r="J156" s="368">
        <f t="shared" si="3"/>
        <v>94.04493237</v>
      </c>
      <c r="K156" s="369">
        <f t="shared" ref="K156:N156" si="41">SUM(K139:K155)</f>
        <v>1838.9</v>
      </c>
      <c r="L156" s="366">
        <f t="shared" si="41"/>
        <v>353932</v>
      </c>
      <c r="M156" s="366">
        <f t="shared" si="41"/>
        <v>47</v>
      </c>
      <c r="N156" s="364">
        <f t="shared" si="41"/>
        <v>6578.79</v>
      </c>
      <c r="O156" s="371">
        <f t="shared" si="38"/>
        <v>0.2795194861</v>
      </c>
      <c r="P156" s="372">
        <f t="shared" si="5"/>
        <v>3.577568111</v>
      </c>
      <c r="Q156" s="371">
        <f t="shared" si="6"/>
        <v>0.1729233726</v>
      </c>
      <c r="R156" s="373">
        <f t="shared" si="7"/>
        <v>0.6186451436</v>
      </c>
      <c r="S156" s="374">
        <f>SUM(S139:S155)</f>
        <v>4055.4</v>
      </c>
      <c r="T156" s="375">
        <f t="shared" si="9"/>
        <v>39.12553191</v>
      </c>
      <c r="U156" s="376" t="str">
        <f>IFERROR((D156-#REF!)/D156,)</f>
        <v/>
      </c>
      <c r="V156" s="376" t="str">
        <f>IFERROR((F156-#REF!)/F156,)</f>
        <v/>
      </c>
      <c r="W156" s="377" t="str">
        <f>IFERROR((D156-monthly_reporting_2021!E49)/D156, )</f>
        <v/>
      </c>
      <c r="X156" s="378" t="str">
        <f>IFERROR((F156-monthly_reporting_2021!F49)/F156, )</f>
        <v/>
      </c>
      <c r="Y156" s="165"/>
      <c r="Z156" s="165"/>
      <c r="AA156" s="165"/>
    </row>
    <row r="157" hidden="1" outlineLevel="1">
      <c r="A157" s="379"/>
      <c r="B157" s="99">
        <v>45697.0</v>
      </c>
      <c r="C157" s="294" t="s">
        <v>32</v>
      </c>
      <c r="D157" s="101">
        <v>5506.74</v>
      </c>
      <c r="E157" s="105"/>
      <c r="F157" s="103">
        <v>32.0</v>
      </c>
      <c r="G157" s="103">
        <v>21.0</v>
      </c>
      <c r="H157" s="104">
        <f t="shared" si="1"/>
        <v>1.523809524</v>
      </c>
      <c r="I157" s="105">
        <f t="shared" si="2"/>
        <v>172.085625</v>
      </c>
      <c r="J157" s="106">
        <f t="shared" si="3"/>
        <v>112.9311914</v>
      </c>
      <c r="K157" s="107">
        <v>1234.15</v>
      </c>
      <c r="L157" s="103">
        <v>106542.0</v>
      </c>
      <c r="M157" s="103">
        <v>19.0</v>
      </c>
      <c r="N157" s="108">
        <v>1964.8</v>
      </c>
      <c r="O157" s="109">
        <f t="shared" si="38"/>
        <v>0.6281300896</v>
      </c>
      <c r="P157" s="110">
        <f t="shared" si="5"/>
        <v>1.592026901</v>
      </c>
      <c r="Q157" s="109">
        <f t="shared" si="6"/>
        <v>0.2241162648</v>
      </c>
      <c r="R157" s="111">
        <f t="shared" si="7"/>
        <v>0.3567991225</v>
      </c>
      <c r="S157" s="112">
        <f t="shared" ref="S157:S173" si="42">D157-N157</f>
        <v>3541.94</v>
      </c>
      <c r="T157" s="113">
        <f t="shared" si="9"/>
        <v>64.95526316</v>
      </c>
      <c r="U157" s="172"/>
      <c r="V157" s="172"/>
      <c r="W157" s="172"/>
      <c r="X157" s="172"/>
      <c r="Y157" s="173"/>
      <c r="Z157" s="165"/>
      <c r="AA157" s="165"/>
    </row>
    <row r="158" hidden="1" outlineLevel="1">
      <c r="A158" s="379"/>
      <c r="B158" s="174"/>
      <c r="C158" s="294" t="s">
        <v>33</v>
      </c>
      <c r="D158" s="117">
        <v>1375.74</v>
      </c>
      <c r="E158" s="105"/>
      <c r="F158" s="103">
        <v>21.0</v>
      </c>
      <c r="G158" s="103">
        <v>17.0</v>
      </c>
      <c r="H158" s="104">
        <f t="shared" si="1"/>
        <v>1.235294118</v>
      </c>
      <c r="I158" s="105">
        <f t="shared" si="2"/>
        <v>65.51142857</v>
      </c>
      <c r="J158" s="106">
        <f t="shared" si="3"/>
        <v>53.03306122</v>
      </c>
      <c r="K158" s="117">
        <v>316.65</v>
      </c>
      <c r="L158" s="103">
        <v>103313.0</v>
      </c>
      <c r="M158" s="103">
        <v>3.0</v>
      </c>
      <c r="N158" s="118">
        <v>51.14</v>
      </c>
      <c r="O158" s="109">
        <f t="shared" si="38"/>
        <v>6.191826359</v>
      </c>
      <c r="P158" s="110">
        <f t="shared" si="5"/>
        <v>0.161503237</v>
      </c>
      <c r="Q158" s="109">
        <f t="shared" si="6"/>
        <v>0.2301670374</v>
      </c>
      <c r="R158" s="111">
        <f t="shared" si="7"/>
        <v>0.03717272159</v>
      </c>
      <c r="S158" s="119">
        <f t="shared" si="42"/>
        <v>1324.6</v>
      </c>
      <c r="T158" s="113">
        <f t="shared" si="9"/>
        <v>105.55</v>
      </c>
      <c r="U158" s="172"/>
      <c r="V158" s="172"/>
      <c r="W158" s="172"/>
      <c r="X158" s="172"/>
      <c r="Y158" s="173"/>
      <c r="Z158" s="165"/>
      <c r="AA158" s="165"/>
    </row>
    <row r="159" hidden="1" outlineLevel="1">
      <c r="A159" s="379"/>
      <c r="B159" s="174"/>
      <c r="C159" s="294" t="s">
        <v>34</v>
      </c>
      <c r="D159" s="120">
        <v>0.0</v>
      </c>
      <c r="E159" s="105"/>
      <c r="F159" s="103">
        <v>0.0</v>
      </c>
      <c r="G159" s="103">
        <v>0.0</v>
      </c>
      <c r="H159" s="104" t="str">
        <f t="shared" si="1"/>
        <v>#DIV/0!</v>
      </c>
      <c r="I159" s="105" t="str">
        <f t="shared" si="2"/>
        <v>#DIV/0!</v>
      </c>
      <c r="J159" s="106" t="str">
        <f t="shared" si="3"/>
        <v>#DIV/0!</v>
      </c>
      <c r="K159" s="120">
        <v>0.0</v>
      </c>
      <c r="L159" s="103">
        <v>0.0</v>
      </c>
      <c r="M159" s="103">
        <v>0.0</v>
      </c>
      <c r="N159" s="121">
        <v>0.0</v>
      </c>
      <c r="O159" s="109" t="str">
        <f>(K159/N159)</f>
        <v>#DIV/0!</v>
      </c>
      <c r="P159" s="110" t="str">
        <f t="shared" si="5"/>
        <v>#DIV/0!</v>
      </c>
      <c r="Q159" s="109" t="str">
        <f t="shared" si="6"/>
        <v>#DIV/0!</v>
      </c>
      <c r="R159" s="111" t="str">
        <f t="shared" si="7"/>
        <v>#DIV/0!</v>
      </c>
      <c r="S159" s="122">
        <f t="shared" si="42"/>
        <v>0</v>
      </c>
      <c r="T159" s="113" t="str">
        <f t="shared" si="9"/>
        <v>#DIV/0!</v>
      </c>
      <c r="U159" s="172"/>
      <c r="V159" s="172"/>
      <c r="W159" s="172"/>
      <c r="X159" s="172"/>
      <c r="Y159" s="173"/>
      <c r="Z159" s="165"/>
      <c r="AA159" s="165"/>
    </row>
    <row r="160" hidden="1" outlineLevel="1">
      <c r="A160" s="379"/>
      <c r="B160" s="174"/>
      <c r="C160" s="294" t="s">
        <v>35</v>
      </c>
      <c r="D160" s="120">
        <v>593.45</v>
      </c>
      <c r="E160" s="105"/>
      <c r="F160" s="103">
        <v>11.0</v>
      </c>
      <c r="G160" s="103">
        <v>9.0</v>
      </c>
      <c r="H160" s="104">
        <f t="shared" si="1"/>
        <v>1.222222222</v>
      </c>
      <c r="I160" s="105">
        <f t="shared" si="2"/>
        <v>53.95</v>
      </c>
      <c r="J160" s="106">
        <f t="shared" si="3"/>
        <v>44.14090909</v>
      </c>
      <c r="K160" s="120">
        <v>97.53</v>
      </c>
      <c r="L160" s="103">
        <v>7819.0</v>
      </c>
      <c r="M160" s="103">
        <v>6.0</v>
      </c>
      <c r="N160" s="121">
        <v>323.7</v>
      </c>
      <c r="O160" s="109">
        <f t="shared" ref="O160:O176" si="43">K160/N160</f>
        <v>0.3012974977</v>
      </c>
      <c r="P160" s="110">
        <f t="shared" si="5"/>
        <v>3.318978776</v>
      </c>
      <c r="Q160" s="109">
        <f t="shared" si="6"/>
        <v>0.1643440896</v>
      </c>
      <c r="R160" s="111">
        <f t="shared" si="7"/>
        <v>0.5454545455</v>
      </c>
      <c r="S160" s="122">
        <f t="shared" si="42"/>
        <v>269.75</v>
      </c>
      <c r="T160" s="113">
        <f t="shared" si="9"/>
        <v>16.255</v>
      </c>
      <c r="U160" s="172"/>
      <c r="V160" s="172"/>
      <c r="W160" s="172"/>
      <c r="X160" s="172"/>
      <c r="Y160" s="173"/>
      <c r="Z160" s="165"/>
      <c r="AA160" s="165"/>
    </row>
    <row r="161" hidden="1" outlineLevel="1">
      <c r="A161" s="379"/>
      <c r="B161" s="174"/>
      <c r="C161" s="294" t="s">
        <v>65</v>
      </c>
      <c r="D161" s="300">
        <v>72.0</v>
      </c>
      <c r="E161" s="105"/>
      <c r="F161" s="103">
        <v>2.0</v>
      </c>
      <c r="G161" s="103">
        <v>1.0</v>
      </c>
      <c r="H161" s="104">
        <f t="shared" si="1"/>
        <v>2</v>
      </c>
      <c r="I161" s="105">
        <f t="shared" si="2"/>
        <v>36</v>
      </c>
      <c r="J161" s="106">
        <f t="shared" si="3"/>
        <v>18</v>
      </c>
      <c r="K161" s="300">
        <v>0.0</v>
      </c>
      <c r="L161" s="103">
        <v>0.0</v>
      </c>
      <c r="M161" s="103">
        <v>0.0</v>
      </c>
      <c r="N161" s="300">
        <v>0.0</v>
      </c>
      <c r="O161" s="109" t="str">
        <f t="shared" si="43"/>
        <v>#DIV/0!</v>
      </c>
      <c r="P161" s="110" t="str">
        <f t="shared" si="5"/>
        <v>#DIV/0!</v>
      </c>
      <c r="Q161" s="109">
        <f t="shared" si="6"/>
        <v>0</v>
      </c>
      <c r="R161" s="111">
        <f t="shared" si="7"/>
        <v>0</v>
      </c>
      <c r="S161" s="122">
        <f t="shared" si="42"/>
        <v>72</v>
      </c>
      <c r="T161" s="113" t="str">
        <f t="shared" si="9"/>
        <v>#DIV/0!</v>
      </c>
      <c r="U161" s="172"/>
      <c r="V161" s="172"/>
      <c r="W161" s="172"/>
      <c r="X161" s="172"/>
      <c r="Y161" s="173"/>
      <c r="Z161" s="165"/>
      <c r="AA161" s="165"/>
    </row>
    <row r="162" hidden="1" outlineLevel="1">
      <c r="A162" s="379"/>
      <c r="B162" s="174"/>
      <c r="C162" s="294" t="s">
        <v>85</v>
      </c>
      <c r="D162" s="302">
        <v>0.0</v>
      </c>
      <c r="E162" s="105"/>
      <c r="F162" s="103">
        <v>0.0</v>
      </c>
      <c r="G162" s="103">
        <v>0.0</v>
      </c>
      <c r="H162" s="104" t="str">
        <f t="shared" si="1"/>
        <v>#DIV/0!</v>
      </c>
      <c r="I162" s="105" t="str">
        <f t="shared" si="2"/>
        <v>#DIV/0!</v>
      </c>
      <c r="J162" s="106" t="str">
        <f t="shared" si="3"/>
        <v>#DIV/0!</v>
      </c>
      <c r="K162" s="302">
        <v>21.24</v>
      </c>
      <c r="L162" s="103">
        <v>2481.0</v>
      </c>
      <c r="M162" s="103">
        <v>2.0</v>
      </c>
      <c r="N162" s="303">
        <v>119.98</v>
      </c>
      <c r="O162" s="109">
        <f t="shared" si="43"/>
        <v>0.1770295049</v>
      </c>
      <c r="P162" s="110">
        <f t="shared" si="5"/>
        <v>5.648775895</v>
      </c>
      <c r="Q162" s="109" t="str">
        <f t="shared" si="6"/>
        <v>#DIV/0!</v>
      </c>
      <c r="R162" s="111" t="str">
        <f t="shared" si="7"/>
        <v>#DIV/0!</v>
      </c>
      <c r="S162" s="304">
        <f t="shared" si="42"/>
        <v>-119.98</v>
      </c>
      <c r="T162" s="113">
        <f t="shared" si="9"/>
        <v>10.62</v>
      </c>
      <c r="U162" s="172"/>
      <c r="V162" s="172"/>
      <c r="W162" s="172"/>
      <c r="X162" s="172"/>
      <c r="Y162" s="173"/>
      <c r="Z162" s="165"/>
      <c r="AA162" s="165"/>
    </row>
    <row r="163" hidden="1" outlineLevel="1">
      <c r="A163" s="379"/>
      <c r="B163" s="174"/>
      <c r="C163" s="294" t="s">
        <v>36</v>
      </c>
      <c r="D163" s="120">
        <v>680.06</v>
      </c>
      <c r="E163" s="105"/>
      <c r="F163" s="103">
        <v>10.0</v>
      </c>
      <c r="G163" s="103">
        <v>8.0</v>
      </c>
      <c r="H163" s="104">
        <f t="shared" si="1"/>
        <v>1.25</v>
      </c>
      <c r="I163" s="105">
        <f t="shared" si="2"/>
        <v>68.006</v>
      </c>
      <c r="J163" s="106">
        <f t="shared" si="3"/>
        <v>54.4048</v>
      </c>
      <c r="K163" s="120">
        <v>110.92</v>
      </c>
      <c r="L163" s="103">
        <v>6524.0</v>
      </c>
      <c r="M163" s="103">
        <v>0.0</v>
      </c>
      <c r="N163" s="121">
        <v>0.0</v>
      </c>
      <c r="O163" s="109" t="str">
        <f t="shared" si="43"/>
        <v>#DIV/0!</v>
      </c>
      <c r="P163" s="110">
        <f t="shared" si="5"/>
        <v>0</v>
      </c>
      <c r="Q163" s="109">
        <f t="shared" si="6"/>
        <v>0.1631032556</v>
      </c>
      <c r="R163" s="111">
        <f t="shared" si="7"/>
        <v>0</v>
      </c>
      <c r="S163" s="122">
        <f t="shared" si="42"/>
        <v>680.06</v>
      </c>
      <c r="T163" s="113" t="str">
        <f t="shared" si="9"/>
        <v>#DIV/0!</v>
      </c>
      <c r="U163" s="172"/>
      <c r="V163" s="172"/>
      <c r="W163" s="172"/>
      <c r="X163" s="172"/>
      <c r="Y163" s="173"/>
      <c r="Z163" s="165"/>
      <c r="AA163" s="165"/>
    </row>
    <row r="164" hidden="1" outlineLevel="1">
      <c r="A164" s="379"/>
      <c r="B164" s="99" t="s">
        <v>37</v>
      </c>
      <c r="C164" s="294" t="s">
        <v>38</v>
      </c>
      <c r="D164" s="123">
        <v>1163.45</v>
      </c>
      <c r="E164" s="105"/>
      <c r="F164" s="103">
        <v>23.0</v>
      </c>
      <c r="G164" s="103">
        <v>23.0</v>
      </c>
      <c r="H164" s="104">
        <f t="shared" si="1"/>
        <v>1</v>
      </c>
      <c r="I164" s="105">
        <f t="shared" si="2"/>
        <v>50.58478261</v>
      </c>
      <c r="J164" s="106">
        <f t="shared" si="3"/>
        <v>50.58478261</v>
      </c>
      <c r="K164" s="123">
        <v>176.12</v>
      </c>
      <c r="L164" s="103">
        <v>14851.0</v>
      </c>
      <c r="M164" s="103">
        <v>10.0</v>
      </c>
      <c r="N164" s="124">
        <v>198.83</v>
      </c>
      <c r="O164" s="109">
        <f t="shared" si="43"/>
        <v>0.8857818237</v>
      </c>
      <c r="P164" s="110">
        <f t="shared" si="5"/>
        <v>1.128946173</v>
      </c>
      <c r="Q164" s="109">
        <f t="shared" si="6"/>
        <v>0.151377369</v>
      </c>
      <c r="R164" s="111">
        <f t="shared" si="7"/>
        <v>0.1708969015</v>
      </c>
      <c r="S164" s="125">
        <f t="shared" si="42"/>
        <v>964.62</v>
      </c>
      <c r="T164" s="113">
        <f t="shared" si="9"/>
        <v>17.612</v>
      </c>
      <c r="U164" s="172"/>
      <c r="V164" s="172"/>
      <c r="W164" s="172"/>
      <c r="X164" s="172"/>
      <c r="Y164" s="173"/>
      <c r="Z164" s="165"/>
      <c r="AA164" s="165"/>
    </row>
    <row r="165" hidden="1" outlineLevel="1">
      <c r="A165" s="379"/>
      <c r="B165" s="174"/>
      <c r="C165" s="294" t="s">
        <v>39</v>
      </c>
      <c r="D165" s="126">
        <v>0.0</v>
      </c>
      <c r="E165" s="105"/>
      <c r="F165" s="103">
        <v>0.0</v>
      </c>
      <c r="G165" s="103">
        <v>0.0</v>
      </c>
      <c r="H165" s="104" t="str">
        <f t="shared" si="1"/>
        <v>#DIV/0!</v>
      </c>
      <c r="I165" s="105" t="str">
        <f t="shared" si="2"/>
        <v>#DIV/0!</v>
      </c>
      <c r="J165" s="106" t="str">
        <f t="shared" si="3"/>
        <v>#DIV/0!</v>
      </c>
      <c r="K165" s="126">
        <v>83.59</v>
      </c>
      <c r="L165" s="103">
        <v>9547.0</v>
      </c>
      <c r="M165" s="103">
        <v>0.0</v>
      </c>
      <c r="N165" s="127">
        <v>0.0</v>
      </c>
      <c r="O165" s="109" t="str">
        <f t="shared" si="43"/>
        <v>#DIV/0!</v>
      </c>
      <c r="P165" s="110">
        <f t="shared" si="5"/>
        <v>0</v>
      </c>
      <c r="Q165" s="109" t="str">
        <f t="shared" si="6"/>
        <v>#DIV/0!</v>
      </c>
      <c r="R165" s="111" t="str">
        <f t="shared" si="7"/>
        <v>#DIV/0!</v>
      </c>
      <c r="S165" s="128">
        <f t="shared" si="42"/>
        <v>0</v>
      </c>
      <c r="T165" s="113" t="str">
        <f t="shared" si="9"/>
        <v>#DIV/0!</v>
      </c>
      <c r="U165" s="172"/>
      <c r="V165" s="172"/>
      <c r="W165" s="172"/>
      <c r="X165" s="172"/>
      <c r="Y165" s="173"/>
      <c r="Z165" s="165"/>
      <c r="AA165" s="165"/>
    </row>
    <row r="166" hidden="1" outlineLevel="1">
      <c r="A166" s="379"/>
      <c r="B166" s="174"/>
      <c r="C166" s="294" t="s">
        <v>40</v>
      </c>
      <c r="D166" s="129">
        <v>0.0</v>
      </c>
      <c r="E166" s="105"/>
      <c r="F166" s="103">
        <v>0.0</v>
      </c>
      <c r="G166" s="103">
        <v>0.0</v>
      </c>
      <c r="H166" s="104" t="str">
        <f t="shared" si="1"/>
        <v>#DIV/0!</v>
      </c>
      <c r="I166" s="105" t="str">
        <f t="shared" si="2"/>
        <v>#DIV/0!</v>
      </c>
      <c r="J166" s="106" t="str">
        <f t="shared" si="3"/>
        <v>#DIV/0!</v>
      </c>
      <c r="K166" s="129">
        <v>0.0</v>
      </c>
      <c r="L166" s="103">
        <v>0.0</v>
      </c>
      <c r="M166" s="103">
        <v>0.0</v>
      </c>
      <c r="N166" s="130">
        <v>0.0</v>
      </c>
      <c r="O166" s="109" t="str">
        <f t="shared" si="43"/>
        <v>#DIV/0!</v>
      </c>
      <c r="P166" s="110" t="str">
        <f t="shared" si="5"/>
        <v>#DIV/0!</v>
      </c>
      <c r="Q166" s="109" t="str">
        <f t="shared" si="6"/>
        <v>#DIV/0!</v>
      </c>
      <c r="R166" s="111" t="str">
        <f t="shared" si="7"/>
        <v>#DIV/0!</v>
      </c>
      <c r="S166" s="131">
        <f t="shared" si="42"/>
        <v>0</v>
      </c>
      <c r="T166" s="113" t="str">
        <f t="shared" si="9"/>
        <v>#DIV/0!</v>
      </c>
      <c r="U166" s="172"/>
      <c r="V166" s="172"/>
      <c r="W166" s="172"/>
      <c r="X166" s="172"/>
      <c r="Y166" s="173"/>
      <c r="Z166" s="165"/>
      <c r="AA166" s="165"/>
    </row>
    <row r="167" hidden="1" outlineLevel="1">
      <c r="A167" s="379"/>
      <c r="B167" s="174"/>
      <c r="C167" s="294" t="s">
        <v>41</v>
      </c>
      <c r="D167" s="132">
        <v>421.7</v>
      </c>
      <c r="E167" s="105"/>
      <c r="F167" s="103">
        <v>4.0</v>
      </c>
      <c r="G167" s="103">
        <v>4.0</v>
      </c>
      <c r="H167" s="104">
        <f t="shared" si="1"/>
        <v>1</v>
      </c>
      <c r="I167" s="105">
        <f t="shared" si="2"/>
        <v>105.425</v>
      </c>
      <c r="J167" s="106">
        <f t="shared" si="3"/>
        <v>105.425</v>
      </c>
      <c r="K167" s="132">
        <v>100.69</v>
      </c>
      <c r="L167" s="103">
        <v>10004.0</v>
      </c>
      <c r="M167" s="103">
        <v>1.0</v>
      </c>
      <c r="N167" s="133">
        <v>149.85</v>
      </c>
      <c r="O167" s="109">
        <f t="shared" si="43"/>
        <v>0.6719386053</v>
      </c>
      <c r="P167" s="110">
        <f t="shared" si="5"/>
        <v>1.488231205</v>
      </c>
      <c r="Q167" s="109">
        <f t="shared" si="6"/>
        <v>0.2387716386</v>
      </c>
      <c r="R167" s="111">
        <f t="shared" si="7"/>
        <v>0.3553474034</v>
      </c>
      <c r="S167" s="134">
        <f t="shared" si="42"/>
        <v>271.85</v>
      </c>
      <c r="T167" s="113">
        <f t="shared" si="9"/>
        <v>100.69</v>
      </c>
      <c r="U167" s="172"/>
      <c r="V167" s="172"/>
      <c r="W167" s="172"/>
      <c r="X167" s="172"/>
      <c r="Y167" s="173"/>
      <c r="Z167" s="165"/>
      <c r="AA167" s="165"/>
    </row>
    <row r="168" hidden="1" outlineLevel="1">
      <c r="A168" s="379"/>
      <c r="B168" s="174"/>
      <c r="C168" s="294" t="s">
        <v>42</v>
      </c>
      <c r="D168" s="120">
        <v>19.99</v>
      </c>
      <c r="E168" s="105"/>
      <c r="F168" s="103">
        <v>1.0</v>
      </c>
      <c r="G168" s="103">
        <v>0.0</v>
      </c>
      <c r="H168" s="104" t="str">
        <f t="shared" si="1"/>
        <v>#DIV/0!</v>
      </c>
      <c r="I168" s="105">
        <f t="shared" si="2"/>
        <v>19.99</v>
      </c>
      <c r="J168" s="106" t="str">
        <f t="shared" si="3"/>
        <v>#DIV/0!</v>
      </c>
      <c r="K168" s="120">
        <v>5.98</v>
      </c>
      <c r="L168" s="103">
        <v>11515.0</v>
      </c>
      <c r="M168" s="103">
        <v>0.0</v>
      </c>
      <c r="N168" s="121">
        <v>0.0</v>
      </c>
      <c r="O168" s="109" t="str">
        <f t="shared" si="43"/>
        <v>#DIV/0!</v>
      </c>
      <c r="P168" s="110">
        <f t="shared" si="5"/>
        <v>0</v>
      </c>
      <c r="Q168" s="109">
        <f t="shared" si="6"/>
        <v>0.2991495748</v>
      </c>
      <c r="R168" s="111">
        <f t="shared" si="7"/>
        <v>0</v>
      </c>
      <c r="S168" s="122">
        <f t="shared" si="42"/>
        <v>19.99</v>
      </c>
      <c r="T168" s="113" t="str">
        <f t="shared" si="9"/>
        <v>#DIV/0!</v>
      </c>
      <c r="U168" s="172"/>
      <c r="V168" s="172"/>
      <c r="W168" s="172"/>
      <c r="X168" s="172"/>
      <c r="Y168" s="173"/>
      <c r="Z168" s="165"/>
      <c r="AA168" s="165"/>
    </row>
    <row r="169" hidden="1" outlineLevel="1">
      <c r="A169" s="379"/>
      <c r="B169" s="174"/>
      <c r="C169" s="294" t="s">
        <v>43</v>
      </c>
      <c r="D169" s="135">
        <v>594.2</v>
      </c>
      <c r="E169" s="105"/>
      <c r="F169" s="103">
        <v>4.0</v>
      </c>
      <c r="G169" s="103">
        <v>5.0</v>
      </c>
      <c r="H169" s="104">
        <f t="shared" si="1"/>
        <v>0.8</v>
      </c>
      <c r="I169" s="105">
        <f t="shared" si="2"/>
        <v>148.55</v>
      </c>
      <c r="J169" s="106">
        <f t="shared" si="3"/>
        <v>185.6875</v>
      </c>
      <c r="K169" s="135">
        <v>50.02</v>
      </c>
      <c r="L169" s="103">
        <v>24667.0</v>
      </c>
      <c r="M169" s="103">
        <v>2.0</v>
      </c>
      <c r="N169" s="136">
        <v>312.0</v>
      </c>
      <c r="O169" s="109">
        <f t="shared" si="43"/>
        <v>0.1603205128</v>
      </c>
      <c r="P169" s="110">
        <f t="shared" si="5"/>
        <v>6.237504998</v>
      </c>
      <c r="Q169" s="109">
        <f t="shared" si="6"/>
        <v>0.08418041064</v>
      </c>
      <c r="R169" s="111">
        <f t="shared" si="7"/>
        <v>0.5250757321</v>
      </c>
      <c r="S169" s="137">
        <f t="shared" si="42"/>
        <v>282.2</v>
      </c>
      <c r="T169" s="113">
        <f t="shared" si="9"/>
        <v>25.01</v>
      </c>
      <c r="U169" s="172"/>
      <c r="V169" s="172"/>
      <c r="W169" s="172"/>
      <c r="X169" s="172"/>
      <c r="Y169" s="173"/>
      <c r="Z169" s="165"/>
      <c r="AA169" s="165"/>
    </row>
    <row r="170" hidden="1" outlineLevel="1">
      <c r="A170" s="379"/>
      <c r="B170" s="174"/>
      <c r="C170" s="294" t="s">
        <v>44</v>
      </c>
      <c r="D170" s="138">
        <v>47.96</v>
      </c>
      <c r="E170" s="105"/>
      <c r="F170" s="103">
        <v>1.0</v>
      </c>
      <c r="G170" s="103">
        <v>3.0</v>
      </c>
      <c r="H170" s="104">
        <f t="shared" si="1"/>
        <v>0.3333333333</v>
      </c>
      <c r="I170" s="105">
        <f t="shared" si="2"/>
        <v>47.96</v>
      </c>
      <c r="J170" s="106">
        <f t="shared" si="3"/>
        <v>143.88</v>
      </c>
      <c r="K170" s="138">
        <v>11.87</v>
      </c>
      <c r="L170" s="103">
        <v>1996.0</v>
      </c>
      <c r="M170" s="103">
        <v>3.0</v>
      </c>
      <c r="N170" s="139">
        <v>147.86</v>
      </c>
      <c r="O170" s="109">
        <f t="shared" si="43"/>
        <v>0.08027864196</v>
      </c>
      <c r="P170" s="110">
        <f t="shared" si="5"/>
        <v>12.45661331</v>
      </c>
      <c r="Q170" s="109">
        <f t="shared" si="6"/>
        <v>0.2474979149</v>
      </c>
      <c r="R170" s="111">
        <f t="shared" si="7"/>
        <v>3.082985822</v>
      </c>
      <c r="S170" s="140">
        <f t="shared" si="42"/>
        <v>-99.9</v>
      </c>
      <c r="T170" s="113">
        <f t="shared" si="9"/>
        <v>3.956666667</v>
      </c>
      <c r="U170" s="172"/>
      <c r="V170" s="172"/>
      <c r="W170" s="172"/>
      <c r="X170" s="172"/>
      <c r="Y170" s="173"/>
      <c r="Z170" s="165"/>
      <c r="AA170" s="165"/>
    </row>
    <row r="171" hidden="1" outlineLevel="1">
      <c r="A171" s="361"/>
      <c r="B171" s="174"/>
      <c r="C171" s="380" t="s">
        <v>45</v>
      </c>
      <c r="D171" s="101">
        <v>239.96</v>
      </c>
      <c r="E171" s="105"/>
      <c r="F171" s="103">
        <v>4.0</v>
      </c>
      <c r="G171" s="103">
        <v>4.0</v>
      </c>
      <c r="H171" s="104">
        <f t="shared" si="1"/>
        <v>1</v>
      </c>
      <c r="I171" s="105">
        <f t="shared" si="2"/>
        <v>59.99</v>
      </c>
      <c r="J171" s="106">
        <f t="shared" si="3"/>
        <v>59.99</v>
      </c>
      <c r="K171" s="101">
        <v>0.0</v>
      </c>
      <c r="L171" s="103">
        <v>0.0</v>
      </c>
      <c r="M171" s="103">
        <v>0.0</v>
      </c>
      <c r="N171" s="108">
        <v>0.0</v>
      </c>
      <c r="O171" s="109" t="str">
        <f t="shared" si="43"/>
        <v>#DIV/0!</v>
      </c>
      <c r="P171" s="110" t="str">
        <f t="shared" si="5"/>
        <v>#DIV/0!</v>
      </c>
      <c r="Q171" s="109">
        <f t="shared" si="6"/>
        <v>0</v>
      </c>
      <c r="R171" s="111">
        <f t="shared" si="7"/>
        <v>0</v>
      </c>
      <c r="S171" s="112">
        <f t="shared" si="42"/>
        <v>239.96</v>
      </c>
      <c r="T171" s="113" t="str">
        <f t="shared" si="9"/>
        <v>#DIV/0!</v>
      </c>
      <c r="U171" s="193"/>
      <c r="V171" s="193"/>
      <c r="W171" s="193"/>
      <c r="X171" s="194"/>
      <c r="Y171" s="195"/>
      <c r="Z171" s="165"/>
      <c r="AA171" s="165"/>
    </row>
    <row r="172" hidden="1" outlineLevel="1">
      <c r="A172" s="379"/>
      <c r="B172" s="174"/>
      <c r="C172" s="294" t="s">
        <v>46</v>
      </c>
      <c r="D172" s="146">
        <v>1226.9</v>
      </c>
      <c r="E172" s="105"/>
      <c r="F172" s="103">
        <v>41.0</v>
      </c>
      <c r="G172" s="103">
        <v>31.0</v>
      </c>
      <c r="H172" s="104">
        <f t="shared" si="1"/>
        <v>1.322580645</v>
      </c>
      <c r="I172" s="105">
        <f t="shared" si="2"/>
        <v>29.92439024</v>
      </c>
      <c r="J172" s="106">
        <f t="shared" si="3"/>
        <v>22.62575848</v>
      </c>
      <c r="K172" s="146">
        <v>159.98</v>
      </c>
      <c r="L172" s="103">
        <v>37212.0</v>
      </c>
      <c r="M172" s="103">
        <v>15.0</v>
      </c>
      <c r="N172" s="147">
        <v>399.98</v>
      </c>
      <c r="O172" s="109">
        <f t="shared" si="43"/>
        <v>0.3999699985</v>
      </c>
      <c r="P172" s="110">
        <f t="shared" si="5"/>
        <v>2.500187523</v>
      </c>
      <c r="Q172" s="109">
        <f t="shared" si="6"/>
        <v>0.1303936751</v>
      </c>
      <c r="R172" s="111">
        <f t="shared" si="7"/>
        <v>0.3260086397</v>
      </c>
      <c r="S172" s="112">
        <f t="shared" si="42"/>
        <v>826.92</v>
      </c>
      <c r="T172" s="113">
        <f t="shared" si="9"/>
        <v>10.66533333</v>
      </c>
      <c r="U172" s="172"/>
      <c r="V172" s="172"/>
      <c r="W172" s="172"/>
      <c r="X172" s="172"/>
      <c r="Y172" s="173"/>
      <c r="Z172" s="165"/>
      <c r="AA172" s="165"/>
    </row>
    <row r="173" hidden="1" outlineLevel="1">
      <c r="A173" s="310" t="str">
        <f t="shared" ref="A173:A174" si="44">iferror(if(B173&gt;0,month(B173)&amp;"-"&amp;year(B173),B173),)</f>
        <v>2-2025</v>
      </c>
      <c r="B173" s="99">
        <v>45703.0</v>
      </c>
      <c r="C173" s="294" t="s">
        <v>49</v>
      </c>
      <c r="D173" s="146">
        <v>117.57</v>
      </c>
      <c r="E173" s="105"/>
      <c r="F173" s="103">
        <v>1.0</v>
      </c>
      <c r="G173" s="103">
        <v>1.0</v>
      </c>
      <c r="H173" s="104">
        <f t="shared" si="1"/>
        <v>1</v>
      </c>
      <c r="I173" s="105">
        <f t="shared" si="2"/>
        <v>117.57</v>
      </c>
      <c r="J173" s="106">
        <f t="shared" si="3"/>
        <v>117.57</v>
      </c>
      <c r="K173" s="146">
        <v>6.94</v>
      </c>
      <c r="L173" s="103">
        <v>9377.0</v>
      </c>
      <c r="M173" s="103">
        <v>1.0</v>
      </c>
      <c r="N173" s="147">
        <v>117.57</v>
      </c>
      <c r="O173" s="109">
        <f t="shared" si="43"/>
        <v>0.05902866377</v>
      </c>
      <c r="P173" s="110">
        <f t="shared" si="5"/>
        <v>16.94092219</v>
      </c>
      <c r="Q173" s="109">
        <f t="shared" si="6"/>
        <v>0.05902866377</v>
      </c>
      <c r="R173" s="111">
        <f t="shared" si="7"/>
        <v>1</v>
      </c>
      <c r="S173" s="112">
        <f t="shared" si="42"/>
        <v>0</v>
      </c>
      <c r="T173" s="113">
        <f t="shared" si="9"/>
        <v>6.94</v>
      </c>
      <c r="U173" s="172"/>
      <c r="V173" s="172"/>
      <c r="W173" s="172"/>
      <c r="X173" s="172"/>
      <c r="Y173" s="173"/>
      <c r="Z173" s="165"/>
      <c r="AA173" s="165"/>
    </row>
    <row r="174" collapsed="1">
      <c r="A174" s="361" t="str">
        <f t="shared" si="44"/>
        <v/>
      </c>
      <c r="B174" s="362" t="s">
        <v>94</v>
      </c>
      <c r="C174" s="363"/>
      <c r="D174" s="364">
        <f>SUM(D157:D173)</f>
        <v>12059.72</v>
      </c>
      <c r="E174" s="365"/>
      <c r="F174" s="366">
        <f t="shared" ref="F174:G174" si="45">SUM(F157:F173)</f>
        <v>155</v>
      </c>
      <c r="G174" s="366">
        <f t="shared" si="45"/>
        <v>127</v>
      </c>
      <c r="H174" s="367">
        <f t="shared" si="1"/>
        <v>1.220472441</v>
      </c>
      <c r="I174" s="365">
        <f t="shared" si="2"/>
        <v>77.80464516</v>
      </c>
      <c r="J174" s="368">
        <f t="shared" si="3"/>
        <v>63.74961249</v>
      </c>
      <c r="K174" s="369">
        <f t="shared" ref="K174:N174" si="46">SUM(K157:K173)</f>
        <v>2375.68</v>
      </c>
      <c r="L174" s="366">
        <f t="shared" si="46"/>
        <v>345848</v>
      </c>
      <c r="M174" s="366">
        <f t="shared" si="46"/>
        <v>62</v>
      </c>
      <c r="N174" s="364">
        <f t="shared" si="46"/>
        <v>3785.71</v>
      </c>
      <c r="O174" s="371">
        <f t="shared" si="43"/>
        <v>0.6275388236</v>
      </c>
      <c r="P174" s="372">
        <f t="shared" si="5"/>
        <v>1.593526906</v>
      </c>
      <c r="Q174" s="371">
        <f t="shared" si="6"/>
        <v>0.196992965</v>
      </c>
      <c r="R174" s="373">
        <f t="shared" si="7"/>
        <v>0.31391359</v>
      </c>
      <c r="S174" s="374">
        <f>SUM(S157:S173)</f>
        <v>8274.01</v>
      </c>
      <c r="T174" s="375">
        <f t="shared" si="9"/>
        <v>38.31741935</v>
      </c>
      <c r="U174" s="376" t="str">
        <f>IFERROR((D174-#REF!)/D174,)</f>
        <v/>
      </c>
      <c r="V174" s="376" t="str">
        <f>IFERROR((F174-#REF!)/F174,)</f>
        <v/>
      </c>
      <c r="W174" s="377" t="str">
        <f>IFERROR((D174-monthly_reporting_2021!E49)/D174, )</f>
        <v/>
      </c>
      <c r="X174" s="378" t="str">
        <f>IFERROR((F174-monthly_reporting_2021!F49)/F174, )</f>
        <v/>
      </c>
      <c r="Y174" s="165"/>
      <c r="Z174" s="165"/>
      <c r="AA174" s="165"/>
    </row>
    <row r="175" hidden="1" outlineLevel="1">
      <c r="A175" s="379"/>
      <c r="B175" s="99">
        <v>45704.0</v>
      </c>
      <c r="C175" s="294" t="s">
        <v>32</v>
      </c>
      <c r="D175" s="101">
        <v>2118.68</v>
      </c>
      <c r="E175" s="105"/>
      <c r="F175" s="103">
        <v>4.0</v>
      </c>
      <c r="G175" s="103">
        <v>11.0</v>
      </c>
      <c r="H175" s="104">
        <f t="shared" si="1"/>
        <v>0.3636363636</v>
      </c>
      <c r="I175" s="105">
        <f t="shared" si="2"/>
        <v>529.67</v>
      </c>
      <c r="J175" s="106">
        <f t="shared" si="3"/>
        <v>1456.5925</v>
      </c>
      <c r="K175" s="107">
        <v>974.08</v>
      </c>
      <c r="L175" s="103">
        <v>94735.0</v>
      </c>
      <c r="M175" s="103">
        <v>9.0</v>
      </c>
      <c r="N175" s="108">
        <v>648.75</v>
      </c>
      <c r="O175" s="109">
        <f t="shared" si="43"/>
        <v>1.501472062</v>
      </c>
      <c r="P175" s="110">
        <f t="shared" si="5"/>
        <v>0.6660130585</v>
      </c>
      <c r="Q175" s="109">
        <f t="shared" si="6"/>
        <v>0.4597579625</v>
      </c>
      <c r="R175" s="111">
        <f t="shared" si="7"/>
        <v>0.3062048068</v>
      </c>
      <c r="S175" s="112">
        <f t="shared" ref="S175:S191" si="47">D175-N175</f>
        <v>1469.93</v>
      </c>
      <c r="T175" s="113">
        <f t="shared" si="9"/>
        <v>108.2311111</v>
      </c>
      <c r="U175" s="172"/>
      <c r="V175" s="172"/>
      <c r="W175" s="172"/>
      <c r="X175" s="172"/>
      <c r="Y175" s="173"/>
      <c r="Z175" s="165"/>
      <c r="AA175" s="165"/>
    </row>
    <row r="176" hidden="1" outlineLevel="1">
      <c r="A176" s="379"/>
      <c r="B176" s="174"/>
      <c r="C176" s="294" t="s">
        <v>33</v>
      </c>
      <c r="D176" s="117">
        <v>1880.36</v>
      </c>
      <c r="E176" s="105"/>
      <c r="F176" s="103">
        <v>16.0</v>
      </c>
      <c r="G176" s="103">
        <v>18.0</v>
      </c>
      <c r="H176" s="104">
        <f t="shared" si="1"/>
        <v>0.8888888889</v>
      </c>
      <c r="I176" s="105">
        <f t="shared" si="2"/>
        <v>117.5225</v>
      </c>
      <c r="J176" s="106">
        <f t="shared" si="3"/>
        <v>132.2128125</v>
      </c>
      <c r="K176" s="117">
        <v>358.65</v>
      </c>
      <c r="L176" s="103">
        <v>101363.0</v>
      </c>
      <c r="M176" s="103">
        <v>2.0</v>
      </c>
      <c r="N176" s="118">
        <v>438.95</v>
      </c>
      <c r="O176" s="109">
        <f t="shared" si="43"/>
        <v>0.8170634469</v>
      </c>
      <c r="P176" s="110">
        <f t="shared" si="5"/>
        <v>1.223895162</v>
      </c>
      <c r="Q176" s="109">
        <f t="shared" si="6"/>
        <v>0.1907347529</v>
      </c>
      <c r="R176" s="111">
        <f t="shared" si="7"/>
        <v>0.2334393414</v>
      </c>
      <c r="S176" s="119">
        <f t="shared" si="47"/>
        <v>1441.41</v>
      </c>
      <c r="T176" s="113">
        <f t="shared" si="9"/>
        <v>179.325</v>
      </c>
      <c r="U176" s="172"/>
      <c r="V176" s="172"/>
      <c r="W176" s="172"/>
      <c r="X176" s="172"/>
      <c r="Y176" s="173"/>
      <c r="Z176" s="165"/>
      <c r="AA176" s="165"/>
    </row>
    <row r="177" hidden="1" outlineLevel="1">
      <c r="A177" s="379"/>
      <c r="B177" s="174"/>
      <c r="C177" s="294" t="s">
        <v>34</v>
      </c>
      <c r="D177" s="120">
        <v>0.0</v>
      </c>
      <c r="E177" s="105"/>
      <c r="F177" s="103">
        <v>0.0</v>
      </c>
      <c r="G177" s="103">
        <v>0.0</v>
      </c>
      <c r="H177" s="104" t="str">
        <f t="shared" si="1"/>
        <v>#DIV/0!</v>
      </c>
      <c r="I177" s="105" t="str">
        <f t="shared" si="2"/>
        <v>#DIV/0!</v>
      </c>
      <c r="J177" s="106" t="str">
        <f t="shared" si="3"/>
        <v>#DIV/0!</v>
      </c>
      <c r="K177" s="120">
        <v>0.0</v>
      </c>
      <c r="L177" s="103">
        <v>73.0</v>
      </c>
      <c r="M177" s="103">
        <v>0.0</v>
      </c>
      <c r="N177" s="121">
        <v>0.0</v>
      </c>
      <c r="O177" s="109" t="str">
        <f>(K177/N177)</f>
        <v>#DIV/0!</v>
      </c>
      <c r="P177" s="110" t="str">
        <f t="shared" si="5"/>
        <v>#DIV/0!</v>
      </c>
      <c r="Q177" s="109" t="str">
        <f t="shared" si="6"/>
        <v>#DIV/0!</v>
      </c>
      <c r="R177" s="111" t="str">
        <f t="shared" si="7"/>
        <v>#DIV/0!</v>
      </c>
      <c r="S177" s="122">
        <f t="shared" si="47"/>
        <v>0</v>
      </c>
      <c r="T177" s="113" t="str">
        <f t="shared" si="9"/>
        <v>#DIV/0!</v>
      </c>
      <c r="U177" s="172"/>
      <c r="V177" s="172"/>
      <c r="W177" s="172"/>
      <c r="X177" s="172"/>
      <c r="Y177" s="173"/>
      <c r="Z177" s="165"/>
      <c r="AA177" s="165"/>
    </row>
    <row r="178" hidden="1" outlineLevel="1">
      <c r="A178" s="379"/>
      <c r="B178" s="174"/>
      <c r="C178" s="294" t="s">
        <v>35</v>
      </c>
      <c r="D178" s="120">
        <v>386.65</v>
      </c>
      <c r="E178" s="105"/>
      <c r="F178" s="103">
        <v>7.0</v>
      </c>
      <c r="G178" s="103">
        <v>7.0</v>
      </c>
      <c r="H178" s="104">
        <f t="shared" si="1"/>
        <v>1</v>
      </c>
      <c r="I178" s="105">
        <f t="shared" si="2"/>
        <v>55.23571429</v>
      </c>
      <c r="J178" s="106">
        <f t="shared" si="3"/>
        <v>55.23571429</v>
      </c>
      <c r="K178" s="120">
        <v>105.42</v>
      </c>
      <c r="L178" s="103">
        <v>8339.0</v>
      </c>
      <c r="M178" s="103">
        <v>7.0</v>
      </c>
      <c r="N178" s="121">
        <v>377.65</v>
      </c>
      <c r="O178" s="109">
        <f t="shared" ref="O178:O194" si="48">K178/N178</f>
        <v>0.2791473587</v>
      </c>
      <c r="P178" s="110">
        <f t="shared" si="5"/>
        <v>3.582337317</v>
      </c>
      <c r="Q178" s="109">
        <f t="shared" si="6"/>
        <v>0.2726496832</v>
      </c>
      <c r="R178" s="111">
        <f t="shared" si="7"/>
        <v>0.9767231346</v>
      </c>
      <c r="S178" s="122">
        <f t="shared" si="47"/>
        <v>9</v>
      </c>
      <c r="T178" s="113">
        <f t="shared" si="9"/>
        <v>15.06</v>
      </c>
      <c r="U178" s="172"/>
      <c r="V178" s="172"/>
      <c r="W178" s="172"/>
      <c r="X178" s="172"/>
      <c r="Y178" s="173"/>
      <c r="Z178" s="165"/>
      <c r="AA178" s="165"/>
    </row>
    <row r="179" hidden="1" outlineLevel="1">
      <c r="A179" s="379"/>
      <c r="B179" s="174"/>
      <c r="C179" s="294" t="s">
        <v>65</v>
      </c>
      <c r="D179" s="300">
        <v>39.0</v>
      </c>
      <c r="E179" s="105"/>
      <c r="F179" s="103">
        <v>1.0</v>
      </c>
      <c r="G179" s="103">
        <v>1.0</v>
      </c>
      <c r="H179" s="104">
        <f t="shared" si="1"/>
        <v>1</v>
      </c>
      <c r="I179" s="105">
        <f t="shared" si="2"/>
        <v>39</v>
      </c>
      <c r="J179" s="106">
        <f t="shared" si="3"/>
        <v>39</v>
      </c>
      <c r="K179" s="300">
        <v>0.0</v>
      </c>
      <c r="L179" s="103">
        <v>0.0</v>
      </c>
      <c r="M179" s="103">
        <v>0.0</v>
      </c>
      <c r="N179" s="300">
        <v>0.0</v>
      </c>
      <c r="O179" s="109" t="str">
        <f t="shared" si="48"/>
        <v>#DIV/0!</v>
      </c>
      <c r="P179" s="110" t="str">
        <f t="shared" si="5"/>
        <v>#DIV/0!</v>
      </c>
      <c r="Q179" s="109">
        <f t="shared" si="6"/>
        <v>0</v>
      </c>
      <c r="R179" s="111">
        <f t="shared" si="7"/>
        <v>0</v>
      </c>
      <c r="S179" s="122">
        <f t="shared" si="47"/>
        <v>39</v>
      </c>
      <c r="T179" s="113" t="str">
        <f t="shared" si="9"/>
        <v>#DIV/0!</v>
      </c>
      <c r="U179" s="172"/>
      <c r="V179" s="172"/>
      <c r="W179" s="172"/>
      <c r="X179" s="172"/>
      <c r="Y179" s="173"/>
      <c r="Z179" s="165"/>
      <c r="AA179" s="165"/>
    </row>
    <row r="180" hidden="1" outlineLevel="1">
      <c r="A180" s="379"/>
      <c r="B180" s="174"/>
      <c r="C180" s="294" t="s">
        <v>85</v>
      </c>
      <c r="D180" s="302">
        <v>0.0</v>
      </c>
      <c r="E180" s="105"/>
      <c r="F180" s="103">
        <v>0.0</v>
      </c>
      <c r="G180" s="103">
        <v>0.0</v>
      </c>
      <c r="H180" s="104" t="str">
        <f t="shared" si="1"/>
        <v>#DIV/0!</v>
      </c>
      <c r="I180" s="105" t="str">
        <f t="shared" si="2"/>
        <v>#DIV/0!</v>
      </c>
      <c r="J180" s="106" t="str">
        <f t="shared" si="3"/>
        <v>#DIV/0!</v>
      </c>
      <c r="K180" s="302">
        <v>35.2</v>
      </c>
      <c r="L180" s="103">
        <v>11451.0</v>
      </c>
      <c r="M180" s="103">
        <v>0.0</v>
      </c>
      <c r="N180" s="303">
        <v>0.0</v>
      </c>
      <c r="O180" s="109" t="str">
        <f t="shared" si="48"/>
        <v>#DIV/0!</v>
      </c>
      <c r="P180" s="110">
        <f t="shared" si="5"/>
        <v>0</v>
      </c>
      <c r="Q180" s="109" t="str">
        <f t="shared" si="6"/>
        <v>#DIV/0!</v>
      </c>
      <c r="R180" s="111" t="str">
        <f t="shared" si="7"/>
        <v>#DIV/0!</v>
      </c>
      <c r="S180" s="304">
        <f t="shared" si="47"/>
        <v>0</v>
      </c>
      <c r="T180" s="113" t="str">
        <f t="shared" si="9"/>
        <v>#DIV/0!</v>
      </c>
      <c r="U180" s="172"/>
      <c r="V180" s="172"/>
      <c r="W180" s="172"/>
      <c r="X180" s="172"/>
      <c r="Y180" s="173"/>
      <c r="Z180" s="165"/>
      <c r="AA180" s="165"/>
    </row>
    <row r="181" hidden="1" outlineLevel="1">
      <c r="A181" s="379"/>
      <c r="B181" s="174"/>
      <c r="C181" s="294" t="s">
        <v>36</v>
      </c>
      <c r="D181" s="120">
        <v>329.75</v>
      </c>
      <c r="E181" s="105"/>
      <c r="F181" s="103">
        <v>5.0</v>
      </c>
      <c r="G181" s="103">
        <v>5.0</v>
      </c>
      <c r="H181" s="104">
        <f t="shared" si="1"/>
        <v>1</v>
      </c>
      <c r="I181" s="105">
        <f t="shared" si="2"/>
        <v>65.95</v>
      </c>
      <c r="J181" s="106">
        <f t="shared" si="3"/>
        <v>65.95</v>
      </c>
      <c r="K181" s="120">
        <v>99.15</v>
      </c>
      <c r="L181" s="103">
        <v>7192.0</v>
      </c>
      <c r="M181" s="103">
        <v>1.0</v>
      </c>
      <c r="N181" s="121">
        <v>69.95</v>
      </c>
      <c r="O181" s="109">
        <f t="shared" si="48"/>
        <v>1.417441029</v>
      </c>
      <c r="P181" s="110">
        <f t="shared" si="5"/>
        <v>0.7054967221</v>
      </c>
      <c r="Q181" s="109">
        <f t="shared" si="6"/>
        <v>0.3006823351</v>
      </c>
      <c r="R181" s="111">
        <f t="shared" si="7"/>
        <v>0.2121304018</v>
      </c>
      <c r="S181" s="122">
        <f t="shared" si="47"/>
        <v>259.8</v>
      </c>
      <c r="T181" s="113">
        <f t="shared" si="9"/>
        <v>99.15</v>
      </c>
      <c r="U181" s="172"/>
      <c r="V181" s="172"/>
      <c r="W181" s="172"/>
      <c r="X181" s="172"/>
      <c r="Y181" s="173"/>
      <c r="Z181" s="165"/>
      <c r="AA181" s="165"/>
    </row>
    <row r="182" hidden="1" outlineLevel="1">
      <c r="A182" s="379"/>
      <c r="B182" s="99" t="s">
        <v>37</v>
      </c>
      <c r="C182" s="294" t="s">
        <v>38</v>
      </c>
      <c r="D182" s="123">
        <v>558.9</v>
      </c>
      <c r="E182" s="105"/>
      <c r="F182" s="103">
        <v>14.0</v>
      </c>
      <c r="G182" s="103">
        <v>12.0</v>
      </c>
      <c r="H182" s="104">
        <f t="shared" si="1"/>
        <v>1.166666667</v>
      </c>
      <c r="I182" s="105">
        <f t="shared" si="2"/>
        <v>39.92142857</v>
      </c>
      <c r="J182" s="106">
        <f t="shared" si="3"/>
        <v>34.21836735</v>
      </c>
      <c r="K182" s="123">
        <v>149.52</v>
      </c>
      <c r="L182" s="103">
        <v>15258.0</v>
      </c>
      <c r="M182" s="103">
        <v>2.0</v>
      </c>
      <c r="N182" s="124">
        <v>54.51</v>
      </c>
      <c r="O182" s="109">
        <f t="shared" si="48"/>
        <v>2.742982939</v>
      </c>
      <c r="P182" s="110">
        <f t="shared" si="5"/>
        <v>0.3645666132</v>
      </c>
      <c r="Q182" s="109">
        <f t="shared" si="6"/>
        <v>0.2675254965</v>
      </c>
      <c r="R182" s="111">
        <f t="shared" si="7"/>
        <v>0.0975308642</v>
      </c>
      <c r="S182" s="125">
        <f t="shared" si="47"/>
        <v>504.39</v>
      </c>
      <c r="T182" s="113">
        <f t="shared" si="9"/>
        <v>74.76</v>
      </c>
      <c r="U182" s="172"/>
      <c r="V182" s="172"/>
      <c r="W182" s="172"/>
      <c r="X182" s="172"/>
      <c r="Y182" s="173"/>
      <c r="Z182" s="165"/>
      <c r="AA182" s="165"/>
    </row>
    <row r="183" hidden="1" outlineLevel="1">
      <c r="A183" s="379"/>
      <c r="B183" s="174"/>
      <c r="C183" s="294" t="s">
        <v>39</v>
      </c>
      <c r="D183" s="126">
        <v>119.91</v>
      </c>
      <c r="E183" s="105"/>
      <c r="F183" s="103">
        <v>2.0</v>
      </c>
      <c r="G183" s="103">
        <v>2.0</v>
      </c>
      <c r="H183" s="104">
        <f t="shared" si="1"/>
        <v>1</v>
      </c>
      <c r="I183" s="105">
        <f t="shared" si="2"/>
        <v>59.955</v>
      </c>
      <c r="J183" s="106">
        <f t="shared" si="3"/>
        <v>59.955</v>
      </c>
      <c r="K183" s="126">
        <v>45.63</v>
      </c>
      <c r="L183" s="103">
        <v>22716.0</v>
      </c>
      <c r="M183" s="103">
        <v>0.0</v>
      </c>
      <c r="N183" s="127">
        <v>0.0</v>
      </c>
      <c r="O183" s="109" t="str">
        <f t="shared" si="48"/>
        <v>#DIV/0!</v>
      </c>
      <c r="P183" s="110">
        <f t="shared" si="5"/>
        <v>0</v>
      </c>
      <c r="Q183" s="109">
        <f t="shared" si="6"/>
        <v>0.3805354016</v>
      </c>
      <c r="R183" s="111">
        <f t="shared" si="7"/>
        <v>0</v>
      </c>
      <c r="S183" s="128">
        <f t="shared" si="47"/>
        <v>119.91</v>
      </c>
      <c r="T183" s="113" t="str">
        <f t="shared" si="9"/>
        <v>#DIV/0!</v>
      </c>
      <c r="U183" s="172"/>
      <c r="V183" s="172"/>
      <c r="W183" s="172"/>
      <c r="X183" s="172"/>
      <c r="Y183" s="173"/>
      <c r="Z183" s="165"/>
      <c r="AA183" s="165"/>
    </row>
    <row r="184" hidden="1" outlineLevel="1">
      <c r="A184" s="379"/>
      <c r="B184" s="174"/>
      <c r="C184" s="294" t="s">
        <v>40</v>
      </c>
      <c r="D184" s="129">
        <v>54.95</v>
      </c>
      <c r="E184" s="105"/>
      <c r="F184" s="103">
        <v>1.0</v>
      </c>
      <c r="G184" s="103">
        <v>1.0</v>
      </c>
      <c r="H184" s="104">
        <f t="shared" si="1"/>
        <v>1</v>
      </c>
      <c r="I184" s="105">
        <f t="shared" si="2"/>
        <v>54.95</v>
      </c>
      <c r="J184" s="106">
        <f t="shared" si="3"/>
        <v>54.95</v>
      </c>
      <c r="K184" s="129">
        <v>0.0</v>
      </c>
      <c r="L184" s="103">
        <v>0.0</v>
      </c>
      <c r="M184" s="103">
        <v>0.0</v>
      </c>
      <c r="N184" s="130">
        <v>0.0</v>
      </c>
      <c r="O184" s="109" t="str">
        <f t="shared" si="48"/>
        <v>#DIV/0!</v>
      </c>
      <c r="P184" s="110" t="str">
        <f t="shared" si="5"/>
        <v>#DIV/0!</v>
      </c>
      <c r="Q184" s="109">
        <f t="shared" si="6"/>
        <v>0</v>
      </c>
      <c r="R184" s="111">
        <f t="shared" si="7"/>
        <v>0</v>
      </c>
      <c r="S184" s="131">
        <f t="shared" si="47"/>
        <v>54.95</v>
      </c>
      <c r="T184" s="113" t="str">
        <f t="shared" si="9"/>
        <v>#DIV/0!</v>
      </c>
      <c r="U184" s="172"/>
      <c r="V184" s="172"/>
      <c r="W184" s="172"/>
      <c r="X184" s="172"/>
      <c r="Y184" s="173"/>
      <c r="Z184" s="165"/>
      <c r="AA184" s="165"/>
    </row>
    <row r="185" hidden="1" outlineLevel="1">
      <c r="A185" s="379"/>
      <c r="B185" s="174"/>
      <c r="C185" s="294" t="s">
        <v>41</v>
      </c>
      <c r="D185" s="132">
        <v>323.0</v>
      </c>
      <c r="E185" s="105"/>
      <c r="F185" s="103">
        <v>5.0</v>
      </c>
      <c r="G185" s="103">
        <v>6.0</v>
      </c>
      <c r="H185" s="104">
        <f t="shared" si="1"/>
        <v>0.8333333333</v>
      </c>
      <c r="I185" s="105">
        <f t="shared" si="2"/>
        <v>64.6</v>
      </c>
      <c r="J185" s="106">
        <f t="shared" si="3"/>
        <v>77.52</v>
      </c>
      <c r="K185" s="132">
        <v>84.71</v>
      </c>
      <c r="L185" s="103">
        <v>10073.0</v>
      </c>
      <c r="M185" s="103">
        <v>5.0</v>
      </c>
      <c r="N185" s="133">
        <v>335.0</v>
      </c>
      <c r="O185" s="109">
        <f t="shared" si="48"/>
        <v>0.2528656716</v>
      </c>
      <c r="P185" s="110">
        <f t="shared" si="5"/>
        <v>3.95466887</v>
      </c>
      <c r="Q185" s="109">
        <f t="shared" si="6"/>
        <v>0.2622600619</v>
      </c>
      <c r="R185" s="111">
        <f t="shared" si="7"/>
        <v>1.037151703</v>
      </c>
      <c r="S185" s="134">
        <f t="shared" si="47"/>
        <v>-12</v>
      </c>
      <c r="T185" s="113">
        <f t="shared" si="9"/>
        <v>16.942</v>
      </c>
      <c r="U185" s="172"/>
      <c r="V185" s="172"/>
      <c r="W185" s="172"/>
      <c r="X185" s="172"/>
      <c r="Y185" s="173"/>
      <c r="Z185" s="165"/>
      <c r="AA185" s="165"/>
    </row>
    <row r="186" hidden="1" outlineLevel="1">
      <c r="A186" s="379"/>
      <c r="B186" s="174"/>
      <c r="C186" s="294" t="s">
        <v>42</v>
      </c>
      <c r="D186" s="120">
        <v>139.93</v>
      </c>
      <c r="E186" s="105"/>
      <c r="F186" s="103">
        <v>7.0</v>
      </c>
      <c r="G186" s="103">
        <v>3.0</v>
      </c>
      <c r="H186" s="104">
        <f t="shared" si="1"/>
        <v>2.333333333</v>
      </c>
      <c r="I186" s="105">
        <f t="shared" si="2"/>
        <v>19.99</v>
      </c>
      <c r="J186" s="106">
        <f t="shared" si="3"/>
        <v>8.567142857</v>
      </c>
      <c r="K186" s="120">
        <v>11.78</v>
      </c>
      <c r="L186" s="103">
        <v>14994.0</v>
      </c>
      <c r="M186" s="103">
        <v>2.0</v>
      </c>
      <c r="N186" s="121">
        <v>39.98</v>
      </c>
      <c r="O186" s="109">
        <f t="shared" si="48"/>
        <v>0.2946473237</v>
      </c>
      <c r="P186" s="110">
        <f t="shared" si="5"/>
        <v>3.393887946</v>
      </c>
      <c r="Q186" s="109">
        <f t="shared" si="6"/>
        <v>0.08418494962</v>
      </c>
      <c r="R186" s="111">
        <f t="shared" si="7"/>
        <v>0.2857142857</v>
      </c>
      <c r="S186" s="122">
        <f t="shared" si="47"/>
        <v>99.95</v>
      </c>
      <c r="T186" s="113">
        <f t="shared" si="9"/>
        <v>5.89</v>
      </c>
      <c r="U186" s="172"/>
      <c r="V186" s="172"/>
      <c r="W186" s="172"/>
      <c r="X186" s="172"/>
      <c r="Y186" s="173"/>
      <c r="Z186" s="165"/>
      <c r="AA186" s="165"/>
    </row>
    <row r="187" hidden="1" outlineLevel="1">
      <c r="A187" s="379"/>
      <c r="B187" s="174"/>
      <c r="C187" s="294" t="s">
        <v>43</v>
      </c>
      <c r="D187" s="135">
        <v>156.0</v>
      </c>
      <c r="E187" s="105"/>
      <c r="F187" s="103">
        <v>1.0</v>
      </c>
      <c r="G187" s="103">
        <v>1.0</v>
      </c>
      <c r="H187" s="104">
        <f t="shared" si="1"/>
        <v>1</v>
      </c>
      <c r="I187" s="105">
        <f t="shared" si="2"/>
        <v>156</v>
      </c>
      <c r="J187" s="106">
        <f t="shared" si="3"/>
        <v>156</v>
      </c>
      <c r="K187" s="135">
        <v>36.5</v>
      </c>
      <c r="L187" s="103">
        <v>34973.0</v>
      </c>
      <c r="M187" s="103">
        <v>0.0</v>
      </c>
      <c r="N187" s="136">
        <v>0.0</v>
      </c>
      <c r="O187" s="109" t="str">
        <f t="shared" si="48"/>
        <v>#DIV/0!</v>
      </c>
      <c r="P187" s="110">
        <f t="shared" si="5"/>
        <v>0</v>
      </c>
      <c r="Q187" s="109">
        <f t="shared" si="6"/>
        <v>0.233974359</v>
      </c>
      <c r="R187" s="111">
        <f t="shared" si="7"/>
        <v>0</v>
      </c>
      <c r="S187" s="137">
        <f t="shared" si="47"/>
        <v>156</v>
      </c>
      <c r="T187" s="113" t="str">
        <f t="shared" si="9"/>
        <v>#DIV/0!</v>
      </c>
      <c r="U187" s="172"/>
      <c r="V187" s="172"/>
      <c r="W187" s="172"/>
      <c r="X187" s="172"/>
      <c r="Y187" s="173"/>
      <c r="Z187" s="165"/>
      <c r="AA187" s="165"/>
    </row>
    <row r="188" hidden="1" outlineLevel="1">
      <c r="A188" s="379"/>
      <c r="B188" s="174"/>
      <c r="C188" s="294" t="s">
        <v>44</v>
      </c>
      <c r="D188" s="138">
        <v>37.96</v>
      </c>
      <c r="E188" s="105"/>
      <c r="F188" s="103">
        <v>1.0</v>
      </c>
      <c r="G188" s="103">
        <v>1.0</v>
      </c>
      <c r="H188" s="104">
        <f t="shared" si="1"/>
        <v>1</v>
      </c>
      <c r="I188" s="105">
        <f t="shared" si="2"/>
        <v>37.96</v>
      </c>
      <c r="J188" s="106">
        <f t="shared" si="3"/>
        <v>37.96</v>
      </c>
      <c r="K188" s="138">
        <v>15.41</v>
      </c>
      <c r="L188" s="103">
        <v>5434.0</v>
      </c>
      <c r="M188" s="103">
        <v>0.0</v>
      </c>
      <c r="N188" s="139">
        <v>0.0</v>
      </c>
      <c r="O188" s="109" t="str">
        <f t="shared" si="48"/>
        <v>#DIV/0!</v>
      </c>
      <c r="P188" s="110">
        <f t="shared" si="5"/>
        <v>0</v>
      </c>
      <c r="Q188" s="109">
        <f t="shared" si="6"/>
        <v>0.4059536354</v>
      </c>
      <c r="R188" s="111">
        <f t="shared" si="7"/>
        <v>0</v>
      </c>
      <c r="S188" s="140">
        <f t="shared" si="47"/>
        <v>37.96</v>
      </c>
      <c r="T188" s="113" t="str">
        <f t="shared" si="9"/>
        <v>#DIV/0!</v>
      </c>
      <c r="U188" s="172"/>
      <c r="V188" s="172"/>
      <c r="W188" s="172"/>
      <c r="X188" s="172"/>
      <c r="Y188" s="173"/>
      <c r="Z188" s="165"/>
      <c r="AA188" s="165"/>
    </row>
    <row r="189" hidden="1" outlineLevel="1">
      <c r="A189" s="361"/>
      <c r="B189" s="174"/>
      <c r="C189" s="380" t="s">
        <v>45</v>
      </c>
      <c r="D189" s="101">
        <v>575.43</v>
      </c>
      <c r="E189" s="105"/>
      <c r="F189" s="103">
        <v>11.0</v>
      </c>
      <c r="G189" s="103">
        <v>6.0</v>
      </c>
      <c r="H189" s="104">
        <f t="shared" si="1"/>
        <v>1.833333333</v>
      </c>
      <c r="I189" s="105">
        <f t="shared" si="2"/>
        <v>52.31181818</v>
      </c>
      <c r="J189" s="106">
        <f t="shared" si="3"/>
        <v>28.53371901</v>
      </c>
      <c r="K189" s="101">
        <v>0.0</v>
      </c>
      <c r="L189" s="103">
        <v>0.0</v>
      </c>
      <c r="M189" s="103">
        <v>0.0</v>
      </c>
      <c r="N189" s="108">
        <v>0.0</v>
      </c>
      <c r="O189" s="109" t="str">
        <f t="shared" si="48"/>
        <v>#DIV/0!</v>
      </c>
      <c r="P189" s="110" t="str">
        <f t="shared" si="5"/>
        <v>#DIV/0!</v>
      </c>
      <c r="Q189" s="109">
        <f t="shared" si="6"/>
        <v>0</v>
      </c>
      <c r="R189" s="111">
        <f t="shared" si="7"/>
        <v>0</v>
      </c>
      <c r="S189" s="112">
        <f t="shared" si="47"/>
        <v>575.43</v>
      </c>
      <c r="T189" s="113" t="str">
        <f t="shared" si="9"/>
        <v>#DIV/0!</v>
      </c>
      <c r="U189" s="193"/>
      <c r="V189" s="193"/>
      <c r="W189" s="193"/>
      <c r="X189" s="194"/>
      <c r="Y189" s="195"/>
      <c r="Z189" s="165"/>
      <c r="AA189" s="165"/>
    </row>
    <row r="190" hidden="1" outlineLevel="1">
      <c r="A190" s="379"/>
      <c r="B190" s="174"/>
      <c r="C190" s="294" t="s">
        <v>46</v>
      </c>
      <c r="D190" s="146">
        <v>611.34</v>
      </c>
      <c r="E190" s="105"/>
      <c r="F190" s="103">
        <v>19.0</v>
      </c>
      <c r="G190" s="103">
        <v>17.0</v>
      </c>
      <c r="H190" s="104">
        <f t="shared" si="1"/>
        <v>1.117647059</v>
      </c>
      <c r="I190" s="105">
        <f t="shared" si="2"/>
        <v>32.17578947</v>
      </c>
      <c r="J190" s="106">
        <f t="shared" si="3"/>
        <v>28.78886427</v>
      </c>
      <c r="K190" s="146">
        <v>86.51</v>
      </c>
      <c r="L190" s="103">
        <v>33745.0</v>
      </c>
      <c r="M190" s="103">
        <v>7.0</v>
      </c>
      <c r="N190" s="147">
        <v>237.34</v>
      </c>
      <c r="O190" s="109">
        <f t="shared" si="48"/>
        <v>0.3644981883</v>
      </c>
      <c r="P190" s="110">
        <f t="shared" si="5"/>
        <v>2.743497862</v>
      </c>
      <c r="Q190" s="109">
        <f t="shared" si="6"/>
        <v>0.1415088167</v>
      </c>
      <c r="R190" s="111">
        <f t="shared" si="7"/>
        <v>0.388229136</v>
      </c>
      <c r="S190" s="112">
        <f t="shared" si="47"/>
        <v>374</v>
      </c>
      <c r="T190" s="113">
        <f t="shared" si="9"/>
        <v>12.35857143</v>
      </c>
      <c r="U190" s="172"/>
      <c r="V190" s="172"/>
      <c r="W190" s="172"/>
      <c r="X190" s="172"/>
      <c r="Y190" s="173"/>
      <c r="Z190" s="165"/>
      <c r="AA190" s="165"/>
    </row>
    <row r="191" hidden="1" outlineLevel="1">
      <c r="A191" s="310" t="str">
        <f t="shared" ref="A191:A192" si="49">iferror(if(B191&gt;0,month(B191)&amp;"-"&amp;year(B191),B191),)</f>
        <v>2-2025</v>
      </c>
      <c r="B191" s="99">
        <v>45710.0</v>
      </c>
      <c r="C191" s="294" t="s">
        <v>49</v>
      </c>
      <c r="D191" s="146">
        <v>-117.57</v>
      </c>
      <c r="E191" s="105"/>
      <c r="F191" s="103">
        <v>-1.0</v>
      </c>
      <c r="G191" s="103">
        <v>0.0</v>
      </c>
      <c r="H191" s="104" t="str">
        <f t="shared" si="1"/>
        <v>#DIV/0!</v>
      </c>
      <c r="I191" s="105">
        <f t="shared" si="2"/>
        <v>117.57</v>
      </c>
      <c r="J191" s="106" t="str">
        <f t="shared" si="3"/>
        <v>#DIV/0!</v>
      </c>
      <c r="K191" s="146">
        <v>5.64</v>
      </c>
      <c r="L191" s="103">
        <v>13666.0</v>
      </c>
      <c r="M191" s="103">
        <v>0.0</v>
      </c>
      <c r="N191" s="147">
        <v>0.0</v>
      </c>
      <c r="O191" s="109" t="str">
        <f t="shared" si="48"/>
        <v>#DIV/0!</v>
      </c>
      <c r="P191" s="110">
        <f t="shared" si="5"/>
        <v>0</v>
      </c>
      <c r="Q191" s="109">
        <f t="shared" si="6"/>
        <v>-0.04797142128</v>
      </c>
      <c r="R191" s="111">
        <f t="shared" si="7"/>
        <v>0</v>
      </c>
      <c r="S191" s="112">
        <f t="shared" si="47"/>
        <v>-117.57</v>
      </c>
      <c r="T191" s="113" t="str">
        <f t="shared" si="9"/>
        <v>#DIV/0!</v>
      </c>
      <c r="U191" s="172"/>
      <c r="V191" s="172"/>
      <c r="W191" s="172"/>
      <c r="X191" s="172"/>
      <c r="Y191" s="173"/>
      <c r="Z191" s="165"/>
      <c r="AA191" s="165"/>
    </row>
    <row r="192" collapsed="1">
      <c r="A192" s="361" t="str">
        <f t="shared" si="49"/>
        <v/>
      </c>
      <c r="B192" s="362" t="s">
        <v>95</v>
      </c>
      <c r="C192" s="363"/>
      <c r="D192" s="364">
        <f>SUM(D175:D191)</f>
        <v>7214.29</v>
      </c>
      <c r="E192" s="365"/>
      <c r="F192" s="366">
        <f t="shared" ref="F192:G192" si="50">SUM(F175:F191)</f>
        <v>93</v>
      </c>
      <c r="G192" s="366">
        <f t="shared" si="50"/>
        <v>91</v>
      </c>
      <c r="H192" s="367">
        <f t="shared" si="1"/>
        <v>1.021978022</v>
      </c>
      <c r="I192" s="365">
        <f t="shared" si="2"/>
        <v>77.57301075</v>
      </c>
      <c r="J192" s="368">
        <f t="shared" si="3"/>
        <v>75.90477396</v>
      </c>
      <c r="K192" s="369">
        <f t="shared" ref="K192:N192" si="51">SUM(K175:K191)</f>
        <v>2008.2</v>
      </c>
      <c r="L192" s="366">
        <f t="shared" si="51"/>
        <v>374012</v>
      </c>
      <c r="M192" s="366">
        <f t="shared" si="51"/>
        <v>35</v>
      </c>
      <c r="N192" s="364">
        <f t="shared" si="51"/>
        <v>2202.13</v>
      </c>
      <c r="O192" s="371">
        <f t="shared" si="48"/>
        <v>0.9119352627</v>
      </c>
      <c r="P192" s="372">
        <f t="shared" si="5"/>
        <v>1.096569067</v>
      </c>
      <c r="Q192" s="371">
        <f t="shared" si="6"/>
        <v>0.2783641911</v>
      </c>
      <c r="R192" s="373">
        <f t="shared" si="7"/>
        <v>0.3052455612</v>
      </c>
      <c r="S192" s="374">
        <f>SUM(S175:S191)</f>
        <v>5012.16</v>
      </c>
      <c r="T192" s="375">
        <f t="shared" si="9"/>
        <v>57.37714286</v>
      </c>
      <c r="U192" s="376" t="str">
        <f>IFERROR((D192-#REF!)/D192,)</f>
        <v/>
      </c>
      <c r="V192" s="376" t="str">
        <f>IFERROR((F192-#REF!)/F192,)</f>
        <v/>
      </c>
      <c r="W192" s="377" t="str">
        <f>IFERROR((D192-monthly_reporting_2021!E49)/D192, )</f>
        <v/>
      </c>
      <c r="X192" s="378" t="str">
        <f>IFERROR((F192-monthly_reporting_2021!F49)/F192, )</f>
        <v/>
      </c>
      <c r="Y192" s="165"/>
      <c r="Z192" s="165"/>
      <c r="AA192" s="165"/>
    </row>
    <row r="193" hidden="1" outlineLevel="1">
      <c r="A193" s="379"/>
      <c r="B193" s="99">
        <v>45711.0</v>
      </c>
      <c r="C193" s="294" t="s">
        <v>32</v>
      </c>
      <c r="D193" s="101">
        <v>1138.6</v>
      </c>
      <c r="E193" s="105"/>
      <c r="F193" s="103">
        <v>9.0</v>
      </c>
      <c r="G193" s="103">
        <v>10.0</v>
      </c>
      <c r="H193" s="104">
        <f t="shared" si="1"/>
        <v>0.9</v>
      </c>
      <c r="I193" s="105">
        <f t="shared" si="2"/>
        <v>126.5111111</v>
      </c>
      <c r="J193" s="106">
        <f t="shared" si="3"/>
        <v>140.5679012</v>
      </c>
      <c r="K193" s="107">
        <v>652.84</v>
      </c>
      <c r="L193" s="103">
        <v>91286.0</v>
      </c>
      <c r="M193" s="103">
        <v>5.0</v>
      </c>
      <c r="N193" s="108">
        <v>289.8</v>
      </c>
      <c r="O193" s="109">
        <f t="shared" si="48"/>
        <v>2.252726018</v>
      </c>
      <c r="P193" s="110">
        <f t="shared" si="5"/>
        <v>0.4439066234</v>
      </c>
      <c r="Q193" s="109">
        <f t="shared" si="6"/>
        <v>0.5733708063</v>
      </c>
      <c r="R193" s="111">
        <f t="shared" si="7"/>
        <v>0.2545230985</v>
      </c>
      <c r="S193" s="112">
        <f t="shared" ref="S193:S209" si="52">D193-N193</f>
        <v>848.8</v>
      </c>
      <c r="T193" s="113">
        <f t="shared" si="9"/>
        <v>130.568</v>
      </c>
      <c r="U193" s="172"/>
      <c r="V193" s="172"/>
      <c r="W193" s="172"/>
      <c r="X193" s="172"/>
      <c r="Y193" s="173"/>
      <c r="Z193" s="165"/>
      <c r="AA193" s="165"/>
    </row>
    <row r="194" hidden="1" outlineLevel="1">
      <c r="A194" s="379"/>
      <c r="B194" s="174"/>
      <c r="C194" s="294" t="s">
        <v>33</v>
      </c>
      <c r="D194" s="117">
        <v>7251.12</v>
      </c>
      <c r="E194" s="105"/>
      <c r="F194" s="103">
        <v>45.0</v>
      </c>
      <c r="G194" s="103">
        <v>47.0</v>
      </c>
      <c r="H194" s="104">
        <f t="shared" si="1"/>
        <v>0.9574468085</v>
      </c>
      <c r="I194" s="105">
        <f t="shared" si="2"/>
        <v>161.136</v>
      </c>
      <c r="J194" s="106">
        <f t="shared" si="3"/>
        <v>168.2976</v>
      </c>
      <c r="K194" s="117">
        <v>325.06</v>
      </c>
      <c r="L194" s="103">
        <v>109626.0</v>
      </c>
      <c r="M194" s="103">
        <v>10.0</v>
      </c>
      <c r="N194" s="118">
        <v>1276.85</v>
      </c>
      <c r="O194" s="109">
        <f t="shared" si="48"/>
        <v>0.2545796296</v>
      </c>
      <c r="P194" s="110">
        <f t="shared" si="5"/>
        <v>3.928044053</v>
      </c>
      <c r="Q194" s="109">
        <f t="shared" si="6"/>
        <v>0.04482893677</v>
      </c>
      <c r="R194" s="111">
        <f t="shared" si="7"/>
        <v>0.1760900385</v>
      </c>
      <c r="S194" s="119">
        <f t="shared" si="52"/>
        <v>5974.27</v>
      </c>
      <c r="T194" s="113">
        <f t="shared" si="9"/>
        <v>32.506</v>
      </c>
      <c r="U194" s="172"/>
      <c r="V194" s="172"/>
      <c r="W194" s="172"/>
      <c r="X194" s="172"/>
      <c r="Y194" s="173"/>
      <c r="Z194" s="165"/>
      <c r="AA194" s="165"/>
    </row>
    <row r="195" hidden="1" outlineLevel="1">
      <c r="A195" s="379"/>
      <c r="B195" s="174"/>
      <c r="C195" s="294" t="s">
        <v>34</v>
      </c>
      <c r="D195" s="120">
        <v>0.0</v>
      </c>
      <c r="E195" s="105"/>
      <c r="F195" s="103">
        <v>0.0</v>
      </c>
      <c r="G195" s="103">
        <v>0.0</v>
      </c>
      <c r="H195" s="104" t="str">
        <f t="shared" si="1"/>
        <v>#DIV/0!</v>
      </c>
      <c r="I195" s="105" t="str">
        <f t="shared" si="2"/>
        <v>#DIV/0!</v>
      </c>
      <c r="J195" s="106" t="str">
        <f t="shared" si="3"/>
        <v>#DIV/0!</v>
      </c>
      <c r="K195" s="120">
        <v>17.22</v>
      </c>
      <c r="L195" s="103">
        <v>128.0</v>
      </c>
      <c r="M195" s="103">
        <v>0.0</v>
      </c>
      <c r="N195" s="121">
        <v>0.0</v>
      </c>
      <c r="O195" s="109" t="str">
        <f>(K195/N195)</f>
        <v>#DIV/0!</v>
      </c>
      <c r="P195" s="110">
        <f t="shared" si="5"/>
        <v>0</v>
      </c>
      <c r="Q195" s="109" t="str">
        <f t="shared" si="6"/>
        <v>#DIV/0!</v>
      </c>
      <c r="R195" s="111" t="str">
        <f t="shared" si="7"/>
        <v>#DIV/0!</v>
      </c>
      <c r="S195" s="122">
        <f t="shared" si="52"/>
        <v>0</v>
      </c>
      <c r="T195" s="113" t="str">
        <f t="shared" si="9"/>
        <v>#DIV/0!</v>
      </c>
      <c r="U195" s="172"/>
      <c r="V195" s="172"/>
      <c r="W195" s="172"/>
      <c r="X195" s="172"/>
      <c r="Y195" s="173"/>
      <c r="Z195" s="165"/>
      <c r="AA195" s="165"/>
    </row>
    <row r="196" hidden="1" outlineLevel="1">
      <c r="A196" s="379"/>
      <c r="B196" s="174"/>
      <c r="C196" s="294" t="s">
        <v>35</v>
      </c>
      <c r="D196" s="120">
        <v>269.75</v>
      </c>
      <c r="E196" s="105"/>
      <c r="F196" s="103">
        <v>5.0</v>
      </c>
      <c r="G196" s="103">
        <v>3.0</v>
      </c>
      <c r="H196" s="104">
        <f t="shared" si="1"/>
        <v>1.666666667</v>
      </c>
      <c r="I196" s="105">
        <f t="shared" si="2"/>
        <v>53.95</v>
      </c>
      <c r="J196" s="106">
        <f t="shared" si="3"/>
        <v>32.37</v>
      </c>
      <c r="K196" s="120">
        <v>163.92</v>
      </c>
      <c r="L196" s="103">
        <v>9083.0</v>
      </c>
      <c r="M196" s="103">
        <v>0.0</v>
      </c>
      <c r="N196" s="121">
        <v>0.0</v>
      </c>
      <c r="O196" s="109" t="str">
        <f t="shared" ref="O196:O212" si="53">K196/N196</f>
        <v>#DIV/0!</v>
      </c>
      <c r="P196" s="110">
        <f t="shared" si="5"/>
        <v>0</v>
      </c>
      <c r="Q196" s="109">
        <f t="shared" si="6"/>
        <v>0.607673772</v>
      </c>
      <c r="R196" s="111">
        <f t="shared" si="7"/>
        <v>0</v>
      </c>
      <c r="S196" s="122">
        <f t="shared" si="52"/>
        <v>269.75</v>
      </c>
      <c r="T196" s="113" t="str">
        <f t="shared" si="9"/>
        <v>#DIV/0!</v>
      </c>
      <c r="U196" s="172"/>
      <c r="V196" s="172"/>
      <c r="W196" s="172"/>
      <c r="X196" s="172"/>
      <c r="Y196" s="173"/>
      <c r="Z196" s="165"/>
      <c r="AA196" s="165"/>
    </row>
    <row r="197" hidden="1" outlineLevel="1">
      <c r="A197" s="379"/>
      <c r="B197" s="174"/>
      <c r="C197" s="294" t="s">
        <v>65</v>
      </c>
      <c r="D197" s="300">
        <v>0.0</v>
      </c>
      <c r="E197" s="105"/>
      <c r="F197" s="103">
        <v>0.0</v>
      </c>
      <c r="G197" s="103">
        <v>0.0</v>
      </c>
      <c r="H197" s="104" t="str">
        <f t="shared" si="1"/>
        <v>#DIV/0!</v>
      </c>
      <c r="I197" s="105" t="str">
        <f t="shared" si="2"/>
        <v>#DIV/0!</v>
      </c>
      <c r="J197" s="106" t="str">
        <f t="shared" si="3"/>
        <v>#DIV/0!</v>
      </c>
      <c r="K197" s="300">
        <v>0.0</v>
      </c>
      <c r="L197" s="103">
        <v>0.0</v>
      </c>
      <c r="M197" s="103">
        <v>0.0</v>
      </c>
      <c r="N197" s="300">
        <v>0.0</v>
      </c>
      <c r="O197" s="109" t="str">
        <f t="shared" si="53"/>
        <v>#DIV/0!</v>
      </c>
      <c r="P197" s="110" t="str">
        <f t="shared" si="5"/>
        <v>#DIV/0!</v>
      </c>
      <c r="Q197" s="109" t="str">
        <f t="shared" si="6"/>
        <v>#DIV/0!</v>
      </c>
      <c r="R197" s="111" t="str">
        <f t="shared" si="7"/>
        <v>#DIV/0!</v>
      </c>
      <c r="S197" s="122">
        <f t="shared" si="52"/>
        <v>0</v>
      </c>
      <c r="T197" s="113" t="str">
        <f t="shared" si="9"/>
        <v>#DIV/0!</v>
      </c>
      <c r="U197" s="172"/>
      <c r="V197" s="172"/>
      <c r="W197" s="172"/>
      <c r="X197" s="172"/>
      <c r="Y197" s="173"/>
      <c r="Z197" s="165"/>
      <c r="AA197" s="165"/>
    </row>
    <row r="198" hidden="1" outlineLevel="1">
      <c r="A198" s="379"/>
      <c r="B198" s="174"/>
      <c r="C198" s="294" t="s">
        <v>85</v>
      </c>
      <c r="D198" s="302">
        <v>455.81</v>
      </c>
      <c r="E198" s="105"/>
      <c r="F198" s="103">
        <v>7.0</v>
      </c>
      <c r="G198" s="103">
        <v>6.0</v>
      </c>
      <c r="H198" s="104">
        <f t="shared" si="1"/>
        <v>1.166666667</v>
      </c>
      <c r="I198" s="105">
        <f t="shared" si="2"/>
        <v>65.11571429</v>
      </c>
      <c r="J198" s="106">
        <f t="shared" si="3"/>
        <v>55.81346939</v>
      </c>
      <c r="K198" s="302">
        <v>49.89</v>
      </c>
      <c r="L198" s="103">
        <v>6245.0</v>
      </c>
      <c r="M198" s="103">
        <v>2.0</v>
      </c>
      <c r="N198" s="303">
        <v>124.94</v>
      </c>
      <c r="O198" s="109">
        <f t="shared" si="53"/>
        <v>0.3993116696</v>
      </c>
      <c r="P198" s="110">
        <f t="shared" si="5"/>
        <v>2.504309481</v>
      </c>
      <c r="Q198" s="109">
        <f t="shared" si="6"/>
        <v>0.1094535004</v>
      </c>
      <c r="R198" s="111">
        <f t="shared" si="7"/>
        <v>0.2741054387</v>
      </c>
      <c r="S198" s="304">
        <f t="shared" si="52"/>
        <v>330.87</v>
      </c>
      <c r="T198" s="113">
        <f t="shared" si="9"/>
        <v>24.945</v>
      </c>
      <c r="U198" s="172"/>
      <c r="V198" s="172"/>
      <c r="W198" s="172"/>
      <c r="X198" s="172"/>
      <c r="Y198" s="173"/>
      <c r="Z198" s="165"/>
      <c r="AA198" s="165"/>
    </row>
    <row r="199" hidden="1" outlineLevel="1">
      <c r="A199" s="379"/>
      <c r="B199" s="174"/>
      <c r="C199" s="294" t="s">
        <v>36</v>
      </c>
      <c r="D199" s="120">
        <v>500.16</v>
      </c>
      <c r="E199" s="105"/>
      <c r="F199" s="103">
        <v>8.0</v>
      </c>
      <c r="G199" s="103">
        <v>8.0</v>
      </c>
      <c r="H199" s="104">
        <f t="shared" si="1"/>
        <v>1</v>
      </c>
      <c r="I199" s="105">
        <f t="shared" si="2"/>
        <v>62.52</v>
      </c>
      <c r="J199" s="106">
        <f t="shared" si="3"/>
        <v>62.52</v>
      </c>
      <c r="K199" s="120">
        <v>67.81</v>
      </c>
      <c r="L199" s="103">
        <v>6402.0</v>
      </c>
      <c r="M199" s="103">
        <v>1.0</v>
      </c>
      <c r="N199" s="121">
        <v>59.95</v>
      </c>
      <c r="O199" s="109">
        <f t="shared" si="53"/>
        <v>1.131109258</v>
      </c>
      <c r="P199" s="110">
        <f t="shared" si="5"/>
        <v>0.8840878926</v>
      </c>
      <c r="Q199" s="109">
        <f t="shared" si="6"/>
        <v>0.1355766155</v>
      </c>
      <c r="R199" s="111">
        <f t="shared" si="7"/>
        <v>0.1198616443</v>
      </c>
      <c r="S199" s="122">
        <f t="shared" si="52"/>
        <v>440.21</v>
      </c>
      <c r="T199" s="113">
        <f t="shared" si="9"/>
        <v>67.81</v>
      </c>
      <c r="U199" s="172"/>
      <c r="V199" s="172"/>
      <c r="W199" s="172"/>
      <c r="X199" s="172"/>
      <c r="Y199" s="173"/>
      <c r="Z199" s="165"/>
      <c r="AA199" s="165"/>
    </row>
    <row r="200" hidden="1" outlineLevel="1">
      <c r="A200" s="379"/>
      <c r="B200" s="99" t="s">
        <v>37</v>
      </c>
      <c r="C200" s="294" t="s">
        <v>38</v>
      </c>
      <c r="D200" s="123">
        <v>614.92</v>
      </c>
      <c r="E200" s="105"/>
      <c r="F200" s="103">
        <v>13.0</v>
      </c>
      <c r="G200" s="103">
        <v>12.0</v>
      </c>
      <c r="H200" s="104">
        <f t="shared" si="1"/>
        <v>1.083333333</v>
      </c>
      <c r="I200" s="105">
        <f t="shared" si="2"/>
        <v>47.30153846</v>
      </c>
      <c r="J200" s="106">
        <f t="shared" si="3"/>
        <v>43.66295858</v>
      </c>
      <c r="K200" s="123">
        <v>123.69</v>
      </c>
      <c r="L200" s="103">
        <v>14424.0</v>
      </c>
      <c r="M200" s="103">
        <v>5.0</v>
      </c>
      <c r="N200" s="124">
        <v>107.8</v>
      </c>
      <c r="O200" s="109">
        <f t="shared" si="53"/>
        <v>1.147402597</v>
      </c>
      <c r="P200" s="110">
        <f t="shared" si="5"/>
        <v>0.8715336729</v>
      </c>
      <c r="Q200" s="109">
        <f t="shared" si="6"/>
        <v>0.2011481168</v>
      </c>
      <c r="R200" s="111">
        <f t="shared" si="7"/>
        <v>0.1753073571</v>
      </c>
      <c r="S200" s="125">
        <f t="shared" si="52"/>
        <v>507.12</v>
      </c>
      <c r="T200" s="113">
        <f t="shared" si="9"/>
        <v>24.738</v>
      </c>
      <c r="U200" s="172"/>
      <c r="V200" s="172"/>
      <c r="W200" s="172"/>
      <c r="X200" s="172"/>
      <c r="Y200" s="173"/>
      <c r="Z200" s="165"/>
      <c r="AA200" s="165"/>
    </row>
    <row r="201" hidden="1" outlineLevel="1">
      <c r="A201" s="379"/>
      <c r="B201" s="174"/>
      <c r="C201" s="294" t="s">
        <v>39</v>
      </c>
      <c r="D201" s="126">
        <v>0.0</v>
      </c>
      <c r="E201" s="105"/>
      <c r="F201" s="103">
        <v>0.0</v>
      </c>
      <c r="G201" s="103">
        <v>0.0</v>
      </c>
      <c r="H201" s="104" t="str">
        <f t="shared" si="1"/>
        <v>#DIV/0!</v>
      </c>
      <c r="I201" s="105" t="str">
        <f t="shared" si="2"/>
        <v>#DIV/0!</v>
      </c>
      <c r="J201" s="106" t="str">
        <f t="shared" si="3"/>
        <v>#DIV/0!</v>
      </c>
      <c r="K201" s="126">
        <v>61.54</v>
      </c>
      <c r="L201" s="103">
        <v>58340.0</v>
      </c>
      <c r="M201" s="103">
        <v>2.0</v>
      </c>
      <c r="N201" s="127">
        <v>199.9</v>
      </c>
      <c r="O201" s="109">
        <f t="shared" si="53"/>
        <v>0.307853927</v>
      </c>
      <c r="P201" s="110">
        <f t="shared" si="5"/>
        <v>3.248293793</v>
      </c>
      <c r="Q201" s="109" t="str">
        <f t="shared" si="6"/>
        <v>#DIV/0!</v>
      </c>
      <c r="R201" s="111" t="str">
        <f t="shared" si="7"/>
        <v>#DIV/0!</v>
      </c>
      <c r="S201" s="128">
        <f t="shared" si="52"/>
        <v>-199.9</v>
      </c>
      <c r="T201" s="113">
        <f t="shared" si="9"/>
        <v>30.77</v>
      </c>
      <c r="U201" s="172"/>
      <c r="V201" s="172"/>
      <c r="W201" s="172"/>
      <c r="X201" s="172"/>
      <c r="Y201" s="173"/>
      <c r="Z201" s="165"/>
      <c r="AA201" s="165"/>
    </row>
    <row r="202" hidden="1" outlineLevel="1">
      <c r="A202" s="379"/>
      <c r="B202" s="174"/>
      <c r="C202" s="294" t="s">
        <v>40</v>
      </c>
      <c r="D202" s="129">
        <v>54.95</v>
      </c>
      <c r="E202" s="105"/>
      <c r="F202" s="103">
        <v>1.0</v>
      </c>
      <c r="G202" s="103">
        <v>1.0</v>
      </c>
      <c r="H202" s="104">
        <f t="shared" si="1"/>
        <v>1</v>
      </c>
      <c r="I202" s="105">
        <f t="shared" si="2"/>
        <v>54.95</v>
      </c>
      <c r="J202" s="106">
        <f t="shared" si="3"/>
        <v>54.95</v>
      </c>
      <c r="K202" s="129">
        <v>0.0</v>
      </c>
      <c r="L202" s="103">
        <v>0.0</v>
      </c>
      <c r="M202" s="103">
        <v>0.0</v>
      </c>
      <c r="N202" s="130">
        <v>0.0</v>
      </c>
      <c r="O202" s="109" t="str">
        <f t="shared" si="53"/>
        <v>#DIV/0!</v>
      </c>
      <c r="P202" s="110" t="str">
        <f t="shared" si="5"/>
        <v>#DIV/0!</v>
      </c>
      <c r="Q202" s="109">
        <f t="shared" si="6"/>
        <v>0</v>
      </c>
      <c r="R202" s="111">
        <f t="shared" si="7"/>
        <v>0</v>
      </c>
      <c r="S202" s="131">
        <f t="shared" si="52"/>
        <v>54.95</v>
      </c>
      <c r="T202" s="113" t="str">
        <f t="shared" si="9"/>
        <v>#DIV/0!</v>
      </c>
      <c r="U202" s="172"/>
      <c r="V202" s="172"/>
      <c r="W202" s="172"/>
      <c r="X202" s="172"/>
      <c r="Y202" s="173"/>
      <c r="Z202" s="165"/>
      <c r="AA202" s="165"/>
    </row>
    <row r="203" hidden="1" outlineLevel="1">
      <c r="A203" s="379"/>
      <c r="B203" s="174"/>
      <c r="C203" s="294" t="s">
        <v>41</v>
      </c>
      <c r="D203" s="132">
        <v>201.0</v>
      </c>
      <c r="E203" s="105"/>
      <c r="F203" s="103">
        <v>3.0</v>
      </c>
      <c r="G203" s="103">
        <v>3.0</v>
      </c>
      <c r="H203" s="104">
        <f t="shared" si="1"/>
        <v>1</v>
      </c>
      <c r="I203" s="105">
        <f t="shared" si="2"/>
        <v>67</v>
      </c>
      <c r="J203" s="106">
        <f t="shared" si="3"/>
        <v>67</v>
      </c>
      <c r="K203" s="132">
        <v>52.07</v>
      </c>
      <c r="L203" s="103">
        <v>7101.0</v>
      </c>
      <c r="M203" s="103">
        <v>1.0</v>
      </c>
      <c r="N203" s="133">
        <v>67.0</v>
      </c>
      <c r="O203" s="109">
        <f t="shared" si="53"/>
        <v>0.7771641791</v>
      </c>
      <c r="P203" s="110">
        <f t="shared" si="5"/>
        <v>1.286729403</v>
      </c>
      <c r="Q203" s="109">
        <f t="shared" si="6"/>
        <v>0.2590547264</v>
      </c>
      <c r="R203" s="111">
        <f t="shared" si="7"/>
        <v>0.3333333333</v>
      </c>
      <c r="S203" s="134">
        <f t="shared" si="52"/>
        <v>134</v>
      </c>
      <c r="T203" s="113">
        <f t="shared" si="9"/>
        <v>52.07</v>
      </c>
      <c r="U203" s="172"/>
      <c r="V203" s="172"/>
      <c r="W203" s="172"/>
      <c r="X203" s="172"/>
      <c r="Y203" s="173"/>
      <c r="Z203" s="165"/>
      <c r="AA203" s="165"/>
    </row>
    <row r="204" hidden="1" outlineLevel="1">
      <c r="A204" s="379"/>
      <c r="B204" s="174"/>
      <c r="C204" s="294" t="s">
        <v>42</v>
      </c>
      <c r="D204" s="120">
        <v>39.98</v>
      </c>
      <c r="E204" s="105"/>
      <c r="F204" s="103">
        <v>2.0</v>
      </c>
      <c r="G204" s="103">
        <v>2.0</v>
      </c>
      <c r="H204" s="104">
        <f t="shared" si="1"/>
        <v>1</v>
      </c>
      <c r="I204" s="105">
        <f t="shared" si="2"/>
        <v>19.99</v>
      </c>
      <c r="J204" s="106">
        <f t="shared" si="3"/>
        <v>19.99</v>
      </c>
      <c r="K204" s="120">
        <v>7.73</v>
      </c>
      <c r="L204" s="103">
        <v>17629.0</v>
      </c>
      <c r="M204" s="103">
        <v>0.0</v>
      </c>
      <c r="N204" s="121">
        <v>0.0</v>
      </c>
      <c r="O204" s="109" t="str">
        <f t="shared" si="53"/>
        <v>#DIV/0!</v>
      </c>
      <c r="P204" s="110">
        <f t="shared" si="5"/>
        <v>0</v>
      </c>
      <c r="Q204" s="109">
        <f t="shared" si="6"/>
        <v>0.1933466733</v>
      </c>
      <c r="R204" s="111">
        <f t="shared" si="7"/>
        <v>0</v>
      </c>
      <c r="S204" s="122">
        <f t="shared" si="52"/>
        <v>39.98</v>
      </c>
      <c r="T204" s="113" t="str">
        <f t="shared" si="9"/>
        <v>#DIV/0!</v>
      </c>
      <c r="U204" s="172"/>
      <c r="V204" s="172"/>
      <c r="W204" s="172"/>
      <c r="X204" s="172"/>
      <c r="Y204" s="173"/>
      <c r="Z204" s="165"/>
      <c r="AA204" s="165"/>
    </row>
    <row r="205" hidden="1" outlineLevel="1">
      <c r="A205" s="379"/>
      <c r="B205" s="174"/>
      <c r="C205" s="294" t="s">
        <v>43</v>
      </c>
      <c r="D205" s="135">
        <v>-195.0</v>
      </c>
      <c r="E205" s="105"/>
      <c r="F205" s="103">
        <v>-1.0</v>
      </c>
      <c r="G205" s="103">
        <v>0.0</v>
      </c>
      <c r="H205" s="104" t="str">
        <f t="shared" si="1"/>
        <v>#DIV/0!</v>
      </c>
      <c r="I205" s="105">
        <f t="shared" si="2"/>
        <v>195</v>
      </c>
      <c r="J205" s="106" t="str">
        <f t="shared" si="3"/>
        <v>#DIV/0!</v>
      </c>
      <c r="K205" s="135">
        <v>27.44</v>
      </c>
      <c r="L205" s="103">
        <v>30342.0</v>
      </c>
      <c r="M205" s="103">
        <v>0.0</v>
      </c>
      <c r="N205" s="136">
        <v>0.0</v>
      </c>
      <c r="O205" s="109" t="str">
        <f t="shared" si="53"/>
        <v>#DIV/0!</v>
      </c>
      <c r="P205" s="110">
        <f t="shared" si="5"/>
        <v>0</v>
      </c>
      <c r="Q205" s="109">
        <f t="shared" si="6"/>
        <v>-0.1407179487</v>
      </c>
      <c r="R205" s="111">
        <f t="shared" si="7"/>
        <v>0</v>
      </c>
      <c r="S205" s="137">
        <f t="shared" si="52"/>
        <v>-195</v>
      </c>
      <c r="T205" s="113" t="str">
        <f t="shared" si="9"/>
        <v>#DIV/0!</v>
      </c>
      <c r="U205" s="172"/>
      <c r="V205" s="172"/>
      <c r="W205" s="172"/>
      <c r="X205" s="172"/>
      <c r="Y205" s="173"/>
      <c r="Z205" s="165"/>
      <c r="AA205" s="165"/>
    </row>
    <row r="206" hidden="1" outlineLevel="1">
      <c r="A206" s="379"/>
      <c r="B206" s="174"/>
      <c r="C206" s="294" t="s">
        <v>44</v>
      </c>
      <c r="D206" s="138">
        <v>119.9</v>
      </c>
      <c r="E206" s="105"/>
      <c r="F206" s="103">
        <v>2.0</v>
      </c>
      <c r="G206" s="103">
        <v>2.0</v>
      </c>
      <c r="H206" s="104">
        <f t="shared" si="1"/>
        <v>1</v>
      </c>
      <c r="I206" s="105">
        <f t="shared" si="2"/>
        <v>59.95</v>
      </c>
      <c r="J206" s="106">
        <f t="shared" si="3"/>
        <v>59.95</v>
      </c>
      <c r="K206" s="138">
        <v>46.2</v>
      </c>
      <c r="L206" s="103">
        <v>8233.0</v>
      </c>
      <c r="M206" s="103">
        <v>0.0</v>
      </c>
      <c r="N206" s="139">
        <v>0.0</v>
      </c>
      <c r="O206" s="109" t="str">
        <f t="shared" si="53"/>
        <v>#DIV/0!</v>
      </c>
      <c r="P206" s="110">
        <f t="shared" si="5"/>
        <v>0</v>
      </c>
      <c r="Q206" s="109">
        <f t="shared" si="6"/>
        <v>0.3853211009</v>
      </c>
      <c r="R206" s="111">
        <f t="shared" si="7"/>
        <v>0</v>
      </c>
      <c r="S206" s="140">
        <f t="shared" si="52"/>
        <v>119.9</v>
      </c>
      <c r="T206" s="113" t="str">
        <f t="shared" si="9"/>
        <v>#DIV/0!</v>
      </c>
      <c r="U206" s="172"/>
      <c r="V206" s="172"/>
      <c r="W206" s="172"/>
      <c r="X206" s="172"/>
      <c r="Y206" s="173"/>
      <c r="Z206" s="165"/>
      <c r="AA206" s="165"/>
    </row>
    <row r="207" hidden="1" outlineLevel="1">
      <c r="A207" s="361"/>
      <c r="B207" s="174"/>
      <c r="C207" s="380" t="s">
        <v>45</v>
      </c>
      <c r="D207" s="101">
        <v>620.91</v>
      </c>
      <c r="E207" s="105"/>
      <c r="F207" s="103">
        <v>11.0</v>
      </c>
      <c r="G207" s="103">
        <v>10.0</v>
      </c>
      <c r="H207" s="104">
        <f t="shared" si="1"/>
        <v>1.1</v>
      </c>
      <c r="I207" s="105">
        <f t="shared" si="2"/>
        <v>56.44636364</v>
      </c>
      <c r="J207" s="106">
        <f t="shared" si="3"/>
        <v>51.31487603</v>
      </c>
      <c r="K207" s="101">
        <v>0.0</v>
      </c>
      <c r="L207" s="103">
        <v>0.0</v>
      </c>
      <c r="M207" s="103">
        <v>0.0</v>
      </c>
      <c r="N207" s="108">
        <v>0.0</v>
      </c>
      <c r="O207" s="109" t="str">
        <f t="shared" si="53"/>
        <v>#DIV/0!</v>
      </c>
      <c r="P207" s="110" t="str">
        <f t="shared" si="5"/>
        <v>#DIV/0!</v>
      </c>
      <c r="Q207" s="109">
        <f t="shared" si="6"/>
        <v>0</v>
      </c>
      <c r="R207" s="111">
        <f t="shared" si="7"/>
        <v>0</v>
      </c>
      <c r="S207" s="112">
        <f t="shared" si="52"/>
        <v>620.91</v>
      </c>
      <c r="T207" s="113" t="str">
        <f t="shared" si="9"/>
        <v>#DIV/0!</v>
      </c>
      <c r="U207" s="193"/>
      <c r="V207" s="193"/>
      <c r="W207" s="193"/>
      <c r="X207" s="194"/>
      <c r="Y207" s="195"/>
      <c r="Z207" s="165"/>
      <c r="AA207" s="165"/>
    </row>
    <row r="208" hidden="1" outlineLevel="1">
      <c r="A208" s="379"/>
      <c r="B208" s="174"/>
      <c r="C208" s="294" t="s">
        <v>46</v>
      </c>
      <c r="D208" s="146">
        <v>834.27</v>
      </c>
      <c r="E208" s="105"/>
      <c r="F208" s="103">
        <v>23.0</v>
      </c>
      <c r="G208" s="103">
        <v>23.0</v>
      </c>
      <c r="H208" s="104">
        <f t="shared" si="1"/>
        <v>1</v>
      </c>
      <c r="I208" s="105">
        <f t="shared" si="2"/>
        <v>36.2726087</v>
      </c>
      <c r="J208" s="106">
        <f t="shared" si="3"/>
        <v>36.2726087</v>
      </c>
      <c r="K208" s="146">
        <v>88.12</v>
      </c>
      <c r="L208" s="103">
        <v>33459.0</v>
      </c>
      <c r="M208" s="103">
        <v>11.0</v>
      </c>
      <c r="N208" s="147">
        <v>395.56</v>
      </c>
      <c r="O208" s="109">
        <f t="shared" si="53"/>
        <v>0.2227727778</v>
      </c>
      <c r="P208" s="110">
        <f t="shared" si="5"/>
        <v>4.488878802</v>
      </c>
      <c r="Q208" s="109">
        <f t="shared" si="6"/>
        <v>0.1056252772</v>
      </c>
      <c r="R208" s="111">
        <f t="shared" si="7"/>
        <v>0.4741390677</v>
      </c>
      <c r="S208" s="112">
        <f t="shared" si="52"/>
        <v>438.71</v>
      </c>
      <c r="T208" s="113">
        <f t="shared" si="9"/>
        <v>8.010909091</v>
      </c>
      <c r="U208" s="172"/>
      <c r="V208" s="172"/>
      <c r="W208" s="172"/>
      <c r="X208" s="172"/>
      <c r="Y208" s="173"/>
      <c r="Z208" s="165"/>
      <c r="AA208" s="165"/>
    </row>
    <row r="209" hidden="1" outlineLevel="1">
      <c r="A209" s="310" t="str">
        <f t="shared" ref="A209:A210" si="54">iferror(if(B209&gt;0,month(B209)&amp;"-"&amp;year(B209),B209),)</f>
        <v>3-2025</v>
      </c>
      <c r="B209" s="99">
        <v>45717.0</v>
      </c>
      <c r="C209" s="294" t="s">
        <v>49</v>
      </c>
      <c r="D209" s="146">
        <v>0.0</v>
      </c>
      <c r="E209" s="105"/>
      <c r="F209" s="103">
        <v>0.0</v>
      </c>
      <c r="G209" s="103">
        <v>0.0</v>
      </c>
      <c r="H209" s="104" t="str">
        <f t="shared" si="1"/>
        <v>#DIV/0!</v>
      </c>
      <c r="I209" s="105" t="str">
        <f t="shared" si="2"/>
        <v>#DIV/0!</v>
      </c>
      <c r="J209" s="106" t="str">
        <f t="shared" si="3"/>
        <v>#DIV/0!</v>
      </c>
      <c r="K209" s="146">
        <v>3.31</v>
      </c>
      <c r="L209" s="103">
        <v>10850.0</v>
      </c>
      <c r="M209" s="103">
        <v>0.0</v>
      </c>
      <c r="N209" s="147">
        <v>0.0</v>
      </c>
      <c r="O209" s="109" t="str">
        <f t="shared" si="53"/>
        <v>#DIV/0!</v>
      </c>
      <c r="P209" s="110">
        <f t="shared" si="5"/>
        <v>0</v>
      </c>
      <c r="Q209" s="109" t="str">
        <f t="shared" si="6"/>
        <v>#DIV/0!</v>
      </c>
      <c r="R209" s="111" t="str">
        <f t="shared" si="7"/>
        <v>#DIV/0!</v>
      </c>
      <c r="S209" s="112">
        <f t="shared" si="52"/>
        <v>0</v>
      </c>
      <c r="T209" s="113" t="str">
        <f t="shared" si="9"/>
        <v>#DIV/0!</v>
      </c>
      <c r="U209" s="172"/>
      <c r="V209" s="172"/>
      <c r="W209" s="172"/>
      <c r="X209" s="172"/>
      <c r="Y209" s="173"/>
      <c r="Z209" s="165"/>
      <c r="AA209" s="165"/>
    </row>
    <row r="210" collapsed="1">
      <c r="A210" s="361" t="str">
        <f t="shared" si="54"/>
        <v/>
      </c>
      <c r="B210" s="362" t="s">
        <v>96</v>
      </c>
      <c r="C210" s="363"/>
      <c r="D210" s="364">
        <f>SUM(D193:D209)</f>
        <v>11906.37</v>
      </c>
      <c r="E210" s="365"/>
      <c r="F210" s="366">
        <f t="shared" ref="F210:G210" si="55">SUM(F193:F209)</f>
        <v>128</v>
      </c>
      <c r="G210" s="366">
        <f t="shared" si="55"/>
        <v>127</v>
      </c>
      <c r="H210" s="367">
        <f t="shared" si="1"/>
        <v>1.007874016</v>
      </c>
      <c r="I210" s="365">
        <f t="shared" si="2"/>
        <v>93.01851563</v>
      </c>
      <c r="J210" s="368">
        <f t="shared" si="3"/>
        <v>92.29180847</v>
      </c>
      <c r="K210" s="369">
        <f t="shared" ref="K210:N210" si="56">SUM(K193:K209)</f>
        <v>1686.84</v>
      </c>
      <c r="L210" s="366">
        <f t="shared" si="56"/>
        <v>403148</v>
      </c>
      <c r="M210" s="366">
        <f t="shared" si="56"/>
        <v>37</v>
      </c>
      <c r="N210" s="364">
        <f t="shared" si="56"/>
        <v>2521.8</v>
      </c>
      <c r="O210" s="371">
        <f t="shared" si="53"/>
        <v>0.6689031644</v>
      </c>
      <c r="P210" s="372">
        <f t="shared" si="5"/>
        <v>1.494984705</v>
      </c>
      <c r="Q210" s="371">
        <f t="shared" si="6"/>
        <v>0.1416754225</v>
      </c>
      <c r="R210" s="373">
        <f t="shared" si="7"/>
        <v>0.2118025897</v>
      </c>
      <c r="S210" s="374">
        <f>SUM(S193:S209)</f>
        <v>9384.57</v>
      </c>
      <c r="T210" s="375">
        <f t="shared" si="9"/>
        <v>45.59027027</v>
      </c>
      <c r="U210" s="376" t="str">
        <f>IFERROR((D210-#REF!)/D210,)</f>
        <v/>
      </c>
      <c r="V210" s="376" t="str">
        <f>IFERROR((F210-#REF!)/F210,)</f>
        <v/>
      </c>
      <c r="W210" s="377" t="str">
        <f>IFERROR((D210-monthly_reporting_2021!E49)/D210, )</f>
        <v/>
      </c>
      <c r="X210" s="378" t="str">
        <f>IFERROR((F210-monthly_reporting_2021!F49)/F210, )</f>
        <v/>
      </c>
      <c r="Y210" s="165"/>
      <c r="Z210" s="165"/>
      <c r="AA210" s="165"/>
    </row>
    <row r="211" outlineLevel="1">
      <c r="A211" s="205"/>
      <c r="B211" s="206">
        <v>45718.0</v>
      </c>
      <c r="C211" s="207" t="s">
        <v>32</v>
      </c>
      <c r="D211" s="208">
        <v>2124.65</v>
      </c>
      <c r="E211" s="209"/>
      <c r="F211" s="210">
        <v>10.0</v>
      </c>
      <c r="G211" s="210">
        <v>12.0</v>
      </c>
      <c r="H211" s="211">
        <f t="shared" si="1"/>
        <v>0.8333333333</v>
      </c>
      <c r="I211" s="212">
        <f t="shared" si="2"/>
        <v>212.465</v>
      </c>
      <c r="J211" s="330">
        <f t="shared" si="3"/>
        <v>254.958</v>
      </c>
      <c r="K211" s="381">
        <v>305.72</v>
      </c>
      <c r="L211" s="214">
        <v>56518.0</v>
      </c>
      <c r="M211" s="214">
        <v>0.0</v>
      </c>
      <c r="N211" s="333">
        <v>0.0</v>
      </c>
      <c r="O211" s="216" t="str">
        <f t="shared" si="53"/>
        <v>#DIV/0!</v>
      </c>
      <c r="P211" s="217">
        <f t="shared" si="5"/>
        <v>0</v>
      </c>
      <c r="Q211" s="216">
        <f t="shared" si="6"/>
        <v>0.1438919351</v>
      </c>
      <c r="R211" s="315">
        <f t="shared" si="7"/>
        <v>0</v>
      </c>
      <c r="S211" s="316">
        <f t="shared" ref="S211:S227" si="57">D211-N211</f>
        <v>2124.65</v>
      </c>
      <c r="T211" s="317" t="str">
        <f t="shared" si="9"/>
        <v>#DIV/0!</v>
      </c>
      <c r="U211" s="221"/>
      <c r="V211" s="221"/>
      <c r="W211" s="221"/>
      <c r="X211" s="221"/>
      <c r="Y211" s="14"/>
      <c r="Z211" s="78"/>
      <c r="AA211" s="78"/>
    </row>
    <row r="212" outlineLevel="1">
      <c r="A212" s="205"/>
      <c r="B212" s="206"/>
      <c r="C212" s="207" t="s">
        <v>33</v>
      </c>
      <c r="D212" s="223">
        <v>1062.04</v>
      </c>
      <c r="E212" s="209"/>
      <c r="F212" s="210">
        <v>26.0</v>
      </c>
      <c r="G212" s="210">
        <v>31.0</v>
      </c>
      <c r="H212" s="211">
        <f t="shared" si="1"/>
        <v>0.8387096774</v>
      </c>
      <c r="I212" s="212">
        <f t="shared" si="2"/>
        <v>40.84769231</v>
      </c>
      <c r="J212" s="330">
        <f t="shared" si="3"/>
        <v>48.70301775</v>
      </c>
      <c r="K212" s="334">
        <v>321.68</v>
      </c>
      <c r="L212" s="214">
        <v>121286.0</v>
      </c>
      <c r="M212" s="214">
        <v>8.0</v>
      </c>
      <c r="N212" s="215">
        <v>313.65</v>
      </c>
      <c r="O212" s="216">
        <f t="shared" si="53"/>
        <v>1.025601785</v>
      </c>
      <c r="P212" s="217">
        <f t="shared" si="5"/>
        <v>0.9750373042</v>
      </c>
      <c r="Q212" s="216">
        <f t="shared" si="6"/>
        <v>0.3028887801</v>
      </c>
      <c r="R212" s="315">
        <f t="shared" si="7"/>
        <v>0.2953278596</v>
      </c>
      <c r="S212" s="318">
        <f t="shared" si="57"/>
        <v>748.39</v>
      </c>
      <c r="T212" s="317">
        <f t="shared" si="9"/>
        <v>40.21</v>
      </c>
      <c r="U212" s="221"/>
      <c r="V212" s="221"/>
      <c r="W212" s="221"/>
      <c r="X212" s="221"/>
      <c r="Y212" s="14"/>
      <c r="Z212" s="78"/>
      <c r="AA212" s="78"/>
    </row>
    <row r="213" outlineLevel="1">
      <c r="A213" s="205"/>
      <c r="B213" s="206"/>
      <c r="C213" s="207" t="s">
        <v>34</v>
      </c>
      <c r="D213" s="335">
        <v>0.0</v>
      </c>
      <c r="E213" s="209"/>
      <c r="F213" s="210">
        <v>0.0</v>
      </c>
      <c r="G213" s="210">
        <v>0.0</v>
      </c>
      <c r="H213" s="211" t="str">
        <f t="shared" si="1"/>
        <v>#DIV/0!</v>
      </c>
      <c r="I213" s="212" t="str">
        <f t="shared" si="2"/>
        <v>#DIV/0!</v>
      </c>
      <c r="J213" s="330" t="str">
        <f t="shared" si="3"/>
        <v>#DIV/0!</v>
      </c>
      <c r="K213" s="336">
        <v>12.86</v>
      </c>
      <c r="L213" s="214">
        <v>129.0</v>
      </c>
      <c r="M213" s="214">
        <v>0.0</v>
      </c>
      <c r="N213" s="337">
        <v>0.0</v>
      </c>
      <c r="O213" s="216" t="str">
        <f>(K213/N213)</f>
        <v>#DIV/0!</v>
      </c>
      <c r="P213" s="217">
        <f t="shared" si="5"/>
        <v>0</v>
      </c>
      <c r="Q213" s="216" t="str">
        <f t="shared" si="6"/>
        <v>#DIV/0!</v>
      </c>
      <c r="R213" s="315" t="str">
        <f t="shared" si="7"/>
        <v>#DIV/0!</v>
      </c>
      <c r="S213" s="319">
        <f t="shared" si="57"/>
        <v>0</v>
      </c>
      <c r="T213" s="317" t="str">
        <f t="shared" si="9"/>
        <v>#DIV/0!</v>
      </c>
      <c r="U213" s="221"/>
      <c r="V213" s="221"/>
      <c r="W213" s="221"/>
      <c r="X213" s="221"/>
      <c r="Y213" s="14"/>
      <c r="Z213" s="78"/>
      <c r="AA213" s="78"/>
    </row>
    <row r="214" outlineLevel="1">
      <c r="A214" s="205"/>
      <c r="B214" s="206"/>
      <c r="C214" s="207" t="s">
        <v>35</v>
      </c>
      <c r="D214" s="335">
        <v>485.55</v>
      </c>
      <c r="E214" s="209"/>
      <c r="F214" s="210">
        <v>9.0</v>
      </c>
      <c r="G214" s="210">
        <v>10.0</v>
      </c>
      <c r="H214" s="211">
        <f t="shared" si="1"/>
        <v>0.9</v>
      </c>
      <c r="I214" s="212">
        <f t="shared" si="2"/>
        <v>53.95</v>
      </c>
      <c r="J214" s="330">
        <f t="shared" si="3"/>
        <v>59.94444444</v>
      </c>
      <c r="K214" s="336">
        <v>97.44</v>
      </c>
      <c r="L214" s="214">
        <v>10370.0</v>
      </c>
      <c r="M214" s="214">
        <v>8.0</v>
      </c>
      <c r="N214" s="337">
        <v>431.6</v>
      </c>
      <c r="O214" s="216">
        <f t="shared" ref="O214:O230" si="58">K214/N214</f>
        <v>0.2257645968</v>
      </c>
      <c r="P214" s="217">
        <f t="shared" si="5"/>
        <v>4.429392447</v>
      </c>
      <c r="Q214" s="216">
        <f t="shared" si="6"/>
        <v>0.2006796416</v>
      </c>
      <c r="R214" s="315">
        <f t="shared" si="7"/>
        <v>0.8888888889</v>
      </c>
      <c r="S214" s="319">
        <f t="shared" si="57"/>
        <v>53.95</v>
      </c>
      <c r="T214" s="317">
        <f t="shared" si="9"/>
        <v>12.18</v>
      </c>
      <c r="U214" s="221"/>
      <c r="V214" s="221"/>
      <c r="W214" s="221"/>
      <c r="X214" s="221"/>
      <c r="Y214" s="14"/>
      <c r="Z214" s="78"/>
      <c r="AA214" s="78"/>
    </row>
    <row r="215" outlineLevel="1">
      <c r="A215" s="205"/>
      <c r="B215" s="206"/>
      <c r="C215" s="207" t="s">
        <v>65</v>
      </c>
      <c r="D215" s="320">
        <v>312.0</v>
      </c>
      <c r="E215" s="209"/>
      <c r="F215" s="210">
        <v>8.0</v>
      </c>
      <c r="G215" s="210">
        <v>4.0</v>
      </c>
      <c r="H215" s="211">
        <f t="shared" si="1"/>
        <v>2</v>
      </c>
      <c r="I215" s="212">
        <f t="shared" si="2"/>
        <v>39</v>
      </c>
      <c r="J215" s="330">
        <f t="shared" si="3"/>
        <v>19.5</v>
      </c>
      <c r="K215" s="320">
        <v>0.0</v>
      </c>
      <c r="L215" s="214">
        <v>0.0</v>
      </c>
      <c r="M215" s="214">
        <v>0.0</v>
      </c>
      <c r="N215" s="320">
        <v>0.0</v>
      </c>
      <c r="O215" s="216" t="str">
        <f t="shared" si="58"/>
        <v>#DIV/0!</v>
      </c>
      <c r="P215" s="217" t="str">
        <f t="shared" si="5"/>
        <v>#DIV/0!</v>
      </c>
      <c r="Q215" s="216">
        <f t="shared" si="6"/>
        <v>0</v>
      </c>
      <c r="R215" s="315">
        <f t="shared" si="7"/>
        <v>0</v>
      </c>
      <c r="S215" s="319">
        <f t="shared" si="57"/>
        <v>312</v>
      </c>
      <c r="T215" s="317" t="str">
        <f t="shared" si="9"/>
        <v>#DIV/0!</v>
      </c>
      <c r="U215" s="221"/>
      <c r="V215" s="221"/>
      <c r="W215" s="221"/>
      <c r="X215" s="221"/>
      <c r="Y215" s="14"/>
      <c r="Z215" s="78"/>
      <c r="AA215" s="78"/>
    </row>
    <row r="216" outlineLevel="1">
      <c r="A216" s="205"/>
      <c r="B216" s="206"/>
      <c r="C216" s="207" t="s">
        <v>85</v>
      </c>
      <c r="D216" s="338">
        <v>844.35</v>
      </c>
      <c r="E216" s="209"/>
      <c r="F216" s="210">
        <v>13.0</v>
      </c>
      <c r="G216" s="210">
        <v>8.0</v>
      </c>
      <c r="H216" s="211">
        <f t="shared" si="1"/>
        <v>1.625</v>
      </c>
      <c r="I216" s="212">
        <f t="shared" si="2"/>
        <v>64.95</v>
      </c>
      <c r="J216" s="330">
        <f t="shared" si="3"/>
        <v>39.96923077</v>
      </c>
      <c r="K216" s="339">
        <v>20.46</v>
      </c>
      <c r="L216" s="214">
        <v>1753.0</v>
      </c>
      <c r="M216" s="214">
        <v>8.0</v>
      </c>
      <c r="N216" s="340">
        <v>519.6</v>
      </c>
      <c r="O216" s="216">
        <f t="shared" si="58"/>
        <v>0.03937644342</v>
      </c>
      <c r="P216" s="217">
        <f t="shared" si="5"/>
        <v>25.39589443</v>
      </c>
      <c r="Q216" s="216">
        <f t="shared" si="6"/>
        <v>0.02423165749</v>
      </c>
      <c r="R216" s="315">
        <f t="shared" si="7"/>
        <v>0.6153846154</v>
      </c>
      <c r="S216" s="323">
        <f t="shared" si="57"/>
        <v>324.75</v>
      </c>
      <c r="T216" s="317">
        <f t="shared" si="9"/>
        <v>2.5575</v>
      </c>
      <c r="U216" s="221"/>
      <c r="V216" s="221"/>
      <c r="W216" s="221"/>
      <c r="X216" s="221"/>
      <c r="Y216" s="14"/>
      <c r="Z216" s="78"/>
      <c r="AA216" s="78"/>
    </row>
    <row r="217" outlineLevel="1">
      <c r="A217" s="205"/>
      <c r="B217" s="206"/>
      <c r="C217" s="207" t="s">
        <v>36</v>
      </c>
      <c r="D217" s="335">
        <v>479.65</v>
      </c>
      <c r="E217" s="209"/>
      <c r="F217" s="210">
        <v>7.0</v>
      </c>
      <c r="G217" s="210">
        <v>7.0</v>
      </c>
      <c r="H217" s="211">
        <f t="shared" si="1"/>
        <v>1</v>
      </c>
      <c r="I217" s="212">
        <f t="shared" si="2"/>
        <v>68.52142857</v>
      </c>
      <c r="J217" s="330">
        <f t="shared" si="3"/>
        <v>68.52142857</v>
      </c>
      <c r="K217" s="336">
        <v>74.83</v>
      </c>
      <c r="L217" s="214">
        <v>7026.0</v>
      </c>
      <c r="M217" s="214">
        <v>5.0</v>
      </c>
      <c r="N217" s="337">
        <v>349.75</v>
      </c>
      <c r="O217" s="216">
        <f t="shared" si="58"/>
        <v>0.2139528234</v>
      </c>
      <c r="P217" s="217">
        <f t="shared" si="5"/>
        <v>4.673927569</v>
      </c>
      <c r="Q217" s="216">
        <f t="shared" si="6"/>
        <v>0.1560095903</v>
      </c>
      <c r="R217" s="315">
        <f t="shared" si="7"/>
        <v>0.7291775253</v>
      </c>
      <c r="S217" s="319">
        <f t="shared" si="57"/>
        <v>129.9</v>
      </c>
      <c r="T217" s="317">
        <f t="shared" si="9"/>
        <v>14.966</v>
      </c>
      <c r="U217" s="221"/>
      <c r="V217" s="221"/>
      <c r="W217" s="221"/>
      <c r="X217" s="221"/>
      <c r="Y217" s="14"/>
      <c r="Z217" s="78"/>
      <c r="AA217" s="78"/>
    </row>
    <row r="218" outlineLevel="1">
      <c r="A218" s="205"/>
      <c r="B218" s="324" t="s">
        <v>37</v>
      </c>
      <c r="C218" s="207" t="s">
        <v>38</v>
      </c>
      <c r="D218" s="341">
        <v>729.76</v>
      </c>
      <c r="E218" s="209"/>
      <c r="F218" s="210">
        <v>14.0</v>
      </c>
      <c r="G218" s="210">
        <v>14.0</v>
      </c>
      <c r="H218" s="211">
        <f t="shared" si="1"/>
        <v>1</v>
      </c>
      <c r="I218" s="212">
        <f t="shared" si="2"/>
        <v>52.12571429</v>
      </c>
      <c r="J218" s="330">
        <f t="shared" si="3"/>
        <v>52.12571429</v>
      </c>
      <c r="K218" s="342">
        <v>180.09</v>
      </c>
      <c r="L218" s="214">
        <v>16568.0</v>
      </c>
      <c r="M218" s="214">
        <v>6.0</v>
      </c>
      <c r="N218" s="343">
        <v>194.01</v>
      </c>
      <c r="O218" s="216">
        <f t="shared" si="58"/>
        <v>0.9282511211</v>
      </c>
      <c r="P218" s="217">
        <f t="shared" si="5"/>
        <v>1.077294686</v>
      </c>
      <c r="Q218" s="216">
        <f t="shared" si="6"/>
        <v>0.2467797632</v>
      </c>
      <c r="R218" s="315">
        <f t="shared" si="7"/>
        <v>0.2658545275</v>
      </c>
      <c r="S218" s="325">
        <f t="shared" si="57"/>
        <v>535.75</v>
      </c>
      <c r="T218" s="317">
        <f t="shared" si="9"/>
        <v>30.015</v>
      </c>
      <c r="U218" s="221"/>
      <c r="V218" s="221"/>
      <c r="W218" s="221"/>
      <c r="X218" s="221"/>
      <c r="Y218" s="14"/>
      <c r="Z218" s="78"/>
      <c r="AA218" s="78"/>
    </row>
    <row r="219" outlineLevel="1">
      <c r="A219" s="205"/>
      <c r="B219" s="206"/>
      <c r="C219" s="207" t="s">
        <v>39</v>
      </c>
      <c r="D219" s="344">
        <v>399.8</v>
      </c>
      <c r="E219" s="209"/>
      <c r="F219" s="210">
        <v>4.0</v>
      </c>
      <c r="G219" s="210">
        <v>4.0</v>
      </c>
      <c r="H219" s="211">
        <f t="shared" si="1"/>
        <v>1</v>
      </c>
      <c r="I219" s="212">
        <f t="shared" si="2"/>
        <v>99.95</v>
      </c>
      <c r="J219" s="330">
        <f t="shared" si="3"/>
        <v>99.95</v>
      </c>
      <c r="K219" s="345">
        <v>109.23</v>
      </c>
      <c r="L219" s="214">
        <v>38575.0</v>
      </c>
      <c r="M219" s="214">
        <v>0.0</v>
      </c>
      <c r="N219" s="346">
        <v>0.0</v>
      </c>
      <c r="O219" s="216" t="str">
        <f t="shared" si="58"/>
        <v>#DIV/0!</v>
      </c>
      <c r="P219" s="217">
        <f t="shared" si="5"/>
        <v>0</v>
      </c>
      <c r="Q219" s="216">
        <f t="shared" si="6"/>
        <v>0.2732116058</v>
      </c>
      <c r="R219" s="315">
        <f t="shared" si="7"/>
        <v>0</v>
      </c>
      <c r="S219" s="326">
        <f t="shared" si="57"/>
        <v>399.8</v>
      </c>
      <c r="T219" s="317" t="str">
        <f t="shared" si="9"/>
        <v>#DIV/0!</v>
      </c>
      <c r="U219" s="221"/>
      <c r="V219" s="221"/>
      <c r="W219" s="221"/>
      <c r="X219" s="221"/>
      <c r="Y219" s="14"/>
      <c r="Z219" s="78"/>
      <c r="AA219" s="78"/>
    </row>
    <row r="220" outlineLevel="1">
      <c r="A220" s="205"/>
      <c r="B220" s="206"/>
      <c r="C220" s="207" t="s">
        <v>40</v>
      </c>
      <c r="D220" s="347">
        <v>54.95</v>
      </c>
      <c r="E220" s="209"/>
      <c r="F220" s="210">
        <v>1.0</v>
      </c>
      <c r="G220" s="210">
        <v>1.0</v>
      </c>
      <c r="H220" s="211">
        <f t="shared" si="1"/>
        <v>1</v>
      </c>
      <c r="I220" s="212">
        <f t="shared" si="2"/>
        <v>54.95</v>
      </c>
      <c r="J220" s="330">
        <f t="shared" si="3"/>
        <v>54.95</v>
      </c>
      <c r="K220" s="348">
        <v>0.0</v>
      </c>
      <c r="L220" s="214">
        <v>0.0</v>
      </c>
      <c r="M220" s="214">
        <v>0.0</v>
      </c>
      <c r="N220" s="349">
        <v>0.0</v>
      </c>
      <c r="O220" s="216" t="str">
        <f t="shared" si="58"/>
        <v>#DIV/0!</v>
      </c>
      <c r="P220" s="217" t="str">
        <f t="shared" si="5"/>
        <v>#DIV/0!</v>
      </c>
      <c r="Q220" s="216">
        <f t="shared" si="6"/>
        <v>0</v>
      </c>
      <c r="R220" s="315">
        <f t="shared" si="7"/>
        <v>0</v>
      </c>
      <c r="S220" s="327">
        <f t="shared" si="57"/>
        <v>54.95</v>
      </c>
      <c r="T220" s="317" t="str">
        <f t="shared" si="9"/>
        <v>#DIV/0!</v>
      </c>
      <c r="U220" s="221"/>
      <c r="V220" s="221"/>
      <c r="W220" s="221"/>
      <c r="X220" s="221"/>
      <c r="Y220" s="14"/>
      <c r="Z220" s="78"/>
      <c r="AA220" s="78"/>
    </row>
    <row r="221" outlineLevel="1">
      <c r="A221" s="205"/>
      <c r="B221" s="206"/>
      <c r="C221" s="207" t="s">
        <v>41</v>
      </c>
      <c r="D221" s="224">
        <v>122.0</v>
      </c>
      <c r="E221" s="209"/>
      <c r="F221" s="210">
        <v>2.0</v>
      </c>
      <c r="G221" s="210">
        <v>1.0</v>
      </c>
      <c r="H221" s="211">
        <f t="shared" si="1"/>
        <v>2</v>
      </c>
      <c r="I221" s="212">
        <f t="shared" si="2"/>
        <v>61</v>
      </c>
      <c r="J221" s="330">
        <f t="shared" si="3"/>
        <v>30.5</v>
      </c>
      <c r="K221" s="350">
        <v>8.81</v>
      </c>
      <c r="L221" s="214">
        <v>1185.0</v>
      </c>
      <c r="M221" s="214">
        <v>1.0</v>
      </c>
      <c r="N221" s="225">
        <v>67.0</v>
      </c>
      <c r="O221" s="216">
        <f t="shared" si="58"/>
        <v>0.1314925373</v>
      </c>
      <c r="P221" s="217">
        <f t="shared" si="5"/>
        <v>7.604994325</v>
      </c>
      <c r="Q221" s="216">
        <f t="shared" si="6"/>
        <v>0.07221311475</v>
      </c>
      <c r="R221" s="315">
        <f t="shared" si="7"/>
        <v>0.5491803279</v>
      </c>
      <c r="S221" s="351">
        <f t="shared" si="57"/>
        <v>55</v>
      </c>
      <c r="T221" s="317">
        <f t="shared" si="9"/>
        <v>8.81</v>
      </c>
      <c r="U221" s="221"/>
      <c r="V221" s="221"/>
      <c r="W221" s="221"/>
      <c r="X221" s="221"/>
      <c r="Y221" s="14"/>
      <c r="Z221" s="78"/>
      <c r="AA221" s="78"/>
    </row>
    <row r="222" outlineLevel="1">
      <c r="A222" s="205"/>
      <c r="B222" s="206"/>
      <c r="C222" s="207" t="s">
        <v>42</v>
      </c>
      <c r="D222" s="335">
        <v>19.99</v>
      </c>
      <c r="E222" s="209"/>
      <c r="F222" s="210">
        <v>1.0</v>
      </c>
      <c r="G222" s="210">
        <v>1.0</v>
      </c>
      <c r="H222" s="211">
        <f t="shared" si="1"/>
        <v>1</v>
      </c>
      <c r="I222" s="212">
        <f t="shared" si="2"/>
        <v>19.99</v>
      </c>
      <c r="J222" s="330">
        <f t="shared" si="3"/>
        <v>19.99</v>
      </c>
      <c r="K222" s="336">
        <v>9.5</v>
      </c>
      <c r="L222" s="214">
        <v>18007.0</v>
      </c>
      <c r="M222" s="214">
        <v>2.0</v>
      </c>
      <c r="N222" s="337">
        <v>39.98</v>
      </c>
      <c r="O222" s="216">
        <f t="shared" si="58"/>
        <v>0.2376188094</v>
      </c>
      <c r="P222" s="217">
        <f t="shared" si="5"/>
        <v>4.208421053</v>
      </c>
      <c r="Q222" s="216">
        <f t="shared" si="6"/>
        <v>0.4752376188</v>
      </c>
      <c r="R222" s="315">
        <f t="shared" si="7"/>
        <v>2</v>
      </c>
      <c r="S222" s="319">
        <f t="shared" si="57"/>
        <v>-19.99</v>
      </c>
      <c r="T222" s="317">
        <f t="shared" si="9"/>
        <v>4.75</v>
      </c>
      <c r="U222" s="221"/>
      <c r="V222" s="221"/>
      <c r="W222" s="221"/>
      <c r="X222" s="221"/>
      <c r="Y222" s="14"/>
      <c r="Z222" s="78"/>
      <c r="AA222" s="78"/>
    </row>
    <row r="223" outlineLevel="1">
      <c r="A223" s="205"/>
      <c r="B223" s="206"/>
      <c r="C223" s="207" t="s">
        <v>43</v>
      </c>
      <c r="D223" s="226">
        <v>0.0</v>
      </c>
      <c r="E223" s="209"/>
      <c r="F223" s="210">
        <v>0.0</v>
      </c>
      <c r="G223" s="210">
        <v>0.0</v>
      </c>
      <c r="H223" s="211" t="str">
        <f t="shared" si="1"/>
        <v>#DIV/0!</v>
      </c>
      <c r="I223" s="212" t="str">
        <f t="shared" si="2"/>
        <v>#DIV/0!</v>
      </c>
      <c r="J223" s="330" t="str">
        <f t="shared" si="3"/>
        <v>#DIV/0!</v>
      </c>
      <c r="K223" s="352">
        <v>22.1</v>
      </c>
      <c r="L223" s="214">
        <v>25445.0</v>
      </c>
      <c r="M223" s="214">
        <v>0.0</v>
      </c>
      <c r="N223" s="227">
        <v>0.0</v>
      </c>
      <c r="O223" s="216" t="str">
        <f t="shared" si="58"/>
        <v>#DIV/0!</v>
      </c>
      <c r="P223" s="217">
        <f t="shared" si="5"/>
        <v>0</v>
      </c>
      <c r="Q223" s="216" t="str">
        <f t="shared" si="6"/>
        <v>#DIV/0!</v>
      </c>
      <c r="R223" s="315" t="str">
        <f t="shared" si="7"/>
        <v>#DIV/0!</v>
      </c>
      <c r="S223" s="328">
        <f t="shared" si="57"/>
        <v>0</v>
      </c>
      <c r="T223" s="317" t="str">
        <f t="shared" si="9"/>
        <v>#DIV/0!</v>
      </c>
      <c r="U223" s="221"/>
      <c r="V223" s="221"/>
      <c r="W223" s="221"/>
      <c r="X223" s="221"/>
      <c r="Y223" s="14"/>
      <c r="Z223" s="78"/>
      <c r="AA223" s="78"/>
    </row>
    <row r="224" outlineLevel="1">
      <c r="A224" s="205"/>
      <c r="B224" s="206"/>
      <c r="C224" s="207" t="s">
        <v>44</v>
      </c>
      <c r="D224" s="353">
        <v>59.95</v>
      </c>
      <c r="E224" s="209"/>
      <c r="F224" s="210">
        <v>1.0</v>
      </c>
      <c r="G224" s="210">
        <v>1.0</v>
      </c>
      <c r="H224" s="211">
        <f t="shared" si="1"/>
        <v>1</v>
      </c>
      <c r="I224" s="212">
        <f t="shared" si="2"/>
        <v>59.95</v>
      </c>
      <c r="J224" s="330">
        <f t="shared" si="3"/>
        <v>59.95</v>
      </c>
      <c r="K224" s="354">
        <v>21.31</v>
      </c>
      <c r="L224" s="214">
        <v>8535.0</v>
      </c>
      <c r="M224" s="214">
        <v>0.0</v>
      </c>
      <c r="N224" s="355">
        <v>0.0</v>
      </c>
      <c r="O224" s="216" t="str">
        <f t="shared" si="58"/>
        <v>#DIV/0!</v>
      </c>
      <c r="P224" s="217">
        <f t="shared" si="5"/>
        <v>0</v>
      </c>
      <c r="Q224" s="216">
        <f t="shared" si="6"/>
        <v>0.3554628857</v>
      </c>
      <c r="R224" s="315">
        <f t="shared" si="7"/>
        <v>0</v>
      </c>
      <c r="S224" s="356">
        <f t="shared" si="57"/>
        <v>59.95</v>
      </c>
      <c r="T224" s="317" t="str">
        <f t="shared" si="9"/>
        <v>#DIV/0!</v>
      </c>
      <c r="U224" s="221"/>
      <c r="V224" s="221"/>
      <c r="W224" s="221"/>
      <c r="X224" s="221"/>
      <c r="Y224" s="14"/>
      <c r="Z224" s="78"/>
      <c r="AA224" s="78"/>
    </row>
    <row r="225" outlineLevel="1">
      <c r="A225" s="357"/>
      <c r="B225" s="206"/>
      <c r="C225" s="358" t="s">
        <v>45</v>
      </c>
      <c r="D225" s="208">
        <v>19.95</v>
      </c>
      <c r="E225" s="209"/>
      <c r="F225" s="210">
        <v>1.0</v>
      </c>
      <c r="G225" s="210">
        <v>1.0</v>
      </c>
      <c r="H225" s="104">
        <f t="shared" si="1"/>
        <v>1</v>
      </c>
      <c r="I225" s="105">
        <f t="shared" si="2"/>
        <v>19.95</v>
      </c>
      <c r="J225" s="106">
        <f t="shared" si="3"/>
        <v>19.95</v>
      </c>
      <c r="K225" s="331">
        <v>0.0</v>
      </c>
      <c r="L225" s="214">
        <v>0.0</v>
      </c>
      <c r="M225" s="214">
        <v>0.0</v>
      </c>
      <c r="N225" s="333">
        <v>0.0</v>
      </c>
      <c r="O225" s="109" t="str">
        <f t="shared" si="58"/>
        <v>#DIV/0!</v>
      </c>
      <c r="P225" s="110" t="str">
        <f t="shared" si="5"/>
        <v>#DIV/0!</v>
      </c>
      <c r="Q225" s="109">
        <f t="shared" si="6"/>
        <v>0</v>
      </c>
      <c r="R225" s="111">
        <f t="shared" si="7"/>
        <v>0</v>
      </c>
      <c r="S225" s="112">
        <f t="shared" si="57"/>
        <v>19.95</v>
      </c>
      <c r="T225" s="113" t="str">
        <f t="shared" si="9"/>
        <v>#DIV/0!</v>
      </c>
      <c r="U225" s="193"/>
      <c r="V225" s="193"/>
      <c r="W225" s="193"/>
      <c r="X225" s="194"/>
      <c r="Y225" s="195"/>
      <c r="Z225" s="78"/>
      <c r="AA225" s="78"/>
    </row>
    <row r="226" outlineLevel="1">
      <c r="A226" s="310"/>
      <c r="B226" s="99"/>
      <c r="C226" s="294" t="s">
        <v>46</v>
      </c>
      <c r="D226" s="196">
        <v>655.86</v>
      </c>
      <c r="E226" s="168"/>
      <c r="F226" s="169">
        <v>20.0</v>
      </c>
      <c r="G226" s="169">
        <v>20.0</v>
      </c>
      <c r="H226" s="104">
        <f t="shared" si="1"/>
        <v>1</v>
      </c>
      <c r="I226" s="105">
        <f t="shared" si="2"/>
        <v>32.793</v>
      </c>
      <c r="J226" s="106">
        <f t="shared" si="3"/>
        <v>32.793</v>
      </c>
      <c r="K226" s="196">
        <v>77.16</v>
      </c>
      <c r="L226" s="169">
        <v>34502.0</v>
      </c>
      <c r="M226" s="169">
        <v>7.0</v>
      </c>
      <c r="N226" s="197">
        <v>251.72</v>
      </c>
      <c r="O226" s="109">
        <f t="shared" si="58"/>
        <v>0.3065310663</v>
      </c>
      <c r="P226" s="110">
        <f t="shared" si="5"/>
        <v>3.262312079</v>
      </c>
      <c r="Q226" s="109">
        <f t="shared" si="6"/>
        <v>0.1176470588</v>
      </c>
      <c r="R226" s="111">
        <f t="shared" si="7"/>
        <v>0.383801421</v>
      </c>
      <c r="S226" s="112">
        <f t="shared" si="57"/>
        <v>404.14</v>
      </c>
      <c r="T226" s="113">
        <f t="shared" si="9"/>
        <v>11.02285714</v>
      </c>
      <c r="U226" s="172"/>
      <c r="V226" s="172"/>
      <c r="W226" s="172"/>
      <c r="X226" s="172"/>
      <c r="Y226" s="173"/>
      <c r="Z226" s="165"/>
      <c r="AA226" s="165"/>
    </row>
    <row r="227" outlineLevel="1">
      <c r="A227" s="205" t="str">
        <f t="shared" ref="A227:A228" si="59">iferror(if(B227&gt;0,month(B227)&amp;"-"&amp;year(B227),B227),)</f>
        <v>3-2025</v>
      </c>
      <c r="B227" s="206">
        <v>45724.0</v>
      </c>
      <c r="C227" s="207" t="s">
        <v>49</v>
      </c>
      <c r="D227" s="329">
        <v>0.0</v>
      </c>
      <c r="E227" s="209"/>
      <c r="F227" s="210">
        <v>0.0</v>
      </c>
      <c r="G227" s="210">
        <v>0.0</v>
      </c>
      <c r="H227" s="211" t="str">
        <f t="shared" si="1"/>
        <v>#DIV/0!</v>
      </c>
      <c r="I227" s="212" t="str">
        <f t="shared" si="2"/>
        <v>#DIV/0!</v>
      </c>
      <c r="J227" s="330" t="str">
        <f t="shared" si="3"/>
        <v>#DIV/0!</v>
      </c>
      <c r="K227" s="359">
        <v>3.67</v>
      </c>
      <c r="L227" s="214">
        <v>7711.0</v>
      </c>
      <c r="M227" s="214">
        <v>0.0</v>
      </c>
      <c r="N227" s="360">
        <v>0.0</v>
      </c>
      <c r="O227" s="216" t="str">
        <f t="shared" si="58"/>
        <v>#DIV/0!</v>
      </c>
      <c r="P227" s="217">
        <f t="shared" si="5"/>
        <v>0</v>
      </c>
      <c r="Q227" s="216" t="str">
        <f t="shared" si="6"/>
        <v>#DIV/0!</v>
      </c>
      <c r="R227" s="315" t="str">
        <f t="shared" si="7"/>
        <v>#DIV/0!</v>
      </c>
      <c r="S227" s="316">
        <f t="shared" si="57"/>
        <v>0</v>
      </c>
      <c r="T227" s="317" t="str">
        <f t="shared" si="9"/>
        <v>#DIV/0!</v>
      </c>
      <c r="U227" s="221"/>
      <c r="V227" s="221"/>
      <c r="W227" s="221"/>
      <c r="X227" s="221"/>
      <c r="Y227" s="14"/>
      <c r="Z227" s="78"/>
      <c r="AA227" s="78"/>
    </row>
    <row r="228">
      <c r="A228" s="382" t="str">
        <f t="shared" si="59"/>
        <v/>
      </c>
      <c r="B228" s="383" t="s">
        <v>97</v>
      </c>
      <c r="C228" s="384"/>
      <c r="D228" s="385">
        <f>SUM(D211:D227)</f>
        <v>7370.5</v>
      </c>
      <c r="E228" s="386"/>
      <c r="F228" s="387">
        <f t="shared" ref="F228:G228" si="60">SUM(F211:F227)</f>
        <v>117</v>
      </c>
      <c r="G228" s="387">
        <f t="shared" si="60"/>
        <v>115</v>
      </c>
      <c r="H228" s="388">
        <f t="shared" si="1"/>
        <v>1.017391304</v>
      </c>
      <c r="I228" s="386">
        <f t="shared" si="2"/>
        <v>62.9957265</v>
      </c>
      <c r="J228" s="389">
        <f t="shared" si="3"/>
        <v>61.91887647</v>
      </c>
      <c r="K228" s="390">
        <f t="shared" ref="K228:N228" si="61">SUM(K211:K227)</f>
        <v>1264.86</v>
      </c>
      <c r="L228" s="387">
        <f t="shared" si="61"/>
        <v>347610</v>
      </c>
      <c r="M228" s="387">
        <f t="shared" si="61"/>
        <v>45</v>
      </c>
      <c r="N228" s="385">
        <f t="shared" si="61"/>
        <v>2167.31</v>
      </c>
      <c r="O228" s="391">
        <f t="shared" si="58"/>
        <v>0.5836082517</v>
      </c>
      <c r="P228" s="392">
        <f t="shared" si="5"/>
        <v>1.713478171</v>
      </c>
      <c r="Q228" s="391">
        <f t="shared" si="6"/>
        <v>0.1716111526</v>
      </c>
      <c r="R228" s="393">
        <f t="shared" si="7"/>
        <v>0.2940519639</v>
      </c>
      <c r="S228" s="394">
        <f>SUM(S211:S227)</f>
        <v>5203.19</v>
      </c>
      <c r="T228" s="395">
        <f t="shared" si="9"/>
        <v>28.108</v>
      </c>
      <c r="U228" s="396" t="str">
        <f>IFERROR((D228-#REF!)/D228,)</f>
        <v/>
      </c>
      <c r="V228" s="396" t="str">
        <f>IFERROR((F228-#REF!)/F228,)</f>
        <v/>
      </c>
      <c r="W228" s="396" t="str">
        <f>IFERROR((D228-monthly_reporting_2021!E49)/D228, )</f>
        <v/>
      </c>
      <c r="X228" s="397" t="str">
        <f>IFERROR((F228-monthly_reporting_2021!F49)/F228, )</f>
        <v/>
      </c>
      <c r="Y228" s="97"/>
      <c r="Z228" s="78"/>
      <c r="AA228" s="78"/>
    </row>
    <row r="229" hidden="1" outlineLevel="1">
      <c r="A229" s="205"/>
      <c r="B229" s="206">
        <v>45725.0</v>
      </c>
      <c r="C229" s="207" t="s">
        <v>32</v>
      </c>
      <c r="D229" s="208">
        <v>1856.83</v>
      </c>
      <c r="E229" s="209"/>
      <c r="F229" s="210">
        <v>7.0</v>
      </c>
      <c r="G229" s="210">
        <v>8.0</v>
      </c>
      <c r="H229" s="211">
        <f t="shared" si="1"/>
        <v>0.875</v>
      </c>
      <c r="I229" s="212">
        <f t="shared" si="2"/>
        <v>265.2614286</v>
      </c>
      <c r="J229" s="330">
        <f t="shared" si="3"/>
        <v>303.1559184</v>
      </c>
      <c r="K229" s="381">
        <v>251.1</v>
      </c>
      <c r="L229" s="214">
        <v>41312.0</v>
      </c>
      <c r="M229" s="214">
        <v>2.0</v>
      </c>
      <c r="N229" s="333">
        <v>968.95</v>
      </c>
      <c r="O229" s="216">
        <f t="shared" si="58"/>
        <v>0.2591464988</v>
      </c>
      <c r="P229" s="217">
        <f t="shared" si="5"/>
        <v>3.858821187</v>
      </c>
      <c r="Q229" s="216">
        <f t="shared" si="6"/>
        <v>0.1352304734</v>
      </c>
      <c r="R229" s="315">
        <f t="shared" si="7"/>
        <v>0.521830216</v>
      </c>
      <c r="S229" s="316">
        <f t="shared" ref="S229:S245" si="62">D229-N229</f>
        <v>887.88</v>
      </c>
      <c r="T229" s="317">
        <f t="shared" si="9"/>
        <v>125.55</v>
      </c>
      <c r="U229" s="221"/>
      <c r="V229" s="221"/>
      <c r="W229" s="221"/>
      <c r="X229" s="221"/>
      <c r="Y229" s="14"/>
      <c r="Z229" s="78"/>
      <c r="AA229" s="78"/>
    </row>
    <row r="230" hidden="1" outlineLevel="1">
      <c r="A230" s="205"/>
      <c r="B230" s="206"/>
      <c r="C230" s="207" t="s">
        <v>33</v>
      </c>
      <c r="D230" s="223">
        <v>3258.7</v>
      </c>
      <c r="E230" s="209"/>
      <c r="F230" s="210">
        <v>35.0</v>
      </c>
      <c r="G230" s="210">
        <v>35.0</v>
      </c>
      <c r="H230" s="211">
        <f t="shared" si="1"/>
        <v>1</v>
      </c>
      <c r="I230" s="212">
        <f t="shared" si="2"/>
        <v>93.10571429</v>
      </c>
      <c r="J230" s="330">
        <f t="shared" si="3"/>
        <v>93.10571429</v>
      </c>
      <c r="K230" s="334">
        <v>326.98</v>
      </c>
      <c r="L230" s="214">
        <v>112697.0</v>
      </c>
      <c r="M230" s="214">
        <v>14.0</v>
      </c>
      <c r="N230" s="215">
        <v>804.55</v>
      </c>
      <c r="O230" s="216">
        <f t="shared" si="58"/>
        <v>0.4064135231</v>
      </c>
      <c r="P230" s="217">
        <f t="shared" si="5"/>
        <v>2.460548046</v>
      </c>
      <c r="Q230" s="216">
        <f t="shared" si="6"/>
        <v>0.1003406266</v>
      </c>
      <c r="R230" s="315">
        <f t="shared" si="7"/>
        <v>0.2468929328</v>
      </c>
      <c r="S230" s="318">
        <f t="shared" si="62"/>
        <v>2454.15</v>
      </c>
      <c r="T230" s="317">
        <f t="shared" si="9"/>
        <v>23.35571429</v>
      </c>
      <c r="U230" s="221"/>
      <c r="V230" s="221"/>
      <c r="W230" s="221"/>
      <c r="X230" s="221"/>
      <c r="Y230" s="14"/>
      <c r="Z230" s="78"/>
      <c r="AA230" s="78"/>
    </row>
    <row r="231" hidden="1" outlineLevel="1">
      <c r="A231" s="205"/>
      <c r="B231" s="206"/>
      <c r="C231" s="207" t="s">
        <v>34</v>
      </c>
      <c r="D231" s="335">
        <v>0.0</v>
      </c>
      <c r="E231" s="209"/>
      <c r="F231" s="210">
        <v>0.0</v>
      </c>
      <c r="G231" s="210">
        <v>0.0</v>
      </c>
      <c r="H231" s="211" t="str">
        <f t="shared" si="1"/>
        <v>#DIV/0!</v>
      </c>
      <c r="I231" s="212" t="str">
        <f t="shared" si="2"/>
        <v>#DIV/0!</v>
      </c>
      <c r="J231" s="330" t="str">
        <f t="shared" si="3"/>
        <v>#DIV/0!</v>
      </c>
      <c r="K231" s="336">
        <v>24.27</v>
      </c>
      <c r="L231" s="214">
        <v>151.0</v>
      </c>
      <c r="M231" s="214">
        <v>0.0</v>
      </c>
      <c r="N231" s="337">
        <v>0.0</v>
      </c>
      <c r="O231" s="216" t="str">
        <f>(K231/N231)</f>
        <v>#DIV/0!</v>
      </c>
      <c r="P231" s="217">
        <f t="shared" si="5"/>
        <v>0</v>
      </c>
      <c r="Q231" s="216" t="str">
        <f t="shared" si="6"/>
        <v>#DIV/0!</v>
      </c>
      <c r="R231" s="315" t="str">
        <f t="shared" si="7"/>
        <v>#DIV/0!</v>
      </c>
      <c r="S231" s="319">
        <f t="shared" si="62"/>
        <v>0</v>
      </c>
      <c r="T231" s="317" t="str">
        <f t="shared" si="9"/>
        <v>#DIV/0!</v>
      </c>
      <c r="U231" s="221"/>
      <c r="V231" s="221"/>
      <c r="W231" s="221"/>
      <c r="X231" s="221"/>
      <c r="Y231" s="14"/>
      <c r="Z231" s="78"/>
      <c r="AA231" s="78"/>
    </row>
    <row r="232" hidden="1" outlineLevel="1">
      <c r="A232" s="205"/>
      <c r="B232" s="206"/>
      <c r="C232" s="207" t="s">
        <v>35</v>
      </c>
      <c r="D232" s="335">
        <v>506.55</v>
      </c>
      <c r="E232" s="209"/>
      <c r="F232" s="210">
        <v>9.0</v>
      </c>
      <c r="G232" s="210">
        <v>8.0</v>
      </c>
      <c r="H232" s="211">
        <f t="shared" si="1"/>
        <v>1.125</v>
      </c>
      <c r="I232" s="212">
        <f t="shared" si="2"/>
        <v>56.28333333</v>
      </c>
      <c r="J232" s="330">
        <f t="shared" si="3"/>
        <v>50.02962963</v>
      </c>
      <c r="K232" s="336">
        <v>102.35</v>
      </c>
      <c r="L232" s="214">
        <v>9361.0</v>
      </c>
      <c r="M232" s="214">
        <v>3.0</v>
      </c>
      <c r="N232" s="337">
        <v>161.85</v>
      </c>
      <c r="O232" s="216">
        <f t="shared" ref="O232:O248" si="63">K232/N232</f>
        <v>0.6323756565</v>
      </c>
      <c r="P232" s="217">
        <f t="shared" si="5"/>
        <v>1.581338544</v>
      </c>
      <c r="Q232" s="216">
        <f t="shared" si="6"/>
        <v>0.2020531043</v>
      </c>
      <c r="R232" s="315">
        <f t="shared" si="7"/>
        <v>0.3195143619</v>
      </c>
      <c r="S232" s="319">
        <f t="shared" si="62"/>
        <v>344.7</v>
      </c>
      <c r="T232" s="317">
        <f t="shared" si="9"/>
        <v>34.11666667</v>
      </c>
      <c r="U232" s="221"/>
      <c r="V232" s="221"/>
      <c r="W232" s="221"/>
      <c r="X232" s="221"/>
      <c r="Y232" s="14"/>
      <c r="Z232" s="78"/>
      <c r="AA232" s="78"/>
    </row>
    <row r="233" hidden="1" outlineLevel="1">
      <c r="A233" s="205"/>
      <c r="B233" s="206"/>
      <c r="C233" s="207" t="s">
        <v>65</v>
      </c>
      <c r="D233" s="320">
        <v>78.0</v>
      </c>
      <c r="E233" s="209"/>
      <c r="F233" s="210">
        <v>2.0</v>
      </c>
      <c r="G233" s="210">
        <v>1.0</v>
      </c>
      <c r="H233" s="211">
        <f t="shared" si="1"/>
        <v>2</v>
      </c>
      <c r="I233" s="212">
        <f t="shared" si="2"/>
        <v>39</v>
      </c>
      <c r="J233" s="330">
        <f t="shared" si="3"/>
        <v>19.5</v>
      </c>
      <c r="K233" s="320">
        <v>0.0</v>
      </c>
      <c r="L233" s="214">
        <v>0.0</v>
      </c>
      <c r="M233" s="214">
        <v>0.0</v>
      </c>
      <c r="N233" s="320">
        <v>0.0</v>
      </c>
      <c r="O233" s="216" t="str">
        <f t="shared" si="63"/>
        <v>#DIV/0!</v>
      </c>
      <c r="P233" s="217" t="str">
        <f t="shared" si="5"/>
        <v>#DIV/0!</v>
      </c>
      <c r="Q233" s="216">
        <f t="shared" si="6"/>
        <v>0</v>
      </c>
      <c r="R233" s="315">
        <f t="shared" si="7"/>
        <v>0</v>
      </c>
      <c r="S233" s="319">
        <f t="shared" si="62"/>
        <v>78</v>
      </c>
      <c r="T233" s="317" t="str">
        <f t="shared" si="9"/>
        <v>#DIV/0!</v>
      </c>
      <c r="U233" s="221"/>
      <c r="V233" s="221"/>
      <c r="W233" s="221"/>
      <c r="X233" s="221"/>
      <c r="Y233" s="14"/>
      <c r="Z233" s="78"/>
      <c r="AA233" s="78"/>
    </row>
    <row r="234" hidden="1" outlineLevel="1">
      <c r="A234" s="205"/>
      <c r="B234" s="206"/>
      <c r="C234" s="207" t="s">
        <v>85</v>
      </c>
      <c r="D234" s="338">
        <v>0.0</v>
      </c>
      <c r="E234" s="209"/>
      <c r="F234" s="210">
        <v>0.0</v>
      </c>
      <c r="G234" s="210">
        <v>0.0</v>
      </c>
      <c r="H234" s="211" t="str">
        <f t="shared" si="1"/>
        <v>#DIV/0!</v>
      </c>
      <c r="I234" s="212" t="str">
        <f t="shared" si="2"/>
        <v>#DIV/0!</v>
      </c>
      <c r="J234" s="330" t="str">
        <f t="shared" si="3"/>
        <v>#DIV/0!</v>
      </c>
      <c r="K234" s="339">
        <v>0.0</v>
      </c>
      <c r="L234" s="214">
        <v>0.0</v>
      </c>
      <c r="M234" s="214">
        <v>0.0</v>
      </c>
      <c r="N234" s="340">
        <v>0.0</v>
      </c>
      <c r="O234" s="216" t="str">
        <f t="shared" si="63"/>
        <v>#DIV/0!</v>
      </c>
      <c r="P234" s="217" t="str">
        <f t="shared" si="5"/>
        <v>#DIV/0!</v>
      </c>
      <c r="Q234" s="216" t="str">
        <f t="shared" si="6"/>
        <v>#DIV/0!</v>
      </c>
      <c r="R234" s="315" t="str">
        <f t="shared" si="7"/>
        <v>#DIV/0!</v>
      </c>
      <c r="S234" s="323">
        <f t="shared" si="62"/>
        <v>0</v>
      </c>
      <c r="T234" s="317" t="str">
        <f t="shared" si="9"/>
        <v>#DIV/0!</v>
      </c>
      <c r="U234" s="221"/>
      <c r="V234" s="221"/>
      <c r="W234" s="221"/>
      <c r="X234" s="221"/>
      <c r="Y234" s="14"/>
      <c r="Z234" s="78"/>
      <c r="AA234" s="78"/>
    </row>
    <row r="235" hidden="1" outlineLevel="1">
      <c r="A235" s="205"/>
      <c r="B235" s="206"/>
      <c r="C235" s="207" t="s">
        <v>36</v>
      </c>
      <c r="D235" s="335">
        <v>399.7</v>
      </c>
      <c r="E235" s="209"/>
      <c r="F235" s="210">
        <v>6.0</v>
      </c>
      <c r="G235" s="210">
        <v>6.0</v>
      </c>
      <c r="H235" s="211">
        <f t="shared" si="1"/>
        <v>1</v>
      </c>
      <c r="I235" s="212">
        <f t="shared" si="2"/>
        <v>66.61666667</v>
      </c>
      <c r="J235" s="330">
        <f t="shared" si="3"/>
        <v>66.61666667</v>
      </c>
      <c r="K235" s="336">
        <v>75.5</v>
      </c>
      <c r="L235" s="214">
        <v>10703.0</v>
      </c>
      <c r="M235" s="214">
        <v>3.0</v>
      </c>
      <c r="N235" s="337">
        <v>209.85</v>
      </c>
      <c r="O235" s="216">
        <f t="shared" si="63"/>
        <v>0.3597807958</v>
      </c>
      <c r="P235" s="217">
        <f t="shared" si="5"/>
        <v>2.779470199</v>
      </c>
      <c r="Q235" s="216">
        <f t="shared" si="6"/>
        <v>0.1888916688</v>
      </c>
      <c r="R235" s="315">
        <f t="shared" si="7"/>
        <v>0.5250187641</v>
      </c>
      <c r="S235" s="319">
        <f t="shared" si="62"/>
        <v>189.85</v>
      </c>
      <c r="T235" s="317">
        <f t="shared" si="9"/>
        <v>25.16666667</v>
      </c>
      <c r="U235" s="221"/>
      <c r="V235" s="221"/>
      <c r="W235" s="221"/>
      <c r="X235" s="221"/>
      <c r="Y235" s="14"/>
      <c r="Z235" s="78"/>
      <c r="AA235" s="78"/>
    </row>
    <row r="236" hidden="1" outlineLevel="1">
      <c r="A236" s="205"/>
      <c r="B236" s="324" t="s">
        <v>37</v>
      </c>
      <c r="C236" s="207" t="s">
        <v>38</v>
      </c>
      <c r="D236" s="341">
        <v>851.99</v>
      </c>
      <c r="E236" s="209"/>
      <c r="F236" s="210">
        <v>15.0</v>
      </c>
      <c r="G236" s="210">
        <v>16.0</v>
      </c>
      <c r="H236" s="211">
        <f t="shared" si="1"/>
        <v>0.9375</v>
      </c>
      <c r="I236" s="212">
        <f t="shared" si="2"/>
        <v>56.79933333</v>
      </c>
      <c r="J236" s="330">
        <f t="shared" si="3"/>
        <v>60.58595556</v>
      </c>
      <c r="K236" s="342">
        <v>111.82</v>
      </c>
      <c r="L236" s="214">
        <v>18230.0</v>
      </c>
      <c r="M236" s="214">
        <v>3.0</v>
      </c>
      <c r="N236" s="343">
        <v>193.98</v>
      </c>
      <c r="O236" s="216">
        <f t="shared" si="63"/>
        <v>0.5764511805</v>
      </c>
      <c r="P236" s="217">
        <f t="shared" si="5"/>
        <v>1.73475228</v>
      </c>
      <c r="Q236" s="216">
        <f t="shared" si="6"/>
        <v>0.1312456719</v>
      </c>
      <c r="R236" s="315">
        <f t="shared" si="7"/>
        <v>0.2276787286</v>
      </c>
      <c r="S236" s="325">
        <f t="shared" si="62"/>
        <v>658.01</v>
      </c>
      <c r="T236" s="317">
        <f t="shared" si="9"/>
        <v>37.27333333</v>
      </c>
      <c r="U236" s="221"/>
      <c r="V236" s="221"/>
      <c r="W236" s="221"/>
      <c r="X236" s="221"/>
      <c r="Y236" s="14"/>
      <c r="Z236" s="78"/>
      <c r="AA236" s="78"/>
    </row>
    <row r="237" hidden="1" outlineLevel="1">
      <c r="A237" s="205"/>
      <c r="B237" s="206"/>
      <c r="C237" s="207" t="s">
        <v>39</v>
      </c>
      <c r="D237" s="344">
        <v>-299.85</v>
      </c>
      <c r="E237" s="209"/>
      <c r="F237" s="210">
        <v>-3.0</v>
      </c>
      <c r="G237" s="210">
        <v>0.0</v>
      </c>
      <c r="H237" s="211" t="str">
        <f t="shared" si="1"/>
        <v>#DIV/0!</v>
      </c>
      <c r="I237" s="212">
        <f t="shared" si="2"/>
        <v>99.95</v>
      </c>
      <c r="J237" s="330" t="str">
        <f t="shared" si="3"/>
        <v>#DIV/0!</v>
      </c>
      <c r="K237" s="345">
        <v>132.53</v>
      </c>
      <c r="L237" s="214">
        <v>23977.0</v>
      </c>
      <c r="M237" s="214">
        <v>1.0</v>
      </c>
      <c r="N237" s="346">
        <v>0.0</v>
      </c>
      <c r="O237" s="216" t="str">
        <f t="shared" si="63"/>
        <v>#DIV/0!</v>
      </c>
      <c r="P237" s="217">
        <f t="shared" si="5"/>
        <v>0</v>
      </c>
      <c r="Q237" s="216">
        <f t="shared" si="6"/>
        <v>-0.4419876605</v>
      </c>
      <c r="R237" s="315">
        <f t="shared" si="7"/>
        <v>0</v>
      </c>
      <c r="S237" s="326">
        <f t="shared" si="62"/>
        <v>-299.85</v>
      </c>
      <c r="T237" s="317">
        <f t="shared" si="9"/>
        <v>132.53</v>
      </c>
      <c r="U237" s="221"/>
      <c r="V237" s="221"/>
      <c r="W237" s="221"/>
      <c r="X237" s="221"/>
      <c r="Y237" s="14"/>
      <c r="Z237" s="78"/>
      <c r="AA237" s="78"/>
    </row>
    <row r="238" hidden="1" outlineLevel="1">
      <c r="A238" s="205"/>
      <c r="B238" s="206"/>
      <c r="C238" s="207" t="s">
        <v>40</v>
      </c>
      <c r="D238" s="347">
        <v>439.6</v>
      </c>
      <c r="E238" s="209"/>
      <c r="F238" s="210">
        <v>8.0</v>
      </c>
      <c r="G238" s="210">
        <v>6.0</v>
      </c>
      <c r="H238" s="211">
        <f t="shared" si="1"/>
        <v>1.333333333</v>
      </c>
      <c r="I238" s="212">
        <f t="shared" si="2"/>
        <v>54.95</v>
      </c>
      <c r="J238" s="330">
        <f t="shared" si="3"/>
        <v>41.2125</v>
      </c>
      <c r="K238" s="348">
        <v>0.0</v>
      </c>
      <c r="L238" s="214">
        <v>0.0</v>
      </c>
      <c r="M238" s="214">
        <v>0.0</v>
      </c>
      <c r="N238" s="349">
        <v>0.0</v>
      </c>
      <c r="O238" s="216" t="str">
        <f t="shared" si="63"/>
        <v>#DIV/0!</v>
      </c>
      <c r="P238" s="217" t="str">
        <f t="shared" si="5"/>
        <v>#DIV/0!</v>
      </c>
      <c r="Q238" s="216">
        <f t="shared" si="6"/>
        <v>0</v>
      </c>
      <c r="R238" s="315">
        <f t="shared" si="7"/>
        <v>0</v>
      </c>
      <c r="S238" s="327">
        <f t="shared" si="62"/>
        <v>439.6</v>
      </c>
      <c r="T238" s="317" t="str">
        <f t="shared" si="9"/>
        <v>#DIV/0!</v>
      </c>
      <c r="U238" s="221"/>
      <c r="V238" s="221"/>
      <c r="W238" s="221"/>
      <c r="X238" s="221"/>
      <c r="Y238" s="14"/>
      <c r="Z238" s="78"/>
      <c r="AA238" s="78"/>
    </row>
    <row r="239" hidden="1" outlineLevel="1">
      <c r="A239" s="205"/>
      <c r="B239" s="206"/>
      <c r="C239" s="207" t="s">
        <v>41</v>
      </c>
      <c r="D239" s="224">
        <v>109.98</v>
      </c>
      <c r="E239" s="209"/>
      <c r="F239" s="210">
        <v>2.0</v>
      </c>
      <c r="G239" s="210">
        <v>1.0</v>
      </c>
      <c r="H239" s="211">
        <f t="shared" si="1"/>
        <v>2</v>
      </c>
      <c r="I239" s="212">
        <f t="shared" si="2"/>
        <v>54.99</v>
      </c>
      <c r="J239" s="330">
        <f t="shared" si="3"/>
        <v>27.495</v>
      </c>
      <c r="K239" s="350">
        <v>0.0</v>
      </c>
      <c r="L239" s="214">
        <v>0.0</v>
      </c>
      <c r="M239" s="214">
        <v>0.0</v>
      </c>
      <c r="N239" s="225">
        <v>0.0</v>
      </c>
      <c r="O239" s="216" t="str">
        <f t="shared" si="63"/>
        <v>#DIV/0!</v>
      </c>
      <c r="P239" s="217" t="str">
        <f t="shared" si="5"/>
        <v>#DIV/0!</v>
      </c>
      <c r="Q239" s="216">
        <f t="shared" si="6"/>
        <v>0</v>
      </c>
      <c r="R239" s="315">
        <f t="shared" si="7"/>
        <v>0</v>
      </c>
      <c r="S239" s="351">
        <f t="shared" si="62"/>
        <v>109.98</v>
      </c>
      <c r="T239" s="317" t="str">
        <f t="shared" si="9"/>
        <v>#DIV/0!</v>
      </c>
      <c r="U239" s="221"/>
      <c r="V239" s="221"/>
      <c r="W239" s="221"/>
      <c r="X239" s="221"/>
      <c r="Y239" s="14"/>
      <c r="Z239" s="78"/>
      <c r="AA239" s="78"/>
    </row>
    <row r="240" hidden="1" outlineLevel="1">
      <c r="A240" s="205"/>
      <c r="B240" s="206"/>
      <c r="C240" s="207" t="s">
        <v>42</v>
      </c>
      <c r="D240" s="335">
        <v>-38.89</v>
      </c>
      <c r="E240" s="209"/>
      <c r="F240" s="210">
        <v>2.0</v>
      </c>
      <c r="G240" s="210">
        <v>3.0</v>
      </c>
      <c r="H240" s="211">
        <f t="shared" si="1"/>
        <v>0.6666666667</v>
      </c>
      <c r="I240" s="212">
        <f t="shared" si="2"/>
        <v>-19.445</v>
      </c>
      <c r="J240" s="330">
        <f t="shared" si="3"/>
        <v>-29.1675</v>
      </c>
      <c r="K240" s="336">
        <v>5.88</v>
      </c>
      <c r="L240" s="214">
        <v>10967.0</v>
      </c>
      <c r="M240" s="214">
        <v>2.0</v>
      </c>
      <c r="N240" s="337">
        <v>39.98</v>
      </c>
      <c r="O240" s="216">
        <f t="shared" si="63"/>
        <v>0.1470735368</v>
      </c>
      <c r="P240" s="217">
        <f t="shared" si="5"/>
        <v>6.799319728</v>
      </c>
      <c r="Q240" s="216">
        <f t="shared" si="6"/>
        <v>-0.1511956801</v>
      </c>
      <c r="R240" s="315">
        <f t="shared" si="7"/>
        <v>-1.028027771</v>
      </c>
      <c r="S240" s="319">
        <f t="shared" si="62"/>
        <v>-78.87</v>
      </c>
      <c r="T240" s="317">
        <f t="shared" si="9"/>
        <v>2.94</v>
      </c>
      <c r="U240" s="221"/>
      <c r="V240" s="221"/>
      <c r="W240" s="221"/>
      <c r="X240" s="221"/>
      <c r="Y240" s="14"/>
      <c r="Z240" s="78"/>
      <c r="AA240" s="78"/>
    </row>
    <row r="241" hidden="1" outlineLevel="1">
      <c r="A241" s="205"/>
      <c r="B241" s="206"/>
      <c r="C241" s="207" t="s">
        <v>43</v>
      </c>
      <c r="D241" s="226">
        <v>0.0</v>
      </c>
      <c r="E241" s="209"/>
      <c r="F241" s="210">
        <v>0.0</v>
      </c>
      <c r="G241" s="210">
        <v>0.0</v>
      </c>
      <c r="H241" s="211" t="str">
        <f t="shared" si="1"/>
        <v>#DIV/0!</v>
      </c>
      <c r="I241" s="212" t="str">
        <f t="shared" si="2"/>
        <v>#DIV/0!</v>
      </c>
      <c r="J241" s="330" t="str">
        <f t="shared" si="3"/>
        <v>#DIV/0!</v>
      </c>
      <c r="K241" s="352">
        <v>14.6</v>
      </c>
      <c r="L241" s="214">
        <v>23765.0</v>
      </c>
      <c r="M241" s="214">
        <v>0.0</v>
      </c>
      <c r="N241" s="227">
        <v>0.0</v>
      </c>
      <c r="O241" s="216" t="str">
        <f t="shared" si="63"/>
        <v>#DIV/0!</v>
      </c>
      <c r="P241" s="217">
        <f t="shared" si="5"/>
        <v>0</v>
      </c>
      <c r="Q241" s="216" t="str">
        <f t="shared" si="6"/>
        <v>#DIV/0!</v>
      </c>
      <c r="R241" s="315" t="str">
        <f t="shared" si="7"/>
        <v>#DIV/0!</v>
      </c>
      <c r="S241" s="328">
        <f t="shared" si="62"/>
        <v>0</v>
      </c>
      <c r="T241" s="317" t="str">
        <f t="shared" si="9"/>
        <v>#DIV/0!</v>
      </c>
      <c r="U241" s="221"/>
      <c r="V241" s="221"/>
      <c r="W241" s="221"/>
      <c r="X241" s="221"/>
      <c r="Y241" s="14"/>
      <c r="Z241" s="78"/>
      <c r="AA241" s="78"/>
    </row>
    <row r="242" hidden="1" outlineLevel="1">
      <c r="A242" s="205"/>
      <c r="B242" s="206"/>
      <c r="C242" s="207" t="s">
        <v>44</v>
      </c>
      <c r="D242" s="353">
        <v>119.9</v>
      </c>
      <c r="E242" s="209"/>
      <c r="F242" s="210">
        <v>2.0</v>
      </c>
      <c r="G242" s="210">
        <v>2.0</v>
      </c>
      <c r="H242" s="211">
        <f t="shared" si="1"/>
        <v>1</v>
      </c>
      <c r="I242" s="212">
        <f t="shared" si="2"/>
        <v>59.95</v>
      </c>
      <c r="J242" s="330">
        <f t="shared" si="3"/>
        <v>59.95</v>
      </c>
      <c r="K242" s="354">
        <v>11.24</v>
      </c>
      <c r="L242" s="214">
        <v>7724.0</v>
      </c>
      <c r="M242" s="214">
        <v>1.0</v>
      </c>
      <c r="N242" s="355">
        <v>59.95</v>
      </c>
      <c r="O242" s="216">
        <f t="shared" si="63"/>
        <v>0.1874895746</v>
      </c>
      <c r="P242" s="217">
        <f t="shared" si="5"/>
        <v>5.333629893</v>
      </c>
      <c r="Q242" s="216">
        <f t="shared" si="6"/>
        <v>0.09374478732</v>
      </c>
      <c r="R242" s="315">
        <f t="shared" si="7"/>
        <v>0.5</v>
      </c>
      <c r="S242" s="356">
        <f t="shared" si="62"/>
        <v>59.95</v>
      </c>
      <c r="T242" s="317">
        <f t="shared" si="9"/>
        <v>11.24</v>
      </c>
      <c r="U242" s="221"/>
      <c r="V242" s="221"/>
      <c r="W242" s="221"/>
      <c r="X242" s="221"/>
      <c r="Y242" s="14"/>
      <c r="Z242" s="78"/>
      <c r="AA242" s="78"/>
    </row>
    <row r="243" hidden="1" outlineLevel="1">
      <c r="A243" s="357"/>
      <c r="B243" s="206"/>
      <c r="C243" s="358" t="s">
        <v>45</v>
      </c>
      <c r="D243" s="208">
        <v>39.9</v>
      </c>
      <c r="E243" s="209"/>
      <c r="F243" s="210">
        <v>2.0</v>
      </c>
      <c r="G243" s="210">
        <v>1.0</v>
      </c>
      <c r="H243" s="104">
        <f t="shared" si="1"/>
        <v>2</v>
      </c>
      <c r="I243" s="105">
        <f t="shared" si="2"/>
        <v>19.95</v>
      </c>
      <c r="J243" s="106">
        <f t="shared" si="3"/>
        <v>9.975</v>
      </c>
      <c r="K243" s="331">
        <v>0.0</v>
      </c>
      <c r="L243" s="214">
        <v>0.0</v>
      </c>
      <c r="M243" s="214">
        <v>0.0</v>
      </c>
      <c r="N243" s="333">
        <v>0.0</v>
      </c>
      <c r="O243" s="109" t="str">
        <f t="shared" si="63"/>
        <v>#DIV/0!</v>
      </c>
      <c r="P243" s="110" t="str">
        <f t="shared" si="5"/>
        <v>#DIV/0!</v>
      </c>
      <c r="Q243" s="109">
        <f t="shared" si="6"/>
        <v>0</v>
      </c>
      <c r="R243" s="111">
        <f t="shared" si="7"/>
        <v>0</v>
      </c>
      <c r="S243" s="112">
        <f t="shared" si="62"/>
        <v>39.9</v>
      </c>
      <c r="T243" s="113" t="str">
        <f t="shared" si="9"/>
        <v>#DIV/0!</v>
      </c>
      <c r="U243" s="193"/>
      <c r="V243" s="193"/>
      <c r="W243" s="193"/>
      <c r="X243" s="194"/>
      <c r="Y243" s="195"/>
      <c r="Z243" s="78"/>
      <c r="AA243" s="78"/>
    </row>
    <row r="244" hidden="1" outlineLevel="1">
      <c r="A244" s="310"/>
      <c r="B244" s="99"/>
      <c r="C244" s="294" t="s">
        <v>46</v>
      </c>
      <c r="D244" s="196">
        <v>258.91</v>
      </c>
      <c r="E244" s="168"/>
      <c r="F244" s="169">
        <v>7.0</v>
      </c>
      <c r="G244" s="169">
        <v>8.0</v>
      </c>
      <c r="H244" s="104">
        <f t="shared" si="1"/>
        <v>0.875</v>
      </c>
      <c r="I244" s="105">
        <f t="shared" si="2"/>
        <v>36.98714286</v>
      </c>
      <c r="J244" s="106">
        <f t="shared" si="3"/>
        <v>42.27102041</v>
      </c>
      <c r="K244" s="196">
        <v>72.21</v>
      </c>
      <c r="L244" s="169">
        <v>29832.0</v>
      </c>
      <c r="M244" s="169">
        <v>1.0</v>
      </c>
      <c r="N244" s="197">
        <v>35.96</v>
      </c>
      <c r="O244" s="109">
        <f t="shared" si="63"/>
        <v>2.008064516</v>
      </c>
      <c r="P244" s="110">
        <f t="shared" si="5"/>
        <v>0.4979919679</v>
      </c>
      <c r="Q244" s="109">
        <f t="shared" si="6"/>
        <v>0.2789000039</v>
      </c>
      <c r="R244" s="111">
        <f t="shared" si="7"/>
        <v>0.1388899618</v>
      </c>
      <c r="S244" s="112">
        <f t="shared" si="62"/>
        <v>222.95</v>
      </c>
      <c r="T244" s="113">
        <f t="shared" si="9"/>
        <v>72.21</v>
      </c>
      <c r="U244" s="172"/>
      <c r="V244" s="172"/>
      <c r="W244" s="172"/>
      <c r="X244" s="172"/>
      <c r="Y244" s="173"/>
      <c r="Z244" s="165"/>
      <c r="AA244" s="165"/>
    </row>
    <row r="245" hidden="1" outlineLevel="1">
      <c r="A245" s="205" t="str">
        <f t="shared" ref="A245:A246" si="64">iferror(if(B245&gt;0,month(B245)&amp;"-"&amp;year(B245),B245),)</f>
        <v>3-2025</v>
      </c>
      <c r="B245" s="206">
        <v>45731.0</v>
      </c>
      <c r="C245" s="207" t="s">
        <v>49</v>
      </c>
      <c r="D245" s="329">
        <v>0.0</v>
      </c>
      <c r="E245" s="209"/>
      <c r="F245" s="210">
        <v>0.0</v>
      </c>
      <c r="G245" s="210">
        <v>0.0</v>
      </c>
      <c r="H245" s="211" t="str">
        <f t="shared" si="1"/>
        <v>#DIV/0!</v>
      </c>
      <c r="I245" s="212" t="str">
        <f t="shared" si="2"/>
        <v>#DIV/0!</v>
      </c>
      <c r="J245" s="330" t="str">
        <f t="shared" si="3"/>
        <v>#DIV/0!</v>
      </c>
      <c r="K245" s="359">
        <v>2.24</v>
      </c>
      <c r="L245" s="214">
        <v>7193.0</v>
      </c>
      <c r="M245" s="214">
        <v>0.0</v>
      </c>
      <c r="N245" s="360">
        <v>0.0</v>
      </c>
      <c r="O245" s="216" t="str">
        <f t="shared" si="63"/>
        <v>#DIV/0!</v>
      </c>
      <c r="P245" s="217">
        <f t="shared" si="5"/>
        <v>0</v>
      </c>
      <c r="Q245" s="216" t="str">
        <f t="shared" si="6"/>
        <v>#DIV/0!</v>
      </c>
      <c r="R245" s="315" t="str">
        <f t="shared" si="7"/>
        <v>#DIV/0!</v>
      </c>
      <c r="S245" s="316">
        <f t="shared" si="62"/>
        <v>0</v>
      </c>
      <c r="T245" s="317" t="str">
        <f t="shared" si="9"/>
        <v>#DIV/0!</v>
      </c>
      <c r="U245" s="221"/>
      <c r="V245" s="221"/>
      <c r="W245" s="221"/>
      <c r="X245" s="221"/>
      <c r="Y245" s="14"/>
      <c r="Z245" s="78"/>
      <c r="AA245" s="78"/>
    </row>
    <row r="246" collapsed="1">
      <c r="A246" s="205" t="str">
        <f t="shared" si="64"/>
        <v/>
      </c>
      <c r="B246" s="80" t="s">
        <v>98</v>
      </c>
      <c r="C246" s="81"/>
      <c r="D246" s="82">
        <f>SUM(D229:D245)</f>
        <v>7581.32</v>
      </c>
      <c r="E246" s="83"/>
      <c r="F246" s="84">
        <f t="shared" ref="F246:G246" si="65">SUM(F229:F245)</f>
        <v>94</v>
      </c>
      <c r="G246" s="84">
        <f t="shared" si="65"/>
        <v>95</v>
      </c>
      <c r="H246" s="85">
        <f t="shared" si="1"/>
        <v>0.9894736842</v>
      </c>
      <c r="I246" s="86">
        <f t="shared" si="2"/>
        <v>80.65234043</v>
      </c>
      <c r="J246" s="87">
        <f t="shared" si="3"/>
        <v>81.51034405</v>
      </c>
      <c r="K246" s="82">
        <f t="shared" ref="K246:N246" si="66">SUM(K229:K245)</f>
        <v>1130.72</v>
      </c>
      <c r="L246" s="88">
        <f t="shared" si="66"/>
        <v>295912</v>
      </c>
      <c r="M246" s="88">
        <f t="shared" si="66"/>
        <v>30</v>
      </c>
      <c r="N246" s="89">
        <f t="shared" si="66"/>
        <v>2475.07</v>
      </c>
      <c r="O246" s="90">
        <f t="shared" si="63"/>
        <v>0.4568436448</v>
      </c>
      <c r="P246" s="91">
        <f t="shared" si="5"/>
        <v>2.188932715</v>
      </c>
      <c r="Q246" s="90">
        <f t="shared" si="6"/>
        <v>0.1491455314</v>
      </c>
      <c r="R246" s="92">
        <f t="shared" si="7"/>
        <v>0.326469533</v>
      </c>
      <c r="S246" s="233">
        <f>SUM(S229:S245)</f>
        <v>5106.25</v>
      </c>
      <c r="T246" s="94">
        <f t="shared" si="9"/>
        <v>37.69066667</v>
      </c>
      <c r="U246" s="95">
        <f>IFERROR((D246-D228)/D246,)</f>
        <v>0.02780782238</v>
      </c>
      <c r="V246" s="95">
        <f>IFERROR((F246-F228)/F246,)</f>
        <v>-0.2446808511</v>
      </c>
      <c r="W246" s="96" t="str">
        <f>IFERROR((D246-monthly_reporting_2021!E55)/D246, )</f>
        <v/>
      </c>
      <c r="X246" s="96" t="str">
        <f>IFERROR((F246-monthly_reporting_2021!F55)/F246, )</f>
        <v/>
      </c>
      <c r="Y246" s="97"/>
      <c r="Z246" s="78"/>
      <c r="AA246" s="78"/>
    </row>
    <row r="247" hidden="1" outlineLevel="1">
      <c r="A247" s="165"/>
      <c r="B247" s="99">
        <v>45732.0</v>
      </c>
      <c r="C247" s="100" t="s">
        <v>32</v>
      </c>
      <c r="D247" s="101">
        <v>2285.01</v>
      </c>
      <c r="E247" s="105"/>
      <c r="F247" s="280">
        <v>10.0</v>
      </c>
      <c r="G247" s="280">
        <v>9.0</v>
      </c>
      <c r="H247" s="104">
        <f t="shared" si="1"/>
        <v>1.111111111</v>
      </c>
      <c r="I247" s="105">
        <f t="shared" si="2"/>
        <v>228.501</v>
      </c>
      <c r="J247" s="106">
        <f t="shared" si="3"/>
        <v>205.6509</v>
      </c>
      <c r="K247" s="107">
        <v>367.43</v>
      </c>
      <c r="L247" s="280">
        <v>88929.0</v>
      </c>
      <c r="M247" s="280">
        <v>5.0</v>
      </c>
      <c r="N247" s="108">
        <v>1609.38</v>
      </c>
      <c r="O247" s="109">
        <f t="shared" si="63"/>
        <v>0.2283053101</v>
      </c>
      <c r="P247" s="110">
        <f t="shared" si="5"/>
        <v>4.380099611</v>
      </c>
      <c r="Q247" s="109">
        <f t="shared" si="6"/>
        <v>0.1608001716</v>
      </c>
      <c r="R247" s="111">
        <f t="shared" si="7"/>
        <v>0.7043207688</v>
      </c>
      <c r="S247" s="112">
        <f t="shared" ref="S247:S263" si="67">D247-N247</f>
        <v>675.63</v>
      </c>
      <c r="T247" s="113">
        <f t="shared" si="9"/>
        <v>73.486</v>
      </c>
      <c r="U247" s="172"/>
      <c r="V247" s="172"/>
      <c r="W247" s="172"/>
      <c r="X247" s="172"/>
      <c r="Y247" s="173"/>
      <c r="Z247" s="165"/>
      <c r="AA247" s="165"/>
    </row>
    <row r="248" hidden="1" outlineLevel="1">
      <c r="A248" s="165"/>
      <c r="B248" s="174"/>
      <c r="C248" s="100" t="s">
        <v>33</v>
      </c>
      <c r="D248" s="117">
        <v>4824.6</v>
      </c>
      <c r="E248" s="105"/>
      <c r="F248" s="280">
        <v>37.0</v>
      </c>
      <c r="G248" s="280">
        <v>41.0</v>
      </c>
      <c r="H248" s="104">
        <f t="shared" si="1"/>
        <v>0.9024390244</v>
      </c>
      <c r="I248" s="105">
        <f t="shared" si="2"/>
        <v>130.3945946</v>
      </c>
      <c r="J248" s="106">
        <f t="shared" si="3"/>
        <v>144.4913075</v>
      </c>
      <c r="K248" s="117">
        <v>273.04</v>
      </c>
      <c r="L248" s="280">
        <v>85647.0</v>
      </c>
      <c r="M248" s="280">
        <v>9.0</v>
      </c>
      <c r="N248" s="118">
        <v>624.7</v>
      </c>
      <c r="O248" s="109">
        <f t="shared" si="63"/>
        <v>0.4370737954</v>
      </c>
      <c r="P248" s="110">
        <f t="shared" si="5"/>
        <v>2.287943159</v>
      </c>
      <c r="Q248" s="109">
        <f t="shared" si="6"/>
        <v>0.05659329271</v>
      </c>
      <c r="R248" s="111">
        <f t="shared" si="7"/>
        <v>0.1294822369</v>
      </c>
      <c r="S248" s="119">
        <f t="shared" si="67"/>
        <v>4199.9</v>
      </c>
      <c r="T248" s="113">
        <f t="shared" si="9"/>
        <v>30.33777778</v>
      </c>
      <c r="U248" s="172"/>
      <c r="V248" s="172"/>
      <c r="W248" s="172"/>
      <c r="X248" s="172"/>
      <c r="Y248" s="173"/>
      <c r="Z248" s="165"/>
      <c r="AA248" s="165"/>
    </row>
    <row r="249" hidden="1" outlineLevel="1">
      <c r="A249" s="165"/>
      <c r="B249" s="174"/>
      <c r="C249" s="100" t="s">
        <v>34</v>
      </c>
      <c r="D249" s="120">
        <v>0.0</v>
      </c>
      <c r="E249" s="105"/>
      <c r="F249" s="280">
        <v>0.0</v>
      </c>
      <c r="G249" s="280">
        <v>0.0</v>
      </c>
      <c r="H249" s="104" t="str">
        <f t="shared" si="1"/>
        <v>#DIV/0!</v>
      </c>
      <c r="I249" s="105" t="str">
        <f t="shared" si="2"/>
        <v>#DIV/0!</v>
      </c>
      <c r="J249" s="106" t="str">
        <f t="shared" si="3"/>
        <v>#DIV/0!</v>
      </c>
      <c r="K249" s="120">
        <v>0.0</v>
      </c>
      <c r="L249" s="280">
        <v>85.0</v>
      </c>
      <c r="M249" s="280">
        <v>0.0</v>
      </c>
      <c r="N249" s="121">
        <v>0.0</v>
      </c>
      <c r="O249" s="109" t="str">
        <f>(K249/N249)</f>
        <v>#DIV/0!</v>
      </c>
      <c r="P249" s="110" t="str">
        <f t="shared" si="5"/>
        <v>#DIV/0!</v>
      </c>
      <c r="Q249" s="109" t="str">
        <f t="shared" si="6"/>
        <v>#DIV/0!</v>
      </c>
      <c r="R249" s="111" t="str">
        <f t="shared" si="7"/>
        <v>#DIV/0!</v>
      </c>
      <c r="S249" s="122">
        <f t="shared" si="67"/>
        <v>0</v>
      </c>
      <c r="T249" s="113" t="str">
        <f t="shared" si="9"/>
        <v>#DIV/0!</v>
      </c>
      <c r="U249" s="172"/>
      <c r="V249" s="172"/>
      <c r="W249" s="172"/>
      <c r="X249" s="172"/>
      <c r="Y249" s="173"/>
      <c r="Z249" s="165"/>
      <c r="AA249" s="165"/>
    </row>
    <row r="250" hidden="1" outlineLevel="1">
      <c r="A250" s="165"/>
      <c r="B250" s="174"/>
      <c r="C250" s="100" t="s">
        <v>35</v>
      </c>
      <c r="D250" s="120">
        <v>659.45</v>
      </c>
      <c r="E250" s="105"/>
      <c r="F250" s="280">
        <v>11.0</v>
      </c>
      <c r="G250" s="280">
        <v>6.0</v>
      </c>
      <c r="H250" s="104">
        <f t="shared" si="1"/>
        <v>1.833333333</v>
      </c>
      <c r="I250" s="105">
        <f t="shared" si="2"/>
        <v>59.95</v>
      </c>
      <c r="J250" s="106">
        <f t="shared" si="3"/>
        <v>32.7</v>
      </c>
      <c r="K250" s="120">
        <v>104.48</v>
      </c>
      <c r="L250" s="280">
        <v>7437.0</v>
      </c>
      <c r="M250" s="280">
        <v>6.0</v>
      </c>
      <c r="N250" s="121">
        <v>359.7</v>
      </c>
      <c r="O250" s="109">
        <f t="shared" ref="O250:O266" si="68">K250/N250</f>
        <v>0.2904642758</v>
      </c>
      <c r="P250" s="110">
        <f t="shared" si="5"/>
        <v>3.442764165</v>
      </c>
      <c r="Q250" s="109">
        <f t="shared" si="6"/>
        <v>0.1584350595</v>
      </c>
      <c r="R250" s="111">
        <f t="shared" si="7"/>
        <v>0.5454545455</v>
      </c>
      <c r="S250" s="122">
        <f t="shared" si="67"/>
        <v>299.75</v>
      </c>
      <c r="T250" s="113">
        <f t="shared" si="9"/>
        <v>17.41333333</v>
      </c>
      <c r="U250" s="172"/>
      <c r="V250" s="172"/>
      <c r="W250" s="172"/>
      <c r="X250" s="172"/>
      <c r="Y250" s="173"/>
      <c r="Z250" s="165"/>
      <c r="AA250" s="165"/>
    </row>
    <row r="251" hidden="1" outlineLevel="1">
      <c r="A251" s="165"/>
      <c r="B251" s="174"/>
      <c r="C251" s="100" t="s">
        <v>65</v>
      </c>
      <c r="D251" s="300">
        <v>117.0</v>
      </c>
      <c r="E251" s="105"/>
      <c r="F251" s="280">
        <v>3.0</v>
      </c>
      <c r="G251" s="280">
        <v>2.0</v>
      </c>
      <c r="H251" s="104">
        <f t="shared" si="1"/>
        <v>1.5</v>
      </c>
      <c r="I251" s="105">
        <f t="shared" si="2"/>
        <v>39</v>
      </c>
      <c r="J251" s="106">
        <f t="shared" si="3"/>
        <v>26</v>
      </c>
      <c r="K251" s="300">
        <v>0.0</v>
      </c>
      <c r="L251" s="280">
        <v>0.0</v>
      </c>
      <c r="M251" s="280">
        <v>0.0</v>
      </c>
      <c r="N251" s="300">
        <v>0.0</v>
      </c>
      <c r="O251" s="109" t="str">
        <f t="shared" si="68"/>
        <v>#DIV/0!</v>
      </c>
      <c r="P251" s="110" t="str">
        <f t="shared" si="5"/>
        <v>#DIV/0!</v>
      </c>
      <c r="Q251" s="109">
        <f t="shared" si="6"/>
        <v>0</v>
      </c>
      <c r="R251" s="111">
        <f t="shared" si="7"/>
        <v>0</v>
      </c>
      <c r="S251" s="122">
        <f t="shared" si="67"/>
        <v>117</v>
      </c>
      <c r="T251" s="113" t="str">
        <f t="shared" si="9"/>
        <v>#DIV/0!</v>
      </c>
      <c r="U251" s="172"/>
      <c r="V251" s="172"/>
      <c r="W251" s="172"/>
      <c r="X251" s="172"/>
      <c r="Y251" s="173"/>
      <c r="Z251" s="165"/>
      <c r="AA251" s="165"/>
    </row>
    <row r="252" hidden="1" outlineLevel="1">
      <c r="A252" s="165"/>
      <c r="B252" s="174"/>
      <c r="C252" s="100" t="s">
        <v>85</v>
      </c>
      <c r="D252" s="302">
        <v>-64.95</v>
      </c>
      <c r="E252" s="105"/>
      <c r="F252" s="280">
        <v>-1.0</v>
      </c>
      <c r="G252" s="280">
        <v>1.0</v>
      </c>
      <c r="H252" s="104">
        <f t="shared" si="1"/>
        <v>-1</v>
      </c>
      <c r="I252" s="105">
        <f t="shared" si="2"/>
        <v>64.95</v>
      </c>
      <c r="J252" s="106">
        <f t="shared" si="3"/>
        <v>-64.95</v>
      </c>
      <c r="K252" s="302">
        <v>42.1</v>
      </c>
      <c r="L252" s="280">
        <v>1937.0</v>
      </c>
      <c r="M252" s="280">
        <v>0.0</v>
      </c>
      <c r="N252" s="303">
        <v>0.0</v>
      </c>
      <c r="O252" s="109" t="str">
        <f t="shared" si="68"/>
        <v>#DIV/0!</v>
      </c>
      <c r="P252" s="110">
        <f t="shared" si="5"/>
        <v>0</v>
      </c>
      <c r="Q252" s="109">
        <f t="shared" si="6"/>
        <v>-0.6481909161</v>
      </c>
      <c r="R252" s="111">
        <f t="shared" si="7"/>
        <v>0</v>
      </c>
      <c r="S252" s="304">
        <f t="shared" si="67"/>
        <v>-64.95</v>
      </c>
      <c r="T252" s="113" t="str">
        <f t="shared" si="9"/>
        <v>#DIV/0!</v>
      </c>
      <c r="U252" s="172"/>
      <c r="V252" s="172"/>
      <c r="W252" s="172"/>
      <c r="X252" s="172"/>
      <c r="Y252" s="173"/>
      <c r="Z252" s="165"/>
      <c r="AA252" s="165"/>
    </row>
    <row r="253" hidden="1" outlineLevel="1">
      <c r="A253" s="165"/>
      <c r="B253" s="174"/>
      <c r="C253" s="100" t="s">
        <v>36</v>
      </c>
      <c r="D253" s="120">
        <v>319.75</v>
      </c>
      <c r="E253" s="105"/>
      <c r="F253" s="280">
        <v>5.0</v>
      </c>
      <c r="G253" s="280">
        <v>6.0</v>
      </c>
      <c r="H253" s="104">
        <f t="shared" si="1"/>
        <v>0.8333333333</v>
      </c>
      <c r="I253" s="105">
        <f t="shared" si="2"/>
        <v>63.95</v>
      </c>
      <c r="J253" s="106">
        <f t="shared" si="3"/>
        <v>76.74</v>
      </c>
      <c r="K253" s="120">
        <v>54.36</v>
      </c>
      <c r="L253" s="280">
        <v>9417.0</v>
      </c>
      <c r="M253" s="280">
        <v>2.0</v>
      </c>
      <c r="N253" s="121">
        <v>119.9</v>
      </c>
      <c r="O253" s="109">
        <f t="shared" si="68"/>
        <v>0.4533778148</v>
      </c>
      <c r="P253" s="110">
        <f t="shared" si="5"/>
        <v>2.205665931</v>
      </c>
      <c r="Q253" s="109">
        <f t="shared" si="6"/>
        <v>0.1700078186</v>
      </c>
      <c r="R253" s="111">
        <f t="shared" si="7"/>
        <v>0.3749804535</v>
      </c>
      <c r="S253" s="122">
        <f t="shared" si="67"/>
        <v>199.85</v>
      </c>
      <c r="T253" s="113">
        <f t="shared" si="9"/>
        <v>27.18</v>
      </c>
      <c r="U253" s="172"/>
      <c r="V253" s="172"/>
      <c r="W253" s="172"/>
      <c r="X253" s="172"/>
      <c r="Y253" s="173"/>
      <c r="Z253" s="165"/>
      <c r="AA253" s="165"/>
    </row>
    <row r="254" hidden="1" outlineLevel="1">
      <c r="A254" s="165"/>
      <c r="B254" s="99" t="s">
        <v>37</v>
      </c>
      <c r="C254" s="100" t="s">
        <v>38</v>
      </c>
      <c r="D254" s="123">
        <v>640.36</v>
      </c>
      <c r="E254" s="105"/>
      <c r="F254" s="280">
        <v>12.0</v>
      </c>
      <c r="G254" s="280">
        <v>13.0</v>
      </c>
      <c r="H254" s="104">
        <f t="shared" si="1"/>
        <v>0.9230769231</v>
      </c>
      <c r="I254" s="105">
        <f t="shared" si="2"/>
        <v>53.36333333</v>
      </c>
      <c r="J254" s="106">
        <f t="shared" si="3"/>
        <v>57.81027778</v>
      </c>
      <c r="K254" s="123">
        <v>116.03</v>
      </c>
      <c r="L254" s="280">
        <v>14400.0</v>
      </c>
      <c r="M254" s="280">
        <v>2.0</v>
      </c>
      <c r="N254" s="124">
        <v>101.51</v>
      </c>
      <c r="O254" s="109">
        <f t="shared" si="68"/>
        <v>1.143040095</v>
      </c>
      <c r="P254" s="110">
        <f t="shared" si="5"/>
        <v>0.87485995</v>
      </c>
      <c r="Q254" s="109">
        <f t="shared" si="6"/>
        <v>0.1811949528</v>
      </c>
      <c r="R254" s="111">
        <f t="shared" si="7"/>
        <v>0.1585202074</v>
      </c>
      <c r="S254" s="125">
        <f t="shared" si="67"/>
        <v>538.85</v>
      </c>
      <c r="T254" s="113">
        <f t="shared" si="9"/>
        <v>58.015</v>
      </c>
      <c r="U254" s="172"/>
      <c r="V254" s="172"/>
      <c r="W254" s="172"/>
      <c r="X254" s="172"/>
      <c r="Y254" s="173"/>
      <c r="Z254" s="165"/>
      <c r="AA254" s="165"/>
    </row>
    <row r="255" hidden="1" outlineLevel="1">
      <c r="A255" s="165"/>
      <c r="B255" s="174"/>
      <c r="C255" s="100" t="s">
        <v>39</v>
      </c>
      <c r="D255" s="126">
        <v>99.95</v>
      </c>
      <c r="E255" s="105"/>
      <c r="F255" s="280">
        <v>1.0</v>
      </c>
      <c r="G255" s="280">
        <v>1.0</v>
      </c>
      <c r="H255" s="104">
        <f t="shared" si="1"/>
        <v>1</v>
      </c>
      <c r="I255" s="105">
        <f t="shared" si="2"/>
        <v>99.95</v>
      </c>
      <c r="J255" s="106">
        <f t="shared" si="3"/>
        <v>99.95</v>
      </c>
      <c r="K255" s="126">
        <v>0.0</v>
      </c>
      <c r="L255" s="280">
        <v>0.0</v>
      </c>
      <c r="M255" s="280">
        <v>0.0</v>
      </c>
      <c r="N255" s="127">
        <v>0.0</v>
      </c>
      <c r="O255" s="109" t="str">
        <f t="shared" si="68"/>
        <v>#DIV/0!</v>
      </c>
      <c r="P255" s="110" t="str">
        <f t="shared" si="5"/>
        <v>#DIV/0!</v>
      </c>
      <c r="Q255" s="109">
        <f t="shared" si="6"/>
        <v>0</v>
      </c>
      <c r="R255" s="111">
        <f t="shared" si="7"/>
        <v>0</v>
      </c>
      <c r="S255" s="128">
        <f t="shared" si="67"/>
        <v>99.95</v>
      </c>
      <c r="T255" s="113" t="str">
        <f t="shared" si="9"/>
        <v>#DIV/0!</v>
      </c>
      <c r="U255" s="172"/>
      <c r="V255" s="172"/>
      <c r="W255" s="172"/>
      <c r="X255" s="172"/>
      <c r="Y255" s="173"/>
      <c r="Z255" s="165"/>
      <c r="AA255" s="165"/>
    </row>
    <row r="256" hidden="1" outlineLevel="1">
      <c r="A256" s="165"/>
      <c r="B256" s="174"/>
      <c r="C256" s="100" t="s">
        <v>40</v>
      </c>
      <c r="D256" s="129">
        <v>265.71</v>
      </c>
      <c r="E256" s="105"/>
      <c r="F256" s="280">
        <v>5.0</v>
      </c>
      <c r="G256" s="280">
        <v>4.0</v>
      </c>
      <c r="H256" s="104">
        <f t="shared" si="1"/>
        <v>1.25</v>
      </c>
      <c r="I256" s="105">
        <f t="shared" si="2"/>
        <v>53.142</v>
      </c>
      <c r="J256" s="106">
        <f t="shared" si="3"/>
        <v>42.5136</v>
      </c>
      <c r="K256" s="129">
        <v>0.0</v>
      </c>
      <c r="L256" s="280">
        <v>0.0</v>
      </c>
      <c r="M256" s="280">
        <v>0.0</v>
      </c>
      <c r="N256" s="130">
        <v>0.0</v>
      </c>
      <c r="O256" s="109" t="str">
        <f t="shared" si="68"/>
        <v>#DIV/0!</v>
      </c>
      <c r="P256" s="110" t="str">
        <f t="shared" si="5"/>
        <v>#DIV/0!</v>
      </c>
      <c r="Q256" s="109">
        <f t="shared" si="6"/>
        <v>0</v>
      </c>
      <c r="R256" s="111">
        <f t="shared" si="7"/>
        <v>0</v>
      </c>
      <c r="S256" s="131">
        <f t="shared" si="67"/>
        <v>265.71</v>
      </c>
      <c r="T256" s="113" t="str">
        <f t="shared" si="9"/>
        <v>#DIV/0!</v>
      </c>
      <c r="U256" s="172"/>
      <c r="V256" s="172"/>
      <c r="W256" s="172"/>
      <c r="X256" s="172"/>
      <c r="Y256" s="173"/>
      <c r="Z256" s="165"/>
      <c r="AA256" s="165"/>
    </row>
    <row r="257" hidden="1" outlineLevel="1">
      <c r="A257" s="165"/>
      <c r="B257" s="174"/>
      <c r="C257" s="100" t="s">
        <v>41</v>
      </c>
      <c r="D257" s="132">
        <v>66.99</v>
      </c>
      <c r="E257" s="105"/>
      <c r="F257" s="280">
        <v>1.0</v>
      </c>
      <c r="G257" s="280">
        <v>1.0</v>
      </c>
      <c r="H257" s="104">
        <f t="shared" si="1"/>
        <v>1</v>
      </c>
      <c r="I257" s="105">
        <f t="shared" si="2"/>
        <v>66.99</v>
      </c>
      <c r="J257" s="106">
        <f t="shared" si="3"/>
        <v>66.99</v>
      </c>
      <c r="K257" s="132">
        <v>0.0</v>
      </c>
      <c r="L257" s="280">
        <v>6.0</v>
      </c>
      <c r="M257" s="280">
        <v>0.0</v>
      </c>
      <c r="N257" s="133">
        <v>0.0</v>
      </c>
      <c r="O257" s="109" t="str">
        <f t="shared" si="68"/>
        <v>#DIV/0!</v>
      </c>
      <c r="P257" s="110" t="str">
        <f t="shared" si="5"/>
        <v>#DIV/0!</v>
      </c>
      <c r="Q257" s="109">
        <f t="shared" si="6"/>
        <v>0</v>
      </c>
      <c r="R257" s="111">
        <f t="shared" si="7"/>
        <v>0</v>
      </c>
      <c r="S257" s="134">
        <f t="shared" si="67"/>
        <v>66.99</v>
      </c>
      <c r="T257" s="113" t="str">
        <f t="shared" si="9"/>
        <v>#DIV/0!</v>
      </c>
      <c r="U257" s="172"/>
      <c r="V257" s="172"/>
      <c r="W257" s="172"/>
      <c r="X257" s="172"/>
      <c r="Y257" s="173"/>
      <c r="Z257" s="165"/>
      <c r="AA257" s="165"/>
    </row>
    <row r="258" hidden="1" outlineLevel="1">
      <c r="A258" s="165"/>
      <c r="B258" s="174"/>
      <c r="C258" s="100" t="s">
        <v>42</v>
      </c>
      <c r="D258" s="120">
        <v>139.93</v>
      </c>
      <c r="E258" s="105"/>
      <c r="F258" s="280">
        <v>7.0</v>
      </c>
      <c r="G258" s="280">
        <v>6.0</v>
      </c>
      <c r="H258" s="104">
        <f t="shared" si="1"/>
        <v>1.166666667</v>
      </c>
      <c r="I258" s="105">
        <f t="shared" si="2"/>
        <v>19.99</v>
      </c>
      <c r="J258" s="106">
        <f t="shared" si="3"/>
        <v>17.13428571</v>
      </c>
      <c r="K258" s="120">
        <v>3.0</v>
      </c>
      <c r="L258" s="280">
        <v>10710.0</v>
      </c>
      <c r="M258" s="280">
        <v>0.0</v>
      </c>
      <c r="N258" s="121">
        <v>0.0</v>
      </c>
      <c r="O258" s="109" t="str">
        <f t="shared" si="68"/>
        <v>#DIV/0!</v>
      </c>
      <c r="P258" s="110">
        <f t="shared" si="5"/>
        <v>0</v>
      </c>
      <c r="Q258" s="109">
        <f t="shared" si="6"/>
        <v>0.02143929107</v>
      </c>
      <c r="R258" s="111">
        <f t="shared" si="7"/>
        <v>0</v>
      </c>
      <c r="S258" s="122">
        <f t="shared" si="67"/>
        <v>139.93</v>
      </c>
      <c r="T258" s="113" t="str">
        <f t="shared" si="9"/>
        <v>#DIV/0!</v>
      </c>
      <c r="U258" s="172"/>
      <c r="V258" s="172"/>
      <c r="W258" s="172"/>
      <c r="X258" s="172"/>
      <c r="Y258" s="173"/>
      <c r="Z258" s="165"/>
      <c r="AA258" s="165"/>
    </row>
    <row r="259" hidden="1" outlineLevel="1">
      <c r="A259" s="165"/>
      <c r="B259" s="174"/>
      <c r="C259" s="100" t="s">
        <v>43</v>
      </c>
      <c r="D259" s="135">
        <v>0.0</v>
      </c>
      <c r="E259" s="105"/>
      <c r="F259" s="280">
        <v>0.0</v>
      </c>
      <c r="G259" s="280">
        <v>0.0</v>
      </c>
      <c r="H259" s="104" t="str">
        <f t="shared" si="1"/>
        <v>#DIV/0!</v>
      </c>
      <c r="I259" s="105" t="str">
        <f t="shared" si="2"/>
        <v>#DIV/0!</v>
      </c>
      <c r="J259" s="106" t="str">
        <f t="shared" si="3"/>
        <v>#DIV/0!</v>
      </c>
      <c r="K259" s="135">
        <v>19.95</v>
      </c>
      <c r="L259" s="280">
        <v>20397.0</v>
      </c>
      <c r="M259" s="280">
        <v>0.0</v>
      </c>
      <c r="N259" s="136">
        <v>0.0</v>
      </c>
      <c r="O259" s="109" t="str">
        <f t="shared" si="68"/>
        <v>#DIV/0!</v>
      </c>
      <c r="P259" s="110">
        <f t="shared" si="5"/>
        <v>0</v>
      </c>
      <c r="Q259" s="109" t="str">
        <f t="shared" si="6"/>
        <v>#DIV/0!</v>
      </c>
      <c r="R259" s="111" t="str">
        <f t="shared" si="7"/>
        <v>#DIV/0!</v>
      </c>
      <c r="S259" s="137">
        <f t="shared" si="67"/>
        <v>0</v>
      </c>
      <c r="T259" s="113" t="str">
        <f t="shared" si="9"/>
        <v>#DIV/0!</v>
      </c>
      <c r="U259" s="172"/>
      <c r="V259" s="172"/>
      <c r="W259" s="172"/>
      <c r="X259" s="172"/>
      <c r="Y259" s="173"/>
      <c r="Z259" s="165"/>
      <c r="AA259" s="165"/>
    </row>
    <row r="260" hidden="1" outlineLevel="1">
      <c r="A260" s="165"/>
      <c r="B260" s="174"/>
      <c r="C260" s="100" t="s">
        <v>44</v>
      </c>
      <c r="D260" s="138">
        <v>59.95</v>
      </c>
      <c r="E260" s="105"/>
      <c r="F260" s="280">
        <v>1.0</v>
      </c>
      <c r="G260" s="280">
        <v>1.0</v>
      </c>
      <c r="H260" s="104">
        <f t="shared" si="1"/>
        <v>1</v>
      </c>
      <c r="I260" s="105">
        <f t="shared" si="2"/>
        <v>59.95</v>
      </c>
      <c r="J260" s="106">
        <f t="shared" si="3"/>
        <v>59.95</v>
      </c>
      <c r="K260" s="138">
        <v>19.46</v>
      </c>
      <c r="L260" s="280">
        <v>7147.0</v>
      </c>
      <c r="M260" s="280">
        <v>0.0</v>
      </c>
      <c r="N260" s="139">
        <v>0.0</v>
      </c>
      <c r="O260" s="109" t="str">
        <f t="shared" si="68"/>
        <v>#DIV/0!</v>
      </c>
      <c r="P260" s="110">
        <f t="shared" si="5"/>
        <v>0</v>
      </c>
      <c r="Q260" s="109">
        <f t="shared" si="6"/>
        <v>0.3246038365</v>
      </c>
      <c r="R260" s="111">
        <f t="shared" si="7"/>
        <v>0</v>
      </c>
      <c r="S260" s="140">
        <f t="shared" si="67"/>
        <v>59.95</v>
      </c>
      <c r="T260" s="113" t="str">
        <f t="shared" si="9"/>
        <v>#DIV/0!</v>
      </c>
      <c r="U260" s="172"/>
      <c r="V260" s="172"/>
      <c r="W260" s="172"/>
      <c r="X260" s="172"/>
      <c r="Y260" s="173"/>
      <c r="Z260" s="165"/>
      <c r="AA260" s="165"/>
    </row>
    <row r="261" hidden="1" outlineLevel="1">
      <c r="A261" s="192"/>
      <c r="B261" s="174"/>
      <c r="C261" s="142" t="s">
        <v>45</v>
      </c>
      <c r="D261" s="101">
        <v>0.0</v>
      </c>
      <c r="E261" s="105"/>
      <c r="F261" s="280">
        <v>0.0</v>
      </c>
      <c r="G261" s="280">
        <v>0.0</v>
      </c>
      <c r="H261" s="104" t="str">
        <f t="shared" si="1"/>
        <v>#DIV/0!</v>
      </c>
      <c r="I261" s="105" t="str">
        <f t="shared" si="2"/>
        <v>#DIV/0!</v>
      </c>
      <c r="J261" s="106" t="str">
        <f t="shared" si="3"/>
        <v>#DIV/0!</v>
      </c>
      <c r="K261" s="101">
        <v>0.0</v>
      </c>
      <c r="L261" s="280">
        <v>0.0</v>
      </c>
      <c r="M261" s="280">
        <v>0.0</v>
      </c>
      <c r="N261" s="108">
        <v>0.0</v>
      </c>
      <c r="O261" s="109" t="str">
        <f t="shared" si="68"/>
        <v>#DIV/0!</v>
      </c>
      <c r="P261" s="110" t="str">
        <f t="shared" si="5"/>
        <v>#DIV/0!</v>
      </c>
      <c r="Q261" s="109" t="str">
        <f t="shared" si="6"/>
        <v>#DIV/0!</v>
      </c>
      <c r="R261" s="111" t="str">
        <f t="shared" si="7"/>
        <v>#DIV/0!</v>
      </c>
      <c r="S261" s="112">
        <f t="shared" si="67"/>
        <v>0</v>
      </c>
      <c r="T261" s="113" t="str">
        <f t="shared" si="9"/>
        <v>#DIV/0!</v>
      </c>
      <c r="U261" s="193"/>
      <c r="V261" s="193"/>
      <c r="W261" s="193"/>
      <c r="X261" s="194"/>
      <c r="Y261" s="195"/>
      <c r="Z261" s="165"/>
      <c r="AA261" s="165"/>
    </row>
    <row r="262" hidden="1" outlineLevel="1">
      <c r="A262" s="165"/>
      <c r="B262" s="174"/>
      <c r="C262" s="100" t="s">
        <v>46</v>
      </c>
      <c r="D262" s="146">
        <v>318.24</v>
      </c>
      <c r="E262" s="105"/>
      <c r="F262" s="280">
        <v>9.0</v>
      </c>
      <c r="G262" s="280">
        <v>11.0</v>
      </c>
      <c r="H262" s="104">
        <f t="shared" si="1"/>
        <v>0.8181818182</v>
      </c>
      <c r="I262" s="105">
        <f t="shared" si="2"/>
        <v>35.36</v>
      </c>
      <c r="J262" s="106">
        <f t="shared" si="3"/>
        <v>43.21777778</v>
      </c>
      <c r="K262" s="146">
        <v>75.23</v>
      </c>
      <c r="L262" s="280">
        <v>22887.0</v>
      </c>
      <c r="M262" s="280">
        <v>4.0</v>
      </c>
      <c r="N262" s="147">
        <v>142.04</v>
      </c>
      <c r="O262" s="109">
        <f t="shared" si="68"/>
        <v>0.5296395382</v>
      </c>
      <c r="P262" s="110">
        <f t="shared" si="5"/>
        <v>1.888076565</v>
      </c>
      <c r="Q262" s="109">
        <f t="shared" si="6"/>
        <v>0.2363939165</v>
      </c>
      <c r="R262" s="111">
        <f t="shared" si="7"/>
        <v>0.446329814</v>
      </c>
      <c r="S262" s="112">
        <f t="shared" si="67"/>
        <v>176.2</v>
      </c>
      <c r="T262" s="113">
        <f t="shared" si="9"/>
        <v>18.8075</v>
      </c>
      <c r="U262" s="172"/>
      <c r="V262" s="172"/>
      <c r="W262" s="172"/>
      <c r="X262" s="172"/>
      <c r="Y262" s="173"/>
      <c r="Z262" s="165"/>
      <c r="AA262" s="165"/>
    </row>
    <row r="263" hidden="1" outlineLevel="1">
      <c r="A263" s="148" t="str">
        <f t="shared" ref="A263:A264" si="69">iferror(if(B263&gt;0,month(B263)&amp;"-"&amp;year(B263),B263),)</f>
        <v>3-2025</v>
      </c>
      <c r="B263" s="99">
        <v>45738.0</v>
      </c>
      <c r="C263" s="100" t="s">
        <v>49</v>
      </c>
      <c r="D263" s="146">
        <v>0.0</v>
      </c>
      <c r="E263" s="105"/>
      <c r="F263" s="280">
        <v>0.0</v>
      </c>
      <c r="G263" s="280">
        <v>0.0</v>
      </c>
      <c r="H263" s="104" t="str">
        <f t="shared" si="1"/>
        <v>#DIV/0!</v>
      </c>
      <c r="I263" s="105" t="str">
        <f t="shared" si="2"/>
        <v>#DIV/0!</v>
      </c>
      <c r="J263" s="106" t="str">
        <f t="shared" si="3"/>
        <v>#DIV/0!</v>
      </c>
      <c r="K263" s="146">
        <v>5.99</v>
      </c>
      <c r="L263" s="280">
        <v>6262.0</v>
      </c>
      <c r="M263" s="280">
        <v>0.0</v>
      </c>
      <c r="N263" s="147">
        <v>0.0</v>
      </c>
      <c r="O263" s="109" t="str">
        <f t="shared" si="68"/>
        <v>#DIV/0!</v>
      </c>
      <c r="P263" s="110">
        <f t="shared" si="5"/>
        <v>0</v>
      </c>
      <c r="Q263" s="109" t="str">
        <f t="shared" si="6"/>
        <v>#DIV/0!</v>
      </c>
      <c r="R263" s="111" t="str">
        <f t="shared" si="7"/>
        <v>#DIV/0!</v>
      </c>
      <c r="S263" s="112">
        <f t="shared" si="67"/>
        <v>0</v>
      </c>
      <c r="T263" s="113" t="str">
        <f t="shared" si="9"/>
        <v>#DIV/0!</v>
      </c>
      <c r="U263" s="172"/>
      <c r="V263" s="172"/>
      <c r="W263" s="172"/>
      <c r="X263" s="172"/>
      <c r="Y263" s="173"/>
      <c r="Z263" s="165"/>
      <c r="AA263" s="165"/>
    </row>
    <row r="264" collapsed="1">
      <c r="A264" s="165" t="str">
        <f t="shared" si="69"/>
        <v/>
      </c>
      <c r="B264" s="80" t="s">
        <v>99</v>
      </c>
      <c r="C264" s="201"/>
      <c r="D264" s="151">
        <f>SUM(D247:D263)</f>
        <v>9731.99</v>
      </c>
      <c r="E264" s="155"/>
      <c r="F264" s="202">
        <f t="shared" ref="F264:G264" si="70">SUM(F247:F263)</f>
        <v>101</v>
      </c>
      <c r="G264" s="202">
        <f t="shared" si="70"/>
        <v>102</v>
      </c>
      <c r="H264" s="154">
        <f t="shared" si="1"/>
        <v>0.9901960784</v>
      </c>
      <c r="I264" s="155">
        <f t="shared" si="2"/>
        <v>96.35633663</v>
      </c>
      <c r="J264" s="156">
        <f t="shared" si="3"/>
        <v>97.31035977</v>
      </c>
      <c r="K264" s="151">
        <f t="shared" ref="K264:N264" si="71">SUM(K247:K263)</f>
        <v>1081.07</v>
      </c>
      <c r="L264" s="202">
        <f t="shared" si="71"/>
        <v>275261</v>
      </c>
      <c r="M264" s="202">
        <f t="shared" si="71"/>
        <v>28</v>
      </c>
      <c r="N264" s="157">
        <f t="shared" si="71"/>
        <v>2957.23</v>
      </c>
      <c r="O264" s="158">
        <f t="shared" si="68"/>
        <v>0.3655684543</v>
      </c>
      <c r="P264" s="159">
        <f t="shared" si="5"/>
        <v>2.735465789</v>
      </c>
      <c r="Q264" s="158">
        <f t="shared" si="6"/>
        <v>0.1110841668</v>
      </c>
      <c r="R264" s="160">
        <f t="shared" si="7"/>
        <v>0.3038669378</v>
      </c>
      <c r="S264" s="161">
        <f>SUM(S247:S263)</f>
        <v>6774.76</v>
      </c>
      <c r="T264" s="162">
        <f t="shared" si="9"/>
        <v>38.60964286</v>
      </c>
      <c r="U264" s="163">
        <f>IFERROR((D264-D246)/D264,)</f>
        <v>0.2209897462</v>
      </c>
      <c r="V264" s="163">
        <f>IFERROR((F264-F246)/F264,)</f>
        <v>0.06930693069</v>
      </c>
      <c r="W264" s="398" t="str">
        <f>IFERROR((D264-monthly_reporting_2021!E55)/D264, )</f>
        <v/>
      </c>
      <c r="X264" s="398" t="str">
        <f>IFERROR((F264-monthly_reporting_2021!F55)/F264, )</f>
        <v/>
      </c>
      <c r="Y264" s="165"/>
      <c r="Z264" s="165"/>
      <c r="AA264" s="165"/>
    </row>
    <row r="265" hidden="1" outlineLevel="1">
      <c r="A265" s="165"/>
      <c r="B265" s="99">
        <v>45739.0</v>
      </c>
      <c r="C265" s="100" t="s">
        <v>32</v>
      </c>
      <c r="D265" s="101">
        <v>8096.74</v>
      </c>
      <c r="E265" s="105"/>
      <c r="F265" s="280">
        <v>23.0</v>
      </c>
      <c r="G265" s="280">
        <v>25.0</v>
      </c>
      <c r="H265" s="104">
        <f t="shared" si="1"/>
        <v>0.92</v>
      </c>
      <c r="I265" s="105">
        <f t="shared" si="2"/>
        <v>352.0321739</v>
      </c>
      <c r="J265" s="106">
        <f t="shared" si="3"/>
        <v>382.6436673</v>
      </c>
      <c r="K265" s="107">
        <v>508.84</v>
      </c>
      <c r="L265" s="280">
        <v>99126.0</v>
      </c>
      <c r="M265" s="280">
        <v>5.0</v>
      </c>
      <c r="N265" s="108">
        <v>900.33</v>
      </c>
      <c r="O265" s="109">
        <f t="shared" si="68"/>
        <v>0.5651705486</v>
      </c>
      <c r="P265" s="110">
        <f t="shared" si="5"/>
        <v>1.769377407</v>
      </c>
      <c r="Q265" s="109">
        <f t="shared" si="6"/>
        <v>0.06284504628</v>
      </c>
      <c r="R265" s="111">
        <f t="shared" si="7"/>
        <v>0.1111966051</v>
      </c>
      <c r="S265" s="112">
        <f t="shared" ref="S265:S281" si="72">D265-N265</f>
        <v>7196.41</v>
      </c>
      <c r="T265" s="113">
        <f t="shared" si="9"/>
        <v>101.768</v>
      </c>
      <c r="U265" s="172"/>
      <c r="V265" s="172"/>
      <c r="W265" s="172"/>
      <c r="X265" s="172"/>
      <c r="Y265" s="173"/>
      <c r="Z265" s="165"/>
      <c r="AA265" s="165"/>
    </row>
    <row r="266" hidden="1" outlineLevel="1">
      <c r="A266" s="165"/>
      <c r="B266" s="174"/>
      <c r="C266" s="100" t="s">
        <v>33</v>
      </c>
      <c r="D266" s="117">
        <v>9235.01</v>
      </c>
      <c r="E266" s="105"/>
      <c r="F266" s="280">
        <v>47.0</v>
      </c>
      <c r="G266" s="280">
        <v>46.0</v>
      </c>
      <c r="H266" s="104">
        <f t="shared" si="1"/>
        <v>1.02173913</v>
      </c>
      <c r="I266" s="105">
        <f t="shared" si="2"/>
        <v>196.4895745</v>
      </c>
      <c r="J266" s="106">
        <f t="shared" si="3"/>
        <v>192.3089452</v>
      </c>
      <c r="K266" s="117">
        <v>217.32</v>
      </c>
      <c r="L266" s="280">
        <v>91243.0</v>
      </c>
      <c r="M266" s="280">
        <v>7.0</v>
      </c>
      <c r="N266" s="118">
        <v>1471.02</v>
      </c>
      <c r="O266" s="109">
        <f t="shared" si="68"/>
        <v>0.1477342252</v>
      </c>
      <c r="P266" s="110">
        <f t="shared" si="5"/>
        <v>6.768912203</v>
      </c>
      <c r="Q266" s="109">
        <f t="shared" si="6"/>
        <v>0.02353218892</v>
      </c>
      <c r="R266" s="111">
        <f t="shared" si="7"/>
        <v>0.1592873208</v>
      </c>
      <c r="S266" s="119">
        <f t="shared" si="72"/>
        <v>7763.99</v>
      </c>
      <c r="T266" s="113">
        <f t="shared" si="9"/>
        <v>31.04571429</v>
      </c>
      <c r="U266" s="172"/>
      <c r="V266" s="172"/>
      <c r="W266" s="172"/>
      <c r="X266" s="172"/>
      <c r="Y266" s="173"/>
      <c r="Z266" s="165"/>
      <c r="AA266" s="165"/>
    </row>
    <row r="267" hidden="1" outlineLevel="1">
      <c r="A267" s="165"/>
      <c r="B267" s="174"/>
      <c r="C267" s="100" t="s">
        <v>34</v>
      </c>
      <c r="D267" s="120">
        <v>139.9</v>
      </c>
      <c r="E267" s="105"/>
      <c r="F267" s="280">
        <v>2.0</v>
      </c>
      <c r="G267" s="280">
        <v>1.0</v>
      </c>
      <c r="H267" s="104">
        <f t="shared" si="1"/>
        <v>2</v>
      </c>
      <c r="I267" s="105">
        <f t="shared" si="2"/>
        <v>69.95</v>
      </c>
      <c r="J267" s="106">
        <f t="shared" si="3"/>
        <v>34.975</v>
      </c>
      <c r="K267" s="120">
        <v>0.0</v>
      </c>
      <c r="L267" s="280">
        <v>0.0</v>
      </c>
      <c r="M267" s="280">
        <v>0.0</v>
      </c>
      <c r="N267" s="121">
        <v>0.0</v>
      </c>
      <c r="O267" s="109" t="str">
        <f>(K267/N267)</f>
        <v>#DIV/0!</v>
      </c>
      <c r="P267" s="110" t="str">
        <f t="shared" si="5"/>
        <v>#DIV/0!</v>
      </c>
      <c r="Q267" s="109">
        <f t="shared" si="6"/>
        <v>0</v>
      </c>
      <c r="R267" s="111">
        <f t="shared" si="7"/>
        <v>0</v>
      </c>
      <c r="S267" s="122">
        <f t="shared" si="72"/>
        <v>139.9</v>
      </c>
      <c r="T267" s="113" t="str">
        <f t="shared" si="9"/>
        <v>#DIV/0!</v>
      </c>
      <c r="U267" s="172"/>
      <c r="V267" s="172"/>
      <c r="W267" s="172"/>
      <c r="X267" s="172"/>
      <c r="Y267" s="173"/>
      <c r="Z267" s="165"/>
      <c r="AA267" s="165"/>
    </row>
    <row r="268" hidden="1" outlineLevel="1">
      <c r="A268" s="165"/>
      <c r="B268" s="174"/>
      <c r="C268" s="100" t="s">
        <v>35</v>
      </c>
      <c r="D268" s="120">
        <v>530.55</v>
      </c>
      <c r="E268" s="105"/>
      <c r="F268" s="280">
        <v>9.0</v>
      </c>
      <c r="G268" s="280">
        <v>6.0</v>
      </c>
      <c r="H268" s="104">
        <f t="shared" si="1"/>
        <v>1.5</v>
      </c>
      <c r="I268" s="105">
        <f t="shared" si="2"/>
        <v>58.95</v>
      </c>
      <c r="J268" s="106">
        <f t="shared" si="3"/>
        <v>39.3</v>
      </c>
      <c r="K268" s="120">
        <v>88.02</v>
      </c>
      <c r="L268" s="280">
        <v>7631.0</v>
      </c>
      <c r="M268" s="280">
        <v>2.0</v>
      </c>
      <c r="N268" s="121">
        <v>119.9</v>
      </c>
      <c r="O268" s="109">
        <f t="shared" ref="O268:O284" si="73">K268/N268</f>
        <v>0.7341117598</v>
      </c>
      <c r="P268" s="110">
        <f t="shared" si="5"/>
        <v>1.362190411</v>
      </c>
      <c r="Q268" s="109">
        <f t="shared" si="6"/>
        <v>0.1659033079</v>
      </c>
      <c r="R268" s="111">
        <f t="shared" si="7"/>
        <v>0.2259918952</v>
      </c>
      <c r="S268" s="122">
        <f t="shared" si="72"/>
        <v>410.65</v>
      </c>
      <c r="T268" s="113">
        <f t="shared" si="9"/>
        <v>44.01</v>
      </c>
      <c r="U268" s="172"/>
      <c r="V268" s="172"/>
      <c r="W268" s="172"/>
      <c r="X268" s="172"/>
      <c r="Y268" s="173"/>
      <c r="Z268" s="165"/>
      <c r="AA268" s="165"/>
    </row>
    <row r="269" hidden="1" outlineLevel="1">
      <c r="A269" s="165"/>
      <c r="B269" s="174"/>
      <c r="C269" s="100" t="s">
        <v>65</v>
      </c>
      <c r="D269" s="300">
        <v>456.0</v>
      </c>
      <c r="E269" s="105"/>
      <c r="F269" s="280">
        <v>12.0</v>
      </c>
      <c r="G269" s="280">
        <v>8.0</v>
      </c>
      <c r="H269" s="104">
        <f t="shared" si="1"/>
        <v>1.5</v>
      </c>
      <c r="I269" s="105">
        <f t="shared" si="2"/>
        <v>38</v>
      </c>
      <c r="J269" s="106">
        <f t="shared" si="3"/>
        <v>25.33333333</v>
      </c>
      <c r="K269" s="300">
        <v>0.0</v>
      </c>
      <c r="L269" s="280">
        <v>0.0</v>
      </c>
      <c r="M269" s="280">
        <v>0.0</v>
      </c>
      <c r="N269" s="300">
        <v>0.0</v>
      </c>
      <c r="O269" s="109" t="str">
        <f t="shared" si="73"/>
        <v>#DIV/0!</v>
      </c>
      <c r="P269" s="110" t="str">
        <f t="shared" si="5"/>
        <v>#DIV/0!</v>
      </c>
      <c r="Q269" s="109">
        <f t="shared" si="6"/>
        <v>0</v>
      </c>
      <c r="R269" s="111">
        <f t="shared" si="7"/>
        <v>0</v>
      </c>
      <c r="S269" s="122">
        <f t="shared" si="72"/>
        <v>456</v>
      </c>
      <c r="T269" s="113" t="str">
        <f t="shared" si="9"/>
        <v>#DIV/0!</v>
      </c>
      <c r="U269" s="172"/>
      <c r="V269" s="172"/>
      <c r="W269" s="172"/>
      <c r="X269" s="172"/>
      <c r="Y269" s="173"/>
      <c r="Z269" s="165"/>
      <c r="AA269" s="165"/>
    </row>
    <row r="270" hidden="1" outlineLevel="1">
      <c r="A270" s="165"/>
      <c r="B270" s="174"/>
      <c r="C270" s="100" t="s">
        <v>85</v>
      </c>
      <c r="D270" s="302">
        <v>-64.95</v>
      </c>
      <c r="E270" s="105"/>
      <c r="F270" s="280">
        <v>-1.0</v>
      </c>
      <c r="G270" s="280">
        <v>1.0</v>
      </c>
      <c r="H270" s="104">
        <f t="shared" si="1"/>
        <v>-1</v>
      </c>
      <c r="I270" s="105">
        <f t="shared" si="2"/>
        <v>64.95</v>
      </c>
      <c r="J270" s="106">
        <f t="shared" si="3"/>
        <v>-64.95</v>
      </c>
      <c r="K270" s="302">
        <v>3.3</v>
      </c>
      <c r="L270" s="280">
        <v>128.0</v>
      </c>
      <c r="M270" s="280">
        <v>0.0</v>
      </c>
      <c r="N270" s="303">
        <v>0.0</v>
      </c>
      <c r="O270" s="109" t="str">
        <f t="shared" si="73"/>
        <v>#DIV/0!</v>
      </c>
      <c r="P270" s="110">
        <f t="shared" si="5"/>
        <v>0</v>
      </c>
      <c r="Q270" s="109">
        <f t="shared" si="6"/>
        <v>-0.05080831409</v>
      </c>
      <c r="R270" s="111">
        <f t="shared" si="7"/>
        <v>0</v>
      </c>
      <c r="S270" s="304">
        <f t="shared" si="72"/>
        <v>-64.95</v>
      </c>
      <c r="T270" s="113" t="str">
        <f t="shared" si="9"/>
        <v>#DIV/0!</v>
      </c>
      <c r="U270" s="172"/>
      <c r="V270" s="172"/>
      <c r="W270" s="172"/>
      <c r="X270" s="172"/>
      <c r="Y270" s="173"/>
      <c r="Z270" s="165"/>
      <c r="AA270" s="165"/>
    </row>
    <row r="271" hidden="1" outlineLevel="1">
      <c r="A271" s="165"/>
      <c r="B271" s="174"/>
      <c r="C271" s="100" t="s">
        <v>36</v>
      </c>
      <c r="D271" s="120">
        <v>419.7</v>
      </c>
      <c r="E271" s="105"/>
      <c r="F271" s="280">
        <v>6.0</v>
      </c>
      <c r="G271" s="280">
        <v>6.0</v>
      </c>
      <c r="H271" s="104">
        <f t="shared" si="1"/>
        <v>1</v>
      </c>
      <c r="I271" s="105">
        <f t="shared" si="2"/>
        <v>69.95</v>
      </c>
      <c r="J271" s="106">
        <f t="shared" si="3"/>
        <v>69.95</v>
      </c>
      <c r="K271" s="120">
        <v>38.65</v>
      </c>
      <c r="L271" s="280">
        <v>4191.0</v>
      </c>
      <c r="M271" s="280">
        <v>3.0</v>
      </c>
      <c r="N271" s="121">
        <v>209.85</v>
      </c>
      <c r="O271" s="109">
        <f t="shared" si="73"/>
        <v>0.1841791756</v>
      </c>
      <c r="P271" s="110">
        <f t="shared" si="5"/>
        <v>5.429495472</v>
      </c>
      <c r="Q271" s="109">
        <f t="shared" si="6"/>
        <v>0.0920895878</v>
      </c>
      <c r="R271" s="111">
        <f t="shared" si="7"/>
        <v>0.5</v>
      </c>
      <c r="S271" s="122">
        <f t="shared" si="72"/>
        <v>209.85</v>
      </c>
      <c r="T271" s="113">
        <f t="shared" si="9"/>
        <v>12.88333333</v>
      </c>
      <c r="U271" s="172"/>
      <c r="V271" s="172"/>
      <c r="W271" s="172"/>
      <c r="X271" s="172"/>
      <c r="Y271" s="173"/>
      <c r="Z271" s="165"/>
      <c r="AA271" s="165"/>
    </row>
    <row r="272" hidden="1" outlineLevel="1">
      <c r="A272" s="165"/>
      <c r="B272" s="99" t="s">
        <v>37</v>
      </c>
      <c r="C272" s="100" t="s">
        <v>38</v>
      </c>
      <c r="D272" s="123">
        <v>21.59</v>
      </c>
      <c r="E272" s="105"/>
      <c r="F272" s="280">
        <v>4.0</v>
      </c>
      <c r="G272" s="280">
        <v>4.0</v>
      </c>
      <c r="H272" s="104">
        <f t="shared" si="1"/>
        <v>1</v>
      </c>
      <c r="I272" s="105">
        <f t="shared" si="2"/>
        <v>5.3975</v>
      </c>
      <c r="J272" s="106">
        <f t="shared" si="3"/>
        <v>5.3975</v>
      </c>
      <c r="K272" s="123">
        <v>119.39</v>
      </c>
      <c r="L272" s="280">
        <v>10084.0</v>
      </c>
      <c r="M272" s="280">
        <v>4.0</v>
      </c>
      <c r="N272" s="124">
        <v>86.24</v>
      </c>
      <c r="O272" s="109">
        <f t="shared" si="73"/>
        <v>1.384392393</v>
      </c>
      <c r="P272" s="110">
        <f t="shared" si="5"/>
        <v>0.7223385543</v>
      </c>
      <c r="Q272" s="109">
        <f t="shared" si="6"/>
        <v>5.529874942</v>
      </c>
      <c r="R272" s="111">
        <f t="shared" si="7"/>
        <v>3.994441871</v>
      </c>
      <c r="S272" s="125">
        <f t="shared" si="72"/>
        <v>-64.65</v>
      </c>
      <c r="T272" s="113">
        <f t="shared" si="9"/>
        <v>29.8475</v>
      </c>
      <c r="U272" s="172"/>
      <c r="V272" s="172"/>
      <c r="W272" s="172"/>
      <c r="X272" s="172"/>
      <c r="Y272" s="173"/>
      <c r="Z272" s="165"/>
      <c r="AA272" s="165"/>
    </row>
    <row r="273" hidden="1" outlineLevel="1">
      <c r="A273" s="165"/>
      <c r="B273" s="174"/>
      <c r="C273" s="100" t="s">
        <v>39</v>
      </c>
      <c r="D273" s="126">
        <v>359.89</v>
      </c>
      <c r="E273" s="105"/>
      <c r="F273" s="280">
        <v>3.0</v>
      </c>
      <c r="G273" s="280">
        <v>3.0</v>
      </c>
      <c r="H273" s="104">
        <f t="shared" si="1"/>
        <v>1</v>
      </c>
      <c r="I273" s="105">
        <f t="shared" si="2"/>
        <v>119.9633333</v>
      </c>
      <c r="J273" s="106">
        <f t="shared" si="3"/>
        <v>119.9633333</v>
      </c>
      <c r="K273" s="126">
        <v>0.0</v>
      </c>
      <c r="L273" s="280">
        <v>0.0</v>
      </c>
      <c r="M273" s="280">
        <v>0.0</v>
      </c>
      <c r="N273" s="127">
        <v>0.0</v>
      </c>
      <c r="O273" s="109" t="str">
        <f t="shared" si="73"/>
        <v>#DIV/0!</v>
      </c>
      <c r="P273" s="110" t="str">
        <f t="shared" si="5"/>
        <v>#DIV/0!</v>
      </c>
      <c r="Q273" s="109">
        <f t="shared" si="6"/>
        <v>0</v>
      </c>
      <c r="R273" s="111">
        <f t="shared" si="7"/>
        <v>0</v>
      </c>
      <c r="S273" s="128">
        <f t="shared" si="72"/>
        <v>359.89</v>
      </c>
      <c r="T273" s="113" t="str">
        <f t="shared" si="9"/>
        <v>#DIV/0!</v>
      </c>
      <c r="U273" s="172"/>
      <c r="V273" s="172"/>
      <c r="W273" s="172"/>
      <c r="X273" s="172"/>
      <c r="Y273" s="173"/>
      <c r="Z273" s="165"/>
      <c r="AA273" s="165"/>
    </row>
    <row r="274" hidden="1" outlineLevel="1">
      <c r="A274" s="165"/>
      <c r="B274" s="174"/>
      <c r="C274" s="100" t="s">
        <v>40</v>
      </c>
      <c r="D274" s="129">
        <v>1327.09</v>
      </c>
      <c r="E274" s="105"/>
      <c r="F274" s="280">
        <v>27.0</v>
      </c>
      <c r="G274" s="280">
        <v>13.0</v>
      </c>
      <c r="H274" s="104">
        <f t="shared" si="1"/>
        <v>2.076923077</v>
      </c>
      <c r="I274" s="105">
        <f t="shared" si="2"/>
        <v>49.15148148</v>
      </c>
      <c r="J274" s="106">
        <f t="shared" si="3"/>
        <v>23.66552812</v>
      </c>
      <c r="K274" s="129">
        <v>0.0</v>
      </c>
      <c r="L274" s="280">
        <v>0.0</v>
      </c>
      <c r="M274" s="280">
        <v>0.0</v>
      </c>
      <c r="N274" s="130">
        <v>0.0</v>
      </c>
      <c r="O274" s="109" t="str">
        <f t="shared" si="73"/>
        <v>#DIV/0!</v>
      </c>
      <c r="P274" s="110" t="str">
        <f t="shared" si="5"/>
        <v>#DIV/0!</v>
      </c>
      <c r="Q274" s="109">
        <f t="shared" si="6"/>
        <v>0</v>
      </c>
      <c r="R274" s="111">
        <f t="shared" si="7"/>
        <v>0</v>
      </c>
      <c r="S274" s="131">
        <f t="shared" si="72"/>
        <v>1327.09</v>
      </c>
      <c r="T274" s="113" t="str">
        <f t="shared" si="9"/>
        <v>#DIV/0!</v>
      </c>
      <c r="U274" s="172"/>
      <c r="V274" s="172"/>
      <c r="W274" s="172"/>
      <c r="X274" s="172"/>
      <c r="Y274" s="173"/>
      <c r="Z274" s="165"/>
      <c r="AA274" s="165"/>
    </row>
    <row r="275" hidden="1" outlineLevel="1">
      <c r="A275" s="165"/>
      <c r="B275" s="174"/>
      <c r="C275" s="100" t="s">
        <v>41</v>
      </c>
      <c r="D275" s="132">
        <v>66.99</v>
      </c>
      <c r="E275" s="105"/>
      <c r="F275" s="280">
        <v>1.0</v>
      </c>
      <c r="G275" s="280">
        <v>1.0</v>
      </c>
      <c r="H275" s="104">
        <f t="shared" si="1"/>
        <v>1</v>
      </c>
      <c r="I275" s="105">
        <f t="shared" si="2"/>
        <v>66.99</v>
      </c>
      <c r="J275" s="106">
        <f t="shared" si="3"/>
        <v>66.99</v>
      </c>
      <c r="K275" s="132">
        <v>0.0</v>
      </c>
      <c r="L275" s="280">
        <v>0.0</v>
      </c>
      <c r="M275" s="280">
        <v>0.0</v>
      </c>
      <c r="N275" s="133">
        <v>0.0</v>
      </c>
      <c r="O275" s="109" t="str">
        <f t="shared" si="73"/>
        <v>#DIV/0!</v>
      </c>
      <c r="P275" s="110" t="str">
        <f t="shared" si="5"/>
        <v>#DIV/0!</v>
      </c>
      <c r="Q275" s="109">
        <f t="shared" si="6"/>
        <v>0</v>
      </c>
      <c r="R275" s="111">
        <f t="shared" si="7"/>
        <v>0</v>
      </c>
      <c r="S275" s="134">
        <f t="shared" si="72"/>
        <v>66.99</v>
      </c>
      <c r="T275" s="113" t="str">
        <f t="shared" si="9"/>
        <v>#DIV/0!</v>
      </c>
      <c r="U275" s="172"/>
      <c r="V275" s="172"/>
      <c r="W275" s="172"/>
      <c r="X275" s="172"/>
      <c r="Y275" s="173"/>
      <c r="Z275" s="165"/>
      <c r="AA275" s="165"/>
    </row>
    <row r="276" hidden="1" outlineLevel="1">
      <c r="A276" s="165"/>
      <c r="B276" s="174"/>
      <c r="C276" s="100" t="s">
        <v>42</v>
      </c>
      <c r="D276" s="120">
        <v>159.92</v>
      </c>
      <c r="E276" s="105"/>
      <c r="F276" s="280">
        <v>8.0</v>
      </c>
      <c r="G276" s="280">
        <v>6.0</v>
      </c>
      <c r="H276" s="104">
        <f t="shared" si="1"/>
        <v>1.333333333</v>
      </c>
      <c r="I276" s="105">
        <f t="shared" si="2"/>
        <v>19.99</v>
      </c>
      <c r="J276" s="106">
        <f t="shared" si="3"/>
        <v>14.9925</v>
      </c>
      <c r="K276" s="120">
        <v>3.0</v>
      </c>
      <c r="L276" s="280">
        <v>10792.0</v>
      </c>
      <c r="M276" s="280">
        <v>1.0</v>
      </c>
      <c r="N276" s="121">
        <v>19.99</v>
      </c>
      <c r="O276" s="109">
        <f t="shared" si="73"/>
        <v>0.1500750375</v>
      </c>
      <c r="P276" s="110">
        <f t="shared" si="5"/>
        <v>6.663333333</v>
      </c>
      <c r="Q276" s="109">
        <f t="shared" si="6"/>
        <v>0.01875937969</v>
      </c>
      <c r="R276" s="111">
        <f t="shared" si="7"/>
        <v>0.125</v>
      </c>
      <c r="S276" s="122">
        <f t="shared" si="72"/>
        <v>139.93</v>
      </c>
      <c r="T276" s="113">
        <f t="shared" si="9"/>
        <v>3</v>
      </c>
      <c r="U276" s="172"/>
      <c r="V276" s="172"/>
      <c r="W276" s="172"/>
      <c r="X276" s="172"/>
      <c r="Y276" s="173"/>
      <c r="Z276" s="165"/>
      <c r="AA276" s="165"/>
    </row>
    <row r="277" hidden="1" outlineLevel="1">
      <c r="A277" s="165"/>
      <c r="B277" s="174"/>
      <c r="C277" s="100" t="s">
        <v>43</v>
      </c>
      <c r="D277" s="135">
        <v>344.0</v>
      </c>
      <c r="E277" s="105"/>
      <c r="F277" s="280">
        <v>2.0</v>
      </c>
      <c r="G277" s="280">
        <v>2.0</v>
      </c>
      <c r="H277" s="104">
        <f t="shared" si="1"/>
        <v>1</v>
      </c>
      <c r="I277" s="105">
        <f t="shared" si="2"/>
        <v>172</v>
      </c>
      <c r="J277" s="106">
        <f t="shared" si="3"/>
        <v>172</v>
      </c>
      <c r="K277" s="135">
        <v>8.25</v>
      </c>
      <c r="L277" s="280">
        <v>18913.0</v>
      </c>
      <c r="M277" s="280">
        <v>0.0</v>
      </c>
      <c r="N277" s="136">
        <v>0.0</v>
      </c>
      <c r="O277" s="109" t="str">
        <f t="shared" si="73"/>
        <v>#DIV/0!</v>
      </c>
      <c r="P277" s="110">
        <f t="shared" si="5"/>
        <v>0</v>
      </c>
      <c r="Q277" s="109">
        <f t="shared" si="6"/>
        <v>0.02398255814</v>
      </c>
      <c r="R277" s="111">
        <f t="shared" si="7"/>
        <v>0</v>
      </c>
      <c r="S277" s="137">
        <f t="shared" si="72"/>
        <v>344</v>
      </c>
      <c r="T277" s="113" t="str">
        <f t="shared" si="9"/>
        <v>#DIV/0!</v>
      </c>
      <c r="U277" s="172"/>
      <c r="V277" s="172"/>
      <c r="W277" s="172"/>
      <c r="X277" s="172"/>
      <c r="Y277" s="173"/>
      <c r="Z277" s="165"/>
      <c r="AA277" s="165"/>
    </row>
    <row r="278" hidden="1" outlineLevel="1">
      <c r="A278" s="165"/>
      <c r="B278" s="174"/>
      <c r="C278" s="100" t="s">
        <v>44</v>
      </c>
      <c r="D278" s="138">
        <v>50.96</v>
      </c>
      <c r="E278" s="105"/>
      <c r="F278" s="280">
        <v>1.0</v>
      </c>
      <c r="G278" s="280">
        <v>1.0</v>
      </c>
      <c r="H278" s="104">
        <f t="shared" si="1"/>
        <v>1</v>
      </c>
      <c r="I278" s="105">
        <f t="shared" si="2"/>
        <v>50.96</v>
      </c>
      <c r="J278" s="106">
        <f t="shared" si="3"/>
        <v>50.96</v>
      </c>
      <c r="K278" s="138">
        <v>26.57</v>
      </c>
      <c r="L278" s="280">
        <v>7414.0</v>
      </c>
      <c r="M278" s="280">
        <v>0.0</v>
      </c>
      <c r="N278" s="139">
        <v>0.0</v>
      </c>
      <c r="O278" s="109" t="str">
        <f t="shared" si="73"/>
        <v>#DIV/0!</v>
      </c>
      <c r="P278" s="110">
        <f t="shared" si="5"/>
        <v>0</v>
      </c>
      <c r="Q278" s="109">
        <f t="shared" si="6"/>
        <v>0.521389325</v>
      </c>
      <c r="R278" s="111">
        <f t="shared" si="7"/>
        <v>0</v>
      </c>
      <c r="S278" s="140">
        <f t="shared" si="72"/>
        <v>50.96</v>
      </c>
      <c r="T278" s="113" t="str">
        <f t="shared" si="9"/>
        <v>#DIV/0!</v>
      </c>
      <c r="U278" s="172"/>
      <c r="V278" s="172"/>
      <c r="W278" s="172"/>
      <c r="X278" s="172"/>
      <c r="Y278" s="173"/>
      <c r="Z278" s="165"/>
      <c r="AA278" s="165"/>
    </row>
    <row r="279" hidden="1" outlineLevel="1">
      <c r="A279" s="192"/>
      <c r="B279" s="174"/>
      <c r="C279" s="142" t="s">
        <v>45</v>
      </c>
      <c r="D279" s="101">
        <v>79.8</v>
      </c>
      <c r="E279" s="105"/>
      <c r="F279" s="280">
        <v>4.0</v>
      </c>
      <c r="G279" s="280">
        <v>3.0</v>
      </c>
      <c r="H279" s="104">
        <f t="shared" si="1"/>
        <v>1.333333333</v>
      </c>
      <c r="I279" s="105">
        <f t="shared" si="2"/>
        <v>19.95</v>
      </c>
      <c r="J279" s="106">
        <f t="shared" si="3"/>
        <v>14.9625</v>
      </c>
      <c r="K279" s="101">
        <v>0.0</v>
      </c>
      <c r="L279" s="280">
        <v>0.0</v>
      </c>
      <c r="M279" s="280">
        <v>0.0</v>
      </c>
      <c r="N279" s="108">
        <v>0.0</v>
      </c>
      <c r="O279" s="109" t="str">
        <f t="shared" si="73"/>
        <v>#DIV/0!</v>
      </c>
      <c r="P279" s="110" t="str">
        <f t="shared" si="5"/>
        <v>#DIV/0!</v>
      </c>
      <c r="Q279" s="109">
        <f t="shared" si="6"/>
        <v>0</v>
      </c>
      <c r="R279" s="111">
        <f t="shared" si="7"/>
        <v>0</v>
      </c>
      <c r="S279" s="112">
        <f t="shared" si="72"/>
        <v>79.8</v>
      </c>
      <c r="T279" s="113" t="str">
        <f t="shared" si="9"/>
        <v>#DIV/0!</v>
      </c>
      <c r="U279" s="193"/>
      <c r="V279" s="193"/>
      <c r="W279" s="193"/>
      <c r="X279" s="194"/>
      <c r="Y279" s="195"/>
      <c r="Z279" s="165"/>
      <c r="AA279" s="165"/>
    </row>
    <row r="280" hidden="1" outlineLevel="1">
      <c r="A280" s="165"/>
      <c r="B280" s="174"/>
      <c r="C280" s="100" t="s">
        <v>46</v>
      </c>
      <c r="D280" s="146">
        <v>203.16</v>
      </c>
      <c r="E280" s="105"/>
      <c r="F280" s="280">
        <v>6.0</v>
      </c>
      <c r="G280" s="280">
        <v>7.0</v>
      </c>
      <c r="H280" s="104">
        <f t="shared" si="1"/>
        <v>0.8571428571</v>
      </c>
      <c r="I280" s="105">
        <f t="shared" si="2"/>
        <v>33.86</v>
      </c>
      <c r="J280" s="106">
        <f t="shared" si="3"/>
        <v>39.50333333</v>
      </c>
      <c r="K280" s="146">
        <v>65.79</v>
      </c>
      <c r="L280" s="280">
        <v>21355.0</v>
      </c>
      <c r="M280" s="280">
        <v>3.0</v>
      </c>
      <c r="N280" s="147">
        <v>102.48</v>
      </c>
      <c r="O280" s="109">
        <f t="shared" si="73"/>
        <v>0.6419789227</v>
      </c>
      <c r="P280" s="110">
        <f t="shared" si="5"/>
        <v>1.557683539</v>
      </c>
      <c r="Q280" s="109">
        <f t="shared" si="6"/>
        <v>0.3238334318</v>
      </c>
      <c r="R280" s="111">
        <f t="shared" si="7"/>
        <v>0.5044300059</v>
      </c>
      <c r="S280" s="112">
        <f t="shared" si="72"/>
        <v>100.68</v>
      </c>
      <c r="T280" s="113">
        <f t="shared" si="9"/>
        <v>21.93</v>
      </c>
      <c r="U280" s="172"/>
      <c r="V280" s="172"/>
      <c r="W280" s="172"/>
      <c r="X280" s="172"/>
      <c r="Y280" s="173"/>
      <c r="Z280" s="165"/>
      <c r="AA280" s="165"/>
    </row>
    <row r="281" hidden="1" outlineLevel="1">
      <c r="A281" s="148" t="str">
        <f t="shared" ref="A281:A282" si="74">iferror(if(B281&gt;0,month(B281)&amp;"-"&amp;year(B281),B281),)</f>
        <v>3-2025</v>
      </c>
      <c r="B281" s="99">
        <v>45745.0</v>
      </c>
      <c r="C281" s="100" t="s">
        <v>49</v>
      </c>
      <c r="D281" s="146">
        <v>0.0</v>
      </c>
      <c r="E281" s="105"/>
      <c r="F281" s="280">
        <v>0.0</v>
      </c>
      <c r="G281" s="280">
        <v>0.0</v>
      </c>
      <c r="H281" s="104" t="str">
        <f t="shared" si="1"/>
        <v>#DIV/0!</v>
      </c>
      <c r="I281" s="105" t="str">
        <f t="shared" si="2"/>
        <v>#DIV/0!</v>
      </c>
      <c r="J281" s="106" t="str">
        <f t="shared" si="3"/>
        <v>#DIV/0!</v>
      </c>
      <c r="K281" s="146">
        <v>9.27</v>
      </c>
      <c r="L281" s="280">
        <v>5256.0</v>
      </c>
      <c r="M281" s="280">
        <v>0.0</v>
      </c>
      <c r="N281" s="147">
        <v>0.0</v>
      </c>
      <c r="O281" s="109" t="str">
        <f t="shared" si="73"/>
        <v>#DIV/0!</v>
      </c>
      <c r="P281" s="110">
        <f t="shared" si="5"/>
        <v>0</v>
      </c>
      <c r="Q281" s="109" t="str">
        <f t="shared" si="6"/>
        <v>#DIV/0!</v>
      </c>
      <c r="R281" s="111" t="str">
        <f t="shared" si="7"/>
        <v>#DIV/0!</v>
      </c>
      <c r="S281" s="112">
        <f t="shared" si="72"/>
        <v>0</v>
      </c>
      <c r="T281" s="113" t="str">
        <f t="shared" si="9"/>
        <v>#DIV/0!</v>
      </c>
      <c r="U281" s="172"/>
      <c r="V281" s="172"/>
      <c r="W281" s="172"/>
      <c r="X281" s="172"/>
      <c r="Y281" s="173"/>
      <c r="Z281" s="165"/>
      <c r="AA281" s="165"/>
    </row>
    <row r="282" collapsed="1">
      <c r="A282" s="165" t="str">
        <f t="shared" si="74"/>
        <v/>
      </c>
      <c r="B282" s="80" t="s">
        <v>100</v>
      </c>
      <c r="C282" s="201"/>
      <c r="D282" s="151">
        <f>SUM(D265:D281)</f>
        <v>21426.35</v>
      </c>
      <c r="E282" s="155"/>
      <c r="F282" s="202">
        <f t="shared" ref="F282:G282" si="75">SUM(F265:F281)</f>
        <v>154</v>
      </c>
      <c r="G282" s="202">
        <f t="shared" si="75"/>
        <v>133</v>
      </c>
      <c r="H282" s="154">
        <f t="shared" si="1"/>
        <v>1.157894737</v>
      </c>
      <c r="I282" s="155">
        <f t="shared" si="2"/>
        <v>139.1321429</v>
      </c>
      <c r="J282" s="156">
        <f t="shared" si="3"/>
        <v>120.1595779</v>
      </c>
      <c r="K282" s="151">
        <f t="shared" ref="K282:N282" si="76">SUM(K265:K281)</f>
        <v>1088.4</v>
      </c>
      <c r="L282" s="202">
        <f t="shared" si="76"/>
        <v>276133</v>
      </c>
      <c r="M282" s="202">
        <f t="shared" si="76"/>
        <v>25</v>
      </c>
      <c r="N282" s="157">
        <f t="shared" si="76"/>
        <v>2909.81</v>
      </c>
      <c r="O282" s="158">
        <f t="shared" si="73"/>
        <v>0.3740450407</v>
      </c>
      <c r="P282" s="159">
        <f t="shared" si="5"/>
        <v>2.673474825</v>
      </c>
      <c r="Q282" s="158">
        <f t="shared" si="6"/>
        <v>0.05079726598</v>
      </c>
      <c r="R282" s="160">
        <f t="shared" si="7"/>
        <v>0.1358052118</v>
      </c>
      <c r="S282" s="161">
        <f>SUM(S265:S281)</f>
        <v>18516.54</v>
      </c>
      <c r="T282" s="162">
        <f t="shared" si="9"/>
        <v>43.536</v>
      </c>
      <c r="U282" s="163">
        <f>IFERROR((D282-D246)/D282,)</f>
        <v>0.6461683861</v>
      </c>
      <c r="V282" s="163">
        <f>IFERROR((F282-F246)/F282,)</f>
        <v>0.3896103896</v>
      </c>
      <c r="W282" s="398" t="str">
        <f>IFERROR((D282-monthly_reporting_2021!E73)/D282, )</f>
        <v/>
      </c>
      <c r="X282" s="398" t="str">
        <f>IFERROR((F282-monthly_reporting_2021!F73)/F282, )</f>
        <v/>
      </c>
      <c r="Y282" s="165"/>
      <c r="Z282" s="165"/>
      <c r="AA282" s="165"/>
    </row>
    <row r="283" hidden="1" outlineLevel="1">
      <c r="A283" s="165"/>
      <c r="B283" s="99">
        <v>45746.0</v>
      </c>
      <c r="C283" s="100" t="s">
        <v>32</v>
      </c>
      <c r="D283" s="101">
        <v>1172.95</v>
      </c>
      <c r="E283" s="105"/>
      <c r="F283" s="103">
        <v>6.0</v>
      </c>
      <c r="G283" s="103">
        <v>7.0</v>
      </c>
      <c r="H283" s="104">
        <f t="shared" si="1"/>
        <v>0.8571428571</v>
      </c>
      <c r="I283" s="105">
        <f t="shared" si="2"/>
        <v>195.4916667</v>
      </c>
      <c r="J283" s="106">
        <f t="shared" si="3"/>
        <v>228.0736111</v>
      </c>
      <c r="K283" s="107">
        <v>571.66</v>
      </c>
      <c r="L283" s="103">
        <v>92147.0</v>
      </c>
      <c r="M283" s="103">
        <v>1.0</v>
      </c>
      <c r="N283" s="108">
        <v>24.95</v>
      </c>
      <c r="O283" s="109">
        <f t="shared" si="73"/>
        <v>22.91222445</v>
      </c>
      <c r="P283" s="110">
        <f t="shared" si="5"/>
        <v>0.04364482385</v>
      </c>
      <c r="Q283" s="109">
        <f t="shared" si="6"/>
        <v>0.4873694531</v>
      </c>
      <c r="R283" s="111">
        <f t="shared" si="7"/>
        <v>0.02127115393</v>
      </c>
      <c r="S283" s="112">
        <f t="shared" ref="S283:S299" si="77">D283-N283</f>
        <v>1148</v>
      </c>
      <c r="T283" s="113">
        <f t="shared" si="9"/>
        <v>571.66</v>
      </c>
      <c r="U283" s="172"/>
      <c r="V283" s="172"/>
      <c r="W283" s="172"/>
      <c r="X283" s="172"/>
      <c r="Y283" s="173"/>
      <c r="Z283" s="165"/>
      <c r="AA283" s="165"/>
    </row>
    <row r="284" hidden="1" outlineLevel="1">
      <c r="A284" s="165"/>
      <c r="B284" s="174"/>
      <c r="C284" s="100" t="s">
        <v>33</v>
      </c>
      <c r="D284" s="117">
        <v>10100.64</v>
      </c>
      <c r="E284" s="105"/>
      <c r="F284" s="103">
        <v>65.0</v>
      </c>
      <c r="G284" s="103">
        <v>57.0</v>
      </c>
      <c r="H284" s="104">
        <f t="shared" si="1"/>
        <v>1.140350877</v>
      </c>
      <c r="I284" s="105">
        <f t="shared" si="2"/>
        <v>155.3944615</v>
      </c>
      <c r="J284" s="106">
        <f t="shared" si="3"/>
        <v>136.2689893</v>
      </c>
      <c r="K284" s="117">
        <v>275.57</v>
      </c>
      <c r="L284" s="103">
        <v>103714.0</v>
      </c>
      <c r="M284" s="103">
        <v>3.0</v>
      </c>
      <c r="N284" s="118">
        <v>718.38</v>
      </c>
      <c r="O284" s="109">
        <f t="shared" si="73"/>
        <v>0.3835992093</v>
      </c>
      <c r="P284" s="110">
        <f t="shared" si="5"/>
        <v>2.606887542</v>
      </c>
      <c r="Q284" s="109">
        <f t="shared" si="6"/>
        <v>0.02728242963</v>
      </c>
      <c r="R284" s="111">
        <f t="shared" si="7"/>
        <v>0.07112222592</v>
      </c>
      <c r="S284" s="119">
        <f t="shared" si="77"/>
        <v>9382.26</v>
      </c>
      <c r="T284" s="113">
        <f t="shared" si="9"/>
        <v>91.85666667</v>
      </c>
      <c r="U284" s="172"/>
      <c r="V284" s="172"/>
      <c r="W284" s="172"/>
      <c r="X284" s="172"/>
      <c r="Y284" s="173"/>
      <c r="Z284" s="165"/>
      <c r="AA284" s="165"/>
    </row>
    <row r="285" hidden="1" outlineLevel="1">
      <c r="A285" s="165"/>
      <c r="B285" s="174"/>
      <c r="C285" s="100" t="s">
        <v>34</v>
      </c>
      <c r="D285" s="120">
        <v>0.0</v>
      </c>
      <c r="E285" s="105"/>
      <c r="F285" s="103">
        <v>0.0</v>
      </c>
      <c r="G285" s="103">
        <v>0.0</v>
      </c>
      <c r="H285" s="104" t="str">
        <f t="shared" si="1"/>
        <v>#DIV/0!</v>
      </c>
      <c r="I285" s="105" t="str">
        <f t="shared" si="2"/>
        <v>#DIV/0!</v>
      </c>
      <c r="J285" s="106" t="str">
        <f t="shared" si="3"/>
        <v>#DIV/0!</v>
      </c>
      <c r="K285" s="120">
        <v>0.0</v>
      </c>
      <c r="L285" s="103">
        <v>1.0</v>
      </c>
      <c r="M285" s="103">
        <v>0.0</v>
      </c>
      <c r="N285" s="121">
        <v>0.0</v>
      </c>
      <c r="O285" s="109" t="str">
        <f>(K285/N285)</f>
        <v>#DIV/0!</v>
      </c>
      <c r="P285" s="110" t="str">
        <f t="shared" si="5"/>
        <v>#DIV/0!</v>
      </c>
      <c r="Q285" s="109" t="str">
        <f t="shared" si="6"/>
        <v>#DIV/0!</v>
      </c>
      <c r="R285" s="111" t="str">
        <f t="shared" si="7"/>
        <v>#DIV/0!</v>
      </c>
      <c r="S285" s="122">
        <f t="shared" si="77"/>
        <v>0</v>
      </c>
      <c r="T285" s="113" t="str">
        <f t="shared" si="9"/>
        <v>#DIV/0!</v>
      </c>
      <c r="U285" s="172"/>
      <c r="V285" s="172"/>
      <c r="W285" s="172"/>
      <c r="X285" s="172"/>
      <c r="Y285" s="173"/>
      <c r="Z285" s="165"/>
      <c r="AA285" s="165"/>
    </row>
    <row r="286" hidden="1" outlineLevel="1">
      <c r="A286" s="165"/>
      <c r="B286" s="174"/>
      <c r="C286" s="100" t="s">
        <v>35</v>
      </c>
      <c r="D286" s="120">
        <v>359.7</v>
      </c>
      <c r="E286" s="105"/>
      <c r="F286" s="103">
        <v>6.0</v>
      </c>
      <c r="G286" s="103">
        <v>5.0</v>
      </c>
      <c r="H286" s="104">
        <f t="shared" si="1"/>
        <v>1.2</v>
      </c>
      <c r="I286" s="105">
        <f t="shared" si="2"/>
        <v>59.95</v>
      </c>
      <c r="J286" s="106">
        <f t="shared" si="3"/>
        <v>49.95833333</v>
      </c>
      <c r="K286" s="120">
        <v>119.65</v>
      </c>
      <c r="L286" s="103">
        <v>7267.0</v>
      </c>
      <c r="M286" s="103">
        <v>4.0</v>
      </c>
      <c r="N286" s="121">
        <v>239.8</v>
      </c>
      <c r="O286" s="109">
        <f t="shared" ref="O286:O302" si="78">K286/N286</f>
        <v>0.4989574646</v>
      </c>
      <c r="P286" s="110">
        <f t="shared" si="5"/>
        <v>2.004178855</v>
      </c>
      <c r="Q286" s="109">
        <f t="shared" si="6"/>
        <v>0.3326383097</v>
      </c>
      <c r="R286" s="111">
        <f t="shared" si="7"/>
        <v>0.6666666667</v>
      </c>
      <c r="S286" s="122">
        <f t="shared" si="77"/>
        <v>119.9</v>
      </c>
      <c r="T286" s="113">
        <f t="shared" si="9"/>
        <v>29.9125</v>
      </c>
      <c r="U286" s="172"/>
      <c r="V286" s="172"/>
      <c r="W286" s="172"/>
      <c r="X286" s="172"/>
      <c r="Y286" s="173"/>
      <c r="Z286" s="165"/>
      <c r="AA286" s="165"/>
    </row>
    <row r="287" hidden="1" outlineLevel="1">
      <c r="A287" s="165"/>
      <c r="B287" s="174"/>
      <c r="C287" s="100" t="s">
        <v>65</v>
      </c>
      <c r="D287" s="300">
        <v>594.0</v>
      </c>
      <c r="E287" s="105"/>
      <c r="F287" s="103">
        <v>16.0</v>
      </c>
      <c r="G287" s="103">
        <v>10.0</v>
      </c>
      <c r="H287" s="104">
        <f t="shared" si="1"/>
        <v>1.6</v>
      </c>
      <c r="I287" s="105">
        <f t="shared" si="2"/>
        <v>37.125</v>
      </c>
      <c r="J287" s="106">
        <f t="shared" si="3"/>
        <v>23.203125</v>
      </c>
      <c r="K287" s="300">
        <v>0.0</v>
      </c>
      <c r="L287" s="103">
        <v>0.0</v>
      </c>
      <c r="M287" s="103">
        <v>0.0</v>
      </c>
      <c r="N287" s="300">
        <v>0.0</v>
      </c>
      <c r="O287" s="109" t="str">
        <f t="shared" si="78"/>
        <v>#DIV/0!</v>
      </c>
      <c r="P287" s="110" t="str">
        <f t="shared" si="5"/>
        <v>#DIV/0!</v>
      </c>
      <c r="Q287" s="109">
        <f t="shared" si="6"/>
        <v>0</v>
      </c>
      <c r="R287" s="111">
        <f t="shared" si="7"/>
        <v>0</v>
      </c>
      <c r="S287" s="122">
        <f t="shared" si="77"/>
        <v>594</v>
      </c>
      <c r="T287" s="113" t="str">
        <f t="shared" si="9"/>
        <v>#DIV/0!</v>
      </c>
      <c r="U287" s="172"/>
      <c r="V287" s="172"/>
      <c r="W287" s="172"/>
      <c r="X287" s="172"/>
      <c r="Y287" s="173"/>
      <c r="Z287" s="165"/>
      <c r="AA287" s="165"/>
    </row>
    <row r="288" hidden="1" outlineLevel="1">
      <c r="A288" s="165"/>
      <c r="B288" s="174"/>
      <c r="C288" s="100" t="s">
        <v>85</v>
      </c>
      <c r="D288" s="302">
        <v>0.0</v>
      </c>
      <c r="E288" s="105"/>
      <c r="F288" s="103">
        <v>0.0</v>
      </c>
      <c r="G288" s="103">
        <v>0.0</v>
      </c>
      <c r="H288" s="104" t="str">
        <f t="shared" si="1"/>
        <v>#DIV/0!</v>
      </c>
      <c r="I288" s="105" t="str">
        <f t="shared" si="2"/>
        <v>#DIV/0!</v>
      </c>
      <c r="J288" s="106" t="str">
        <f t="shared" si="3"/>
        <v>#DIV/0!</v>
      </c>
      <c r="K288" s="302">
        <v>0.0</v>
      </c>
      <c r="L288" s="103">
        <v>0.0</v>
      </c>
      <c r="M288" s="103">
        <v>0.0</v>
      </c>
      <c r="N288" s="303">
        <v>0.0</v>
      </c>
      <c r="O288" s="109" t="str">
        <f t="shared" si="78"/>
        <v>#DIV/0!</v>
      </c>
      <c r="P288" s="110" t="str">
        <f t="shared" si="5"/>
        <v>#DIV/0!</v>
      </c>
      <c r="Q288" s="109" t="str">
        <f t="shared" si="6"/>
        <v>#DIV/0!</v>
      </c>
      <c r="R288" s="111" t="str">
        <f t="shared" si="7"/>
        <v>#DIV/0!</v>
      </c>
      <c r="S288" s="304">
        <f t="shared" si="77"/>
        <v>0</v>
      </c>
      <c r="T288" s="113" t="str">
        <f t="shared" si="9"/>
        <v>#DIV/0!</v>
      </c>
      <c r="U288" s="172"/>
      <c r="V288" s="172"/>
      <c r="W288" s="172"/>
      <c r="X288" s="172"/>
      <c r="Y288" s="173"/>
      <c r="Z288" s="165"/>
      <c r="AA288" s="165"/>
    </row>
    <row r="289" hidden="1" outlineLevel="1">
      <c r="A289" s="165"/>
      <c r="B289" s="174"/>
      <c r="C289" s="100" t="s">
        <v>36</v>
      </c>
      <c r="D289" s="120">
        <v>69.95</v>
      </c>
      <c r="E289" s="105"/>
      <c r="F289" s="103">
        <v>1.0</v>
      </c>
      <c r="G289" s="103">
        <v>1.0</v>
      </c>
      <c r="H289" s="104">
        <f t="shared" si="1"/>
        <v>1</v>
      </c>
      <c r="I289" s="105">
        <f t="shared" si="2"/>
        <v>69.95</v>
      </c>
      <c r="J289" s="106">
        <f t="shared" si="3"/>
        <v>69.95</v>
      </c>
      <c r="K289" s="120">
        <v>51.89</v>
      </c>
      <c r="L289" s="103">
        <v>7739.0</v>
      </c>
      <c r="M289" s="103">
        <v>0.0</v>
      </c>
      <c r="N289" s="121">
        <v>0.0</v>
      </c>
      <c r="O289" s="109" t="str">
        <f t="shared" si="78"/>
        <v>#DIV/0!</v>
      </c>
      <c r="P289" s="110">
        <f t="shared" si="5"/>
        <v>0</v>
      </c>
      <c r="Q289" s="109">
        <f t="shared" si="6"/>
        <v>0.7418155826</v>
      </c>
      <c r="R289" s="111">
        <f t="shared" si="7"/>
        <v>0</v>
      </c>
      <c r="S289" s="122">
        <f t="shared" si="77"/>
        <v>69.95</v>
      </c>
      <c r="T289" s="113" t="str">
        <f t="shared" si="9"/>
        <v>#DIV/0!</v>
      </c>
      <c r="U289" s="172"/>
      <c r="V289" s="172"/>
      <c r="W289" s="172"/>
      <c r="X289" s="172"/>
      <c r="Y289" s="173"/>
      <c r="Z289" s="165"/>
      <c r="AA289" s="165"/>
    </row>
    <row r="290" hidden="1" outlineLevel="1">
      <c r="A290" s="165"/>
      <c r="B290" s="99" t="s">
        <v>37</v>
      </c>
      <c r="C290" s="100" t="s">
        <v>38</v>
      </c>
      <c r="D290" s="123">
        <v>150.92</v>
      </c>
      <c r="E290" s="105"/>
      <c r="F290" s="103">
        <v>7.0</v>
      </c>
      <c r="G290" s="103">
        <v>7.0</v>
      </c>
      <c r="H290" s="104">
        <f t="shared" si="1"/>
        <v>1</v>
      </c>
      <c r="I290" s="105">
        <f t="shared" si="2"/>
        <v>21.56</v>
      </c>
      <c r="J290" s="106">
        <f t="shared" si="3"/>
        <v>21.56</v>
      </c>
      <c r="K290" s="123">
        <v>168.17</v>
      </c>
      <c r="L290" s="103">
        <v>11725.0</v>
      </c>
      <c r="M290" s="103">
        <v>5.0</v>
      </c>
      <c r="N290" s="124">
        <v>107.8</v>
      </c>
      <c r="O290" s="109">
        <f t="shared" si="78"/>
        <v>1.560018553</v>
      </c>
      <c r="P290" s="110">
        <f t="shared" si="5"/>
        <v>0.6410180175</v>
      </c>
      <c r="Q290" s="109">
        <f t="shared" si="6"/>
        <v>1.114298966</v>
      </c>
      <c r="R290" s="111">
        <f t="shared" si="7"/>
        <v>0.7142857143</v>
      </c>
      <c r="S290" s="125">
        <f t="shared" si="77"/>
        <v>43.12</v>
      </c>
      <c r="T290" s="113">
        <f t="shared" si="9"/>
        <v>33.634</v>
      </c>
      <c r="U290" s="172"/>
      <c r="V290" s="172"/>
      <c r="W290" s="172"/>
      <c r="X290" s="172"/>
      <c r="Y290" s="173"/>
      <c r="Z290" s="165"/>
      <c r="AA290" s="165"/>
    </row>
    <row r="291" hidden="1" outlineLevel="1">
      <c r="A291" s="165"/>
      <c r="B291" s="174"/>
      <c r="C291" s="100" t="s">
        <v>39</v>
      </c>
      <c r="D291" s="126">
        <v>0.0</v>
      </c>
      <c r="E291" s="105"/>
      <c r="F291" s="103">
        <v>0.0</v>
      </c>
      <c r="G291" s="103">
        <v>0.0</v>
      </c>
      <c r="H291" s="104" t="str">
        <f t="shared" si="1"/>
        <v>#DIV/0!</v>
      </c>
      <c r="I291" s="105" t="str">
        <f t="shared" si="2"/>
        <v>#DIV/0!</v>
      </c>
      <c r="J291" s="106" t="str">
        <f t="shared" si="3"/>
        <v>#DIV/0!</v>
      </c>
      <c r="K291" s="126">
        <v>0.0</v>
      </c>
      <c r="L291" s="103">
        <v>0.0</v>
      </c>
      <c r="M291" s="103">
        <v>0.0</v>
      </c>
      <c r="N291" s="127">
        <v>0.0</v>
      </c>
      <c r="O291" s="109" t="str">
        <f t="shared" si="78"/>
        <v>#DIV/0!</v>
      </c>
      <c r="P291" s="110" t="str">
        <f t="shared" si="5"/>
        <v>#DIV/0!</v>
      </c>
      <c r="Q291" s="109" t="str">
        <f t="shared" si="6"/>
        <v>#DIV/0!</v>
      </c>
      <c r="R291" s="111" t="str">
        <f t="shared" si="7"/>
        <v>#DIV/0!</v>
      </c>
      <c r="S291" s="128">
        <f t="shared" si="77"/>
        <v>0</v>
      </c>
      <c r="T291" s="113" t="str">
        <f t="shared" si="9"/>
        <v>#DIV/0!</v>
      </c>
      <c r="U291" s="172"/>
      <c r="V291" s="172"/>
      <c r="W291" s="172"/>
      <c r="X291" s="172"/>
      <c r="Y291" s="173"/>
      <c r="Z291" s="165"/>
      <c r="AA291" s="165"/>
    </row>
    <row r="292" hidden="1" outlineLevel="1">
      <c r="A292" s="165"/>
      <c r="B292" s="174"/>
      <c r="C292" s="100" t="s">
        <v>40</v>
      </c>
      <c r="D292" s="129">
        <v>1027.62</v>
      </c>
      <c r="E292" s="105"/>
      <c r="F292" s="103">
        <v>22.0</v>
      </c>
      <c r="G292" s="103">
        <v>15.0</v>
      </c>
      <c r="H292" s="104">
        <f t="shared" si="1"/>
        <v>1.466666667</v>
      </c>
      <c r="I292" s="105">
        <f t="shared" si="2"/>
        <v>46.71</v>
      </c>
      <c r="J292" s="106">
        <f t="shared" si="3"/>
        <v>31.84772727</v>
      </c>
      <c r="K292" s="129">
        <v>0.0</v>
      </c>
      <c r="L292" s="103">
        <v>0.0</v>
      </c>
      <c r="M292" s="103">
        <v>0.0</v>
      </c>
      <c r="N292" s="130">
        <v>0.0</v>
      </c>
      <c r="O292" s="109" t="str">
        <f t="shared" si="78"/>
        <v>#DIV/0!</v>
      </c>
      <c r="P292" s="110" t="str">
        <f t="shared" si="5"/>
        <v>#DIV/0!</v>
      </c>
      <c r="Q292" s="109">
        <f t="shared" si="6"/>
        <v>0</v>
      </c>
      <c r="R292" s="111">
        <f t="shared" si="7"/>
        <v>0</v>
      </c>
      <c r="S292" s="131">
        <f t="shared" si="77"/>
        <v>1027.62</v>
      </c>
      <c r="T292" s="113" t="str">
        <f t="shared" si="9"/>
        <v>#DIV/0!</v>
      </c>
      <c r="U292" s="172"/>
      <c r="V292" s="172"/>
      <c r="W292" s="172"/>
      <c r="X292" s="172"/>
      <c r="Y292" s="173"/>
      <c r="Z292" s="165"/>
      <c r="AA292" s="165"/>
    </row>
    <row r="293" hidden="1" outlineLevel="1">
      <c r="A293" s="165"/>
      <c r="B293" s="174"/>
      <c r="C293" s="100" t="s">
        <v>41</v>
      </c>
      <c r="D293" s="132">
        <v>349.97</v>
      </c>
      <c r="E293" s="105"/>
      <c r="F293" s="103">
        <v>4.0</v>
      </c>
      <c r="G293" s="103">
        <v>4.0</v>
      </c>
      <c r="H293" s="104">
        <f t="shared" si="1"/>
        <v>1</v>
      </c>
      <c r="I293" s="105">
        <f t="shared" si="2"/>
        <v>87.4925</v>
      </c>
      <c r="J293" s="106">
        <f t="shared" si="3"/>
        <v>87.4925</v>
      </c>
      <c r="K293" s="132">
        <v>0.0</v>
      </c>
      <c r="L293" s="103">
        <v>0.0</v>
      </c>
      <c r="M293" s="103">
        <v>0.0</v>
      </c>
      <c r="N293" s="133">
        <v>0.0</v>
      </c>
      <c r="O293" s="109" t="str">
        <f t="shared" si="78"/>
        <v>#DIV/0!</v>
      </c>
      <c r="P293" s="110" t="str">
        <f t="shared" si="5"/>
        <v>#DIV/0!</v>
      </c>
      <c r="Q293" s="109">
        <f t="shared" si="6"/>
        <v>0</v>
      </c>
      <c r="R293" s="111">
        <f t="shared" si="7"/>
        <v>0</v>
      </c>
      <c r="S293" s="134">
        <f t="shared" si="77"/>
        <v>349.97</v>
      </c>
      <c r="T293" s="113" t="str">
        <f t="shared" si="9"/>
        <v>#DIV/0!</v>
      </c>
      <c r="U293" s="172"/>
      <c r="V293" s="172"/>
      <c r="W293" s="172"/>
      <c r="X293" s="172"/>
      <c r="Y293" s="173"/>
      <c r="Z293" s="165"/>
      <c r="AA293" s="165"/>
    </row>
    <row r="294" hidden="1" outlineLevel="1">
      <c r="A294" s="165"/>
      <c r="B294" s="174"/>
      <c r="C294" s="100" t="s">
        <v>42</v>
      </c>
      <c r="D294" s="120">
        <v>59.97</v>
      </c>
      <c r="E294" s="105"/>
      <c r="F294" s="103">
        <v>3.0</v>
      </c>
      <c r="G294" s="103">
        <v>4.0</v>
      </c>
      <c r="H294" s="104">
        <f t="shared" si="1"/>
        <v>0.75</v>
      </c>
      <c r="I294" s="105">
        <f t="shared" si="2"/>
        <v>19.99</v>
      </c>
      <c r="J294" s="106">
        <f t="shared" si="3"/>
        <v>26.65333333</v>
      </c>
      <c r="K294" s="120">
        <v>5.72</v>
      </c>
      <c r="L294" s="103">
        <v>15442.0</v>
      </c>
      <c r="M294" s="103">
        <v>1.0</v>
      </c>
      <c r="N294" s="121">
        <v>19.99</v>
      </c>
      <c r="O294" s="109">
        <f t="shared" si="78"/>
        <v>0.2861430715</v>
      </c>
      <c r="P294" s="110">
        <f t="shared" si="5"/>
        <v>3.494755245</v>
      </c>
      <c r="Q294" s="109">
        <f t="shared" si="6"/>
        <v>0.09538102385</v>
      </c>
      <c r="R294" s="111">
        <f t="shared" si="7"/>
        <v>0.3333333333</v>
      </c>
      <c r="S294" s="122">
        <f t="shared" si="77"/>
        <v>39.98</v>
      </c>
      <c r="T294" s="113">
        <f t="shared" si="9"/>
        <v>5.72</v>
      </c>
      <c r="U294" s="172"/>
      <c r="V294" s="172"/>
      <c r="W294" s="172"/>
      <c r="X294" s="172"/>
      <c r="Y294" s="173"/>
      <c r="Z294" s="165"/>
      <c r="AA294" s="165"/>
    </row>
    <row r="295" hidden="1" outlineLevel="1">
      <c r="A295" s="165"/>
      <c r="B295" s="174"/>
      <c r="C295" s="100" t="s">
        <v>43</v>
      </c>
      <c r="D295" s="135">
        <v>447.95</v>
      </c>
      <c r="E295" s="105"/>
      <c r="F295" s="103">
        <v>3.0</v>
      </c>
      <c r="G295" s="103">
        <v>3.0</v>
      </c>
      <c r="H295" s="104">
        <f t="shared" si="1"/>
        <v>1</v>
      </c>
      <c r="I295" s="105">
        <f t="shared" si="2"/>
        <v>149.3166667</v>
      </c>
      <c r="J295" s="106">
        <f t="shared" si="3"/>
        <v>149.3166667</v>
      </c>
      <c r="K295" s="135">
        <v>14.28</v>
      </c>
      <c r="L295" s="103">
        <v>20226.0</v>
      </c>
      <c r="M295" s="103">
        <v>0.0</v>
      </c>
      <c r="N295" s="136">
        <v>0.0</v>
      </c>
      <c r="O295" s="109" t="str">
        <f t="shared" si="78"/>
        <v>#DIV/0!</v>
      </c>
      <c r="P295" s="110">
        <f t="shared" si="5"/>
        <v>0</v>
      </c>
      <c r="Q295" s="109">
        <f t="shared" si="6"/>
        <v>0.03187855787</v>
      </c>
      <c r="R295" s="111">
        <f t="shared" si="7"/>
        <v>0</v>
      </c>
      <c r="S295" s="137">
        <f t="shared" si="77"/>
        <v>447.95</v>
      </c>
      <c r="T295" s="113" t="str">
        <f t="shared" si="9"/>
        <v>#DIV/0!</v>
      </c>
      <c r="U295" s="172"/>
      <c r="V295" s="172"/>
      <c r="W295" s="172"/>
      <c r="X295" s="172"/>
      <c r="Y295" s="173"/>
      <c r="Z295" s="165"/>
      <c r="AA295" s="165"/>
    </row>
    <row r="296" hidden="1" outlineLevel="1">
      <c r="A296" s="165"/>
      <c r="B296" s="174"/>
      <c r="C296" s="100" t="s">
        <v>44</v>
      </c>
      <c r="D296" s="138">
        <v>230.81</v>
      </c>
      <c r="E296" s="105"/>
      <c r="F296" s="103">
        <v>4.0</v>
      </c>
      <c r="G296" s="103">
        <v>4.0</v>
      </c>
      <c r="H296" s="104">
        <f t="shared" si="1"/>
        <v>1</v>
      </c>
      <c r="I296" s="105">
        <f t="shared" si="2"/>
        <v>57.7025</v>
      </c>
      <c r="J296" s="106">
        <f t="shared" si="3"/>
        <v>57.7025</v>
      </c>
      <c r="K296" s="138">
        <v>38.37</v>
      </c>
      <c r="L296" s="103">
        <v>10457.0</v>
      </c>
      <c r="M296" s="103">
        <v>2.0</v>
      </c>
      <c r="N296" s="139">
        <v>119.9</v>
      </c>
      <c r="O296" s="109">
        <f t="shared" si="78"/>
        <v>0.3200166806</v>
      </c>
      <c r="P296" s="110">
        <f t="shared" si="5"/>
        <v>3.124837112</v>
      </c>
      <c r="Q296" s="109">
        <f t="shared" si="6"/>
        <v>0.1662406308</v>
      </c>
      <c r="R296" s="111">
        <f t="shared" si="7"/>
        <v>0.5194748928</v>
      </c>
      <c r="S296" s="140">
        <f t="shared" si="77"/>
        <v>110.91</v>
      </c>
      <c r="T296" s="113">
        <f t="shared" si="9"/>
        <v>19.185</v>
      </c>
      <c r="U296" s="172"/>
      <c r="V296" s="172"/>
      <c r="W296" s="172"/>
      <c r="X296" s="172"/>
      <c r="Y296" s="173"/>
      <c r="Z296" s="165"/>
      <c r="AA296" s="165"/>
    </row>
    <row r="297" hidden="1" outlineLevel="1">
      <c r="A297" s="192"/>
      <c r="B297" s="174"/>
      <c r="C297" s="142" t="s">
        <v>45</v>
      </c>
      <c r="D297" s="101">
        <v>39.9</v>
      </c>
      <c r="E297" s="105"/>
      <c r="F297" s="103">
        <v>2.0</v>
      </c>
      <c r="G297" s="103">
        <v>1.0</v>
      </c>
      <c r="H297" s="104">
        <f t="shared" si="1"/>
        <v>2</v>
      </c>
      <c r="I297" s="105">
        <f t="shared" si="2"/>
        <v>19.95</v>
      </c>
      <c r="J297" s="106">
        <f t="shared" si="3"/>
        <v>9.975</v>
      </c>
      <c r="K297" s="101">
        <v>0.0</v>
      </c>
      <c r="L297" s="103">
        <v>0.0</v>
      </c>
      <c r="M297" s="103">
        <v>0.0</v>
      </c>
      <c r="N297" s="108">
        <v>0.0</v>
      </c>
      <c r="O297" s="109" t="str">
        <f t="shared" si="78"/>
        <v>#DIV/0!</v>
      </c>
      <c r="P297" s="110" t="str">
        <f t="shared" si="5"/>
        <v>#DIV/0!</v>
      </c>
      <c r="Q297" s="109">
        <f t="shared" si="6"/>
        <v>0</v>
      </c>
      <c r="R297" s="111">
        <f t="shared" si="7"/>
        <v>0</v>
      </c>
      <c r="S297" s="112">
        <f t="shared" si="77"/>
        <v>39.9</v>
      </c>
      <c r="T297" s="113" t="str">
        <f t="shared" si="9"/>
        <v>#DIV/0!</v>
      </c>
      <c r="U297" s="193"/>
      <c r="V297" s="193"/>
      <c r="W297" s="193"/>
      <c r="X297" s="194"/>
      <c r="Y297" s="195"/>
      <c r="Z297" s="165"/>
      <c r="AA297" s="165"/>
    </row>
    <row r="298" hidden="1" outlineLevel="1">
      <c r="A298" s="165"/>
      <c r="B298" s="174"/>
      <c r="C298" s="100" t="s">
        <v>46</v>
      </c>
      <c r="D298" s="146">
        <v>654.23</v>
      </c>
      <c r="E298" s="105"/>
      <c r="F298" s="103">
        <v>19.0</v>
      </c>
      <c r="G298" s="103">
        <v>21.0</v>
      </c>
      <c r="H298" s="104">
        <f t="shared" si="1"/>
        <v>0.9047619048</v>
      </c>
      <c r="I298" s="105">
        <f t="shared" si="2"/>
        <v>34.43315789</v>
      </c>
      <c r="J298" s="106">
        <f t="shared" si="3"/>
        <v>38.05770083</v>
      </c>
      <c r="K298" s="146">
        <v>101.78</v>
      </c>
      <c r="L298" s="103">
        <v>25729.0</v>
      </c>
      <c r="M298" s="103">
        <v>8.0</v>
      </c>
      <c r="N298" s="147">
        <v>273.28</v>
      </c>
      <c r="O298" s="109">
        <f t="shared" si="78"/>
        <v>0.3724385246</v>
      </c>
      <c r="P298" s="110">
        <f t="shared" si="5"/>
        <v>2.685006878</v>
      </c>
      <c r="Q298" s="109">
        <f t="shared" si="6"/>
        <v>0.1555721994</v>
      </c>
      <c r="R298" s="111">
        <f t="shared" si="7"/>
        <v>0.4177124253</v>
      </c>
      <c r="S298" s="112">
        <f t="shared" si="77"/>
        <v>380.95</v>
      </c>
      <c r="T298" s="113">
        <f t="shared" si="9"/>
        <v>12.7225</v>
      </c>
      <c r="U298" s="172"/>
      <c r="V298" s="172"/>
      <c r="W298" s="172"/>
      <c r="X298" s="172"/>
      <c r="Y298" s="173"/>
      <c r="Z298" s="165"/>
      <c r="AA298" s="165"/>
    </row>
    <row r="299" hidden="1" outlineLevel="1">
      <c r="A299" s="148" t="str">
        <f t="shared" ref="A299:A300" si="79">iferror(if(B299&gt;0,month(B299)&amp;"-"&amp;year(B299),B299),)</f>
        <v>4-2025</v>
      </c>
      <c r="B299" s="99">
        <v>45752.0</v>
      </c>
      <c r="C299" s="100" t="s">
        <v>49</v>
      </c>
      <c r="D299" s="146">
        <v>0.0</v>
      </c>
      <c r="E299" s="105"/>
      <c r="F299" s="103">
        <v>0.0</v>
      </c>
      <c r="G299" s="103">
        <v>0.0</v>
      </c>
      <c r="H299" s="104" t="str">
        <f t="shared" si="1"/>
        <v>#DIV/0!</v>
      </c>
      <c r="I299" s="105" t="str">
        <f t="shared" si="2"/>
        <v>#DIV/0!</v>
      </c>
      <c r="J299" s="106" t="str">
        <f t="shared" si="3"/>
        <v>#DIV/0!</v>
      </c>
      <c r="K299" s="146">
        <v>8.8</v>
      </c>
      <c r="L299" s="103">
        <v>6264.0</v>
      </c>
      <c r="M299" s="103">
        <v>0.0</v>
      </c>
      <c r="N299" s="147">
        <v>0.0</v>
      </c>
      <c r="O299" s="109" t="str">
        <f t="shared" si="78"/>
        <v>#DIV/0!</v>
      </c>
      <c r="P299" s="110">
        <f t="shared" si="5"/>
        <v>0</v>
      </c>
      <c r="Q299" s="109" t="str">
        <f t="shared" si="6"/>
        <v>#DIV/0!</v>
      </c>
      <c r="R299" s="111" t="str">
        <f t="shared" si="7"/>
        <v>#DIV/0!</v>
      </c>
      <c r="S299" s="112">
        <f t="shared" si="77"/>
        <v>0</v>
      </c>
      <c r="T299" s="113" t="str">
        <f t="shared" si="9"/>
        <v>#DIV/0!</v>
      </c>
      <c r="U299" s="172"/>
      <c r="V299" s="172"/>
      <c r="W299" s="172"/>
      <c r="X299" s="172"/>
      <c r="Y299" s="173"/>
      <c r="Z299" s="165"/>
      <c r="AA299" s="165"/>
    </row>
    <row r="300" collapsed="1">
      <c r="A300" s="165" t="str">
        <f t="shared" si="79"/>
        <v/>
      </c>
      <c r="B300" s="80" t="s">
        <v>101</v>
      </c>
      <c r="C300" s="201"/>
      <c r="D300" s="151">
        <f>SUM(D283:D299)</f>
        <v>15258.61</v>
      </c>
      <c r="E300" s="155"/>
      <c r="F300" s="153">
        <f t="shared" ref="F300:G300" si="80">SUM(F283:F299)</f>
        <v>158</v>
      </c>
      <c r="G300" s="153">
        <f t="shared" si="80"/>
        <v>139</v>
      </c>
      <c r="H300" s="154">
        <f t="shared" si="1"/>
        <v>1.136690647</v>
      </c>
      <c r="I300" s="155">
        <f t="shared" si="2"/>
        <v>96.57348101</v>
      </c>
      <c r="J300" s="156">
        <f t="shared" si="3"/>
        <v>84.96021431</v>
      </c>
      <c r="K300" s="151">
        <f t="shared" ref="K300:N300" si="81">SUM(K283:K299)</f>
        <v>1355.89</v>
      </c>
      <c r="L300" s="153">
        <f t="shared" si="81"/>
        <v>300711</v>
      </c>
      <c r="M300" s="153">
        <f t="shared" si="81"/>
        <v>24</v>
      </c>
      <c r="N300" s="157">
        <f t="shared" si="81"/>
        <v>1504.1</v>
      </c>
      <c r="O300" s="158">
        <f t="shared" si="78"/>
        <v>0.9014626687</v>
      </c>
      <c r="P300" s="159">
        <f t="shared" si="5"/>
        <v>1.109308277</v>
      </c>
      <c r="Q300" s="158">
        <f t="shared" si="6"/>
        <v>0.08886064982</v>
      </c>
      <c r="R300" s="160">
        <f t="shared" si="7"/>
        <v>0.09857385437</v>
      </c>
      <c r="S300" s="161">
        <f>SUM(S283:S299)</f>
        <v>13754.51</v>
      </c>
      <c r="T300" s="162">
        <f t="shared" si="9"/>
        <v>56.49541667</v>
      </c>
      <c r="U300" s="163">
        <f>IFERROR((D300-D246)/D300,)</f>
        <v>0.5031447819</v>
      </c>
      <c r="V300" s="163">
        <f>IFERROR((F300-F246)/F300,)</f>
        <v>0.4050632911</v>
      </c>
      <c r="W300" s="398" t="str">
        <f>IFERROR((D300-monthly_reporting_2021!E91)/D300, )</f>
        <v/>
      </c>
      <c r="X300" s="398" t="str">
        <f>IFERROR((F300-monthly_reporting_2021!F91)/F300, )</f>
        <v/>
      </c>
      <c r="Y300" s="165"/>
      <c r="Z300" s="165"/>
      <c r="AA300" s="165"/>
    </row>
    <row r="301" hidden="1" outlineLevel="1">
      <c r="A301" s="165"/>
      <c r="B301" s="99">
        <v>45753.0</v>
      </c>
      <c r="C301" s="100" t="s">
        <v>32</v>
      </c>
      <c r="D301" s="101">
        <v>4611.56</v>
      </c>
      <c r="E301" s="105">
        <f t="shared" ref="E301:E317" si="82">D301/F301</f>
        <v>384.2966667</v>
      </c>
      <c r="F301" s="103">
        <v>12.0</v>
      </c>
      <c r="G301" s="103">
        <v>13.0</v>
      </c>
      <c r="H301" s="104">
        <f t="shared" si="1"/>
        <v>0.9230769231</v>
      </c>
      <c r="I301" s="105">
        <f t="shared" si="2"/>
        <v>384.2966667</v>
      </c>
      <c r="J301" s="106">
        <f t="shared" si="3"/>
        <v>416.3213889</v>
      </c>
      <c r="K301" s="107">
        <v>449.95</v>
      </c>
      <c r="L301" s="103">
        <v>96209.0</v>
      </c>
      <c r="M301" s="103">
        <v>4.0</v>
      </c>
      <c r="N301" s="108">
        <v>2151.95</v>
      </c>
      <c r="O301" s="109">
        <f t="shared" si="78"/>
        <v>0.2090894305</v>
      </c>
      <c r="P301" s="110">
        <f t="shared" si="5"/>
        <v>4.782642516</v>
      </c>
      <c r="Q301" s="109">
        <f t="shared" si="6"/>
        <v>0.09757001969</v>
      </c>
      <c r="R301" s="111">
        <f t="shared" si="7"/>
        <v>0.4666425244</v>
      </c>
      <c r="S301" s="112">
        <f t="shared" ref="S301:S317" si="83">D301-N301</f>
        <v>2459.61</v>
      </c>
      <c r="T301" s="113">
        <f t="shared" si="9"/>
        <v>112.4875</v>
      </c>
      <c r="U301" s="172"/>
      <c r="V301" s="172"/>
      <c r="W301" s="172"/>
      <c r="X301" s="172"/>
      <c r="Y301" s="173"/>
      <c r="Z301" s="165"/>
      <c r="AA301" s="165"/>
    </row>
    <row r="302" hidden="1" outlineLevel="1">
      <c r="A302" s="165"/>
      <c r="B302" s="174"/>
      <c r="C302" s="100" t="s">
        <v>33</v>
      </c>
      <c r="D302" s="117">
        <v>3422.82</v>
      </c>
      <c r="E302" s="105">
        <f t="shared" si="82"/>
        <v>72.82595745</v>
      </c>
      <c r="F302" s="103">
        <v>47.0</v>
      </c>
      <c r="G302" s="103">
        <v>40.0</v>
      </c>
      <c r="H302" s="104">
        <f t="shared" si="1"/>
        <v>1.175</v>
      </c>
      <c r="I302" s="105">
        <f t="shared" si="2"/>
        <v>72.82595745</v>
      </c>
      <c r="J302" s="106">
        <f t="shared" si="3"/>
        <v>61.97953825</v>
      </c>
      <c r="K302" s="117">
        <v>265.33</v>
      </c>
      <c r="L302" s="103">
        <v>104909.0</v>
      </c>
      <c r="M302" s="103">
        <v>4.0</v>
      </c>
      <c r="N302" s="118">
        <v>219.85</v>
      </c>
      <c r="O302" s="109">
        <f t="shared" si="78"/>
        <v>1.206868319</v>
      </c>
      <c r="P302" s="110">
        <f t="shared" si="5"/>
        <v>0.8285908114</v>
      </c>
      <c r="Q302" s="109">
        <f t="shared" si="6"/>
        <v>0.07751795303</v>
      </c>
      <c r="R302" s="111">
        <f t="shared" si="7"/>
        <v>0.0642306636</v>
      </c>
      <c r="S302" s="119">
        <f t="shared" si="83"/>
        <v>3202.97</v>
      </c>
      <c r="T302" s="113">
        <f t="shared" si="9"/>
        <v>66.3325</v>
      </c>
      <c r="U302" s="172"/>
      <c r="V302" s="172"/>
      <c r="W302" s="172"/>
      <c r="X302" s="172"/>
      <c r="Y302" s="173"/>
      <c r="Z302" s="165"/>
      <c r="AA302" s="165"/>
    </row>
    <row r="303" hidden="1" outlineLevel="1">
      <c r="A303" s="165"/>
      <c r="B303" s="174"/>
      <c r="C303" s="100" t="s">
        <v>34</v>
      </c>
      <c r="D303" s="120">
        <v>0.0</v>
      </c>
      <c r="E303" s="105" t="str">
        <f t="shared" si="82"/>
        <v>#DIV/0!</v>
      </c>
      <c r="F303" s="103">
        <v>0.0</v>
      </c>
      <c r="G303" s="103">
        <v>0.0</v>
      </c>
      <c r="H303" s="104" t="str">
        <f t="shared" si="1"/>
        <v>#DIV/0!</v>
      </c>
      <c r="I303" s="105" t="str">
        <f t="shared" si="2"/>
        <v>#DIV/0!</v>
      </c>
      <c r="J303" s="106" t="str">
        <f t="shared" si="3"/>
        <v>#DIV/0!</v>
      </c>
      <c r="K303" s="120">
        <v>0.0</v>
      </c>
      <c r="L303" s="103">
        <v>1.0</v>
      </c>
      <c r="M303" s="103">
        <v>0.0</v>
      </c>
      <c r="N303" s="121">
        <v>0.0</v>
      </c>
      <c r="O303" s="109" t="str">
        <f>(K303/N303)</f>
        <v>#DIV/0!</v>
      </c>
      <c r="P303" s="110" t="str">
        <f t="shared" si="5"/>
        <v>#DIV/0!</v>
      </c>
      <c r="Q303" s="109" t="str">
        <f t="shared" si="6"/>
        <v>#DIV/0!</v>
      </c>
      <c r="R303" s="111" t="str">
        <f t="shared" si="7"/>
        <v>#DIV/0!</v>
      </c>
      <c r="S303" s="122">
        <f t="shared" si="83"/>
        <v>0</v>
      </c>
      <c r="T303" s="113" t="str">
        <f t="shared" si="9"/>
        <v>#DIV/0!</v>
      </c>
      <c r="U303" s="172"/>
      <c r="V303" s="172"/>
      <c r="W303" s="172"/>
      <c r="X303" s="172"/>
      <c r="Y303" s="173"/>
      <c r="Z303" s="165"/>
      <c r="AA303" s="165"/>
    </row>
    <row r="304" hidden="1" outlineLevel="1">
      <c r="A304" s="165"/>
      <c r="B304" s="174"/>
      <c r="C304" s="100" t="s">
        <v>35</v>
      </c>
      <c r="D304" s="120">
        <v>239.8</v>
      </c>
      <c r="E304" s="105">
        <f t="shared" si="82"/>
        <v>59.95</v>
      </c>
      <c r="F304" s="103">
        <v>4.0</v>
      </c>
      <c r="G304" s="103">
        <v>3.0</v>
      </c>
      <c r="H304" s="104">
        <f t="shared" si="1"/>
        <v>1.333333333</v>
      </c>
      <c r="I304" s="105">
        <f t="shared" si="2"/>
        <v>59.95</v>
      </c>
      <c r="J304" s="106">
        <f t="shared" si="3"/>
        <v>44.9625</v>
      </c>
      <c r="K304" s="120">
        <v>115.54</v>
      </c>
      <c r="L304" s="103">
        <v>8991.0</v>
      </c>
      <c r="M304" s="103">
        <v>1.0</v>
      </c>
      <c r="N304" s="121">
        <v>59.95</v>
      </c>
      <c r="O304" s="109">
        <f t="shared" ref="O304:O320" si="84">K304/N304</f>
        <v>1.927272727</v>
      </c>
      <c r="P304" s="110">
        <f t="shared" si="5"/>
        <v>0.5188679245</v>
      </c>
      <c r="Q304" s="109">
        <f t="shared" si="6"/>
        <v>0.4818181818</v>
      </c>
      <c r="R304" s="111">
        <f t="shared" si="7"/>
        <v>0.25</v>
      </c>
      <c r="S304" s="122">
        <f t="shared" si="83"/>
        <v>179.85</v>
      </c>
      <c r="T304" s="113">
        <f t="shared" si="9"/>
        <v>115.54</v>
      </c>
      <c r="U304" s="172"/>
      <c r="V304" s="172"/>
      <c r="W304" s="172"/>
      <c r="X304" s="172"/>
      <c r="Y304" s="173"/>
      <c r="Z304" s="165"/>
      <c r="AA304" s="165"/>
    </row>
    <row r="305" hidden="1" outlineLevel="1">
      <c r="A305" s="165"/>
      <c r="B305" s="174"/>
      <c r="C305" s="100" t="s">
        <v>65</v>
      </c>
      <c r="D305" s="300">
        <v>180.0</v>
      </c>
      <c r="E305" s="105">
        <f t="shared" si="82"/>
        <v>36</v>
      </c>
      <c r="F305" s="103">
        <v>5.0</v>
      </c>
      <c r="G305" s="103">
        <v>4.0</v>
      </c>
      <c r="H305" s="104">
        <f t="shared" si="1"/>
        <v>1.25</v>
      </c>
      <c r="I305" s="105">
        <f t="shared" si="2"/>
        <v>36</v>
      </c>
      <c r="J305" s="106">
        <f t="shared" si="3"/>
        <v>28.8</v>
      </c>
      <c r="K305" s="300">
        <v>0.0</v>
      </c>
      <c r="L305" s="103">
        <v>0.0</v>
      </c>
      <c r="M305" s="103">
        <v>0.0</v>
      </c>
      <c r="N305" s="300">
        <v>0.0</v>
      </c>
      <c r="O305" s="109" t="str">
        <f t="shared" si="84"/>
        <v>#DIV/0!</v>
      </c>
      <c r="P305" s="110" t="str">
        <f t="shared" si="5"/>
        <v>#DIV/0!</v>
      </c>
      <c r="Q305" s="109">
        <f t="shared" si="6"/>
        <v>0</v>
      </c>
      <c r="R305" s="111">
        <f t="shared" si="7"/>
        <v>0</v>
      </c>
      <c r="S305" s="122">
        <f t="shared" si="83"/>
        <v>180</v>
      </c>
      <c r="T305" s="113" t="str">
        <f t="shared" si="9"/>
        <v>#DIV/0!</v>
      </c>
      <c r="U305" s="172"/>
      <c r="V305" s="172"/>
      <c r="W305" s="172"/>
      <c r="X305" s="172"/>
      <c r="Y305" s="173"/>
      <c r="Z305" s="165"/>
      <c r="AA305" s="165"/>
    </row>
    <row r="306" hidden="1" outlineLevel="1">
      <c r="A306" s="165"/>
      <c r="B306" s="174"/>
      <c r="C306" s="100" t="s">
        <v>85</v>
      </c>
      <c r="D306" s="302">
        <v>0.0</v>
      </c>
      <c r="E306" s="105" t="str">
        <f t="shared" si="82"/>
        <v>#DIV/0!</v>
      </c>
      <c r="F306" s="103">
        <v>0.0</v>
      </c>
      <c r="G306" s="103">
        <v>0.0</v>
      </c>
      <c r="H306" s="104" t="str">
        <f t="shared" si="1"/>
        <v>#DIV/0!</v>
      </c>
      <c r="I306" s="105" t="str">
        <f t="shared" si="2"/>
        <v>#DIV/0!</v>
      </c>
      <c r="J306" s="106" t="str">
        <f t="shared" si="3"/>
        <v>#DIV/0!</v>
      </c>
      <c r="K306" s="302">
        <v>32.55</v>
      </c>
      <c r="L306" s="103">
        <v>683.0</v>
      </c>
      <c r="M306" s="103">
        <v>0.0</v>
      </c>
      <c r="N306" s="303">
        <v>0.0</v>
      </c>
      <c r="O306" s="109" t="str">
        <f t="shared" si="84"/>
        <v>#DIV/0!</v>
      </c>
      <c r="P306" s="110">
        <f t="shared" si="5"/>
        <v>0</v>
      </c>
      <c r="Q306" s="109" t="str">
        <f t="shared" si="6"/>
        <v>#DIV/0!</v>
      </c>
      <c r="R306" s="111" t="str">
        <f t="shared" si="7"/>
        <v>#DIV/0!</v>
      </c>
      <c r="S306" s="304">
        <f t="shared" si="83"/>
        <v>0</v>
      </c>
      <c r="T306" s="113" t="str">
        <f t="shared" si="9"/>
        <v>#DIV/0!</v>
      </c>
      <c r="U306" s="172"/>
      <c r="V306" s="172"/>
      <c r="W306" s="172"/>
      <c r="X306" s="172"/>
      <c r="Y306" s="173"/>
      <c r="Z306" s="165"/>
      <c r="AA306" s="165"/>
    </row>
    <row r="307" hidden="1" outlineLevel="1">
      <c r="A307" s="165"/>
      <c r="B307" s="174"/>
      <c r="C307" s="100" t="s">
        <v>36</v>
      </c>
      <c r="D307" s="120">
        <v>519.6</v>
      </c>
      <c r="E307" s="105">
        <f t="shared" si="82"/>
        <v>64.95</v>
      </c>
      <c r="F307" s="103">
        <v>8.0</v>
      </c>
      <c r="G307" s="103">
        <v>6.0</v>
      </c>
      <c r="H307" s="104">
        <f t="shared" si="1"/>
        <v>1.333333333</v>
      </c>
      <c r="I307" s="105">
        <f t="shared" si="2"/>
        <v>64.95</v>
      </c>
      <c r="J307" s="106">
        <f t="shared" si="3"/>
        <v>48.7125</v>
      </c>
      <c r="K307" s="120">
        <v>16.13</v>
      </c>
      <c r="L307" s="103">
        <v>2628.0</v>
      </c>
      <c r="M307" s="103">
        <v>2.0</v>
      </c>
      <c r="N307" s="121">
        <v>139.9</v>
      </c>
      <c r="O307" s="109">
        <f t="shared" si="84"/>
        <v>0.1152966405</v>
      </c>
      <c r="P307" s="110">
        <f t="shared" si="5"/>
        <v>8.673279603</v>
      </c>
      <c r="Q307" s="109">
        <f t="shared" si="6"/>
        <v>0.03104311008</v>
      </c>
      <c r="R307" s="111">
        <f t="shared" si="7"/>
        <v>0.2692455735</v>
      </c>
      <c r="S307" s="122">
        <f t="shared" si="83"/>
        <v>379.7</v>
      </c>
      <c r="T307" s="113">
        <f t="shared" si="9"/>
        <v>8.065</v>
      </c>
      <c r="U307" s="172"/>
      <c r="V307" s="172"/>
      <c r="W307" s="172"/>
      <c r="X307" s="172"/>
      <c r="Y307" s="173"/>
      <c r="Z307" s="165"/>
      <c r="AA307" s="165"/>
    </row>
    <row r="308" hidden="1" outlineLevel="1">
      <c r="A308" s="165"/>
      <c r="B308" s="99" t="s">
        <v>37</v>
      </c>
      <c r="C308" s="100" t="s">
        <v>38</v>
      </c>
      <c r="D308" s="123">
        <v>119.23</v>
      </c>
      <c r="E308" s="105">
        <f t="shared" si="82"/>
        <v>23.846</v>
      </c>
      <c r="F308" s="103">
        <v>5.0</v>
      </c>
      <c r="G308" s="103">
        <v>6.0</v>
      </c>
      <c r="H308" s="104">
        <f t="shared" si="1"/>
        <v>0.8333333333</v>
      </c>
      <c r="I308" s="105">
        <f t="shared" si="2"/>
        <v>23.846</v>
      </c>
      <c r="J308" s="106">
        <f t="shared" si="3"/>
        <v>28.6152</v>
      </c>
      <c r="K308" s="123">
        <v>0.0</v>
      </c>
      <c r="L308" s="103">
        <v>0.0</v>
      </c>
      <c r="M308" s="103">
        <v>0.0</v>
      </c>
      <c r="N308" s="124">
        <v>0.0</v>
      </c>
      <c r="O308" s="109" t="str">
        <f t="shared" si="84"/>
        <v>#DIV/0!</v>
      </c>
      <c r="P308" s="110" t="str">
        <f t="shared" si="5"/>
        <v>#DIV/0!</v>
      </c>
      <c r="Q308" s="109">
        <f t="shared" si="6"/>
        <v>0</v>
      </c>
      <c r="R308" s="111">
        <f t="shared" si="7"/>
        <v>0</v>
      </c>
      <c r="S308" s="125">
        <f t="shared" si="83"/>
        <v>119.23</v>
      </c>
      <c r="T308" s="113" t="str">
        <f t="shared" si="9"/>
        <v>#DIV/0!</v>
      </c>
      <c r="U308" s="172"/>
      <c r="V308" s="172"/>
      <c r="W308" s="172"/>
      <c r="X308" s="172"/>
      <c r="Y308" s="173"/>
      <c r="Z308" s="165"/>
      <c r="AA308" s="165"/>
    </row>
    <row r="309" hidden="1" outlineLevel="1">
      <c r="A309" s="165"/>
      <c r="B309" s="174"/>
      <c r="C309" s="100" t="s">
        <v>39</v>
      </c>
      <c r="D309" s="126">
        <v>359.89</v>
      </c>
      <c r="E309" s="105">
        <f t="shared" si="82"/>
        <v>119.9633333</v>
      </c>
      <c r="F309" s="103">
        <v>3.0</v>
      </c>
      <c r="G309" s="103">
        <v>3.0</v>
      </c>
      <c r="H309" s="104">
        <f t="shared" si="1"/>
        <v>1</v>
      </c>
      <c r="I309" s="105">
        <f t="shared" si="2"/>
        <v>119.9633333</v>
      </c>
      <c r="J309" s="106">
        <f t="shared" si="3"/>
        <v>119.9633333</v>
      </c>
      <c r="K309" s="126">
        <v>0.0</v>
      </c>
      <c r="L309" s="103">
        <v>0.0</v>
      </c>
      <c r="M309" s="103">
        <v>0.0</v>
      </c>
      <c r="N309" s="127">
        <v>0.0</v>
      </c>
      <c r="O309" s="109" t="str">
        <f t="shared" si="84"/>
        <v>#DIV/0!</v>
      </c>
      <c r="P309" s="110" t="str">
        <f t="shared" si="5"/>
        <v>#DIV/0!</v>
      </c>
      <c r="Q309" s="109">
        <f t="shared" si="6"/>
        <v>0</v>
      </c>
      <c r="R309" s="111">
        <f t="shared" si="7"/>
        <v>0</v>
      </c>
      <c r="S309" s="128">
        <f t="shared" si="83"/>
        <v>359.89</v>
      </c>
      <c r="T309" s="113" t="str">
        <f t="shared" si="9"/>
        <v>#DIV/0!</v>
      </c>
      <c r="U309" s="172"/>
      <c r="V309" s="172"/>
      <c r="W309" s="172"/>
      <c r="X309" s="172"/>
      <c r="Y309" s="173"/>
      <c r="Z309" s="165"/>
      <c r="AA309" s="165"/>
    </row>
    <row r="310" hidden="1" outlineLevel="1">
      <c r="A310" s="165"/>
      <c r="B310" s="174"/>
      <c r="C310" s="100" t="s">
        <v>40</v>
      </c>
      <c r="D310" s="129">
        <v>461.59</v>
      </c>
      <c r="E310" s="105">
        <f t="shared" si="82"/>
        <v>51.28777778</v>
      </c>
      <c r="F310" s="103">
        <v>9.0</v>
      </c>
      <c r="G310" s="103">
        <v>6.0</v>
      </c>
      <c r="H310" s="104">
        <f t="shared" si="1"/>
        <v>1.5</v>
      </c>
      <c r="I310" s="105">
        <f t="shared" si="2"/>
        <v>51.28777778</v>
      </c>
      <c r="J310" s="106">
        <f t="shared" si="3"/>
        <v>34.19185185</v>
      </c>
      <c r="K310" s="129">
        <v>0.0</v>
      </c>
      <c r="L310" s="103">
        <v>0.0</v>
      </c>
      <c r="M310" s="103">
        <v>0.0</v>
      </c>
      <c r="N310" s="130">
        <v>0.0</v>
      </c>
      <c r="O310" s="109" t="str">
        <f t="shared" si="84"/>
        <v>#DIV/0!</v>
      </c>
      <c r="P310" s="110" t="str">
        <f t="shared" si="5"/>
        <v>#DIV/0!</v>
      </c>
      <c r="Q310" s="109">
        <f t="shared" si="6"/>
        <v>0</v>
      </c>
      <c r="R310" s="111">
        <f t="shared" si="7"/>
        <v>0</v>
      </c>
      <c r="S310" s="131">
        <f t="shared" si="83"/>
        <v>461.59</v>
      </c>
      <c r="T310" s="113" t="str">
        <f t="shared" si="9"/>
        <v>#DIV/0!</v>
      </c>
      <c r="U310" s="172"/>
      <c r="V310" s="172"/>
      <c r="W310" s="172"/>
      <c r="X310" s="172"/>
      <c r="Y310" s="173"/>
      <c r="Z310" s="165"/>
      <c r="AA310" s="165"/>
    </row>
    <row r="311" hidden="1" outlineLevel="1">
      <c r="A311" s="165"/>
      <c r="B311" s="174"/>
      <c r="C311" s="100" t="s">
        <v>41</v>
      </c>
      <c r="D311" s="132">
        <v>0.0</v>
      </c>
      <c r="E311" s="105" t="str">
        <f t="shared" si="82"/>
        <v>#DIV/0!</v>
      </c>
      <c r="F311" s="103">
        <v>0.0</v>
      </c>
      <c r="G311" s="103">
        <v>0.0</v>
      </c>
      <c r="H311" s="104" t="str">
        <f t="shared" si="1"/>
        <v>#DIV/0!</v>
      </c>
      <c r="I311" s="105" t="str">
        <f t="shared" si="2"/>
        <v>#DIV/0!</v>
      </c>
      <c r="J311" s="106" t="str">
        <f t="shared" si="3"/>
        <v>#DIV/0!</v>
      </c>
      <c r="K311" s="132">
        <v>5.36</v>
      </c>
      <c r="L311" s="103">
        <v>708.0</v>
      </c>
      <c r="M311" s="103">
        <v>0.0</v>
      </c>
      <c r="N311" s="133">
        <v>0.0</v>
      </c>
      <c r="O311" s="109" t="str">
        <f t="shared" si="84"/>
        <v>#DIV/0!</v>
      </c>
      <c r="P311" s="110">
        <f t="shared" si="5"/>
        <v>0</v>
      </c>
      <c r="Q311" s="109" t="str">
        <f t="shared" si="6"/>
        <v>#DIV/0!</v>
      </c>
      <c r="R311" s="111" t="str">
        <f t="shared" si="7"/>
        <v>#DIV/0!</v>
      </c>
      <c r="S311" s="134">
        <f t="shared" si="83"/>
        <v>0</v>
      </c>
      <c r="T311" s="113" t="str">
        <f t="shared" si="9"/>
        <v>#DIV/0!</v>
      </c>
      <c r="U311" s="172"/>
      <c r="V311" s="172"/>
      <c r="W311" s="172"/>
      <c r="X311" s="172"/>
      <c r="Y311" s="173"/>
      <c r="Z311" s="165"/>
      <c r="AA311" s="165"/>
    </row>
    <row r="312" hidden="1" outlineLevel="1">
      <c r="A312" s="165"/>
      <c r="B312" s="174"/>
      <c r="C312" s="100" t="s">
        <v>42</v>
      </c>
      <c r="D312" s="120">
        <v>79.96</v>
      </c>
      <c r="E312" s="105">
        <f t="shared" si="82"/>
        <v>19.99</v>
      </c>
      <c r="F312" s="103">
        <v>4.0</v>
      </c>
      <c r="G312" s="103">
        <v>0.0</v>
      </c>
      <c r="H312" s="104" t="str">
        <f t="shared" si="1"/>
        <v>#DIV/0!</v>
      </c>
      <c r="I312" s="105">
        <f t="shared" si="2"/>
        <v>19.99</v>
      </c>
      <c r="J312" s="106" t="str">
        <f t="shared" si="3"/>
        <v>#DIV/0!</v>
      </c>
      <c r="K312" s="120">
        <v>5.9</v>
      </c>
      <c r="L312" s="103">
        <v>15360.0</v>
      </c>
      <c r="M312" s="103">
        <v>1.0</v>
      </c>
      <c r="N312" s="121">
        <v>19.99</v>
      </c>
      <c r="O312" s="109">
        <f t="shared" si="84"/>
        <v>0.2951475738</v>
      </c>
      <c r="P312" s="110">
        <f t="shared" si="5"/>
        <v>3.388135593</v>
      </c>
      <c r="Q312" s="109">
        <f t="shared" si="6"/>
        <v>0.07378689345</v>
      </c>
      <c r="R312" s="111">
        <f t="shared" si="7"/>
        <v>0.25</v>
      </c>
      <c r="S312" s="122">
        <f t="shared" si="83"/>
        <v>59.97</v>
      </c>
      <c r="T312" s="113">
        <f t="shared" si="9"/>
        <v>5.9</v>
      </c>
      <c r="U312" s="172"/>
      <c r="V312" s="172"/>
      <c r="W312" s="172"/>
      <c r="X312" s="172"/>
      <c r="Y312" s="173"/>
      <c r="Z312" s="165"/>
      <c r="AA312" s="165"/>
    </row>
    <row r="313" hidden="1" outlineLevel="1">
      <c r="A313" s="165"/>
      <c r="B313" s="174"/>
      <c r="C313" s="100" t="s">
        <v>43</v>
      </c>
      <c r="D313" s="135">
        <v>195.0</v>
      </c>
      <c r="E313" s="105">
        <f t="shared" si="82"/>
        <v>195</v>
      </c>
      <c r="F313" s="103">
        <v>1.0</v>
      </c>
      <c r="G313" s="103">
        <v>1.0</v>
      </c>
      <c r="H313" s="104">
        <f t="shared" si="1"/>
        <v>1</v>
      </c>
      <c r="I313" s="105">
        <f t="shared" si="2"/>
        <v>195</v>
      </c>
      <c r="J313" s="106">
        <f t="shared" si="3"/>
        <v>195</v>
      </c>
      <c r="K313" s="135">
        <v>97.03</v>
      </c>
      <c r="L313" s="103">
        <v>31817.0</v>
      </c>
      <c r="M313" s="103">
        <v>2.0</v>
      </c>
      <c r="N313" s="136">
        <v>119.9</v>
      </c>
      <c r="O313" s="109">
        <f t="shared" si="84"/>
        <v>0.8092577148</v>
      </c>
      <c r="P313" s="110">
        <f t="shared" si="5"/>
        <v>1.235700299</v>
      </c>
      <c r="Q313" s="109">
        <f t="shared" si="6"/>
        <v>0.4975897436</v>
      </c>
      <c r="R313" s="111">
        <f t="shared" si="7"/>
        <v>0.6148717949</v>
      </c>
      <c r="S313" s="137">
        <f t="shared" si="83"/>
        <v>75.1</v>
      </c>
      <c r="T313" s="113">
        <f t="shared" si="9"/>
        <v>48.515</v>
      </c>
      <c r="U313" s="172"/>
      <c r="V313" s="172"/>
      <c r="W313" s="172"/>
      <c r="X313" s="172"/>
      <c r="Y313" s="173"/>
      <c r="Z313" s="165"/>
      <c r="AA313" s="165"/>
    </row>
    <row r="314" hidden="1" outlineLevel="1">
      <c r="A314" s="165"/>
      <c r="B314" s="174"/>
      <c r="C314" s="100" t="s">
        <v>44</v>
      </c>
      <c r="D314" s="138">
        <v>90.91</v>
      </c>
      <c r="E314" s="105">
        <f t="shared" si="82"/>
        <v>45.455</v>
      </c>
      <c r="F314" s="103">
        <v>2.0</v>
      </c>
      <c r="G314" s="103">
        <v>2.0</v>
      </c>
      <c r="H314" s="104">
        <f t="shared" si="1"/>
        <v>1</v>
      </c>
      <c r="I314" s="105">
        <f t="shared" si="2"/>
        <v>45.455</v>
      </c>
      <c r="J314" s="106">
        <f t="shared" si="3"/>
        <v>45.455</v>
      </c>
      <c r="K314" s="138">
        <v>125.48</v>
      </c>
      <c r="L314" s="103">
        <v>24053.0</v>
      </c>
      <c r="M314" s="103">
        <v>4.0</v>
      </c>
      <c r="N314" s="139">
        <v>64.68</v>
      </c>
      <c r="O314" s="109">
        <f t="shared" si="84"/>
        <v>1.940012369</v>
      </c>
      <c r="P314" s="110">
        <f t="shared" si="5"/>
        <v>0.5154606312</v>
      </c>
      <c r="Q314" s="109">
        <f t="shared" si="6"/>
        <v>1.380266197</v>
      </c>
      <c r="R314" s="111">
        <f t="shared" si="7"/>
        <v>0.7114728853</v>
      </c>
      <c r="S314" s="140">
        <f t="shared" si="83"/>
        <v>26.23</v>
      </c>
      <c r="T314" s="113">
        <f t="shared" si="9"/>
        <v>31.37</v>
      </c>
      <c r="U314" s="172"/>
      <c r="V314" s="172"/>
      <c r="W314" s="172"/>
      <c r="X314" s="172"/>
      <c r="Y314" s="173"/>
      <c r="Z314" s="165"/>
      <c r="AA314" s="165"/>
    </row>
    <row r="315" hidden="1" outlineLevel="1">
      <c r="A315" s="192"/>
      <c r="B315" s="174"/>
      <c r="C315" s="142" t="s">
        <v>45</v>
      </c>
      <c r="D315" s="101">
        <v>0.0</v>
      </c>
      <c r="E315" s="105" t="str">
        <f t="shared" si="82"/>
        <v>#DIV/0!</v>
      </c>
      <c r="F315" s="103">
        <v>0.0</v>
      </c>
      <c r="G315" s="103">
        <v>0.0</v>
      </c>
      <c r="H315" s="104" t="str">
        <f t="shared" si="1"/>
        <v>#DIV/0!</v>
      </c>
      <c r="I315" s="105" t="str">
        <f t="shared" si="2"/>
        <v>#DIV/0!</v>
      </c>
      <c r="J315" s="106" t="str">
        <f t="shared" si="3"/>
        <v>#DIV/0!</v>
      </c>
      <c r="K315" s="101">
        <v>0.0</v>
      </c>
      <c r="L315" s="103">
        <v>0.0</v>
      </c>
      <c r="M315" s="103">
        <v>0.0</v>
      </c>
      <c r="N315" s="108">
        <v>0.0</v>
      </c>
      <c r="O315" s="109" t="str">
        <f t="shared" si="84"/>
        <v>#DIV/0!</v>
      </c>
      <c r="P315" s="110" t="str">
        <f t="shared" si="5"/>
        <v>#DIV/0!</v>
      </c>
      <c r="Q315" s="109" t="str">
        <f t="shared" si="6"/>
        <v>#DIV/0!</v>
      </c>
      <c r="R315" s="111" t="str">
        <f t="shared" si="7"/>
        <v>#DIV/0!</v>
      </c>
      <c r="S315" s="112">
        <f t="shared" si="83"/>
        <v>0</v>
      </c>
      <c r="T315" s="113" t="str">
        <f t="shared" si="9"/>
        <v>#DIV/0!</v>
      </c>
      <c r="U315" s="193"/>
      <c r="V315" s="193"/>
      <c r="W315" s="193"/>
      <c r="X315" s="194"/>
      <c r="Y315" s="195"/>
      <c r="Z315" s="165"/>
      <c r="AA315" s="165"/>
    </row>
    <row r="316" hidden="1" outlineLevel="1">
      <c r="A316" s="165"/>
      <c r="B316" s="174"/>
      <c r="C316" s="100" t="s">
        <v>46</v>
      </c>
      <c r="D316" s="146">
        <v>563.92</v>
      </c>
      <c r="E316" s="105">
        <f t="shared" si="82"/>
        <v>37.59466667</v>
      </c>
      <c r="F316" s="103">
        <v>15.0</v>
      </c>
      <c r="G316" s="103">
        <v>16.0</v>
      </c>
      <c r="H316" s="104">
        <f t="shared" si="1"/>
        <v>0.9375</v>
      </c>
      <c r="I316" s="105">
        <f t="shared" si="2"/>
        <v>37.59466667</v>
      </c>
      <c r="J316" s="106">
        <f t="shared" si="3"/>
        <v>40.10097778</v>
      </c>
      <c r="K316" s="146">
        <v>148.76</v>
      </c>
      <c r="L316" s="103">
        <v>37784.0</v>
      </c>
      <c r="M316" s="103">
        <v>10.0</v>
      </c>
      <c r="N316" s="147">
        <v>341.6</v>
      </c>
      <c r="O316" s="109">
        <f t="shared" si="84"/>
        <v>0.4354800937</v>
      </c>
      <c r="P316" s="110">
        <f t="shared" si="5"/>
        <v>2.296316214</v>
      </c>
      <c r="Q316" s="109">
        <f t="shared" si="6"/>
        <v>0.2637962832</v>
      </c>
      <c r="R316" s="111">
        <f t="shared" si="7"/>
        <v>0.6057596822</v>
      </c>
      <c r="S316" s="112">
        <f t="shared" si="83"/>
        <v>222.32</v>
      </c>
      <c r="T316" s="113">
        <f t="shared" si="9"/>
        <v>14.876</v>
      </c>
      <c r="U316" s="172"/>
      <c r="V316" s="172"/>
      <c r="W316" s="172"/>
      <c r="X316" s="172"/>
      <c r="Y316" s="173"/>
      <c r="Z316" s="165"/>
      <c r="AA316" s="165"/>
    </row>
    <row r="317" hidden="1" outlineLevel="1">
      <c r="A317" s="148" t="str">
        <f t="shared" ref="A317:A318" si="85">iferror(if(B317&gt;0,month(B317)&amp;"-"&amp;year(B317),B317),)</f>
        <v>4-2025</v>
      </c>
      <c r="B317" s="99">
        <v>45759.0</v>
      </c>
      <c r="C317" s="100" t="s">
        <v>49</v>
      </c>
      <c r="D317" s="146">
        <v>0.0</v>
      </c>
      <c r="E317" s="105" t="str">
        <f t="shared" si="82"/>
        <v>#DIV/0!</v>
      </c>
      <c r="F317" s="103">
        <v>0.0</v>
      </c>
      <c r="G317" s="103">
        <v>0.0</v>
      </c>
      <c r="H317" s="104" t="str">
        <f t="shared" si="1"/>
        <v>#DIV/0!</v>
      </c>
      <c r="I317" s="105" t="str">
        <f t="shared" si="2"/>
        <v>#DIV/0!</v>
      </c>
      <c r="J317" s="106" t="str">
        <f t="shared" si="3"/>
        <v>#DIV/0!</v>
      </c>
      <c r="K317" s="146">
        <v>3.16</v>
      </c>
      <c r="L317" s="103">
        <v>7285.0</v>
      </c>
      <c r="M317" s="103">
        <v>0.0</v>
      </c>
      <c r="N317" s="147">
        <v>0.0</v>
      </c>
      <c r="O317" s="109" t="str">
        <f t="shared" si="84"/>
        <v>#DIV/0!</v>
      </c>
      <c r="P317" s="110">
        <f t="shared" si="5"/>
        <v>0</v>
      </c>
      <c r="Q317" s="109" t="str">
        <f t="shared" si="6"/>
        <v>#DIV/0!</v>
      </c>
      <c r="R317" s="111" t="str">
        <f t="shared" si="7"/>
        <v>#DIV/0!</v>
      </c>
      <c r="S317" s="112">
        <f t="shared" si="83"/>
        <v>0</v>
      </c>
      <c r="T317" s="113" t="str">
        <f t="shared" si="9"/>
        <v>#DIV/0!</v>
      </c>
      <c r="U317" s="172"/>
      <c r="V317" s="172"/>
      <c r="W317" s="172"/>
      <c r="X317" s="172"/>
      <c r="Y317" s="173"/>
      <c r="Z317" s="165"/>
      <c r="AA317" s="165"/>
    </row>
    <row r="318" collapsed="1">
      <c r="A318" s="165" t="str">
        <f t="shared" si="85"/>
        <v/>
      </c>
      <c r="B318" s="80" t="s">
        <v>102</v>
      </c>
      <c r="C318" s="201"/>
      <c r="D318" s="151">
        <f>SUM(D301:D317)</f>
        <v>10844.28</v>
      </c>
      <c r="E318" s="155"/>
      <c r="F318" s="153">
        <f t="shared" ref="F318:G318" si="86">SUM(F301:F317)</f>
        <v>115</v>
      </c>
      <c r="G318" s="153">
        <f t="shared" si="86"/>
        <v>100</v>
      </c>
      <c r="H318" s="154">
        <f t="shared" si="1"/>
        <v>1.15</v>
      </c>
      <c r="I318" s="155">
        <f t="shared" si="2"/>
        <v>94.29808696</v>
      </c>
      <c r="J318" s="156">
        <f t="shared" si="3"/>
        <v>81.99833648</v>
      </c>
      <c r="K318" s="151">
        <f t="shared" ref="K318:N318" si="87">SUM(K301:K317)</f>
        <v>1265.19</v>
      </c>
      <c r="L318" s="153">
        <f t="shared" si="87"/>
        <v>330428</v>
      </c>
      <c r="M318" s="153">
        <f t="shared" si="87"/>
        <v>28</v>
      </c>
      <c r="N318" s="157">
        <f t="shared" si="87"/>
        <v>3117.82</v>
      </c>
      <c r="O318" s="158">
        <f t="shared" si="84"/>
        <v>0.4057931503</v>
      </c>
      <c r="P318" s="159">
        <f t="shared" si="5"/>
        <v>2.464309708</v>
      </c>
      <c r="Q318" s="158">
        <f t="shared" si="6"/>
        <v>0.1166688798</v>
      </c>
      <c r="R318" s="160">
        <f t="shared" si="7"/>
        <v>0.2875082532</v>
      </c>
      <c r="S318" s="161">
        <f>SUM(S301:S317)</f>
        <v>7726.46</v>
      </c>
      <c r="T318" s="162">
        <f t="shared" si="9"/>
        <v>45.18535714</v>
      </c>
      <c r="U318" s="163">
        <f>IFERROR((D318-D246)/D318,)</f>
        <v>0.3008922676</v>
      </c>
      <c r="V318" s="163">
        <f>IFERROR((F318-F246)/F318,)</f>
        <v>0.1826086957</v>
      </c>
      <c r="W318" s="398" t="str">
        <f>IFERROR((D318-monthly_reporting_2021!E109)/D318, )</f>
        <v/>
      </c>
      <c r="X318" s="398" t="str">
        <f>IFERROR((F318-monthly_reporting_2021!F109)/F318, )</f>
        <v/>
      </c>
      <c r="Y318" s="165"/>
      <c r="Z318" s="165"/>
      <c r="AA318" s="165"/>
    </row>
    <row r="319" hidden="1" outlineLevel="1">
      <c r="A319" s="165"/>
      <c r="B319" s="99">
        <v>45760.0</v>
      </c>
      <c r="C319" s="100" t="s">
        <v>32</v>
      </c>
      <c r="D319" s="101">
        <v>4694.88</v>
      </c>
      <c r="E319" s="168">
        <v>329.6</v>
      </c>
      <c r="F319" s="103">
        <v>19.0</v>
      </c>
      <c r="G319" s="103">
        <v>17.0</v>
      </c>
      <c r="H319" s="104">
        <f t="shared" si="1"/>
        <v>1.117647059</v>
      </c>
      <c r="I319" s="105">
        <f t="shared" si="2"/>
        <v>247.0989474</v>
      </c>
      <c r="J319" s="106">
        <f t="shared" si="3"/>
        <v>221.0885319</v>
      </c>
      <c r="K319" s="107">
        <v>421.79</v>
      </c>
      <c r="L319" s="103">
        <v>69532.0</v>
      </c>
      <c r="M319" s="103">
        <v>8.0</v>
      </c>
      <c r="N319" s="108">
        <v>2757.39</v>
      </c>
      <c r="O319" s="109">
        <f t="shared" si="84"/>
        <v>0.1529671175</v>
      </c>
      <c r="P319" s="110">
        <f t="shared" si="5"/>
        <v>6.537352711</v>
      </c>
      <c r="Q319" s="109">
        <f t="shared" si="6"/>
        <v>0.08984042191</v>
      </c>
      <c r="R319" s="111">
        <f t="shared" si="7"/>
        <v>0.5873185257</v>
      </c>
      <c r="S319" s="112">
        <f t="shared" ref="S319:S335" si="88">D319-N319</f>
        <v>1937.49</v>
      </c>
      <c r="T319" s="113">
        <f t="shared" si="9"/>
        <v>52.72375</v>
      </c>
      <c r="U319" s="172"/>
      <c r="V319" s="172"/>
      <c r="W319" s="172"/>
      <c r="X319" s="172"/>
      <c r="Y319" s="173"/>
      <c r="Z319" s="165"/>
      <c r="AA319" s="165"/>
    </row>
    <row r="320" hidden="1" outlineLevel="1">
      <c r="A320" s="165"/>
      <c r="B320" s="174"/>
      <c r="C320" s="100" t="s">
        <v>33</v>
      </c>
      <c r="D320" s="117">
        <v>2464.65</v>
      </c>
      <c r="E320" s="168">
        <v>121.52</v>
      </c>
      <c r="F320" s="103">
        <v>26.0</v>
      </c>
      <c r="G320" s="103">
        <v>23.0</v>
      </c>
      <c r="H320" s="104">
        <f t="shared" si="1"/>
        <v>1.130434783</v>
      </c>
      <c r="I320" s="105">
        <f t="shared" si="2"/>
        <v>94.79423077</v>
      </c>
      <c r="J320" s="106">
        <f t="shared" si="3"/>
        <v>83.85643491</v>
      </c>
      <c r="K320" s="117">
        <v>223.07</v>
      </c>
      <c r="L320" s="103">
        <v>85387.0</v>
      </c>
      <c r="M320" s="103">
        <v>3.0</v>
      </c>
      <c r="N320" s="118">
        <v>113.9</v>
      </c>
      <c r="O320" s="109">
        <f t="shared" si="84"/>
        <v>1.958472344</v>
      </c>
      <c r="P320" s="110">
        <f t="shared" si="5"/>
        <v>0.5106020532</v>
      </c>
      <c r="Q320" s="109">
        <f t="shared" si="6"/>
        <v>0.09050778001</v>
      </c>
      <c r="R320" s="111">
        <f t="shared" si="7"/>
        <v>0.0462134583</v>
      </c>
      <c r="S320" s="119">
        <f t="shared" si="88"/>
        <v>2350.75</v>
      </c>
      <c r="T320" s="113">
        <f t="shared" si="9"/>
        <v>74.35666667</v>
      </c>
      <c r="U320" s="172"/>
      <c r="V320" s="172"/>
      <c r="W320" s="172"/>
      <c r="X320" s="172"/>
      <c r="Y320" s="173"/>
      <c r="Z320" s="165"/>
      <c r="AA320" s="165"/>
    </row>
    <row r="321" hidden="1" outlineLevel="1">
      <c r="A321" s="165"/>
      <c r="B321" s="174"/>
      <c r="C321" s="100" t="s">
        <v>34</v>
      </c>
      <c r="D321" s="120">
        <v>0.0</v>
      </c>
      <c r="E321" s="168">
        <v>0.0</v>
      </c>
      <c r="F321" s="103">
        <v>0.0</v>
      </c>
      <c r="G321" s="103">
        <v>0.0</v>
      </c>
      <c r="H321" s="104" t="str">
        <f t="shared" si="1"/>
        <v>#DIV/0!</v>
      </c>
      <c r="I321" s="105" t="str">
        <f t="shared" si="2"/>
        <v>#DIV/0!</v>
      </c>
      <c r="J321" s="106" t="str">
        <f t="shared" si="3"/>
        <v>#DIV/0!</v>
      </c>
      <c r="K321" s="120">
        <v>0.0</v>
      </c>
      <c r="L321" s="103">
        <v>0.0</v>
      </c>
      <c r="M321" s="103">
        <v>0.0</v>
      </c>
      <c r="N321" s="121">
        <v>0.0</v>
      </c>
      <c r="O321" s="109" t="str">
        <f>(K321/N321)</f>
        <v>#DIV/0!</v>
      </c>
      <c r="P321" s="110" t="str">
        <f t="shared" si="5"/>
        <v>#DIV/0!</v>
      </c>
      <c r="Q321" s="109" t="str">
        <f t="shared" si="6"/>
        <v>#DIV/0!</v>
      </c>
      <c r="R321" s="111" t="str">
        <f t="shared" si="7"/>
        <v>#DIV/0!</v>
      </c>
      <c r="S321" s="122">
        <f t="shared" si="88"/>
        <v>0</v>
      </c>
      <c r="T321" s="113" t="str">
        <f t="shared" si="9"/>
        <v>#DIV/0!</v>
      </c>
      <c r="U321" s="172"/>
      <c r="V321" s="172"/>
      <c r="W321" s="172"/>
      <c r="X321" s="172"/>
      <c r="Y321" s="173"/>
      <c r="Z321" s="165"/>
      <c r="AA321" s="165"/>
    </row>
    <row r="322" hidden="1" outlineLevel="1">
      <c r="A322" s="165"/>
      <c r="B322" s="174"/>
      <c r="C322" s="100" t="s">
        <v>35</v>
      </c>
      <c r="D322" s="120">
        <v>305.75</v>
      </c>
      <c r="E322" s="168">
        <v>61.45</v>
      </c>
      <c r="F322" s="103">
        <v>5.0</v>
      </c>
      <c r="G322" s="103">
        <v>4.0</v>
      </c>
      <c r="H322" s="104">
        <f t="shared" si="1"/>
        <v>1.25</v>
      </c>
      <c r="I322" s="105">
        <f t="shared" si="2"/>
        <v>61.15</v>
      </c>
      <c r="J322" s="106">
        <f t="shared" si="3"/>
        <v>48.92</v>
      </c>
      <c r="K322" s="120">
        <v>59.97</v>
      </c>
      <c r="L322" s="103">
        <v>6063.0</v>
      </c>
      <c r="M322" s="103">
        <v>2.0</v>
      </c>
      <c r="N322" s="121">
        <v>119.9</v>
      </c>
      <c r="O322" s="109">
        <f t="shared" ref="O322:O338" si="89">K322/N322</f>
        <v>0.5001668057</v>
      </c>
      <c r="P322" s="110">
        <f t="shared" si="5"/>
        <v>1.999333</v>
      </c>
      <c r="Q322" s="109">
        <f t="shared" si="6"/>
        <v>0.1961406378</v>
      </c>
      <c r="R322" s="111">
        <f t="shared" si="7"/>
        <v>0.3921504497</v>
      </c>
      <c r="S322" s="122">
        <f t="shared" si="88"/>
        <v>185.85</v>
      </c>
      <c r="T322" s="113">
        <f t="shared" si="9"/>
        <v>29.985</v>
      </c>
      <c r="U322" s="172"/>
      <c r="V322" s="172"/>
      <c r="W322" s="172"/>
      <c r="X322" s="172"/>
      <c r="Y322" s="173"/>
      <c r="Z322" s="165"/>
      <c r="AA322" s="165"/>
    </row>
    <row r="323" hidden="1" outlineLevel="1">
      <c r="A323" s="165"/>
      <c r="B323" s="174"/>
      <c r="C323" s="100" t="s">
        <v>65</v>
      </c>
      <c r="D323" s="300">
        <v>288.0</v>
      </c>
      <c r="E323" s="168">
        <v>36.0</v>
      </c>
      <c r="F323" s="103">
        <v>8.0</v>
      </c>
      <c r="G323" s="103">
        <v>5.0</v>
      </c>
      <c r="H323" s="104">
        <f t="shared" si="1"/>
        <v>1.6</v>
      </c>
      <c r="I323" s="105">
        <f t="shared" si="2"/>
        <v>36</v>
      </c>
      <c r="J323" s="106">
        <f t="shared" si="3"/>
        <v>22.5</v>
      </c>
      <c r="K323" s="300">
        <v>0.0</v>
      </c>
      <c r="L323" s="103">
        <v>0.0</v>
      </c>
      <c r="M323" s="103">
        <v>0.0</v>
      </c>
      <c r="N323" s="300">
        <v>0.0</v>
      </c>
      <c r="O323" s="109" t="str">
        <f t="shared" si="89"/>
        <v>#DIV/0!</v>
      </c>
      <c r="P323" s="110" t="str">
        <f t="shared" si="5"/>
        <v>#DIV/0!</v>
      </c>
      <c r="Q323" s="109">
        <f t="shared" si="6"/>
        <v>0</v>
      </c>
      <c r="R323" s="111">
        <f t="shared" si="7"/>
        <v>0</v>
      </c>
      <c r="S323" s="122">
        <f t="shared" si="88"/>
        <v>288</v>
      </c>
      <c r="T323" s="113" t="str">
        <f t="shared" si="9"/>
        <v>#DIV/0!</v>
      </c>
      <c r="U323" s="172"/>
      <c r="V323" s="172"/>
      <c r="W323" s="172"/>
      <c r="X323" s="172"/>
      <c r="Y323" s="173"/>
      <c r="Z323" s="165"/>
      <c r="AA323" s="165"/>
    </row>
    <row r="324" hidden="1" outlineLevel="1">
      <c r="A324" s="165"/>
      <c r="B324" s="174"/>
      <c r="C324" s="100" t="s">
        <v>85</v>
      </c>
      <c r="D324" s="302">
        <v>0.0</v>
      </c>
      <c r="E324" s="168">
        <v>0.0</v>
      </c>
      <c r="F324" s="103">
        <v>0.0</v>
      </c>
      <c r="G324" s="103">
        <v>0.0</v>
      </c>
      <c r="H324" s="104" t="str">
        <f t="shared" si="1"/>
        <v>#DIV/0!</v>
      </c>
      <c r="I324" s="105" t="str">
        <f t="shared" si="2"/>
        <v>#DIV/0!</v>
      </c>
      <c r="J324" s="106" t="str">
        <f t="shared" si="3"/>
        <v>#DIV/0!</v>
      </c>
      <c r="K324" s="302">
        <v>0.0</v>
      </c>
      <c r="L324" s="103">
        <v>0.0</v>
      </c>
      <c r="M324" s="103">
        <v>0.0</v>
      </c>
      <c r="N324" s="303">
        <v>0.0</v>
      </c>
      <c r="O324" s="109" t="str">
        <f t="shared" si="89"/>
        <v>#DIV/0!</v>
      </c>
      <c r="P324" s="110" t="str">
        <f t="shared" si="5"/>
        <v>#DIV/0!</v>
      </c>
      <c r="Q324" s="109" t="str">
        <f t="shared" si="6"/>
        <v>#DIV/0!</v>
      </c>
      <c r="R324" s="111" t="str">
        <f t="shared" si="7"/>
        <v>#DIV/0!</v>
      </c>
      <c r="S324" s="304">
        <f t="shared" si="88"/>
        <v>0</v>
      </c>
      <c r="T324" s="113" t="str">
        <f t="shared" si="9"/>
        <v>#DIV/0!</v>
      </c>
      <c r="U324" s="172"/>
      <c r="V324" s="172"/>
      <c r="W324" s="172"/>
      <c r="X324" s="172"/>
      <c r="Y324" s="173"/>
      <c r="Z324" s="165"/>
      <c r="AA324" s="165"/>
    </row>
    <row r="325" hidden="1" outlineLevel="1">
      <c r="A325" s="165"/>
      <c r="B325" s="174"/>
      <c r="C325" s="100" t="s">
        <v>36</v>
      </c>
      <c r="D325" s="120">
        <v>339.75</v>
      </c>
      <c r="E325" s="168">
        <v>64.95</v>
      </c>
      <c r="F325" s="103">
        <v>5.0</v>
      </c>
      <c r="G325" s="103">
        <v>5.0</v>
      </c>
      <c r="H325" s="104">
        <f t="shared" si="1"/>
        <v>1</v>
      </c>
      <c r="I325" s="105">
        <f t="shared" si="2"/>
        <v>67.95</v>
      </c>
      <c r="J325" s="106">
        <f t="shared" si="3"/>
        <v>67.95</v>
      </c>
      <c r="K325" s="120">
        <v>73.21</v>
      </c>
      <c r="L325" s="103">
        <v>13658.0</v>
      </c>
      <c r="M325" s="103">
        <v>2.0</v>
      </c>
      <c r="N325" s="121">
        <v>129.9</v>
      </c>
      <c r="O325" s="109">
        <f t="shared" si="89"/>
        <v>0.5635873749</v>
      </c>
      <c r="P325" s="110">
        <f t="shared" si="5"/>
        <v>1.774347767</v>
      </c>
      <c r="Q325" s="109">
        <f t="shared" si="6"/>
        <v>0.215481972</v>
      </c>
      <c r="R325" s="111">
        <f t="shared" si="7"/>
        <v>0.3823399558</v>
      </c>
      <c r="S325" s="122">
        <f t="shared" si="88"/>
        <v>209.85</v>
      </c>
      <c r="T325" s="113">
        <f t="shared" si="9"/>
        <v>36.605</v>
      </c>
      <c r="U325" s="172"/>
      <c r="V325" s="172"/>
      <c r="W325" s="172"/>
      <c r="X325" s="172"/>
      <c r="Y325" s="173"/>
      <c r="Z325" s="165"/>
      <c r="AA325" s="165"/>
    </row>
    <row r="326" hidden="1" outlineLevel="1">
      <c r="A326" s="165"/>
      <c r="B326" s="99" t="s">
        <v>37</v>
      </c>
      <c r="C326" s="100" t="s">
        <v>38</v>
      </c>
      <c r="D326" s="123">
        <v>164.32</v>
      </c>
      <c r="E326" s="168">
        <v>46.72</v>
      </c>
      <c r="F326" s="103">
        <v>3.0</v>
      </c>
      <c r="G326" s="103">
        <v>4.0</v>
      </c>
      <c r="H326" s="104">
        <f t="shared" si="1"/>
        <v>0.75</v>
      </c>
      <c r="I326" s="105">
        <f t="shared" si="2"/>
        <v>54.77333333</v>
      </c>
      <c r="J326" s="106">
        <f t="shared" si="3"/>
        <v>73.03111111</v>
      </c>
      <c r="K326" s="123">
        <v>117.82</v>
      </c>
      <c r="L326" s="103">
        <v>14122.0</v>
      </c>
      <c r="M326" s="103">
        <v>0.0</v>
      </c>
      <c r="N326" s="124">
        <v>0.0</v>
      </c>
      <c r="O326" s="109" t="str">
        <f t="shared" si="89"/>
        <v>#DIV/0!</v>
      </c>
      <c r="P326" s="110">
        <f t="shared" si="5"/>
        <v>0</v>
      </c>
      <c r="Q326" s="109">
        <f t="shared" si="6"/>
        <v>0.7170155794</v>
      </c>
      <c r="R326" s="111">
        <f t="shared" si="7"/>
        <v>0</v>
      </c>
      <c r="S326" s="125">
        <f t="shared" si="88"/>
        <v>164.32</v>
      </c>
      <c r="T326" s="113" t="str">
        <f t="shared" si="9"/>
        <v>#DIV/0!</v>
      </c>
      <c r="U326" s="172"/>
      <c r="V326" s="172"/>
      <c r="W326" s="172"/>
      <c r="X326" s="172"/>
      <c r="Y326" s="173"/>
      <c r="Z326" s="165"/>
      <c r="AA326" s="165"/>
    </row>
    <row r="327" hidden="1" outlineLevel="1">
      <c r="A327" s="165"/>
      <c r="B327" s="174"/>
      <c r="C327" s="100" t="s">
        <v>39</v>
      </c>
      <c r="D327" s="126">
        <v>1059.89</v>
      </c>
      <c r="E327" s="168">
        <v>129.97</v>
      </c>
      <c r="F327" s="103">
        <v>7.0</v>
      </c>
      <c r="G327" s="103">
        <v>2.0</v>
      </c>
      <c r="H327" s="104">
        <f t="shared" si="1"/>
        <v>3.5</v>
      </c>
      <c r="I327" s="105">
        <f t="shared" si="2"/>
        <v>151.4128571</v>
      </c>
      <c r="J327" s="106">
        <f t="shared" si="3"/>
        <v>43.26081633</v>
      </c>
      <c r="K327" s="126">
        <v>0.0</v>
      </c>
      <c r="L327" s="103">
        <v>0.0</v>
      </c>
      <c r="M327" s="103">
        <v>0.0</v>
      </c>
      <c r="N327" s="127">
        <v>0.0</v>
      </c>
      <c r="O327" s="109" t="str">
        <f t="shared" si="89"/>
        <v>#DIV/0!</v>
      </c>
      <c r="P327" s="110" t="str">
        <f t="shared" si="5"/>
        <v>#DIV/0!</v>
      </c>
      <c r="Q327" s="109">
        <f t="shared" si="6"/>
        <v>0</v>
      </c>
      <c r="R327" s="111">
        <f t="shared" si="7"/>
        <v>0</v>
      </c>
      <c r="S327" s="128">
        <f t="shared" si="88"/>
        <v>1059.89</v>
      </c>
      <c r="T327" s="113" t="str">
        <f t="shared" si="9"/>
        <v>#DIV/0!</v>
      </c>
      <c r="U327" s="172"/>
      <c r="V327" s="172"/>
      <c r="W327" s="172"/>
      <c r="X327" s="172"/>
      <c r="Y327" s="173"/>
      <c r="Z327" s="165"/>
      <c r="AA327" s="165"/>
    </row>
    <row r="328" hidden="1" outlineLevel="1">
      <c r="A328" s="165"/>
      <c r="B328" s="174"/>
      <c r="C328" s="100" t="s">
        <v>40</v>
      </c>
      <c r="D328" s="129">
        <v>549.5</v>
      </c>
      <c r="E328" s="168">
        <v>54.95</v>
      </c>
      <c r="F328" s="103">
        <v>10.0</v>
      </c>
      <c r="G328" s="103">
        <v>6.0</v>
      </c>
      <c r="H328" s="104">
        <f t="shared" si="1"/>
        <v>1.666666667</v>
      </c>
      <c r="I328" s="105">
        <f t="shared" si="2"/>
        <v>54.95</v>
      </c>
      <c r="J328" s="106">
        <f t="shared" si="3"/>
        <v>32.97</v>
      </c>
      <c r="K328" s="129">
        <v>0.0</v>
      </c>
      <c r="L328" s="103">
        <v>0.0</v>
      </c>
      <c r="M328" s="103">
        <v>0.0</v>
      </c>
      <c r="N328" s="130">
        <v>0.0</v>
      </c>
      <c r="O328" s="109" t="str">
        <f t="shared" si="89"/>
        <v>#DIV/0!</v>
      </c>
      <c r="P328" s="110" t="str">
        <f t="shared" si="5"/>
        <v>#DIV/0!</v>
      </c>
      <c r="Q328" s="109">
        <f t="shared" si="6"/>
        <v>0</v>
      </c>
      <c r="R328" s="111">
        <f t="shared" si="7"/>
        <v>0</v>
      </c>
      <c r="S328" s="131">
        <f t="shared" si="88"/>
        <v>549.5</v>
      </c>
      <c r="T328" s="113" t="str">
        <f t="shared" si="9"/>
        <v>#DIV/0!</v>
      </c>
      <c r="U328" s="172"/>
      <c r="V328" s="172"/>
      <c r="W328" s="172"/>
      <c r="X328" s="172"/>
      <c r="Y328" s="173"/>
      <c r="Z328" s="165"/>
      <c r="AA328" s="165"/>
    </row>
    <row r="329" hidden="1" outlineLevel="1">
      <c r="A329" s="165"/>
      <c r="B329" s="174"/>
      <c r="C329" s="100" t="s">
        <v>41</v>
      </c>
      <c r="D329" s="132">
        <v>0.0</v>
      </c>
      <c r="E329" s="168">
        <v>0.0</v>
      </c>
      <c r="F329" s="103">
        <v>0.0</v>
      </c>
      <c r="G329" s="103">
        <v>0.0</v>
      </c>
      <c r="H329" s="104" t="str">
        <f t="shared" si="1"/>
        <v>#DIV/0!</v>
      </c>
      <c r="I329" s="105" t="str">
        <f t="shared" si="2"/>
        <v>#DIV/0!</v>
      </c>
      <c r="J329" s="106" t="str">
        <f t="shared" si="3"/>
        <v>#DIV/0!</v>
      </c>
      <c r="K329" s="132">
        <v>0.0</v>
      </c>
      <c r="L329" s="103">
        <v>0.0</v>
      </c>
      <c r="M329" s="103">
        <v>0.0</v>
      </c>
      <c r="N329" s="133">
        <v>0.0</v>
      </c>
      <c r="O329" s="109" t="str">
        <f t="shared" si="89"/>
        <v>#DIV/0!</v>
      </c>
      <c r="P329" s="110" t="str">
        <f t="shared" si="5"/>
        <v>#DIV/0!</v>
      </c>
      <c r="Q329" s="109" t="str">
        <f t="shared" si="6"/>
        <v>#DIV/0!</v>
      </c>
      <c r="R329" s="111" t="str">
        <f t="shared" si="7"/>
        <v>#DIV/0!</v>
      </c>
      <c r="S329" s="134">
        <f t="shared" si="88"/>
        <v>0</v>
      </c>
      <c r="T329" s="113" t="str">
        <f t="shared" si="9"/>
        <v>#DIV/0!</v>
      </c>
      <c r="U329" s="172"/>
      <c r="V329" s="172"/>
      <c r="W329" s="172"/>
      <c r="X329" s="172"/>
      <c r="Y329" s="173"/>
      <c r="Z329" s="165"/>
      <c r="AA329" s="165"/>
    </row>
    <row r="330" hidden="1" outlineLevel="1">
      <c r="A330" s="165"/>
      <c r="B330" s="174"/>
      <c r="C330" s="100" t="s">
        <v>42</v>
      </c>
      <c r="D330" s="120">
        <v>139.93</v>
      </c>
      <c r="E330" s="168">
        <v>19.99</v>
      </c>
      <c r="F330" s="103">
        <v>7.0</v>
      </c>
      <c r="G330" s="103">
        <v>7.0</v>
      </c>
      <c r="H330" s="104">
        <f t="shared" si="1"/>
        <v>1</v>
      </c>
      <c r="I330" s="105">
        <f t="shared" si="2"/>
        <v>19.99</v>
      </c>
      <c r="J330" s="106">
        <f t="shared" si="3"/>
        <v>19.99</v>
      </c>
      <c r="K330" s="120">
        <v>6.4</v>
      </c>
      <c r="L330" s="103">
        <v>15801.0</v>
      </c>
      <c r="M330" s="103">
        <v>8.0</v>
      </c>
      <c r="N330" s="121">
        <v>159.92</v>
      </c>
      <c r="O330" s="109">
        <f t="shared" si="89"/>
        <v>0.04002001001</v>
      </c>
      <c r="P330" s="110">
        <f t="shared" si="5"/>
        <v>24.9875</v>
      </c>
      <c r="Q330" s="109">
        <f t="shared" si="6"/>
        <v>0.04573715429</v>
      </c>
      <c r="R330" s="111">
        <f t="shared" si="7"/>
        <v>1.142857143</v>
      </c>
      <c r="S330" s="122">
        <f t="shared" si="88"/>
        <v>-19.99</v>
      </c>
      <c r="T330" s="113">
        <f t="shared" si="9"/>
        <v>0.8</v>
      </c>
      <c r="U330" s="172"/>
      <c r="V330" s="172"/>
      <c r="W330" s="172"/>
      <c r="X330" s="172"/>
      <c r="Y330" s="173"/>
      <c r="Z330" s="165"/>
      <c r="AA330" s="165"/>
    </row>
    <row r="331" hidden="1" outlineLevel="1">
      <c r="A331" s="165"/>
      <c r="B331" s="174"/>
      <c r="C331" s="100" t="s">
        <v>43</v>
      </c>
      <c r="D331" s="135">
        <v>344.0</v>
      </c>
      <c r="E331" s="168">
        <v>172.0</v>
      </c>
      <c r="F331" s="103">
        <v>2.0</v>
      </c>
      <c r="G331" s="103">
        <v>2.0</v>
      </c>
      <c r="H331" s="104">
        <f t="shared" si="1"/>
        <v>1</v>
      </c>
      <c r="I331" s="105">
        <f t="shared" si="2"/>
        <v>172</v>
      </c>
      <c r="J331" s="106">
        <f t="shared" si="3"/>
        <v>172</v>
      </c>
      <c r="K331" s="135">
        <v>12.67</v>
      </c>
      <c r="L331" s="103">
        <v>23602.0</v>
      </c>
      <c r="M331" s="103">
        <v>1.0</v>
      </c>
      <c r="N331" s="136">
        <v>195.0</v>
      </c>
      <c r="O331" s="109">
        <f t="shared" si="89"/>
        <v>0.06497435897</v>
      </c>
      <c r="P331" s="110">
        <f t="shared" si="5"/>
        <v>15.39068666</v>
      </c>
      <c r="Q331" s="109">
        <f t="shared" si="6"/>
        <v>0.03683139535</v>
      </c>
      <c r="R331" s="111">
        <f t="shared" si="7"/>
        <v>0.5668604651</v>
      </c>
      <c r="S331" s="137">
        <f t="shared" si="88"/>
        <v>149</v>
      </c>
      <c r="T331" s="113">
        <f t="shared" si="9"/>
        <v>12.67</v>
      </c>
      <c r="U331" s="172"/>
      <c r="V331" s="172"/>
      <c r="W331" s="172"/>
      <c r="X331" s="172"/>
      <c r="Y331" s="173"/>
      <c r="Z331" s="165"/>
      <c r="AA331" s="165"/>
    </row>
    <row r="332" hidden="1" outlineLevel="1">
      <c r="A332" s="165"/>
      <c r="B332" s="174"/>
      <c r="C332" s="100" t="s">
        <v>44</v>
      </c>
      <c r="D332" s="138">
        <v>159.8</v>
      </c>
      <c r="E332" s="168">
        <v>39.95</v>
      </c>
      <c r="F332" s="103">
        <v>4.0</v>
      </c>
      <c r="G332" s="103">
        <v>4.0</v>
      </c>
      <c r="H332" s="104">
        <f t="shared" si="1"/>
        <v>1</v>
      </c>
      <c r="I332" s="105">
        <f t="shared" si="2"/>
        <v>39.95</v>
      </c>
      <c r="J332" s="106">
        <f t="shared" si="3"/>
        <v>39.95</v>
      </c>
      <c r="K332" s="138">
        <v>49.37</v>
      </c>
      <c r="L332" s="103">
        <v>13331.0</v>
      </c>
      <c r="M332" s="103">
        <v>1.0</v>
      </c>
      <c r="N332" s="139">
        <v>39.95</v>
      </c>
      <c r="O332" s="109">
        <f t="shared" si="89"/>
        <v>1.235794743</v>
      </c>
      <c r="P332" s="110">
        <f t="shared" si="5"/>
        <v>0.8091958679</v>
      </c>
      <c r="Q332" s="109">
        <f t="shared" si="6"/>
        <v>0.3089486859</v>
      </c>
      <c r="R332" s="111">
        <f t="shared" si="7"/>
        <v>0.25</v>
      </c>
      <c r="S332" s="140">
        <f t="shared" si="88"/>
        <v>119.85</v>
      </c>
      <c r="T332" s="113">
        <f t="shared" si="9"/>
        <v>49.37</v>
      </c>
      <c r="U332" s="172"/>
      <c r="V332" s="172"/>
      <c r="W332" s="172"/>
      <c r="X332" s="172"/>
      <c r="Y332" s="173"/>
      <c r="Z332" s="165"/>
      <c r="AA332" s="165"/>
    </row>
    <row r="333" hidden="1" outlineLevel="1">
      <c r="A333" s="192"/>
      <c r="B333" s="174"/>
      <c r="C333" s="142" t="s">
        <v>45</v>
      </c>
      <c r="D333" s="101">
        <v>0.0</v>
      </c>
      <c r="E333" s="168">
        <v>0.0</v>
      </c>
      <c r="F333" s="103">
        <v>0.0</v>
      </c>
      <c r="G333" s="103">
        <v>0.0</v>
      </c>
      <c r="H333" s="104" t="str">
        <f t="shared" si="1"/>
        <v>#DIV/0!</v>
      </c>
      <c r="I333" s="105" t="str">
        <f t="shared" si="2"/>
        <v>#DIV/0!</v>
      </c>
      <c r="J333" s="106" t="str">
        <f t="shared" si="3"/>
        <v>#DIV/0!</v>
      </c>
      <c r="K333" s="101">
        <v>0.0</v>
      </c>
      <c r="L333" s="103">
        <v>0.0</v>
      </c>
      <c r="M333" s="103">
        <v>0.0</v>
      </c>
      <c r="N333" s="108">
        <v>0.0</v>
      </c>
      <c r="O333" s="109" t="str">
        <f t="shared" si="89"/>
        <v>#DIV/0!</v>
      </c>
      <c r="P333" s="110" t="str">
        <f t="shared" si="5"/>
        <v>#DIV/0!</v>
      </c>
      <c r="Q333" s="109" t="str">
        <f t="shared" si="6"/>
        <v>#DIV/0!</v>
      </c>
      <c r="R333" s="111" t="str">
        <f t="shared" si="7"/>
        <v>#DIV/0!</v>
      </c>
      <c r="S333" s="112">
        <f t="shared" si="88"/>
        <v>0</v>
      </c>
      <c r="T333" s="113" t="str">
        <f t="shared" si="9"/>
        <v>#DIV/0!</v>
      </c>
      <c r="U333" s="193"/>
      <c r="V333" s="193"/>
      <c r="W333" s="193"/>
      <c r="X333" s="194"/>
      <c r="Y333" s="195"/>
      <c r="Z333" s="165"/>
      <c r="AA333" s="165"/>
    </row>
    <row r="334" hidden="1" outlineLevel="1">
      <c r="A334" s="165"/>
      <c r="B334" s="174"/>
      <c r="C334" s="100" t="s">
        <v>46</v>
      </c>
      <c r="D334" s="146">
        <v>581.27</v>
      </c>
      <c r="E334" s="168">
        <v>41.55</v>
      </c>
      <c r="F334" s="103">
        <v>14.0</v>
      </c>
      <c r="G334" s="103">
        <v>16.0</v>
      </c>
      <c r="H334" s="104">
        <f t="shared" si="1"/>
        <v>0.875</v>
      </c>
      <c r="I334" s="105">
        <f t="shared" si="2"/>
        <v>41.51928571</v>
      </c>
      <c r="J334" s="106">
        <f t="shared" si="3"/>
        <v>47.45061224</v>
      </c>
      <c r="K334" s="146">
        <v>104.02</v>
      </c>
      <c r="L334" s="103">
        <v>38358.0</v>
      </c>
      <c r="M334" s="103">
        <v>4.0</v>
      </c>
      <c r="N334" s="147">
        <v>159.8</v>
      </c>
      <c r="O334" s="109">
        <f t="shared" si="89"/>
        <v>0.6509386733</v>
      </c>
      <c r="P334" s="110">
        <f t="shared" si="5"/>
        <v>1.53624303</v>
      </c>
      <c r="Q334" s="109">
        <f t="shared" si="6"/>
        <v>0.1789529823</v>
      </c>
      <c r="R334" s="111">
        <f t="shared" si="7"/>
        <v>0.2749152717</v>
      </c>
      <c r="S334" s="112">
        <f t="shared" si="88"/>
        <v>421.47</v>
      </c>
      <c r="T334" s="113">
        <f t="shared" si="9"/>
        <v>26.005</v>
      </c>
      <c r="U334" s="172"/>
      <c r="V334" s="172"/>
      <c r="W334" s="172"/>
      <c r="X334" s="172"/>
      <c r="Y334" s="173"/>
      <c r="Z334" s="165"/>
      <c r="AA334" s="165"/>
    </row>
    <row r="335" hidden="1" outlineLevel="1">
      <c r="A335" s="148" t="str">
        <f t="shared" ref="A335:A336" si="90">iferror(if(B335&gt;0,month(B335)&amp;"-"&amp;year(B335),B335),)</f>
        <v>4-2025</v>
      </c>
      <c r="B335" s="99">
        <v>45766.0</v>
      </c>
      <c r="C335" s="100" t="s">
        <v>49</v>
      </c>
      <c r="D335" s="146">
        <v>0.0</v>
      </c>
      <c r="E335" s="168">
        <v>0.0</v>
      </c>
      <c r="F335" s="103">
        <v>0.0</v>
      </c>
      <c r="G335" s="103">
        <v>0.0</v>
      </c>
      <c r="H335" s="104" t="str">
        <f t="shared" si="1"/>
        <v>#DIV/0!</v>
      </c>
      <c r="I335" s="105" t="str">
        <f t="shared" si="2"/>
        <v>#DIV/0!</v>
      </c>
      <c r="J335" s="106" t="str">
        <f t="shared" si="3"/>
        <v>#DIV/0!</v>
      </c>
      <c r="K335" s="146">
        <v>4.55</v>
      </c>
      <c r="L335" s="103">
        <v>6332.0</v>
      </c>
      <c r="M335" s="103">
        <v>0.0</v>
      </c>
      <c r="N335" s="147">
        <v>0.0</v>
      </c>
      <c r="O335" s="109" t="str">
        <f t="shared" si="89"/>
        <v>#DIV/0!</v>
      </c>
      <c r="P335" s="110">
        <f t="shared" si="5"/>
        <v>0</v>
      </c>
      <c r="Q335" s="109" t="str">
        <f t="shared" si="6"/>
        <v>#DIV/0!</v>
      </c>
      <c r="R335" s="111" t="str">
        <f t="shared" si="7"/>
        <v>#DIV/0!</v>
      </c>
      <c r="S335" s="112">
        <f t="shared" si="88"/>
        <v>0</v>
      </c>
      <c r="T335" s="113" t="str">
        <f t="shared" si="9"/>
        <v>#DIV/0!</v>
      </c>
      <c r="U335" s="172"/>
      <c r="V335" s="172"/>
      <c r="W335" s="172"/>
      <c r="X335" s="172"/>
      <c r="Y335" s="173"/>
      <c r="Z335" s="165"/>
      <c r="AA335" s="165"/>
    </row>
    <row r="336" collapsed="1">
      <c r="A336" s="165" t="str">
        <f t="shared" si="90"/>
        <v/>
      </c>
      <c r="B336" s="80" t="s">
        <v>103</v>
      </c>
      <c r="C336" s="201"/>
      <c r="D336" s="151">
        <f>SUM(D319:D335)</f>
        <v>11091.74</v>
      </c>
      <c r="E336" s="155"/>
      <c r="F336" s="153">
        <f t="shared" ref="F336:G336" si="91">SUM(F319:F335)</f>
        <v>110</v>
      </c>
      <c r="G336" s="153">
        <f t="shared" si="91"/>
        <v>95</v>
      </c>
      <c r="H336" s="154">
        <f t="shared" si="1"/>
        <v>1.157894737</v>
      </c>
      <c r="I336" s="155">
        <f t="shared" si="2"/>
        <v>100.834</v>
      </c>
      <c r="J336" s="156">
        <f t="shared" si="3"/>
        <v>87.08390909</v>
      </c>
      <c r="K336" s="151">
        <f t="shared" ref="K336:N336" si="92">SUM(K319:K335)</f>
        <v>1072.87</v>
      </c>
      <c r="L336" s="153">
        <f t="shared" si="92"/>
        <v>286186</v>
      </c>
      <c r="M336" s="153">
        <f t="shared" si="92"/>
        <v>29</v>
      </c>
      <c r="N336" s="157">
        <f t="shared" si="92"/>
        <v>3675.76</v>
      </c>
      <c r="O336" s="158">
        <f t="shared" si="89"/>
        <v>0.291877054</v>
      </c>
      <c r="P336" s="159">
        <f t="shared" si="5"/>
        <v>3.426100087</v>
      </c>
      <c r="Q336" s="158">
        <f t="shared" si="6"/>
        <v>0.09672693374</v>
      </c>
      <c r="R336" s="160">
        <f t="shared" si="7"/>
        <v>0.3313961561</v>
      </c>
      <c r="S336" s="161">
        <f>SUM(S319:S335)</f>
        <v>7415.98</v>
      </c>
      <c r="T336" s="162">
        <f t="shared" si="9"/>
        <v>36.99551724</v>
      </c>
      <c r="U336" s="163">
        <f>IFERROR((D336-D246)/D336,)</f>
        <v>0.3164895679</v>
      </c>
      <c r="V336" s="163">
        <f>IFERROR((F336-F246)/F336,)</f>
        <v>0.1454545455</v>
      </c>
      <c r="W336" s="398" t="str">
        <f>IFERROR((D336-monthly_reporting_2021!E127)/D336, )</f>
        <v/>
      </c>
      <c r="X336" s="398" t="str">
        <f>IFERROR((F336-monthly_reporting_2021!F127)/F336, )</f>
        <v/>
      </c>
      <c r="Y336" s="165"/>
      <c r="Z336" s="165"/>
      <c r="AA336" s="165"/>
    </row>
    <row r="337" hidden="1" outlineLevel="1">
      <c r="A337" s="165"/>
      <c r="B337" s="99">
        <v>45767.0</v>
      </c>
      <c r="C337" s="100" t="s">
        <v>32</v>
      </c>
      <c r="D337" s="101">
        <v>1342.64</v>
      </c>
      <c r="E337" s="168">
        <v>185.25</v>
      </c>
      <c r="F337" s="103">
        <v>9.0</v>
      </c>
      <c r="G337" s="103">
        <v>11.0</v>
      </c>
      <c r="H337" s="104">
        <f t="shared" si="1"/>
        <v>0.8181818182</v>
      </c>
      <c r="I337" s="105">
        <f t="shared" si="2"/>
        <v>149.1822222</v>
      </c>
      <c r="J337" s="106">
        <f t="shared" si="3"/>
        <v>182.3338272</v>
      </c>
      <c r="K337" s="107">
        <v>269.19</v>
      </c>
      <c r="L337" s="103">
        <v>73735.0</v>
      </c>
      <c r="M337" s="103">
        <v>4.0</v>
      </c>
      <c r="N337" s="108">
        <v>124.95</v>
      </c>
      <c r="O337" s="109">
        <f t="shared" si="89"/>
        <v>2.154381753</v>
      </c>
      <c r="P337" s="110">
        <f t="shared" si="5"/>
        <v>0.4641702886</v>
      </c>
      <c r="Q337" s="109">
        <f t="shared" si="6"/>
        <v>0.2004930585</v>
      </c>
      <c r="R337" s="111">
        <f t="shared" si="7"/>
        <v>0.09306292081</v>
      </c>
      <c r="S337" s="112">
        <f t="shared" ref="S337:S353" si="93">D337-N337</f>
        <v>1217.69</v>
      </c>
      <c r="T337" s="113">
        <f t="shared" si="9"/>
        <v>67.2975</v>
      </c>
      <c r="U337" s="172"/>
      <c r="V337" s="172"/>
      <c r="W337" s="172"/>
      <c r="X337" s="172"/>
      <c r="Y337" s="173"/>
      <c r="Z337" s="165"/>
      <c r="AA337" s="165"/>
    </row>
    <row r="338" hidden="1" outlineLevel="1">
      <c r="A338" s="165"/>
      <c r="B338" s="174"/>
      <c r="C338" s="100" t="s">
        <v>33</v>
      </c>
      <c r="D338" s="117">
        <v>3154.67</v>
      </c>
      <c r="E338" s="168">
        <v>193.49</v>
      </c>
      <c r="F338" s="103">
        <v>16.0</v>
      </c>
      <c r="G338" s="103">
        <v>18.0</v>
      </c>
      <c r="H338" s="104">
        <f t="shared" si="1"/>
        <v>0.8888888889</v>
      </c>
      <c r="I338" s="105">
        <f t="shared" si="2"/>
        <v>197.166875</v>
      </c>
      <c r="J338" s="106">
        <f t="shared" si="3"/>
        <v>221.8127344</v>
      </c>
      <c r="K338" s="117">
        <v>323.88</v>
      </c>
      <c r="L338" s="103">
        <v>85355.0</v>
      </c>
      <c r="M338" s="103">
        <v>4.0</v>
      </c>
      <c r="N338" s="118">
        <v>937.9</v>
      </c>
      <c r="O338" s="109">
        <f t="shared" si="89"/>
        <v>0.3453246615</v>
      </c>
      <c r="P338" s="110">
        <f t="shared" si="5"/>
        <v>2.895825614</v>
      </c>
      <c r="Q338" s="109">
        <f t="shared" si="6"/>
        <v>0.10266684</v>
      </c>
      <c r="R338" s="111">
        <f t="shared" si="7"/>
        <v>0.2973052649</v>
      </c>
      <c r="S338" s="119">
        <f t="shared" si="93"/>
        <v>2216.77</v>
      </c>
      <c r="T338" s="113">
        <f t="shared" si="9"/>
        <v>80.97</v>
      </c>
      <c r="U338" s="172"/>
      <c r="V338" s="172"/>
      <c r="W338" s="172"/>
      <c r="X338" s="172"/>
      <c r="Y338" s="173"/>
      <c r="Z338" s="165"/>
      <c r="AA338" s="165"/>
    </row>
    <row r="339" hidden="1" outlineLevel="1">
      <c r="A339" s="165"/>
      <c r="B339" s="174"/>
      <c r="C339" s="100" t="s">
        <v>34</v>
      </c>
      <c r="D339" s="120">
        <v>69.95</v>
      </c>
      <c r="E339" s="168">
        <v>69.95</v>
      </c>
      <c r="F339" s="103">
        <v>1.0</v>
      </c>
      <c r="G339" s="103">
        <v>1.0</v>
      </c>
      <c r="H339" s="104">
        <f t="shared" si="1"/>
        <v>1</v>
      </c>
      <c r="I339" s="105">
        <f t="shared" si="2"/>
        <v>69.95</v>
      </c>
      <c r="J339" s="106">
        <f t="shared" si="3"/>
        <v>69.95</v>
      </c>
      <c r="K339" s="120">
        <v>0.0</v>
      </c>
      <c r="L339" s="103">
        <v>0.0</v>
      </c>
      <c r="M339" s="103">
        <v>0.0</v>
      </c>
      <c r="N339" s="121">
        <v>0.0</v>
      </c>
      <c r="O339" s="109" t="str">
        <f>(K339/N339)</f>
        <v>#DIV/0!</v>
      </c>
      <c r="P339" s="110" t="str">
        <f t="shared" si="5"/>
        <v>#DIV/0!</v>
      </c>
      <c r="Q339" s="109">
        <f t="shared" si="6"/>
        <v>0</v>
      </c>
      <c r="R339" s="111">
        <f t="shared" si="7"/>
        <v>0</v>
      </c>
      <c r="S339" s="122">
        <f t="shared" si="93"/>
        <v>69.95</v>
      </c>
      <c r="T339" s="113" t="str">
        <f t="shared" si="9"/>
        <v>#DIV/0!</v>
      </c>
      <c r="U339" s="172"/>
      <c r="V339" s="172"/>
      <c r="W339" s="172"/>
      <c r="X339" s="172"/>
      <c r="Y339" s="173"/>
      <c r="Z339" s="165"/>
      <c r="AA339" s="165"/>
    </row>
    <row r="340" hidden="1" outlineLevel="1">
      <c r="A340" s="165"/>
      <c r="B340" s="174"/>
      <c r="C340" s="100" t="s">
        <v>35</v>
      </c>
      <c r="D340" s="120">
        <v>188.85</v>
      </c>
      <c r="E340" s="168">
        <v>62.95</v>
      </c>
      <c r="F340" s="103">
        <v>3.0</v>
      </c>
      <c r="G340" s="103">
        <v>3.0</v>
      </c>
      <c r="H340" s="104">
        <f t="shared" si="1"/>
        <v>1</v>
      </c>
      <c r="I340" s="105">
        <f t="shared" si="2"/>
        <v>62.95</v>
      </c>
      <c r="J340" s="106">
        <f t="shared" si="3"/>
        <v>62.95</v>
      </c>
      <c r="K340" s="120">
        <v>0.0</v>
      </c>
      <c r="L340" s="103">
        <v>0.0</v>
      </c>
      <c r="M340" s="103">
        <v>0.0</v>
      </c>
      <c r="N340" s="121">
        <v>0.0</v>
      </c>
      <c r="O340" s="109" t="str">
        <f t="shared" ref="O340:O356" si="94">K340/N340</f>
        <v>#DIV/0!</v>
      </c>
      <c r="P340" s="110" t="str">
        <f t="shared" si="5"/>
        <v>#DIV/0!</v>
      </c>
      <c r="Q340" s="109">
        <f t="shared" si="6"/>
        <v>0</v>
      </c>
      <c r="R340" s="111">
        <f t="shared" si="7"/>
        <v>0</v>
      </c>
      <c r="S340" s="122">
        <f t="shared" si="93"/>
        <v>188.85</v>
      </c>
      <c r="T340" s="113" t="str">
        <f t="shared" si="9"/>
        <v>#DIV/0!</v>
      </c>
      <c r="U340" s="172"/>
      <c r="V340" s="172"/>
      <c r="W340" s="172"/>
      <c r="X340" s="172"/>
      <c r="Y340" s="173"/>
      <c r="Z340" s="165"/>
      <c r="AA340" s="165"/>
    </row>
    <row r="341" hidden="1" outlineLevel="1">
      <c r="A341" s="165"/>
      <c r="B341" s="174"/>
      <c r="C341" s="100" t="s">
        <v>65</v>
      </c>
      <c r="D341" s="300">
        <v>540.0</v>
      </c>
      <c r="E341" s="168">
        <v>36.0</v>
      </c>
      <c r="F341" s="103">
        <v>15.0</v>
      </c>
      <c r="G341" s="103">
        <v>9.0</v>
      </c>
      <c r="H341" s="104">
        <f t="shared" si="1"/>
        <v>1.666666667</v>
      </c>
      <c r="I341" s="105">
        <f t="shared" si="2"/>
        <v>36</v>
      </c>
      <c r="J341" s="106">
        <f t="shared" si="3"/>
        <v>21.6</v>
      </c>
      <c r="K341" s="300">
        <v>0.0</v>
      </c>
      <c r="L341" s="103">
        <v>0.0</v>
      </c>
      <c r="M341" s="103">
        <v>0.0</v>
      </c>
      <c r="N341" s="300">
        <v>0.0</v>
      </c>
      <c r="O341" s="109" t="str">
        <f t="shared" si="94"/>
        <v>#DIV/0!</v>
      </c>
      <c r="P341" s="110" t="str">
        <f t="shared" si="5"/>
        <v>#DIV/0!</v>
      </c>
      <c r="Q341" s="109">
        <f t="shared" si="6"/>
        <v>0</v>
      </c>
      <c r="R341" s="111">
        <f t="shared" si="7"/>
        <v>0</v>
      </c>
      <c r="S341" s="122">
        <f t="shared" si="93"/>
        <v>540</v>
      </c>
      <c r="T341" s="113" t="str">
        <f t="shared" si="9"/>
        <v>#DIV/0!</v>
      </c>
      <c r="U341" s="172"/>
      <c r="V341" s="172"/>
      <c r="W341" s="172"/>
      <c r="X341" s="172"/>
      <c r="Y341" s="173"/>
      <c r="Z341" s="165"/>
      <c r="AA341" s="165"/>
    </row>
    <row r="342" hidden="1" outlineLevel="1">
      <c r="A342" s="165"/>
      <c r="B342" s="174"/>
      <c r="C342" s="100" t="s">
        <v>85</v>
      </c>
      <c r="D342" s="302">
        <v>0.0</v>
      </c>
      <c r="E342" s="168">
        <v>0.0</v>
      </c>
      <c r="F342" s="103">
        <v>0.0</v>
      </c>
      <c r="G342" s="103">
        <v>0.0</v>
      </c>
      <c r="H342" s="104" t="str">
        <f t="shared" si="1"/>
        <v>#DIV/0!</v>
      </c>
      <c r="I342" s="105" t="str">
        <f t="shared" si="2"/>
        <v>#DIV/0!</v>
      </c>
      <c r="J342" s="106" t="str">
        <f t="shared" si="3"/>
        <v>#DIV/0!</v>
      </c>
      <c r="K342" s="302">
        <v>0.0</v>
      </c>
      <c r="L342" s="103">
        <v>0.0</v>
      </c>
      <c r="M342" s="103">
        <v>0.0</v>
      </c>
      <c r="N342" s="303">
        <v>0.0</v>
      </c>
      <c r="O342" s="109" t="str">
        <f t="shared" si="94"/>
        <v>#DIV/0!</v>
      </c>
      <c r="P342" s="110" t="str">
        <f t="shared" si="5"/>
        <v>#DIV/0!</v>
      </c>
      <c r="Q342" s="109" t="str">
        <f t="shared" si="6"/>
        <v>#DIV/0!</v>
      </c>
      <c r="R342" s="111" t="str">
        <f t="shared" si="7"/>
        <v>#DIV/0!</v>
      </c>
      <c r="S342" s="304">
        <f t="shared" si="93"/>
        <v>0</v>
      </c>
      <c r="T342" s="113" t="str">
        <f t="shared" si="9"/>
        <v>#DIV/0!</v>
      </c>
      <c r="U342" s="172"/>
      <c r="V342" s="172"/>
      <c r="W342" s="172"/>
      <c r="X342" s="172"/>
      <c r="Y342" s="173"/>
      <c r="Z342" s="165"/>
      <c r="AA342" s="165"/>
    </row>
    <row r="343" hidden="1" outlineLevel="1">
      <c r="A343" s="165"/>
      <c r="B343" s="174"/>
      <c r="C343" s="100" t="s">
        <v>36</v>
      </c>
      <c r="D343" s="120">
        <v>69.95</v>
      </c>
      <c r="E343" s="168">
        <v>69.95</v>
      </c>
      <c r="F343" s="103">
        <v>1.0</v>
      </c>
      <c r="G343" s="103">
        <v>1.0</v>
      </c>
      <c r="H343" s="104">
        <f t="shared" si="1"/>
        <v>1</v>
      </c>
      <c r="I343" s="105">
        <f t="shared" si="2"/>
        <v>69.95</v>
      </c>
      <c r="J343" s="106">
        <f t="shared" si="3"/>
        <v>69.95</v>
      </c>
      <c r="K343" s="120">
        <v>37.91</v>
      </c>
      <c r="L343" s="103">
        <v>5071.0</v>
      </c>
      <c r="M343" s="103">
        <v>0.0</v>
      </c>
      <c r="N343" s="121">
        <v>0.0</v>
      </c>
      <c r="O343" s="109" t="str">
        <f t="shared" si="94"/>
        <v>#DIV/0!</v>
      </c>
      <c r="P343" s="110">
        <f t="shared" si="5"/>
        <v>0</v>
      </c>
      <c r="Q343" s="109">
        <f t="shared" si="6"/>
        <v>0.5419585418</v>
      </c>
      <c r="R343" s="111">
        <f t="shared" si="7"/>
        <v>0</v>
      </c>
      <c r="S343" s="122">
        <f t="shared" si="93"/>
        <v>69.95</v>
      </c>
      <c r="T343" s="113" t="str">
        <f t="shared" si="9"/>
        <v>#DIV/0!</v>
      </c>
      <c r="U343" s="172"/>
      <c r="V343" s="172"/>
      <c r="W343" s="172"/>
      <c r="X343" s="172"/>
      <c r="Y343" s="173"/>
      <c r="Z343" s="165"/>
      <c r="AA343" s="165"/>
    </row>
    <row r="344" hidden="1" outlineLevel="1">
      <c r="A344" s="165"/>
      <c r="B344" s="99" t="s">
        <v>37</v>
      </c>
      <c r="C344" s="100" t="s">
        <v>38</v>
      </c>
      <c r="D344" s="123">
        <v>214.75</v>
      </c>
      <c r="E344" s="168">
        <v>49.95</v>
      </c>
      <c r="F344" s="103">
        <v>5.0</v>
      </c>
      <c r="G344" s="103">
        <v>6.0</v>
      </c>
      <c r="H344" s="104">
        <f t="shared" si="1"/>
        <v>0.8333333333</v>
      </c>
      <c r="I344" s="105">
        <f t="shared" si="2"/>
        <v>42.95</v>
      </c>
      <c r="J344" s="106">
        <f t="shared" si="3"/>
        <v>51.54</v>
      </c>
      <c r="K344" s="123">
        <v>90.03</v>
      </c>
      <c r="L344" s="103">
        <v>12745.0</v>
      </c>
      <c r="M344" s="103">
        <v>0.0</v>
      </c>
      <c r="N344" s="124">
        <v>0.0</v>
      </c>
      <c r="O344" s="109" t="str">
        <f t="shared" si="94"/>
        <v>#DIV/0!</v>
      </c>
      <c r="P344" s="110">
        <f t="shared" si="5"/>
        <v>0</v>
      </c>
      <c r="Q344" s="109">
        <f t="shared" si="6"/>
        <v>0.4192316647</v>
      </c>
      <c r="R344" s="111">
        <f t="shared" si="7"/>
        <v>0</v>
      </c>
      <c r="S344" s="125">
        <f t="shared" si="93"/>
        <v>214.75</v>
      </c>
      <c r="T344" s="113" t="str">
        <f t="shared" si="9"/>
        <v>#DIV/0!</v>
      </c>
      <c r="U344" s="172"/>
      <c r="V344" s="172"/>
      <c r="W344" s="172"/>
      <c r="X344" s="172"/>
      <c r="Y344" s="173"/>
      <c r="Z344" s="165"/>
      <c r="AA344" s="165"/>
    </row>
    <row r="345" hidden="1" outlineLevel="1">
      <c r="A345" s="165"/>
      <c r="B345" s="174"/>
      <c r="C345" s="100" t="s">
        <v>39</v>
      </c>
      <c r="D345" s="126">
        <v>199.9</v>
      </c>
      <c r="E345" s="168">
        <v>99.95</v>
      </c>
      <c r="F345" s="103">
        <v>2.0</v>
      </c>
      <c r="G345" s="103">
        <v>2.0</v>
      </c>
      <c r="H345" s="104">
        <f t="shared" si="1"/>
        <v>1</v>
      </c>
      <c r="I345" s="105">
        <f t="shared" si="2"/>
        <v>99.95</v>
      </c>
      <c r="J345" s="106">
        <f t="shared" si="3"/>
        <v>99.95</v>
      </c>
      <c r="K345" s="126">
        <v>0.0</v>
      </c>
      <c r="L345" s="103">
        <v>0.0</v>
      </c>
      <c r="M345" s="103">
        <v>0.0</v>
      </c>
      <c r="N345" s="127">
        <v>0.0</v>
      </c>
      <c r="O345" s="109" t="str">
        <f t="shared" si="94"/>
        <v>#DIV/0!</v>
      </c>
      <c r="P345" s="110" t="str">
        <f t="shared" si="5"/>
        <v>#DIV/0!</v>
      </c>
      <c r="Q345" s="109">
        <f t="shared" si="6"/>
        <v>0</v>
      </c>
      <c r="R345" s="111">
        <f t="shared" si="7"/>
        <v>0</v>
      </c>
      <c r="S345" s="128">
        <f t="shared" si="93"/>
        <v>199.9</v>
      </c>
      <c r="T345" s="113" t="str">
        <f t="shared" si="9"/>
        <v>#DIV/0!</v>
      </c>
      <c r="U345" s="172"/>
      <c r="V345" s="172"/>
      <c r="W345" s="172"/>
      <c r="X345" s="172"/>
      <c r="Y345" s="173"/>
      <c r="Z345" s="165"/>
      <c r="AA345" s="165"/>
    </row>
    <row r="346" hidden="1" outlineLevel="1">
      <c r="A346" s="165"/>
      <c r="B346" s="174"/>
      <c r="C346" s="100" t="s">
        <v>40</v>
      </c>
      <c r="D346" s="129">
        <v>659.4</v>
      </c>
      <c r="E346" s="168">
        <v>54.95</v>
      </c>
      <c r="F346" s="103">
        <v>12.0</v>
      </c>
      <c r="G346" s="103">
        <v>3.0</v>
      </c>
      <c r="H346" s="104">
        <f t="shared" si="1"/>
        <v>4</v>
      </c>
      <c r="I346" s="105">
        <f t="shared" si="2"/>
        <v>54.95</v>
      </c>
      <c r="J346" s="106">
        <f t="shared" si="3"/>
        <v>13.7375</v>
      </c>
      <c r="K346" s="129">
        <v>0.0</v>
      </c>
      <c r="L346" s="103">
        <v>0.0</v>
      </c>
      <c r="M346" s="103">
        <v>0.0</v>
      </c>
      <c r="N346" s="130">
        <v>0.0</v>
      </c>
      <c r="O346" s="109" t="str">
        <f t="shared" si="94"/>
        <v>#DIV/0!</v>
      </c>
      <c r="P346" s="110" t="str">
        <f t="shared" si="5"/>
        <v>#DIV/0!</v>
      </c>
      <c r="Q346" s="109">
        <f t="shared" si="6"/>
        <v>0</v>
      </c>
      <c r="R346" s="111">
        <f t="shared" si="7"/>
        <v>0</v>
      </c>
      <c r="S346" s="131">
        <f t="shared" si="93"/>
        <v>659.4</v>
      </c>
      <c r="T346" s="113" t="str">
        <f t="shared" si="9"/>
        <v>#DIV/0!</v>
      </c>
      <c r="U346" s="172"/>
      <c r="V346" s="172"/>
      <c r="W346" s="172"/>
      <c r="X346" s="172"/>
      <c r="Y346" s="173"/>
      <c r="Z346" s="165"/>
      <c r="AA346" s="165"/>
    </row>
    <row r="347" hidden="1" outlineLevel="1">
      <c r="A347" s="165"/>
      <c r="B347" s="174"/>
      <c r="C347" s="100" t="s">
        <v>41</v>
      </c>
      <c r="D347" s="132">
        <v>0.0</v>
      </c>
      <c r="E347" s="168">
        <v>0.0</v>
      </c>
      <c r="F347" s="103">
        <v>0.0</v>
      </c>
      <c r="G347" s="103">
        <v>0.0</v>
      </c>
      <c r="H347" s="104" t="str">
        <f t="shared" si="1"/>
        <v>#DIV/0!</v>
      </c>
      <c r="I347" s="105" t="str">
        <f t="shared" si="2"/>
        <v>#DIV/0!</v>
      </c>
      <c r="J347" s="106" t="str">
        <f t="shared" si="3"/>
        <v>#DIV/0!</v>
      </c>
      <c r="K347" s="132">
        <v>0.0</v>
      </c>
      <c r="L347" s="103">
        <v>14.0</v>
      </c>
      <c r="M347" s="103">
        <v>0.0</v>
      </c>
      <c r="N347" s="133">
        <v>0.0</v>
      </c>
      <c r="O347" s="109" t="str">
        <f t="shared" si="94"/>
        <v>#DIV/0!</v>
      </c>
      <c r="P347" s="110" t="str">
        <f t="shared" si="5"/>
        <v>#DIV/0!</v>
      </c>
      <c r="Q347" s="109" t="str">
        <f t="shared" si="6"/>
        <v>#DIV/0!</v>
      </c>
      <c r="R347" s="111" t="str">
        <f t="shared" si="7"/>
        <v>#DIV/0!</v>
      </c>
      <c r="S347" s="134">
        <f t="shared" si="93"/>
        <v>0</v>
      </c>
      <c r="T347" s="113" t="str">
        <f t="shared" si="9"/>
        <v>#DIV/0!</v>
      </c>
      <c r="U347" s="172"/>
      <c r="V347" s="172"/>
      <c r="W347" s="172"/>
      <c r="X347" s="172"/>
      <c r="Y347" s="173"/>
      <c r="Z347" s="165"/>
      <c r="AA347" s="165"/>
    </row>
    <row r="348" hidden="1" outlineLevel="1">
      <c r="A348" s="165"/>
      <c r="B348" s="174"/>
      <c r="C348" s="100" t="s">
        <v>42</v>
      </c>
      <c r="D348" s="120">
        <v>79.96</v>
      </c>
      <c r="E348" s="168">
        <v>19.99</v>
      </c>
      <c r="F348" s="103">
        <v>4.0</v>
      </c>
      <c r="G348" s="103">
        <v>2.0</v>
      </c>
      <c r="H348" s="104">
        <f t="shared" si="1"/>
        <v>2</v>
      </c>
      <c r="I348" s="105">
        <f t="shared" si="2"/>
        <v>19.99</v>
      </c>
      <c r="J348" s="106">
        <f t="shared" si="3"/>
        <v>9.995</v>
      </c>
      <c r="K348" s="120">
        <v>6.0</v>
      </c>
      <c r="L348" s="103">
        <v>14379.0</v>
      </c>
      <c r="M348" s="103">
        <v>0.0</v>
      </c>
      <c r="N348" s="121">
        <v>0.0</v>
      </c>
      <c r="O348" s="109" t="str">
        <f t="shared" si="94"/>
        <v>#DIV/0!</v>
      </c>
      <c r="P348" s="110">
        <f t="shared" si="5"/>
        <v>0</v>
      </c>
      <c r="Q348" s="109">
        <f t="shared" si="6"/>
        <v>0.07503751876</v>
      </c>
      <c r="R348" s="111">
        <f t="shared" si="7"/>
        <v>0</v>
      </c>
      <c r="S348" s="122">
        <f t="shared" si="93"/>
        <v>79.96</v>
      </c>
      <c r="T348" s="113" t="str">
        <f t="shared" si="9"/>
        <v>#DIV/0!</v>
      </c>
      <c r="U348" s="172"/>
      <c r="V348" s="172"/>
      <c r="W348" s="172"/>
      <c r="X348" s="172"/>
      <c r="Y348" s="173"/>
      <c r="Z348" s="165"/>
      <c r="AA348" s="165"/>
    </row>
    <row r="349" hidden="1" outlineLevel="1">
      <c r="A349" s="165"/>
      <c r="B349" s="174"/>
      <c r="C349" s="100" t="s">
        <v>43</v>
      </c>
      <c r="D349" s="135">
        <v>0.0</v>
      </c>
      <c r="E349" s="168">
        <v>0.0</v>
      </c>
      <c r="F349" s="103">
        <v>0.0</v>
      </c>
      <c r="G349" s="103">
        <v>0.0</v>
      </c>
      <c r="H349" s="104" t="str">
        <f t="shared" si="1"/>
        <v>#DIV/0!</v>
      </c>
      <c r="I349" s="105" t="str">
        <f t="shared" si="2"/>
        <v>#DIV/0!</v>
      </c>
      <c r="J349" s="106" t="str">
        <f t="shared" si="3"/>
        <v>#DIV/0!</v>
      </c>
      <c r="K349" s="135">
        <v>14.56</v>
      </c>
      <c r="L349" s="103">
        <v>21997.0</v>
      </c>
      <c r="M349" s="103">
        <v>0.0</v>
      </c>
      <c r="N349" s="136">
        <v>0.0</v>
      </c>
      <c r="O349" s="109" t="str">
        <f t="shared" si="94"/>
        <v>#DIV/0!</v>
      </c>
      <c r="P349" s="110">
        <f t="shared" si="5"/>
        <v>0</v>
      </c>
      <c r="Q349" s="109" t="str">
        <f t="shared" si="6"/>
        <v>#DIV/0!</v>
      </c>
      <c r="R349" s="111" t="str">
        <f t="shared" si="7"/>
        <v>#DIV/0!</v>
      </c>
      <c r="S349" s="137">
        <f t="shared" si="93"/>
        <v>0</v>
      </c>
      <c r="T349" s="113" t="str">
        <f t="shared" si="9"/>
        <v>#DIV/0!</v>
      </c>
      <c r="U349" s="172"/>
      <c r="V349" s="172"/>
      <c r="W349" s="172"/>
      <c r="X349" s="172"/>
      <c r="Y349" s="173"/>
      <c r="Z349" s="165"/>
      <c r="AA349" s="165"/>
    </row>
    <row r="350" hidden="1" outlineLevel="1">
      <c r="A350" s="165"/>
      <c r="B350" s="174"/>
      <c r="C350" s="100" t="s">
        <v>44</v>
      </c>
      <c r="D350" s="138">
        <v>159.8</v>
      </c>
      <c r="E350" s="168">
        <v>39.95</v>
      </c>
      <c r="F350" s="103">
        <v>4.0</v>
      </c>
      <c r="G350" s="103">
        <v>4.0</v>
      </c>
      <c r="H350" s="104">
        <f t="shared" si="1"/>
        <v>1</v>
      </c>
      <c r="I350" s="105">
        <f t="shared" si="2"/>
        <v>39.95</v>
      </c>
      <c r="J350" s="106">
        <f t="shared" si="3"/>
        <v>39.95</v>
      </c>
      <c r="K350" s="138">
        <v>54.38</v>
      </c>
      <c r="L350" s="103">
        <v>11920.0</v>
      </c>
      <c r="M350" s="103">
        <v>2.0</v>
      </c>
      <c r="N350" s="139">
        <v>79.9</v>
      </c>
      <c r="O350" s="109">
        <f t="shared" si="94"/>
        <v>0.6806007509</v>
      </c>
      <c r="P350" s="110">
        <f t="shared" si="5"/>
        <v>1.46929018</v>
      </c>
      <c r="Q350" s="109">
        <f t="shared" si="6"/>
        <v>0.3403003755</v>
      </c>
      <c r="R350" s="111">
        <f t="shared" si="7"/>
        <v>0.5</v>
      </c>
      <c r="S350" s="140">
        <f t="shared" si="93"/>
        <v>79.9</v>
      </c>
      <c r="T350" s="113">
        <f t="shared" si="9"/>
        <v>27.19</v>
      </c>
      <c r="U350" s="172"/>
      <c r="V350" s="172"/>
      <c r="W350" s="172"/>
      <c r="X350" s="172"/>
      <c r="Y350" s="173"/>
      <c r="Z350" s="165"/>
      <c r="AA350" s="165"/>
    </row>
    <row r="351" hidden="1" outlineLevel="1">
      <c r="A351" s="192"/>
      <c r="B351" s="174"/>
      <c r="C351" s="142" t="s">
        <v>45</v>
      </c>
      <c r="D351" s="101">
        <v>0.0</v>
      </c>
      <c r="E351" s="168">
        <v>0.0</v>
      </c>
      <c r="F351" s="103">
        <v>0.0</v>
      </c>
      <c r="G351" s="103">
        <v>0.0</v>
      </c>
      <c r="H351" s="104" t="str">
        <f t="shared" si="1"/>
        <v>#DIV/0!</v>
      </c>
      <c r="I351" s="105" t="str">
        <f t="shared" si="2"/>
        <v>#DIV/0!</v>
      </c>
      <c r="J351" s="106" t="str">
        <f t="shared" si="3"/>
        <v>#DIV/0!</v>
      </c>
      <c r="K351" s="101">
        <v>0.0</v>
      </c>
      <c r="L351" s="103">
        <v>0.0</v>
      </c>
      <c r="M351" s="103">
        <v>0.0</v>
      </c>
      <c r="N351" s="108">
        <v>0.0</v>
      </c>
      <c r="O351" s="109" t="str">
        <f t="shared" si="94"/>
        <v>#DIV/0!</v>
      </c>
      <c r="P351" s="110" t="str">
        <f t="shared" si="5"/>
        <v>#DIV/0!</v>
      </c>
      <c r="Q351" s="109" t="str">
        <f t="shared" si="6"/>
        <v>#DIV/0!</v>
      </c>
      <c r="R351" s="111" t="str">
        <f t="shared" si="7"/>
        <v>#DIV/0!</v>
      </c>
      <c r="S351" s="112">
        <f t="shared" si="93"/>
        <v>0</v>
      </c>
      <c r="T351" s="113" t="str">
        <f t="shared" si="9"/>
        <v>#DIV/0!</v>
      </c>
      <c r="U351" s="193"/>
      <c r="V351" s="193"/>
      <c r="W351" s="193"/>
      <c r="X351" s="194"/>
      <c r="Y351" s="195"/>
      <c r="Z351" s="165"/>
      <c r="AA351" s="165"/>
    </row>
    <row r="352" hidden="1" outlineLevel="1">
      <c r="A352" s="165"/>
      <c r="B352" s="174"/>
      <c r="C352" s="100" t="s">
        <v>46</v>
      </c>
      <c r="D352" s="146">
        <v>755.16</v>
      </c>
      <c r="E352" s="168">
        <v>44.76</v>
      </c>
      <c r="F352" s="103">
        <v>17.0</v>
      </c>
      <c r="G352" s="103">
        <v>17.0</v>
      </c>
      <c r="H352" s="104">
        <f t="shared" si="1"/>
        <v>1</v>
      </c>
      <c r="I352" s="105">
        <f t="shared" si="2"/>
        <v>44.42117647</v>
      </c>
      <c r="J352" s="106">
        <f t="shared" si="3"/>
        <v>44.42117647</v>
      </c>
      <c r="K352" s="146">
        <v>85.03</v>
      </c>
      <c r="L352" s="103">
        <v>29388.0</v>
      </c>
      <c r="M352" s="103">
        <v>7.0</v>
      </c>
      <c r="N352" s="147">
        <v>314.65</v>
      </c>
      <c r="O352" s="109">
        <f t="shared" si="94"/>
        <v>0.270236771</v>
      </c>
      <c r="P352" s="110">
        <f t="shared" si="5"/>
        <v>3.700458662</v>
      </c>
      <c r="Q352" s="109">
        <f t="shared" si="6"/>
        <v>0.1125986546</v>
      </c>
      <c r="R352" s="111">
        <f t="shared" si="7"/>
        <v>0.4166666667</v>
      </c>
      <c r="S352" s="112">
        <f t="shared" si="93"/>
        <v>440.51</v>
      </c>
      <c r="T352" s="113">
        <f t="shared" si="9"/>
        <v>12.14714286</v>
      </c>
      <c r="U352" s="172"/>
      <c r="V352" s="172"/>
      <c r="W352" s="172"/>
      <c r="X352" s="172"/>
      <c r="Y352" s="173"/>
      <c r="Z352" s="165"/>
      <c r="AA352" s="165"/>
    </row>
    <row r="353" hidden="1" outlineLevel="1">
      <c r="A353" s="148" t="str">
        <f t="shared" ref="A353:A354" si="95">iferror(if(B353&gt;0,month(B353)&amp;"-"&amp;year(B353),B353),)</f>
        <v>4-2025</v>
      </c>
      <c r="B353" s="99">
        <v>45773.0</v>
      </c>
      <c r="C353" s="100" t="s">
        <v>49</v>
      </c>
      <c r="D353" s="146">
        <v>0.0</v>
      </c>
      <c r="E353" s="168">
        <v>0.0</v>
      </c>
      <c r="F353" s="103">
        <v>0.0</v>
      </c>
      <c r="G353" s="103">
        <v>0.0</v>
      </c>
      <c r="H353" s="104" t="str">
        <f t="shared" si="1"/>
        <v>#DIV/0!</v>
      </c>
      <c r="I353" s="105" t="str">
        <f t="shared" si="2"/>
        <v>#DIV/0!</v>
      </c>
      <c r="J353" s="106" t="str">
        <f t="shared" si="3"/>
        <v>#DIV/0!</v>
      </c>
      <c r="K353" s="146">
        <v>4.28</v>
      </c>
      <c r="L353" s="103">
        <v>8057.0</v>
      </c>
      <c r="M353" s="103">
        <v>0.0</v>
      </c>
      <c r="N353" s="147">
        <v>0.0</v>
      </c>
      <c r="O353" s="109" t="str">
        <f t="shared" si="94"/>
        <v>#DIV/0!</v>
      </c>
      <c r="P353" s="110">
        <f t="shared" si="5"/>
        <v>0</v>
      </c>
      <c r="Q353" s="109" t="str">
        <f t="shared" si="6"/>
        <v>#DIV/0!</v>
      </c>
      <c r="R353" s="111" t="str">
        <f t="shared" si="7"/>
        <v>#DIV/0!</v>
      </c>
      <c r="S353" s="112">
        <f t="shared" si="93"/>
        <v>0</v>
      </c>
      <c r="T353" s="113" t="str">
        <f t="shared" si="9"/>
        <v>#DIV/0!</v>
      </c>
      <c r="U353" s="172"/>
      <c r="V353" s="172"/>
      <c r="W353" s="172"/>
      <c r="X353" s="172"/>
      <c r="Y353" s="173"/>
      <c r="Z353" s="165"/>
      <c r="AA353" s="165"/>
    </row>
    <row r="354" collapsed="1">
      <c r="A354" s="165" t="str">
        <f t="shared" si="95"/>
        <v/>
      </c>
      <c r="B354" s="80" t="s">
        <v>104</v>
      </c>
      <c r="C354" s="201"/>
      <c r="D354" s="151">
        <f>SUM(D337:D353)</f>
        <v>7435.03</v>
      </c>
      <c r="E354" s="155"/>
      <c r="F354" s="153">
        <f t="shared" ref="F354:G354" si="96">SUM(F337:F353)</f>
        <v>89</v>
      </c>
      <c r="G354" s="153">
        <f t="shared" si="96"/>
        <v>77</v>
      </c>
      <c r="H354" s="154">
        <f t="shared" si="1"/>
        <v>1.155844156</v>
      </c>
      <c r="I354" s="155">
        <f t="shared" si="2"/>
        <v>83.53966292</v>
      </c>
      <c r="J354" s="156">
        <f t="shared" si="3"/>
        <v>72.27588815</v>
      </c>
      <c r="K354" s="151">
        <f t="shared" ref="K354:N354" si="97">SUM(K337:K353)</f>
        <v>885.26</v>
      </c>
      <c r="L354" s="153">
        <f t="shared" si="97"/>
        <v>262661</v>
      </c>
      <c r="M354" s="153">
        <f t="shared" si="97"/>
        <v>17</v>
      </c>
      <c r="N354" s="157">
        <f t="shared" si="97"/>
        <v>1457.4</v>
      </c>
      <c r="O354" s="158">
        <f t="shared" si="94"/>
        <v>0.60742418</v>
      </c>
      <c r="P354" s="159">
        <f t="shared" si="5"/>
        <v>1.646296003</v>
      </c>
      <c r="Q354" s="158">
        <f t="shared" si="6"/>
        <v>0.1190660966</v>
      </c>
      <c r="R354" s="160">
        <f t="shared" si="7"/>
        <v>0.1960180389</v>
      </c>
      <c r="S354" s="161">
        <f>SUM(S337:S353)</f>
        <v>5977.63</v>
      </c>
      <c r="T354" s="162">
        <f t="shared" si="9"/>
        <v>52.07411765</v>
      </c>
      <c r="U354" s="399">
        <f>IFERROR((D354-D246)/D354,)</f>
        <v>-0.01967577804</v>
      </c>
      <c r="V354" s="399">
        <f>IFERROR((F354-F246)/F354,)</f>
        <v>-0.05617977528</v>
      </c>
      <c r="W354" s="398" t="str">
        <f>IFERROR((D354-monthly_reporting_2021!E145)/D354, )</f>
        <v/>
      </c>
      <c r="X354" s="398" t="str">
        <f>IFERROR((F354-monthly_reporting_2021!F145)/F354, )</f>
        <v/>
      </c>
      <c r="Y354" s="165"/>
      <c r="Z354" s="165"/>
      <c r="AA354" s="165"/>
    </row>
    <row r="355" hidden="1" outlineLevel="1">
      <c r="A355" s="165"/>
      <c r="B355" s="99">
        <v>45774.0</v>
      </c>
      <c r="C355" s="100" t="s">
        <v>32</v>
      </c>
      <c r="D355" s="101">
        <v>1667.12</v>
      </c>
      <c r="E355" s="168">
        <v>259.01</v>
      </c>
      <c r="F355" s="103">
        <v>16.0</v>
      </c>
      <c r="G355" s="103">
        <v>17.0</v>
      </c>
      <c r="H355" s="104">
        <f t="shared" si="1"/>
        <v>0.9411764706</v>
      </c>
      <c r="I355" s="105">
        <f t="shared" si="2"/>
        <v>104.195</v>
      </c>
      <c r="J355" s="106">
        <f t="shared" si="3"/>
        <v>110.7071875</v>
      </c>
      <c r="K355" s="107">
        <v>259.54</v>
      </c>
      <c r="L355" s="103">
        <v>83285.0</v>
      </c>
      <c r="M355" s="103">
        <v>9.0</v>
      </c>
      <c r="N355" s="108">
        <v>578.8</v>
      </c>
      <c r="O355" s="109">
        <f t="shared" si="94"/>
        <v>0.4484105045</v>
      </c>
      <c r="P355" s="110">
        <f t="shared" si="5"/>
        <v>2.230099407</v>
      </c>
      <c r="Q355" s="109">
        <f t="shared" si="6"/>
        <v>0.1556816546</v>
      </c>
      <c r="R355" s="111">
        <f t="shared" si="7"/>
        <v>0.3471855655</v>
      </c>
      <c r="S355" s="112">
        <f t="shared" ref="S355:S371" si="98">D355-N355</f>
        <v>1088.32</v>
      </c>
      <c r="T355" s="113">
        <f t="shared" si="9"/>
        <v>28.83777778</v>
      </c>
      <c r="U355" s="172"/>
      <c r="V355" s="172"/>
      <c r="W355" s="172"/>
      <c r="X355" s="172"/>
      <c r="Y355" s="173"/>
      <c r="Z355" s="165"/>
      <c r="AA355" s="165"/>
    </row>
    <row r="356" hidden="1" outlineLevel="1">
      <c r="A356" s="165"/>
      <c r="B356" s="174"/>
      <c r="C356" s="100" t="s">
        <v>33</v>
      </c>
      <c r="D356" s="117">
        <v>3548.15</v>
      </c>
      <c r="E356" s="168">
        <v>126.33</v>
      </c>
      <c r="F356" s="103">
        <v>31.0</v>
      </c>
      <c r="G356" s="103">
        <v>32.0</v>
      </c>
      <c r="H356" s="104">
        <f t="shared" si="1"/>
        <v>0.96875</v>
      </c>
      <c r="I356" s="105">
        <f t="shared" si="2"/>
        <v>114.4564516</v>
      </c>
      <c r="J356" s="106">
        <f t="shared" si="3"/>
        <v>118.1485952</v>
      </c>
      <c r="K356" s="117">
        <v>184.46</v>
      </c>
      <c r="L356" s="103">
        <v>71041.0</v>
      </c>
      <c r="M356" s="103">
        <v>2.0</v>
      </c>
      <c r="N356" s="118">
        <v>59.95</v>
      </c>
      <c r="O356" s="109">
        <f t="shared" si="94"/>
        <v>3.076897415</v>
      </c>
      <c r="P356" s="110">
        <f t="shared" si="5"/>
        <v>0.3250027106</v>
      </c>
      <c r="Q356" s="109">
        <f t="shared" si="6"/>
        <v>0.05198765554</v>
      </c>
      <c r="R356" s="111">
        <f t="shared" si="7"/>
        <v>0.01689612897</v>
      </c>
      <c r="S356" s="119">
        <f t="shared" si="98"/>
        <v>3488.2</v>
      </c>
      <c r="T356" s="113">
        <f t="shared" si="9"/>
        <v>92.23</v>
      </c>
      <c r="U356" s="172"/>
      <c r="V356" s="172"/>
      <c r="W356" s="172"/>
      <c r="X356" s="172"/>
      <c r="Y356" s="173"/>
      <c r="Z356" s="165"/>
      <c r="AA356" s="165"/>
    </row>
    <row r="357" hidden="1" outlineLevel="1">
      <c r="A357" s="165"/>
      <c r="B357" s="174"/>
      <c r="C357" s="100" t="s">
        <v>34</v>
      </c>
      <c r="D357" s="120">
        <v>0.0</v>
      </c>
      <c r="E357" s="168">
        <v>0.0</v>
      </c>
      <c r="F357" s="103">
        <v>0.0</v>
      </c>
      <c r="G357" s="103">
        <v>0.0</v>
      </c>
      <c r="H357" s="104" t="str">
        <f t="shared" si="1"/>
        <v>#DIV/0!</v>
      </c>
      <c r="I357" s="105" t="str">
        <f t="shared" si="2"/>
        <v>#DIV/0!</v>
      </c>
      <c r="J357" s="106" t="str">
        <f t="shared" si="3"/>
        <v>#DIV/0!</v>
      </c>
      <c r="K357" s="120">
        <v>0.0</v>
      </c>
      <c r="L357" s="103">
        <v>0.0</v>
      </c>
      <c r="M357" s="103">
        <v>0.0</v>
      </c>
      <c r="N357" s="121">
        <v>0.0</v>
      </c>
      <c r="O357" s="109" t="str">
        <f>(K357/N357)</f>
        <v>#DIV/0!</v>
      </c>
      <c r="P357" s="110" t="str">
        <f t="shared" si="5"/>
        <v>#DIV/0!</v>
      </c>
      <c r="Q357" s="109" t="str">
        <f t="shared" si="6"/>
        <v>#DIV/0!</v>
      </c>
      <c r="R357" s="111" t="str">
        <f t="shared" si="7"/>
        <v>#DIV/0!</v>
      </c>
      <c r="S357" s="122">
        <f t="shared" si="98"/>
        <v>0</v>
      </c>
      <c r="T357" s="113" t="str">
        <f t="shared" si="9"/>
        <v>#DIV/0!</v>
      </c>
      <c r="U357" s="172"/>
      <c r="V357" s="172"/>
      <c r="W357" s="172"/>
      <c r="X357" s="172"/>
      <c r="Y357" s="173"/>
      <c r="Z357" s="165"/>
      <c r="AA357" s="165"/>
    </row>
    <row r="358" hidden="1" outlineLevel="1">
      <c r="A358" s="165"/>
      <c r="B358" s="174"/>
      <c r="C358" s="100" t="s">
        <v>35</v>
      </c>
      <c r="D358" s="120">
        <v>0.0</v>
      </c>
      <c r="E358" s="168">
        <v>0.0</v>
      </c>
      <c r="F358" s="103">
        <v>0.0</v>
      </c>
      <c r="G358" s="103">
        <v>0.0</v>
      </c>
      <c r="H358" s="104" t="str">
        <f t="shared" si="1"/>
        <v>#DIV/0!</v>
      </c>
      <c r="I358" s="105" t="str">
        <f t="shared" si="2"/>
        <v>#DIV/0!</v>
      </c>
      <c r="J358" s="106" t="str">
        <f t="shared" si="3"/>
        <v>#DIV/0!</v>
      </c>
      <c r="K358" s="120">
        <v>0.0</v>
      </c>
      <c r="L358" s="103">
        <v>0.0</v>
      </c>
      <c r="M358" s="103">
        <v>0.0</v>
      </c>
      <c r="N358" s="121">
        <v>0.0</v>
      </c>
      <c r="O358" s="109" t="str">
        <f t="shared" ref="O358:O374" si="99">K358/N358</f>
        <v>#DIV/0!</v>
      </c>
      <c r="P358" s="110" t="str">
        <f t="shared" si="5"/>
        <v>#DIV/0!</v>
      </c>
      <c r="Q358" s="109" t="str">
        <f t="shared" si="6"/>
        <v>#DIV/0!</v>
      </c>
      <c r="R358" s="111" t="str">
        <f t="shared" si="7"/>
        <v>#DIV/0!</v>
      </c>
      <c r="S358" s="122">
        <f t="shared" si="98"/>
        <v>0</v>
      </c>
      <c r="T358" s="113" t="str">
        <f t="shared" si="9"/>
        <v>#DIV/0!</v>
      </c>
      <c r="U358" s="172"/>
      <c r="V358" s="172"/>
      <c r="W358" s="172"/>
      <c r="X358" s="172"/>
      <c r="Y358" s="173"/>
      <c r="Z358" s="165"/>
      <c r="AA358" s="165"/>
    </row>
    <row r="359" hidden="1" outlineLevel="1">
      <c r="A359" s="165"/>
      <c r="B359" s="174"/>
      <c r="C359" s="100" t="s">
        <v>65</v>
      </c>
      <c r="D359" s="300">
        <v>0.0</v>
      </c>
      <c r="E359" s="168">
        <v>0.0</v>
      </c>
      <c r="F359" s="103">
        <v>0.0</v>
      </c>
      <c r="G359" s="103">
        <v>0.0</v>
      </c>
      <c r="H359" s="104" t="str">
        <f t="shared" si="1"/>
        <v>#DIV/0!</v>
      </c>
      <c r="I359" s="105" t="str">
        <f t="shared" si="2"/>
        <v>#DIV/0!</v>
      </c>
      <c r="J359" s="106" t="str">
        <f t="shared" si="3"/>
        <v>#DIV/0!</v>
      </c>
      <c r="K359" s="300">
        <v>0.0</v>
      </c>
      <c r="L359" s="103">
        <v>0.0</v>
      </c>
      <c r="M359" s="103">
        <v>0.0</v>
      </c>
      <c r="N359" s="300">
        <v>0.0</v>
      </c>
      <c r="O359" s="109" t="str">
        <f t="shared" si="99"/>
        <v>#DIV/0!</v>
      </c>
      <c r="P359" s="110" t="str">
        <f t="shared" si="5"/>
        <v>#DIV/0!</v>
      </c>
      <c r="Q359" s="109" t="str">
        <f t="shared" si="6"/>
        <v>#DIV/0!</v>
      </c>
      <c r="R359" s="111" t="str">
        <f t="shared" si="7"/>
        <v>#DIV/0!</v>
      </c>
      <c r="S359" s="122">
        <f t="shared" si="98"/>
        <v>0</v>
      </c>
      <c r="T359" s="113" t="str">
        <f t="shared" si="9"/>
        <v>#DIV/0!</v>
      </c>
      <c r="U359" s="172"/>
      <c r="V359" s="172"/>
      <c r="W359" s="172"/>
      <c r="X359" s="172"/>
      <c r="Y359" s="173"/>
      <c r="Z359" s="165"/>
      <c r="AA359" s="165"/>
    </row>
    <row r="360" hidden="1" outlineLevel="1">
      <c r="A360" s="165"/>
      <c r="B360" s="174"/>
      <c r="C360" s="100" t="s">
        <v>85</v>
      </c>
      <c r="D360" s="302">
        <v>0.0</v>
      </c>
      <c r="E360" s="168">
        <v>0.0</v>
      </c>
      <c r="F360" s="103">
        <v>0.0</v>
      </c>
      <c r="G360" s="103">
        <v>0.0</v>
      </c>
      <c r="H360" s="104" t="str">
        <f t="shared" si="1"/>
        <v>#DIV/0!</v>
      </c>
      <c r="I360" s="105" t="str">
        <f t="shared" si="2"/>
        <v>#DIV/0!</v>
      </c>
      <c r="J360" s="106" t="str">
        <f t="shared" si="3"/>
        <v>#DIV/0!</v>
      </c>
      <c r="K360" s="302">
        <v>0.0</v>
      </c>
      <c r="L360" s="103">
        <v>0.0</v>
      </c>
      <c r="M360" s="103">
        <v>0.0</v>
      </c>
      <c r="N360" s="303">
        <v>0.0</v>
      </c>
      <c r="O360" s="109" t="str">
        <f t="shared" si="99"/>
        <v>#DIV/0!</v>
      </c>
      <c r="P360" s="110" t="str">
        <f t="shared" si="5"/>
        <v>#DIV/0!</v>
      </c>
      <c r="Q360" s="109" t="str">
        <f t="shared" si="6"/>
        <v>#DIV/0!</v>
      </c>
      <c r="R360" s="111" t="str">
        <f t="shared" si="7"/>
        <v>#DIV/0!</v>
      </c>
      <c r="S360" s="304">
        <f t="shared" si="98"/>
        <v>0</v>
      </c>
      <c r="T360" s="113" t="str">
        <f t="shared" si="9"/>
        <v>#DIV/0!</v>
      </c>
      <c r="U360" s="172"/>
      <c r="V360" s="172"/>
      <c r="W360" s="172"/>
      <c r="X360" s="172"/>
      <c r="Y360" s="173"/>
      <c r="Z360" s="165"/>
      <c r="AA360" s="165"/>
    </row>
    <row r="361" hidden="1" outlineLevel="1">
      <c r="A361" s="165"/>
      <c r="B361" s="174"/>
      <c r="C361" s="100" t="s">
        <v>36</v>
      </c>
      <c r="D361" s="120">
        <v>209.85</v>
      </c>
      <c r="E361" s="168">
        <v>69.95</v>
      </c>
      <c r="F361" s="103">
        <v>3.0</v>
      </c>
      <c r="G361" s="103">
        <v>3.0</v>
      </c>
      <c r="H361" s="104">
        <f t="shared" si="1"/>
        <v>1</v>
      </c>
      <c r="I361" s="105">
        <f t="shared" si="2"/>
        <v>69.95</v>
      </c>
      <c r="J361" s="106">
        <f t="shared" si="3"/>
        <v>69.95</v>
      </c>
      <c r="K361" s="120">
        <v>31.45</v>
      </c>
      <c r="L361" s="103">
        <v>5187.0</v>
      </c>
      <c r="M361" s="103">
        <v>1.0</v>
      </c>
      <c r="N361" s="121">
        <v>69.95</v>
      </c>
      <c r="O361" s="109">
        <f t="shared" si="99"/>
        <v>0.449606862</v>
      </c>
      <c r="P361" s="110">
        <f t="shared" si="5"/>
        <v>2.224165342</v>
      </c>
      <c r="Q361" s="109">
        <f t="shared" si="6"/>
        <v>0.149868954</v>
      </c>
      <c r="R361" s="111">
        <f t="shared" si="7"/>
        <v>0.3333333333</v>
      </c>
      <c r="S361" s="122">
        <f t="shared" si="98"/>
        <v>139.9</v>
      </c>
      <c r="T361" s="113">
        <f t="shared" si="9"/>
        <v>31.45</v>
      </c>
      <c r="U361" s="172"/>
      <c r="V361" s="172"/>
      <c r="W361" s="172"/>
      <c r="X361" s="172"/>
      <c r="Y361" s="173"/>
      <c r="Z361" s="165"/>
      <c r="AA361" s="165"/>
    </row>
    <row r="362" hidden="1" outlineLevel="1">
      <c r="A362" s="165"/>
      <c r="B362" s="99" t="s">
        <v>37</v>
      </c>
      <c r="C362" s="100" t="s">
        <v>38</v>
      </c>
      <c r="D362" s="123">
        <v>-50.22</v>
      </c>
      <c r="E362" s="168">
        <v>61.1</v>
      </c>
      <c r="F362" s="103">
        <v>0.0</v>
      </c>
      <c r="G362" s="103">
        <v>1.0</v>
      </c>
      <c r="H362" s="104">
        <f t="shared" si="1"/>
        <v>0</v>
      </c>
      <c r="I362" s="105" t="str">
        <f t="shared" si="2"/>
        <v>#DIV/0!</v>
      </c>
      <c r="J362" s="106" t="str">
        <f t="shared" si="3"/>
        <v>#DIV/0!</v>
      </c>
      <c r="K362" s="123">
        <v>83.6</v>
      </c>
      <c r="L362" s="103">
        <v>10037.0</v>
      </c>
      <c r="M362" s="103">
        <v>1.0</v>
      </c>
      <c r="N362" s="124">
        <v>35.99</v>
      </c>
      <c r="O362" s="109">
        <f t="shared" si="99"/>
        <v>2.322867463</v>
      </c>
      <c r="P362" s="110">
        <f t="shared" si="5"/>
        <v>0.4305023923</v>
      </c>
      <c r="Q362" s="109">
        <f t="shared" si="6"/>
        <v>-1.664675428</v>
      </c>
      <c r="R362" s="111">
        <f t="shared" si="7"/>
        <v>-0.7166467543</v>
      </c>
      <c r="S362" s="125">
        <f t="shared" si="98"/>
        <v>-86.21</v>
      </c>
      <c r="T362" s="113">
        <f t="shared" si="9"/>
        <v>83.6</v>
      </c>
      <c r="U362" s="172"/>
      <c r="V362" s="172"/>
      <c r="W362" s="172"/>
      <c r="X362" s="172"/>
      <c r="Y362" s="173"/>
      <c r="Z362" s="165"/>
      <c r="AA362" s="165"/>
    </row>
    <row r="363" hidden="1" outlineLevel="1">
      <c r="A363" s="165"/>
      <c r="B363" s="174"/>
      <c r="C363" s="100" t="s">
        <v>39</v>
      </c>
      <c r="D363" s="126">
        <v>-99.95</v>
      </c>
      <c r="E363" s="168">
        <v>99.95</v>
      </c>
      <c r="F363" s="103">
        <v>-1.0</v>
      </c>
      <c r="G363" s="103">
        <v>0.0</v>
      </c>
      <c r="H363" s="104" t="str">
        <f t="shared" si="1"/>
        <v>#DIV/0!</v>
      </c>
      <c r="I363" s="105">
        <f t="shared" si="2"/>
        <v>99.95</v>
      </c>
      <c r="J363" s="106" t="str">
        <f t="shared" si="3"/>
        <v>#DIV/0!</v>
      </c>
      <c r="K363" s="126">
        <v>0.0</v>
      </c>
      <c r="L363" s="103">
        <v>0.0</v>
      </c>
      <c r="M363" s="103">
        <v>0.0</v>
      </c>
      <c r="N363" s="127">
        <v>0.0</v>
      </c>
      <c r="O363" s="109" t="str">
        <f t="shared" si="99"/>
        <v>#DIV/0!</v>
      </c>
      <c r="P363" s="110" t="str">
        <f t="shared" si="5"/>
        <v>#DIV/0!</v>
      </c>
      <c r="Q363" s="109">
        <f t="shared" si="6"/>
        <v>0</v>
      </c>
      <c r="R363" s="111">
        <f t="shared" si="7"/>
        <v>0</v>
      </c>
      <c r="S363" s="128">
        <f t="shared" si="98"/>
        <v>-99.95</v>
      </c>
      <c r="T363" s="113" t="str">
        <f t="shared" si="9"/>
        <v>#DIV/0!</v>
      </c>
      <c r="U363" s="172"/>
      <c r="V363" s="172"/>
      <c r="W363" s="172"/>
      <c r="X363" s="172"/>
      <c r="Y363" s="173"/>
      <c r="Z363" s="165"/>
      <c r="AA363" s="165"/>
    </row>
    <row r="364" hidden="1" outlineLevel="1">
      <c r="A364" s="165"/>
      <c r="B364" s="174"/>
      <c r="C364" s="100" t="s">
        <v>40</v>
      </c>
      <c r="D364" s="129">
        <v>0.0</v>
      </c>
      <c r="E364" s="168">
        <v>0.0</v>
      </c>
      <c r="F364" s="103">
        <v>0.0</v>
      </c>
      <c r="G364" s="103">
        <v>0.0</v>
      </c>
      <c r="H364" s="104" t="str">
        <f t="shared" si="1"/>
        <v>#DIV/0!</v>
      </c>
      <c r="I364" s="105" t="str">
        <f t="shared" si="2"/>
        <v>#DIV/0!</v>
      </c>
      <c r="J364" s="106" t="str">
        <f t="shared" si="3"/>
        <v>#DIV/0!</v>
      </c>
      <c r="K364" s="129">
        <v>0.0</v>
      </c>
      <c r="L364" s="103">
        <v>0.0</v>
      </c>
      <c r="M364" s="103">
        <v>0.0</v>
      </c>
      <c r="N364" s="130">
        <v>0.0</v>
      </c>
      <c r="O364" s="109" t="str">
        <f t="shared" si="99"/>
        <v>#DIV/0!</v>
      </c>
      <c r="P364" s="110" t="str">
        <f t="shared" si="5"/>
        <v>#DIV/0!</v>
      </c>
      <c r="Q364" s="109" t="str">
        <f t="shared" si="6"/>
        <v>#DIV/0!</v>
      </c>
      <c r="R364" s="111" t="str">
        <f t="shared" si="7"/>
        <v>#DIV/0!</v>
      </c>
      <c r="S364" s="131">
        <f t="shared" si="98"/>
        <v>0</v>
      </c>
      <c r="T364" s="113" t="str">
        <f t="shared" si="9"/>
        <v>#DIV/0!</v>
      </c>
      <c r="U364" s="172"/>
      <c r="V364" s="172"/>
      <c r="W364" s="172"/>
      <c r="X364" s="172"/>
      <c r="Y364" s="173"/>
      <c r="Z364" s="165"/>
      <c r="AA364" s="165"/>
    </row>
    <row r="365" hidden="1" outlineLevel="1">
      <c r="A365" s="165"/>
      <c r="B365" s="174"/>
      <c r="C365" s="100" t="s">
        <v>41</v>
      </c>
      <c r="D365" s="132">
        <v>0.0</v>
      </c>
      <c r="E365" s="168">
        <v>0.0</v>
      </c>
      <c r="F365" s="103">
        <v>0.0</v>
      </c>
      <c r="G365" s="103">
        <v>0.0</v>
      </c>
      <c r="H365" s="104" t="str">
        <f t="shared" si="1"/>
        <v>#DIV/0!</v>
      </c>
      <c r="I365" s="105" t="str">
        <f t="shared" si="2"/>
        <v>#DIV/0!</v>
      </c>
      <c r="J365" s="106" t="str">
        <f t="shared" si="3"/>
        <v>#DIV/0!</v>
      </c>
      <c r="K365" s="132">
        <v>0.0</v>
      </c>
      <c r="L365" s="103">
        <v>0.0</v>
      </c>
      <c r="M365" s="103">
        <v>0.0</v>
      </c>
      <c r="N365" s="133">
        <v>0.0</v>
      </c>
      <c r="O365" s="109" t="str">
        <f t="shared" si="99"/>
        <v>#DIV/0!</v>
      </c>
      <c r="P365" s="110" t="str">
        <f t="shared" si="5"/>
        <v>#DIV/0!</v>
      </c>
      <c r="Q365" s="109" t="str">
        <f t="shared" si="6"/>
        <v>#DIV/0!</v>
      </c>
      <c r="R365" s="111" t="str">
        <f t="shared" si="7"/>
        <v>#DIV/0!</v>
      </c>
      <c r="S365" s="134">
        <f t="shared" si="98"/>
        <v>0</v>
      </c>
      <c r="T365" s="113" t="str">
        <f t="shared" si="9"/>
        <v>#DIV/0!</v>
      </c>
      <c r="U365" s="172"/>
      <c r="V365" s="172"/>
      <c r="W365" s="172"/>
      <c r="X365" s="172"/>
      <c r="Y365" s="173"/>
      <c r="Z365" s="165"/>
      <c r="AA365" s="165"/>
    </row>
    <row r="366" hidden="1" outlineLevel="1">
      <c r="A366" s="165"/>
      <c r="B366" s="174"/>
      <c r="C366" s="100" t="s">
        <v>42</v>
      </c>
      <c r="D366" s="120">
        <v>0.0</v>
      </c>
      <c r="E366" s="168">
        <v>0.0</v>
      </c>
      <c r="F366" s="103">
        <v>0.0</v>
      </c>
      <c r="G366" s="103">
        <v>0.0</v>
      </c>
      <c r="H366" s="104" t="str">
        <f t="shared" si="1"/>
        <v>#DIV/0!</v>
      </c>
      <c r="I366" s="105" t="str">
        <f t="shared" si="2"/>
        <v>#DIV/0!</v>
      </c>
      <c r="J366" s="106" t="str">
        <f t="shared" si="3"/>
        <v>#DIV/0!</v>
      </c>
      <c r="K366" s="120">
        <v>8.47</v>
      </c>
      <c r="L366" s="103">
        <v>15222.0</v>
      </c>
      <c r="M366" s="103">
        <v>0.0</v>
      </c>
      <c r="N366" s="121">
        <v>0.0</v>
      </c>
      <c r="O366" s="109" t="str">
        <f t="shared" si="99"/>
        <v>#DIV/0!</v>
      </c>
      <c r="P366" s="110">
        <f t="shared" si="5"/>
        <v>0</v>
      </c>
      <c r="Q366" s="109" t="str">
        <f t="shared" si="6"/>
        <v>#DIV/0!</v>
      </c>
      <c r="R366" s="111" t="str">
        <f t="shared" si="7"/>
        <v>#DIV/0!</v>
      </c>
      <c r="S366" s="122">
        <f t="shared" si="98"/>
        <v>0</v>
      </c>
      <c r="T366" s="113" t="str">
        <f t="shared" si="9"/>
        <v>#DIV/0!</v>
      </c>
      <c r="U366" s="172"/>
      <c r="V366" s="172"/>
      <c r="W366" s="172"/>
      <c r="X366" s="172"/>
      <c r="Y366" s="173"/>
      <c r="Z366" s="165"/>
      <c r="AA366" s="165"/>
    </row>
    <row r="367" hidden="1" outlineLevel="1">
      <c r="A367" s="165"/>
      <c r="B367" s="174"/>
      <c r="C367" s="100" t="s">
        <v>43</v>
      </c>
      <c r="D367" s="135">
        <v>154.95</v>
      </c>
      <c r="E367" s="168">
        <v>154.95</v>
      </c>
      <c r="F367" s="103">
        <v>1.0</v>
      </c>
      <c r="G367" s="103">
        <v>2.0</v>
      </c>
      <c r="H367" s="104">
        <f t="shared" si="1"/>
        <v>0.5</v>
      </c>
      <c r="I367" s="105">
        <f t="shared" si="2"/>
        <v>154.95</v>
      </c>
      <c r="J367" s="106">
        <f t="shared" si="3"/>
        <v>309.9</v>
      </c>
      <c r="K367" s="135">
        <v>17.46</v>
      </c>
      <c r="L367" s="103">
        <v>22425.0</v>
      </c>
      <c r="M367" s="103">
        <v>1.0</v>
      </c>
      <c r="N367" s="136">
        <v>0.0</v>
      </c>
      <c r="O367" s="109" t="str">
        <f t="shared" si="99"/>
        <v>#DIV/0!</v>
      </c>
      <c r="P367" s="110">
        <f t="shared" si="5"/>
        <v>0</v>
      </c>
      <c r="Q367" s="109">
        <f t="shared" si="6"/>
        <v>0.1126815102</v>
      </c>
      <c r="R367" s="111">
        <f t="shared" si="7"/>
        <v>0</v>
      </c>
      <c r="S367" s="137">
        <f t="shared" si="98"/>
        <v>154.95</v>
      </c>
      <c r="T367" s="113">
        <f t="shared" si="9"/>
        <v>17.46</v>
      </c>
      <c r="U367" s="172"/>
      <c r="V367" s="172"/>
      <c r="W367" s="172"/>
      <c r="X367" s="172"/>
      <c r="Y367" s="173"/>
      <c r="Z367" s="165"/>
      <c r="AA367" s="165"/>
    </row>
    <row r="368" hidden="1" outlineLevel="1">
      <c r="A368" s="165"/>
      <c r="B368" s="174"/>
      <c r="C368" s="100" t="s">
        <v>44</v>
      </c>
      <c r="D368" s="138">
        <v>281.64</v>
      </c>
      <c r="E368" s="168">
        <v>39.95</v>
      </c>
      <c r="F368" s="103">
        <v>7.0</v>
      </c>
      <c r="G368" s="103">
        <v>9.0</v>
      </c>
      <c r="H368" s="104">
        <f t="shared" si="1"/>
        <v>0.7777777778</v>
      </c>
      <c r="I368" s="105">
        <f t="shared" si="2"/>
        <v>40.23428571</v>
      </c>
      <c r="J368" s="106">
        <f t="shared" si="3"/>
        <v>51.72979592</v>
      </c>
      <c r="K368" s="138">
        <v>29.75</v>
      </c>
      <c r="L368" s="103">
        <v>11811.0</v>
      </c>
      <c r="M368" s="103">
        <v>5.0</v>
      </c>
      <c r="N368" s="139">
        <v>199.75</v>
      </c>
      <c r="O368" s="109">
        <f t="shared" si="99"/>
        <v>0.1489361702</v>
      </c>
      <c r="P368" s="110">
        <f t="shared" si="5"/>
        <v>6.714285714</v>
      </c>
      <c r="Q368" s="109">
        <f t="shared" si="6"/>
        <v>0.1056313024</v>
      </c>
      <c r="R368" s="111">
        <f t="shared" si="7"/>
        <v>0.7092387445</v>
      </c>
      <c r="S368" s="140">
        <f t="shared" si="98"/>
        <v>81.89</v>
      </c>
      <c r="T368" s="113">
        <f t="shared" si="9"/>
        <v>5.95</v>
      </c>
      <c r="U368" s="172"/>
      <c r="V368" s="172"/>
      <c r="W368" s="172"/>
      <c r="X368" s="172"/>
      <c r="Y368" s="173"/>
      <c r="Z368" s="165"/>
      <c r="AA368" s="165"/>
    </row>
    <row r="369" hidden="1" outlineLevel="1">
      <c r="A369" s="192"/>
      <c r="B369" s="174"/>
      <c r="C369" s="142" t="s">
        <v>45</v>
      </c>
      <c r="D369" s="101">
        <v>0.0</v>
      </c>
      <c r="E369" s="168">
        <v>0.0</v>
      </c>
      <c r="F369" s="103">
        <v>0.0</v>
      </c>
      <c r="G369" s="103">
        <v>0.0</v>
      </c>
      <c r="H369" s="104" t="str">
        <f t="shared" si="1"/>
        <v>#DIV/0!</v>
      </c>
      <c r="I369" s="105" t="str">
        <f t="shared" si="2"/>
        <v>#DIV/0!</v>
      </c>
      <c r="J369" s="106" t="str">
        <f t="shared" si="3"/>
        <v>#DIV/0!</v>
      </c>
      <c r="K369" s="101">
        <v>0.0</v>
      </c>
      <c r="L369" s="103">
        <v>0.0</v>
      </c>
      <c r="M369" s="103">
        <v>0.0</v>
      </c>
      <c r="N369" s="108">
        <v>0.0</v>
      </c>
      <c r="O369" s="109" t="str">
        <f t="shared" si="99"/>
        <v>#DIV/0!</v>
      </c>
      <c r="P369" s="110" t="str">
        <f t="shared" si="5"/>
        <v>#DIV/0!</v>
      </c>
      <c r="Q369" s="109" t="str">
        <f t="shared" si="6"/>
        <v>#DIV/0!</v>
      </c>
      <c r="R369" s="111" t="str">
        <f t="shared" si="7"/>
        <v>#DIV/0!</v>
      </c>
      <c r="S369" s="112">
        <f t="shared" si="98"/>
        <v>0</v>
      </c>
      <c r="T369" s="113" t="str">
        <f t="shared" si="9"/>
        <v>#DIV/0!</v>
      </c>
      <c r="U369" s="193"/>
      <c r="V369" s="193"/>
      <c r="W369" s="193"/>
      <c r="X369" s="194"/>
      <c r="Y369" s="195"/>
      <c r="Z369" s="165"/>
      <c r="AA369" s="165"/>
    </row>
    <row r="370" hidden="1" outlineLevel="1">
      <c r="A370" s="165"/>
      <c r="B370" s="174"/>
      <c r="C370" s="100" t="s">
        <v>46</v>
      </c>
      <c r="D370" s="146">
        <v>404.55</v>
      </c>
      <c r="E370" s="168">
        <v>44.95</v>
      </c>
      <c r="F370" s="103">
        <v>9.0</v>
      </c>
      <c r="G370" s="103">
        <v>10.0</v>
      </c>
      <c r="H370" s="104">
        <f t="shared" si="1"/>
        <v>0.9</v>
      </c>
      <c r="I370" s="105">
        <f t="shared" si="2"/>
        <v>44.95</v>
      </c>
      <c r="J370" s="106">
        <f t="shared" si="3"/>
        <v>49.94444444</v>
      </c>
      <c r="K370" s="146">
        <v>75.45</v>
      </c>
      <c r="L370" s="103">
        <v>33347.0</v>
      </c>
      <c r="M370" s="103">
        <v>2.0</v>
      </c>
      <c r="N370" s="147">
        <v>89.9</v>
      </c>
      <c r="O370" s="109">
        <f t="shared" si="99"/>
        <v>0.8392658509</v>
      </c>
      <c r="P370" s="110">
        <f t="shared" si="5"/>
        <v>1.191517561</v>
      </c>
      <c r="Q370" s="109">
        <f t="shared" si="6"/>
        <v>0.1865035224</v>
      </c>
      <c r="R370" s="111">
        <f t="shared" si="7"/>
        <v>0.2222222222</v>
      </c>
      <c r="S370" s="112">
        <f t="shared" si="98"/>
        <v>314.65</v>
      </c>
      <c r="T370" s="113">
        <f t="shared" si="9"/>
        <v>37.725</v>
      </c>
      <c r="U370" s="172"/>
      <c r="V370" s="172"/>
      <c r="W370" s="172"/>
      <c r="X370" s="172"/>
      <c r="Y370" s="173"/>
      <c r="Z370" s="165"/>
      <c r="AA370" s="165"/>
    </row>
    <row r="371" hidden="1" outlineLevel="1">
      <c r="A371" s="148" t="str">
        <f t="shared" ref="A371:A372" si="100">iferror(if(B371&gt;0,month(B371)&amp;"-"&amp;year(B371),B371),)</f>
        <v>5-2025</v>
      </c>
      <c r="B371" s="99">
        <v>45780.0</v>
      </c>
      <c r="C371" s="100" t="s">
        <v>49</v>
      </c>
      <c r="D371" s="146">
        <v>0.0</v>
      </c>
      <c r="E371" s="168">
        <v>0.0</v>
      </c>
      <c r="F371" s="103">
        <v>0.0</v>
      </c>
      <c r="G371" s="103">
        <v>0.0</v>
      </c>
      <c r="H371" s="104" t="str">
        <f t="shared" si="1"/>
        <v>#DIV/0!</v>
      </c>
      <c r="I371" s="105" t="str">
        <f t="shared" si="2"/>
        <v>#DIV/0!</v>
      </c>
      <c r="J371" s="106" t="str">
        <f t="shared" si="3"/>
        <v>#DIV/0!</v>
      </c>
      <c r="K371" s="146">
        <v>10.06</v>
      </c>
      <c r="L371" s="103">
        <v>8353.0</v>
      </c>
      <c r="M371" s="103">
        <v>0.0</v>
      </c>
      <c r="N371" s="147">
        <v>0.0</v>
      </c>
      <c r="O371" s="109" t="str">
        <f t="shared" si="99"/>
        <v>#DIV/0!</v>
      </c>
      <c r="P371" s="110">
        <f t="shared" si="5"/>
        <v>0</v>
      </c>
      <c r="Q371" s="109" t="str">
        <f t="shared" si="6"/>
        <v>#DIV/0!</v>
      </c>
      <c r="R371" s="111" t="str">
        <f t="shared" si="7"/>
        <v>#DIV/0!</v>
      </c>
      <c r="S371" s="112">
        <f t="shared" si="98"/>
        <v>0</v>
      </c>
      <c r="T371" s="113" t="str">
        <f t="shared" si="9"/>
        <v>#DIV/0!</v>
      </c>
      <c r="U371" s="172"/>
      <c r="V371" s="172"/>
      <c r="W371" s="172"/>
      <c r="X371" s="172"/>
      <c r="Y371" s="173"/>
      <c r="Z371" s="165"/>
      <c r="AA371" s="165"/>
    </row>
    <row r="372" collapsed="1">
      <c r="A372" s="165" t="str">
        <f t="shared" si="100"/>
        <v/>
      </c>
      <c r="B372" s="80" t="s">
        <v>105</v>
      </c>
      <c r="C372" s="201"/>
      <c r="D372" s="151">
        <f>SUM(D355:D371)</f>
        <v>6116.09</v>
      </c>
      <c r="E372" s="155"/>
      <c r="F372" s="153">
        <f t="shared" ref="F372:G372" si="101">SUM(F355:F371)</f>
        <v>66</v>
      </c>
      <c r="G372" s="153">
        <f t="shared" si="101"/>
        <v>74</v>
      </c>
      <c r="H372" s="154">
        <f t="shared" si="1"/>
        <v>0.8918918919</v>
      </c>
      <c r="I372" s="155">
        <f t="shared" si="2"/>
        <v>92.6680303</v>
      </c>
      <c r="J372" s="156">
        <f t="shared" si="3"/>
        <v>103.9005188</v>
      </c>
      <c r="K372" s="151">
        <f t="shared" ref="K372:N372" si="102">SUM(K355:K371)</f>
        <v>700.24</v>
      </c>
      <c r="L372" s="153">
        <f t="shared" si="102"/>
        <v>260708</v>
      </c>
      <c r="M372" s="153">
        <f t="shared" si="102"/>
        <v>21</v>
      </c>
      <c r="N372" s="157">
        <f t="shared" si="102"/>
        <v>1034.34</v>
      </c>
      <c r="O372" s="158">
        <f t="shared" si="99"/>
        <v>0.6769920916</v>
      </c>
      <c r="P372" s="159">
        <f t="shared" si="5"/>
        <v>1.47712213</v>
      </c>
      <c r="Q372" s="158">
        <f t="shared" si="6"/>
        <v>0.114491448</v>
      </c>
      <c r="R372" s="160">
        <f t="shared" si="7"/>
        <v>0.1691178514</v>
      </c>
      <c r="S372" s="161">
        <f>SUM(S355:S371)</f>
        <v>5081.75</v>
      </c>
      <c r="T372" s="162">
        <f t="shared" si="9"/>
        <v>33.3447619</v>
      </c>
      <c r="U372" s="399">
        <f>IFERROR((D372-D246)/D372,)</f>
        <v>-0.2395697251</v>
      </c>
      <c r="V372" s="399">
        <f>IFERROR((F372-F246)/F372,)</f>
        <v>-0.4242424242</v>
      </c>
      <c r="W372" s="398" t="str">
        <f>IFERROR((D372-monthly_reporting_2021!E163)/D372, )</f>
        <v/>
      </c>
      <c r="X372" s="398" t="str">
        <f>IFERROR((F372-monthly_reporting_2021!F163)/F372, )</f>
        <v/>
      </c>
      <c r="Y372" s="165"/>
      <c r="Z372" s="165"/>
      <c r="AA372" s="165"/>
    </row>
    <row r="373" hidden="1" outlineLevel="1">
      <c r="A373" s="165"/>
      <c r="B373" s="99">
        <v>45781.0</v>
      </c>
      <c r="C373" s="100" t="s">
        <v>32</v>
      </c>
      <c r="D373" s="101">
        <v>342.79</v>
      </c>
      <c r="E373" s="168">
        <v>188.49</v>
      </c>
      <c r="F373" s="103">
        <v>3.0</v>
      </c>
      <c r="G373" s="103">
        <v>9.0</v>
      </c>
      <c r="H373" s="104">
        <f t="shared" si="1"/>
        <v>0.3333333333</v>
      </c>
      <c r="I373" s="105">
        <f t="shared" si="2"/>
        <v>114.2633333</v>
      </c>
      <c r="J373" s="106">
        <f t="shared" si="3"/>
        <v>342.79</v>
      </c>
      <c r="K373" s="107">
        <v>242.37</v>
      </c>
      <c r="L373" s="103">
        <v>71806.0</v>
      </c>
      <c r="M373" s="103">
        <v>2.0</v>
      </c>
      <c r="N373" s="108">
        <v>194.9</v>
      </c>
      <c r="O373" s="109">
        <f t="shared" si="99"/>
        <v>1.2435608</v>
      </c>
      <c r="P373" s="110">
        <f t="shared" si="5"/>
        <v>0.8041424269</v>
      </c>
      <c r="Q373" s="109">
        <f t="shared" si="6"/>
        <v>0.7070509641</v>
      </c>
      <c r="R373" s="111">
        <f t="shared" si="7"/>
        <v>0.5685696782</v>
      </c>
      <c r="S373" s="112">
        <f t="shared" ref="S373:S389" si="103">D373-N373</f>
        <v>147.89</v>
      </c>
      <c r="T373" s="113">
        <f t="shared" si="9"/>
        <v>121.185</v>
      </c>
      <c r="U373" s="172"/>
      <c r="V373" s="172"/>
      <c r="W373" s="172"/>
      <c r="X373" s="172"/>
      <c r="Y373" s="173"/>
      <c r="Z373" s="165"/>
      <c r="AA373" s="165"/>
    </row>
    <row r="374" hidden="1" outlineLevel="1">
      <c r="A374" s="165"/>
      <c r="B374" s="174"/>
      <c r="C374" s="100" t="s">
        <v>33</v>
      </c>
      <c r="D374" s="117">
        <v>384.65</v>
      </c>
      <c r="E374" s="168">
        <v>231.42</v>
      </c>
      <c r="F374" s="103">
        <v>7.0</v>
      </c>
      <c r="G374" s="103">
        <v>9.0</v>
      </c>
      <c r="H374" s="104">
        <f t="shared" si="1"/>
        <v>0.7777777778</v>
      </c>
      <c r="I374" s="105">
        <f t="shared" si="2"/>
        <v>54.95</v>
      </c>
      <c r="J374" s="106">
        <f t="shared" si="3"/>
        <v>70.65</v>
      </c>
      <c r="K374" s="117">
        <v>227.73</v>
      </c>
      <c r="L374" s="103">
        <v>80914.0</v>
      </c>
      <c r="M374" s="103">
        <v>3.0</v>
      </c>
      <c r="N374" s="118">
        <v>99.9</v>
      </c>
      <c r="O374" s="109">
        <f t="shared" si="99"/>
        <v>2.27957958</v>
      </c>
      <c r="P374" s="110">
        <f t="shared" si="5"/>
        <v>0.4386773811</v>
      </c>
      <c r="Q374" s="109">
        <f t="shared" si="6"/>
        <v>0.592044716</v>
      </c>
      <c r="R374" s="111">
        <f t="shared" si="7"/>
        <v>0.2597166255</v>
      </c>
      <c r="S374" s="119">
        <f t="shared" si="103"/>
        <v>284.75</v>
      </c>
      <c r="T374" s="113">
        <f t="shared" si="9"/>
        <v>75.91</v>
      </c>
      <c r="U374" s="172"/>
      <c r="V374" s="172"/>
      <c r="W374" s="172"/>
      <c r="X374" s="172"/>
      <c r="Y374" s="173"/>
      <c r="Z374" s="165"/>
      <c r="AA374" s="165"/>
    </row>
    <row r="375" hidden="1" outlineLevel="1">
      <c r="A375" s="165"/>
      <c r="B375" s="174"/>
      <c r="C375" s="100" t="s">
        <v>34</v>
      </c>
      <c r="D375" s="120">
        <v>0.0</v>
      </c>
      <c r="E375" s="168">
        <v>0.0</v>
      </c>
      <c r="F375" s="103">
        <v>0.0</v>
      </c>
      <c r="G375" s="103">
        <v>0.0</v>
      </c>
      <c r="H375" s="104" t="str">
        <f t="shared" si="1"/>
        <v>#DIV/0!</v>
      </c>
      <c r="I375" s="105" t="str">
        <f t="shared" si="2"/>
        <v>#DIV/0!</v>
      </c>
      <c r="J375" s="106" t="str">
        <f t="shared" si="3"/>
        <v>#DIV/0!</v>
      </c>
      <c r="K375" s="120">
        <v>0.0</v>
      </c>
      <c r="L375" s="103">
        <v>0.0</v>
      </c>
      <c r="M375" s="103">
        <v>0.0</v>
      </c>
      <c r="N375" s="121">
        <v>0.0</v>
      </c>
      <c r="O375" s="109" t="str">
        <f>(K375/N375)</f>
        <v>#DIV/0!</v>
      </c>
      <c r="P375" s="110" t="str">
        <f t="shared" si="5"/>
        <v>#DIV/0!</v>
      </c>
      <c r="Q375" s="109" t="str">
        <f t="shared" si="6"/>
        <v>#DIV/0!</v>
      </c>
      <c r="R375" s="111" t="str">
        <f t="shared" si="7"/>
        <v>#DIV/0!</v>
      </c>
      <c r="S375" s="122">
        <f t="shared" si="103"/>
        <v>0</v>
      </c>
      <c r="T375" s="113" t="str">
        <f t="shared" si="9"/>
        <v>#DIV/0!</v>
      </c>
      <c r="U375" s="172"/>
      <c r="V375" s="172"/>
      <c r="W375" s="172"/>
      <c r="X375" s="172"/>
      <c r="Y375" s="173"/>
      <c r="Z375" s="165"/>
      <c r="AA375" s="165"/>
    </row>
    <row r="376" hidden="1" outlineLevel="1">
      <c r="A376" s="165"/>
      <c r="B376" s="174"/>
      <c r="C376" s="100" t="s">
        <v>35</v>
      </c>
      <c r="D376" s="120">
        <v>188.85</v>
      </c>
      <c r="E376" s="168">
        <v>62.95</v>
      </c>
      <c r="F376" s="103">
        <v>3.0</v>
      </c>
      <c r="G376" s="103">
        <v>3.0</v>
      </c>
      <c r="H376" s="104">
        <f t="shared" si="1"/>
        <v>1</v>
      </c>
      <c r="I376" s="105">
        <f t="shared" si="2"/>
        <v>62.95</v>
      </c>
      <c r="J376" s="106">
        <f t="shared" si="3"/>
        <v>62.95</v>
      </c>
      <c r="K376" s="120">
        <v>0.0</v>
      </c>
      <c r="L376" s="103">
        <v>0.0</v>
      </c>
      <c r="M376" s="103">
        <v>0.0</v>
      </c>
      <c r="N376" s="121">
        <v>0.0</v>
      </c>
      <c r="O376" s="109" t="str">
        <f t="shared" ref="O376:O392" si="104">K376/N376</f>
        <v>#DIV/0!</v>
      </c>
      <c r="P376" s="110" t="str">
        <f t="shared" si="5"/>
        <v>#DIV/0!</v>
      </c>
      <c r="Q376" s="109">
        <f t="shared" si="6"/>
        <v>0</v>
      </c>
      <c r="R376" s="111">
        <f t="shared" si="7"/>
        <v>0</v>
      </c>
      <c r="S376" s="122">
        <f t="shared" si="103"/>
        <v>188.85</v>
      </c>
      <c r="T376" s="113" t="str">
        <f t="shared" si="9"/>
        <v>#DIV/0!</v>
      </c>
      <c r="U376" s="172"/>
      <c r="V376" s="172"/>
      <c r="W376" s="172"/>
      <c r="X376" s="172"/>
      <c r="Y376" s="173"/>
      <c r="Z376" s="165"/>
      <c r="AA376" s="165"/>
    </row>
    <row r="377" hidden="1" outlineLevel="1">
      <c r="A377" s="165"/>
      <c r="B377" s="174"/>
      <c r="C377" s="100" t="s">
        <v>65</v>
      </c>
      <c r="D377" s="300">
        <v>0.0</v>
      </c>
      <c r="E377" s="168">
        <v>0.0</v>
      </c>
      <c r="F377" s="103">
        <v>0.0</v>
      </c>
      <c r="G377" s="103">
        <v>0.0</v>
      </c>
      <c r="H377" s="104" t="str">
        <f t="shared" si="1"/>
        <v>#DIV/0!</v>
      </c>
      <c r="I377" s="105" t="str">
        <f t="shared" si="2"/>
        <v>#DIV/0!</v>
      </c>
      <c r="J377" s="106" t="str">
        <f t="shared" si="3"/>
        <v>#DIV/0!</v>
      </c>
      <c r="K377" s="300">
        <v>0.0</v>
      </c>
      <c r="L377" s="103">
        <v>0.0</v>
      </c>
      <c r="M377" s="103">
        <v>0.0</v>
      </c>
      <c r="N377" s="300">
        <v>0.0</v>
      </c>
      <c r="O377" s="109" t="str">
        <f t="shared" si="104"/>
        <v>#DIV/0!</v>
      </c>
      <c r="P377" s="110" t="str">
        <f t="shared" si="5"/>
        <v>#DIV/0!</v>
      </c>
      <c r="Q377" s="109" t="str">
        <f t="shared" si="6"/>
        <v>#DIV/0!</v>
      </c>
      <c r="R377" s="111" t="str">
        <f t="shared" si="7"/>
        <v>#DIV/0!</v>
      </c>
      <c r="S377" s="122">
        <f t="shared" si="103"/>
        <v>0</v>
      </c>
      <c r="T377" s="113" t="str">
        <f t="shared" si="9"/>
        <v>#DIV/0!</v>
      </c>
      <c r="U377" s="172"/>
      <c r="V377" s="172"/>
      <c r="W377" s="172"/>
      <c r="X377" s="172"/>
      <c r="Y377" s="173"/>
      <c r="Z377" s="165"/>
      <c r="AA377" s="165"/>
    </row>
    <row r="378" hidden="1" outlineLevel="1">
      <c r="A378" s="165"/>
      <c r="B378" s="174"/>
      <c r="C378" s="100" t="s">
        <v>85</v>
      </c>
      <c r="D378" s="302">
        <v>0.0</v>
      </c>
      <c r="E378" s="168">
        <v>0.0</v>
      </c>
      <c r="F378" s="103">
        <v>0.0</v>
      </c>
      <c r="G378" s="103">
        <v>0.0</v>
      </c>
      <c r="H378" s="104" t="str">
        <f t="shared" si="1"/>
        <v>#DIV/0!</v>
      </c>
      <c r="I378" s="105" t="str">
        <f t="shared" si="2"/>
        <v>#DIV/0!</v>
      </c>
      <c r="J378" s="106" t="str">
        <f t="shared" si="3"/>
        <v>#DIV/0!</v>
      </c>
      <c r="K378" s="302">
        <v>0.0</v>
      </c>
      <c r="L378" s="103">
        <v>0.0</v>
      </c>
      <c r="M378" s="103">
        <v>0.0</v>
      </c>
      <c r="N378" s="303">
        <v>0.0</v>
      </c>
      <c r="O378" s="109" t="str">
        <f t="shared" si="104"/>
        <v>#DIV/0!</v>
      </c>
      <c r="P378" s="110" t="str">
        <f t="shared" si="5"/>
        <v>#DIV/0!</v>
      </c>
      <c r="Q378" s="109" t="str">
        <f t="shared" si="6"/>
        <v>#DIV/0!</v>
      </c>
      <c r="R378" s="111" t="str">
        <f t="shared" si="7"/>
        <v>#DIV/0!</v>
      </c>
      <c r="S378" s="304">
        <f t="shared" si="103"/>
        <v>0</v>
      </c>
      <c r="T378" s="113" t="str">
        <f t="shared" si="9"/>
        <v>#DIV/0!</v>
      </c>
      <c r="U378" s="172"/>
      <c r="V378" s="172"/>
      <c r="W378" s="172"/>
      <c r="X378" s="172"/>
      <c r="Y378" s="173"/>
      <c r="Z378" s="165"/>
      <c r="AA378" s="165"/>
    </row>
    <row r="379" hidden="1" outlineLevel="1">
      <c r="A379" s="165"/>
      <c r="B379" s="174"/>
      <c r="C379" s="100" t="s">
        <v>36</v>
      </c>
      <c r="D379" s="120">
        <v>139.9</v>
      </c>
      <c r="E379" s="168">
        <v>69.95</v>
      </c>
      <c r="F379" s="103">
        <v>2.0</v>
      </c>
      <c r="G379" s="103">
        <v>2.0</v>
      </c>
      <c r="H379" s="104">
        <f t="shared" si="1"/>
        <v>1</v>
      </c>
      <c r="I379" s="105">
        <f t="shared" si="2"/>
        <v>69.95</v>
      </c>
      <c r="J379" s="106">
        <f t="shared" si="3"/>
        <v>69.95</v>
      </c>
      <c r="K379" s="120">
        <v>20.34</v>
      </c>
      <c r="L379" s="103">
        <v>4695.0</v>
      </c>
      <c r="M379" s="103">
        <v>0.0</v>
      </c>
      <c r="N379" s="121">
        <v>0.0</v>
      </c>
      <c r="O379" s="109" t="str">
        <f t="shared" si="104"/>
        <v>#DIV/0!</v>
      </c>
      <c r="P379" s="110">
        <f t="shared" si="5"/>
        <v>0</v>
      </c>
      <c r="Q379" s="109">
        <f t="shared" si="6"/>
        <v>0.145389564</v>
      </c>
      <c r="R379" s="111">
        <f t="shared" si="7"/>
        <v>0</v>
      </c>
      <c r="S379" s="122">
        <f t="shared" si="103"/>
        <v>139.9</v>
      </c>
      <c r="T379" s="113" t="str">
        <f t="shared" si="9"/>
        <v>#DIV/0!</v>
      </c>
      <c r="U379" s="172"/>
      <c r="V379" s="172"/>
      <c r="W379" s="172"/>
      <c r="X379" s="172"/>
      <c r="Y379" s="173"/>
      <c r="Z379" s="165"/>
      <c r="AA379" s="165"/>
    </row>
    <row r="380" hidden="1" outlineLevel="1">
      <c r="A380" s="165"/>
      <c r="B380" s="99" t="s">
        <v>37</v>
      </c>
      <c r="C380" s="100" t="s">
        <v>38</v>
      </c>
      <c r="D380" s="123">
        <v>144.85</v>
      </c>
      <c r="E380" s="168">
        <v>57.45</v>
      </c>
      <c r="F380" s="103">
        <v>3.0</v>
      </c>
      <c r="G380" s="103">
        <v>2.0</v>
      </c>
      <c r="H380" s="104">
        <f t="shared" si="1"/>
        <v>1.5</v>
      </c>
      <c r="I380" s="105">
        <f t="shared" si="2"/>
        <v>48.28333333</v>
      </c>
      <c r="J380" s="106">
        <f t="shared" si="3"/>
        <v>32.18888889</v>
      </c>
      <c r="K380" s="123">
        <v>45.33</v>
      </c>
      <c r="L380" s="103">
        <v>9084.0</v>
      </c>
      <c r="M380" s="103">
        <v>2.0</v>
      </c>
      <c r="N380" s="124">
        <v>59.9</v>
      </c>
      <c r="O380" s="109">
        <f t="shared" si="104"/>
        <v>0.7567612688</v>
      </c>
      <c r="P380" s="110">
        <f t="shared" si="5"/>
        <v>1.321420693</v>
      </c>
      <c r="Q380" s="109">
        <f t="shared" si="6"/>
        <v>0.3129444253</v>
      </c>
      <c r="R380" s="111">
        <f t="shared" si="7"/>
        <v>0.4135312392</v>
      </c>
      <c r="S380" s="125">
        <f t="shared" si="103"/>
        <v>84.95</v>
      </c>
      <c r="T380" s="113">
        <f t="shared" si="9"/>
        <v>22.665</v>
      </c>
      <c r="U380" s="172"/>
      <c r="V380" s="172"/>
      <c r="W380" s="172"/>
      <c r="X380" s="172"/>
      <c r="Y380" s="173"/>
      <c r="Z380" s="165"/>
      <c r="AA380" s="165"/>
    </row>
    <row r="381" hidden="1" outlineLevel="1">
      <c r="A381" s="165"/>
      <c r="B381" s="174"/>
      <c r="C381" s="100" t="s">
        <v>39</v>
      </c>
      <c r="D381" s="126">
        <v>284.89</v>
      </c>
      <c r="E381" s="168">
        <v>94.96</v>
      </c>
      <c r="F381" s="103">
        <v>3.0</v>
      </c>
      <c r="G381" s="103">
        <v>3.0</v>
      </c>
      <c r="H381" s="104">
        <f t="shared" si="1"/>
        <v>1</v>
      </c>
      <c r="I381" s="105">
        <f t="shared" si="2"/>
        <v>94.96333333</v>
      </c>
      <c r="J381" s="106">
        <f t="shared" si="3"/>
        <v>94.96333333</v>
      </c>
      <c r="K381" s="126">
        <v>0.0</v>
      </c>
      <c r="L381" s="103">
        <v>0.0</v>
      </c>
      <c r="M381" s="103">
        <v>0.0</v>
      </c>
      <c r="N381" s="127">
        <v>0.0</v>
      </c>
      <c r="O381" s="109" t="str">
        <f t="shared" si="104"/>
        <v>#DIV/0!</v>
      </c>
      <c r="P381" s="110" t="str">
        <f t="shared" si="5"/>
        <v>#DIV/0!</v>
      </c>
      <c r="Q381" s="109">
        <f t="shared" si="6"/>
        <v>0</v>
      </c>
      <c r="R381" s="111">
        <f t="shared" si="7"/>
        <v>0</v>
      </c>
      <c r="S381" s="128">
        <f t="shared" si="103"/>
        <v>284.89</v>
      </c>
      <c r="T381" s="113" t="str">
        <f t="shared" si="9"/>
        <v>#DIV/0!</v>
      </c>
      <c r="U381" s="172"/>
      <c r="V381" s="172"/>
      <c r="W381" s="172"/>
      <c r="X381" s="172"/>
      <c r="Y381" s="173"/>
      <c r="Z381" s="165"/>
      <c r="AA381" s="165"/>
    </row>
    <row r="382" hidden="1" outlineLevel="1">
      <c r="A382" s="165"/>
      <c r="B382" s="174"/>
      <c r="C382" s="100" t="s">
        <v>40</v>
      </c>
      <c r="D382" s="129">
        <v>0.0</v>
      </c>
      <c r="E382" s="168">
        <v>0.0</v>
      </c>
      <c r="F382" s="103">
        <v>0.0</v>
      </c>
      <c r="G382" s="103">
        <v>0.0</v>
      </c>
      <c r="H382" s="104" t="str">
        <f t="shared" si="1"/>
        <v>#DIV/0!</v>
      </c>
      <c r="I382" s="105" t="str">
        <f t="shared" si="2"/>
        <v>#DIV/0!</v>
      </c>
      <c r="J382" s="106" t="str">
        <f t="shared" si="3"/>
        <v>#DIV/0!</v>
      </c>
      <c r="K382" s="129">
        <v>0.0</v>
      </c>
      <c r="L382" s="103">
        <v>0.0</v>
      </c>
      <c r="M382" s="103">
        <v>0.0</v>
      </c>
      <c r="N382" s="130">
        <v>0.0</v>
      </c>
      <c r="O382" s="109" t="str">
        <f t="shared" si="104"/>
        <v>#DIV/0!</v>
      </c>
      <c r="P382" s="110" t="str">
        <f t="shared" si="5"/>
        <v>#DIV/0!</v>
      </c>
      <c r="Q382" s="109" t="str">
        <f t="shared" si="6"/>
        <v>#DIV/0!</v>
      </c>
      <c r="R382" s="111" t="str">
        <f t="shared" si="7"/>
        <v>#DIV/0!</v>
      </c>
      <c r="S382" s="131">
        <f t="shared" si="103"/>
        <v>0</v>
      </c>
      <c r="T382" s="113" t="str">
        <f t="shared" si="9"/>
        <v>#DIV/0!</v>
      </c>
      <c r="U382" s="172"/>
      <c r="V382" s="172"/>
      <c r="W382" s="172"/>
      <c r="X382" s="172"/>
      <c r="Y382" s="173"/>
      <c r="Z382" s="165"/>
      <c r="AA382" s="165"/>
    </row>
    <row r="383" hidden="1" outlineLevel="1">
      <c r="A383" s="165"/>
      <c r="B383" s="174"/>
      <c r="C383" s="100" t="s">
        <v>41</v>
      </c>
      <c r="D383" s="132">
        <v>0.0</v>
      </c>
      <c r="E383" s="168">
        <v>0.0</v>
      </c>
      <c r="F383" s="103">
        <v>0.0</v>
      </c>
      <c r="G383" s="103">
        <v>0.0</v>
      </c>
      <c r="H383" s="104" t="str">
        <f t="shared" si="1"/>
        <v>#DIV/0!</v>
      </c>
      <c r="I383" s="105" t="str">
        <f t="shared" si="2"/>
        <v>#DIV/0!</v>
      </c>
      <c r="J383" s="106" t="str">
        <f t="shared" si="3"/>
        <v>#DIV/0!</v>
      </c>
      <c r="K383" s="132">
        <v>0.0</v>
      </c>
      <c r="L383" s="103">
        <v>0.0</v>
      </c>
      <c r="M383" s="103">
        <v>0.0</v>
      </c>
      <c r="N383" s="133">
        <v>0.0</v>
      </c>
      <c r="O383" s="109" t="str">
        <f t="shared" si="104"/>
        <v>#DIV/0!</v>
      </c>
      <c r="P383" s="110" t="str">
        <f t="shared" si="5"/>
        <v>#DIV/0!</v>
      </c>
      <c r="Q383" s="109" t="str">
        <f t="shared" si="6"/>
        <v>#DIV/0!</v>
      </c>
      <c r="R383" s="111" t="str">
        <f t="shared" si="7"/>
        <v>#DIV/0!</v>
      </c>
      <c r="S383" s="134">
        <f t="shared" si="103"/>
        <v>0</v>
      </c>
      <c r="T383" s="113" t="str">
        <f t="shared" si="9"/>
        <v>#DIV/0!</v>
      </c>
      <c r="U383" s="172"/>
      <c r="V383" s="172"/>
      <c r="W383" s="172"/>
      <c r="X383" s="172"/>
      <c r="Y383" s="173"/>
      <c r="Z383" s="165"/>
      <c r="AA383" s="165"/>
    </row>
    <row r="384" hidden="1" outlineLevel="1">
      <c r="A384" s="165"/>
      <c r="B384" s="174"/>
      <c r="C384" s="100" t="s">
        <v>42</v>
      </c>
      <c r="D384" s="120">
        <v>0.0</v>
      </c>
      <c r="E384" s="168">
        <v>0.0</v>
      </c>
      <c r="F384" s="103">
        <v>0.0</v>
      </c>
      <c r="G384" s="103">
        <v>0.0</v>
      </c>
      <c r="H384" s="104" t="str">
        <f t="shared" si="1"/>
        <v>#DIV/0!</v>
      </c>
      <c r="I384" s="105" t="str">
        <f t="shared" si="2"/>
        <v>#DIV/0!</v>
      </c>
      <c r="J384" s="106" t="str">
        <f t="shared" si="3"/>
        <v>#DIV/0!</v>
      </c>
      <c r="K384" s="120">
        <v>4.5</v>
      </c>
      <c r="L384" s="103">
        <v>13522.0</v>
      </c>
      <c r="M384" s="103">
        <v>0.0</v>
      </c>
      <c r="N384" s="121">
        <v>0.0</v>
      </c>
      <c r="O384" s="109" t="str">
        <f t="shared" si="104"/>
        <v>#DIV/0!</v>
      </c>
      <c r="P384" s="110">
        <f t="shared" si="5"/>
        <v>0</v>
      </c>
      <c r="Q384" s="109" t="str">
        <f t="shared" si="6"/>
        <v>#DIV/0!</v>
      </c>
      <c r="R384" s="111" t="str">
        <f t="shared" si="7"/>
        <v>#DIV/0!</v>
      </c>
      <c r="S384" s="122">
        <f t="shared" si="103"/>
        <v>0</v>
      </c>
      <c r="T384" s="113" t="str">
        <f t="shared" si="9"/>
        <v>#DIV/0!</v>
      </c>
      <c r="U384" s="172"/>
      <c r="V384" s="172"/>
      <c r="W384" s="172"/>
      <c r="X384" s="172"/>
      <c r="Y384" s="173"/>
      <c r="Z384" s="165"/>
      <c r="AA384" s="165"/>
    </row>
    <row r="385" hidden="1" outlineLevel="1">
      <c r="A385" s="165"/>
      <c r="B385" s="174"/>
      <c r="C385" s="100" t="s">
        <v>43</v>
      </c>
      <c r="D385" s="135">
        <v>154.95</v>
      </c>
      <c r="E385" s="168">
        <v>154.95</v>
      </c>
      <c r="F385" s="103">
        <v>1.0</v>
      </c>
      <c r="G385" s="103">
        <v>1.0</v>
      </c>
      <c r="H385" s="104">
        <f t="shared" si="1"/>
        <v>1</v>
      </c>
      <c r="I385" s="105">
        <f t="shared" si="2"/>
        <v>154.95</v>
      </c>
      <c r="J385" s="106">
        <f t="shared" si="3"/>
        <v>154.95</v>
      </c>
      <c r="K385" s="135">
        <v>11.4</v>
      </c>
      <c r="L385" s="103">
        <v>21520.0</v>
      </c>
      <c r="M385" s="103">
        <v>0.0</v>
      </c>
      <c r="N385" s="136">
        <v>0.0</v>
      </c>
      <c r="O385" s="109" t="str">
        <f t="shared" si="104"/>
        <v>#DIV/0!</v>
      </c>
      <c r="P385" s="110">
        <f t="shared" si="5"/>
        <v>0</v>
      </c>
      <c r="Q385" s="109">
        <f t="shared" si="6"/>
        <v>0.07357212004</v>
      </c>
      <c r="R385" s="111">
        <f t="shared" si="7"/>
        <v>0</v>
      </c>
      <c r="S385" s="137">
        <f t="shared" si="103"/>
        <v>154.95</v>
      </c>
      <c r="T385" s="113" t="str">
        <f t="shared" si="9"/>
        <v>#DIV/0!</v>
      </c>
      <c r="U385" s="172"/>
      <c r="V385" s="172"/>
      <c r="W385" s="172"/>
      <c r="X385" s="172"/>
      <c r="Y385" s="173"/>
      <c r="Z385" s="165"/>
      <c r="AA385" s="165"/>
    </row>
    <row r="386" hidden="1" outlineLevel="1">
      <c r="A386" s="165"/>
      <c r="B386" s="174"/>
      <c r="C386" s="100" t="s">
        <v>44</v>
      </c>
      <c r="D386" s="138">
        <v>279.65</v>
      </c>
      <c r="E386" s="168">
        <v>39.95</v>
      </c>
      <c r="F386" s="103">
        <v>7.0</v>
      </c>
      <c r="G386" s="103">
        <v>8.0</v>
      </c>
      <c r="H386" s="104">
        <f t="shared" si="1"/>
        <v>0.875</v>
      </c>
      <c r="I386" s="105">
        <f t="shared" si="2"/>
        <v>39.95</v>
      </c>
      <c r="J386" s="106">
        <f t="shared" si="3"/>
        <v>45.65714286</v>
      </c>
      <c r="K386" s="138">
        <v>26.9</v>
      </c>
      <c r="L386" s="103">
        <v>10786.0</v>
      </c>
      <c r="M386" s="103">
        <v>5.0</v>
      </c>
      <c r="N386" s="139">
        <v>199.75</v>
      </c>
      <c r="O386" s="109">
        <f t="shared" si="104"/>
        <v>0.1346683354</v>
      </c>
      <c r="P386" s="110">
        <f t="shared" si="5"/>
        <v>7.425650558</v>
      </c>
      <c r="Q386" s="109">
        <f t="shared" si="6"/>
        <v>0.09619166816</v>
      </c>
      <c r="R386" s="111">
        <f t="shared" si="7"/>
        <v>0.7142857143</v>
      </c>
      <c r="S386" s="140">
        <f t="shared" si="103"/>
        <v>79.9</v>
      </c>
      <c r="T386" s="113">
        <f t="shared" si="9"/>
        <v>5.38</v>
      </c>
      <c r="U386" s="172"/>
      <c r="V386" s="172"/>
      <c r="W386" s="172"/>
      <c r="X386" s="172"/>
      <c r="Y386" s="173"/>
      <c r="Z386" s="165"/>
      <c r="AA386" s="165"/>
    </row>
    <row r="387" hidden="1" outlineLevel="1">
      <c r="A387" s="192"/>
      <c r="B387" s="174"/>
      <c r="C387" s="142" t="s">
        <v>45</v>
      </c>
      <c r="D387" s="101">
        <v>0.0</v>
      </c>
      <c r="E387" s="168">
        <v>0.0</v>
      </c>
      <c r="F387" s="103">
        <v>0.0</v>
      </c>
      <c r="G387" s="103">
        <v>0.0</v>
      </c>
      <c r="H387" s="104" t="str">
        <f t="shared" si="1"/>
        <v>#DIV/0!</v>
      </c>
      <c r="I387" s="105" t="str">
        <f t="shared" si="2"/>
        <v>#DIV/0!</v>
      </c>
      <c r="J387" s="106" t="str">
        <f t="shared" si="3"/>
        <v>#DIV/0!</v>
      </c>
      <c r="K387" s="101">
        <v>0.0</v>
      </c>
      <c r="L387" s="103">
        <v>0.0</v>
      </c>
      <c r="M387" s="103">
        <v>0.0</v>
      </c>
      <c r="N387" s="108">
        <v>0.0</v>
      </c>
      <c r="O387" s="109" t="str">
        <f t="shared" si="104"/>
        <v>#DIV/0!</v>
      </c>
      <c r="P387" s="110" t="str">
        <f t="shared" si="5"/>
        <v>#DIV/0!</v>
      </c>
      <c r="Q387" s="109" t="str">
        <f t="shared" si="6"/>
        <v>#DIV/0!</v>
      </c>
      <c r="R387" s="111" t="str">
        <f t="shared" si="7"/>
        <v>#DIV/0!</v>
      </c>
      <c r="S387" s="112">
        <f t="shared" si="103"/>
        <v>0</v>
      </c>
      <c r="T387" s="113" t="str">
        <f t="shared" si="9"/>
        <v>#DIV/0!</v>
      </c>
      <c r="U387" s="193"/>
      <c r="V387" s="193"/>
      <c r="W387" s="193"/>
      <c r="X387" s="194"/>
      <c r="Y387" s="195"/>
      <c r="Z387" s="165"/>
      <c r="AA387" s="165"/>
    </row>
    <row r="388" hidden="1" outlineLevel="1">
      <c r="A388" s="165"/>
      <c r="B388" s="174"/>
      <c r="C388" s="100" t="s">
        <v>46</v>
      </c>
      <c r="D388" s="146">
        <v>544.4</v>
      </c>
      <c r="E388" s="168">
        <v>44.95</v>
      </c>
      <c r="F388" s="103">
        <v>12.0</v>
      </c>
      <c r="G388" s="103">
        <v>12.0</v>
      </c>
      <c r="H388" s="104">
        <f t="shared" si="1"/>
        <v>1</v>
      </c>
      <c r="I388" s="105">
        <f t="shared" si="2"/>
        <v>45.36666667</v>
      </c>
      <c r="J388" s="106">
        <f t="shared" si="3"/>
        <v>45.36666667</v>
      </c>
      <c r="K388" s="146">
        <v>87.2</v>
      </c>
      <c r="L388" s="103">
        <v>30155.0</v>
      </c>
      <c r="M388" s="103">
        <v>5.0</v>
      </c>
      <c r="N388" s="147">
        <v>224.75</v>
      </c>
      <c r="O388" s="109">
        <f t="shared" si="104"/>
        <v>0.3879866518</v>
      </c>
      <c r="P388" s="110">
        <f t="shared" si="5"/>
        <v>2.577408257</v>
      </c>
      <c r="Q388" s="109">
        <f t="shared" si="6"/>
        <v>0.1601763409</v>
      </c>
      <c r="R388" s="111">
        <f t="shared" si="7"/>
        <v>0.4128398237</v>
      </c>
      <c r="S388" s="112">
        <f t="shared" si="103"/>
        <v>319.65</v>
      </c>
      <c r="T388" s="113">
        <f t="shared" si="9"/>
        <v>17.44</v>
      </c>
      <c r="U388" s="172"/>
      <c r="V388" s="172"/>
      <c r="W388" s="172"/>
      <c r="X388" s="172"/>
      <c r="Y388" s="173"/>
      <c r="Z388" s="165"/>
      <c r="AA388" s="165"/>
    </row>
    <row r="389" hidden="1" outlineLevel="1">
      <c r="A389" s="148" t="str">
        <f t="shared" ref="A389:A390" si="105">iferror(if(B389&gt;0,month(B389)&amp;"-"&amp;year(B389),B389),)</f>
        <v>5-2025</v>
      </c>
      <c r="B389" s="99">
        <v>45787.0</v>
      </c>
      <c r="C389" s="100" t="s">
        <v>49</v>
      </c>
      <c r="D389" s="146">
        <v>0.0</v>
      </c>
      <c r="E389" s="168">
        <v>0.0</v>
      </c>
      <c r="F389" s="103">
        <v>0.0</v>
      </c>
      <c r="G389" s="103">
        <v>0.0</v>
      </c>
      <c r="H389" s="104" t="str">
        <f t="shared" si="1"/>
        <v>#DIV/0!</v>
      </c>
      <c r="I389" s="105" t="str">
        <f t="shared" si="2"/>
        <v>#DIV/0!</v>
      </c>
      <c r="J389" s="106" t="str">
        <f t="shared" si="3"/>
        <v>#DIV/0!</v>
      </c>
      <c r="K389" s="146">
        <v>1.37</v>
      </c>
      <c r="L389" s="103">
        <v>7445.0</v>
      </c>
      <c r="M389" s="103">
        <v>0.0</v>
      </c>
      <c r="N389" s="147">
        <v>0.0</v>
      </c>
      <c r="O389" s="109" t="str">
        <f t="shared" si="104"/>
        <v>#DIV/0!</v>
      </c>
      <c r="P389" s="110">
        <f t="shared" si="5"/>
        <v>0</v>
      </c>
      <c r="Q389" s="109" t="str">
        <f t="shared" si="6"/>
        <v>#DIV/0!</v>
      </c>
      <c r="R389" s="111" t="str">
        <f t="shared" si="7"/>
        <v>#DIV/0!</v>
      </c>
      <c r="S389" s="112">
        <f t="shared" si="103"/>
        <v>0</v>
      </c>
      <c r="T389" s="113" t="str">
        <f t="shared" si="9"/>
        <v>#DIV/0!</v>
      </c>
      <c r="U389" s="172"/>
      <c r="V389" s="172"/>
      <c r="W389" s="172"/>
      <c r="X389" s="172"/>
      <c r="Y389" s="173"/>
      <c r="Z389" s="165"/>
      <c r="AA389" s="165"/>
    </row>
    <row r="390" collapsed="1">
      <c r="A390" s="165" t="str">
        <f t="shared" si="105"/>
        <v/>
      </c>
      <c r="B390" s="80" t="s">
        <v>106</v>
      </c>
      <c r="C390" s="201"/>
      <c r="D390" s="151">
        <f>SUM(D373:D389)</f>
        <v>2464.93</v>
      </c>
      <c r="E390" s="155"/>
      <c r="F390" s="153">
        <f t="shared" ref="F390:G390" si="106">SUM(F373:F389)</f>
        <v>41</v>
      </c>
      <c r="G390" s="153">
        <f t="shared" si="106"/>
        <v>49</v>
      </c>
      <c r="H390" s="154">
        <f t="shared" si="1"/>
        <v>0.8367346939</v>
      </c>
      <c r="I390" s="155">
        <f t="shared" si="2"/>
        <v>60.1202439</v>
      </c>
      <c r="J390" s="156">
        <f t="shared" si="3"/>
        <v>71.8510232</v>
      </c>
      <c r="K390" s="151">
        <f t="shared" ref="K390:N390" si="107">SUM(K373:K389)</f>
        <v>667.14</v>
      </c>
      <c r="L390" s="153">
        <f t="shared" si="107"/>
        <v>249927</v>
      </c>
      <c r="M390" s="153">
        <f t="shared" si="107"/>
        <v>17</v>
      </c>
      <c r="N390" s="157">
        <f t="shared" si="107"/>
        <v>779.2</v>
      </c>
      <c r="O390" s="158">
        <f t="shared" si="104"/>
        <v>0.8561858316</v>
      </c>
      <c r="P390" s="159">
        <f t="shared" si="5"/>
        <v>1.167970741</v>
      </c>
      <c r="Q390" s="158">
        <f t="shared" si="6"/>
        <v>0.2706527163</v>
      </c>
      <c r="R390" s="160">
        <f t="shared" si="7"/>
        <v>0.3161144536</v>
      </c>
      <c r="S390" s="161">
        <f>SUM(S373:S389)</f>
        <v>1685.73</v>
      </c>
      <c r="T390" s="162">
        <f t="shared" si="9"/>
        <v>39.24352941</v>
      </c>
      <c r="U390" s="399">
        <f>IFERROR((D390-D246)/D390,)</f>
        <v>-2.075673549</v>
      </c>
      <c r="V390" s="399">
        <f>IFERROR((F390-F246)/F390,)</f>
        <v>-1.292682927</v>
      </c>
      <c r="W390" s="398" t="str">
        <f>IFERROR((D390-monthly_reporting_2021!E181)/D390, )</f>
        <v/>
      </c>
      <c r="X390" s="398" t="str">
        <f>IFERROR((F390-monthly_reporting_2021!F181)/F390, )</f>
        <v/>
      </c>
      <c r="Y390" s="165"/>
      <c r="Z390" s="165"/>
      <c r="AA390" s="165"/>
    </row>
    <row r="391" hidden="1" outlineLevel="1">
      <c r="A391" s="165"/>
      <c r="B391" s="99">
        <v>45788.0</v>
      </c>
      <c r="C391" s="100" t="s">
        <v>32</v>
      </c>
      <c r="D391" s="101">
        <v>953.0</v>
      </c>
      <c r="E391" s="105">
        <v>124.79</v>
      </c>
      <c r="F391" s="103">
        <v>2.0</v>
      </c>
      <c r="G391" s="103">
        <v>7.0</v>
      </c>
      <c r="H391" s="104">
        <f t="shared" si="1"/>
        <v>0.2857142857</v>
      </c>
      <c r="I391" s="105">
        <f t="shared" si="2"/>
        <v>476.5</v>
      </c>
      <c r="J391" s="106">
        <f t="shared" si="3"/>
        <v>1667.75</v>
      </c>
      <c r="K391" s="107">
        <v>225.0</v>
      </c>
      <c r="L391" s="103">
        <v>75399.0</v>
      </c>
      <c r="M391" s="103">
        <v>3.0</v>
      </c>
      <c r="N391" s="108">
        <v>543.9</v>
      </c>
      <c r="O391" s="109">
        <f t="shared" si="104"/>
        <v>0.4136789851</v>
      </c>
      <c r="P391" s="110">
        <f t="shared" si="5"/>
        <v>2.417333333</v>
      </c>
      <c r="Q391" s="109">
        <f t="shared" si="6"/>
        <v>0.2360965373</v>
      </c>
      <c r="R391" s="111">
        <f t="shared" si="7"/>
        <v>0.5707240294</v>
      </c>
      <c r="S391" s="112">
        <f t="shared" ref="S391:S407" si="108">D391-N391</f>
        <v>409.1</v>
      </c>
      <c r="T391" s="113">
        <f t="shared" si="9"/>
        <v>75</v>
      </c>
      <c r="U391" s="172"/>
      <c r="V391" s="172"/>
      <c r="W391" s="172"/>
      <c r="X391" s="172"/>
      <c r="Y391" s="173"/>
      <c r="Z391" s="165"/>
      <c r="AA391" s="165"/>
    </row>
    <row r="392" hidden="1" outlineLevel="1">
      <c r="A392" s="165"/>
      <c r="B392" s="174"/>
      <c r="C392" s="100" t="s">
        <v>33</v>
      </c>
      <c r="D392" s="117">
        <v>1383.61</v>
      </c>
      <c r="E392" s="105">
        <v>226.77</v>
      </c>
      <c r="F392" s="103">
        <v>8.0</v>
      </c>
      <c r="G392" s="103">
        <v>11.0</v>
      </c>
      <c r="H392" s="104">
        <f t="shared" si="1"/>
        <v>0.7272727273</v>
      </c>
      <c r="I392" s="105">
        <f t="shared" si="2"/>
        <v>172.95125</v>
      </c>
      <c r="J392" s="106">
        <f t="shared" si="3"/>
        <v>237.8079688</v>
      </c>
      <c r="K392" s="117">
        <v>169.45</v>
      </c>
      <c r="L392" s="103">
        <v>87225.0</v>
      </c>
      <c r="M392" s="103">
        <v>1.0</v>
      </c>
      <c r="N392" s="118">
        <v>495.0</v>
      </c>
      <c r="O392" s="109">
        <f t="shared" si="104"/>
        <v>0.3423232323</v>
      </c>
      <c r="P392" s="110">
        <f t="shared" si="5"/>
        <v>2.921215698</v>
      </c>
      <c r="Q392" s="109">
        <f t="shared" si="6"/>
        <v>0.122469482</v>
      </c>
      <c r="R392" s="111">
        <f t="shared" si="7"/>
        <v>0.3577597733</v>
      </c>
      <c r="S392" s="119">
        <f t="shared" si="108"/>
        <v>888.61</v>
      </c>
      <c r="T392" s="113">
        <f t="shared" si="9"/>
        <v>169.45</v>
      </c>
      <c r="U392" s="172"/>
      <c r="V392" s="172"/>
      <c r="W392" s="172"/>
      <c r="X392" s="172"/>
      <c r="Y392" s="173"/>
      <c r="Z392" s="165"/>
      <c r="AA392" s="165"/>
    </row>
    <row r="393" hidden="1" outlineLevel="1">
      <c r="A393" s="165"/>
      <c r="B393" s="174"/>
      <c r="C393" s="100" t="s">
        <v>34</v>
      </c>
      <c r="D393" s="120">
        <v>0.0</v>
      </c>
      <c r="E393" s="105">
        <v>0.0</v>
      </c>
      <c r="F393" s="103">
        <v>0.0</v>
      </c>
      <c r="G393" s="103">
        <v>0.0</v>
      </c>
      <c r="H393" s="104" t="str">
        <f t="shared" si="1"/>
        <v>#DIV/0!</v>
      </c>
      <c r="I393" s="105" t="str">
        <f t="shared" si="2"/>
        <v>#DIV/0!</v>
      </c>
      <c r="J393" s="106" t="str">
        <f t="shared" si="3"/>
        <v>#DIV/0!</v>
      </c>
      <c r="K393" s="120">
        <v>0.0</v>
      </c>
      <c r="L393" s="103">
        <v>0.0</v>
      </c>
      <c r="M393" s="103">
        <v>0.0</v>
      </c>
      <c r="N393" s="121">
        <v>0.0</v>
      </c>
      <c r="O393" s="109" t="str">
        <f>(K393/N393)</f>
        <v>#DIV/0!</v>
      </c>
      <c r="P393" s="110" t="str">
        <f t="shared" si="5"/>
        <v>#DIV/0!</v>
      </c>
      <c r="Q393" s="109" t="str">
        <f t="shared" si="6"/>
        <v>#DIV/0!</v>
      </c>
      <c r="R393" s="111" t="str">
        <f t="shared" si="7"/>
        <v>#DIV/0!</v>
      </c>
      <c r="S393" s="122">
        <f t="shared" si="108"/>
        <v>0</v>
      </c>
      <c r="T393" s="113" t="str">
        <f t="shared" si="9"/>
        <v>#DIV/0!</v>
      </c>
      <c r="U393" s="172"/>
      <c r="V393" s="172"/>
      <c r="W393" s="172"/>
      <c r="X393" s="172"/>
      <c r="Y393" s="173"/>
      <c r="Z393" s="165"/>
      <c r="AA393" s="165"/>
    </row>
    <row r="394" hidden="1" outlineLevel="1">
      <c r="A394" s="165"/>
      <c r="B394" s="174"/>
      <c r="C394" s="100" t="s">
        <v>35</v>
      </c>
      <c r="D394" s="120">
        <v>188.85</v>
      </c>
      <c r="E394" s="105">
        <v>62.95</v>
      </c>
      <c r="F394" s="103">
        <v>3.0</v>
      </c>
      <c r="G394" s="103">
        <v>4.0</v>
      </c>
      <c r="H394" s="104">
        <f t="shared" si="1"/>
        <v>0.75</v>
      </c>
      <c r="I394" s="105">
        <f t="shared" si="2"/>
        <v>62.95</v>
      </c>
      <c r="J394" s="106">
        <f t="shared" si="3"/>
        <v>83.93333333</v>
      </c>
      <c r="K394" s="120">
        <v>0.0</v>
      </c>
      <c r="L394" s="103">
        <v>0.0</v>
      </c>
      <c r="M394" s="103">
        <v>0.0</v>
      </c>
      <c r="N394" s="121">
        <v>0.0</v>
      </c>
      <c r="O394" s="109" t="str">
        <f t="shared" ref="O394:O410" si="109">K394/N394</f>
        <v>#DIV/0!</v>
      </c>
      <c r="P394" s="110" t="str">
        <f t="shared" si="5"/>
        <v>#DIV/0!</v>
      </c>
      <c r="Q394" s="109">
        <f t="shared" si="6"/>
        <v>0</v>
      </c>
      <c r="R394" s="111">
        <f t="shared" si="7"/>
        <v>0</v>
      </c>
      <c r="S394" s="122">
        <f t="shared" si="108"/>
        <v>188.85</v>
      </c>
      <c r="T394" s="113" t="str">
        <f t="shared" si="9"/>
        <v>#DIV/0!</v>
      </c>
      <c r="U394" s="172"/>
      <c r="V394" s="172"/>
      <c r="W394" s="172"/>
      <c r="X394" s="172"/>
      <c r="Y394" s="173"/>
      <c r="Z394" s="165"/>
      <c r="AA394" s="165"/>
    </row>
    <row r="395" hidden="1" outlineLevel="1">
      <c r="A395" s="165"/>
      <c r="B395" s="174"/>
      <c r="C395" s="100" t="s">
        <v>65</v>
      </c>
      <c r="D395" s="300">
        <v>0.0</v>
      </c>
      <c r="E395" s="105">
        <v>0.0</v>
      </c>
      <c r="F395" s="103">
        <v>0.0</v>
      </c>
      <c r="G395" s="103">
        <v>0.0</v>
      </c>
      <c r="H395" s="104" t="str">
        <f t="shared" si="1"/>
        <v>#DIV/0!</v>
      </c>
      <c r="I395" s="105" t="str">
        <f t="shared" si="2"/>
        <v>#DIV/0!</v>
      </c>
      <c r="J395" s="106" t="str">
        <f t="shared" si="3"/>
        <v>#DIV/0!</v>
      </c>
      <c r="K395" s="300">
        <v>0.0</v>
      </c>
      <c r="L395" s="103">
        <v>0.0</v>
      </c>
      <c r="M395" s="103">
        <v>0.0</v>
      </c>
      <c r="N395" s="300">
        <v>0.0</v>
      </c>
      <c r="O395" s="109" t="str">
        <f t="shared" si="109"/>
        <v>#DIV/0!</v>
      </c>
      <c r="P395" s="110" t="str">
        <f t="shared" si="5"/>
        <v>#DIV/0!</v>
      </c>
      <c r="Q395" s="109" t="str">
        <f t="shared" si="6"/>
        <v>#DIV/0!</v>
      </c>
      <c r="R395" s="111" t="str">
        <f t="shared" si="7"/>
        <v>#DIV/0!</v>
      </c>
      <c r="S395" s="122">
        <f t="shared" si="108"/>
        <v>0</v>
      </c>
      <c r="T395" s="113" t="str">
        <f t="shared" si="9"/>
        <v>#DIV/0!</v>
      </c>
      <c r="U395" s="172"/>
      <c r="V395" s="172"/>
      <c r="W395" s="172"/>
      <c r="X395" s="172"/>
      <c r="Y395" s="173"/>
      <c r="Z395" s="165"/>
      <c r="AA395" s="165"/>
    </row>
    <row r="396" hidden="1" outlineLevel="1">
      <c r="A396" s="165"/>
      <c r="B396" s="174"/>
      <c r="C396" s="100" t="s">
        <v>85</v>
      </c>
      <c r="D396" s="302">
        <v>0.0</v>
      </c>
      <c r="E396" s="105">
        <v>0.0</v>
      </c>
      <c r="F396" s="103">
        <v>0.0</v>
      </c>
      <c r="G396" s="103">
        <v>0.0</v>
      </c>
      <c r="H396" s="104" t="str">
        <f t="shared" si="1"/>
        <v>#DIV/0!</v>
      </c>
      <c r="I396" s="105" t="str">
        <f t="shared" si="2"/>
        <v>#DIV/0!</v>
      </c>
      <c r="J396" s="106" t="str">
        <f t="shared" si="3"/>
        <v>#DIV/0!</v>
      </c>
      <c r="K396" s="302">
        <v>0.0</v>
      </c>
      <c r="L396" s="103">
        <v>0.0</v>
      </c>
      <c r="M396" s="103">
        <v>0.0</v>
      </c>
      <c r="N396" s="303">
        <v>0.0</v>
      </c>
      <c r="O396" s="109" t="str">
        <f t="shared" si="109"/>
        <v>#DIV/0!</v>
      </c>
      <c r="P396" s="110" t="str">
        <f t="shared" si="5"/>
        <v>#DIV/0!</v>
      </c>
      <c r="Q396" s="109" t="str">
        <f t="shared" si="6"/>
        <v>#DIV/0!</v>
      </c>
      <c r="R396" s="111" t="str">
        <f t="shared" si="7"/>
        <v>#DIV/0!</v>
      </c>
      <c r="S396" s="304">
        <f t="shared" si="108"/>
        <v>0</v>
      </c>
      <c r="T396" s="113" t="str">
        <f t="shared" si="9"/>
        <v>#DIV/0!</v>
      </c>
      <c r="U396" s="172"/>
      <c r="V396" s="172"/>
      <c r="W396" s="172"/>
      <c r="X396" s="172"/>
      <c r="Y396" s="173"/>
      <c r="Z396" s="165"/>
      <c r="AA396" s="165"/>
    </row>
    <row r="397" hidden="1" outlineLevel="1">
      <c r="A397" s="165"/>
      <c r="B397" s="174"/>
      <c r="C397" s="100" t="s">
        <v>36</v>
      </c>
      <c r="D397" s="120">
        <v>69.95</v>
      </c>
      <c r="E397" s="105">
        <v>69.95</v>
      </c>
      <c r="F397" s="103">
        <v>1.0</v>
      </c>
      <c r="G397" s="103">
        <v>1.0</v>
      </c>
      <c r="H397" s="104">
        <f t="shared" si="1"/>
        <v>1</v>
      </c>
      <c r="I397" s="105">
        <f t="shared" si="2"/>
        <v>69.95</v>
      </c>
      <c r="J397" s="106">
        <f t="shared" si="3"/>
        <v>69.95</v>
      </c>
      <c r="K397" s="120">
        <v>16.19</v>
      </c>
      <c r="L397" s="103">
        <v>3961.0</v>
      </c>
      <c r="M397" s="103">
        <v>0.0</v>
      </c>
      <c r="N397" s="121">
        <v>0.0</v>
      </c>
      <c r="O397" s="109" t="str">
        <f t="shared" si="109"/>
        <v>#DIV/0!</v>
      </c>
      <c r="P397" s="110">
        <f t="shared" si="5"/>
        <v>0</v>
      </c>
      <c r="Q397" s="109">
        <f t="shared" si="6"/>
        <v>0.2314510365</v>
      </c>
      <c r="R397" s="111">
        <f t="shared" si="7"/>
        <v>0</v>
      </c>
      <c r="S397" s="122">
        <f t="shared" si="108"/>
        <v>69.95</v>
      </c>
      <c r="T397" s="113" t="str">
        <f t="shared" si="9"/>
        <v>#DIV/0!</v>
      </c>
      <c r="U397" s="172"/>
      <c r="V397" s="172"/>
      <c r="W397" s="172"/>
      <c r="X397" s="172"/>
      <c r="Y397" s="173"/>
      <c r="Z397" s="165"/>
      <c r="AA397" s="165"/>
    </row>
    <row r="398" hidden="1" outlineLevel="1">
      <c r="A398" s="165"/>
      <c r="B398" s="99" t="s">
        <v>37</v>
      </c>
      <c r="C398" s="100" t="s">
        <v>38</v>
      </c>
      <c r="D398" s="123">
        <v>94.85</v>
      </c>
      <c r="E398" s="105">
        <v>54.95</v>
      </c>
      <c r="F398" s="103">
        <v>3.0</v>
      </c>
      <c r="G398" s="103">
        <v>3.0</v>
      </c>
      <c r="H398" s="104">
        <f t="shared" si="1"/>
        <v>1</v>
      </c>
      <c r="I398" s="105">
        <f t="shared" si="2"/>
        <v>31.61666667</v>
      </c>
      <c r="J398" s="106">
        <f t="shared" si="3"/>
        <v>31.61666667</v>
      </c>
      <c r="K398" s="123">
        <v>32.71</v>
      </c>
      <c r="L398" s="103">
        <v>7853.0</v>
      </c>
      <c r="M398" s="103">
        <v>2.0</v>
      </c>
      <c r="N398" s="124">
        <v>59.9</v>
      </c>
      <c r="O398" s="109">
        <f t="shared" si="109"/>
        <v>0.5460767947</v>
      </c>
      <c r="P398" s="110">
        <f t="shared" si="5"/>
        <v>1.831244268</v>
      </c>
      <c r="Q398" s="109">
        <f t="shared" si="6"/>
        <v>0.3448603057</v>
      </c>
      <c r="R398" s="111">
        <f t="shared" si="7"/>
        <v>0.6315234581</v>
      </c>
      <c r="S398" s="125">
        <f t="shared" si="108"/>
        <v>34.95</v>
      </c>
      <c r="T398" s="113">
        <f t="shared" si="9"/>
        <v>16.355</v>
      </c>
      <c r="U398" s="172"/>
      <c r="V398" s="172"/>
      <c r="W398" s="172"/>
      <c r="X398" s="172"/>
      <c r="Y398" s="173"/>
      <c r="Z398" s="165"/>
      <c r="AA398" s="165"/>
    </row>
    <row r="399" hidden="1" outlineLevel="1">
      <c r="A399" s="165"/>
      <c r="B399" s="174"/>
      <c r="C399" s="100" t="s">
        <v>39</v>
      </c>
      <c r="D399" s="126">
        <v>99.95</v>
      </c>
      <c r="E399" s="105">
        <v>99.95</v>
      </c>
      <c r="F399" s="103">
        <v>1.0</v>
      </c>
      <c r="G399" s="103">
        <v>1.0</v>
      </c>
      <c r="H399" s="104">
        <f t="shared" si="1"/>
        <v>1</v>
      </c>
      <c r="I399" s="105">
        <f t="shared" si="2"/>
        <v>99.95</v>
      </c>
      <c r="J399" s="106">
        <f t="shared" si="3"/>
        <v>99.95</v>
      </c>
      <c r="K399" s="126">
        <v>0.0</v>
      </c>
      <c r="L399" s="103">
        <v>0.0</v>
      </c>
      <c r="M399" s="103">
        <v>0.0</v>
      </c>
      <c r="N399" s="127">
        <v>0.0</v>
      </c>
      <c r="O399" s="109" t="str">
        <f t="shared" si="109"/>
        <v>#DIV/0!</v>
      </c>
      <c r="P399" s="110" t="str">
        <f t="shared" si="5"/>
        <v>#DIV/0!</v>
      </c>
      <c r="Q399" s="109">
        <f t="shared" si="6"/>
        <v>0</v>
      </c>
      <c r="R399" s="111">
        <f t="shared" si="7"/>
        <v>0</v>
      </c>
      <c r="S399" s="128">
        <f t="shared" si="108"/>
        <v>99.95</v>
      </c>
      <c r="T399" s="113" t="str">
        <f t="shared" si="9"/>
        <v>#DIV/0!</v>
      </c>
      <c r="U399" s="172"/>
      <c r="V399" s="172"/>
      <c r="W399" s="172"/>
      <c r="X399" s="172"/>
      <c r="Y399" s="173"/>
      <c r="Z399" s="165"/>
      <c r="AA399" s="165"/>
    </row>
    <row r="400" hidden="1" outlineLevel="1">
      <c r="A400" s="165"/>
      <c r="B400" s="174"/>
      <c r="C400" s="100" t="s">
        <v>40</v>
      </c>
      <c r="D400" s="129">
        <v>0.0</v>
      </c>
      <c r="E400" s="105">
        <v>0.0</v>
      </c>
      <c r="F400" s="103">
        <v>0.0</v>
      </c>
      <c r="G400" s="103">
        <v>0.0</v>
      </c>
      <c r="H400" s="104" t="str">
        <f t="shared" si="1"/>
        <v>#DIV/0!</v>
      </c>
      <c r="I400" s="105" t="str">
        <f t="shared" si="2"/>
        <v>#DIV/0!</v>
      </c>
      <c r="J400" s="106" t="str">
        <f t="shared" si="3"/>
        <v>#DIV/0!</v>
      </c>
      <c r="K400" s="129">
        <v>0.0</v>
      </c>
      <c r="L400" s="103">
        <v>0.0</v>
      </c>
      <c r="M400" s="103">
        <v>0.0</v>
      </c>
      <c r="N400" s="130">
        <v>0.0</v>
      </c>
      <c r="O400" s="109" t="str">
        <f t="shared" si="109"/>
        <v>#DIV/0!</v>
      </c>
      <c r="P400" s="110" t="str">
        <f t="shared" si="5"/>
        <v>#DIV/0!</v>
      </c>
      <c r="Q400" s="109" t="str">
        <f t="shared" si="6"/>
        <v>#DIV/0!</v>
      </c>
      <c r="R400" s="111" t="str">
        <f t="shared" si="7"/>
        <v>#DIV/0!</v>
      </c>
      <c r="S400" s="131">
        <f t="shared" si="108"/>
        <v>0</v>
      </c>
      <c r="T400" s="113" t="str">
        <f t="shared" si="9"/>
        <v>#DIV/0!</v>
      </c>
      <c r="U400" s="172"/>
      <c r="V400" s="172"/>
      <c r="W400" s="172"/>
      <c r="X400" s="172"/>
      <c r="Y400" s="173"/>
      <c r="Z400" s="165"/>
      <c r="AA400" s="165"/>
    </row>
    <row r="401" hidden="1" outlineLevel="1">
      <c r="A401" s="165"/>
      <c r="B401" s="174"/>
      <c r="C401" s="100" t="s">
        <v>41</v>
      </c>
      <c r="D401" s="132">
        <v>0.0</v>
      </c>
      <c r="E401" s="105">
        <v>0.0</v>
      </c>
      <c r="F401" s="103">
        <v>0.0</v>
      </c>
      <c r="G401" s="103">
        <v>0.0</v>
      </c>
      <c r="H401" s="104" t="str">
        <f t="shared" si="1"/>
        <v>#DIV/0!</v>
      </c>
      <c r="I401" s="105" t="str">
        <f t="shared" si="2"/>
        <v>#DIV/0!</v>
      </c>
      <c r="J401" s="106" t="str">
        <f t="shared" si="3"/>
        <v>#DIV/0!</v>
      </c>
      <c r="K401" s="132">
        <v>0.0</v>
      </c>
      <c r="L401" s="103">
        <v>0.0</v>
      </c>
      <c r="M401" s="103">
        <v>0.0</v>
      </c>
      <c r="N401" s="133">
        <v>0.0</v>
      </c>
      <c r="O401" s="109" t="str">
        <f t="shared" si="109"/>
        <v>#DIV/0!</v>
      </c>
      <c r="P401" s="110" t="str">
        <f t="shared" si="5"/>
        <v>#DIV/0!</v>
      </c>
      <c r="Q401" s="109" t="str">
        <f t="shared" si="6"/>
        <v>#DIV/0!</v>
      </c>
      <c r="R401" s="111" t="str">
        <f t="shared" si="7"/>
        <v>#DIV/0!</v>
      </c>
      <c r="S401" s="134">
        <f t="shared" si="108"/>
        <v>0</v>
      </c>
      <c r="T401" s="113" t="str">
        <f t="shared" si="9"/>
        <v>#DIV/0!</v>
      </c>
      <c r="U401" s="172"/>
      <c r="V401" s="172"/>
      <c r="W401" s="172"/>
      <c r="X401" s="172"/>
      <c r="Y401" s="173"/>
      <c r="Z401" s="165"/>
      <c r="AA401" s="165"/>
    </row>
    <row r="402" hidden="1" outlineLevel="1">
      <c r="A402" s="165"/>
      <c r="B402" s="174"/>
      <c r="C402" s="100" t="s">
        <v>42</v>
      </c>
      <c r="D402" s="120">
        <v>89.95</v>
      </c>
      <c r="E402" s="105">
        <v>14.99</v>
      </c>
      <c r="F402" s="103">
        <v>5.0</v>
      </c>
      <c r="G402" s="103">
        <v>6.0</v>
      </c>
      <c r="H402" s="104">
        <f t="shared" si="1"/>
        <v>0.8333333333</v>
      </c>
      <c r="I402" s="105">
        <f t="shared" si="2"/>
        <v>17.99</v>
      </c>
      <c r="J402" s="106">
        <f t="shared" si="3"/>
        <v>21.588</v>
      </c>
      <c r="K402" s="120">
        <v>2.2</v>
      </c>
      <c r="L402" s="103">
        <v>10936.0</v>
      </c>
      <c r="M402" s="103">
        <v>1.0</v>
      </c>
      <c r="N402" s="121">
        <v>19.99</v>
      </c>
      <c r="O402" s="109">
        <f t="shared" si="109"/>
        <v>0.1100550275</v>
      </c>
      <c r="P402" s="110">
        <f t="shared" si="5"/>
        <v>9.086363636</v>
      </c>
      <c r="Q402" s="109">
        <f t="shared" si="6"/>
        <v>0.02445803224</v>
      </c>
      <c r="R402" s="111">
        <f t="shared" si="7"/>
        <v>0.2222345748</v>
      </c>
      <c r="S402" s="122">
        <f t="shared" si="108"/>
        <v>69.96</v>
      </c>
      <c r="T402" s="113">
        <f t="shared" si="9"/>
        <v>2.2</v>
      </c>
      <c r="U402" s="172"/>
      <c r="V402" s="172"/>
      <c r="W402" s="172"/>
      <c r="X402" s="172"/>
      <c r="Y402" s="173"/>
      <c r="Z402" s="165"/>
      <c r="AA402" s="165"/>
    </row>
    <row r="403" hidden="1" outlineLevel="1">
      <c r="A403" s="165"/>
      <c r="B403" s="174"/>
      <c r="C403" s="100" t="s">
        <v>43</v>
      </c>
      <c r="D403" s="135">
        <v>503.95</v>
      </c>
      <c r="E403" s="105">
        <v>177.47</v>
      </c>
      <c r="F403" s="103">
        <v>3.0</v>
      </c>
      <c r="G403" s="103">
        <v>3.0</v>
      </c>
      <c r="H403" s="104">
        <f t="shared" si="1"/>
        <v>1</v>
      </c>
      <c r="I403" s="105">
        <f t="shared" si="2"/>
        <v>167.9833333</v>
      </c>
      <c r="J403" s="106">
        <f t="shared" si="3"/>
        <v>167.9833333</v>
      </c>
      <c r="K403" s="135">
        <v>16.27</v>
      </c>
      <c r="L403" s="103">
        <v>21623.0</v>
      </c>
      <c r="M403" s="103">
        <v>0.0</v>
      </c>
      <c r="N403" s="136">
        <v>0.0</v>
      </c>
      <c r="O403" s="109" t="str">
        <f t="shared" si="109"/>
        <v>#DIV/0!</v>
      </c>
      <c r="P403" s="110">
        <f t="shared" si="5"/>
        <v>0</v>
      </c>
      <c r="Q403" s="109">
        <f t="shared" si="6"/>
        <v>0.0322849489</v>
      </c>
      <c r="R403" s="111">
        <f t="shared" si="7"/>
        <v>0</v>
      </c>
      <c r="S403" s="137">
        <f t="shared" si="108"/>
        <v>503.95</v>
      </c>
      <c r="T403" s="113" t="str">
        <f t="shared" si="9"/>
        <v>#DIV/0!</v>
      </c>
      <c r="U403" s="172"/>
      <c r="V403" s="172"/>
      <c r="W403" s="172"/>
      <c r="X403" s="172"/>
      <c r="Y403" s="173"/>
      <c r="Z403" s="165"/>
      <c r="AA403" s="165"/>
    </row>
    <row r="404" hidden="1" outlineLevel="1">
      <c r="A404" s="165"/>
      <c r="B404" s="174"/>
      <c r="C404" s="100" t="s">
        <v>44</v>
      </c>
      <c r="D404" s="138">
        <v>234.75</v>
      </c>
      <c r="E404" s="105">
        <v>47.62</v>
      </c>
      <c r="F404" s="103">
        <v>5.0</v>
      </c>
      <c r="G404" s="103">
        <v>6.0</v>
      </c>
      <c r="H404" s="104">
        <f t="shared" si="1"/>
        <v>0.8333333333</v>
      </c>
      <c r="I404" s="105">
        <f t="shared" si="2"/>
        <v>46.95</v>
      </c>
      <c r="J404" s="106">
        <f t="shared" si="3"/>
        <v>56.34</v>
      </c>
      <c r="K404" s="138">
        <v>35.75</v>
      </c>
      <c r="L404" s="103">
        <v>10309.0</v>
      </c>
      <c r="M404" s="103">
        <v>5.0</v>
      </c>
      <c r="N404" s="139">
        <v>234.75</v>
      </c>
      <c r="O404" s="109">
        <f t="shared" si="109"/>
        <v>0.1522896699</v>
      </c>
      <c r="P404" s="110">
        <f t="shared" si="5"/>
        <v>6.566433566</v>
      </c>
      <c r="Q404" s="109">
        <f t="shared" si="6"/>
        <v>0.1522896699</v>
      </c>
      <c r="R404" s="111">
        <f t="shared" si="7"/>
        <v>1</v>
      </c>
      <c r="S404" s="140">
        <f t="shared" si="108"/>
        <v>0</v>
      </c>
      <c r="T404" s="113">
        <f t="shared" si="9"/>
        <v>7.15</v>
      </c>
      <c r="U404" s="172"/>
      <c r="V404" s="172"/>
      <c r="W404" s="172"/>
      <c r="X404" s="172"/>
      <c r="Y404" s="173"/>
      <c r="Z404" s="165"/>
      <c r="AA404" s="165"/>
    </row>
    <row r="405" hidden="1" outlineLevel="1">
      <c r="A405" s="192"/>
      <c r="B405" s="174"/>
      <c r="C405" s="142" t="s">
        <v>45</v>
      </c>
      <c r="D405" s="101">
        <v>0.0</v>
      </c>
      <c r="E405" s="105">
        <v>0.0</v>
      </c>
      <c r="F405" s="103">
        <v>0.0</v>
      </c>
      <c r="G405" s="103">
        <v>0.0</v>
      </c>
      <c r="H405" s="104" t="str">
        <f t="shared" si="1"/>
        <v>#DIV/0!</v>
      </c>
      <c r="I405" s="105" t="str">
        <f t="shared" si="2"/>
        <v>#DIV/0!</v>
      </c>
      <c r="J405" s="106" t="str">
        <f t="shared" si="3"/>
        <v>#DIV/0!</v>
      </c>
      <c r="K405" s="101">
        <v>0.0</v>
      </c>
      <c r="L405" s="103">
        <v>0.0</v>
      </c>
      <c r="M405" s="103">
        <v>0.0</v>
      </c>
      <c r="N405" s="108">
        <v>0.0</v>
      </c>
      <c r="O405" s="109" t="str">
        <f t="shared" si="109"/>
        <v>#DIV/0!</v>
      </c>
      <c r="P405" s="110" t="str">
        <f t="shared" si="5"/>
        <v>#DIV/0!</v>
      </c>
      <c r="Q405" s="109" t="str">
        <f t="shared" si="6"/>
        <v>#DIV/0!</v>
      </c>
      <c r="R405" s="111" t="str">
        <f t="shared" si="7"/>
        <v>#DIV/0!</v>
      </c>
      <c r="S405" s="112">
        <f t="shared" si="108"/>
        <v>0</v>
      </c>
      <c r="T405" s="113" t="str">
        <f t="shared" si="9"/>
        <v>#DIV/0!</v>
      </c>
      <c r="U405" s="193"/>
      <c r="V405" s="193"/>
      <c r="W405" s="193"/>
      <c r="X405" s="194"/>
      <c r="Y405" s="195"/>
      <c r="Z405" s="165"/>
      <c r="AA405" s="165"/>
    </row>
    <row r="406" hidden="1" outlineLevel="1">
      <c r="A406" s="165"/>
      <c r="B406" s="174"/>
      <c r="C406" s="100" t="s">
        <v>46</v>
      </c>
      <c r="D406" s="146">
        <v>539.4</v>
      </c>
      <c r="E406" s="105">
        <v>44.95</v>
      </c>
      <c r="F406" s="103">
        <v>12.0</v>
      </c>
      <c r="G406" s="103">
        <v>11.0</v>
      </c>
      <c r="H406" s="104">
        <f t="shared" si="1"/>
        <v>1.090909091</v>
      </c>
      <c r="I406" s="105">
        <f t="shared" si="2"/>
        <v>44.95</v>
      </c>
      <c r="J406" s="106">
        <f t="shared" si="3"/>
        <v>41.20416667</v>
      </c>
      <c r="K406" s="146">
        <v>72.54</v>
      </c>
      <c r="L406" s="103">
        <v>29062.0</v>
      </c>
      <c r="M406" s="103">
        <v>11.0</v>
      </c>
      <c r="N406" s="147">
        <v>494.45</v>
      </c>
      <c r="O406" s="109">
        <f t="shared" si="109"/>
        <v>0.1467084639</v>
      </c>
      <c r="P406" s="110">
        <f t="shared" si="5"/>
        <v>6.816239316</v>
      </c>
      <c r="Q406" s="109">
        <f t="shared" si="6"/>
        <v>0.1344827586</v>
      </c>
      <c r="R406" s="111">
        <f t="shared" si="7"/>
        <v>0.9166666667</v>
      </c>
      <c r="S406" s="112">
        <f t="shared" si="108"/>
        <v>44.95</v>
      </c>
      <c r="T406" s="113">
        <f t="shared" si="9"/>
        <v>6.594545455</v>
      </c>
      <c r="U406" s="172"/>
      <c r="V406" s="172"/>
      <c r="W406" s="172"/>
      <c r="X406" s="172"/>
      <c r="Y406" s="173"/>
      <c r="Z406" s="165"/>
      <c r="AA406" s="165"/>
    </row>
    <row r="407" hidden="1" outlineLevel="1">
      <c r="A407" s="148" t="str">
        <f t="shared" ref="A407:A408" si="110">iferror(if(B407&gt;0,month(B407)&amp;"-"&amp;year(B407),B407),)</f>
        <v>5-2025</v>
      </c>
      <c r="B407" s="99">
        <v>45794.0</v>
      </c>
      <c r="C407" s="100" t="s">
        <v>49</v>
      </c>
      <c r="D407" s="146">
        <v>0.0</v>
      </c>
      <c r="E407" s="105">
        <v>0.0</v>
      </c>
      <c r="F407" s="103">
        <v>0.0</v>
      </c>
      <c r="G407" s="103">
        <v>0.0</v>
      </c>
      <c r="H407" s="104" t="str">
        <f t="shared" si="1"/>
        <v>#DIV/0!</v>
      </c>
      <c r="I407" s="105" t="str">
        <f t="shared" si="2"/>
        <v>#DIV/0!</v>
      </c>
      <c r="J407" s="106" t="str">
        <f t="shared" si="3"/>
        <v>#DIV/0!</v>
      </c>
      <c r="K407" s="146">
        <v>1.14</v>
      </c>
      <c r="L407" s="103">
        <v>5553.0</v>
      </c>
      <c r="M407" s="103">
        <v>0.0</v>
      </c>
      <c r="N407" s="147">
        <v>0.0</v>
      </c>
      <c r="O407" s="109" t="str">
        <f t="shared" si="109"/>
        <v>#DIV/0!</v>
      </c>
      <c r="P407" s="110">
        <f t="shared" si="5"/>
        <v>0</v>
      </c>
      <c r="Q407" s="109" t="str">
        <f t="shared" si="6"/>
        <v>#DIV/0!</v>
      </c>
      <c r="R407" s="111" t="str">
        <f t="shared" si="7"/>
        <v>#DIV/0!</v>
      </c>
      <c r="S407" s="112">
        <f t="shared" si="108"/>
        <v>0</v>
      </c>
      <c r="T407" s="113" t="str">
        <f t="shared" si="9"/>
        <v>#DIV/0!</v>
      </c>
      <c r="U407" s="172"/>
      <c r="V407" s="172"/>
      <c r="W407" s="172"/>
      <c r="X407" s="172"/>
      <c r="Y407" s="173"/>
      <c r="Z407" s="165"/>
      <c r="AA407" s="165"/>
    </row>
    <row r="408" collapsed="1">
      <c r="A408" s="165" t="str">
        <f t="shared" si="110"/>
        <v/>
      </c>
      <c r="B408" s="80" t="s">
        <v>107</v>
      </c>
      <c r="C408" s="201"/>
      <c r="D408" s="151">
        <f>SUM(D391:D407)</f>
        <v>4158.26</v>
      </c>
      <c r="E408" s="400"/>
      <c r="F408" s="153">
        <f t="shared" ref="F408:G408" si="111">SUM(F391:F407)</f>
        <v>43</v>
      </c>
      <c r="G408" s="153">
        <f t="shared" si="111"/>
        <v>53</v>
      </c>
      <c r="H408" s="154">
        <f t="shared" si="1"/>
        <v>0.8113207547</v>
      </c>
      <c r="I408" s="155">
        <f t="shared" si="2"/>
        <v>96.70372093</v>
      </c>
      <c r="J408" s="156">
        <f t="shared" si="3"/>
        <v>119.1929584</v>
      </c>
      <c r="K408" s="151">
        <f t="shared" ref="K408:N408" si="112">SUM(K391:K407)</f>
        <v>571.25</v>
      </c>
      <c r="L408" s="153">
        <f t="shared" si="112"/>
        <v>251921</v>
      </c>
      <c r="M408" s="153">
        <f t="shared" si="112"/>
        <v>23</v>
      </c>
      <c r="N408" s="157">
        <f t="shared" si="112"/>
        <v>1847.99</v>
      </c>
      <c r="O408" s="158">
        <f t="shared" si="109"/>
        <v>0.3091196381</v>
      </c>
      <c r="P408" s="159">
        <f t="shared" si="5"/>
        <v>3.234993435</v>
      </c>
      <c r="Q408" s="158">
        <f t="shared" si="6"/>
        <v>0.1373771722</v>
      </c>
      <c r="R408" s="160">
        <f t="shared" si="7"/>
        <v>0.4444142502</v>
      </c>
      <c r="S408" s="161">
        <f>SUM(S391:S407)</f>
        <v>2310.27</v>
      </c>
      <c r="T408" s="162">
        <f t="shared" si="9"/>
        <v>24.83695652</v>
      </c>
      <c r="U408" s="399">
        <f>IFERROR((D408-D246)/D408,)</f>
        <v>-0.8231952788</v>
      </c>
      <c r="V408" s="399">
        <f>IFERROR((F408-F246)/F408,)</f>
        <v>-1.186046512</v>
      </c>
      <c r="W408" s="398" t="str">
        <f>IFERROR((D408-monthly_reporting_2021!E199)/D408, )</f>
        <v/>
      </c>
      <c r="X408" s="398" t="str">
        <f>IFERROR((F408-monthly_reporting_2021!F199)/F408, )</f>
        <v/>
      </c>
      <c r="Y408" s="165"/>
      <c r="Z408" s="165"/>
      <c r="AA408" s="165"/>
    </row>
    <row r="409" hidden="1" outlineLevel="1">
      <c r="A409" s="165"/>
      <c r="B409" s="99">
        <v>45795.0</v>
      </c>
      <c r="C409" s="100" t="s">
        <v>32</v>
      </c>
      <c r="D409" s="101">
        <v>2645.88</v>
      </c>
      <c r="E409" s="105">
        <v>132.21</v>
      </c>
      <c r="F409" s="103">
        <v>13.0</v>
      </c>
      <c r="G409" s="103">
        <v>15.0</v>
      </c>
      <c r="H409" s="104">
        <f t="shared" si="1"/>
        <v>0.8666666667</v>
      </c>
      <c r="I409" s="105">
        <f t="shared" si="2"/>
        <v>203.5292308</v>
      </c>
      <c r="J409" s="106">
        <f t="shared" si="3"/>
        <v>234.8414201</v>
      </c>
      <c r="K409" s="107">
        <v>245.75</v>
      </c>
      <c r="L409" s="103">
        <v>84992.0</v>
      </c>
      <c r="M409" s="103">
        <v>6.0</v>
      </c>
      <c r="N409" s="108">
        <v>2178.85</v>
      </c>
      <c r="O409" s="109">
        <f t="shared" si="109"/>
        <v>0.1127888565</v>
      </c>
      <c r="P409" s="110">
        <f t="shared" si="5"/>
        <v>8.86612411</v>
      </c>
      <c r="Q409" s="109">
        <f t="shared" si="6"/>
        <v>0.09288025156</v>
      </c>
      <c r="R409" s="111">
        <f t="shared" si="7"/>
        <v>0.8234878377</v>
      </c>
      <c r="S409" s="112">
        <f t="shared" ref="S409:S425" si="113">D409-N409</f>
        <v>467.03</v>
      </c>
      <c r="T409" s="113">
        <f t="shared" si="9"/>
        <v>40.95833333</v>
      </c>
      <c r="U409" s="172"/>
      <c r="V409" s="172"/>
      <c r="W409" s="172"/>
      <c r="X409" s="172"/>
      <c r="Y409" s="173"/>
      <c r="Z409" s="165"/>
      <c r="AA409" s="165"/>
    </row>
    <row r="410" hidden="1" outlineLevel="1">
      <c r="A410" s="165"/>
      <c r="B410" s="174"/>
      <c r="C410" s="100" t="s">
        <v>33</v>
      </c>
      <c r="D410" s="117">
        <v>2429.4</v>
      </c>
      <c r="E410" s="105">
        <v>215.26</v>
      </c>
      <c r="F410" s="103">
        <v>22.0</v>
      </c>
      <c r="G410" s="103">
        <v>19.0</v>
      </c>
      <c r="H410" s="104">
        <f t="shared" si="1"/>
        <v>1.157894737</v>
      </c>
      <c r="I410" s="105">
        <f t="shared" si="2"/>
        <v>110.4272727</v>
      </c>
      <c r="J410" s="106">
        <f t="shared" si="3"/>
        <v>95.36900826</v>
      </c>
      <c r="K410" s="117">
        <v>225.91</v>
      </c>
      <c r="L410" s="103">
        <v>82622.0</v>
      </c>
      <c r="M410" s="103">
        <v>3.0</v>
      </c>
      <c r="N410" s="118">
        <v>770.0</v>
      </c>
      <c r="O410" s="109">
        <f t="shared" si="109"/>
        <v>0.2933896104</v>
      </c>
      <c r="P410" s="110">
        <f t="shared" si="5"/>
        <v>3.408436988</v>
      </c>
      <c r="Q410" s="109">
        <f t="shared" si="6"/>
        <v>0.09299003869</v>
      </c>
      <c r="R410" s="111">
        <f t="shared" si="7"/>
        <v>0.3169506874</v>
      </c>
      <c r="S410" s="119">
        <f t="shared" si="113"/>
        <v>1659.4</v>
      </c>
      <c r="T410" s="113">
        <f t="shared" si="9"/>
        <v>75.30333333</v>
      </c>
      <c r="U410" s="172"/>
      <c r="V410" s="172"/>
      <c r="W410" s="172"/>
      <c r="X410" s="172"/>
      <c r="Y410" s="173"/>
      <c r="Z410" s="165"/>
      <c r="AA410" s="165"/>
    </row>
    <row r="411" hidden="1" outlineLevel="1">
      <c r="A411" s="165"/>
      <c r="B411" s="174"/>
      <c r="C411" s="100" t="s">
        <v>34</v>
      </c>
      <c r="D411" s="120">
        <v>0.0</v>
      </c>
      <c r="E411" s="105">
        <v>0.0</v>
      </c>
      <c r="F411" s="103">
        <v>0.0</v>
      </c>
      <c r="G411" s="103">
        <v>0.0</v>
      </c>
      <c r="H411" s="104" t="str">
        <f t="shared" si="1"/>
        <v>#DIV/0!</v>
      </c>
      <c r="I411" s="105" t="str">
        <f t="shared" si="2"/>
        <v>#DIV/0!</v>
      </c>
      <c r="J411" s="106" t="str">
        <f t="shared" si="3"/>
        <v>#DIV/0!</v>
      </c>
      <c r="K411" s="120">
        <v>0.0</v>
      </c>
      <c r="L411" s="103">
        <v>0.0</v>
      </c>
      <c r="M411" s="103">
        <v>0.0</v>
      </c>
      <c r="N411" s="121">
        <v>0.0</v>
      </c>
      <c r="O411" s="109" t="str">
        <f>(K411/N411)</f>
        <v>#DIV/0!</v>
      </c>
      <c r="P411" s="110" t="str">
        <f t="shared" si="5"/>
        <v>#DIV/0!</v>
      </c>
      <c r="Q411" s="109" t="str">
        <f t="shared" si="6"/>
        <v>#DIV/0!</v>
      </c>
      <c r="R411" s="111" t="str">
        <f t="shared" si="7"/>
        <v>#DIV/0!</v>
      </c>
      <c r="S411" s="122">
        <f t="shared" si="113"/>
        <v>0</v>
      </c>
      <c r="T411" s="113" t="str">
        <f t="shared" si="9"/>
        <v>#DIV/0!</v>
      </c>
      <c r="U411" s="172"/>
      <c r="V411" s="172"/>
      <c r="W411" s="172"/>
      <c r="X411" s="172"/>
      <c r="Y411" s="173"/>
      <c r="Z411" s="165"/>
      <c r="AA411" s="165"/>
    </row>
    <row r="412" hidden="1" outlineLevel="1">
      <c r="A412" s="165"/>
      <c r="B412" s="174"/>
      <c r="C412" s="100" t="s">
        <v>35</v>
      </c>
      <c r="D412" s="120">
        <v>0.0</v>
      </c>
      <c r="E412" s="105">
        <v>0.0</v>
      </c>
      <c r="F412" s="103">
        <v>0.0</v>
      </c>
      <c r="G412" s="103">
        <v>0.0</v>
      </c>
      <c r="H412" s="104" t="str">
        <f t="shared" si="1"/>
        <v>#DIV/0!</v>
      </c>
      <c r="I412" s="105" t="str">
        <f t="shared" si="2"/>
        <v>#DIV/0!</v>
      </c>
      <c r="J412" s="106" t="str">
        <f t="shared" si="3"/>
        <v>#DIV/0!</v>
      </c>
      <c r="K412" s="120">
        <v>0.0</v>
      </c>
      <c r="L412" s="103">
        <v>0.0</v>
      </c>
      <c r="M412" s="103">
        <v>0.0</v>
      </c>
      <c r="N412" s="121">
        <v>0.0</v>
      </c>
      <c r="O412" s="109" t="str">
        <f t="shared" ref="O412:O428" si="114">K412/N412</f>
        <v>#DIV/0!</v>
      </c>
      <c r="P412" s="110" t="str">
        <f t="shared" si="5"/>
        <v>#DIV/0!</v>
      </c>
      <c r="Q412" s="109" t="str">
        <f t="shared" si="6"/>
        <v>#DIV/0!</v>
      </c>
      <c r="R412" s="111" t="str">
        <f t="shared" si="7"/>
        <v>#DIV/0!</v>
      </c>
      <c r="S412" s="122">
        <f t="shared" si="113"/>
        <v>0</v>
      </c>
      <c r="T412" s="113" t="str">
        <f t="shared" si="9"/>
        <v>#DIV/0!</v>
      </c>
      <c r="U412" s="172"/>
      <c r="V412" s="172"/>
      <c r="W412" s="172"/>
      <c r="X412" s="172"/>
      <c r="Y412" s="173"/>
      <c r="Z412" s="165"/>
      <c r="AA412" s="165"/>
    </row>
    <row r="413" hidden="1" outlineLevel="1">
      <c r="A413" s="165"/>
      <c r="B413" s="174"/>
      <c r="C413" s="100" t="s">
        <v>65</v>
      </c>
      <c r="D413" s="300">
        <v>0.0</v>
      </c>
      <c r="E413" s="105">
        <v>0.0</v>
      </c>
      <c r="F413" s="103">
        <v>0.0</v>
      </c>
      <c r="G413" s="103">
        <v>0.0</v>
      </c>
      <c r="H413" s="104" t="str">
        <f t="shared" si="1"/>
        <v>#DIV/0!</v>
      </c>
      <c r="I413" s="105" t="str">
        <f t="shared" si="2"/>
        <v>#DIV/0!</v>
      </c>
      <c r="J413" s="106" t="str">
        <f t="shared" si="3"/>
        <v>#DIV/0!</v>
      </c>
      <c r="K413" s="300">
        <v>0.0</v>
      </c>
      <c r="L413" s="103">
        <v>0.0</v>
      </c>
      <c r="M413" s="103">
        <v>0.0</v>
      </c>
      <c r="N413" s="300">
        <v>0.0</v>
      </c>
      <c r="O413" s="109" t="str">
        <f t="shared" si="114"/>
        <v>#DIV/0!</v>
      </c>
      <c r="P413" s="110" t="str">
        <f t="shared" si="5"/>
        <v>#DIV/0!</v>
      </c>
      <c r="Q413" s="109" t="str">
        <f t="shared" si="6"/>
        <v>#DIV/0!</v>
      </c>
      <c r="R413" s="111" t="str">
        <f t="shared" si="7"/>
        <v>#DIV/0!</v>
      </c>
      <c r="S413" s="122">
        <f t="shared" si="113"/>
        <v>0</v>
      </c>
      <c r="T413" s="113" t="str">
        <f t="shared" si="9"/>
        <v>#DIV/0!</v>
      </c>
      <c r="U413" s="172"/>
      <c r="V413" s="172"/>
      <c r="W413" s="172"/>
      <c r="X413" s="172"/>
      <c r="Y413" s="173"/>
      <c r="Z413" s="165"/>
      <c r="AA413" s="165"/>
    </row>
    <row r="414" hidden="1" outlineLevel="1">
      <c r="A414" s="165"/>
      <c r="B414" s="174"/>
      <c r="C414" s="100" t="s">
        <v>85</v>
      </c>
      <c r="D414" s="302">
        <v>0.0</v>
      </c>
      <c r="E414" s="105">
        <v>0.0</v>
      </c>
      <c r="F414" s="103">
        <v>0.0</v>
      </c>
      <c r="G414" s="103">
        <v>0.0</v>
      </c>
      <c r="H414" s="104" t="str">
        <f t="shared" si="1"/>
        <v>#DIV/0!</v>
      </c>
      <c r="I414" s="105" t="str">
        <f t="shared" si="2"/>
        <v>#DIV/0!</v>
      </c>
      <c r="J414" s="106" t="str">
        <f t="shared" si="3"/>
        <v>#DIV/0!</v>
      </c>
      <c r="K414" s="302">
        <v>0.0</v>
      </c>
      <c r="L414" s="103">
        <v>0.0</v>
      </c>
      <c r="M414" s="103">
        <v>0.0</v>
      </c>
      <c r="N414" s="303">
        <v>0.0</v>
      </c>
      <c r="O414" s="109" t="str">
        <f t="shared" si="114"/>
        <v>#DIV/0!</v>
      </c>
      <c r="P414" s="110" t="str">
        <f t="shared" si="5"/>
        <v>#DIV/0!</v>
      </c>
      <c r="Q414" s="109" t="str">
        <f t="shared" si="6"/>
        <v>#DIV/0!</v>
      </c>
      <c r="R414" s="111" t="str">
        <f t="shared" si="7"/>
        <v>#DIV/0!</v>
      </c>
      <c r="S414" s="304">
        <f t="shared" si="113"/>
        <v>0</v>
      </c>
      <c r="T414" s="113" t="str">
        <f t="shared" si="9"/>
        <v>#DIV/0!</v>
      </c>
      <c r="U414" s="172"/>
      <c r="V414" s="172"/>
      <c r="W414" s="172"/>
      <c r="X414" s="172"/>
      <c r="Y414" s="173"/>
      <c r="Z414" s="165"/>
      <c r="AA414" s="165"/>
    </row>
    <row r="415" hidden="1" outlineLevel="1">
      <c r="A415" s="165"/>
      <c r="B415" s="174"/>
      <c r="C415" s="100" t="s">
        <v>36</v>
      </c>
      <c r="D415" s="120">
        <v>279.8</v>
      </c>
      <c r="E415" s="105">
        <v>69.95</v>
      </c>
      <c r="F415" s="103">
        <v>4.0</v>
      </c>
      <c r="G415" s="103">
        <v>5.0</v>
      </c>
      <c r="H415" s="104">
        <f t="shared" si="1"/>
        <v>0.8</v>
      </c>
      <c r="I415" s="105">
        <f t="shared" si="2"/>
        <v>69.95</v>
      </c>
      <c r="J415" s="106">
        <f t="shared" si="3"/>
        <v>87.4375</v>
      </c>
      <c r="K415" s="120">
        <v>14.08</v>
      </c>
      <c r="L415" s="103">
        <v>1814.0</v>
      </c>
      <c r="M415" s="103">
        <v>1.0</v>
      </c>
      <c r="N415" s="121">
        <v>69.95</v>
      </c>
      <c r="O415" s="109">
        <f t="shared" si="114"/>
        <v>0.2012866333</v>
      </c>
      <c r="P415" s="110">
        <f t="shared" si="5"/>
        <v>4.968039773</v>
      </c>
      <c r="Q415" s="109">
        <f t="shared" si="6"/>
        <v>0.05032165833</v>
      </c>
      <c r="R415" s="111">
        <f t="shared" si="7"/>
        <v>0.25</v>
      </c>
      <c r="S415" s="122">
        <f t="shared" si="113"/>
        <v>209.85</v>
      </c>
      <c r="T415" s="113">
        <f t="shared" si="9"/>
        <v>14.08</v>
      </c>
      <c r="U415" s="172"/>
      <c r="V415" s="172"/>
      <c r="W415" s="172"/>
      <c r="X415" s="172"/>
      <c r="Y415" s="173"/>
      <c r="Z415" s="165"/>
      <c r="AA415" s="165"/>
    </row>
    <row r="416" hidden="1" outlineLevel="1">
      <c r="A416" s="165"/>
      <c r="B416" s="99" t="s">
        <v>37</v>
      </c>
      <c r="C416" s="100" t="s">
        <v>38</v>
      </c>
      <c r="D416" s="123">
        <v>29.95</v>
      </c>
      <c r="E416" s="105">
        <v>29.95</v>
      </c>
      <c r="F416" s="103">
        <v>1.0</v>
      </c>
      <c r="G416" s="103">
        <v>1.0</v>
      </c>
      <c r="H416" s="104">
        <f t="shared" si="1"/>
        <v>1</v>
      </c>
      <c r="I416" s="105">
        <f t="shared" si="2"/>
        <v>29.95</v>
      </c>
      <c r="J416" s="106">
        <f t="shared" si="3"/>
        <v>29.95</v>
      </c>
      <c r="K416" s="123">
        <v>40.41</v>
      </c>
      <c r="L416" s="103">
        <v>15078.0</v>
      </c>
      <c r="M416" s="103">
        <v>1.0</v>
      </c>
      <c r="N416" s="124">
        <v>29.95</v>
      </c>
      <c r="O416" s="109">
        <f t="shared" si="114"/>
        <v>1.349248748</v>
      </c>
      <c r="P416" s="110">
        <f t="shared" si="5"/>
        <v>0.7411531799</v>
      </c>
      <c r="Q416" s="109">
        <f t="shared" si="6"/>
        <v>1.349248748</v>
      </c>
      <c r="R416" s="111">
        <f t="shared" si="7"/>
        <v>1</v>
      </c>
      <c r="S416" s="125">
        <f t="shared" si="113"/>
        <v>0</v>
      </c>
      <c r="T416" s="113">
        <f t="shared" si="9"/>
        <v>40.41</v>
      </c>
      <c r="U416" s="172"/>
      <c r="V416" s="172"/>
      <c r="W416" s="172"/>
      <c r="X416" s="172"/>
      <c r="Y416" s="173"/>
      <c r="Z416" s="165"/>
      <c r="AA416" s="165"/>
    </row>
    <row r="417" hidden="1" outlineLevel="1">
      <c r="A417" s="165"/>
      <c r="B417" s="174"/>
      <c r="C417" s="100" t="s">
        <v>39</v>
      </c>
      <c r="D417" s="126">
        <v>24.95</v>
      </c>
      <c r="E417" s="105">
        <v>24.95</v>
      </c>
      <c r="F417" s="103">
        <v>1.0</v>
      </c>
      <c r="G417" s="103">
        <v>1.0</v>
      </c>
      <c r="H417" s="104">
        <f t="shared" si="1"/>
        <v>1</v>
      </c>
      <c r="I417" s="105">
        <f t="shared" si="2"/>
        <v>24.95</v>
      </c>
      <c r="J417" s="106">
        <f t="shared" si="3"/>
        <v>24.95</v>
      </c>
      <c r="K417" s="126">
        <v>0.0</v>
      </c>
      <c r="L417" s="103">
        <v>0.0</v>
      </c>
      <c r="M417" s="103">
        <v>0.0</v>
      </c>
      <c r="N417" s="127">
        <v>0.0</v>
      </c>
      <c r="O417" s="109" t="str">
        <f t="shared" si="114"/>
        <v>#DIV/0!</v>
      </c>
      <c r="P417" s="110" t="str">
        <f t="shared" si="5"/>
        <v>#DIV/0!</v>
      </c>
      <c r="Q417" s="109">
        <f t="shared" si="6"/>
        <v>0</v>
      </c>
      <c r="R417" s="111">
        <f t="shared" si="7"/>
        <v>0</v>
      </c>
      <c r="S417" s="128">
        <f t="shared" si="113"/>
        <v>24.95</v>
      </c>
      <c r="T417" s="113" t="str">
        <f t="shared" si="9"/>
        <v>#DIV/0!</v>
      </c>
      <c r="U417" s="172"/>
      <c r="V417" s="172"/>
      <c r="W417" s="172"/>
      <c r="X417" s="172"/>
      <c r="Y417" s="173"/>
      <c r="Z417" s="165"/>
      <c r="AA417" s="165"/>
    </row>
    <row r="418" hidden="1" outlineLevel="1">
      <c r="A418" s="165"/>
      <c r="B418" s="174"/>
      <c r="C418" s="100" t="s">
        <v>40</v>
      </c>
      <c r="D418" s="129">
        <v>0.0</v>
      </c>
      <c r="E418" s="105">
        <v>0.0</v>
      </c>
      <c r="F418" s="103">
        <v>0.0</v>
      </c>
      <c r="G418" s="103">
        <v>0.0</v>
      </c>
      <c r="H418" s="104" t="str">
        <f t="shared" si="1"/>
        <v>#DIV/0!</v>
      </c>
      <c r="I418" s="105" t="str">
        <f t="shared" si="2"/>
        <v>#DIV/0!</v>
      </c>
      <c r="J418" s="106" t="str">
        <f t="shared" si="3"/>
        <v>#DIV/0!</v>
      </c>
      <c r="K418" s="129">
        <v>0.0</v>
      </c>
      <c r="L418" s="103">
        <v>0.0</v>
      </c>
      <c r="M418" s="103">
        <v>0.0</v>
      </c>
      <c r="N418" s="130">
        <v>0.0</v>
      </c>
      <c r="O418" s="109" t="str">
        <f t="shared" si="114"/>
        <v>#DIV/0!</v>
      </c>
      <c r="P418" s="110" t="str">
        <f t="shared" si="5"/>
        <v>#DIV/0!</v>
      </c>
      <c r="Q418" s="109" t="str">
        <f t="shared" si="6"/>
        <v>#DIV/0!</v>
      </c>
      <c r="R418" s="111" t="str">
        <f t="shared" si="7"/>
        <v>#DIV/0!</v>
      </c>
      <c r="S418" s="131">
        <f t="shared" si="113"/>
        <v>0</v>
      </c>
      <c r="T418" s="113" t="str">
        <f t="shared" si="9"/>
        <v>#DIV/0!</v>
      </c>
      <c r="U418" s="172"/>
      <c r="V418" s="172"/>
      <c r="W418" s="172"/>
      <c r="X418" s="172"/>
      <c r="Y418" s="173"/>
      <c r="Z418" s="165"/>
      <c r="AA418" s="165"/>
    </row>
    <row r="419" hidden="1" outlineLevel="1">
      <c r="A419" s="165"/>
      <c r="B419" s="174"/>
      <c r="C419" s="100" t="s">
        <v>41</v>
      </c>
      <c r="D419" s="132">
        <v>0.0</v>
      </c>
      <c r="E419" s="105">
        <v>0.0</v>
      </c>
      <c r="F419" s="103">
        <v>0.0</v>
      </c>
      <c r="G419" s="103">
        <v>0.0</v>
      </c>
      <c r="H419" s="104" t="str">
        <f t="shared" si="1"/>
        <v>#DIV/0!</v>
      </c>
      <c r="I419" s="105" t="str">
        <f t="shared" si="2"/>
        <v>#DIV/0!</v>
      </c>
      <c r="J419" s="106" t="str">
        <f t="shared" si="3"/>
        <v>#DIV/0!</v>
      </c>
      <c r="K419" s="132">
        <v>0.0</v>
      </c>
      <c r="L419" s="103">
        <v>0.0</v>
      </c>
      <c r="M419" s="103">
        <v>0.0</v>
      </c>
      <c r="N419" s="133">
        <v>0.0</v>
      </c>
      <c r="O419" s="109" t="str">
        <f t="shared" si="114"/>
        <v>#DIV/0!</v>
      </c>
      <c r="P419" s="110" t="str">
        <f t="shared" si="5"/>
        <v>#DIV/0!</v>
      </c>
      <c r="Q419" s="109" t="str">
        <f t="shared" si="6"/>
        <v>#DIV/0!</v>
      </c>
      <c r="R419" s="111" t="str">
        <f t="shared" si="7"/>
        <v>#DIV/0!</v>
      </c>
      <c r="S419" s="134">
        <f t="shared" si="113"/>
        <v>0</v>
      </c>
      <c r="T419" s="113" t="str">
        <f t="shared" si="9"/>
        <v>#DIV/0!</v>
      </c>
      <c r="U419" s="172"/>
      <c r="V419" s="172"/>
      <c r="W419" s="172"/>
      <c r="X419" s="172"/>
      <c r="Y419" s="173"/>
      <c r="Z419" s="165"/>
      <c r="AA419" s="165"/>
    </row>
    <row r="420" hidden="1" outlineLevel="1">
      <c r="A420" s="165"/>
      <c r="B420" s="174"/>
      <c r="C420" s="100" t="s">
        <v>42</v>
      </c>
      <c r="D420" s="120">
        <v>0.0</v>
      </c>
      <c r="E420" s="105">
        <v>0.0</v>
      </c>
      <c r="F420" s="103">
        <v>0.0</v>
      </c>
      <c r="G420" s="103">
        <v>0.0</v>
      </c>
      <c r="H420" s="104" t="str">
        <f t="shared" si="1"/>
        <v>#DIV/0!</v>
      </c>
      <c r="I420" s="105" t="str">
        <f t="shared" si="2"/>
        <v>#DIV/0!</v>
      </c>
      <c r="J420" s="106" t="str">
        <f t="shared" si="3"/>
        <v>#DIV/0!</v>
      </c>
      <c r="K420" s="120">
        <v>3.2</v>
      </c>
      <c r="L420" s="103">
        <v>13667.0</v>
      </c>
      <c r="M420" s="103">
        <v>0.0</v>
      </c>
      <c r="N420" s="121">
        <v>0.0</v>
      </c>
      <c r="O420" s="109" t="str">
        <f t="shared" si="114"/>
        <v>#DIV/0!</v>
      </c>
      <c r="P420" s="110">
        <f t="shared" si="5"/>
        <v>0</v>
      </c>
      <c r="Q420" s="109" t="str">
        <f t="shared" si="6"/>
        <v>#DIV/0!</v>
      </c>
      <c r="R420" s="111" t="str">
        <f t="shared" si="7"/>
        <v>#DIV/0!</v>
      </c>
      <c r="S420" s="122">
        <f t="shared" si="113"/>
        <v>0</v>
      </c>
      <c r="T420" s="113" t="str">
        <f t="shared" si="9"/>
        <v>#DIV/0!</v>
      </c>
      <c r="U420" s="172"/>
      <c r="V420" s="172"/>
      <c r="W420" s="172"/>
      <c r="X420" s="172"/>
      <c r="Y420" s="173"/>
      <c r="Z420" s="165"/>
      <c r="AA420" s="165"/>
    </row>
    <row r="421" hidden="1" outlineLevel="1">
      <c r="A421" s="165"/>
      <c r="B421" s="174"/>
      <c r="C421" s="100" t="s">
        <v>43</v>
      </c>
      <c r="D421" s="135">
        <v>0.0</v>
      </c>
      <c r="E421" s="105">
        <v>0.0</v>
      </c>
      <c r="F421" s="103">
        <v>0.0</v>
      </c>
      <c r="G421" s="103">
        <v>0.0</v>
      </c>
      <c r="H421" s="104" t="str">
        <f t="shared" si="1"/>
        <v>#DIV/0!</v>
      </c>
      <c r="I421" s="105" t="str">
        <f t="shared" si="2"/>
        <v>#DIV/0!</v>
      </c>
      <c r="J421" s="106" t="str">
        <f t="shared" si="3"/>
        <v>#DIV/0!</v>
      </c>
      <c r="K421" s="135">
        <v>10.17</v>
      </c>
      <c r="L421" s="103">
        <v>24031.0</v>
      </c>
      <c r="M421" s="103">
        <v>0.0</v>
      </c>
      <c r="N421" s="136">
        <v>0.0</v>
      </c>
      <c r="O421" s="109" t="str">
        <f t="shared" si="114"/>
        <v>#DIV/0!</v>
      </c>
      <c r="P421" s="110">
        <f t="shared" si="5"/>
        <v>0</v>
      </c>
      <c r="Q421" s="109" t="str">
        <f t="shared" si="6"/>
        <v>#DIV/0!</v>
      </c>
      <c r="R421" s="111" t="str">
        <f t="shared" si="7"/>
        <v>#DIV/0!</v>
      </c>
      <c r="S421" s="137">
        <f t="shared" si="113"/>
        <v>0</v>
      </c>
      <c r="T421" s="113" t="str">
        <f t="shared" si="9"/>
        <v>#DIV/0!</v>
      </c>
      <c r="U421" s="172"/>
      <c r="V421" s="172"/>
      <c r="W421" s="172"/>
      <c r="X421" s="172"/>
      <c r="Y421" s="173"/>
      <c r="Z421" s="165"/>
      <c r="AA421" s="165"/>
    </row>
    <row r="422" hidden="1" outlineLevel="1">
      <c r="A422" s="165"/>
      <c r="B422" s="174"/>
      <c r="C422" s="100" t="s">
        <v>44</v>
      </c>
      <c r="D422" s="138">
        <v>44.95</v>
      </c>
      <c r="E422" s="105">
        <v>44.95</v>
      </c>
      <c r="F422" s="103">
        <v>1.0</v>
      </c>
      <c r="G422" s="103">
        <v>1.0</v>
      </c>
      <c r="H422" s="104">
        <f t="shared" si="1"/>
        <v>1</v>
      </c>
      <c r="I422" s="105">
        <f t="shared" si="2"/>
        <v>44.95</v>
      </c>
      <c r="J422" s="106">
        <f t="shared" si="3"/>
        <v>44.95</v>
      </c>
      <c r="K422" s="138">
        <v>31.07</v>
      </c>
      <c r="L422" s="103">
        <v>10216.0</v>
      </c>
      <c r="M422" s="103">
        <v>0.0</v>
      </c>
      <c r="N422" s="139">
        <v>0.0</v>
      </c>
      <c r="O422" s="109" t="str">
        <f t="shared" si="114"/>
        <v>#DIV/0!</v>
      </c>
      <c r="P422" s="110">
        <f t="shared" si="5"/>
        <v>0</v>
      </c>
      <c r="Q422" s="109">
        <f t="shared" si="6"/>
        <v>0.6912124583</v>
      </c>
      <c r="R422" s="111">
        <f t="shared" si="7"/>
        <v>0</v>
      </c>
      <c r="S422" s="140">
        <f t="shared" si="113"/>
        <v>44.95</v>
      </c>
      <c r="T422" s="113" t="str">
        <f t="shared" si="9"/>
        <v>#DIV/0!</v>
      </c>
      <c r="U422" s="172"/>
      <c r="V422" s="172"/>
      <c r="W422" s="172"/>
      <c r="X422" s="172"/>
      <c r="Y422" s="173"/>
      <c r="Z422" s="165"/>
      <c r="AA422" s="165"/>
    </row>
    <row r="423" hidden="1" outlineLevel="1">
      <c r="A423" s="192"/>
      <c r="B423" s="174"/>
      <c r="C423" s="142" t="s">
        <v>45</v>
      </c>
      <c r="D423" s="101">
        <v>0.0</v>
      </c>
      <c r="E423" s="105">
        <v>0.0</v>
      </c>
      <c r="F423" s="103">
        <v>0.0</v>
      </c>
      <c r="G423" s="103">
        <v>0.0</v>
      </c>
      <c r="H423" s="104" t="str">
        <f t="shared" si="1"/>
        <v>#DIV/0!</v>
      </c>
      <c r="I423" s="105" t="str">
        <f t="shared" si="2"/>
        <v>#DIV/0!</v>
      </c>
      <c r="J423" s="106" t="str">
        <f t="shared" si="3"/>
        <v>#DIV/0!</v>
      </c>
      <c r="K423" s="101">
        <v>0.0</v>
      </c>
      <c r="L423" s="103">
        <v>0.0</v>
      </c>
      <c r="M423" s="103">
        <v>0.0</v>
      </c>
      <c r="N423" s="108">
        <v>0.0</v>
      </c>
      <c r="O423" s="109" t="str">
        <f t="shared" si="114"/>
        <v>#DIV/0!</v>
      </c>
      <c r="P423" s="110" t="str">
        <f t="shared" si="5"/>
        <v>#DIV/0!</v>
      </c>
      <c r="Q423" s="109" t="str">
        <f t="shared" si="6"/>
        <v>#DIV/0!</v>
      </c>
      <c r="R423" s="111" t="str">
        <f t="shared" si="7"/>
        <v>#DIV/0!</v>
      </c>
      <c r="S423" s="112">
        <f t="shared" si="113"/>
        <v>0</v>
      </c>
      <c r="T423" s="113" t="str">
        <f t="shared" si="9"/>
        <v>#DIV/0!</v>
      </c>
      <c r="U423" s="193"/>
      <c r="V423" s="193"/>
      <c r="W423" s="193"/>
      <c r="X423" s="194"/>
      <c r="Y423" s="195"/>
      <c r="Z423" s="165"/>
      <c r="AA423" s="165"/>
    </row>
    <row r="424" hidden="1" outlineLevel="1">
      <c r="A424" s="165"/>
      <c r="B424" s="174"/>
      <c r="C424" s="100" t="s">
        <v>46</v>
      </c>
      <c r="D424" s="146">
        <v>539.4</v>
      </c>
      <c r="E424" s="105">
        <v>44.95</v>
      </c>
      <c r="F424" s="103">
        <v>12.0</v>
      </c>
      <c r="G424" s="103">
        <v>13.0</v>
      </c>
      <c r="H424" s="104">
        <f t="shared" si="1"/>
        <v>0.9230769231</v>
      </c>
      <c r="I424" s="105">
        <f t="shared" si="2"/>
        <v>44.95</v>
      </c>
      <c r="J424" s="106">
        <f t="shared" si="3"/>
        <v>48.69583333</v>
      </c>
      <c r="K424" s="146">
        <v>89.44</v>
      </c>
      <c r="L424" s="103">
        <v>31575.0</v>
      </c>
      <c r="M424" s="103">
        <v>4.0</v>
      </c>
      <c r="N424" s="147">
        <v>179.8</v>
      </c>
      <c r="O424" s="109">
        <f t="shared" si="114"/>
        <v>0.4974416018</v>
      </c>
      <c r="P424" s="110">
        <f t="shared" si="5"/>
        <v>2.010286225</v>
      </c>
      <c r="Q424" s="109">
        <f t="shared" si="6"/>
        <v>0.1658138673</v>
      </c>
      <c r="R424" s="111">
        <f t="shared" si="7"/>
        <v>0.3333333333</v>
      </c>
      <c r="S424" s="112">
        <f t="shared" si="113"/>
        <v>359.6</v>
      </c>
      <c r="T424" s="113">
        <f t="shared" si="9"/>
        <v>22.36</v>
      </c>
      <c r="U424" s="172"/>
      <c r="V424" s="172"/>
      <c r="W424" s="172"/>
      <c r="X424" s="172"/>
      <c r="Y424" s="173"/>
      <c r="Z424" s="165"/>
      <c r="AA424" s="165"/>
    </row>
    <row r="425" hidden="1" outlineLevel="1">
      <c r="A425" s="148" t="str">
        <f t="shared" ref="A425:A426" si="115">iferror(if(B425&gt;0,month(B425)&amp;"-"&amp;year(B425),B425),)</f>
        <v>5-2025</v>
      </c>
      <c r="B425" s="99">
        <v>45801.0</v>
      </c>
      <c r="C425" s="100" t="s">
        <v>49</v>
      </c>
      <c r="D425" s="146">
        <v>0.0</v>
      </c>
      <c r="E425" s="105">
        <v>0.0</v>
      </c>
      <c r="F425" s="103">
        <v>0.0</v>
      </c>
      <c r="G425" s="103">
        <v>0.0</v>
      </c>
      <c r="H425" s="104" t="str">
        <f t="shared" si="1"/>
        <v>#DIV/0!</v>
      </c>
      <c r="I425" s="105" t="str">
        <f t="shared" si="2"/>
        <v>#DIV/0!</v>
      </c>
      <c r="J425" s="106" t="str">
        <f t="shared" si="3"/>
        <v>#DIV/0!</v>
      </c>
      <c r="K425" s="146">
        <v>1.92</v>
      </c>
      <c r="L425" s="103">
        <v>4938.0</v>
      </c>
      <c r="M425" s="103">
        <v>0.0</v>
      </c>
      <c r="N425" s="147">
        <v>0.0</v>
      </c>
      <c r="O425" s="109" t="str">
        <f t="shared" si="114"/>
        <v>#DIV/0!</v>
      </c>
      <c r="P425" s="110">
        <f t="shared" si="5"/>
        <v>0</v>
      </c>
      <c r="Q425" s="109" t="str">
        <f t="shared" si="6"/>
        <v>#DIV/0!</v>
      </c>
      <c r="R425" s="111" t="str">
        <f t="shared" si="7"/>
        <v>#DIV/0!</v>
      </c>
      <c r="S425" s="112">
        <f t="shared" si="113"/>
        <v>0</v>
      </c>
      <c r="T425" s="113" t="str">
        <f t="shared" si="9"/>
        <v>#DIV/0!</v>
      </c>
      <c r="U425" s="172"/>
      <c r="V425" s="172"/>
      <c r="W425" s="172"/>
      <c r="X425" s="172"/>
      <c r="Y425" s="173"/>
      <c r="Z425" s="165"/>
      <c r="AA425" s="165"/>
    </row>
    <row r="426" collapsed="1">
      <c r="A426" s="165" t="str">
        <f t="shared" si="115"/>
        <v/>
      </c>
      <c r="B426" s="80" t="s">
        <v>108</v>
      </c>
      <c r="C426" s="201"/>
      <c r="D426" s="151">
        <f>SUM(D409:D425)</f>
        <v>5994.33</v>
      </c>
      <c r="E426" s="400"/>
      <c r="F426" s="153">
        <f t="shared" ref="F426:G426" si="116">SUM(F409:F425)</f>
        <v>54</v>
      </c>
      <c r="G426" s="153">
        <f t="shared" si="116"/>
        <v>55</v>
      </c>
      <c r="H426" s="154">
        <f t="shared" si="1"/>
        <v>0.9818181818</v>
      </c>
      <c r="I426" s="155">
        <f t="shared" si="2"/>
        <v>111.0061111</v>
      </c>
      <c r="J426" s="156">
        <f t="shared" si="3"/>
        <v>113.0617798</v>
      </c>
      <c r="K426" s="151">
        <f t="shared" ref="K426:N426" si="117">SUM(K409:K425)</f>
        <v>661.95</v>
      </c>
      <c r="L426" s="153">
        <f t="shared" si="117"/>
        <v>268933</v>
      </c>
      <c r="M426" s="153">
        <f t="shared" si="117"/>
        <v>15</v>
      </c>
      <c r="N426" s="157">
        <f t="shared" si="117"/>
        <v>3228.55</v>
      </c>
      <c r="O426" s="158">
        <f t="shared" si="114"/>
        <v>0.2050301219</v>
      </c>
      <c r="P426" s="159">
        <f t="shared" si="5"/>
        <v>4.877332125</v>
      </c>
      <c r="Q426" s="158">
        <f t="shared" si="6"/>
        <v>0.1104293557</v>
      </c>
      <c r="R426" s="160">
        <f t="shared" si="7"/>
        <v>0.5386006443</v>
      </c>
      <c r="S426" s="161">
        <f>SUM(S409:S425)</f>
        <v>2765.78</v>
      </c>
      <c r="T426" s="162">
        <f t="shared" si="9"/>
        <v>44.13</v>
      </c>
      <c r="U426" s="399">
        <f>IFERROR((D426-D246)/D426,)</f>
        <v>-0.2647485207</v>
      </c>
      <c r="V426" s="399">
        <f>IFERROR((F426-F246)/F426,)</f>
        <v>-0.7407407407</v>
      </c>
      <c r="W426" s="398" t="str">
        <f>IFERROR((D426-monthly_reporting_2021!E217)/D426, )</f>
        <v/>
      </c>
      <c r="X426" s="398" t="str">
        <f>IFERROR((F426-monthly_reporting_2021!F217)/F426, )</f>
        <v/>
      </c>
      <c r="Y426" s="165"/>
      <c r="Z426" s="165"/>
      <c r="AA426" s="165"/>
    </row>
    <row r="427" hidden="1" outlineLevel="1">
      <c r="A427" s="165"/>
      <c r="B427" s="99">
        <v>45802.0</v>
      </c>
      <c r="C427" s="100" t="s">
        <v>32</v>
      </c>
      <c r="D427" s="101">
        <v>3901.4</v>
      </c>
      <c r="E427" s="105">
        <v>199.27</v>
      </c>
      <c r="F427" s="103">
        <v>25.0</v>
      </c>
      <c r="G427" s="103">
        <v>22.0</v>
      </c>
      <c r="H427" s="104">
        <f t="shared" si="1"/>
        <v>1.136363636</v>
      </c>
      <c r="I427" s="105">
        <f t="shared" si="2"/>
        <v>156.056</v>
      </c>
      <c r="J427" s="106">
        <f t="shared" si="3"/>
        <v>137.32928</v>
      </c>
      <c r="K427" s="107">
        <v>313.7</v>
      </c>
      <c r="L427" s="103">
        <v>92402.0</v>
      </c>
      <c r="M427" s="103">
        <v>10.0</v>
      </c>
      <c r="N427" s="108">
        <v>1774.15</v>
      </c>
      <c r="O427" s="109">
        <f t="shared" si="114"/>
        <v>0.1768170673</v>
      </c>
      <c r="P427" s="110">
        <f t="shared" si="5"/>
        <v>5.655562639</v>
      </c>
      <c r="Q427" s="109">
        <f t="shared" si="6"/>
        <v>0.08040703337</v>
      </c>
      <c r="R427" s="111">
        <f t="shared" si="7"/>
        <v>0.4547470139</v>
      </c>
      <c r="S427" s="112">
        <f t="shared" ref="S427:S443" si="118">D427-N427</f>
        <v>2127.25</v>
      </c>
      <c r="T427" s="113">
        <f t="shared" si="9"/>
        <v>31.37</v>
      </c>
      <c r="U427" s="172"/>
      <c r="V427" s="172"/>
      <c r="W427" s="172"/>
      <c r="X427" s="172"/>
      <c r="Y427" s="173"/>
      <c r="Z427" s="165"/>
      <c r="AA427" s="165"/>
    </row>
    <row r="428" hidden="1" outlineLevel="1">
      <c r="A428" s="165"/>
      <c r="B428" s="174"/>
      <c r="C428" s="100" t="s">
        <v>33</v>
      </c>
      <c r="D428" s="117">
        <v>2261.8</v>
      </c>
      <c r="E428" s="105">
        <v>219.82</v>
      </c>
      <c r="F428" s="103">
        <v>10.0</v>
      </c>
      <c r="G428" s="103">
        <v>12.0</v>
      </c>
      <c r="H428" s="104">
        <f t="shared" si="1"/>
        <v>0.8333333333</v>
      </c>
      <c r="I428" s="105">
        <f t="shared" si="2"/>
        <v>226.18</v>
      </c>
      <c r="J428" s="106">
        <f t="shared" si="3"/>
        <v>271.416</v>
      </c>
      <c r="K428" s="117">
        <v>158.74</v>
      </c>
      <c r="L428" s="103">
        <v>77568.0</v>
      </c>
      <c r="M428" s="103">
        <v>2.0</v>
      </c>
      <c r="N428" s="118">
        <v>59.95</v>
      </c>
      <c r="O428" s="109">
        <f t="shared" si="114"/>
        <v>2.647873228</v>
      </c>
      <c r="P428" s="110">
        <f t="shared" si="5"/>
        <v>0.377661585</v>
      </c>
      <c r="Q428" s="109">
        <f t="shared" si="6"/>
        <v>0.07018304006</v>
      </c>
      <c r="R428" s="111">
        <f t="shared" si="7"/>
        <v>0.02650543815</v>
      </c>
      <c r="S428" s="119">
        <f t="shared" si="118"/>
        <v>2201.85</v>
      </c>
      <c r="T428" s="113">
        <f t="shared" si="9"/>
        <v>79.37</v>
      </c>
      <c r="U428" s="172"/>
      <c r="V428" s="172"/>
      <c r="W428" s="172"/>
      <c r="X428" s="172"/>
      <c r="Y428" s="173"/>
      <c r="Z428" s="165"/>
      <c r="AA428" s="165"/>
    </row>
    <row r="429" hidden="1" outlineLevel="1">
      <c r="A429" s="165"/>
      <c r="B429" s="174"/>
      <c r="C429" s="100" t="s">
        <v>34</v>
      </c>
      <c r="D429" s="120">
        <v>0.0</v>
      </c>
      <c r="E429" s="105">
        <v>0.0</v>
      </c>
      <c r="F429" s="103">
        <v>0.0</v>
      </c>
      <c r="G429" s="103">
        <v>0.0</v>
      </c>
      <c r="H429" s="104" t="str">
        <f t="shared" si="1"/>
        <v>#DIV/0!</v>
      </c>
      <c r="I429" s="105" t="str">
        <f t="shared" si="2"/>
        <v>#DIV/0!</v>
      </c>
      <c r="J429" s="106" t="str">
        <f t="shared" si="3"/>
        <v>#DIV/0!</v>
      </c>
      <c r="K429" s="120">
        <v>0.0</v>
      </c>
      <c r="L429" s="103">
        <v>0.0</v>
      </c>
      <c r="M429" s="103">
        <v>0.0</v>
      </c>
      <c r="N429" s="121">
        <v>0.0</v>
      </c>
      <c r="O429" s="109" t="str">
        <f>(K429/N429)</f>
        <v>#DIV/0!</v>
      </c>
      <c r="P429" s="110" t="str">
        <f t="shared" si="5"/>
        <v>#DIV/0!</v>
      </c>
      <c r="Q429" s="109" t="str">
        <f t="shared" si="6"/>
        <v>#DIV/0!</v>
      </c>
      <c r="R429" s="111" t="str">
        <f t="shared" si="7"/>
        <v>#DIV/0!</v>
      </c>
      <c r="S429" s="122">
        <f t="shared" si="118"/>
        <v>0</v>
      </c>
      <c r="T429" s="113" t="str">
        <f t="shared" si="9"/>
        <v>#DIV/0!</v>
      </c>
      <c r="U429" s="172"/>
      <c r="V429" s="172"/>
      <c r="W429" s="172"/>
      <c r="X429" s="172"/>
      <c r="Y429" s="173"/>
      <c r="Z429" s="165"/>
      <c r="AA429" s="165"/>
    </row>
    <row r="430" hidden="1" outlineLevel="1">
      <c r="A430" s="165"/>
      <c r="B430" s="174"/>
      <c r="C430" s="100" t="s">
        <v>35</v>
      </c>
      <c r="D430" s="120">
        <v>377.7</v>
      </c>
      <c r="E430" s="105">
        <v>62.95</v>
      </c>
      <c r="F430" s="103">
        <v>6.0</v>
      </c>
      <c r="G430" s="103">
        <v>5.0</v>
      </c>
      <c r="H430" s="104">
        <f t="shared" si="1"/>
        <v>1.2</v>
      </c>
      <c r="I430" s="105">
        <f t="shared" si="2"/>
        <v>62.95</v>
      </c>
      <c r="J430" s="106">
        <f t="shared" si="3"/>
        <v>52.45833333</v>
      </c>
      <c r="K430" s="120">
        <v>0.0</v>
      </c>
      <c r="L430" s="103">
        <v>0.0</v>
      </c>
      <c r="M430" s="103">
        <v>0.0</v>
      </c>
      <c r="N430" s="121">
        <v>0.0</v>
      </c>
      <c r="O430" s="109" t="str">
        <f t="shared" ref="O430:O446" si="119">K430/N430</f>
        <v>#DIV/0!</v>
      </c>
      <c r="P430" s="110" t="str">
        <f t="shared" si="5"/>
        <v>#DIV/0!</v>
      </c>
      <c r="Q430" s="109">
        <f t="shared" si="6"/>
        <v>0</v>
      </c>
      <c r="R430" s="111">
        <f t="shared" si="7"/>
        <v>0</v>
      </c>
      <c r="S430" s="122">
        <f t="shared" si="118"/>
        <v>377.7</v>
      </c>
      <c r="T430" s="113" t="str">
        <f t="shared" si="9"/>
        <v>#DIV/0!</v>
      </c>
      <c r="U430" s="172"/>
      <c r="V430" s="172"/>
      <c r="W430" s="172"/>
      <c r="X430" s="172"/>
      <c r="Y430" s="173"/>
      <c r="Z430" s="165"/>
      <c r="AA430" s="165"/>
    </row>
    <row r="431" hidden="1" outlineLevel="1">
      <c r="A431" s="165"/>
      <c r="B431" s="174"/>
      <c r="C431" s="100" t="s">
        <v>65</v>
      </c>
      <c r="D431" s="300">
        <v>0.0</v>
      </c>
      <c r="E431" s="105">
        <v>0.0</v>
      </c>
      <c r="F431" s="103">
        <v>0.0</v>
      </c>
      <c r="G431" s="103">
        <v>0.0</v>
      </c>
      <c r="H431" s="104" t="str">
        <f t="shared" si="1"/>
        <v>#DIV/0!</v>
      </c>
      <c r="I431" s="105" t="str">
        <f t="shared" si="2"/>
        <v>#DIV/0!</v>
      </c>
      <c r="J431" s="106" t="str">
        <f t="shared" si="3"/>
        <v>#DIV/0!</v>
      </c>
      <c r="K431" s="300">
        <v>0.0</v>
      </c>
      <c r="L431" s="103">
        <v>0.0</v>
      </c>
      <c r="M431" s="103">
        <v>0.0</v>
      </c>
      <c r="N431" s="300">
        <v>0.0</v>
      </c>
      <c r="O431" s="109" t="str">
        <f t="shared" si="119"/>
        <v>#DIV/0!</v>
      </c>
      <c r="P431" s="110" t="str">
        <f t="shared" si="5"/>
        <v>#DIV/0!</v>
      </c>
      <c r="Q431" s="109" t="str">
        <f t="shared" si="6"/>
        <v>#DIV/0!</v>
      </c>
      <c r="R431" s="111" t="str">
        <f t="shared" si="7"/>
        <v>#DIV/0!</v>
      </c>
      <c r="S431" s="122">
        <f t="shared" si="118"/>
        <v>0</v>
      </c>
      <c r="T431" s="113" t="str">
        <f t="shared" si="9"/>
        <v>#DIV/0!</v>
      </c>
      <c r="U431" s="172"/>
      <c r="V431" s="172"/>
      <c r="W431" s="172"/>
      <c r="X431" s="172"/>
      <c r="Y431" s="173"/>
      <c r="Z431" s="165"/>
      <c r="AA431" s="165"/>
    </row>
    <row r="432" hidden="1" outlineLevel="1">
      <c r="A432" s="165"/>
      <c r="B432" s="174"/>
      <c r="C432" s="100" t="s">
        <v>85</v>
      </c>
      <c r="D432" s="302">
        <v>0.0</v>
      </c>
      <c r="E432" s="105">
        <v>0.0</v>
      </c>
      <c r="F432" s="103">
        <v>0.0</v>
      </c>
      <c r="G432" s="103">
        <v>0.0</v>
      </c>
      <c r="H432" s="104" t="str">
        <f t="shared" si="1"/>
        <v>#DIV/0!</v>
      </c>
      <c r="I432" s="105" t="str">
        <f t="shared" si="2"/>
        <v>#DIV/0!</v>
      </c>
      <c r="J432" s="106" t="str">
        <f t="shared" si="3"/>
        <v>#DIV/0!</v>
      </c>
      <c r="K432" s="302">
        <v>0.0</v>
      </c>
      <c r="L432" s="103">
        <v>0.0</v>
      </c>
      <c r="M432" s="103">
        <v>0.0</v>
      </c>
      <c r="N432" s="303">
        <v>0.0</v>
      </c>
      <c r="O432" s="109" t="str">
        <f t="shared" si="119"/>
        <v>#DIV/0!</v>
      </c>
      <c r="P432" s="110" t="str">
        <f t="shared" si="5"/>
        <v>#DIV/0!</v>
      </c>
      <c r="Q432" s="109" t="str">
        <f t="shared" si="6"/>
        <v>#DIV/0!</v>
      </c>
      <c r="R432" s="111" t="str">
        <f t="shared" si="7"/>
        <v>#DIV/0!</v>
      </c>
      <c r="S432" s="304">
        <f t="shared" si="118"/>
        <v>0</v>
      </c>
      <c r="T432" s="113" t="str">
        <f t="shared" si="9"/>
        <v>#DIV/0!</v>
      </c>
      <c r="U432" s="172"/>
      <c r="V432" s="172"/>
      <c r="W432" s="172"/>
      <c r="X432" s="172"/>
      <c r="Y432" s="173"/>
      <c r="Z432" s="165"/>
      <c r="AA432" s="165"/>
    </row>
    <row r="433" hidden="1" outlineLevel="1">
      <c r="A433" s="165"/>
      <c r="B433" s="174"/>
      <c r="C433" s="100" t="s">
        <v>36</v>
      </c>
      <c r="D433" s="120">
        <v>0.0</v>
      </c>
      <c r="E433" s="105">
        <v>0.0</v>
      </c>
      <c r="F433" s="103">
        <v>0.0</v>
      </c>
      <c r="G433" s="103">
        <v>0.0</v>
      </c>
      <c r="H433" s="104" t="str">
        <f t="shared" si="1"/>
        <v>#DIV/0!</v>
      </c>
      <c r="I433" s="105" t="str">
        <f t="shared" si="2"/>
        <v>#DIV/0!</v>
      </c>
      <c r="J433" s="106" t="str">
        <f t="shared" si="3"/>
        <v>#DIV/0!</v>
      </c>
      <c r="K433" s="120">
        <v>0.0</v>
      </c>
      <c r="L433" s="103">
        <v>0.0</v>
      </c>
      <c r="M433" s="103">
        <v>0.0</v>
      </c>
      <c r="N433" s="121">
        <v>0.0</v>
      </c>
      <c r="O433" s="109" t="str">
        <f t="shared" si="119"/>
        <v>#DIV/0!</v>
      </c>
      <c r="P433" s="110" t="str">
        <f t="shared" si="5"/>
        <v>#DIV/0!</v>
      </c>
      <c r="Q433" s="109" t="str">
        <f t="shared" si="6"/>
        <v>#DIV/0!</v>
      </c>
      <c r="R433" s="111" t="str">
        <f t="shared" si="7"/>
        <v>#DIV/0!</v>
      </c>
      <c r="S433" s="122">
        <f t="shared" si="118"/>
        <v>0</v>
      </c>
      <c r="T433" s="113" t="str">
        <f t="shared" si="9"/>
        <v>#DIV/0!</v>
      </c>
      <c r="U433" s="172"/>
      <c r="V433" s="172"/>
      <c r="W433" s="172"/>
      <c r="X433" s="172"/>
      <c r="Y433" s="173"/>
      <c r="Z433" s="165"/>
      <c r="AA433" s="165"/>
    </row>
    <row r="434" hidden="1" outlineLevel="1">
      <c r="A434" s="165"/>
      <c r="B434" s="99" t="s">
        <v>37</v>
      </c>
      <c r="C434" s="100" t="s">
        <v>38</v>
      </c>
      <c r="D434" s="123">
        <v>135.84</v>
      </c>
      <c r="E434" s="105">
        <v>33.63</v>
      </c>
      <c r="F434" s="103">
        <v>4.0</v>
      </c>
      <c r="G434" s="103">
        <v>4.0</v>
      </c>
      <c r="H434" s="104">
        <f t="shared" si="1"/>
        <v>1</v>
      </c>
      <c r="I434" s="105">
        <f t="shared" si="2"/>
        <v>33.96</v>
      </c>
      <c r="J434" s="106">
        <f t="shared" si="3"/>
        <v>33.96</v>
      </c>
      <c r="K434" s="123">
        <v>51.1</v>
      </c>
      <c r="L434" s="103">
        <v>16493.0</v>
      </c>
      <c r="M434" s="103">
        <v>0.0</v>
      </c>
      <c r="N434" s="124">
        <v>0.0</v>
      </c>
      <c r="O434" s="109" t="str">
        <f t="shared" si="119"/>
        <v>#DIV/0!</v>
      </c>
      <c r="P434" s="110">
        <f t="shared" si="5"/>
        <v>0</v>
      </c>
      <c r="Q434" s="109">
        <f t="shared" si="6"/>
        <v>0.3761778563</v>
      </c>
      <c r="R434" s="111">
        <f t="shared" si="7"/>
        <v>0</v>
      </c>
      <c r="S434" s="125">
        <f t="shared" si="118"/>
        <v>135.84</v>
      </c>
      <c r="T434" s="113" t="str">
        <f t="shared" si="9"/>
        <v>#DIV/0!</v>
      </c>
      <c r="U434" s="172"/>
      <c r="V434" s="172"/>
      <c r="W434" s="172"/>
      <c r="X434" s="172"/>
      <c r="Y434" s="173"/>
      <c r="Z434" s="165"/>
      <c r="AA434" s="165"/>
    </row>
    <row r="435" hidden="1" outlineLevel="1">
      <c r="A435" s="165"/>
      <c r="B435" s="174"/>
      <c r="C435" s="100" t="s">
        <v>39</v>
      </c>
      <c r="D435" s="126">
        <v>0.0</v>
      </c>
      <c r="E435" s="105">
        <v>0.0</v>
      </c>
      <c r="F435" s="103">
        <v>0.0</v>
      </c>
      <c r="G435" s="103">
        <v>0.0</v>
      </c>
      <c r="H435" s="104" t="str">
        <f t="shared" si="1"/>
        <v>#DIV/0!</v>
      </c>
      <c r="I435" s="105" t="str">
        <f t="shared" si="2"/>
        <v>#DIV/0!</v>
      </c>
      <c r="J435" s="106" t="str">
        <f t="shared" si="3"/>
        <v>#DIV/0!</v>
      </c>
      <c r="K435" s="126">
        <v>0.0</v>
      </c>
      <c r="L435" s="103">
        <v>0.0</v>
      </c>
      <c r="M435" s="103">
        <v>0.0</v>
      </c>
      <c r="N435" s="127">
        <v>0.0</v>
      </c>
      <c r="O435" s="109" t="str">
        <f t="shared" si="119"/>
        <v>#DIV/0!</v>
      </c>
      <c r="P435" s="110" t="str">
        <f t="shared" si="5"/>
        <v>#DIV/0!</v>
      </c>
      <c r="Q435" s="109" t="str">
        <f t="shared" si="6"/>
        <v>#DIV/0!</v>
      </c>
      <c r="R435" s="111" t="str">
        <f t="shared" si="7"/>
        <v>#DIV/0!</v>
      </c>
      <c r="S435" s="128">
        <f t="shared" si="118"/>
        <v>0</v>
      </c>
      <c r="T435" s="113" t="str">
        <f t="shared" si="9"/>
        <v>#DIV/0!</v>
      </c>
      <c r="U435" s="172"/>
      <c r="V435" s="172"/>
      <c r="W435" s="172"/>
      <c r="X435" s="172"/>
      <c r="Y435" s="173"/>
      <c r="Z435" s="165"/>
      <c r="AA435" s="165"/>
    </row>
    <row r="436" hidden="1" outlineLevel="1">
      <c r="A436" s="165"/>
      <c r="B436" s="174"/>
      <c r="C436" s="100" t="s">
        <v>40</v>
      </c>
      <c r="D436" s="129">
        <v>0.0</v>
      </c>
      <c r="E436" s="105">
        <v>0.0</v>
      </c>
      <c r="F436" s="103">
        <v>0.0</v>
      </c>
      <c r="G436" s="103">
        <v>0.0</v>
      </c>
      <c r="H436" s="104" t="str">
        <f t="shared" si="1"/>
        <v>#DIV/0!</v>
      </c>
      <c r="I436" s="105" t="str">
        <f t="shared" si="2"/>
        <v>#DIV/0!</v>
      </c>
      <c r="J436" s="106" t="str">
        <f t="shared" si="3"/>
        <v>#DIV/0!</v>
      </c>
      <c r="K436" s="129">
        <v>0.0</v>
      </c>
      <c r="L436" s="103">
        <v>0.0</v>
      </c>
      <c r="M436" s="103">
        <v>0.0</v>
      </c>
      <c r="N436" s="130">
        <v>0.0</v>
      </c>
      <c r="O436" s="109" t="str">
        <f t="shared" si="119"/>
        <v>#DIV/0!</v>
      </c>
      <c r="P436" s="110" t="str">
        <f t="shared" si="5"/>
        <v>#DIV/0!</v>
      </c>
      <c r="Q436" s="109" t="str">
        <f t="shared" si="6"/>
        <v>#DIV/0!</v>
      </c>
      <c r="R436" s="111" t="str">
        <f t="shared" si="7"/>
        <v>#DIV/0!</v>
      </c>
      <c r="S436" s="131">
        <f t="shared" si="118"/>
        <v>0</v>
      </c>
      <c r="T436" s="113" t="str">
        <f t="shared" si="9"/>
        <v>#DIV/0!</v>
      </c>
      <c r="U436" s="172"/>
      <c r="V436" s="172"/>
      <c r="W436" s="172"/>
      <c r="X436" s="172"/>
      <c r="Y436" s="173"/>
      <c r="Z436" s="165"/>
      <c r="AA436" s="165"/>
    </row>
    <row r="437" hidden="1" outlineLevel="1">
      <c r="A437" s="165"/>
      <c r="B437" s="174"/>
      <c r="C437" s="100" t="s">
        <v>41</v>
      </c>
      <c r="D437" s="132">
        <v>0.0</v>
      </c>
      <c r="E437" s="105">
        <v>0.0</v>
      </c>
      <c r="F437" s="103">
        <v>0.0</v>
      </c>
      <c r="G437" s="103">
        <v>0.0</v>
      </c>
      <c r="H437" s="104" t="str">
        <f t="shared" si="1"/>
        <v>#DIV/0!</v>
      </c>
      <c r="I437" s="105" t="str">
        <f t="shared" si="2"/>
        <v>#DIV/0!</v>
      </c>
      <c r="J437" s="106" t="str">
        <f t="shared" si="3"/>
        <v>#DIV/0!</v>
      </c>
      <c r="K437" s="132">
        <v>0.0</v>
      </c>
      <c r="L437" s="103">
        <v>0.0</v>
      </c>
      <c r="M437" s="103">
        <v>0.0</v>
      </c>
      <c r="N437" s="133">
        <v>0.0</v>
      </c>
      <c r="O437" s="109" t="str">
        <f t="shared" si="119"/>
        <v>#DIV/0!</v>
      </c>
      <c r="P437" s="110" t="str">
        <f t="shared" si="5"/>
        <v>#DIV/0!</v>
      </c>
      <c r="Q437" s="109" t="str">
        <f t="shared" si="6"/>
        <v>#DIV/0!</v>
      </c>
      <c r="R437" s="111" t="str">
        <f t="shared" si="7"/>
        <v>#DIV/0!</v>
      </c>
      <c r="S437" s="134">
        <f t="shared" si="118"/>
        <v>0</v>
      </c>
      <c r="T437" s="113" t="str">
        <f t="shared" si="9"/>
        <v>#DIV/0!</v>
      </c>
      <c r="U437" s="172"/>
      <c r="V437" s="172"/>
      <c r="W437" s="172"/>
      <c r="X437" s="172"/>
      <c r="Y437" s="173"/>
      <c r="Z437" s="165"/>
      <c r="AA437" s="165"/>
    </row>
    <row r="438" hidden="1" outlineLevel="1">
      <c r="A438" s="165"/>
      <c r="B438" s="174"/>
      <c r="C438" s="100" t="s">
        <v>42</v>
      </c>
      <c r="D438" s="120">
        <v>19.99</v>
      </c>
      <c r="E438" s="105">
        <v>19.99</v>
      </c>
      <c r="F438" s="103">
        <v>1.0</v>
      </c>
      <c r="G438" s="103">
        <v>1.0</v>
      </c>
      <c r="H438" s="104">
        <f t="shared" si="1"/>
        <v>1</v>
      </c>
      <c r="I438" s="105">
        <f t="shared" si="2"/>
        <v>19.99</v>
      </c>
      <c r="J438" s="106">
        <f t="shared" si="3"/>
        <v>19.99</v>
      </c>
      <c r="K438" s="120">
        <v>5.52</v>
      </c>
      <c r="L438" s="103">
        <v>14092.0</v>
      </c>
      <c r="M438" s="103">
        <v>1.0</v>
      </c>
      <c r="N438" s="121">
        <v>19.99</v>
      </c>
      <c r="O438" s="109">
        <f t="shared" si="119"/>
        <v>0.276138069</v>
      </c>
      <c r="P438" s="110">
        <f t="shared" si="5"/>
        <v>3.621376812</v>
      </c>
      <c r="Q438" s="109">
        <f t="shared" si="6"/>
        <v>0.276138069</v>
      </c>
      <c r="R438" s="111">
        <f t="shared" si="7"/>
        <v>1</v>
      </c>
      <c r="S438" s="122">
        <f t="shared" si="118"/>
        <v>0</v>
      </c>
      <c r="T438" s="113">
        <f t="shared" si="9"/>
        <v>5.52</v>
      </c>
      <c r="U438" s="172"/>
      <c r="V438" s="172"/>
      <c r="W438" s="172"/>
      <c r="X438" s="172"/>
      <c r="Y438" s="173"/>
      <c r="Z438" s="165"/>
      <c r="AA438" s="165"/>
    </row>
    <row r="439" hidden="1" outlineLevel="1">
      <c r="A439" s="165"/>
      <c r="B439" s="174"/>
      <c r="C439" s="100" t="s">
        <v>43</v>
      </c>
      <c r="D439" s="135">
        <v>159.95</v>
      </c>
      <c r="E439" s="105">
        <v>159.95</v>
      </c>
      <c r="F439" s="103">
        <v>1.0</v>
      </c>
      <c r="G439" s="103">
        <v>1.0</v>
      </c>
      <c r="H439" s="104">
        <f t="shared" si="1"/>
        <v>1</v>
      </c>
      <c r="I439" s="105">
        <f t="shared" si="2"/>
        <v>159.95</v>
      </c>
      <c r="J439" s="106">
        <f t="shared" si="3"/>
        <v>159.95</v>
      </c>
      <c r="K439" s="135">
        <v>11.55</v>
      </c>
      <c r="L439" s="103">
        <v>22100.0</v>
      </c>
      <c r="M439" s="103">
        <v>0.0</v>
      </c>
      <c r="N439" s="136">
        <v>0.0</v>
      </c>
      <c r="O439" s="109" t="str">
        <f t="shared" si="119"/>
        <v>#DIV/0!</v>
      </c>
      <c r="P439" s="110">
        <f t="shared" si="5"/>
        <v>0</v>
      </c>
      <c r="Q439" s="109">
        <f t="shared" si="6"/>
        <v>0.07221006565</v>
      </c>
      <c r="R439" s="111">
        <f t="shared" si="7"/>
        <v>0</v>
      </c>
      <c r="S439" s="137">
        <f t="shared" si="118"/>
        <v>159.95</v>
      </c>
      <c r="T439" s="113" t="str">
        <f t="shared" si="9"/>
        <v>#DIV/0!</v>
      </c>
      <c r="U439" s="172"/>
      <c r="V439" s="172"/>
      <c r="W439" s="172"/>
      <c r="X439" s="172"/>
      <c r="Y439" s="173"/>
      <c r="Z439" s="165"/>
      <c r="AA439" s="165"/>
    </row>
    <row r="440" hidden="1" outlineLevel="1">
      <c r="A440" s="165"/>
      <c r="B440" s="174"/>
      <c r="C440" s="100" t="s">
        <v>44</v>
      </c>
      <c r="D440" s="138">
        <v>134.85</v>
      </c>
      <c r="E440" s="105">
        <v>44.95</v>
      </c>
      <c r="F440" s="103">
        <v>3.0</v>
      </c>
      <c r="G440" s="103">
        <v>3.0</v>
      </c>
      <c r="H440" s="104">
        <f t="shared" si="1"/>
        <v>1</v>
      </c>
      <c r="I440" s="105">
        <f t="shared" si="2"/>
        <v>44.95</v>
      </c>
      <c r="J440" s="106">
        <f t="shared" si="3"/>
        <v>44.95</v>
      </c>
      <c r="K440" s="138">
        <v>28.89</v>
      </c>
      <c r="L440" s="103">
        <v>11058.0</v>
      </c>
      <c r="M440" s="103">
        <v>1.0</v>
      </c>
      <c r="N440" s="139">
        <v>44.95</v>
      </c>
      <c r="O440" s="109">
        <f t="shared" si="119"/>
        <v>0.6427141268</v>
      </c>
      <c r="P440" s="110">
        <f t="shared" si="5"/>
        <v>1.555901696</v>
      </c>
      <c r="Q440" s="109">
        <f t="shared" si="6"/>
        <v>0.2142380423</v>
      </c>
      <c r="R440" s="111">
        <f t="shared" si="7"/>
        <v>0.3333333333</v>
      </c>
      <c r="S440" s="140">
        <f t="shared" si="118"/>
        <v>89.9</v>
      </c>
      <c r="T440" s="113">
        <f t="shared" si="9"/>
        <v>28.89</v>
      </c>
      <c r="U440" s="172"/>
      <c r="V440" s="172"/>
      <c r="W440" s="172"/>
      <c r="X440" s="172"/>
      <c r="Y440" s="173"/>
      <c r="Z440" s="165"/>
      <c r="AA440" s="165"/>
    </row>
    <row r="441" hidden="1" outlineLevel="1">
      <c r="A441" s="192"/>
      <c r="B441" s="174"/>
      <c r="C441" s="142" t="s">
        <v>45</v>
      </c>
      <c r="D441" s="101">
        <v>0.0</v>
      </c>
      <c r="E441" s="105">
        <v>0.0</v>
      </c>
      <c r="F441" s="103">
        <v>0.0</v>
      </c>
      <c r="G441" s="103">
        <v>0.0</v>
      </c>
      <c r="H441" s="104" t="str">
        <f t="shared" si="1"/>
        <v>#DIV/0!</v>
      </c>
      <c r="I441" s="105" t="str">
        <f t="shared" si="2"/>
        <v>#DIV/0!</v>
      </c>
      <c r="J441" s="106" t="str">
        <f t="shared" si="3"/>
        <v>#DIV/0!</v>
      </c>
      <c r="K441" s="101">
        <v>0.0</v>
      </c>
      <c r="L441" s="103">
        <v>0.0</v>
      </c>
      <c r="M441" s="103">
        <v>0.0</v>
      </c>
      <c r="N441" s="108">
        <v>0.0</v>
      </c>
      <c r="O441" s="109" t="str">
        <f t="shared" si="119"/>
        <v>#DIV/0!</v>
      </c>
      <c r="P441" s="110" t="str">
        <f t="shared" si="5"/>
        <v>#DIV/0!</v>
      </c>
      <c r="Q441" s="109" t="str">
        <f t="shared" si="6"/>
        <v>#DIV/0!</v>
      </c>
      <c r="R441" s="111" t="str">
        <f t="shared" si="7"/>
        <v>#DIV/0!</v>
      </c>
      <c r="S441" s="112">
        <f t="shared" si="118"/>
        <v>0</v>
      </c>
      <c r="T441" s="113" t="str">
        <f t="shared" si="9"/>
        <v>#DIV/0!</v>
      </c>
      <c r="U441" s="193"/>
      <c r="V441" s="193"/>
      <c r="W441" s="193"/>
      <c r="X441" s="194"/>
      <c r="Y441" s="195"/>
      <c r="Z441" s="165"/>
      <c r="AA441" s="165"/>
    </row>
    <row r="442" hidden="1" outlineLevel="1">
      <c r="A442" s="165"/>
      <c r="B442" s="174"/>
      <c r="C442" s="100" t="s">
        <v>46</v>
      </c>
      <c r="D442" s="146">
        <v>224.75</v>
      </c>
      <c r="E442" s="105">
        <v>44.95</v>
      </c>
      <c r="F442" s="103">
        <v>5.0</v>
      </c>
      <c r="G442" s="103">
        <v>5.0</v>
      </c>
      <c r="H442" s="104">
        <f t="shared" si="1"/>
        <v>1</v>
      </c>
      <c r="I442" s="105">
        <f t="shared" si="2"/>
        <v>44.95</v>
      </c>
      <c r="J442" s="106">
        <f t="shared" si="3"/>
        <v>44.95</v>
      </c>
      <c r="K442" s="146">
        <v>97.89</v>
      </c>
      <c r="L442" s="103">
        <v>25599.0</v>
      </c>
      <c r="M442" s="103">
        <v>4.0</v>
      </c>
      <c r="N442" s="147">
        <v>179.8</v>
      </c>
      <c r="O442" s="109">
        <f t="shared" si="119"/>
        <v>0.5444382647</v>
      </c>
      <c r="P442" s="110">
        <f t="shared" si="5"/>
        <v>1.836755542</v>
      </c>
      <c r="Q442" s="109">
        <f t="shared" si="6"/>
        <v>0.4355506118</v>
      </c>
      <c r="R442" s="111">
        <f t="shared" si="7"/>
        <v>0.8</v>
      </c>
      <c r="S442" s="112">
        <f t="shared" si="118"/>
        <v>44.95</v>
      </c>
      <c r="T442" s="113">
        <f t="shared" si="9"/>
        <v>24.4725</v>
      </c>
      <c r="U442" s="172"/>
      <c r="V442" s="172"/>
      <c r="W442" s="172"/>
      <c r="X442" s="172"/>
      <c r="Y442" s="173"/>
      <c r="Z442" s="165"/>
      <c r="AA442" s="165"/>
    </row>
    <row r="443" hidden="1" outlineLevel="1">
      <c r="A443" s="148" t="str">
        <f t="shared" ref="A443:A444" si="120">iferror(if(B443&gt;0,month(B443)&amp;"-"&amp;year(B443),B443),)</f>
        <v>5-2025</v>
      </c>
      <c r="B443" s="99">
        <v>45808.0</v>
      </c>
      <c r="C443" s="100" t="s">
        <v>49</v>
      </c>
      <c r="D443" s="146">
        <v>192.0</v>
      </c>
      <c r="E443" s="105">
        <v>96.0</v>
      </c>
      <c r="F443" s="103">
        <v>2.0</v>
      </c>
      <c r="G443" s="103">
        <v>1.0</v>
      </c>
      <c r="H443" s="104">
        <f t="shared" si="1"/>
        <v>2</v>
      </c>
      <c r="I443" s="105">
        <f t="shared" si="2"/>
        <v>96</v>
      </c>
      <c r="J443" s="106">
        <f t="shared" si="3"/>
        <v>48</v>
      </c>
      <c r="K443" s="146">
        <v>4.47</v>
      </c>
      <c r="L443" s="103">
        <v>5564.0</v>
      </c>
      <c r="M443" s="103">
        <v>0.0</v>
      </c>
      <c r="N443" s="147">
        <v>0.0</v>
      </c>
      <c r="O443" s="109" t="str">
        <f t="shared" si="119"/>
        <v>#DIV/0!</v>
      </c>
      <c r="P443" s="110">
        <f t="shared" si="5"/>
        <v>0</v>
      </c>
      <c r="Q443" s="109">
        <f t="shared" si="6"/>
        <v>0.02328125</v>
      </c>
      <c r="R443" s="111">
        <f t="shared" si="7"/>
        <v>0</v>
      </c>
      <c r="S443" s="112">
        <f t="shared" si="118"/>
        <v>192</v>
      </c>
      <c r="T443" s="113" t="str">
        <f t="shared" si="9"/>
        <v>#DIV/0!</v>
      </c>
      <c r="U443" s="172"/>
      <c r="V443" s="172"/>
      <c r="W443" s="172"/>
      <c r="X443" s="172"/>
      <c r="Y443" s="173"/>
      <c r="Z443" s="165"/>
      <c r="AA443" s="165"/>
    </row>
    <row r="444" collapsed="1">
      <c r="A444" s="165" t="str">
        <f t="shared" si="120"/>
        <v/>
      </c>
      <c r="B444" s="80" t="s">
        <v>109</v>
      </c>
      <c r="C444" s="201"/>
      <c r="D444" s="151">
        <f>SUM(D427:D443)</f>
        <v>7408.28</v>
      </c>
      <c r="E444" s="400"/>
      <c r="F444" s="153">
        <f t="shared" ref="F444:G444" si="121">SUM(F427:F443)</f>
        <v>57</v>
      </c>
      <c r="G444" s="153">
        <f t="shared" si="121"/>
        <v>54</v>
      </c>
      <c r="H444" s="154">
        <f t="shared" si="1"/>
        <v>1.055555556</v>
      </c>
      <c r="I444" s="155">
        <f t="shared" si="2"/>
        <v>129.9698246</v>
      </c>
      <c r="J444" s="156">
        <f t="shared" si="3"/>
        <v>123.1293075</v>
      </c>
      <c r="K444" s="151">
        <f t="shared" ref="K444:N444" si="122">SUM(K427:K443)</f>
        <v>671.86</v>
      </c>
      <c r="L444" s="153">
        <f t="shared" si="122"/>
        <v>264876</v>
      </c>
      <c r="M444" s="153">
        <f t="shared" si="122"/>
        <v>18</v>
      </c>
      <c r="N444" s="157">
        <f t="shared" si="122"/>
        <v>2078.84</v>
      </c>
      <c r="O444" s="158">
        <f t="shared" si="119"/>
        <v>0.3231898559</v>
      </c>
      <c r="P444" s="159">
        <f t="shared" si="5"/>
        <v>3.094156521</v>
      </c>
      <c r="Q444" s="158">
        <f t="shared" si="6"/>
        <v>0.09069041667</v>
      </c>
      <c r="R444" s="160">
        <f t="shared" si="7"/>
        <v>0.2806103441</v>
      </c>
      <c r="S444" s="161">
        <f>SUM(S427:S443)</f>
        <v>5329.44</v>
      </c>
      <c r="T444" s="162">
        <f t="shared" si="9"/>
        <v>37.32555556</v>
      </c>
      <c r="U444" s="399">
        <f>IFERROR((D444-D246)/D444,)</f>
        <v>-0.02335764847</v>
      </c>
      <c r="V444" s="399">
        <f>IFERROR((F444-F246)/F444,)</f>
        <v>-0.649122807</v>
      </c>
      <c r="W444" s="398" t="str">
        <f>IFERROR((D444-monthly_reporting_2021!E235)/D444, )</f>
        <v/>
      </c>
      <c r="X444" s="398" t="str">
        <f>IFERROR((F444-monthly_reporting_2021!F235)/F444, )</f>
        <v/>
      </c>
      <c r="Y444" s="165"/>
      <c r="Z444" s="165"/>
      <c r="AA444" s="165"/>
    </row>
    <row r="445" hidden="1" outlineLevel="1">
      <c r="A445" s="165"/>
      <c r="B445" s="99">
        <v>45809.0</v>
      </c>
      <c r="C445" s="100" t="s">
        <v>32</v>
      </c>
      <c r="D445" s="101">
        <v>4636.71</v>
      </c>
      <c r="E445" s="401"/>
      <c r="F445" s="103">
        <v>14.0</v>
      </c>
      <c r="G445" s="103">
        <v>17.0</v>
      </c>
      <c r="H445" s="104">
        <f t="shared" si="1"/>
        <v>0.8235294118</v>
      </c>
      <c r="I445" s="105">
        <f t="shared" si="2"/>
        <v>331.1935714</v>
      </c>
      <c r="J445" s="106">
        <f t="shared" si="3"/>
        <v>402.1636224</v>
      </c>
      <c r="K445" s="107">
        <v>388.85</v>
      </c>
      <c r="L445" s="103">
        <v>109811.0</v>
      </c>
      <c r="M445" s="103">
        <v>3.0</v>
      </c>
      <c r="N445" s="108">
        <v>1407.0</v>
      </c>
      <c r="O445" s="109">
        <f t="shared" si="119"/>
        <v>0.2763681592</v>
      </c>
      <c r="P445" s="110">
        <f t="shared" si="5"/>
        <v>3.618361836</v>
      </c>
      <c r="Q445" s="109">
        <f t="shared" si="6"/>
        <v>0.08386334276</v>
      </c>
      <c r="R445" s="111">
        <f t="shared" si="7"/>
        <v>0.3034479189</v>
      </c>
      <c r="S445" s="112">
        <f t="shared" ref="S445:S461" si="123">D445-N445</f>
        <v>3229.71</v>
      </c>
      <c r="T445" s="113">
        <f t="shared" si="9"/>
        <v>129.6166667</v>
      </c>
      <c r="U445" s="172"/>
      <c r="V445" s="172"/>
      <c r="W445" s="172"/>
      <c r="X445" s="172"/>
      <c r="Y445" s="173"/>
      <c r="Z445" s="165"/>
      <c r="AA445" s="165"/>
    </row>
    <row r="446" hidden="1" outlineLevel="1">
      <c r="A446" s="165"/>
      <c r="B446" s="174"/>
      <c r="C446" s="100" t="s">
        <v>33</v>
      </c>
      <c r="D446" s="117">
        <v>3950.14</v>
      </c>
      <c r="E446" s="401"/>
      <c r="F446" s="103">
        <v>25.0</v>
      </c>
      <c r="G446" s="103">
        <v>27.0</v>
      </c>
      <c r="H446" s="104">
        <f t="shared" si="1"/>
        <v>0.9259259259</v>
      </c>
      <c r="I446" s="105">
        <f t="shared" si="2"/>
        <v>158.0056</v>
      </c>
      <c r="J446" s="106">
        <f t="shared" si="3"/>
        <v>170.646048</v>
      </c>
      <c r="K446" s="117">
        <v>219.82</v>
      </c>
      <c r="L446" s="103">
        <v>82468.0</v>
      </c>
      <c r="M446" s="103">
        <v>11.0</v>
      </c>
      <c r="N446" s="118">
        <v>1263.7</v>
      </c>
      <c r="O446" s="109">
        <f t="shared" si="119"/>
        <v>0.1739495133</v>
      </c>
      <c r="P446" s="110">
        <f t="shared" si="5"/>
        <v>5.748794468</v>
      </c>
      <c r="Q446" s="109">
        <f t="shared" si="6"/>
        <v>0.05564866055</v>
      </c>
      <c r="R446" s="111">
        <f t="shared" si="7"/>
        <v>0.319912712</v>
      </c>
      <c r="S446" s="119">
        <f t="shared" si="123"/>
        <v>2686.44</v>
      </c>
      <c r="T446" s="113">
        <f t="shared" si="9"/>
        <v>19.98363636</v>
      </c>
      <c r="U446" s="172"/>
      <c r="V446" s="172"/>
      <c r="W446" s="172"/>
      <c r="X446" s="172"/>
      <c r="Y446" s="173"/>
      <c r="Z446" s="165"/>
      <c r="AA446" s="165"/>
    </row>
    <row r="447" hidden="1" outlineLevel="1">
      <c r="A447" s="165"/>
      <c r="B447" s="174"/>
      <c r="C447" s="100" t="s">
        <v>34</v>
      </c>
      <c r="D447" s="120">
        <v>69.95</v>
      </c>
      <c r="E447" s="401"/>
      <c r="F447" s="103">
        <v>1.0</v>
      </c>
      <c r="G447" s="103">
        <v>1.0</v>
      </c>
      <c r="H447" s="104">
        <f t="shared" si="1"/>
        <v>1</v>
      </c>
      <c r="I447" s="105">
        <f t="shared" si="2"/>
        <v>69.95</v>
      </c>
      <c r="J447" s="106">
        <f t="shared" si="3"/>
        <v>69.95</v>
      </c>
      <c r="K447" s="120">
        <v>0.0</v>
      </c>
      <c r="L447" s="103">
        <v>0.0</v>
      </c>
      <c r="M447" s="103">
        <v>0.0</v>
      </c>
      <c r="N447" s="121">
        <v>0.0</v>
      </c>
      <c r="O447" s="109" t="str">
        <f>(K447/N447)</f>
        <v>#DIV/0!</v>
      </c>
      <c r="P447" s="110" t="str">
        <f t="shared" si="5"/>
        <v>#DIV/0!</v>
      </c>
      <c r="Q447" s="109">
        <f t="shared" si="6"/>
        <v>0</v>
      </c>
      <c r="R447" s="111">
        <f t="shared" si="7"/>
        <v>0</v>
      </c>
      <c r="S447" s="122">
        <f t="shared" si="123"/>
        <v>69.95</v>
      </c>
      <c r="T447" s="113" t="str">
        <f t="shared" si="9"/>
        <v>#DIV/0!</v>
      </c>
      <c r="U447" s="172"/>
      <c r="V447" s="172"/>
      <c r="W447" s="172"/>
      <c r="X447" s="172"/>
      <c r="Y447" s="173"/>
      <c r="Z447" s="165"/>
      <c r="AA447" s="165"/>
    </row>
    <row r="448" hidden="1" outlineLevel="1">
      <c r="A448" s="165"/>
      <c r="B448" s="174"/>
      <c r="C448" s="100" t="s">
        <v>35</v>
      </c>
      <c r="D448" s="120">
        <v>242.8</v>
      </c>
      <c r="E448" s="401"/>
      <c r="F448" s="103">
        <v>4.0</v>
      </c>
      <c r="G448" s="103">
        <v>4.0</v>
      </c>
      <c r="H448" s="104">
        <f t="shared" si="1"/>
        <v>1</v>
      </c>
      <c r="I448" s="105">
        <f t="shared" si="2"/>
        <v>60.7</v>
      </c>
      <c r="J448" s="106">
        <f t="shared" si="3"/>
        <v>60.7</v>
      </c>
      <c r="K448" s="120">
        <v>56.6</v>
      </c>
      <c r="L448" s="103">
        <v>3246.0</v>
      </c>
      <c r="M448" s="103">
        <v>3.0</v>
      </c>
      <c r="N448" s="121">
        <v>179.85</v>
      </c>
      <c r="O448" s="109">
        <f t="shared" ref="O448:O464" si="124">K448/N448</f>
        <v>0.3147067</v>
      </c>
      <c r="P448" s="110">
        <f t="shared" si="5"/>
        <v>3.177561837</v>
      </c>
      <c r="Q448" s="109">
        <f t="shared" si="6"/>
        <v>0.2331136738</v>
      </c>
      <c r="R448" s="111">
        <f t="shared" si="7"/>
        <v>0.7407331137</v>
      </c>
      <c r="S448" s="122">
        <f t="shared" si="123"/>
        <v>62.95</v>
      </c>
      <c r="T448" s="113">
        <f t="shared" si="9"/>
        <v>18.86666667</v>
      </c>
      <c r="U448" s="172"/>
      <c r="V448" s="172"/>
      <c r="W448" s="172"/>
      <c r="X448" s="172"/>
      <c r="Y448" s="173"/>
      <c r="Z448" s="165"/>
      <c r="AA448" s="165"/>
    </row>
    <row r="449" hidden="1" outlineLevel="1">
      <c r="A449" s="165"/>
      <c r="B449" s="174"/>
      <c r="C449" s="100" t="s">
        <v>65</v>
      </c>
      <c r="D449" s="300">
        <v>0.0</v>
      </c>
      <c r="E449" s="401"/>
      <c r="F449" s="103">
        <v>0.0</v>
      </c>
      <c r="G449" s="103">
        <v>0.0</v>
      </c>
      <c r="H449" s="104" t="str">
        <f t="shared" si="1"/>
        <v>#DIV/0!</v>
      </c>
      <c r="I449" s="105" t="str">
        <f t="shared" si="2"/>
        <v>#DIV/0!</v>
      </c>
      <c r="J449" s="106" t="str">
        <f t="shared" si="3"/>
        <v>#DIV/0!</v>
      </c>
      <c r="K449" s="300">
        <v>0.0</v>
      </c>
      <c r="L449" s="103">
        <v>0.0</v>
      </c>
      <c r="M449" s="103">
        <v>0.0</v>
      </c>
      <c r="N449" s="300">
        <v>0.0</v>
      </c>
      <c r="O449" s="109" t="str">
        <f t="shared" si="124"/>
        <v>#DIV/0!</v>
      </c>
      <c r="P449" s="110" t="str">
        <f t="shared" si="5"/>
        <v>#DIV/0!</v>
      </c>
      <c r="Q449" s="109" t="str">
        <f t="shared" si="6"/>
        <v>#DIV/0!</v>
      </c>
      <c r="R449" s="111" t="str">
        <f t="shared" si="7"/>
        <v>#DIV/0!</v>
      </c>
      <c r="S449" s="122">
        <f t="shared" si="123"/>
        <v>0</v>
      </c>
      <c r="T449" s="113" t="str">
        <f t="shared" si="9"/>
        <v>#DIV/0!</v>
      </c>
      <c r="U449" s="172"/>
      <c r="V449" s="172"/>
      <c r="W449" s="172"/>
      <c r="X449" s="172"/>
      <c r="Y449" s="173"/>
      <c r="Z449" s="165"/>
      <c r="AA449" s="165"/>
    </row>
    <row r="450" hidden="1" outlineLevel="1">
      <c r="A450" s="165"/>
      <c r="B450" s="174"/>
      <c r="C450" s="100" t="s">
        <v>85</v>
      </c>
      <c r="D450" s="302">
        <v>0.0</v>
      </c>
      <c r="E450" s="401"/>
      <c r="F450" s="103">
        <v>0.0</v>
      </c>
      <c r="G450" s="103">
        <v>0.0</v>
      </c>
      <c r="H450" s="104" t="str">
        <f t="shared" si="1"/>
        <v>#DIV/0!</v>
      </c>
      <c r="I450" s="105" t="str">
        <f t="shared" si="2"/>
        <v>#DIV/0!</v>
      </c>
      <c r="J450" s="106" t="str">
        <f t="shared" si="3"/>
        <v>#DIV/0!</v>
      </c>
      <c r="K450" s="302">
        <v>0.0</v>
      </c>
      <c r="L450" s="103">
        <v>0.0</v>
      </c>
      <c r="M450" s="103">
        <v>0.0</v>
      </c>
      <c r="N450" s="303">
        <v>0.0</v>
      </c>
      <c r="O450" s="109" t="str">
        <f t="shared" si="124"/>
        <v>#DIV/0!</v>
      </c>
      <c r="P450" s="110" t="str">
        <f t="shared" si="5"/>
        <v>#DIV/0!</v>
      </c>
      <c r="Q450" s="109" t="str">
        <f t="shared" si="6"/>
        <v>#DIV/0!</v>
      </c>
      <c r="R450" s="111" t="str">
        <f t="shared" si="7"/>
        <v>#DIV/0!</v>
      </c>
      <c r="S450" s="304">
        <f t="shared" si="123"/>
        <v>0</v>
      </c>
      <c r="T450" s="113" t="str">
        <f t="shared" si="9"/>
        <v>#DIV/0!</v>
      </c>
      <c r="U450" s="172"/>
      <c r="V450" s="172"/>
      <c r="W450" s="172"/>
      <c r="X450" s="172"/>
      <c r="Y450" s="173"/>
      <c r="Z450" s="165"/>
      <c r="AA450" s="165"/>
    </row>
    <row r="451" hidden="1" outlineLevel="1">
      <c r="A451" s="165"/>
      <c r="B451" s="174"/>
      <c r="C451" s="100" t="s">
        <v>36</v>
      </c>
      <c r="D451" s="120">
        <v>0.0</v>
      </c>
      <c r="E451" s="401"/>
      <c r="F451" s="103">
        <v>0.0</v>
      </c>
      <c r="G451" s="103">
        <v>0.0</v>
      </c>
      <c r="H451" s="104" t="str">
        <f t="shared" si="1"/>
        <v>#DIV/0!</v>
      </c>
      <c r="I451" s="105" t="str">
        <f t="shared" si="2"/>
        <v>#DIV/0!</v>
      </c>
      <c r="J451" s="106" t="str">
        <f t="shared" si="3"/>
        <v>#DIV/0!</v>
      </c>
      <c r="K451" s="120">
        <v>8.31</v>
      </c>
      <c r="L451" s="103">
        <v>1217.0</v>
      </c>
      <c r="M451" s="103">
        <v>0.0</v>
      </c>
      <c r="N451" s="121">
        <v>0.0</v>
      </c>
      <c r="O451" s="109" t="str">
        <f t="shared" si="124"/>
        <v>#DIV/0!</v>
      </c>
      <c r="P451" s="110">
        <f t="shared" si="5"/>
        <v>0</v>
      </c>
      <c r="Q451" s="109" t="str">
        <f t="shared" si="6"/>
        <v>#DIV/0!</v>
      </c>
      <c r="R451" s="111" t="str">
        <f t="shared" si="7"/>
        <v>#DIV/0!</v>
      </c>
      <c r="S451" s="122">
        <f t="shared" si="123"/>
        <v>0</v>
      </c>
      <c r="T451" s="113" t="str">
        <f t="shared" si="9"/>
        <v>#DIV/0!</v>
      </c>
      <c r="U451" s="172"/>
      <c r="V451" s="172"/>
      <c r="W451" s="172"/>
      <c r="X451" s="172"/>
      <c r="Y451" s="173"/>
      <c r="Z451" s="165"/>
      <c r="AA451" s="165"/>
    </row>
    <row r="452" hidden="1" outlineLevel="1">
      <c r="A452" s="165"/>
      <c r="B452" s="99" t="s">
        <v>37</v>
      </c>
      <c r="C452" s="100" t="s">
        <v>38</v>
      </c>
      <c r="D452" s="123">
        <v>89.85</v>
      </c>
      <c r="E452" s="401"/>
      <c r="F452" s="103">
        <v>3.0</v>
      </c>
      <c r="G452" s="103">
        <v>3.0</v>
      </c>
      <c r="H452" s="104">
        <f t="shared" si="1"/>
        <v>1</v>
      </c>
      <c r="I452" s="105">
        <f t="shared" si="2"/>
        <v>29.95</v>
      </c>
      <c r="J452" s="106">
        <f t="shared" si="3"/>
        <v>29.95</v>
      </c>
      <c r="K452" s="123">
        <v>53.65</v>
      </c>
      <c r="L452" s="103">
        <v>15664.0</v>
      </c>
      <c r="M452" s="103">
        <v>2.0</v>
      </c>
      <c r="N452" s="124">
        <v>59.9</v>
      </c>
      <c r="O452" s="109">
        <f t="shared" si="124"/>
        <v>0.8956594324</v>
      </c>
      <c r="P452" s="110">
        <f t="shared" si="5"/>
        <v>1.116495806</v>
      </c>
      <c r="Q452" s="109">
        <f t="shared" si="6"/>
        <v>0.5971062883</v>
      </c>
      <c r="R452" s="111">
        <f t="shared" si="7"/>
        <v>0.6666666667</v>
      </c>
      <c r="S452" s="125">
        <f t="shared" si="123"/>
        <v>29.95</v>
      </c>
      <c r="T452" s="113">
        <f t="shared" si="9"/>
        <v>26.825</v>
      </c>
      <c r="U452" s="172"/>
      <c r="V452" s="172"/>
      <c r="W452" s="172"/>
      <c r="X452" s="172"/>
      <c r="Y452" s="173"/>
      <c r="Z452" s="165"/>
      <c r="AA452" s="165"/>
    </row>
    <row r="453" hidden="1" outlineLevel="1">
      <c r="A453" s="165"/>
      <c r="B453" s="174"/>
      <c r="C453" s="100" t="s">
        <v>39</v>
      </c>
      <c r="D453" s="126">
        <v>0.0</v>
      </c>
      <c r="E453" s="401"/>
      <c r="F453" s="103">
        <v>0.0</v>
      </c>
      <c r="G453" s="103">
        <v>0.0</v>
      </c>
      <c r="H453" s="104" t="str">
        <f t="shared" si="1"/>
        <v>#DIV/0!</v>
      </c>
      <c r="I453" s="105" t="str">
        <f t="shared" si="2"/>
        <v>#DIV/0!</v>
      </c>
      <c r="J453" s="106" t="str">
        <f t="shared" si="3"/>
        <v>#DIV/0!</v>
      </c>
      <c r="K453" s="126">
        <v>0.0</v>
      </c>
      <c r="L453" s="103">
        <v>0.0</v>
      </c>
      <c r="M453" s="103">
        <v>0.0</v>
      </c>
      <c r="N453" s="127">
        <v>0.0</v>
      </c>
      <c r="O453" s="109" t="str">
        <f t="shared" si="124"/>
        <v>#DIV/0!</v>
      </c>
      <c r="P453" s="110" t="str">
        <f t="shared" si="5"/>
        <v>#DIV/0!</v>
      </c>
      <c r="Q453" s="109" t="str">
        <f t="shared" si="6"/>
        <v>#DIV/0!</v>
      </c>
      <c r="R453" s="111" t="str">
        <f t="shared" si="7"/>
        <v>#DIV/0!</v>
      </c>
      <c r="S453" s="128">
        <f t="shared" si="123"/>
        <v>0</v>
      </c>
      <c r="T453" s="113" t="str">
        <f t="shared" si="9"/>
        <v>#DIV/0!</v>
      </c>
      <c r="U453" s="172"/>
      <c r="V453" s="172"/>
      <c r="W453" s="172"/>
      <c r="X453" s="172"/>
      <c r="Y453" s="173"/>
      <c r="Z453" s="165"/>
      <c r="AA453" s="165"/>
    </row>
    <row r="454" hidden="1" outlineLevel="1">
      <c r="A454" s="165"/>
      <c r="B454" s="174"/>
      <c r="C454" s="100" t="s">
        <v>40</v>
      </c>
      <c r="D454" s="129">
        <v>0.0</v>
      </c>
      <c r="E454" s="401"/>
      <c r="F454" s="103">
        <v>0.0</v>
      </c>
      <c r="G454" s="103">
        <v>0.0</v>
      </c>
      <c r="H454" s="104" t="str">
        <f t="shared" si="1"/>
        <v>#DIV/0!</v>
      </c>
      <c r="I454" s="105" t="str">
        <f t="shared" si="2"/>
        <v>#DIV/0!</v>
      </c>
      <c r="J454" s="106" t="str">
        <f t="shared" si="3"/>
        <v>#DIV/0!</v>
      </c>
      <c r="K454" s="129">
        <v>0.0</v>
      </c>
      <c r="L454" s="103">
        <v>0.0</v>
      </c>
      <c r="M454" s="103">
        <v>0.0</v>
      </c>
      <c r="N454" s="130">
        <v>0.0</v>
      </c>
      <c r="O454" s="109" t="str">
        <f t="shared" si="124"/>
        <v>#DIV/0!</v>
      </c>
      <c r="P454" s="110" t="str">
        <f t="shared" si="5"/>
        <v>#DIV/0!</v>
      </c>
      <c r="Q454" s="109" t="str">
        <f t="shared" si="6"/>
        <v>#DIV/0!</v>
      </c>
      <c r="R454" s="111" t="str">
        <f t="shared" si="7"/>
        <v>#DIV/0!</v>
      </c>
      <c r="S454" s="131">
        <f t="shared" si="123"/>
        <v>0</v>
      </c>
      <c r="T454" s="113" t="str">
        <f t="shared" si="9"/>
        <v>#DIV/0!</v>
      </c>
      <c r="U454" s="172"/>
      <c r="V454" s="172"/>
      <c r="W454" s="172"/>
      <c r="X454" s="172"/>
      <c r="Y454" s="173"/>
      <c r="Z454" s="165"/>
      <c r="AA454" s="165"/>
    </row>
    <row r="455" hidden="1" outlineLevel="1">
      <c r="A455" s="165"/>
      <c r="B455" s="174"/>
      <c r="C455" s="100" t="s">
        <v>41</v>
      </c>
      <c r="D455" s="132">
        <v>109.98</v>
      </c>
      <c r="E455" s="401"/>
      <c r="F455" s="103">
        <v>2.0</v>
      </c>
      <c r="G455" s="103">
        <v>2.0</v>
      </c>
      <c r="H455" s="104">
        <f t="shared" si="1"/>
        <v>1</v>
      </c>
      <c r="I455" s="105">
        <f t="shared" si="2"/>
        <v>54.99</v>
      </c>
      <c r="J455" s="106">
        <f t="shared" si="3"/>
        <v>54.99</v>
      </c>
      <c r="K455" s="132">
        <v>55.42</v>
      </c>
      <c r="L455" s="103">
        <v>6823.0</v>
      </c>
      <c r="M455" s="103">
        <v>0.0</v>
      </c>
      <c r="N455" s="133">
        <v>0.0</v>
      </c>
      <c r="O455" s="109" t="str">
        <f t="shared" si="124"/>
        <v>#DIV/0!</v>
      </c>
      <c r="P455" s="110">
        <f t="shared" si="5"/>
        <v>0</v>
      </c>
      <c r="Q455" s="109">
        <f t="shared" si="6"/>
        <v>0.5039098018</v>
      </c>
      <c r="R455" s="111">
        <f t="shared" si="7"/>
        <v>0</v>
      </c>
      <c r="S455" s="134">
        <f t="shared" si="123"/>
        <v>109.98</v>
      </c>
      <c r="T455" s="113" t="str">
        <f t="shared" si="9"/>
        <v>#DIV/0!</v>
      </c>
      <c r="U455" s="172"/>
      <c r="V455" s="172"/>
      <c r="W455" s="172"/>
      <c r="X455" s="172"/>
      <c r="Y455" s="173"/>
      <c r="Z455" s="165"/>
      <c r="AA455" s="165"/>
    </row>
    <row r="456" hidden="1" outlineLevel="1">
      <c r="A456" s="165"/>
      <c r="B456" s="174"/>
      <c r="C456" s="100" t="s">
        <v>42</v>
      </c>
      <c r="D456" s="120">
        <v>39.98</v>
      </c>
      <c r="E456" s="401"/>
      <c r="F456" s="103">
        <v>2.0</v>
      </c>
      <c r="G456" s="103">
        <v>1.0</v>
      </c>
      <c r="H456" s="104">
        <f t="shared" si="1"/>
        <v>2</v>
      </c>
      <c r="I456" s="105">
        <f t="shared" si="2"/>
        <v>19.99</v>
      </c>
      <c r="J456" s="106">
        <f t="shared" si="3"/>
        <v>9.995</v>
      </c>
      <c r="K456" s="120">
        <v>3.0</v>
      </c>
      <c r="L456" s="103">
        <v>12079.0</v>
      </c>
      <c r="M456" s="103">
        <v>0.0</v>
      </c>
      <c r="N456" s="121">
        <v>0.0</v>
      </c>
      <c r="O456" s="109" t="str">
        <f t="shared" si="124"/>
        <v>#DIV/0!</v>
      </c>
      <c r="P456" s="110">
        <f t="shared" si="5"/>
        <v>0</v>
      </c>
      <c r="Q456" s="109">
        <f t="shared" si="6"/>
        <v>0.07503751876</v>
      </c>
      <c r="R456" s="111">
        <f t="shared" si="7"/>
        <v>0</v>
      </c>
      <c r="S456" s="122">
        <f t="shared" si="123"/>
        <v>39.98</v>
      </c>
      <c r="T456" s="113" t="str">
        <f t="shared" si="9"/>
        <v>#DIV/0!</v>
      </c>
      <c r="U456" s="172"/>
      <c r="V456" s="172"/>
      <c r="W456" s="172"/>
      <c r="X456" s="172"/>
      <c r="Y456" s="173"/>
      <c r="Z456" s="165"/>
      <c r="AA456" s="165"/>
    </row>
    <row r="457" hidden="1" outlineLevel="1">
      <c r="A457" s="165"/>
      <c r="B457" s="174"/>
      <c r="C457" s="100" t="s">
        <v>43</v>
      </c>
      <c r="D457" s="135">
        <v>205.95</v>
      </c>
      <c r="E457" s="401"/>
      <c r="F457" s="103">
        <v>1.0</v>
      </c>
      <c r="G457" s="103">
        <v>1.0</v>
      </c>
      <c r="H457" s="104">
        <f t="shared" si="1"/>
        <v>1</v>
      </c>
      <c r="I457" s="105">
        <f t="shared" si="2"/>
        <v>205.95</v>
      </c>
      <c r="J457" s="106">
        <f t="shared" si="3"/>
        <v>205.95</v>
      </c>
      <c r="K457" s="135">
        <v>15.29</v>
      </c>
      <c r="L457" s="103">
        <v>24325.0</v>
      </c>
      <c r="M457" s="103">
        <v>1.0</v>
      </c>
      <c r="N457" s="136">
        <v>205.95</v>
      </c>
      <c r="O457" s="109">
        <f t="shared" si="124"/>
        <v>0.07424132071</v>
      </c>
      <c r="P457" s="110">
        <f t="shared" si="5"/>
        <v>13.46958797</v>
      </c>
      <c r="Q457" s="109">
        <f t="shared" si="6"/>
        <v>0.07424132071</v>
      </c>
      <c r="R457" s="111">
        <f t="shared" si="7"/>
        <v>1</v>
      </c>
      <c r="S457" s="137">
        <f t="shared" si="123"/>
        <v>0</v>
      </c>
      <c r="T457" s="113">
        <f t="shared" si="9"/>
        <v>15.29</v>
      </c>
      <c r="U457" s="172"/>
      <c r="V457" s="172"/>
      <c r="W457" s="172"/>
      <c r="X457" s="172"/>
      <c r="Y457" s="173"/>
      <c r="Z457" s="165"/>
      <c r="AA457" s="165"/>
    </row>
    <row r="458" hidden="1" outlineLevel="1">
      <c r="A458" s="165"/>
      <c r="B458" s="174"/>
      <c r="C458" s="100" t="s">
        <v>44</v>
      </c>
      <c r="D458" s="138">
        <v>44.95</v>
      </c>
      <c r="E458" s="401"/>
      <c r="F458" s="103">
        <v>1.0</v>
      </c>
      <c r="G458" s="103">
        <v>2.0</v>
      </c>
      <c r="H458" s="104">
        <f t="shared" si="1"/>
        <v>0.5</v>
      </c>
      <c r="I458" s="105">
        <f t="shared" si="2"/>
        <v>44.95</v>
      </c>
      <c r="J458" s="106">
        <f t="shared" si="3"/>
        <v>89.9</v>
      </c>
      <c r="K458" s="138">
        <v>18.23</v>
      </c>
      <c r="L458" s="103">
        <v>10368.0</v>
      </c>
      <c r="M458" s="103">
        <v>2.0</v>
      </c>
      <c r="N458" s="139">
        <v>89.9</v>
      </c>
      <c r="O458" s="109">
        <f t="shared" si="124"/>
        <v>0.2027808676</v>
      </c>
      <c r="P458" s="110">
        <f t="shared" si="5"/>
        <v>4.931431706</v>
      </c>
      <c r="Q458" s="109">
        <f t="shared" si="6"/>
        <v>0.4055617353</v>
      </c>
      <c r="R458" s="111">
        <f t="shared" si="7"/>
        <v>2</v>
      </c>
      <c r="S458" s="140">
        <f t="shared" si="123"/>
        <v>-44.95</v>
      </c>
      <c r="T458" s="113">
        <f t="shared" si="9"/>
        <v>9.115</v>
      </c>
      <c r="U458" s="172"/>
      <c r="V458" s="172"/>
      <c r="W458" s="172"/>
      <c r="X458" s="172"/>
      <c r="Y458" s="173"/>
      <c r="Z458" s="165"/>
      <c r="AA458" s="165"/>
    </row>
    <row r="459" hidden="1" outlineLevel="1">
      <c r="A459" s="192"/>
      <c r="B459" s="174"/>
      <c r="C459" s="142" t="s">
        <v>45</v>
      </c>
      <c r="D459" s="101">
        <v>69.8</v>
      </c>
      <c r="E459" s="401"/>
      <c r="F459" s="103">
        <v>4.0</v>
      </c>
      <c r="G459" s="103">
        <v>2.0</v>
      </c>
      <c r="H459" s="104">
        <f t="shared" si="1"/>
        <v>2</v>
      </c>
      <c r="I459" s="105">
        <f t="shared" si="2"/>
        <v>17.45</v>
      </c>
      <c r="J459" s="106">
        <f t="shared" si="3"/>
        <v>8.725</v>
      </c>
      <c r="K459" s="101">
        <v>0.0</v>
      </c>
      <c r="L459" s="103">
        <v>0.0</v>
      </c>
      <c r="M459" s="103">
        <v>0.0</v>
      </c>
      <c r="N459" s="108">
        <v>0.0</v>
      </c>
      <c r="O459" s="109" t="str">
        <f t="shared" si="124"/>
        <v>#DIV/0!</v>
      </c>
      <c r="P459" s="110" t="str">
        <f t="shared" si="5"/>
        <v>#DIV/0!</v>
      </c>
      <c r="Q459" s="109">
        <f t="shared" si="6"/>
        <v>0</v>
      </c>
      <c r="R459" s="111">
        <f t="shared" si="7"/>
        <v>0</v>
      </c>
      <c r="S459" s="112">
        <f t="shared" si="123"/>
        <v>69.8</v>
      </c>
      <c r="T459" s="113" t="str">
        <f t="shared" si="9"/>
        <v>#DIV/0!</v>
      </c>
      <c r="U459" s="193"/>
      <c r="V459" s="193"/>
      <c r="W459" s="193"/>
      <c r="X459" s="194"/>
      <c r="Y459" s="195"/>
      <c r="Z459" s="165"/>
      <c r="AA459" s="165"/>
    </row>
    <row r="460" hidden="1" outlineLevel="1">
      <c r="A460" s="165"/>
      <c r="B460" s="174"/>
      <c r="C460" s="100" t="s">
        <v>46</v>
      </c>
      <c r="D460" s="146">
        <v>310.16</v>
      </c>
      <c r="E460" s="401"/>
      <c r="F460" s="103">
        <v>7.0</v>
      </c>
      <c r="G460" s="103">
        <v>8.0</v>
      </c>
      <c r="H460" s="104">
        <f t="shared" si="1"/>
        <v>0.875</v>
      </c>
      <c r="I460" s="105">
        <f t="shared" si="2"/>
        <v>44.30857143</v>
      </c>
      <c r="J460" s="106">
        <f t="shared" si="3"/>
        <v>50.63836735</v>
      </c>
      <c r="K460" s="146">
        <v>66.59</v>
      </c>
      <c r="L460" s="103">
        <v>26183.0</v>
      </c>
      <c r="M460" s="103">
        <v>3.0</v>
      </c>
      <c r="N460" s="147">
        <v>134.85</v>
      </c>
      <c r="O460" s="109">
        <f t="shared" si="124"/>
        <v>0.4938079347</v>
      </c>
      <c r="P460" s="110">
        <f t="shared" si="5"/>
        <v>2.025078841</v>
      </c>
      <c r="Q460" s="109">
        <f t="shared" si="6"/>
        <v>0.214695641</v>
      </c>
      <c r="R460" s="111">
        <f t="shared" si="7"/>
        <v>0.4347755997</v>
      </c>
      <c r="S460" s="112">
        <f t="shared" si="123"/>
        <v>175.31</v>
      </c>
      <c r="T460" s="113">
        <f t="shared" si="9"/>
        <v>22.19666667</v>
      </c>
      <c r="U460" s="172"/>
      <c r="V460" s="172"/>
      <c r="W460" s="172"/>
      <c r="X460" s="172"/>
      <c r="Y460" s="173"/>
      <c r="Z460" s="165"/>
      <c r="AA460" s="165"/>
    </row>
    <row r="461" hidden="1" outlineLevel="1">
      <c r="A461" s="148" t="str">
        <f t="shared" ref="A461:A462" si="125">iferror(if(B461&gt;0,month(B461)&amp;"-"&amp;year(B461),B461),)</f>
        <v>6-2025</v>
      </c>
      <c r="B461" s="99">
        <v>45815.0</v>
      </c>
      <c r="C461" s="100" t="s">
        <v>49</v>
      </c>
      <c r="D461" s="146">
        <v>0.0</v>
      </c>
      <c r="E461" s="401"/>
      <c r="F461" s="103">
        <v>0.0</v>
      </c>
      <c r="G461" s="103">
        <v>0.0</v>
      </c>
      <c r="H461" s="104" t="str">
        <f t="shared" si="1"/>
        <v>#DIV/0!</v>
      </c>
      <c r="I461" s="105" t="str">
        <f t="shared" si="2"/>
        <v>#DIV/0!</v>
      </c>
      <c r="J461" s="106" t="str">
        <f t="shared" si="3"/>
        <v>#DIV/0!</v>
      </c>
      <c r="K461" s="146">
        <v>3.79</v>
      </c>
      <c r="L461" s="103">
        <v>6277.0</v>
      </c>
      <c r="M461" s="103">
        <v>0.0</v>
      </c>
      <c r="N461" s="147">
        <v>0.0</v>
      </c>
      <c r="O461" s="109" t="str">
        <f t="shared" si="124"/>
        <v>#DIV/0!</v>
      </c>
      <c r="P461" s="110">
        <f t="shared" si="5"/>
        <v>0</v>
      </c>
      <c r="Q461" s="109" t="str">
        <f t="shared" si="6"/>
        <v>#DIV/0!</v>
      </c>
      <c r="R461" s="111" t="str">
        <f t="shared" si="7"/>
        <v>#DIV/0!</v>
      </c>
      <c r="S461" s="112">
        <f t="shared" si="123"/>
        <v>0</v>
      </c>
      <c r="T461" s="113" t="str">
        <f t="shared" si="9"/>
        <v>#DIV/0!</v>
      </c>
      <c r="U461" s="172"/>
      <c r="V461" s="172"/>
      <c r="W461" s="172"/>
      <c r="X461" s="172"/>
      <c r="Y461" s="173"/>
      <c r="Z461" s="165"/>
      <c r="AA461" s="165"/>
    </row>
    <row r="462" collapsed="1">
      <c r="A462" s="165" t="str">
        <f t="shared" si="125"/>
        <v/>
      </c>
      <c r="B462" s="80" t="s">
        <v>110</v>
      </c>
      <c r="C462" s="201"/>
      <c r="D462" s="151">
        <f>SUM(D445:D461)</f>
        <v>9770.27</v>
      </c>
      <c r="E462" s="400"/>
      <c r="F462" s="153">
        <f t="shared" ref="F462:G462" si="126">SUM(F445:F461)</f>
        <v>64</v>
      </c>
      <c r="G462" s="153">
        <f t="shared" si="126"/>
        <v>68</v>
      </c>
      <c r="H462" s="154">
        <f t="shared" si="1"/>
        <v>0.9411764706</v>
      </c>
      <c r="I462" s="155">
        <f t="shared" si="2"/>
        <v>152.6604688</v>
      </c>
      <c r="J462" s="156">
        <f t="shared" si="3"/>
        <v>162.201748</v>
      </c>
      <c r="K462" s="151">
        <f t="shared" ref="K462:N462" si="127">SUM(K445:K461)</f>
        <v>889.55</v>
      </c>
      <c r="L462" s="153">
        <f t="shared" si="127"/>
        <v>298461</v>
      </c>
      <c r="M462" s="153">
        <f t="shared" si="127"/>
        <v>25</v>
      </c>
      <c r="N462" s="157">
        <f t="shared" si="127"/>
        <v>3341.15</v>
      </c>
      <c r="O462" s="158">
        <f t="shared" si="124"/>
        <v>0.2662406656</v>
      </c>
      <c r="P462" s="159">
        <f t="shared" si="5"/>
        <v>3.756000225</v>
      </c>
      <c r="Q462" s="158">
        <f t="shared" si="6"/>
        <v>0.09104661386</v>
      </c>
      <c r="R462" s="160">
        <f t="shared" si="7"/>
        <v>0.3419711021</v>
      </c>
      <c r="S462" s="161">
        <f>SUM(S445:S461)</f>
        <v>6429.12</v>
      </c>
      <c r="T462" s="162">
        <f t="shared" si="9"/>
        <v>35.582</v>
      </c>
      <c r="U462" s="163">
        <f>IFERROR((D462-D246)/D462,)</f>
        <v>0.2240419149</v>
      </c>
      <c r="V462" s="399">
        <f>IFERROR((F462-F246)/F462,)</f>
        <v>-0.46875</v>
      </c>
      <c r="W462" s="398" t="str">
        <f>IFERROR((D462-monthly_reporting_2021!E253)/D462, )</f>
        <v/>
      </c>
      <c r="X462" s="398" t="str">
        <f>IFERROR((F462-monthly_reporting_2021!F253)/F462, )</f>
        <v/>
      </c>
      <c r="Y462" s="165"/>
      <c r="Z462" s="165"/>
      <c r="AA462" s="165"/>
    </row>
    <row r="463" hidden="1" outlineLevel="1">
      <c r="A463" s="165"/>
      <c r="B463" s="99">
        <v>45816.0</v>
      </c>
      <c r="C463" s="100" t="s">
        <v>32</v>
      </c>
      <c r="D463" s="101">
        <v>-1273.15</v>
      </c>
      <c r="E463" s="401"/>
      <c r="F463" s="103">
        <v>1.0</v>
      </c>
      <c r="G463" s="103">
        <v>5.0</v>
      </c>
      <c r="H463" s="104">
        <f t="shared" si="1"/>
        <v>0.2</v>
      </c>
      <c r="I463" s="105">
        <f t="shared" si="2"/>
        <v>-1273.15</v>
      </c>
      <c r="J463" s="106">
        <f t="shared" si="3"/>
        <v>-6365.75</v>
      </c>
      <c r="K463" s="107">
        <v>325.78</v>
      </c>
      <c r="L463" s="103">
        <v>92597.0</v>
      </c>
      <c r="M463" s="103">
        <v>2.0</v>
      </c>
      <c r="N463" s="108">
        <v>628.95</v>
      </c>
      <c r="O463" s="109">
        <f t="shared" si="124"/>
        <v>0.5179744018</v>
      </c>
      <c r="P463" s="110">
        <f t="shared" si="5"/>
        <v>1.930597336</v>
      </c>
      <c r="Q463" s="109">
        <f t="shared" si="6"/>
        <v>-0.2558850096</v>
      </c>
      <c r="R463" s="111">
        <f t="shared" si="7"/>
        <v>-0.4940109178</v>
      </c>
      <c r="S463" s="112">
        <f t="shared" ref="S463:S479" si="128">D463-N463</f>
        <v>-1902.1</v>
      </c>
      <c r="T463" s="113">
        <f t="shared" si="9"/>
        <v>162.89</v>
      </c>
      <c r="U463" s="172"/>
      <c r="V463" s="172"/>
      <c r="W463" s="172"/>
      <c r="X463" s="172"/>
      <c r="Y463" s="173"/>
      <c r="Z463" s="165"/>
      <c r="AA463" s="165"/>
    </row>
    <row r="464" hidden="1" outlineLevel="1">
      <c r="A464" s="165"/>
      <c r="B464" s="174"/>
      <c r="C464" s="100" t="s">
        <v>33</v>
      </c>
      <c r="D464" s="117">
        <v>4078.34</v>
      </c>
      <c r="E464" s="401"/>
      <c r="F464" s="103">
        <v>36.0</v>
      </c>
      <c r="G464" s="103">
        <v>40.0</v>
      </c>
      <c r="H464" s="104">
        <f t="shared" si="1"/>
        <v>0.9</v>
      </c>
      <c r="I464" s="105">
        <f t="shared" si="2"/>
        <v>113.2872222</v>
      </c>
      <c r="J464" s="106">
        <f t="shared" si="3"/>
        <v>125.8746914</v>
      </c>
      <c r="K464" s="117">
        <v>245.4</v>
      </c>
      <c r="L464" s="103">
        <v>91425.0</v>
      </c>
      <c r="M464" s="103">
        <v>17.0</v>
      </c>
      <c r="N464" s="118">
        <v>1016.4</v>
      </c>
      <c r="O464" s="109">
        <f t="shared" si="124"/>
        <v>0.2414403778</v>
      </c>
      <c r="P464" s="110">
        <f t="shared" si="5"/>
        <v>4.141809291</v>
      </c>
      <c r="Q464" s="109">
        <f t="shared" si="6"/>
        <v>0.06017154038</v>
      </c>
      <c r="R464" s="111">
        <f t="shared" si="7"/>
        <v>0.249219045</v>
      </c>
      <c r="S464" s="119">
        <f t="shared" si="128"/>
        <v>3061.94</v>
      </c>
      <c r="T464" s="113">
        <f t="shared" si="9"/>
        <v>14.43529412</v>
      </c>
      <c r="U464" s="172"/>
      <c r="V464" s="172"/>
      <c r="W464" s="172"/>
      <c r="X464" s="172"/>
      <c r="Y464" s="173"/>
      <c r="Z464" s="165"/>
      <c r="AA464" s="165"/>
    </row>
    <row r="465" hidden="1" outlineLevel="1">
      <c r="A465" s="165"/>
      <c r="B465" s="174"/>
      <c r="C465" s="100" t="s">
        <v>34</v>
      </c>
      <c r="D465" s="120">
        <v>0.0</v>
      </c>
      <c r="E465" s="401"/>
      <c r="F465" s="103">
        <v>0.0</v>
      </c>
      <c r="G465" s="103">
        <v>0.0</v>
      </c>
      <c r="H465" s="104" t="str">
        <f t="shared" si="1"/>
        <v>#DIV/0!</v>
      </c>
      <c r="I465" s="105" t="str">
        <f t="shared" si="2"/>
        <v>#DIV/0!</v>
      </c>
      <c r="J465" s="106" t="str">
        <f t="shared" si="3"/>
        <v>#DIV/0!</v>
      </c>
      <c r="K465" s="120">
        <v>0.0</v>
      </c>
      <c r="L465" s="103">
        <v>1.0</v>
      </c>
      <c r="M465" s="103">
        <v>0.0</v>
      </c>
      <c r="N465" s="121">
        <v>0.0</v>
      </c>
      <c r="O465" s="109" t="str">
        <f>(K465/N465)</f>
        <v>#DIV/0!</v>
      </c>
      <c r="P465" s="110" t="str">
        <f t="shared" si="5"/>
        <v>#DIV/0!</v>
      </c>
      <c r="Q465" s="109" t="str">
        <f t="shared" si="6"/>
        <v>#DIV/0!</v>
      </c>
      <c r="R465" s="111" t="str">
        <f t="shared" si="7"/>
        <v>#DIV/0!</v>
      </c>
      <c r="S465" s="122">
        <f t="shared" si="128"/>
        <v>0</v>
      </c>
      <c r="T465" s="113" t="str">
        <f t="shared" si="9"/>
        <v>#DIV/0!</v>
      </c>
      <c r="U465" s="172"/>
      <c r="V465" s="172"/>
      <c r="W465" s="172"/>
      <c r="X465" s="172"/>
      <c r="Y465" s="173"/>
      <c r="Z465" s="165"/>
      <c r="AA465" s="165"/>
    </row>
    <row r="466" hidden="1" outlineLevel="1">
      <c r="A466" s="165"/>
      <c r="B466" s="174"/>
      <c r="C466" s="100" t="s">
        <v>35</v>
      </c>
      <c r="D466" s="120">
        <v>905.25</v>
      </c>
      <c r="E466" s="401"/>
      <c r="F466" s="103">
        <v>15.0</v>
      </c>
      <c r="G466" s="103">
        <v>13.0</v>
      </c>
      <c r="H466" s="104">
        <f t="shared" si="1"/>
        <v>1.153846154</v>
      </c>
      <c r="I466" s="105">
        <f t="shared" si="2"/>
        <v>60.35</v>
      </c>
      <c r="J466" s="106">
        <f t="shared" si="3"/>
        <v>52.30333333</v>
      </c>
      <c r="K466" s="120">
        <v>59.65</v>
      </c>
      <c r="L466" s="103">
        <v>4492.0</v>
      </c>
      <c r="M466" s="103">
        <v>6.0</v>
      </c>
      <c r="N466" s="121">
        <v>359.7</v>
      </c>
      <c r="O466" s="109">
        <f t="shared" ref="O466:O482" si="129">K466/N466</f>
        <v>0.1658326383</v>
      </c>
      <c r="P466" s="110">
        <f t="shared" si="5"/>
        <v>6.030176027</v>
      </c>
      <c r="Q466" s="109">
        <f t="shared" si="6"/>
        <v>0.06589339961</v>
      </c>
      <c r="R466" s="111">
        <f t="shared" si="7"/>
        <v>0.3973487987</v>
      </c>
      <c r="S466" s="122">
        <f t="shared" si="128"/>
        <v>545.55</v>
      </c>
      <c r="T466" s="113">
        <f t="shared" si="9"/>
        <v>9.941666667</v>
      </c>
      <c r="U466" s="172"/>
      <c r="V466" s="172"/>
      <c r="W466" s="172"/>
      <c r="X466" s="172"/>
      <c r="Y466" s="173"/>
      <c r="Z466" s="165"/>
      <c r="AA466" s="165"/>
    </row>
    <row r="467" hidden="1" outlineLevel="1">
      <c r="A467" s="165"/>
      <c r="B467" s="174"/>
      <c r="C467" s="100" t="s">
        <v>65</v>
      </c>
      <c r="D467" s="300">
        <v>0.0</v>
      </c>
      <c r="E467" s="401"/>
      <c r="F467" s="103">
        <v>0.0</v>
      </c>
      <c r="G467" s="103">
        <v>0.0</v>
      </c>
      <c r="H467" s="104" t="str">
        <f t="shared" si="1"/>
        <v>#DIV/0!</v>
      </c>
      <c r="I467" s="105" t="str">
        <f t="shared" si="2"/>
        <v>#DIV/0!</v>
      </c>
      <c r="J467" s="106" t="str">
        <f t="shared" si="3"/>
        <v>#DIV/0!</v>
      </c>
      <c r="K467" s="300">
        <v>0.0</v>
      </c>
      <c r="L467" s="103">
        <v>0.0</v>
      </c>
      <c r="M467" s="103">
        <v>0.0</v>
      </c>
      <c r="N467" s="300">
        <v>0.0</v>
      </c>
      <c r="O467" s="109" t="str">
        <f t="shared" si="129"/>
        <v>#DIV/0!</v>
      </c>
      <c r="P467" s="110" t="str">
        <f t="shared" si="5"/>
        <v>#DIV/0!</v>
      </c>
      <c r="Q467" s="109" t="str">
        <f t="shared" si="6"/>
        <v>#DIV/0!</v>
      </c>
      <c r="R467" s="111" t="str">
        <f t="shared" si="7"/>
        <v>#DIV/0!</v>
      </c>
      <c r="S467" s="122">
        <f t="shared" si="128"/>
        <v>0</v>
      </c>
      <c r="T467" s="113" t="str">
        <f t="shared" si="9"/>
        <v>#DIV/0!</v>
      </c>
      <c r="U467" s="172"/>
      <c r="V467" s="172"/>
      <c r="W467" s="172"/>
      <c r="X467" s="172"/>
      <c r="Y467" s="173"/>
      <c r="Z467" s="165"/>
      <c r="AA467" s="165"/>
    </row>
    <row r="468" hidden="1" outlineLevel="1">
      <c r="A468" s="165"/>
      <c r="B468" s="174"/>
      <c r="C468" s="100" t="s">
        <v>85</v>
      </c>
      <c r="D468" s="302">
        <v>0.0</v>
      </c>
      <c r="E468" s="401"/>
      <c r="F468" s="103">
        <v>0.0</v>
      </c>
      <c r="G468" s="103">
        <v>0.0</v>
      </c>
      <c r="H468" s="104" t="str">
        <f t="shared" si="1"/>
        <v>#DIV/0!</v>
      </c>
      <c r="I468" s="105" t="str">
        <f t="shared" si="2"/>
        <v>#DIV/0!</v>
      </c>
      <c r="J468" s="106" t="str">
        <f t="shared" si="3"/>
        <v>#DIV/0!</v>
      </c>
      <c r="K468" s="302">
        <v>0.0</v>
      </c>
      <c r="L468" s="103">
        <v>0.0</v>
      </c>
      <c r="M468" s="103">
        <v>0.0</v>
      </c>
      <c r="N468" s="303">
        <v>0.0</v>
      </c>
      <c r="O468" s="109" t="str">
        <f t="shared" si="129"/>
        <v>#DIV/0!</v>
      </c>
      <c r="P468" s="110" t="str">
        <f t="shared" si="5"/>
        <v>#DIV/0!</v>
      </c>
      <c r="Q468" s="109" t="str">
        <f t="shared" si="6"/>
        <v>#DIV/0!</v>
      </c>
      <c r="R468" s="111" t="str">
        <f t="shared" si="7"/>
        <v>#DIV/0!</v>
      </c>
      <c r="S468" s="304">
        <f t="shared" si="128"/>
        <v>0</v>
      </c>
      <c r="T468" s="113" t="str">
        <f t="shared" si="9"/>
        <v>#DIV/0!</v>
      </c>
      <c r="U468" s="172"/>
      <c r="V468" s="172"/>
      <c r="W468" s="172"/>
      <c r="X468" s="172"/>
      <c r="Y468" s="173"/>
      <c r="Z468" s="165"/>
      <c r="AA468" s="165"/>
    </row>
    <row r="469" hidden="1" outlineLevel="1">
      <c r="A469" s="165"/>
      <c r="B469" s="174"/>
      <c r="C469" s="100" t="s">
        <v>36</v>
      </c>
      <c r="D469" s="120">
        <v>719.4</v>
      </c>
      <c r="E469" s="401"/>
      <c r="F469" s="103">
        <v>12.0</v>
      </c>
      <c r="G469" s="103">
        <v>8.0</v>
      </c>
      <c r="H469" s="104">
        <f t="shared" si="1"/>
        <v>1.5</v>
      </c>
      <c r="I469" s="105">
        <f t="shared" si="2"/>
        <v>59.95</v>
      </c>
      <c r="J469" s="106">
        <f t="shared" si="3"/>
        <v>39.96666667</v>
      </c>
      <c r="K469" s="120">
        <v>55.14</v>
      </c>
      <c r="L469" s="103">
        <v>14476.0</v>
      </c>
      <c r="M469" s="103">
        <v>3.0</v>
      </c>
      <c r="N469" s="121">
        <v>119.9</v>
      </c>
      <c r="O469" s="109">
        <f t="shared" si="129"/>
        <v>0.459883236</v>
      </c>
      <c r="P469" s="110">
        <f t="shared" si="5"/>
        <v>2.174464998</v>
      </c>
      <c r="Q469" s="109">
        <f t="shared" si="6"/>
        <v>0.07664720601</v>
      </c>
      <c r="R469" s="111">
        <f t="shared" si="7"/>
        <v>0.1666666667</v>
      </c>
      <c r="S469" s="122">
        <f t="shared" si="128"/>
        <v>599.5</v>
      </c>
      <c r="T469" s="113">
        <f t="shared" si="9"/>
        <v>18.38</v>
      </c>
      <c r="U469" s="172"/>
      <c r="V469" s="172"/>
      <c r="W469" s="172"/>
      <c r="X469" s="172"/>
      <c r="Y469" s="173"/>
      <c r="Z469" s="165"/>
      <c r="AA469" s="165"/>
    </row>
    <row r="470" hidden="1" outlineLevel="1">
      <c r="A470" s="165"/>
      <c r="B470" s="99" t="s">
        <v>37</v>
      </c>
      <c r="C470" s="100" t="s">
        <v>38</v>
      </c>
      <c r="D470" s="123">
        <v>5.0</v>
      </c>
      <c r="E470" s="401"/>
      <c r="F470" s="103">
        <v>0.0</v>
      </c>
      <c r="G470" s="103">
        <v>1.0</v>
      </c>
      <c r="H470" s="104">
        <f t="shared" si="1"/>
        <v>0</v>
      </c>
      <c r="I470" s="105" t="str">
        <f t="shared" si="2"/>
        <v>#DIV/0!</v>
      </c>
      <c r="J470" s="106" t="str">
        <f t="shared" si="3"/>
        <v>#DIV/0!</v>
      </c>
      <c r="K470" s="123">
        <v>45.64</v>
      </c>
      <c r="L470" s="103">
        <v>17257.0</v>
      </c>
      <c r="M470" s="103">
        <v>0.0</v>
      </c>
      <c r="N470" s="124">
        <v>0.0</v>
      </c>
      <c r="O470" s="109" t="str">
        <f t="shared" si="129"/>
        <v>#DIV/0!</v>
      </c>
      <c r="P470" s="110">
        <f t="shared" si="5"/>
        <v>0</v>
      </c>
      <c r="Q470" s="109">
        <f t="shared" si="6"/>
        <v>9.128</v>
      </c>
      <c r="R470" s="111">
        <f t="shared" si="7"/>
        <v>0</v>
      </c>
      <c r="S470" s="125">
        <f t="shared" si="128"/>
        <v>5</v>
      </c>
      <c r="T470" s="113" t="str">
        <f t="shared" si="9"/>
        <v>#DIV/0!</v>
      </c>
      <c r="U470" s="172"/>
      <c r="V470" s="172"/>
      <c r="W470" s="172"/>
      <c r="X470" s="172"/>
      <c r="Y470" s="173"/>
      <c r="Z470" s="165"/>
      <c r="AA470" s="165"/>
    </row>
    <row r="471" hidden="1" outlineLevel="1">
      <c r="A471" s="165"/>
      <c r="B471" s="174"/>
      <c r="C471" s="100" t="s">
        <v>39</v>
      </c>
      <c r="D471" s="126">
        <v>0.0</v>
      </c>
      <c r="E471" s="401"/>
      <c r="F471" s="103">
        <v>0.0</v>
      </c>
      <c r="G471" s="103">
        <v>0.0</v>
      </c>
      <c r="H471" s="104" t="str">
        <f t="shared" si="1"/>
        <v>#DIV/0!</v>
      </c>
      <c r="I471" s="105" t="str">
        <f t="shared" si="2"/>
        <v>#DIV/0!</v>
      </c>
      <c r="J471" s="106" t="str">
        <f t="shared" si="3"/>
        <v>#DIV/0!</v>
      </c>
      <c r="K471" s="126">
        <v>0.0</v>
      </c>
      <c r="L471" s="103">
        <v>0.0</v>
      </c>
      <c r="M471" s="103">
        <v>0.0</v>
      </c>
      <c r="N471" s="127">
        <v>0.0</v>
      </c>
      <c r="O471" s="109" t="str">
        <f t="shared" si="129"/>
        <v>#DIV/0!</v>
      </c>
      <c r="P471" s="110" t="str">
        <f t="shared" si="5"/>
        <v>#DIV/0!</v>
      </c>
      <c r="Q471" s="109" t="str">
        <f t="shared" si="6"/>
        <v>#DIV/0!</v>
      </c>
      <c r="R471" s="111" t="str">
        <f t="shared" si="7"/>
        <v>#DIV/0!</v>
      </c>
      <c r="S471" s="128">
        <f t="shared" si="128"/>
        <v>0</v>
      </c>
      <c r="T471" s="113" t="str">
        <f t="shared" si="9"/>
        <v>#DIV/0!</v>
      </c>
      <c r="U471" s="172"/>
      <c r="V471" s="172"/>
      <c r="W471" s="172"/>
      <c r="X471" s="172"/>
      <c r="Y471" s="173"/>
      <c r="Z471" s="165"/>
      <c r="AA471" s="165"/>
    </row>
    <row r="472" hidden="1" outlineLevel="1">
      <c r="A472" s="165"/>
      <c r="B472" s="174"/>
      <c r="C472" s="100" t="s">
        <v>40</v>
      </c>
      <c r="D472" s="129">
        <v>0.0</v>
      </c>
      <c r="E472" s="401"/>
      <c r="F472" s="103">
        <v>0.0</v>
      </c>
      <c r="G472" s="103">
        <v>0.0</v>
      </c>
      <c r="H472" s="104" t="str">
        <f t="shared" si="1"/>
        <v>#DIV/0!</v>
      </c>
      <c r="I472" s="105" t="str">
        <f t="shared" si="2"/>
        <v>#DIV/0!</v>
      </c>
      <c r="J472" s="106" t="str">
        <f t="shared" si="3"/>
        <v>#DIV/0!</v>
      </c>
      <c r="K472" s="129">
        <v>0.0</v>
      </c>
      <c r="L472" s="103">
        <v>0.0</v>
      </c>
      <c r="M472" s="103">
        <v>0.0</v>
      </c>
      <c r="N472" s="130">
        <v>0.0</v>
      </c>
      <c r="O472" s="109" t="str">
        <f t="shared" si="129"/>
        <v>#DIV/0!</v>
      </c>
      <c r="P472" s="110" t="str">
        <f t="shared" si="5"/>
        <v>#DIV/0!</v>
      </c>
      <c r="Q472" s="109" t="str">
        <f t="shared" si="6"/>
        <v>#DIV/0!</v>
      </c>
      <c r="R472" s="111" t="str">
        <f t="shared" si="7"/>
        <v>#DIV/0!</v>
      </c>
      <c r="S472" s="131">
        <f t="shared" si="128"/>
        <v>0</v>
      </c>
      <c r="T472" s="113" t="str">
        <f t="shared" si="9"/>
        <v>#DIV/0!</v>
      </c>
      <c r="U472" s="172"/>
      <c r="V472" s="172"/>
      <c r="W472" s="172"/>
      <c r="X472" s="172"/>
      <c r="Y472" s="173"/>
      <c r="Z472" s="165"/>
      <c r="AA472" s="165"/>
    </row>
    <row r="473" hidden="1" outlineLevel="1">
      <c r="A473" s="165"/>
      <c r="B473" s="174"/>
      <c r="C473" s="100" t="s">
        <v>41</v>
      </c>
      <c r="D473" s="132">
        <v>494.91</v>
      </c>
      <c r="E473" s="401"/>
      <c r="F473" s="103">
        <v>9.0</v>
      </c>
      <c r="G473" s="103">
        <v>9.0</v>
      </c>
      <c r="H473" s="104">
        <f t="shared" si="1"/>
        <v>1</v>
      </c>
      <c r="I473" s="105">
        <f t="shared" si="2"/>
        <v>54.99</v>
      </c>
      <c r="J473" s="106">
        <f t="shared" si="3"/>
        <v>54.99</v>
      </c>
      <c r="K473" s="132">
        <v>93.9</v>
      </c>
      <c r="L473" s="103">
        <v>14200.0</v>
      </c>
      <c r="M473" s="103">
        <v>2.0</v>
      </c>
      <c r="N473" s="133">
        <v>109.98</v>
      </c>
      <c r="O473" s="109">
        <f t="shared" si="129"/>
        <v>0.8537915985</v>
      </c>
      <c r="P473" s="110">
        <f t="shared" si="5"/>
        <v>1.171246006</v>
      </c>
      <c r="Q473" s="109">
        <f t="shared" si="6"/>
        <v>0.1897314663</v>
      </c>
      <c r="R473" s="111">
        <f t="shared" si="7"/>
        <v>0.2222222222</v>
      </c>
      <c r="S473" s="134">
        <f t="shared" si="128"/>
        <v>384.93</v>
      </c>
      <c r="T473" s="113">
        <f t="shared" si="9"/>
        <v>46.95</v>
      </c>
      <c r="U473" s="172"/>
      <c r="V473" s="172"/>
      <c r="W473" s="172"/>
      <c r="X473" s="172"/>
      <c r="Y473" s="173"/>
      <c r="Z473" s="165"/>
      <c r="AA473" s="165"/>
    </row>
    <row r="474" hidden="1" outlineLevel="1">
      <c r="A474" s="165"/>
      <c r="B474" s="174"/>
      <c r="C474" s="100" t="s">
        <v>42</v>
      </c>
      <c r="D474" s="120">
        <v>159.92</v>
      </c>
      <c r="E474" s="401"/>
      <c r="F474" s="103">
        <v>8.0</v>
      </c>
      <c r="G474" s="103">
        <v>7.0</v>
      </c>
      <c r="H474" s="104">
        <f t="shared" si="1"/>
        <v>1.142857143</v>
      </c>
      <c r="I474" s="105">
        <f t="shared" si="2"/>
        <v>19.99</v>
      </c>
      <c r="J474" s="106">
        <f t="shared" si="3"/>
        <v>17.49125</v>
      </c>
      <c r="K474" s="120">
        <v>4.14</v>
      </c>
      <c r="L474" s="103">
        <v>9150.0</v>
      </c>
      <c r="M474" s="103">
        <v>4.0</v>
      </c>
      <c r="N474" s="121">
        <v>79.96</v>
      </c>
      <c r="O474" s="109">
        <f t="shared" si="129"/>
        <v>0.05177588794</v>
      </c>
      <c r="P474" s="110">
        <f t="shared" si="5"/>
        <v>19.31400966</v>
      </c>
      <c r="Q474" s="109">
        <f t="shared" si="6"/>
        <v>0.02588794397</v>
      </c>
      <c r="R474" s="111">
        <f t="shared" si="7"/>
        <v>0.5</v>
      </c>
      <c r="S474" s="122">
        <f t="shared" si="128"/>
        <v>79.96</v>
      </c>
      <c r="T474" s="113">
        <f t="shared" si="9"/>
        <v>1.035</v>
      </c>
      <c r="U474" s="172"/>
      <c r="V474" s="172"/>
      <c r="W474" s="172"/>
      <c r="X474" s="172"/>
      <c r="Y474" s="173"/>
      <c r="Z474" s="165"/>
      <c r="AA474" s="165"/>
    </row>
    <row r="475" hidden="1" outlineLevel="1">
      <c r="A475" s="165"/>
      <c r="B475" s="174"/>
      <c r="C475" s="100" t="s">
        <v>43</v>
      </c>
      <c r="D475" s="135">
        <v>1317.8</v>
      </c>
      <c r="E475" s="401"/>
      <c r="F475" s="103">
        <v>8.0</v>
      </c>
      <c r="G475" s="103">
        <v>10.0</v>
      </c>
      <c r="H475" s="104">
        <f t="shared" si="1"/>
        <v>0.8</v>
      </c>
      <c r="I475" s="105">
        <f t="shared" si="2"/>
        <v>164.725</v>
      </c>
      <c r="J475" s="106">
        <f t="shared" si="3"/>
        <v>205.90625</v>
      </c>
      <c r="K475" s="135">
        <v>18.51</v>
      </c>
      <c r="L475" s="103">
        <v>23677.0</v>
      </c>
      <c r="M475" s="103">
        <v>1.0</v>
      </c>
      <c r="N475" s="136">
        <v>205.95</v>
      </c>
      <c r="O475" s="109">
        <f t="shared" si="129"/>
        <v>0.08987618354</v>
      </c>
      <c r="P475" s="110">
        <f t="shared" si="5"/>
        <v>11.12641815</v>
      </c>
      <c r="Q475" s="109">
        <f t="shared" si="6"/>
        <v>0.0140461375</v>
      </c>
      <c r="R475" s="111">
        <f t="shared" si="7"/>
        <v>0.1562831993</v>
      </c>
      <c r="S475" s="137">
        <f t="shared" si="128"/>
        <v>1111.85</v>
      </c>
      <c r="T475" s="113">
        <f t="shared" si="9"/>
        <v>18.51</v>
      </c>
      <c r="U475" s="172"/>
      <c r="V475" s="172"/>
      <c r="W475" s="172"/>
      <c r="X475" s="172"/>
      <c r="Y475" s="173"/>
      <c r="Z475" s="165"/>
      <c r="AA475" s="165"/>
    </row>
    <row r="476" hidden="1" outlineLevel="1">
      <c r="A476" s="165"/>
      <c r="B476" s="174"/>
      <c r="C476" s="100" t="s">
        <v>44</v>
      </c>
      <c r="D476" s="138">
        <v>144.85</v>
      </c>
      <c r="E476" s="401"/>
      <c r="F476" s="103">
        <v>3.0</v>
      </c>
      <c r="G476" s="103">
        <v>4.0</v>
      </c>
      <c r="H476" s="104">
        <f t="shared" si="1"/>
        <v>0.75</v>
      </c>
      <c r="I476" s="105">
        <f t="shared" si="2"/>
        <v>48.28333333</v>
      </c>
      <c r="J476" s="106">
        <f t="shared" si="3"/>
        <v>64.37777778</v>
      </c>
      <c r="K476" s="138">
        <v>21.63</v>
      </c>
      <c r="L476" s="103">
        <v>11095.0</v>
      </c>
      <c r="M476" s="103">
        <v>1.0</v>
      </c>
      <c r="N476" s="139">
        <v>44.95</v>
      </c>
      <c r="O476" s="109">
        <f t="shared" si="129"/>
        <v>0.4812013348</v>
      </c>
      <c r="P476" s="110">
        <f t="shared" si="5"/>
        <v>2.078132224</v>
      </c>
      <c r="Q476" s="109">
        <f t="shared" si="6"/>
        <v>0.1493268899</v>
      </c>
      <c r="R476" s="111">
        <f t="shared" si="7"/>
        <v>0.3103210217</v>
      </c>
      <c r="S476" s="140">
        <f t="shared" si="128"/>
        <v>99.9</v>
      </c>
      <c r="T476" s="113">
        <f t="shared" si="9"/>
        <v>21.63</v>
      </c>
      <c r="U476" s="172"/>
      <c r="V476" s="172"/>
      <c r="W476" s="172"/>
      <c r="X476" s="172"/>
      <c r="Y476" s="173"/>
      <c r="Z476" s="165"/>
      <c r="AA476" s="165"/>
    </row>
    <row r="477" hidden="1" outlineLevel="1">
      <c r="A477" s="192"/>
      <c r="B477" s="174"/>
      <c r="C477" s="142" t="s">
        <v>45</v>
      </c>
      <c r="D477" s="101">
        <v>0.0</v>
      </c>
      <c r="E477" s="401"/>
      <c r="F477" s="103">
        <v>0.0</v>
      </c>
      <c r="G477" s="103">
        <v>0.0</v>
      </c>
      <c r="H477" s="104" t="str">
        <f t="shared" si="1"/>
        <v>#DIV/0!</v>
      </c>
      <c r="I477" s="105" t="str">
        <f t="shared" si="2"/>
        <v>#DIV/0!</v>
      </c>
      <c r="J477" s="106" t="str">
        <f t="shared" si="3"/>
        <v>#DIV/0!</v>
      </c>
      <c r="K477" s="101">
        <v>0.0</v>
      </c>
      <c r="L477" s="103">
        <v>0.0</v>
      </c>
      <c r="M477" s="103">
        <v>0.0</v>
      </c>
      <c r="N477" s="108">
        <v>0.0</v>
      </c>
      <c r="O477" s="109" t="str">
        <f t="shared" si="129"/>
        <v>#DIV/0!</v>
      </c>
      <c r="P477" s="110" t="str">
        <f t="shared" si="5"/>
        <v>#DIV/0!</v>
      </c>
      <c r="Q477" s="109" t="str">
        <f t="shared" si="6"/>
        <v>#DIV/0!</v>
      </c>
      <c r="R477" s="111" t="str">
        <f t="shared" si="7"/>
        <v>#DIV/0!</v>
      </c>
      <c r="S477" s="112">
        <f t="shared" si="128"/>
        <v>0</v>
      </c>
      <c r="T477" s="113" t="str">
        <f t="shared" si="9"/>
        <v>#DIV/0!</v>
      </c>
      <c r="U477" s="193"/>
      <c r="V477" s="193"/>
      <c r="W477" s="193"/>
      <c r="X477" s="194"/>
      <c r="Y477" s="195"/>
      <c r="Z477" s="165"/>
      <c r="AA477" s="165"/>
    </row>
    <row r="478" hidden="1" outlineLevel="1">
      <c r="A478" s="165"/>
      <c r="B478" s="174"/>
      <c r="C478" s="100" t="s">
        <v>46</v>
      </c>
      <c r="D478" s="146">
        <v>505.97</v>
      </c>
      <c r="E478" s="401"/>
      <c r="F478" s="103">
        <v>12.0</v>
      </c>
      <c r="G478" s="103">
        <v>12.0</v>
      </c>
      <c r="H478" s="104">
        <f t="shared" si="1"/>
        <v>1</v>
      </c>
      <c r="I478" s="105">
        <f t="shared" si="2"/>
        <v>42.16416667</v>
      </c>
      <c r="J478" s="106">
        <f t="shared" si="3"/>
        <v>42.16416667</v>
      </c>
      <c r="K478" s="146">
        <v>62.76</v>
      </c>
      <c r="L478" s="103">
        <v>30586.0</v>
      </c>
      <c r="M478" s="103">
        <v>5.0</v>
      </c>
      <c r="N478" s="147">
        <v>218.26</v>
      </c>
      <c r="O478" s="109">
        <f t="shared" si="129"/>
        <v>0.2875469623</v>
      </c>
      <c r="P478" s="110">
        <f t="shared" si="5"/>
        <v>3.477692798</v>
      </c>
      <c r="Q478" s="109">
        <f t="shared" si="6"/>
        <v>0.1240389746</v>
      </c>
      <c r="R478" s="111">
        <f t="shared" si="7"/>
        <v>0.4313694488</v>
      </c>
      <c r="S478" s="112">
        <f t="shared" si="128"/>
        <v>287.71</v>
      </c>
      <c r="T478" s="113">
        <f t="shared" si="9"/>
        <v>12.552</v>
      </c>
      <c r="U478" s="172"/>
      <c r="V478" s="172"/>
      <c r="W478" s="172"/>
      <c r="X478" s="172"/>
      <c r="Y478" s="173"/>
      <c r="Z478" s="165"/>
      <c r="AA478" s="165"/>
    </row>
    <row r="479" hidden="1" outlineLevel="1">
      <c r="A479" s="148" t="str">
        <f t="shared" ref="A479:A480" si="130">iferror(if(B479&gt;0,month(B479)&amp;"-"&amp;year(B479),B479),)</f>
        <v>6-2025</v>
      </c>
      <c r="B479" s="99">
        <v>45822.0</v>
      </c>
      <c r="C479" s="100" t="s">
        <v>49</v>
      </c>
      <c r="D479" s="146">
        <v>0.0</v>
      </c>
      <c r="E479" s="401"/>
      <c r="F479" s="103">
        <v>0.0</v>
      </c>
      <c r="G479" s="103">
        <v>0.0</v>
      </c>
      <c r="H479" s="104" t="str">
        <f t="shared" si="1"/>
        <v>#DIV/0!</v>
      </c>
      <c r="I479" s="105" t="str">
        <f t="shared" si="2"/>
        <v>#DIV/0!</v>
      </c>
      <c r="J479" s="106" t="str">
        <f t="shared" si="3"/>
        <v>#DIV/0!</v>
      </c>
      <c r="K479" s="146">
        <v>8.3</v>
      </c>
      <c r="L479" s="103">
        <v>8145.0</v>
      </c>
      <c r="M479" s="103">
        <v>0.0</v>
      </c>
      <c r="N479" s="147">
        <v>0.0</v>
      </c>
      <c r="O479" s="109" t="str">
        <f t="shared" si="129"/>
        <v>#DIV/0!</v>
      </c>
      <c r="P479" s="110">
        <f t="shared" si="5"/>
        <v>0</v>
      </c>
      <c r="Q479" s="109" t="str">
        <f t="shared" si="6"/>
        <v>#DIV/0!</v>
      </c>
      <c r="R479" s="111" t="str">
        <f t="shared" si="7"/>
        <v>#DIV/0!</v>
      </c>
      <c r="S479" s="112">
        <f t="shared" si="128"/>
        <v>0</v>
      </c>
      <c r="T479" s="113" t="str">
        <f t="shared" si="9"/>
        <v>#DIV/0!</v>
      </c>
      <c r="U479" s="172"/>
      <c r="V479" s="172"/>
      <c r="W479" s="172"/>
      <c r="X479" s="172"/>
      <c r="Y479" s="173"/>
      <c r="Z479" s="165"/>
      <c r="AA479" s="165"/>
    </row>
    <row r="480" collapsed="1">
      <c r="A480" s="165" t="str">
        <f t="shared" si="130"/>
        <v/>
      </c>
      <c r="B480" s="80" t="s">
        <v>111</v>
      </c>
      <c r="C480" s="201"/>
      <c r="D480" s="151">
        <f>SUM(D463:D479)</f>
        <v>7058.29</v>
      </c>
      <c r="E480" s="400"/>
      <c r="F480" s="153">
        <f t="shared" ref="F480:G480" si="131">SUM(F463:F479)</f>
        <v>104</v>
      </c>
      <c r="G480" s="153">
        <f t="shared" si="131"/>
        <v>109</v>
      </c>
      <c r="H480" s="154">
        <f t="shared" si="1"/>
        <v>0.9541284404</v>
      </c>
      <c r="I480" s="155">
        <f t="shared" si="2"/>
        <v>67.86817308</v>
      </c>
      <c r="J480" s="156">
        <f t="shared" si="3"/>
        <v>71.13106601</v>
      </c>
      <c r="K480" s="151">
        <f t="shared" ref="K480:N480" si="132">SUM(K463:K479)</f>
        <v>940.85</v>
      </c>
      <c r="L480" s="153">
        <f t="shared" si="132"/>
        <v>317101</v>
      </c>
      <c r="M480" s="153">
        <f t="shared" si="132"/>
        <v>41</v>
      </c>
      <c r="N480" s="157">
        <f t="shared" si="132"/>
        <v>2784.05</v>
      </c>
      <c r="O480" s="158">
        <f t="shared" si="129"/>
        <v>0.3379429249</v>
      </c>
      <c r="P480" s="159">
        <f t="shared" si="5"/>
        <v>2.959079556</v>
      </c>
      <c r="Q480" s="158">
        <f t="shared" si="6"/>
        <v>0.1332971584</v>
      </c>
      <c r="R480" s="160">
        <f t="shared" si="7"/>
        <v>0.3944368962</v>
      </c>
      <c r="S480" s="161">
        <f>SUM(S463:S479)</f>
        <v>4274.24</v>
      </c>
      <c r="T480" s="162">
        <f t="shared" si="9"/>
        <v>22.94756098</v>
      </c>
      <c r="U480" s="399">
        <f>IFERROR((D480-D246)/D480,)</f>
        <v>-0.07410151751</v>
      </c>
      <c r="V480" s="163">
        <f>IFERROR((F480-F246)/F480,)</f>
        <v>0.09615384615</v>
      </c>
      <c r="W480" s="398" t="str">
        <f>IFERROR((D480-monthly_reporting_2021!E271)/D480, )</f>
        <v/>
      </c>
      <c r="X480" s="398" t="str">
        <f>IFERROR((F480-monthly_reporting_2021!F271)/F480, )</f>
        <v/>
      </c>
      <c r="Y480" s="165"/>
      <c r="Z480" s="165"/>
      <c r="AA480" s="165"/>
    </row>
    <row r="481" hidden="1" outlineLevel="1">
      <c r="A481" s="165"/>
      <c r="B481" s="99">
        <v>45823.0</v>
      </c>
      <c r="C481" s="100" t="s">
        <v>32</v>
      </c>
      <c r="D481" s="101">
        <v>2337.5</v>
      </c>
      <c r="E481" s="401"/>
      <c r="F481" s="103">
        <v>14.0</v>
      </c>
      <c r="G481" s="103">
        <v>12.0</v>
      </c>
      <c r="H481" s="104">
        <f t="shared" si="1"/>
        <v>1.166666667</v>
      </c>
      <c r="I481" s="105">
        <f t="shared" si="2"/>
        <v>166.9642857</v>
      </c>
      <c r="J481" s="106">
        <f t="shared" si="3"/>
        <v>143.1122449</v>
      </c>
      <c r="K481" s="107">
        <v>471.04</v>
      </c>
      <c r="L481" s="103">
        <v>106839.0</v>
      </c>
      <c r="M481" s="103">
        <v>4.0</v>
      </c>
      <c r="N481" s="108">
        <v>628.95</v>
      </c>
      <c r="O481" s="109">
        <f t="shared" si="129"/>
        <v>0.7489307576</v>
      </c>
      <c r="P481" s="110">
        <f t="shared" si="5"/>
        <v>1.335236923</v>
      </c>
      <c r="Q481" s="109">
        <f t="shared" si="6"/>
        <v>0.2015144385</v>
      </c>
      <c r="R481" s="111">
        <f t="shared" si="7"/>
        <v>0.2690695187</v>
      </c>
      <c r="S481" s="112">
        <f t="shared" ref="S481:S497" si="133">D481-N481</f>
        <v>1708.55</v>
      </c>
      <c r="T481" s="113">
        <f t="shared" si="9"/>
        <v>117.76</v>
      </c>
      <c r="U481" s="172"/>
      <c r="V481" s="172"/>
      <c r="W481" s="172"/>
      <c r="X481" s="172"/>
      <c r="Y481" s="173"/>
      <c r="Z481" s="165"/>
      <c r="AA481" s="165"/>
    </row>
    <row r="482" hidden="1" outlineLevel="1">
      <c r="A482" s="165"/>
      <c r="B482" s="174"/>
      <c r="C482" s="100" t="s">
        <v>33</v>
      </c>
      <c r="D482" s="117">
        <v>3124.5</v>
      </c>
      <c r="E482" s="401"/>
      <c r="F482" s="103">
        <v>40.0</v>
      </c>
      <c r="G482" s="103">
        <v>47.0</v>
      </c>
      <c r="H482" s="104">
        <f t="shared" si="1"/>
        <v>0.8510638298</v>
      </c>
      <c r="I482" s="105">
        <f t="shared" si="2"/>
        <v>78.1125</v>
      </c>
      <c r="J482" s="106">
        <f t="shared" si="3"/>
        <v>91.7821875</v>
      </c>
      <c r="K482" s="117">
        <v>247.73</v>
      </c>
      <c r="L482" s="103">
        <v>94889.0</v>
      </c>
      <c r="M482" s="103">
        <v>10.0</v>
      </c>
      <c r="N482" s="118">
        <v>539.8</v>
      </c>
      <c r="O482" s="109">
        <f t="shared" si="129"/>
        <v>0.458929233</v>
      </c>
      <c r="P482" s="110">
        <f t="shared" si="5"/>
        <v>2.178985185</v>
      </c>
      <c r="Q482" s="109">
        <f t="shared" si="6"/>
        <v>0.07928628581</v>
      </c>
      <c r="R482" s="111">
        <f t="shared" si="7"/>
        <v>0.1727636422</v>
      </c>
      <c r="S482" s="119">
        <f t="shared" si="133"/>
        <v>2584.7</v>
      </c>
      <c r="T482" s="113">
        <f t="shared" si="9"/>
        <v>24.773</v>
      </c>
      <c r="U482" s="172"/>
      <c r="V482" s="172"/>
      <c r="W482" s="172"/>
      <c r="X482" s="172"/>
      <c r="Y482" s="173"/>
      <c r="Z482" s="165"/>
      <c r="AA482" s="165"/>
    </row>
    <row r="483" hidden="1" outlineLevel="1">
      <c r="A483" s="165"/>
      <c r="B483" s="174"/>
      <c r="C483" s="100" t="s">
        <v>34</v>
      </c>
      <c r="D483" s="120">
        <v>0.0</v>
      </c>
      <c r="E483" s="401"/>
      <c r="F483" s="103">
        <v>0.0</v>
      </c>
      <c r="G483" s="103">
        <v>0.0</v>
      </c>
      <c r="H483" s="104" t="str">
        <f t="shared" si="1"/>
        <v>#DIV/0!</v>
      </c>
      <c r="I483" s="105" t="str">
        <f t="shared" si="2"/>
        <v>#DIV/0!</v>
      </c>
      <c r="J483" s="106" t="str">
        <f t="shared" si="3"/>
        <v>#DIV/0!</v>
      </c>
      <c r="K483" s="120">
        <v>0.0</v>
      </c>
      <c r="L483" s="103">
        <v>1.0</v>
      </c>
      <c r="M483" s="103">
        <v>0.0</v>
      </c>
      <c r="N483" s="121">
        <v>0.0</v>
      </c>
      <c r="O483" s="109" t="str">
        <f>(K483/N483)</f>
        <v>#DIV/0!</v>
      </c>
      <c r="P483" s="110" t="str">
        <f t="shared" si="5"/>
        <v>#DIV/0!</v>
      </c>
      <c r="Q483" s="109" t="str">
        <f t="shared" si="6"/>
        <v>#DIV/0!</v>
      </c>
      <c r="R483" s="111" t="str">
        <f t="shared" si="7"/>
        <v>#DIV/0!</v>
      </c>
      <c r="S483" s="122">
        <f t="shared" si="133"/>
        <v>0</v>
      </c>
      <c r="T483" s="113" t="str">
        <f t="shared" si="9"/>
        <v>#DIV/0!</v>
      </c>
      <c r="U483" s="172"/>
      <c r="V483" s="172"/>
      <c r="W483" s="172"/>
      <c r="X483" s="172"/>
      <c r="Y483" s="173"/>
      <c r="Z483" s="165"/>
      <c r="AA483" s="165"/>
    </row>
    <row r="484" hidden="1" outlineLevel="1">
      <c r="A484" s="165"/>
      <c r="B484" s="174"/>
      <c r="C484" s="100" t="s">
        <v>35</v>
      </c>
      <c r="D484" s="120">
        <v>359.7</v>
      </c>
      <c r="E484" s="401"/>
      <c r="F484" s="103">
        <v>6.0</v>
      </c>
      <c r="G484" s="103">
        <v>4.0</v>
      </c>
      <c r="H484" s="104">
        <f t="shared" si="1"/>
        <v>1.5</v>
      </c>
      <c r="I484" s="105">
        <f t="shared" si="2"/>
        <v>59.95</v>
      </c>
      <c r="J484" s="106">
        <f t="shared" si="3"/>
        <v>39.96666667</v>
      </c>
      <c r="K484" s="120">
        <v>0.0</v>
      </c>
      <c r="L484" s="103">
        <v>0.0</v>
      </c>
      <c r="M484" s="103">
        <v>0.0</v>
      </c>
      <c r="N484" s="121">
        <v>0.0</v>
      </c>
      <c r="O484" s="109" t="str">
        <f t="shared" ref="O484:O500" si="134">K484/N484</f>
        <v>#DIV/0!</v>
      </c>
      <c r="P484" s="110" t="str">
        <f t="shared" si="5"/>
        <v>#DIV/0!</v>
      </c>
      <c r="Q484" s="109">
        <f t="shared" si="6"/>
        <v>0</v>
      </c>
      <c r="R484" s="111">
        <f t="shared" si="7"/>
        <v>0</v>
      </c>
      <c r="S484" s="122">
        <f t="shared" si="133"/>
        <v>359.7</v>
      </c>
      <c r="T484" s="113" t="str">
        <f t="shared" si="9"/>
        <v>#DIV/0!</v>
      </c>
      <c r="U484" s="172"/>
      <c r="V484" s="172"/>
      <c r="W484" s="172"/>
      <c r="X484" s="172"/>
      <c r="Y484" s="173"/>
      <c r="Z484" s="165"/>
      <c r="AA484" s="165"/>
    </row>
    <row r="485" hidden="1" outlineLevel="1">
      <c r="A485" s="165"/>
      <c r="B485" s="174"/>
      <c r="C485" s="100" t="s">
        <v>65</v>
      </c>
      <c r="D485" s="300">
        <v>0.0</v>
      </c>
      <c r="E485" s="401"/>
      <c r="F485" s="103">
        <v>0.0</v>
      </c>
      <c r="G485" s="103">
        <v>0.0</v>
      </c>
      <c r="H485" s="104" t="str">
        <f t="shared" si="1"/>
        <v>#DIV/0!</v>
      </c>
      <c r="I485" s="105" t="str">
        <f t="shared" si="2"/>
        <v>#DIV/0!</v>
      </c>
      <c r="J485" s="106" t="str">
        <f t="shared" si="3"/>
        <v>#DIV/0!</v>
      </c>
      <c r="K485" s="300">
        <v>0.0</v>
      </c>
      <c r="L485" s="103">
        <v>0.0</v>
      </c>
      <c r="M485" s="103">
        <v>0.0</v>
      </c>
      <c r="N485" s="300">
        <v>0.0</v>
      </c>
      <c r="O485" s="109" t="str">
        <f t="shared" si="134"/>
        <v>#DIV/0!</v>
      </c>
      <c r="P485" s="110" t="str">
        <f t="shared" si="5"/>
        <v>#DIV/0!</v>
      </c>
      <c r="Q485" s="109" t="str">
        <f t="shared" si="6"/>
        <v>#DIV/0!</v>
      </c>
      <c r="R485" s="111" t="str">
        <f t="shared" si="7"/>
        <v>#DIV/0!</v>
      </c>
      <c r="S485" s="122">
        <f t="shared" si="133"/>
        <v>0</v>
      </c>
      <c r="T485" s="113" t="str">
        <f t="shared" si="9"/>
        <v>#DIV/0!</v>
      </c>
      <c r="U485" s="172"/>
      <c r="V485" s="172"/>
      <c r="W485" s="172"/>
      <c r="X485" s="172"/>
      <c r="Y485" s="173"/>
      <c r="Z485" s="165"/>
      <c r="AA485" s="165"/>
    </row>
    <row r="486" hidden="1" outlineLevel="1">
      <c r="A486" s="165"/>
      <c r="B486" s="174"/>
      <c r="C486" s="100" t="s">
        <v>85</v>
      </c>
      <c r="D486" s="302">
        <v>0.0</v>
      </c>
      <c r="E486" s="401"/>
      <c r="F486" s="103">
        <v>0.0</v>
      </c>
      <c r="G486" s="103">
        <v>0.0</v>
      </c>
      <c r="H486" s="104" t="str">
        <f t="shared" si="1"/>
        <v>#DIV/0!</v>
      </c>
      <c r="I486" s="105" t="str">
        <f t="shared" si="2"/>
        <v>#DIV/0!</v>
      </c>
      <c r="J486" s="106" t="str">
        <f t="shared" si="3"/>
        <v>#DIV/0!</v>
      </c>
      <c r="K486" s="302">
        <v>0.0</v>
      </c>
      <c r="L486" s="103">
        <v>0.0</v>
      </c>
      <c r="M486" s="103">
        <v>0.0</v>
      </c>
      <c r="N486" s="303">
        <v>0.0</v>
      </c>
      <c r="O486" s="109" t="str">
        <f t="shared" si="134"/>
        <v>#DIV/0!</v>
      </c>
      <c r="P486" s="110" t="str">
        <f t="shared" si="5"/>
        <v>#DIV/0!</v>
      </c>
      <c r="Q486" s="109" t="str">
        <f t="shared" si="6"/>
        <v>#DIV/0!</v>
      </c>
      <c r="R486" s="111" t="str">
        <f t="shared" si="7"/>
        <v>#DIV/0!</v>
      </c>
      <c r="S486" s="304">
        <f t="shared" si="133"/>
        <v>0</v>
      </c>
      <c r="T486" s="113" t="str">
        <f t="shared" si="9"/>
        <v>#DIV/0!</v>
      </c>
      <c r="U486" s="172"/>
      <c r="V486" s="172"/>
      <c r="W486" s="172"/>
      <c r="X486" s="172"/>
      <c r="Y486" s="173"/>
      <c r="Z486" s="165"/>
      <c r="AA486" s="165"/>
    </row>
    <row r="487" hidden="1" outlineLevel="1">
      <c r="A487" s="165"/>
      <c r="B487" s="174"/>
      <c r="C487" s="100" t="s">
        <v>36</v>
      </c>
      <c r="D487" s="120">
        <v>239.8</v>
      </c>
      <c r="E487" s="401"/>
      <c r="F487" s="103">
        <v>4.0</v>
      </c>
      <c r="G487" s="103">
        <v>4.0</v>
      </c>
      <c r="H487" s="104">
        <f t="shared" si="1"/>
        <v>1</v>
      </c>
      <c r="I487" s="105">
        <f t="shared" si="2"/>
        <v>59.95</v>
      </c>
      <c r="J487" s="106">
        <f t="shared" si="3"/>
        <v>59.95</v>
      </c>
      <c r="K487" s="120">
        <v>72.53</v>
      </c>
      <c r="L487" s="103">
        <v>15478.0</v>
      </c>
      <c r="M487" s="103">
        <v>3.0</v>
      </c>
      <c r="N487" s="121">
        <v>179.85</v>
      </c>
      <c r="O487" s="109">
        <f t="shared" si="134"/>
        <v>0.4032805115</v>
      </c>
      <c r="P487" s="110">
        <f t="shared" si="5"/>
        <v>2.479663587</v>
      </c>
      <c r="Q487" s="109">
        <f t="shared" si="6"/>
        <v>0.3024603837</v>
      </c>
      <c r="R487" s="111">
        <f t="shared" si="7"/>
        <v>0.75</v>
      </c>
      <c r="S487" s="122">
        <f t="shared" si="133"/>
        <v>59.95</v>
      </c>
      <c r="T487" s="113">
        <f t="shared" si="9"/>
        <v>24.17666667</v>
      </c>
      <c r="U487" s="172"/>
      <c r="V487" s="172"/>
      <c r="W487" s="172"/>
      <c r="X487" s="172"/>
      <c r="Y487" s="173"/>
      <c r="Z487" s="165"/>
      <c r="AA487" s="165"/>
    </row>
    <row r="488" hidden="1" outlineLevel="1">
      <c r="A488" s="165"/>
      <c r="B488" s="99" t="s">
        <v>37</v>
      </c>
      <c r="C488" s="100" t="s">
        <v>38</v>
      </c>
      <c r="D488" s="123">
        <v>64.9</v>
      </c>
      <c r="E488" s="401"/>
      <c r="F488" s="103">
        <v>2.0</v>
      </c>
      <c r="G488" s="103">
        <v>2.0</v>
      </c>
      <c r="H488" s="104">
        <f t="shared" si="1"/>
        <v>1</v>
      </c>
      <c r="I488" s="105">
        <f t="shared" si="2"/>
        <v>32.45</v>
      </c>
      <c r="J488" s="106">
        <f t="shared" si="3"/>
        <v>32.45</v>
      </c>
      <c r="K488" s="123">
        <v>49.27</v>
      </c>
      <c r="L488" s="103">
        <v>12961.0</v>
      </c>
      <c r="M488" s="103">
        <v>1.0</v>
      </c>
      <c r="N488" s="124">
        <v>34.95</v>
      </c>
      <c r="O488" s="109">
        <f t="shared" si="134"/>
        <v>1.409728183</v>
      </c>
      <c r="P488" s="110">
        <f t="shared" si="5"/>
        <v>0.7093566065</v>
      </c>
      <c r="Q488" s="109">
        <f t="shared" si="6"/>
        <v>0.7591679507</v>
      </c>
      <c r="R488" s="111">
        <f t="shared" si="7"/>
        <v>0.5385208012</v>
      </c>
      <c r="S488" s="125">
        <f t="shared" si="133"/>
        <v>29.95</v>
      </c>
      <c r="T488" s="113">
        <f t="shared" si="9"/>
        <v>49.27</v>
      </c>
      <c r="U488" s="172"/>
      <c r="V488" s="172"/>
      <c r="W488" s="172"/>
      <c r="X488" s="172"/>
      <c r="Y488" s="173"/>
      <c r="Z488" s="165"/>
      <c r="AA488" s="165"/>
    </row>
    <row r="489" hidden="1" outlineLevel="1">
      <c r="A489" s="165"/>
      <c r="B489" s="174"/>
      <c r="C489" s="100" t="s">
        <v>39</v>
      </c>
      <c r="D489" s="126">
        <v>0.0</v>
      </c>
      <c r="E489" s="401"/>
      <c r="F489" s="103">
        <v>0.0</v>
      </c>
      <c r="G489" s="103">
        <v>0.0</v>
      </c>
      <c r="H489" s="104" t="str">
        <f t="shared" si="1"/>
        <v>#DIV/0!</v>
      </c>
      <c r="I489" s="105" t="str">
        <f t="shared" si="2"/>
        <v>#DIV/0!</v>
      </c>
      <c r="J489" s="106" t="str">
        <f t="shared" si="3"/>
        <v>#DIV/0!</v>
      </c>
      <c r="K489" s="126">
        <v>0.0</v>
      </c>
      <c r="L489" s="103">
        <v>0.0</v>
      </c>
      <c r="M489" s="103">
        <v>0.0</v>
      </c>
      <c r="N489" s="127">
        <v>0.0</v>
      </c>
      <c r="O489" s="109" t="str">
        <f t="shared" si="134"/>
        <v>#DIV/0!</v>
      </c>
      <c r="P489" s="110" t="str">
        <f t="shared" si="5"/>
        <v>#DIV/0!</v>
      </c>
      <c r="Q489" s="109" t="str">
        <f t="shared" si="6"/>
        <v>#DIV/0!</v>
      </c>
      <c r="R489" s="111" t="str">
        <f t="shared" si="7"/>
        <v>#DIV/0!</v>
      </c>
      <c r="S489" s="128">
        <f t="shared" si="133"/>
        <v>0</v>
      </c>
      <c r="T489" s="113" t="str">
        <f t="shared" si="9"/>
        <v>#DIV/0!</v>
      </c>
      <c r="U489" s="172"/>
      <c r="V489" s="172"/>
      <c r="W489" s="172"/>
      <c r="X489" s="172"/>
      <c r="Y489" s="173"/>
      <c r="Z489" s="165"/>
      <c r="AA489" s="165"/>
    </row>
    <row r="490" hidden="1" outlineLevel="1">
      <c r="A490" s="165"/>
      <c r="B490" s="174"/>
      <c r="C490" s="100" t="s">
        <v>40</v>
      </c>
      <c r="D490" s="129">
        <v>0.0</v>
      </c>
      <c r="E490" s="401"/>
      <c r="F490" s="103">
        <v>0.0</v>
      </c>
      <c r="G490" s="103">
        <v>0.0</v>
      </c>
      <c r="H490" s="104" t="str">
        <f t="shared" si="1"/>
        <v>#DIV/0!</v>
      </c>
      <c r="I490" s="105" t="str">
        <f t="shared" si="2"/>
        <v>#DIV/0!</v>
      </c>
      <c r="J490" s="106" t="str">
        <f t="shared" si="3"/>
        <v>#DIV/0!</v>
      </c>
      <c r="K490" s="129">
        <v>0.0</v>
      </c>
      <c r="L490" s="103">
        <v>0.0</v>
      </c>
      <c r="M490" s="103">
        <v>0.0</v>
      </c>
      <c r="N490" s="130">
        <v>0.0</v>
      </c>
      <c r="O490" s="109" t="str">
        <f t="shared" si="134"/>
        <v>#DIV/0!</v>
      </c>
      <c r="P490" s="110" t="str">
        <f t="shared" si="5"/>
        <v>#DIV/0!</v>
      </c>
      <c r="Q490" s="109" t="str">
        <f t="shared" si="6"/>
        <v>#DIV/0!</v>
      </c>
      <c r="R490" s="111" t="str">
        <f t="shared" si="7"/>
        <v>#DIV/0!</v>
      </c>
      <c r="S490" s="131">
        <f t="shared" si="133"/>
        <v>0</v>
      </c>
      <c r="T490" s="113" t="str">
        <f t="shared" si="9"/>
        <v>#DIV/0!</v>
      </c>
      <c r="U490" s="172"/>
      <c r="V490" s="172"/>
      <c r="W490" s="172"/>
      <c r="X490" s="172"/>
      <c r="Y490" s="173"/>
      <c r="Z490" s="165"/>
      <c r="AA490" s="165"/>
    </row>
    <row r="491" hidden="1" outlineLevel="1">
      <c r="A491" s="165"/>
      <c r="B491" s="174"/>
      <c r="C491" s="100" t="s">
        <v>41</v>
      </c>
      <c r="D491" s="132">
        <v>146.72</v>
      </c>
      <c r="E491" s="401"/>
      <c r="F491" s="103">
        <v>-1.0</v>
      </c>
      <c r="G491" s="103">
        <v>3.0</v>
      </c>
      <c r="H491" s="104">
        <f t="shared" si="1"/>
        <v>-0.3333333333</v>
      </c>
      <c r="I491" s="105">
        <f t="shared" si="2"/>
        <v>-146.72</v>
      </c>
      <c r="J491" s="106">
        <f t="shared" si="3"/>
        <v>440.16</v>
      </c>
      <c r="K491" s="132">
        <v>63.44</v>
      </c>
      <c r="L491" s="103">
        <v>6572.0</v>
      </c>
      <c r="M491" s="103">
        <v>0.0</v>
      </c>
      <c r="N491" s="133">
        <v>0.0</v>
      </c>
      <c r="O491" s="109" t="str">
        <f t="shared" si="134"/>
        <v>#DIV/0!</v>
      </c>
      <c r="P491" s="110">
        <f t="shared" si="5"/>
        <v>0</v>
      </c>
      <c r="Q491" s="109">
        <f t="shared" si="6"/>
        <v>0.4323882225</v>
      </c>
      <c r="R491" s="111">
        <f t="shared" si="7"/>
        <v>0</v>
      </c>
      <c r="S491" s="134">
        <f t="shared" si="133"/>
        <v>146.72</v>
      </c>
      <c r="T491" s="113" t="str">
        <f t="shared" si="9"/>
        <v>#DIV/0!</v>
      </c>
      <c r="U491" s="172"/>
      <c r="V491" s="172"/>
      <c r="W491" s="172"/>
      <c r="X491" s="172"/>
      <c r="Y491" s="173"/>
      <c r="Z491" s="165"/>
      <c r="AA491" s="165"/>
    </row>
    <row r="492" hidden="1" outlineLevel="1">
      <c r="A492" s="165"/>
      <c r="B492" s="174"/>
      <c r="C492" s="100" t="s">
        <v>42</v>
      </c>
      <c r="D492" s="120">
        <v>59.97</v>
      </c>
      <c r="E492" s="401"/>
      <c r="F492" s="103">
        <v>3.0</v>
      </c>
      <c r="G492" s="103">
        <v>3.0</v>
      </c>
      <c r="H492" s="104">
        <f t="shared" si="1"/>
        <v>1</v>
      </c>
      <c r="I492" s="105">
        <f t="shared" si="2"/>
        <v>19.99</v>
      </c>
      <c r="J492" s="106">
        <f t="shared" si="3"/>
        <v>19.99</v>
      </c>
      <c r="K492" s="120">
        <v>5.19</v>
      </c>
      <c r="L492" s="103">
        <v>13441.0</v>
      </c>
      <c r="M492" s="103">
        <v>16.0</v>
      </c>
      <c r="N492" s="121">
        <v>319.84</v>
      </c>
      <c r="O492" s="109">
        <f t="shared" si="134"/>
        <v>0.01622686343</v>
      </c>
      <c r="P492" s="110">
        <f t="shared" si="5"/>
        <v>61.62620424</v>
      </c>
      <c r="Q492" s="109">
        <f t="shared" si="6"/>
        <v>0.08654327164</v>
      </c>
      <c r="R492" s="111">
        <f t="shared" si="7"/>
        <v>5.333333333</v>
      </c>
      <c r="S492" s="122">
        <f t="shared" si="133"/>
        <v>-259.87</v>
      </c>
      <c r="T492" s="113">
        <f t="shared" si="9"/>
        <v>0.324375</v>
      </c>
      <c r="U492" s="172"/>
      <c r="V492" s="172"/>
      <c r="W492" s="172"/>
      <c r="X492" s="172"/>
      <c r="Y492" s="173"/>
      <c r="Z492" s="165"/>
      <c r="AA492" s="165"/>
    </row>
    <row r="493" hidden="1" outlineLevel="1">
      <c r="A493" s="165"/>
      <c r="B493" s="174"/>
      <c r="C493" s="100" t="s">
        <v>43</v>
      </c>
      <c r="D493" s="135">
        <v>375.9</v>
      </c>
      <c r="E493" s="401"/>
      <c r="F493" s="103">
        <v>2.0</v>
      </c>
      <c r="G493" s="103">
        <v>2.0</v>
      </c>
      <c r="H493" s="104">
        <f t="shared" si="1"/>
        <v>1</v>
      </c>
      <c r="I493" s="105">
        <f t="shared" si="2"/>
        <v>187.95</v>
      </c>
      <c r="J493" s="106">
        <f t="shared" si="3"/>
        <v>187.95</v>
      </c>
      <c r="K493" s="135">
        <v>6.58</v>
      </c>
      <c r="L493" s="103">
        <v>19780.0</v>
      </c>
      <c r="M493" s="103">
        <v>0.0</v>
      </c>
      <c r="N493" s="136">
        <v>0.0</v>
      </c>
      <c r="O493" s="109" t="str">
        <f t="shared" si="134"/>
        <v>#DIV/0!</v>
      </c>
      <c r="P493" s="110">
        <f t="shared" si="5"/>
        <v>0</v>
      </c>
      <c r="Q493" s="109">
        <f t="shared" si="6"/>
        <v>0.01750465549</v>
      </c>
      <c r="R493" s="111">
        <f t="shared" si="7"/>
        <v>0</v>
      </c>
      <c r="S493" s="137">
        <f t="shared" si="133"/>
        <v>375.9</v>
      </c>
      <c r="T493" s="113" t="str">
        <f t="shared" si="9"/>
        <v>#DIV/0!</v>
      </c>
      <c r="U493" s="172"/>
      <c r="V493" s="172"/>
      <c r="W493" s="172"/>
      <c r="X493" s="172"/>
      <c r="Y493" s="173"/>
      <c r="Z493" s="165"/>
      <c r="AA493" s="165"/>
    </row>
    <row r="494" hidden="1" outlineLevel="1">
      <c r="A494" s="165"/>
      <c r="B494" s="174"/>
      <c r="C494" s="100" t="s">
        <v>44</v>
      </c>
      <c r="D494" s="138">
        <v>89.9</v>
      </c>
      <c r="E494" s="401"/>
      <c r="F494" s="103">
        <v>2.0</v>
      </c>
      <c r="G494" s="103">
        <v>2.0</v>
      </c>
      <c r="H494" s="104">
        <f t="shared" si="1"/>
        <v>1</v>
      </c>
      <c r="I494" s="105">
        <f t="shared" si="2"/>
        <v>44.95</v>
      </c>
      <c r="J494" s="106">
        <f t="shared" si="3"/>
        <v>44.95</v>
      </c>
      <c r="K494" s="138">
        <v>15.92</v>
      </c>
      <c r="L494" s="103">
        <v>8541.0</v>
      </c>
      <c r="M494" s="103">
        <v>0.0</v>
      </c>
      <c r="N494" s="139">
        <v>0.0</v>
      </c>
      <c r="O494" s="109" t="str">
        <f t="shared" si="134"/>
        <v>#DIV/0!</v>
      </c>
      <c r="P494" s="110">
        <f t="shared" si="5"/>
        <v>0</v>
      </c>
      <c r="Q494" s="109">
        <f t="shared" si="6"/>
        <v>0.1770856507</v>
      </c>
      <c r="R494" s="111">
        <f t="shared" si="7"/>
        <v>0</v>
      </c>
      <c r="S494" s="140">
        <f t="shared" si="133"/>
        <v>89.9</v>
      </c>
      <c r="T494" s="113" t="str">
        <f t="shared" si="9"/>
        <v>#DIV/0!</v>
      </c>
      <c r="U494" s="172"/>
      <c r="V494" s="172"/>
      <c r="W494" s="172"/>
      <c r="X494" s="172"/>
      <c r="Y494" s="173"/>
      <c r="Z494" s="165"/>
      <c r="AA494" s="165"/>
    </row>
    <row r="495" hidden="1" outlineLevel="1">
      <c r="A495" s="192"/>
      <c r="B495" s="174"/>
      <c r="C495" s="142" t="s">
        <v>45</v>
      </c>
      <c r="D495" s="101">
        <v>39.9</v>
      </c>
      <c r="E495" s="401"/>
      <c r="F495" s="103">
        <v>2.0</v>
      </c>
      <c r="G495" s="103">
        <v>1.0</v>
      </c>
      <c r="H495" s="104">
        <f t="shared" si="1"/>
        <v>2</v>
      </c>
      <c r="I495" s="105">
        <f t="shared" si="2"/>
        <v>19.95</v>
      </c>
      <c r="J495" s="106">
        <f t="shared" si="3"/>
        <v>9.975</v>
      </c>
      <c r="K495" s="101">
        <v>0.0</v>
      </c>
      <c r="L495" s="103">
        <v>0.0</v>
      </c>
      <c r="M495" s="103">
        <v>0.0</v>
      </c>
      <c r="N495" s="108">
        <v>0.0</v>
      </c>
      <c r="O495" s="109" t="str">
        <f t="shared" si="134"/>
        <v>#DIV/0!</v>
      </c>
      <c r="P495" s="110" t="str">
        <f t="shared" si="5"/>
        <v>#DIV/0!</v>
      </c>
      <c r="Q495" s="109">
        <f t="shared" si="6"/>
        <v>0</v>
      </c>
      <c r="R495" s="111">
        <f t="shared" si="7"/>
        <v>0</v>
      </c>
      <c r="S495" s="112">
        <f t="shared" si="133"/>
        <v>39.9</v>
      </c>
      <c r="T495" s="113" t="str">
        <f t="shared" si="9"/>
        <v>#DIV/0!</v>
      </c>
      <c r="U495" s="193"/>
      <c r="V495" s="193"/>
      <c r="W495" s="193"/>
      <c r="X495" s="194"/>
      <c r="Y495" s="195"/>
      <c r="Z495" s="165"/>
      <c r="AA495" s="165"/>
    </row>
    <row r="496" hidden="1" outlineLevel="1">
      <c r="A496" s="165"/>
      <c r="B496" s="174"/>
      <c r="C496" s="100" t="s">
        <v>46</v>
      </c>
      <c r="D496" s="146">
        <v>709.2</v>
      </c>
      <c r="E496" s="401"/>
      <c r="F496" s="103">
        <v>16.0</v>
      </c>
      <c r="G496" s="103">
        <v>15.0</v>
      </c>
      <c r="H496" s="104">
        <f t="shared" si="1"/>
        <v>1.066666667</v>
      </c>
      <c r="I496" s="105">
        <f t="shared" si="2"/>
        <v>44.325</v>
      </c>
      <c r="J496" s="106">
        <f t="shared" si="3"/>
        <v>41.5546875</v>
      </c>
      <c r="K496" s="146">
        <v>78.27</v>
      </c>
      <c r="L496" s="103">
        <v>26726.0</v>
      </c>
      <c r="M496" s="103">
        <v>7.0</v>
      </c>
      <c r="N496" s="147">
        <v>130.85</v>
      </c>
      <c r="O496" s="109">
        <f t="shared" si="134"/>
        <v>0.5981658387</v>
      </c>
      <c r="P496" s="110">
        <f t="shared" si="5"/>
        <v>1.671777182</v>
      </c>
      <c r="Q496" s="109">
        <f t="shared" si="6"/>
        <v>0.1103637902</v>
      </c>
      <c r="R496" s="111">
        <f t="shared" si="7"/>
        <v>0.1845036661</v>
      </c>
      <c r="S496" s="112">
        <f t="shared" si="133"/>
        <v>578.35</v>
      </c>
      <c r="T496" s="113">
        <f t="shared" si="9"/>
        <v>11.18142857</v>
      </c>
      <c r="U496" s="172"/>
      <c r="V496" s="172"/>
      <c r="W496" s="172"/>
      <c r="X496" s="172"/>
      <c r="Y496" s="173"/>
      <c r="Z496" s="165"/>
      <c r="AA496" s="165"/>
    </row>
    <row r="497" hidden="1" outlineLevel="1">
      <c r="A497" s="148" t="str">
        <f t="shared" ref="A497:A498" si="135">iferror(if(B497&gt;0,month(B497)&amp;"-"&amp;year(B497),B497),)</f>
        <v>6-2025</v>
      </c>
      <c r="B497" s="99">
        <v>45829.0</v>
      </c>
      <c r="C497" s="100" t="s">
        <v>49</v>
      </c>
      <c r="D497" s="146">
        <v>0.0</v>
      </c>
      <c r="E497" s="401"/>
      <c r="F497" s="103">
        <v>0.0</v>
      </c>
      <c r="G497" s="103">
        <v>0.0</v>
      </c>
      <c r="H497" s="104" t="str">
        <f t="shared" si="1"/>
        <v>#DIV/0!</v>
      </c>
      <c r="I497" s="105" t="str">
        <f t="shared" si="2"/>
        <v>#DIV/0!</v>
      </c>
      <c r="J497" s="106" t="str">
        <f t="shared" si="3"/>
        <v>#DIV/0!</v>
      </c>
      <c r="K497" s="146">
        <v>9.05</v>
      </c>
      <c r="L497" s="103">
        <v>8860.0</v>
      </c>
      <c r="M497" s="103">
        <v>0.0</v>
      </c>
      <c r="N497" s="147">
        <v>0.0</v>
      </c>
      <c r="O497" s="109" t="str">
        <f t="shared" si="134"/>
        <v>#DIV/0!</v>
      </c>
      <c r="P497" s="110">
        <f t="shared" si="5"/>
        <v>0</v>
      </c>
      <c r="Q497" s="109" t="str">
        <f t="shared" si="6"/>
        <v>#DIV/0!</v>
      </c>
      <c r="R497" s="111" t="str">
        <f t="shared" si="7"/>
        <v>#DIV/0!</v>
      </c>
      <c r="S497" s="112">
        <f t="shared" si="133"/>
        <v>0</v>
      </c>
      <c r="T497" s="113" t="str">
        <f t="shared" si="9"/>
        <v>#DIV/0!</v>
      </c>
      <c r="U497" s="172"/>
      <c r="V497" s="172"/>
      <c r="W497" s="172"/>
      <c r="X497" s="172"/>
      <c r="Y497" s="173"/>
      <c r="Z497" s="165"/>
      <c r="AA497" s="165"/>
    </row>
    <row r="498" collapsed="1">
      <c r="A498" s="165" t="str">
        <f t="shared" si="135"/>
        <v/>
      </c>
      <c r="B498" s="80" t="s">
        <v>112</v>
      </c>
      <c r="C498" s="201"/>
      <c r="D498" s="151">
        <f>SUM(D481:D497)</f>
        <v>7547.99</v>
      </c>
      <c r="E498" s="400"/>
      <c r="F498" s="153">
        <f t="shared" ref="F498:G498" si="136">SUM(F481:F497)</f>
        <v>90</v>
      </c>
      <c r="G498" s="153">
        <f t="shared" si="136"/>
        <v>95</v>
      </c>
      <c r="H498" s="154">
        <f t="shared" si="1"/>
        <v>0.9473684211</v>
      </c>
      <c r="I498" s="155">
        <f t="shared" si="2"/>
        <v>83.86655556</v>
      </c>
      <c r="J498" s="156">
        <f t="shared" si="3"/>
        <v>88.52580864</v>
      </c>
      <c r="K498" s="151">
        <f t="shared" ref="K498:N498" si="137">SUM(K481:K497)</f>
        <v>1019.02</v>
      </c>
      <c r="L498" s="153">
        <f t="shared" si="137"/>
        <v>314088</v>
      </c>
      <c r="M498" s="153">
        <f t="shared" si="137"/>
        <v>41</v>
      </c>
      <c r="N498" s="157">
        <f t="shared" si="137"/>
        <v>1834.24</v>
      </c>
      <c r="O498" s="158">
        <f t="shared" si="134"/>
        <v>0.555554344</v>
      </c>
      <c r="P498" s="159">
        <f t="shared" si="5"/>
        <v>1.800003925</v>
      </c>
      <c r="Q498" s="158">
        <f t="shared" si="6"/>
        <v>0.1350054783</v>
      </c>
      <c r="R498" s="160">
        <f t="shared" si="7"/>
        <v>0.2430103908</v>
      </c>
      <c r="S498" s="161">
        <f>SUM(S481:S497)</f>
        <v>5713.75</v>
      </c>
      <c r="T498" s="162">
        <f t="shared" si="9"/>
        <v>24.85414634</v>
      </c>
      <c r="U498" s="399">
        <f>IFERROR((D498-D246)/D498,)</f>
        <v>-0.004415745119</v>
      </c>
      <c r="V498" s="399">
        <f>IFERROR((F498-F246)/F498,)</f>
        <v>-0.04444444444</v>
      </c>
      <c r="W498" s="398" t="str">
        <f>IFERROR((D498-monthly_reporting_2021!E289)/D498, )</f>
        <v/>
      </c>
      <c r="X498" s="398" t="str">
        <f>IFERROR((F498-monthly_reporting_2021!F289)/F498, )</f>
        <v/>
      </c>
      <c r="Y498" s="165"/>
      <c r="Z498" s="165"/>
      <c r="AA498" s="165"/>
    </row>
    <row r="499" hidden="1" outlineLevel="1">
      <c r="A499" s="165"/>
      <c r="B499" s="99">
        <v>45830.0</v>
      </c>
      <c r="C499" s="100" t="s">
        <v>32</v>
      </c>
      <c r="D499" s="101">
        <v>1682.9</v>
      </c>
      <c r="E499" s="401"/>
      <c r="F499" s="103">
        <v>6.0</v>
      </c>
      <c r="G499" s="103">
        <v>8.0</v>
      </c>
      <c r="H499" s="104">
        <f t="shared" si="1"/>
        <v>0.75</v>
      </c>
      <c r="I499" s="105">
        <f t="shared" si="2"/>
        <v>280.4833333</v>
      </c>
      <c r="J499" s="106">
        <f t="shared" si="3"/>
        <v>373.9777778</v>
      </c>
      <c r="K499" s="107">
        <v>431.44</v>
      </c>
      <c r="L499" s="103">
        <v>127727.0</v>
      </c>
      <c r="M499" s="103">
        <v>3.0</v>
      </c>
      <c r="N499" s="108">
        <v>458.95</v>
      </c>
      <c r="O499" s="109">
        <f t="shared" si="134"/>
        <v>0.9400588299</v>
      </c>
      <c r="P499" s="110">
        <f t="shared" si="5"/>
        <v>1.063763212</v>
      </c>
      <c r="Q499" s="109">
        <f t="shared" si="6"/>
        <v>0.2563669856</v>
      </c>
      <c r="R499" s="111">
        <f t="shared" si="7"/>
        <v>0.2727137679</v>
      </c>
      <c r="S499" s="112">
        <f t="shared" ref="S499:S515" si="138">D499-N499</f>
        <v>1223.95</v>
      </c>
      <c r="T499" s="113">
        <f t="shared" si="9"/>
        <v>143.8133333</v>
      </c>
      <c r="U499" s="172"/>
      <c r="V499" s="172"/>
      <c r="W499" s="172"/>
      <c r="X499" s="172"/>
      <c r="Y499" s="173"/>
      <c r="Z499" s="165"/>
      <c r="AA499" s="165"/>
    </row>
    <row r="500" hidden="1" outlineLevel="1">
      <c r="A500" s="165"/>
      <c r="B500" s="174"/>
      <c r="C500" s="100" t="s">
        <v>33</v>
      </c>
      <c r="D500" s="117">
        <v>4852.2</v>
      </c>
      <c r="E500" s="401"/>
      <c r="F500" s="103">
        <v>56.0</v>
      </c>
      <c r="G500" s="103">
        <v>62.0</v>
      </c>
      <c r="H500" s="104">
        <f t="shared" si="1"/>
        <v>0.9032258065</v>
      </c>
      <c r="I500" s="105">
        <f t="shared" si="2"/>
        <v>86.64642857</v>
      </c>
      <c r="J500" s="106">
        <f t="shared" si="3"/>
        <v>95.92997449</v>
      </c>
      <c r="K500" s="117">
        <v>250.68</v>
      </c>
      <c r="L500" s="103">
        <v>92073.0</v>
      </c>
      <c r="M500" s="103">
        <v>7.0</v>
      </c>
      <c r="N500" s="118">
        <v>554.85</v>
      </c>
      <c r="O500" s="109">
        <f t="shared" si="134"/>
        <v>0.4517977832</v>
      </c>
      <c r="P500" s="110">
        <f t="shared" si="5"/>
        <v>2.213379607</v>
      </c>
      <c r="Q500" s="109">
        <f t="shared" si="6"/>
        <v>0.0516631631</v>
      </c>
      <c r="R500" s="111">
        <f t="shared" si="7"/>
        <v>0.1143501917</v>
      </c>
      <c r="S500" s="119">
        <f t="shared" si="138"/>
        <v>4297.35</v>
      </c>
      <c r="T500" s="113">
        <f t="shared" si="9"/>
        <v>35.81142857</v>
      </c>
      <c r="U500" s="172"/>
      <c r="V500" s="172"/>
      <c r="W500" s="172"/>
      <c r="X500" s="172"/>
      <c r="Y500" s="173"/>
      <c r="Z500" s="165"/>
      <c r="AA500" s="165"/>
    </row>
    <row r="501" hidden="1" outlineLevel="1">
      <c r="A501" s="165"/>
      <c r="B501" s="174"/>
      <c r="C501" s="100" t="s">
        <v>34</v>
      </c>
      <c r="D501" s="120">
        <v>0.0</v>
      </c>
      <c r="E501" s="401"/>
      <c r="F501" s="103">
        <v>0.0</v>
      </c>
      <c r="G501" s="103">
        <v>0.0</v>
      </c>
      <c r="H501" s="104" t="str">
        <f t="shared" si="1"/>
        <v>#DIV/0!</v>
      </c>
      <c r="I501" s="105" t="str">
        <f t="shared" si="2"/>
        <v>#DIV/0!</v>
      </c>
      <c r="J501" s="106" t="str">
        <f t="shared" si="3"/>
        <v>#DIV/0!</v>
      </c>
      <c r="K501" s="120">
        <v>1.21</v>
      </c>
      <c r="L501" s="103">
        <v>157.0</v>
      </c>
      <c r="M501" s="103">
        <v>0.0</v>
      </c>
      <c r="N501" s="121">
        <v>0.0</v>
      </c>
      <c r="O501" s="109" t="str">
        <f>(K501/N501)</f>
        <v>#DIV/0!</v>
      </c>
      <c r="P501" s="110">
        <f t="shared" si="5"/>
        <v>0</v>
      </c>
      <c r="Q501" s="109" t="str">
        <f t="shared" si="6"/>
        <v>#DIV/0!</v>
      </c>
      <c r="R501" s="111" t="str">
        <f t="shared" si="7"/>
        <v>#DIV/0!</v>
      </c>
      <c r="S501" s="122">
        <f t="shared" si="138"/>
        <v>0</v>
      </c>
      <c r="T501" s="113" t="str">
        <f t="shared" si="9"/>
        <v>#DIV/0!</v>
      </c>
      <c r="U501" s="172"/>
      <c r="V501" s="172"/>
      <c r="W501" s="172"/>
      <c r="X501" s="172"/>
      <c r="Y501" s="173"/>
      <c r="Z501" s="165"/>
      <c r="AA501" s="165"/>
    </row>
    <row r="502" hidden="1" outlineLevel="1">
      <c r="A502" s="165"/>
      <c r="B502" s="174"/>
      <c r="C502" s="100" t="s">
        <v>35</v>
      </c>
      <c r="D502" s="120">
        <v>239.8</v>
      </c>
      <c r="E502" s="401"/>
      <c r="F502" s="103">
        <v>4.0</v>
      </c>
      <c r="G502" s="103">
        <v>4.0</v>
      </c>
      <c r="H502" s="104">
        <f t="shared" si="1"/>
        <v>1</v>
      </c>
      <c r="I502" s="105">
        <f t="shared" si="2"/>
        <v>59.95</v>
      </c>
      <c r="J502" s="106">
        <f t="shared" si="3"/>
        <v>59.95</v>
      </c>
      <c r="K502" s="120">
        <v>0.0</v>
      </c>
      <c r="L502" s="103">
        <v>0.0</v>
      </c>
      <c r="M502" s="103">
        <v>0.0</v>
      </c>
      <c r="N502" s="121">
        <v>0.0</v>
      </c>
      <c r="O502" s="109" t="str">
        <f t="shared" ref="O502:O518" si="139">K502/N502</f>
        <v>#DIV/0!</v>
      </c>
      <c r="P502" s="110" t="str">
        <f t="shared" si="5"/>
        <v>#DIV/0!</v>
      </c>
      <c r="Q502" s="109">
        <f t="shared" si="6"/>
        <v>0</v>
      </c>
      <c r="R502" s="111">
        <f t="shared" si="7"/>
        <v>0</v>
      </c>
      <c r="S502" s="122">
        <f t="shared" si="138"/>
        <v>239.8</v>
      </c>
      <c r="T502" s="113" t="str">
        <f t="shared" si="9"/>
        <v>#DIV/0!</v>
      </c>
      <c r="U502" s="172"/>
      <c r="V502" s="172"/>
      <c r="W502" s="172"/>
      <c r="X502" s="172"/>
      <c r="Y502" s="173"/>
      <c r="Z502" s="165"/>
      <c r="AA502" s="165"/>
    </row>
    <row r="503" hidden="1" outlineLevel="1">
      <c r="A503" s="165"/>
      <c r="B503" s="174"/>
      <c r="C503" s="100" t="s">
        <v>65</v>
      </c>
      <c r="D503" s="300">
        <v>0.0</v>
      </c>
      <c r="E503" s="401"/>
      <c r="F503" s="103">
        <v>0.0</v>
      </c>
      <c r="G503" s="103">
        <v>0.0</v>
      </c>
      <c r="H503" s="104" t="str">
        <f t="shared" si="1"/>
        <v>#DIV/0!</v>
      </c>
      <c r="I503" s="105" t="str">
        <f t="shared" si="2"/>
        <v>#DIV/0!</v>
      </c>
      <c r="J503" s="106" t="str">
        <f t="shared" si="3"/>
        <v>#DIV/0!</v>
      </c>
      <c r="K503" s="300">
        <v>0.0</v>
      </c>
      <c r="L503" s="103">
        <v>0.0</v>
      </c>
      <c r="M503" s="103">
        <v>0.0</v>
      </c>
      <c r="N503" s="300">
        <v>0.0</v>
      </c>
      <c r="O503" s="109" t="str">
        <f t="shared" si="139"/>
        <v>#DIV/0!</v>
      </c>
      <c r="P503" s="110" t="str">
        <f t="shared" si="5"/>
        <v>#DIV/0!</v>
      </c>
      <c r="Q503" s="109" t="str">
        <f t="shared" si="6"/>
        <v>#DIV/0!</v>
      </c>
      <c r="R503" s="111" t="str">
        <f t="shared" si="7"/>
        <v>#DIV/0!</v>
      </c>
      <c r="S503" s="122">
        <f t="shared" si="138"/>
        <v>0</v>
      </c>
      <c r="T503" s="113" t="str">
        <f t="shared" si="9"/>
        <v>#DIV/0!</v>
      </c>
      <c r="U503" s="172"/>
      <c r="V503" s="172"/>
      <c r="W503" s="172"/>
      <c r="X503" s="172"/>
      <c r="Y503" s="173"/>
      <c r="Z503" s="165"/>
      <c r="AA503" s="165"/>
    </row>
    <row r="504" hidden="1" outlineLevel="1">
      <c r="A504" s="165"/>
      <c r="B504" s="174"/>
      <c r="C504" s="100" t="s">
        <v>85</v>
      </c>
      <c r="D504" s="302">
        <v>0.0</v>
      </c>
      <c r="E504" s="401"/>
      <c r="F504" s="103">
        <v>0.0</v>
      </c>
      <c r="G504" s="103">
        <v>0.0</v>
      </c>
      <c r="H504" s="104" t="str">
        <f t="shared" si="1"/>
        <v>#DIV/0!</v>
      </c>
      <c r="I504" s="105" t="str">
        <f t="shared" si="2"/>
        <v>#DIV/0!</v>
      </c>
      <c r="J504" s="106" t="str">
        <f t="shared" si="3"/>
        <v>#DIV/0!</v>
      </c>
      <c r="K504" s="302">
        <v>0.0</v>
      </c>
      <c r="L504" s="103">
        <v>0.0</v>
      </c>
      <c r="M504" s="103">
        <v>0.0</v>
      </c>
      <c r="N504" s="303">
        <v>0.0</v>
      </c>
      <c r="O504" s="109" t="str">
        <f t="shared" si="139"/>
        <v>#DIV/0!</v>
      </c>
      <c r="P504" s="110" t="str">
        <f t="shared" si="5"/>
        <v>#DIV/0!</v>
      </c>
      <c r="Q504" s="109" t="str">
        <f t="shared" si="6"/>
        <v>#DIV/0!</v>
      </c>
      <c r="R504" s="111" t="str">
        <f t="shared" si="7"/>
        <v>#DIV/0!</v>
      </c>
      <c r="S504" s="304">
        <f t="shared" si="138"/>
        <v>0</v>
      </c>
      <c r="T504" s="113" t="str">
        <f t="shared" si="9"/>
        <v>#DIV/0!</v>
      </c>
      <c r="U504" s="172"/>
      <c r="V504" s="172"/>
      <c r="W504" s="172"/>
      <c r="X504" s="172"/>
      <c r="Y504" s="173"/>
      <c r="Z504" s="165"/>
      <c r="AA504" s="165"/>
    </row>
    <row r="505" hidden="1" outlineLevel="1">
      <c r="A505" s="165"/>
      <c r="B505" s="174"/>
      <c r="C505" s="100" t="s">
        <v>36</v>
      </c>
      <c r="D505" s="120">
        <v>296.58</v>
      </c>
      <c r="E505" s="401"/>
      <c r="F505" s="103">
        <v>5.0</v>
      </c>
      <c r="G505" s="103">
        <v>4.0</v>
      </c>
      <c r="H505" s="104">
        <f t="shared" si="1"/>
        <v>1.25</v>
      </c>
      <c r="I505" s="105">
        <f t="shared" si="2"/>
        <v>59.316</v>
      </c>
      <c r="J505" s="106">
        <f t="shared" si="3"/>
        <v>47.4528</v>
      </c>
      <c r="K505" s="120">
        <v>59.16</v>
      </c>
      <c r="L505" s="103">
        <v>12239.0</v>
      </c>
      <c r="M505" s="103">
        <v>2.0</v>
      </c>
      <c r="N505" s="121">
        <v>119.9</v>
      </c>
      <c r="O505" s="109">
        <f t="shared" si="139"/>
        <v>0.493411176</v>
      </c>
      <c r="P505" s="110">
        <f t="shared" si="5"/>
        <v>2.026707235</v>
      </c>
      <c r="Q505" s="109">
        <f t="shared" si="6"/>
        <v>0.1994740036</v>
      </c>
      <c r="R505" s="111">
        <f t="shared" si="7"/>
        <v>0.4042754063</v>
      </c>
      <c r="S505" s="122">
        <f t="shared" si="138"/>
        <v>176.68</v>
      </c>
      <c r="T505" s="113">
        <f t="shared" si="9"/>
        <v>29.58</v>
      </c>
      <c r="U505" s="172"/>
      <c r="V505" s="172"/>
      <c r="W505" s="172"/>
      <c r="X505" s="172"/>
      <c r="Y505" s="173"/>
      <c r="Z505" s="165"/>
      <c r="AA505" s="165"/>
    </row>
    <row r="506" hidden="1" outlineLevel="1">
      <c r="A506" s="165"/>
      <c r="B506" s="99" t="s">
        <v>37</v>
      </c>
      <c r="C506" s="100" t="s">
        <v>38</v>
      </c>
      <c r="D506" s="123">
        <v>169.9</v>
      </c>
      <c r="E506" s="401"/>
      <c r="F506" s="103">
        <v>2.0</v>
      </c>
      <c r="G506" s="103">
        <v>2.0</v>
      </c>
      <c r="H506" s="104">
        <f t="shared" si="1"/>
        <v>1</v>
      </c>
      <c r="I506" s="105">
        <f t="shared" si="2"/>
        <v>84.95</v>
      </c>
      <c r="J506" s="106">
        <f t="shared" si="3"/>
        <v>84.95</v>
      </c>
      <c r="K506" s="123">
        <v>28.86</v>
      </c>
      <c r="L506" s="103">
        <v>11088.0</v>
      </c>
      <c r="M506" s="103">
        <v>1.0</v>
      </c>
      <c r="N506" s="124">
        <v>29.95</v>
      </c>
      <c r="O506" s="109">
        <f t="shared" si="139"/>
        <v>0.96360601</v>
      </c>
      <c r="P506" s="110">
        <f t="shared" si="5"/>
        <v>1.037768538</v>
      </c>
      <c r="Q506" s="109">
        <f t="shared" si="6"/>
        <v>0.1698646263</v>
      </c>
      <c r="R506" s="111">
        <f t="shared" si="7"/>
        <v>0.1762801648</v>
      </c>
      <c r="S506" s="125">
        <f t="shared" si="138"/>
        <v>139.95</v>
      </c>
      <c r="T506" s="113">
        <f t="shared" si="9"/>
        <v>28.86</v>
      </c>
      <c r="U506" s="172"/>
      <c r="V506" s="172"/>
      <c r="W506" s="172"/>
      <c r="X506" s="172"/>
      <c r="Y506" s="173"/>
      <c r="Z506" s="165"/>
      <c r="AA506" s="165"/>
    </row>
    <row r="507" hidden="1" outlineLevel="1">
      <c r="A507" s="165"/>
      <c r="B507" s="174"/>
      <c r="C507" s="100" t="s">
        <v>39</v>
      </c>
      <c r="D507" s="126">
        <v>0.0</v>
      </c>
      <c r="E507" s="401"/>
      <c r="F507" s="103">
        <v>0.0</v>
      </c>
      <c r="G507" s="103">
        <v>0.0</v>
      </c>
      <c r="H507" s="104" t="str">
        <f t="shared" si="1"/>
        <v>#DIV/0!</v>
      </c>
      <c r="I507" s="105" t="str">
        <f t="shared" si="2"/>
        <v>#DIV/0!</v>
      </c>
      <c r="J507" s="106" t="str">
        <f t="shared" si="3"/>
        <v>#DIV/0!</v>
      </c>
      <c r="K507" s="126">
        <v>0.0</v>
      </c>
      <c r="L507" s="103">
        <v>0.0</v>
      </c>
      <c r="M507" s="103">
        <v>0.0</v>
      </c>
      <c r="N507" s="127">
        <v>0.0</v>
      </c>
      <c r="O507" s="109" t="str">
        <f t="shared" si="139"/>
        <v>#DIV/0!</v>
      </c>
      <c r="P507" s="110" t="str">
        <f t="shared" si="5"/>
        <v>#DIV/0!</v>
      </c>
      <c r="Q507" s="109" t="str">
        <f t="shared" si="6"/>
        <v>#DIV/0!</v>
      </c>
      <c r="R507" s="111" t="str">
        <f t="shared" si="7"/>
        <v>#DIV/0!</v>
      </c>
      <c r="S507" s="128">
        <f t="shared" si="138"/>
        <v>0</v>
      </c>
      <c r="T507" s="113" t="str">
        <f t="shared" si="9"/>
        <v>#DIV/0!</v>
      </c>
      <c r="U507" s="172"/>
      <c r="V507" s="172"/>
      <c r="W507" s="172"/>
      <c r="X507" s="172"/>
      <c r="Y507" s="173"/>
      <c r="Z507" s="165"/>
      <c r="AA507" s="165"/>
    </row>
    <row r="508" hidden="1" outlineLevel="1">
      <c r="A508" s="165"/>
      <c r="B508" s="174"/>
      <c r="C508" s="100" t="s">
        <v>40</v>
      </c>
      <c r="D508" s="129">
        <v>0.0</v>
      </c>
      <c r="E508" s="401"/>
      <c r="F508" s="103">
        <v>0.0</v>
      </c>
      <c r="G508" s="103">
        <v>0.0</v>
      </c>
      <c r="H508" s="104" t="str">
        <f t="shared" si="1"/>
        <v>#DIV/0!</v>
      </c>
      <c r="I508" s="105" t="str">
        <f t="shared" si="2"/>
        <v>#DIV/0!</v>
      </c>
      <c r="J508" s="106" t="str">
        <f t="shared" si="3"/>
        <v>#DIV/0!</v>
      </c>
      <c r="K508" s="129">
        <v>0.0</v>
      </c>
      <c r="L508" s="103">
        <v>0.0</v>
      </c>
      <c r="M508" s="103">
        <v>0.0</v>
      </c>
      <c r="N508" s="130">
        <v>0.0</v>
      </c>
      <c r="O508" s="109" t="str">
        <f t="shared" si="139"/>
        <v>#DIV/0!</v>
      </c>
      <c r="P508" s="110" t="str">
        <f t="shared" si="5"/>
        <v>#DIV/0!</v>
      </c>
      <c r="Q508" s="109" t="str">
        <f t="shared" si="6"/>
        <v>#DIV/0!</v>
      </c>
      <c r="R508" s="111" t="str">
        <f t="shared" si="7"/>
        <v>#DIV/0!</v>
      </c>
      <c r="S508" s="131">
        <f t="shared" si="138"/>
        <v>0</v>
      </c>
      <c r="T508" s="113" t="str">
        <f t="shared" si="9"/>
        <v>#DIV/0!</v>
      </c>
      <c r="U508" s="172"/>
      <c r="V508" s="172"/>
      <c r="W508" s="172"/>
      <c r="X508" s="172"/>
      <c r="Y508" s="173"/>
      <c r="Z508" s="165"/>
      <c r="AA508" s="165"/>
    </row>
    <row r="509" hidden="1" outlineLevel="1">
      <c r="A509" s="165"/>
      <c r="B509" s="174"/>
      <c r="C509" s="100" t="s">
        <v>41</v>
      </c>
      <c r="D509" s="132">
        <v>109.98</v>
      </c>
      <c r="E509" s="401"/>
      <c r="F509" s="103">
        <v>2.0</v>
      </c>
      <c r="G509" s="103">
        <v>2.0</v>
      </c>
      <c r="H509" s="104">
        <f t="shared" si="1"/>
        <v>1</v>
      </c>
      <c r="I509" s="105">
        <f t="shared" si="2"/>
        <v>54.99</v>
      </c>
      <c r="J509" s="106">
        <f t="shared" si="3"/>
        <v>54.99</v>
      </c>
      <c r="K509" s="132">
        <v>27.14</v>
      </c>
      <c r="L509" s="103">
        <v>5083.0</v>
      </c>
      <c r="M509" s="103">
        <v>0.0</v>
      </c>
      <c r="N509" s="133">
        <v>0.0</v>
      </c>
      <c r="O509" s="109" t="str">
        <f t="shared" si="139"/>
        <v>#DIV/0!</v>
      </c>
      <c r="P509" s="110">
        <f t="shared" si="5"/>
        <v>0</v>
      </c>
      <c r="Q509" s="109">
        <f t="shared" si="6"/>
        <v>0.2467721404</v>
      </c>
      <c r="R509" s="111">
        <f t="shared" si="7"/>
        <v>0</v>
      </c>
      <c r="S509" s="134">
        <f t="shared" si="138"/>
        <v>109.98</v>
      </c>
      <c r="T509" s="113" t="str">
        <f t="shared" si="9"/>
        <v>#DIV/0!</v>
      </c>
      <c r="U509" s="172"/>
      <c r="V509" s="172"/>
      <c r="W509" s="172"/>
      <c r="X509" s="172"/>
      <c r="Y509" s="173"/>
      <c r="Z509" s="165"/>
      <c r="AA509" s="165"/>
    </row>
    <row r="510" hidden="1" outlineLevel="1">
      <c r="A510" s="165"/>
      <c r="B510" s="174"/>
      <c r="C510" s="100" t="s">
        <v>42</v>
      </c>
      <c r="D510" s="120">
        <v>19.99</v>
      </c>
      <c r="E510" s="401"/>
      <c r="F510" s="103">
        <v>1.0</v>
      </c>
      <c r="G510" s="103">
        <v>1.0</v>
      </c>
      <c r="H510" s="104">
        <f t="shared" si="1"/>
        <v>1</v>
      </c>
      <c r="I510" s="105">
        <f t="shared" si="2"/>
        <v>19.99</v>
      </c>
      <c r="J510" s="106">
        <f t="shared" si="3"/>
        <v>19.99</v>
      </c>
      <c r="K510" s="120">
        <v>2.25</v>
      </c>
      <c r="L510" s="103">
        <v>11057.0</v>
      </c>
      <c r="M510" s="103">
        <v>0.0</v>
      </c>
      <c r="N510" s="121">
        <v>0.0</v>
      </c>
      <c r="O510" s="109" t="str">
        <f t="shared" si="139"/>
        <v>#DIV/0!</v>
      </c>
      <c r="P510" s="110">
        <f t="shared" si="5"/>
        <v>0</v>
      </c>
      <c r="Q510" s="109">
        <f t="shared" si="6"/>
        <v>0.1125562781</v>
      </c>
      <c r="R510" s="111">
        <f t="shared" si="7"/>
        <v>0</v>
      </c>
      <c r="S510" s="122">
        <f t="shared" si="138"/>
        <v>19.99</v>
      </c>
      <c r="T510" s="113" t="str">
        <f t="shared" si="9"/>
        <v>#DIV/0!</v>
      </c>
      <c r="U510" s="172"/>
      <c r="V510" s="172"/>
      <c r="W510" s="172"/>
      <c r="X510" s="172"/>
      <c r="Y510" s="173"/>
      <c r="Z510" s="165"/>
      <c r="AA510" s="165"/>
    </row>
    <row r="511" hidden="1" outlineLevel="1">
      <c r="A511" s="165"/>
      <c r="B511" s="174"/>
      <c r="C511" s="100" t="s">
        <v>43</v>
      </c>
      <c r="D511" s="135">
        <v>385.9</v>
      </c>
      <c r="E511" s="401"/>
      <c r="F511" s="103">
        <v>2.0</v>
      </c>
      <c r="G511" s="103">
        <v>2.0</v>
      </c>
      <c r="H511" s="104">
        <f t="shared" si="1"/>
        <v>1</v>
      </c>
      <c r="I511" s="105">
        <f t="shared" si="2"/>
        <v>192.95</v>
      </c>
      <c r="J511" s="106">
        <f t="shared" si="3"/>
        <v>192.95</v>
      </c>
      <c r="K511" s="135">
        <v>5.8</v>
      </c>
      <c r="L511" s="103">
        <v>15404.0</v>
      </c>
      <c r="M511" s="103">
        <v>1.0</v>
      </c>
      <c r="N511" s="136">
        <v>215.95</v>
      </c>
      <c r="O511" s="109">
        <f t="shared" si="139"/>
        <v>0.026858069</v>
      </c>
      <c r="P511" s="110">
        <f t="shared" si="5"/>
        <v>37.23275862</v>
      </c>
      <c r="Q511" s="109">
        <f t="shared" si="6"/>
        <v>0.01502980047</v>
      </c>
      <c r="R511" s="111">
        <f t="shared" si="7"/>
        <v>0.5596009329</v>
      </c>
      <c r="S511" s="137">
        <f t="shared" si="138"/>
        <v>169.95</v>
      </c>
      <c r="T511" s="113">
        <f t="shared" si="9"/>
        <v>5.8</v>
      </c>
      <c r="U511" s="172"/>
      <c r="V511" s="172"/>
      <c r="W511" s="172"/>
      <c r="X511" s="172"/>
      <c r="Y511" s="173"/>
      <c r="Z511" s="165"/>
      <c r="AA511" s="165"/>
    </row>
    <row r="512" hidden="1" outlineLevel="1">
      <c r="A512" s="165"/>
      <c r="B512" s="174"/>
      <c r="C512" s="100" t="s">
        <v>44</v>
      </c>
      <c r="D512" s="138">
        <v>90.67</v>
      </c>
      <c r="E512" s="401"/>
      <c r="F512" s="103">
        <v>2.0</v>
      </c>
      <c r="G512" s="103">
        <v>2.0</v>
      </c>
      <c r="H512" s="104">
        <f t="shared" si="1"/>
        <v>1</v>
      </c>
      <c r="I512" s="105">
        <f t="shared" si="2"/>
        <v>45.335</v>
      </c>
      <c r="J512" s="106">
        <f t="shared" si="3"/>
        <v>45.335</v>
      </c>
      <c r="K512" s="138">
        <v>24.47</v>
      </c>
      <c r="L512" s="103">
        <v>12401.0</v>
      </c>
      <c r="M512" s="103">
        <v>0.0</v>
      </c>
      <c r="N512" s="139">
        <v>0.0</v>
      </c>
      <c r="O512" s="109" t="str">
        <f t="shared" si="139"/>
        <v>#DIV/0!</v>
      </c>
      <c r="P512" s="110">
        <f t="shared" si="5"/>
        <v>0</v>
      </c>
      <c r="Q512" s="109">
        <f t="shared" si="6"/>
        <v>0.2698797838</v>
      </c>
      <c r="R512" s="111">
        <f t="shared" si="7"/>
        <v>0</v>
      </c>
      <c r="S512" s="140">
        <f t="shared" si="138"/>
        <v>90.67</v>
      </c>
      <c r="T512" s="113" t="str">
        <f t="shared" si="9"/>
        <v>#DIV/0!</v>
      </c>
      <c r="U512" s="172"/>
      <c r="V512" s="172"/>
      <c r="W512" s="172"/>
      <c r="X512" s="172"/>
      <c r="Y512" s="173"/>
      <c r="Z512" s="165"/>
      <c r="AA512" s="165"/>
    </row>
    <row r="513" hidden="1" outlineLevel="1">
      <c r="A513" s="192"/>
      <c r="B513" s="174"/>
      <c r="C513" s="142" t="s">
        <v>45</v>
      </c>
      <c r="D513" s="101">
        <v>79.8</v>
      </c>
      <c r="E513" s="401"/>
      <c r="F513" s="103">
        <v>4.0</v>
      </c>
      <c r="G513" s="103">
        <v>2.0</v>
      </c>
      <c r="H513" s="104">
        <f t="shared" si="1"/>
        <v>2</v>
      </c>
      <c r="I513" s="105">
        <f t="shared" si="2"/>
        <v>19.95</v>
      </c>
      <c r="J513" s="106">
        <f t="shared" si="3"/>
        <v>9.975</v>
      </c>
      <c r="K513" s="101">
        <v>0.0</v>
      </c>
      <c r="L513" s="103">
        <v>0.0</v>
      </c>
      <c r="M513" s="103">
        <v>0.0</v>
      </c>
      <c r="N513" s="108">
        <v>0.0</v>
      </c>
      <c r="O513" s="109" t="str">
        <f t="shared" si="139"/>
        <v>#DIV/0!</v>
      </c>
      <c r="P513" s="110" t="str">
        <f t="shared" si="5"/>
        <v>#DIV/0!</v>
      </c>
      <c r="Q513" s="109">
        <f t="shared" si="6"/>
        <v>0</v>
      </c>
      <c r="R513" s="111">
        <f t="shared" si="7"/>
        <v>0</v>
      </c>
      <c r="S513" s="112">
        <f t="shared" si="138"/>
        <v>79.8</v>
      </c>
      <c r="T513" s="113" t="str">
        <f t="shared" si="9"/>
        <v>#DIV/0!</v>
      </c>
      <c r="U513" s="193"/>
      <c r="V513" s="193"/>
      <c r="W513" s="193"/>
      <c r="X513" s="194"/>
      <c r="Y513" s="195"/>
      <c r="Z513" s="165"/>
      <c r="AA513" s="165"/>
    </row>
    <row r="514" hidden="1" outlineLevel="1">
      <c r="A514" s="165"/>
      <c r="B514" s="174"/>
      <c r="C514" s="100" t="s">
        <v>46</v>
      </c>
      <c r="D514" s="146">
        <v>402.16</v>
      </c>
      <c r="E514" s="401"/>
      <c r="F514" s="103">
        <v>9.0</v>
      </c>
      <c r="G514" s="103">
        <v>10.0</v>
      </c>
      <c r="H514" s="104">
        <f t="shared" si="1"/>
        <v>0.9</v>
      </c>
      <c r="I514" s="105">
        <f t="shared" si="2"/>
        <v>44.68444444</v>
      </c>
      <c r="J514" s="106">
        <f t="shared" si="3"/>
        <v>49.64938272</v>
      </c>
      <c r="K514" s="146">
        <v>64.12</v>
      </c>
      <c r="L514" s="103">
        <v>29585.0</v>
      </c>
      <c r="M514" s="103">
        <v>3.0</v>
      </c>
      <c r="N514" s="147">
        <v>44.95</v>
      </c>
      <c r="O514" s="109">
        <f t="shared" si="139"/>
        <v>1.42647386</v>
      </c>
      <c r="P514" s="110">
        <f t="shared" si="5"/>
        <v>0.70102932</v>
      </c>
      <c r="Q514" s="109">
        <f t="shared" si="6"/>
        <v>0.1594390292</v>
      </c>
      <c r="R514" s="111">
        <f t="shared" si="7"/>
        <v>0.1117714343</v>
      </c>
      <c r="S514" s="112">
        <f t="shared" si="138"/>
        <v>357.21</v>
      </c>
      <c r="T514" s="113">
        <f t="shared" si="9"/>
        <v>21.37333333</v>
      </c>
      <c r="U514" s="172"/>
      <c r="V514" s="172"/>
      <c r="W514" s="172"/>
      <c r="X514" s="172"/>
      <c r="Y514" s="173"/>
      <c r="Z514" s="165"/>
      <c r="AA514" s="165"/>
    </row>
    <row r="515" hidden="1" outlineLevel="1">
      <c r="A515" s="148" t="str">
        <f t="shared" ref="A515:A516" si="140">iferror(if(B515&gt;0,month(B515)&amp;"-"&amp;year(B515),B515),)</f>
        <v>6-2025</v>
      </c>
      <c r="B515" s="99">
        <v>45836.0</v>
      </c>
      <c r="C515" s="100" t="s">
        <v>49</v>
      </c>
      <c r="D515" s="146">
        <v>0.0</v>
      </c>
      <c r="E515" s="401"/>
      <c r="F515" s="103">
        <v>0.0</v>
      </c>
      <c r="G515" s="103">
        <v>0.0</v>
      </c>
      <c r="H515" s="104" t="str">
        <f t="shared" si="1"/>
        <v>#DIV/0!</v>
      </c>
      <c r="I515" s="105" t="str">
        <f t="shared" si="2"/>
        <v>#DIV/0!</v>
      </c>
      <c r="J515" s="106" t="str">
        <f t="shared" si="3"/>
        <v>#DIV/0!</v>
      </c>
      <c r="K515" s="146">
        <v>9.63</v>
      </c>
      <c r="L515" s="103">
        <v>8469.0</v>
      </c>
      <c r="M515" s="103">
        <v>0.0</v>
      </c>
      <c r="N515" s="147">
        <v>0.0</v>
      </c>
      <c r="O515" s="109" t="str">
        <f t="shared" si="139"/>
        <v>#DIV/0!</v>
      </c>
      <c r="P515" s="110">
        <f t="shared" si="5"/>
        <v>0</v>
      </c>
      <c r="Q515" s="109" t="str">
        <f t="shared" si="6"/>
        <v>#DIV/0!</v>
      </c>
      <c r="R515" s="111" t="str">
        <f t="shared" si="7"/>
        <v>#DIV/0!</v>
      </c>
      <c r="S515" s="112">
        <f t="shared" si="138"/>
        <v>0</v>
      </c>
      <c r="T515" s="113" t="str">
        <f t="shared" si="9"/>
        <v>#DIV/0!</v>
      </c>
      <c r="U515" s="172"/>
      <c r="V515" s="172"/>
      <c r="W515" s="172"/>
      <c r="X515" s="172"/>
      <c r="Y515" s="173"/>
      <c r="Z515" s="165"/>
      <c r="AA515" s="165"/>
    </row>
    <row r="516" collapsed="1">
      <c r="A516" s="165" t="str">
        <f t="shared" si="140"/>
        <v/>
      </c>
      <c r="B516" s="80" t="s">
        <v>113</v>
      </c>
      <c r="C516" s="201"/>
      <c r="D516" s="151">
        <f>SUM(D499:D515)</f>
        <v>8329.88</v>
      </c>
      <c r="E516" s="400"/>
      <c r="F516" s="153">
        <f t="shared" ref="F516:G516" si="141">SUM(F499:F515)</f>
        <v>93</v>
      </c>
      <c r="G516" s="153">
        <f t="shared" si="141"/>
        <v>99</v>
      </c>
      <c r="H516" s="154">
        <f t="shared" si="1"/>
        <v>0.9393939394</v>
      </c>
      <c r="I516" s="155">
        <f t="shared" si="2"/>
        <v>89.56860215</v>
      </c>
      <c r="J516" s="156">
        <f t="shared" si="3"/>
        <v>95.34722164</v>
      </c>
      <c r="K516" s="151">
        <f t="shared" ref="K516:N516" si="142">SUM(K499:K515)</f>
        <v>904.76</v>
      </c>
      <c r="L516" s="153">
        <f t="shared" si="142"/>
        <v>325283</v>
      </c>
      <c r="M516" s="153">
        <f t="shared" si="142"/>
        <v>17</v>
      </c>
      <c r="N516" s="157">
        <f t="shared" si="142"/>
        <v>1424.55</v>
      </c>
      <c r="O516" s="158">
        <f t="shared" si="139"/>
        <v>0.6351198624</v>
      </c>
      <c r="P516" s="159">
        <f t="shared" si="5"/>
        <v>1.574505946</v>
      </c>
      <c r="Q516" s="158">
        <f t="shared" si="6"/>
        <v>0.1086162106</v>
      </c>
      <c r="R516" s="160">
        <f t="shared" si="7"/>
        <v>0.1710168694</v>
      </c>
      <c r="S516" s="161">
        <f>SUM(S499:S515)</f>
        <v>6905.33</v>
      </c>
      <c r="T516" s="162">
        <f t="shared" si="9"/>
        <v>53.22117647</v>
      </c>
      <c r="U516" s="163">
        <f>IFERROR((D516-D246)/D516,)</f>
        <v>0.08986443982</v>
      </c>
      <c r="V516" s="399">
        <f>IFERROR((F516-F246)/F516,)</f>
        <v>-0.01075268817</v>
      </c>
      <c r="W516" s="398" t="str">
        <f>IFERROR((D516-monthly_reporting_2021!E307)/D516, )</f>
        <v/>
      </c>
      <c r="X516" s="398" t="str">
        <f>IFERROR((F516-monthly_reporting_2021!F307)/F516, )</f>
        <v/>
      </c>
      <c r="Y516" s="165"/>
      <c r="Z516" s="165"/>
      <c r="AA516" s="165"/>
    </row>
    <row r="517" hidden="1" outlineLevel="1">
      <c r="A517" s="165"/>
      <c r="B517" s="99">
        <v>45837.0</v>
      </c>
      <c r="C517" s="100" t="s">
        <v>32</v>
      </c>
      <c r="D517" s="101">
        <v>415.85</v>
      </c>
      <c r="E517" s="401"/>
      <c r="F517" s="103">
        <v>4.0</v>
      </c>
      <c r="G517" s="103">
        <v>4.0</v>
      </c>
      <c r="H517" s="104">
        <f t="shared" si="1"/>
        <v>1</v>
      </c>
      <c r="I517" s="105">
        <f t="shared" si="2"/>
        <v>103.9625</v>
      </c>
      <c r="J517" s="106">
        <f t="shared" si="3"/>
        <v>103.9625</v>
      </c>
      <c r="K517" s="107">
        <v>655.98</v>
      </c>
      <c r="L517" s="103">
        <v>118224.0</v>
      </c>
      <c r="M517" s="103">
        <v>2.0</v>
      </c>
      <c r="N517" s="108">
        <v>69.95</v>
      </c>
      <c r="O517" s="109">
        <f t="shared" si="139"/>
        <v>9.377841315</v>
      </c>
      <c r="P517" s="110">
        <f t="shared" si="5"/>
        <v>0.1066343486</v>
      </c>
      <c r="Q517" s="109">
        <f t="shared" si="6"/>
        <v>1.57744379</v>
      </c>
      <c r="R517" s="111">
        <f t="shared" si="7"/>
        <v>0.168209691</v>
      </c>
      <c r="S517" s="112">
        <f t="shared" ref="S517:S533" si="143">D517-N517</f>
        <v>345.9</v>
      </c>
      <c r="T517" s="113">
        <f t="shared" si="9"/>
        <v>327.99</v>
      </c>
      <c r="U517" s="172"/>
      <c r="V517" s="172"/>
      <c r="W517" s="172"/>
      <c r="X517" s="172"/>
      <c r="Y517" s="173"/>
      <c r="Z517" s="165"/>
      <c r="AA517" s="165"/>
    </row>
    <row r="518" hidden="1" outlineLevel="1">
      <c r="A518" s="165"/>
      <c r="B518" s="174"/>
      <c r="C518" s="100" t="s">
        <v>33</v>
      </c>
      <c r="D518" s="117">
        <v>920.3</v>
      </c>
      <c r="E518" s="401"/>
      <c r="F518" s="103">
        <v>3.0</v>
      </c>
      <c r="G518" s="103">
        <v>26.0</v>
      </c>
      <c r="H518" s="104">
        <f t="shared" si="1"/>
        <v>0.1153846154</v>
      </c>
      <c r="I518" s="105">
        <f t="shared" si="2"/>
        <v>306.7666667</v>
      </c>
      <c r="J518" s="106">
        <f t="shared" si="3"/>
        <v>2658.644444</v>
      </c>
      <c r="K518" s="117">
        <v>319.27</v>
      </c>
      <c r="L518" s="103">
        <v>79429.0</v>
      </c>
      <c r="M518" s="103">
        <v>9.0</v>
      </c>
      <c r="N518" s="118">
        <v>281.7</v>
      </c>
      <c r="O518" s="109">
        <f t="shared" si="139"/>
        <v>1.133368832</v>
      </c>
      <c r="P518" s="110">
        <f t="shared" si="5"/>
        <v>0.8823253046</v>
      </c>
      <c r="Q518" s="109">
        <f t="shared" si="6"/>
        <v>0.3469194828</v>
      </c>
      <c r="R518" s="111">
        <f t="shared" si="7"/>
        <v>0.3060958383</v>
      </c>
      <c r="S518" s="119">
        <f t="shared" si="143"/>
        <v>638.6</v>
      </c>
      <c r="T518" s="113">
        <f t="shared" si="9"/>
        <v>35.47444444</v>
      </c>
      <c r="U518" s="172"/>
      <c r="V518" s="172"/>
      <c r="W518" s="172"/>
      <c r="X518" s="172"/>
      <c r="Y518" s="173"/>
      <c r="Z518" s="165"/>
      <c r="AA518" s="165"/>
    </row>
    <row r="519" hidden="1" outlineLevel="1">
      <c r="A519" s="165"/>
      <c r="B519" s="174"/>
      <c r="C519" s="100" t="s">
        <v>34</v>
      </c>
      <c r="D519" s="120">
        <v>279.8</v>
      </c>
      <c r="E519" s="401"/>
      <c r="F519" s="103">
        <v>4.0</v>
      </c>
      <c r="G519" s="103">
        <v>1.0</v>
      </c>
      <c r="H519" s="104">
        <f t="shared" si="1"/>
        <v>4</v>
      </c>
      <c r="I519" s="105">
        <f t="shared" si="2"/>
        <v>69.95</v>
      </c>
      <c r="J519" s="106">
        <f t="shared" si="3"/>
        <v>17.4875</v>
      </c>
      <c r="K519" s="120">
        <v>0.0</v>
      </c>
      <c r="L519" s="103">
        <v>0.0</v>
      </c>
      <c r="M519" s="103">
        <v>0.0</v>
      </c>
      <c r="N519" s="121">
        <v>0.0</v>
      </c>
      <c r="O519" s="109" t="str">
        <f>(K519/N519)</f>
        <v>#DIV/0!</v>
      </c>
      <c r="P519" s="110" t="str">
        <f t="shared" si="5"/>
        <v>#DIV/0!</v>
      </c>
      <c r="Q519" s="109">
        <f t="shared" si="6"/>
        <v>0</v>
      </c>
      <c r="R519" s="111">
        <f t="shared" si="7"/>
        <v>0</v>
      </c>
      <c r="S519" s="122">
        <f t="shared" si="143"/>
        <v>279.8</v>
      </c>
      <c r="T519" s="113" t="str">
        <f t="shared" si="9"/>
        <v>#DIV/0!</v>
      </c>
      <c r="U519" s="172"/>
      <c r="V519" s="172"/>
      <c r="W519" s="172"/>
      <c r="X519" s="172"/>
      <c r="Y519" s="173"/>
      <c r="Z519" s="165"/>
      <c r="AA519" s="165"/>
    </row>
    <row r="520" hidden="1" outlineLevel="1">
      <c r="A520" s="165"/>
      <c r="B520" s="174"/>
      <c r="C520" s="100" t="s">
        <v>35</v>
      </c>
      <c r="D520" s="120">
        <v>299.75</v>
      </c>
      <c r="E520" s="401"/>
      <c r="F520" s="103">
        <v>5.0</v>
      </c>
      <c r="G520" s="103">
        <v>4.0</v>
      </c>
      <c r="H520" s="104">
        <f t="shared" si="1"/>
        <v>1.25</v>
      </c>
      <c r="I520" s="105">
        <f t="shared" si="2"/>
        <v>59.95</v>
      </c>
      <c r="J520" s="106">
        <f t="shared" si="3"/>
        <v>47.96</v>
      </c>
      <c r="K520" s="120">
        <v>0.0</v>
      </c>
      <c r="L520" s="103">
        <v>0.0</v>
      </c>
      <c r="M520" s="103">
        <v>0.0</v>
      </c>
      <c r="N520" s="121">
        <v>0.0</v>
      </c>
      <c r="O520" s="109" t="str">
        <f t="shared" ref="O520:O536" si="144">K520/N520</f>
        <v>#DIV/0!</v>
      </c>
      <c r="P520" s="110" t="str">
        <f t="shared" si="5"/>
        <v>#DIV/0!</v>
      </c>
      <c r="Q520" s="109">
        <f t="shared" si="6"/>
        <v>0</v>
      </c>
      <c r="R520" s="111">
        <f t="shared" si="7"/>
        <v>0</v>
      </c>
      <c r="S520" s="122">
        <f t="shared" si="143"/>
        <v>299.75</v>
      </c>
      <c r="T520" s="113" t="str">
        <f t="shared" si="9"/>
        <v>#DIV/0!</v>
      </c>
      <c r="U520" s="172"/>
      <c r="V520" s="172"/>
      <c r="W520" s="172"/>
      <c r="X520" s="172"/>
      <c r="Y520" s="173"/>
      <c r="Z520" s="165"/>
      <c r="AA520" s="165"/>
    </row>
    <row r="521" hidden="1" outlineLevel="1">
      <c r="A521" s="165"/>
      <c r="B521" s="174"/>
      <c r="C521" s="100" t="s">
        <v>65</v>
      </c>
      <c r="D521" s="300">
        <v>0.0</v>
      </c>
      <c r="E521" s="401"/>
      <c r="F521" s="103">
        <v>0.0</v>
      </c>
      <c r="G521" s="103">
        <v>0.0</v>
      </c>
      <c r="H521" s="104" t="str">
        <f t="shared" si="1"/>
        <v>#DIV/0!</v>
      </c>
      <c r="I521" s="105" t="str">
        <f t="shared" si="2"/>
        <v>#DIV/0!</v>
      </c>
      <c r="J521" s="106" t="str">
        <f t="shared" si="3"/>
        <v>#DIV/0!</v>
      </c>
      <c r="K521" s="300">
        <v>0.0</v>
      </c>
      <c r="L521" s="103">
        <v>0.0</v>
      </c>
      <c r="M521" s="103">
        <v>0.0</v>
      </c>
      <c r="N521" s="300">
        <v>0.0</v>
      </c>
      <c r="O521" s="109" t="str">
        <f t="shared" si="144"/>
        <v>#DIV/0!</v>
      </c>
      <c r="P521" s="110" t="str">
        <f t="shared" si="5"/>
        <v>#DIV/0!</v>
      </c>
      <c r="Q521" s="109" t="str">
        <f t="shared" si="6"/>
        <v>#DIV/0!</v>
      </c>
      <c r="R521" s="111" t="str">
        <f t="shared" si="7"/>
        <v>#DIV/0!</v>
      </c>
      <c r="S521" s="122">
        <f t="shared" si="143"/>
        <v>0</v>
      </c>
      <c r="T521" s="113" t="str">
        <f t="shared" si="9"/>
        <v>#DIV/0!</v>
      </c>
      <c r="U521" s="172"/>
      <c r="V521" s="172"/>
      <c r="W521" s="172"/>
      <c r="X521" s="172"/>
      <c r="Y521" s="173"/>
      <c r="Z521" s="165"/>
      <c r="AA521" s="165"/>
    </row>
    <row r="522" hidden="1" outlineLevel="1">
      <c r="A522" s="165"/>
      <c r="B522" s="174"/>
      <c r="C522" s="100" t="s">
        <v>85</v>
      </c>
      <c r="D522" s="302">
        <v>0.0</v>
      </c>
      <c r="E522" s="401"/>
      <c r="F522" s="103">
        <v>0.0</v>
      </c>
      <c r="G522" s="103">
        <v>0.0</v>
      </c>
      <c r="H522" s="104" t="str">
        <f t="shared" si="1"/>
        <v>#DIV/0!</v>
      </c>
      <c r="I522" s="105" t="str">
        <f t="shared" si="2"/>
        <v>#DIV/0!</v>
      </c>
      <c r="J522" s="106" t="str">
        <f t="shared" si="3"/>
        <v>#DIV/0!</v>
      </c>
      <c r="K522" s="302">
        <v>30.54</v>
      </c>
      <c r="L522" s="103">
        <v>4344.0</v>
      </c>
      <c r="M522" s="103">
        <v>0.0</v>
      </c>
      <c r="N522" s="303">
        <v>0.0</v>
      </c>
      <c r="O522" s="109" t="str">
        <f t="shared" si="144"/>
        <v>#DIV/0!</v>
      </c>
      <c r="P522" s="110">
        <f t="shared" si="5"/>
        <v>0</v>
      </c>
      <c r="Q522" s="109" t="str">
        <f t="shared" si="6"/>
        <v>#DIV/0!</v>
      </c>
      <c r="R522" s="111" t="str">
        <f t="shared" si="7"/>
        <v>#DIV/0!</v>
      </c>
      <c r="S522" s="304">
        <f t="shared" si="143"/>
        <v>0</v>
      </c>
      <c r="T522" s="113" t="str">
        <f t="shared" si="9"/>
        <v>#DIV/0!</v>
      </c>
      <c r="U522" s="172"/>
      <c r="V522" s="172"/>
      <c r="W522" s="172"/>
      <c r="X522" s="172"/>
      <c r="Y522" s="173"/>
      <c r="Z522" s="165"/>
      <c r="AA522" s="165"/>
    </row>
    <row r="523" hidden="1" outlineLevel="1">
      <c r="A523" s="165"/>
      <c r="B523" s="174"/>
      <c r="C523" s="100" t="s">
        <v>36</v>
      </c>
      <c r="D523" s="120">
        <v>179.85</v>
      </c>
      <c r="E523" s="401"/>
      <c r="F523" s="103">
        <v>3.0</v>
      </c>
      <c r="G523" s="103">
        <v>3.0</v>
      </c>
      <c r="H523" s="104">
        <f t="shared" si="1"/>
        <v>1</v>
      </c>
      <c r="I523" s="105">
        <f t="shared" si="2"/>
        <v>59.95</v>
      </c>
      <c r="J523" s="106">
        <f t="shared" si="3"/>
        <v>59.95</v>
      </c>
      <c r="K523" s="120">
        <v>1.92</v>
      </c>
      <c r="L523" s="103">
        <v>1023.0</v>
      </c>
      <c r="M523" s="103">
        <v>1.0</v>
      </c>
      <c r="N523" s="121">
        <v>59.95</v>
      </c>
      <c r="O523" s="109">
        <f t="shared" si="144"/>
        <v>0.03202668891</v>
      </c>
      <c r="P523" s="110">
        <f t="shared" si="5"/>
        <v>31.22395833</v>
      </c>
      <c r="Q523" s="109">
        <f t="shared" si="6"/>
        <v>0.01067556297</v>
      </c>
      <c r="R523" s="111">
        <f t="shared" si="7"/>
        <v>0.3333333333</v>
      </c>
      <c r="S523" s="122">
        <f t="shared" si="143"/>
        <v>119.9</v>
      </c>
      <c r="T523" s="113">
        <f t="shared" si="9"/>
        <v>1.92</v>
      </c>
      <c r="U523" s="172"/>
      <c r="V523" s="172"/>
      <c r="W523" s="172"/>
      <c r="X523" s="172"/>
      <c r="Y523" s="173"/>
      <c r="Z523" s="165"/>
      <c r="AA523" s="165"/>
    </row>
    <row r="524" hidden="1" outlineLevel="1">
      <c r="A524" s="165"/>
      <c r="B524" s="99" t="s">
        <v>37</v>
      </c>
      <c r="C524" s="100" t="s">
        <v>38</v>
      </c>
      <c r="D524" s="123">
        <v>29.95</v>
      </c>
      <c r="E524" s="401"/>
      <c r="F524" s="103">
        <v>1.0</v>
      </c>
      <c r="G524" s="103">
        <v>1.0</v>
      </c>
      <c r="H524" s="104">
        <f t="shared" si="1"/>
        <v>1</v>
      </c>
      <c r="I524" s="105">
        <f t="shared" si="2"/>
        <v>29.95</v>
      </c>
      <c r="J524" s="106">
        <f t="shared" si="3"/>
        <v>29.95</v>
      </c>
      <c r="K524" s="123">
        <v>34.8</v>
      </c>
      <c r="L524" s="103">
        <v>10710.0</v>
      </c>
      <c r="M524" s="103">
        <v>1.0</v>
      </c>
      <c r="N524" s="124">
        <v>29.95</v>
      </c>
      <c r="O524" s="109">
        <f t="shared" si="144"/>
        <v>1.161936561</v>
      </c>
      <c r="P524" s="110">
        <f t="shared" si="5"/>
        <v>0.8606321839</v>
      </c>
      <c r="Q524" s="109">
        <f t="shared" si="6"/>
        <v>1.161936561</v>
      </c>
      <c r="R524" s="111">
        <f t="shared" si="7"/>
        <v>1</v>
      </c>
      <c r="S524" s="125">
        <f t="shared" si="143"/>
        <v>0</v>
      </c>
      <c r="T524" s="113">
        <f t="shared" si="9"/>
        <v>34.8</v>
      </c>
      <c r="U524" s="172"/>
      <c r="V524" s="172"/>
      <c r="W524" s="172"/>
      <c r="X524" s="172"/>
      <c r="Y524" s="173"/>
      <c r="Z524" s="165"/>
      <c r="AA524" s="165"/>
    </row>
    <row r="525" hidden="1" outlineLevel="1">
      <c r="A525" s="165"/>
      <c r="B525" s="174"/>
      <c r="C525" s="100" t="s">
        <v>39</v>
      </c>
      <c r="D525" s="126">
        <v>319.98</v>
      </c>
      <c r="E525" s="401"/>
      <c r="F525" s="103">
        <v>2.0</v>
      </c>
      <c r="G525" s="103">
        <v>2.0</v>
      </c>
      <c r="H525" s="104">
        <f t="shared" si="1"/>
        <v>1</v>
      </c>
      <c r="I525" s="105">
        <f t="shared" si="2"/>
        <v>159.99</v>
      </c>
      <c r="J525" s="106">
        <f t="shared" si="3"/>
        <v>159.99</v>
      </c>
      <c r="K525" s="126">
        <v>0.0</v>
      </c>
      <c r="L525" s="103">
        <v>0.0</v>
      </c>
      <c r="M525" s="103">
        <v>0.0</v>
      </c>
      <c r="N525" s="127">
        <v>0.0</v>
      </c>
      <c r="O525" s="109" t="str">
        <f t="shared" si="144"/>
        <v>#DIV/0!</v>
      </c>
      <c r="P525" s="110" t="str">
        <f t="shared" si="5"/>
        <v>#DIV/0!</v>
      </c>
      <c r="Q525" s="109">
        <f t="shared" si="6"/>
        <v>0</v>
      </c>
      <c r="R525" s="111">
        <f t="shared" si="7"/>
        <v>0</v>
      </c>
      <c r="S525" s="128">
        <f t="shared" si="143"/>
        <v>319.98</v>
      </c>
      <c r="T525" s="113" t="str">
        <f t="shared" si="9"/>
        <v>#DIV/0!</v>
      </c>
      <c r="U525" s="172"/>
      <c r="V525" s="172"/>
      <c r="W525" s="172"/>
      <c r="X525" s="172"/>
      <c r="Y525" s="173"/>
      <c r="Z525" s="165"/>
      <c r="AA525" s="165"/>
    </row>
    <row r="526" hidden="1" outlineLevel="1">
      <c r="A526" s="165"/>
      <c r="B526" s="174"/>
      <c r="C526" s="100" t="s">
        <v>40</v>
      </c>
      <c r="D526" s="129">
        <v>0.0</v>
      </c>
      <c r="E526" s="401"/>
      <c r="F526" s="103">
        <v>0.0</v>
      </c>
      <c r="G526" s="103">
        <v>0.0</v>
      </c>
      <c r="H526" s="104" t="str">
        <f t="shared" si="1"/>
        <v>#DIV/0!</v>
      </c>
      <c r="I526" s="105" t="str">
        <f t="shared" si="2"/>
        <v>#DIV/0!</v>
      </c>
      <c r="J526" s="106" t="str">
        <f t="shared" si="3"/>
        <v>#DIV/0!</v>
      </c>
      <c r="K526" s="129">
        <v>0.0</v>
      </c>
      <c r="L526" s="103">
        <v>0.0</v>
      </c>
      <c r="M526" s="103">
        <v>0.0</v>
      </c>
      <c r="N526" s="130">
        <v>0.0</v>
      </c>
      <c r="O526" s="109" t="str">
        <f t="shared" si="144"/>
        <v>#DIV/0!</v>
      </c>
      <c r="P526" s="110" t="str">
        <f t="shared" si="5"/>
        <v>#DIV/0!</v>
      </c>
      <c r="Q526" s="109" t="str">
        <f t="shared" si="6"/>
        <v>#DIV/0!</v>
      </c>
      <c r="R526" s="111" t="str">
        <f t="shared" si="7"/>
        <v>#DIV/0!</v>
      </c>
      <c r="S526" s="131">
        <f t="shared" si="143"/>
        <v>0</v>
      </c>
      <c r="T526" s="113" t="str">
        <f t="shared" si="9"/>
        <v>#DIV/0!</v>
      </c>
      <c r="U526" s="172"/>
      <c r="V526" s="172"/>
      <c r="W526" s="172"/>
      <c r="X526" s="172"/>
      <c r="Y526" s="173"/>
      <c r="Z526" s="165"/>
      <c r="AA526" s="165"/>
    </row>
    <row r="527" hidden="1" outlineLevel="1">
      <c r="A527" s="165"/>
      <c r="B527" s="174"/>
      <c r="C527" s="100" t="s">
        <v>41</v>
      </c>
      <c r="D527" s="132">
        <v>0.0</v>
      </c>
      <c r="E527" s="401"/>
      <c r="F527" s="103">
        <v>0.0</v>
      </c>
      <c r="G527" s="103">
        <v>0.0</v>
      </c>
      <c r="H527" s="104" t="str">
        <f t="shared" si="1"/>
        <v>#DIV/0!</v>
      </c>
      <c r="I527" s="105" t="str">
        <f t="shared" si="2"/>
        <v>#DIV/0!</v>
      </c>
      <c r="J527" s="106" t="str">
        <f t="shared" si="3"/>
        <v>#DIV/0!</v>
      </c>
      <c r="K527" s="132">
        <v>2.6</v>
      </c>
      <c r="L527" s="103">
        <v>906.0</v>
      </c>
      <c r="M527" s="103">
        <v>0.0</v>
      </c>
      <c r="N527" s="133">
        <v>0.0</v>
      </c>
      <c r="O527" s="109" t="str">
        <f t="shared" si="144"/>
        <v>#DIV/0!</v>
      </c>
      <c r="P527" s="110">
        <f t="shared" si="5"/>
        <v>0</v>
      </c>
      <c r="Q527" s="109" t="str">
        <f t="shared" si="6"/>
        <v>#DIV/0!</v>
      </c>
      <c r="R527" s="111" t="str">
        <f t="shared" si="7"/>
        <v>#DIV/0!</v>
      </c>
      <c r="S527" s="134">
        <f t="shared" si="143"/>
        <v>0</v>
      </c>
      <c r="T527" s="113" t="str">
        <f t="shared" si="9"/>
        <v>#DIV/0!</v>
      </c>
      <c r="U527" s="172"/>
      <c r="V527" s="172"/>
      <c r="W527" s="172"/>
      <c r="X527" s="172"/>
      <c r="Y527" s="173"/>
      <c r="Z527" s="165"/>
      <c r="AA527" s="165"/>
    </row>
    <row r="528" hidden="1" outlineLevel="1">
      <c r="A528" s="165"/>
      <c r="B528" s="174"/>
      <c r="C528" s="100" t="s">
        <v>42</v>
      </c>
      <c r="D528" s="120">
        <v>19.99</v>
      </c>
      <c r="E528" s="401"/>
      <c r="F528" s="103">
        <v>1.0</v>
      </c>
      <c r="G528" s="103">
        <v>1.0</v>
      </c>
      <c r="H528" s="104">
        <f t="shared" si="1"/>
        <v>1</v>
      </c>
      <c r="I528" s="105">
        <f t="shared" si="2"/>
        <v>19.99</v>
      </c>
      <c r="J528" s="106">
        <f t="shared" si="3"/>
        <v>19.99</v>
      </c>
      <c r="K528" s="120">
        <v>17.28</v>
      </c>
      <c r="L528" s="103">
        <v>18989.0</v>
      </c>
      <c r="M528" s="103">
        <v>2.0</v>
      </c>
      <c r="N528" s="121">
        <v>39.98</v>
      </c>
      <c r="O528" s="109">
        <f t="shared" si="144"/>
        <v>0.4322161081</v>
      </c>
      <c r="P528" s="110">
        <f t="shared" si="5"/>
        <v>2.313657407</v>
      </c>
      <c r="Q528" s="109">
        <f t="shared" si="6"/>
        <v>0.8644322161</v>
      </c>
      <c r="R528" s="111">
        <f t="shared" si="7"/>
        <v>2</v>
      </c>
      <c r="S528" s="122">
        <f t="shared" si="143"/>
        <v>-19.99</v>
      </c>
      <c r="T528" s="113">
        <f t="shared" si="9"/>
        <v>8.64</v>
      </c>
      <c r="U528" s="172"/>
      <c r="V528" s="172"/>
      <c r="W528" s="172"/>
      <c r="X528" s="172"/>
      <c r="Y528" s="173"/>
      <c r="Z528" s="165"/>
      <c r="AA528" s="165"/>
    </row>
    <row r="529" hidden="1" outlineLevel="1">
      <c r="A529" s="165"/>
      <c r="B529" s="174"/>
      <c r="C529" s="100" t="s">
        <v>43</v>
      </c>
      <c r="D529" s="135">
        <v>79.9</v>
      </c>
      <c r="E529" s="401"/>
      <c r="F529" s="103">
        <v>2.0</v>
      </c>
      <c r="G529" s="103">
        <v>2.0</v>
      </c>
      <c r="H529" s="104">
        <f t="shared" si="1"/>
        <v>1</v>
      </c>
      <c r="I529" s="105">
        <f t="shared" si="2"/>
        <v>39.95</v>
      </c>
      <c r="J529" s="106">
        <f t="shared" si="3"/>
        <v>39.95</v>
      </c>
      <c r="K529" s="135">
        <v>37.7</v>
      </c>
      <c r="L529" s="103">
        <v>15360.0</v>
      </c>
      <c r="M529" s="103">
        <v>0.0</v>
      </c>
      <c r="N529" s="136">
        <v>0.0</v>
      </c>
      <c r="O529" s="109" t="str">
        <f t="shared" si="144"/>
        <v>#DIV/0!</v>
      </c>
      <c r="P529" s="110">
        <f t="shared" si="5"/>
        <v>0</v>
      </c>
      <c r="Q529" s="109">
        <f t="shared" si="6"/>
        <v>0.4718397997</v>
      </c>
      <c r="R529" s="111">
        <f t="shared" si="7"/>
        <v>0</v>
      </c>
      <c r="S529" s="137">
        <f t="shared" si="143"/>
        <v>79.9</v>
      </c>
      <c r="T529" s="113" t="str">
        <f t="shared" si="9"/>
        <v>#DIV/0!</v>
      </c>
      <c r="U529" s="172"/>
      <c r="V529" s="172"/>
      <c r="W529" s="172"/>
      <c r="X529" s="172"/>
      <c r="Y529" s="173"/>
      <c r="Z529" s="165"/>
      <c r="AA529" s="165"/>
    </row>
    <row r="530" hidden="1" outlineLevel="1">
      <c r="A530" s="165"/>
      <c r="B530" s="174"/>
      <c r="C530" s="100" t="s">
        <v>44</v>
      </c>
      <c r="D530" s="138">
        <v>89.9</v>
      </c>
      <c r="E530" s="401"/>
      <c r="F530" s="103">
        <v>2.0</v>
      </c>
      <c r="G530" s="103">
        <v>2.0</v>
      </c>
      <c r="H530" s="104">
        <f t="shared" si="1"/>
        <v>1</v>
      </c>
      <c r="I530" s="105">
        <f t="shared" si="2"/>
        <v>44.95</v>
      </c>
      <c r="J530" s="106">
        <f t="shared" si="3"/>
        <v>44.95</v>
      </c>
      <c r="K530" s="138">
        <v>42.59</v>
      </c>
      <c r="L530" s="103">
        <v>10870.0</v>
      </c>
      <c r="M530" s="103">
        <v>0.0</v>
      </c>
      <c r="N530" s="139">
        <v>0.0</v>
      </c>
      <c r="O530" s="109" t="str">
        <f t="shared" si="144"/>
        <v>#DIV/0!</v>
      </c>
      <c r="P530" s="110">
        <f t="shared" si="5"/>
        <v>0</v>
      </c>
      <c r="Q530" s="109">
        <f t="shared" si="6"/>
        <v>0.4737486096</v>
      </c>
      <c r="R530" s="111">
        <f t="shared" si="7"/>
        <v>0</v>
      </c>
      <c r="S530" s="140">
        <f t="shared" si="143"/>
        <v>89.9</v>
      </c>
      <c r="T530" s="113" t="str">
        <f t="shared" si="9"/>
        <v>#DIV/0!</v>
      </c>
      <c r="U530" s="172"/>
      <c r="V530" s="172"/>
      <c r="W530" s="172"/>
      <c r="X530" s="172"/>
      <c r="Y530" s="173"/>
      <c r="Z530" s="165"/>
      <c r="AA530" s="165"/>
    </row>
    <row r="531" hidden="1" outlineLevel="1">
      <c r="A531" s="192"/>
      <c r="B531" s="174"/>
      <c r="C531" s="142" t="s">
        <v>45</v>
      </c>
      <c r="D531" s="101">
        <v>59.85</v>
      </c>
      <c r="E531" s="401"/>
      <c r="F531" s="103">
        <v>3.0</v>
      </c>
      <c r="G531" s="103">
        <v>2.0</v>
      </c>
      <c r="H531" s="104">
        <f t="shared" si="1"/>
        <v>1.5</v>
      </c>
      <c r="I531" s="105">
        <f t="shared" si="2"/>
        <v>19.95</v>
      </c>
      <c r="J531" s="106">
        <f t="shared" si="3"/>
        <v>13.3</v>
      </c>
      <c r="K531" s="101">
        <v>0.0</v>
      </c>
      <c r="L531" s="103">
        <v>0.0</v>
      </c>
      <c r="M531" s="103">
        <v>0.0</v>
      </c>
      <c r="N531" s="108">
        <v>0.0</v>
      </c>
      <c r="O531" s="109" t="str">
        <f t="shared" si="144"/>
        <v>#DIV/0!</v>
      </c>
      <c r="P531" s="110" t="str">
        <f t="shared" si="5"/>
        <v>#DIV/0!</v>
      </c>
      <c r="Q531" s="109">
        <f t="shared" si="6"/>
        <v>0</v>
      </c>
      <c r="R531" s="111">
        <f t="shared" si="7"/>
        <v>0</v>
      </c>
      <c r="S531" s="112">
        <f t="shared" si="143"/>
        <v>59.85</v>
      </c>
      <c r="T531" s="113" t="str">
        <f t="shared" si="9"/>
        <v>#DIV/0!</v>
      </c>
      <c r="U531" s="193"/>
      <c r="V531" s="193"/>
      <c r="W531" s="193"/>
      <c r="X531" s="194"/>
      <c r="Y531" s="195"/>
      <c r="Z531" s="165"/>
      <c r="AA531" s="165"/>
    </row>
    <row r="532" hidden="1" outlineLevel="1">
      <c r="A532" s="165"/>
      <c r="B532" s="174"/>
      <c r="C532" s="100" t="s">
        <v>46</v>
      </c>
      <c r="D532" s="146">
        <v>220.75</v>
      </c>
      <c r="E532" s="401"/>
      <c r="F532" s="103">
        <v>5.0</v>
      </c>
      <c r="G532" s="103">
        <v>7.0</v>
      </c>
      <c r="H532" s="104">
        <f t="shared" si="1"/>
        <v>0.7142857143</v>
      </c>
      <c r="I532" s="105">
        <f t="shared" si="2"/>
        <v>44.15</v>
      </c>
      <c r="J532" s="106">
        <f t="shared" si="3"/>
        <v>61.81</v>
      </c>
      <c r="K532" s="146">
        <v>84.18</v>
      </c>
      <c r="L532" s="103">
        <v>28314.0</v>
      </c>
      <c r="M532" s="103">
        <v>4.0</v>
      </c>
      <c r="N532" s="147">
        <v>175.8</v>
      </c>
      <c r="O532" s="109">
        <f t="shared" si="144"/>
        <v>0.4788395904</v>
      </c>
      <c r="P532" s="110">
        <f t="shared" si="5"/>
        <v>2.088382038</v>
      </c>
      <c r="Q532" s="109">
        <f t="shared" si="6"/>
        <v>0.3813363533</v>
      </c>
      <c r="R532" s="111">
        <f t="shared" si="7"/>
        <v>0.7963759909</v>
      </c>
      <c r="S532" s="112">
        <f t="shared" si="143"/>
        <v>44.95</v>
      </c>
      <c r="T532" s="113">
        <f t="shared" si="9"/>
        <v>21.045</v>
      </c>
      <c r="U532" s="172"/>
      <c r="V532" s="172"/>
      <c r="W532" s="172"/>
      <c r="X532" s="172"/>
      <c r="Y532" s="173"/>
      <c r="Z532" s="165"/>
      <c r="AA532" s="165"/>
    </row>
    <row r="533" hidden="1" outlineLevel="1">
      <c r="A533" s="148" t="str">
        <f t="shared" ref="A533:A534" si="145">iferror(if(B533&gt;0,month(B533)&amp;"-"&amp;year(B533),B533),)</f>
        <v>7-2025</v>
      </c>
      <c r="B533" s="99">
        <v>45843.0</v>
      </c>
      <c r="C533" s="100" t="s">
        <v>49</v>
      </c>
      <c r="D533" s="146">
        <v>0.0</v>
      </c>
      <c r="E533" s="401"/>
      <c r="F533" s="103">
        <v>0.0</v>
      </c>
      <c r="G533" s="103">
        <v>0.0</v>
      </c>
      <c r="H533" s="104" t="str">
        <f t="shared" si="1"/>
        <v>#DIV/0!</v>
      </c>
      <c r="I533" s="105" t="str">
        <f t="shared" si="2"/>
        <v>#DIV/0!</v>
      </c>
      <c r="J533" s="106" t="str">
        <f t="shared" si="3"/>
        <v>#DIV/0!</v>
      </c>
      <c r="K533" s="146">
        <v>3.11</v>
      </c>
      <c r="L533" s="103">
        <v>4394.0</v>
      </c>
      <c r="M533" s="103">
        <v>0.0</v>
      </c>
      <c r="N533" s="147">
        <v>0.0</v>
      </c>
      <c r="O533" s="109" t="str">
        <f t="shared" si="144"/>
        <v>#DIV/0!</v>
      </c>
      <c r="P533" s="110">
        <f t="shared" si="5"/>
        <v>0</v>
      </c>
      <c r="Q533" s="109" t="str">
        <f t="shared" si="6"/>
        <v>#DIV/0!</v>
      </c>
      <c r="R533" s="111" t="str">
        <f t="shared" si="7"/>
        <v>#DIV/0!</v>
      </c>
      <c r="S533" s="112">
        <f t="shared" si="143"/>
        <v>0</v>
      </c>
      <c r="T533" s="113" t="str">
        <f t="shared" si="9"/>
        <v>#DIV/0!</v>
      </c>
      <c r="U533" s="172"/>
      <c r="V533" s="172"/>
      <c r="W533" s="172"/>
      <c r="X533" s="172"/>
      <c r="Y533" s="173"/>
      <c r="Z533" s="165"/>
      <c r="AA533" s="165"/>
    </row>
    <row r="534" collapsed="1">
      <c r="A534" s="165" t="str">
        <f t="shared" si="145"/>
        <v/>
      </c>
      <c r="B534" s="80" t="s">
        <v>114</v>
      </c>
      <c r="C534" s="201"/>
      <c r="D534" s="151">
        <f>SUM(D517:D533)</f>
        <v>2915.87</v>
      </c>
      <c r="E534" s="400"/>
      <c r="F534" s="153">
        <f t="shared" ref="F534:G534" si="146">SUM(F517:F533)</f>
        <v>35</v>
      </c>
      <c r="G534" s="153">
        <f t="shared" si="146"/>
        <v>55</v>
      </c>
      <c r="H534" s="154">
        <f t="shared" si="1"/>
        <v>0.6363636364</v>
      </c>
      <c r="I534" s="155">
        <f t="shared" si="2"/>
        <v>83.31057143</v>
      </c>
      <c r="J534" s="156">
        <f t="shared" si="3"/>
        <v>130.9166122</v>
      </c>
      <c r="K534" s="151">
        <f t="shared" ref="K534:N534" si="147">SUM(K517:K533)</f>
        <v>1229.97</v>
      </c>
      <c r="L534" s="153">
        <f t="shared" si="147"/>
        <v>292563</v>
      </c>
      <c r="M534" s="153">
        <f t="shared" si="147"/>
        <v>19</v>
      </c>
      <c r="N534" s="157">
        <f t="shared" si="147"/>
        <v>657.33</v>
      </c>
      <c r="O534" s="158">
        <f t="shared" si="144"/>
        <v>1.871160604</v>
      </c>
      <c r="P534" s="159">
        <f t="shared" si="5"/>
        <v>0.534427669</v>
      </c>
      <c r="Q534" s="158">
        <f t="shared" si="6"/>
        <v>0.4218192169</v>
      </c>
      <c r="R534" s="160">
        <f t="shared" si="7"/>
        <v>0.2254318608</v>
      </c>
      <c r="S534" s="161">
        <f>SUM(S517:S533)</f>
        <v>2258.54</v>
      </c>
      <c r="T534" s="162">
        <f t="shared" si="9"/>
        <v>64.73526316</v>
      </c>
      <c r="U534" s="399">
        <f>IFERROR((D534-D246)/D534,)</f>
        <v>-1.600019891</v>
      </c>
      <c r="V534" s="399">
        <f>IFERROR((F534-F246)/F534,)</f>
        <v>-1.685714286</v>
      </c>
      <c r="W534" s="398" t="str">
        <f>IFERROR((D534-monthly_reporting_2021!E325)/D534, )</f>
        <v/>
      </c>
      <c r="X534" s="398" t="str">
        <f>IFERROR((F534-monthly_reporting_2021!F325)/F534, )</f>
        <v/>
      </c>
      <c r="Y534" s="165"/>
      <c r="Z534" s="165"/>
      <c r="AA534" s="165"/>
    </row>
    <row r="535" hidden="1" outlineLevel="1">
      <c r="A535" s="165"/>
      <c r="B535" s="99">
        <v>45844.0</v>
      </c>
      <c r="C535" s="100" t="s">
        <v>32</v>
      </c>
      <c r="D535" s="101">
        <v>9831.92</v>
      </c>
      <c r="E535" s="401"/>
      <c r="F535" s="103">
        <v>38.0</v>
      </c>
      <c r="G535" s="103">
        <v>31.0</v>
      </c>
      <c r="H535" s="104">
        <f t="shared" si="1"/>
        <v>1.225806452</v>
      </c>
      <c r="I535" s="105">
        <f t="shared" si="2"/>
        <v>258.7347368</v>
      </c>
      <c r="J535" s="106">
        <f t="shared" si="3"/>
        <v>211.0730748</v>
      </c>
      <c r="K535" s="107">
        <v>1142.43</v>
      </c>
      <c r="L535" s="103">
        <v>169243.0</v>
      </c>
      <c r="M535" s="103">
        <v>14.0</v>
      </c>
      <c r="N535" s="108">
        <v>2788.32</v>
      </c>
      <c r="O535" s="109">
        <f t="shared" si="144"/>
        <v>0.4097198313</v>
      </c>
      <c r="P535" s="110">
        <f t="shared" si="5"/>
        <v>2.440692209</v>
      </c>
      <c r="Q535" s="109">
        <f t="shared" si="6"/>
        <v>0.1161960228</v>
      </c>
      <c r="R535" s="111">
        <f t="shared" si="7"/>
        <v>0.2835987274</v>
      </c>
      <c r="S535" s="112">
        <f t="shared" ref="S535:S551" si="148">D535-N535</f>
        <v>7043.6</v>
      </c>
      <c r="T535" s="113">
        <f t="shared" si="9"/>
        <v>81.60214286</v>
      </c>
      <c r="U535" s="172"/>
      <c r="V535" s="172"/>
      <c r="W535" s="172"/>
      <c r="X535" s="172"/>
      <c r="Y535" s="173"/>
      <c r="Z535" s="165"/>
      <c r="AA535" s="165"/>
    </row>
    <row r="536" hidden="1" outlineLevel="1">
      <c r="A536" s="165"/>
      <c r="B536" s="174"/>
      <c r="C536" s="100" t="s">
        <v>33</v>
      </c>
      <c r="D536" s="117">
        <v>25321.66</v>
      </c>
      <c r="E536" s="401"/>
      <c r="F536" s="103">
        <v>89.0</v>
      </c>
      <c r="G536" s="103">
        <v>108.0</v>
      </c>
      <c r="H536" s="104">
        <f t="shared" si="1"/>
        <v>0.8240740741</v>
      </c>
      <c r="I536" s="105">
        <f t="shared" si="2"/>
        <v>284.5130337</v>
      </c>
      <c r="J536" s="106">
        <f t="shared" si="3"/>
        <v>345.2517712</v>
      </c>
      <c r="K536" s="117">
        <v>492.35</v>
      </c>
      <c r="L536" s="103">
        <v>115863.0</v>
      </c>
      <c r="M536" s="103">
        <v>25.0</v>
      </c>
      <c r="N536" s="118">
        <v>4232.9</v>
      </c>
      <c r="O536" s="109">
        <f t="shared" si="144"/>
        <v>0.1163150559</v>
      </c>
      <c r="P536" s="110">
        <f t="shared" si="5"/>
        <v>8.597339291</v>
      </c>
      <c r="Q536" s="109">
        <f t="shared" si="6"/>
        <v>0.01944382793</v>
      </c>
      <c r="R536" s="111">
        <f t="shared" si="7"/>
        <v>0.1671651859</v>
      </c>
      <c r="S536" s="119">
        <f t="shared" si="148"/>
        <v>21088.76</v>
      </c>
      <c r="T536" s="113">
        <f t="shared" si="9"/>
        <v>19.694</v>
      </c>
      <c r="U536" s="172"/>
      <c r="V536" s="172"/>
      <c r="W536" s="172"/>
      <c r="X536" s="172"/>
      <c r="Y536" s="173"/>
      <c r="Z536" s="165"/>
      <c r="AA536" s="165"/>
    </row>
    <row r="537" hidden="1" outlineLevel="1">
      <c r="A537" s="165"/>
      <c r="B537" s="174"/>
      <c r="C537" s="100" t="s">
        <v>34</v>
      </c>
      <c r="D537" s="120">
        <v>0.0</v>
      </c>
      <c r="E537" s="401"/>
      <c r="F537" s="103">
        <v>0.0</v>
      </c>
      <c r="G537" s="103">
        <v>0.0</v>
      </c>
      <c r="H537" s="104" t="str">
        <f t="shared" si="1"/>
        <v>#DIV/0!</v>
      </c>
      <c r="I537" s="105" t="str">
        <f t="shared" si="2"/>
        <v>#DIV/0!</v>
      </c>
      <c r="J537" s="106" t="str">
        <f t="shared" si="3"/>
        <v>#DIV/0!</v>
      </c>
      <c r="K537" s="120">
        <v>0.0</v>
      </c>
      <c r="L537" s="103">
        <v>0.0</v>
      </c>
      <c r="M537" s="103">
        <v>0.0</v>
      </c>
      <c r="N537" s="121">
        <v>0.0</v>
      </c>
      <c r="O537" s="109" t="str">
        <f>(K537/N537)</f>
        <v>#DIV/0!</v>
      </c>
      <c r="P537" s="110" t="str">
        <f t="shared" si="5"/>
        <v>#DIV/0!</v>
      </c>
      <c r="Q537" s="109" t="str">
        <f t="shared" si="6"/>
        <v>#DIV/0!</v>
      </c>
      <c r="R537" s="111" t="str">
        <f t="shared" si="7"/>
        <v>#DIV/0!</v>
      </c>
      <c r="S537" s="122">
        <f t="shared" si="148"/>
        <v>0</v>
      </c>
      <c r="T537" s="113" t="str">
        <f t="shared" si="9"/>
        <v>#DIV/0!</v>
      </c>
      <c r="U537" s="172"/>
      <c r="V537" s="172"/>
      <c r="W537" s="172"/>
      <c r="X537" s="172"/>
      <c r="Y537" s="173"/>
      <c r="Z537" s="165"/>
      <c r="AA537" s="165"/>
    </row>
    <row r="538" hidden="1" outlineLevel="1">
      <c r="A538" s="165"/>
      <c r="B538" s="174"/>
      <c r="C538" s="100" t="s">
        <v>35</v>
      </c>
      <c r="D538" s="120">
        <v>0.0</v>
      </c>
      <c r="E538" s="401"/>
      <c r="F538" s="103">
        <v>0.0</v>
      </c>
      <c r="G538" s="103">
        <v>0.0</v>
      </c>
      <c r="H538" s="104" t="str">
        <f t="shared" si="1"/>
        <v>#DIV/0!</v>
      </c>
      <c r="I538" s="105" t="str">
        <f t="shared" si="2"/>
        <v>#DIV/0!</v>
      </c>
      <c r="J538" s="106" t="str">
        <f t="shared" si="3"/>
        <v>#DIV/0!</v>
      </c>
      <c r="K538" s="120">
        <v>32.5</v>
      </c>
      <c r="L538" s="103">
        <v>2713.0</v>
      </c>
      <c r="M538" s="103">
        <v>0.0</v>
      </c>
      <c r="N538" s="121">
        <v>0.0</v>
      </c>
      <c r="O538" s="109" t="str">
        <f t="shared" ref="O538:O554" si="149">K538/N538</f>
        <v>#DIV/0!</v>
      </c>
      <c r="P538" s="110">
        <f t="shared" si="5"/>
        <v>0</v>
      </c>
      <c r="Q538" s="109" t="str">
        <f t="shared" si="6"/>
        <v>#DIV/0!</v>
      </c>
      <c r="R538" s="111" t="str">
        <f t="shared" si="7"/>
        <v>#DIV/0!</v>
      </c>
      <c r="S538" s="122">
        <f t="shared" si="148"/>
        <v>0</v>
      </c>
      <c r="T538" s="113" t="str">
        <f t="shared" si="9"/>
        <v>#DIV/0!</v>
      </c>
      <c r="U538" s="172"/>
      <c r="V538" s="172"/>
      <c r="W538" s="172"/>
      <c r="X538" s="172"/>
      <c r="Y538" s="173"/>
      <c r="Z538" s="165"/>
      <c r="AA538" s="165"/>
    </row>
    <row r="539" hidden="1" outlineLevel="1">
      <c r="A539" s="165"/>
      <c r="B539" s="174"/>
      <c r="C539" s="100" t="s">
        <v>65</v>
      </c>
      <c r="D539" s="300">
        <v>0.0</v>
      </c>
      <c r="E539" s="401"/>
      <c r="F539" s="103">
        <v>0.0</v>
      </c>
      <c r="G539" s="103">
        <v>0.0</v>
      </c>
      <c r="H539" s="104" t="str">
        <f t="shared" si="1"/>
        <v>#DIV/0!</v>
      </c>
      <c r="I539" s="105" t="str">
        <f t="shared" si="2"/>
        <v>#DIV/0!</v>
      </c>
      <c r="J539" s="106" t="str">
        <f t="shared" si="3"/>
        <v>#DIV/0!</v>
      </c>
      <c r="K539" s="300">
        <v>0.0</v>
      </c>
      <c r="L539" s="103">
        <v>0.0</v>
      </c>
      <c r="M539" s="103">
        <v>0.0</v>
      </c>
      <c r="N539" s="300">
        <v>0.0</v>
      </c>
      <c r="O539" s="109" t="str">
        <f t="shared" si="149"/>
        <v>#DIV/0!</v>
      </c>
      <c r="P539" s="110" t="str">
        <f t="shared" si="5"/>
        <v>#DIV/0!</v>
      </c>
      <c r="Q539" s="109" t="str">
        <f t="shared" si="6"/>
        <v>#DIV/0!</v>
      </c>
      <c r="R539" s="111" t="str">
        <f t="shared" si="7"/>
        <v>#DIV/0!</v>
      </c>
      <c r="S539" s="122">
        <f t="shared" si="148"/>
        <v>0</v>
      </c>
      <c r="T539" s="113" t="str">
        <f t="shared" si="9"/>
        <v>#DIV/0!</v>
      </c>
      <c r="U539" s="172"/>
      <c r="V539" s="172"/>
      <c r="W539" s="172"/>
      <c r="X539" s="172"/>
      <c r="Y539" s="173"/>
      <c r="Z539" s="165"/>
      <c r="AA539" s="165"/>
    </row>
    <row r="540" hidden="1" outlineLevel="1">
      <c r="A540" s="165"/>
      <c r="B540" s="174"/>
      <c r="C540" s="100" t="s">
        <v>85</v>
      </c>
      <c r="D540" s="302">
        <v>0.0</v>
      </c>
      <c r="E540" s="401"/>
      <c r="F540" s="103">
        <v>0.0</v>
      </c>
      <c r="G540" s="103">
        <v>0.0</v>
      </c>
      <c r="H540" s="104" t="str">
        <f t="shared" si="1"/>
        <v>#DIV/0!</v>
      </c>
      <c r="I540" s="105" t="str">
        <f t="shared" si="2"/>
        <v>#DIV/0!</v>
      </c>
      <c r="J540" s="106" t="str">
        <f t="shared" si="3"/>
        <v>#DIV/0!</v>
      </c>
      <c r="K540" s="302">
        <v>60.26</v>
      </c>
      <c r="L540" s="103">
        <v>13829.0</v>
      </c>
      <c r="M540" s="103">
        <v>1.0</v>
      </c>
      <c r="N540" s="303">
        <v>59.95</v>
      </c>
      <c r="O540" s="109">
        <f t="shared" si="149"/>
        <v>1.005170976</v>
      </c>
      <c r="P540" s="110">
        <f t="shared" si="5"/>
        <v>0.9948556256</v>
      </c>
      <c r="Q540" s="109" t="str">
        <f t="shared" si="6"/>
        <v>#DIV/0!</v>
      </c>
      <c r="R540" s="111" t="str">
        <f t="shared" si="7"/>
        <v>#DIV/0!</v>
      </c>
      <c r="S540" s="304">
        <f t="shared" si="148"/>
        <v>-59.95</v>
      </c>
      <c r="T540" s="113">
        <f t="shared" si="9"/>
        <v>60.26</v>
      </c>
      <c r="U540" s="172"/>
      <c r="V540" s="172"/>
      <c r="W540" s="172"/>
      <c r="X540" s="172"/>
      <c r="Y540" s="173"/>
      <c r="Z540" s="165"/>
      <c r="AA540" s="165"/>
    </row>
    <row r="541" hidden="1" outlineLevel="1">
      <c r="A541" s="165"/>
      <c r="B541" s="174"/>
      <c r="C541" s="100" t="s">
        <v>36</v>
      </c>
      <c r="D541" s="120">
        <v>359.7</v>
      </c>
      <c r="E541" s="401"/>
      <c r="F541" s="103">
        <v>6.0</v>
      </c>
      <c r="G541" s="103">
        <v>6.0</v>
      </c>
      <c r="H541" s="104">
        <f t="shared" si="1"/>
        <v>1</v>
      </c>
      <c r="I541" s="105">
        <f t="shared" si="2"/>
        <v>59.95</v>
      </c>
      <c r="J541" s="106">
        <f t="shared" si="3"/>
        <v>59.95</v>
      </c>
      <c r="K541" s="120">
        <v>21.25</v>
      </c>
      <c r="L541" s="103">
        <v>1922.0</v>
      </c>
      <c r="M541" s="103">
        <v>2.0</v>
      </c>
      <c r="N541" s="121">
        <v>119.9</v>
      </c>
      <c r="O541" s="109">
        <f t="shared" si="149"/>
        <v>0.1772310259</v>
      </c>
      <c r="P541" s="110">
        <f t="shared" si="5"/>
        <v>5.642352941</v>
      </c>
      <c r="Q541" s="109">
        <f t="shared" si="6"/>
        <v>0.05907700862</v>
      </c>
      <c r="R541" s="111">
        <f t="shared" si="7"/>
        <v>0.3333333333</v>
      </c>
      <c r="S541" s="122">
        <f t="shared" si="148"/>
        <v>239.8</v>
      </c>
      <c r="T541" s="113">
        <f t="shared" si="9"/>
        <v>10.625</v>
      </c>
      <c r="U541" s="172"/>
      <c r="V541" s="172"/>
      <c r="W541" s="172"/>
      <c r="X541" s="172"/>
      <c r="Y541" s="173"/>
      <c r="Z541" s="165"/>
      <c r="AA541" s="165"/>
    </row>
    <row r="542" hidden="1" outlineLevel="1">
      <c r="A542" s="165"/>
      <c r="B542" s="99" t="s">
        <v>37</v>
      </c>
      <c r="C542" s="100" t="s">
        <v>38</v>
      </c>
      <c r="D542" s="123">
        <v>111.84</v>
      </c>
      <c r="E542" s="401"/>
      <c r="F542" s="103">
        <v>4.0</v>
      </c>
      <c r="G542" s="103">
        <v>3.0</v>
      </c>
      <c r="H542" s="104">
        <f t="shared" si="1"/>
        <v>1.333333333</v>
      </c>
      <c r="I542" s="105">
        <f t="shared" si="2"/>
        <v>27.96</v>
      </c>
      <c r="J542" s="106">
        <f t="shared" si="3"/>
        <v>20.97</v>
      </c>
      <c r="K542" s="123">
        <v>65.09</v>
      </c>
      <c r="L542" s="103">
        <v>16921.0</v>
      </c>
      <c r="M542" s="103">
        <v>1.0</v>
      </c>
      <c r="N542" s="124">
        <v>27.96</v>
      </c>
      <c r="O542" s="109">
        <f t="shared" si="149"/>
        <v>2.327968526</v>
      </c>
      <c r="P542" s="110">
        <f t="shared" si="5"/>
        <v>0.4295590721</v>
      </c>
      <c r="Q542" s="109">
        <f t="shared" si="6"/>
        <v>0.5819921316</v>
      </c>
      <c r="R542" s="111">
        <f t="shared" si="7"/>
        <v>0.25</v>
      </c>
      <c r="S542" s="125">
        <f t="shared" si="148"/>
        <v>83.88</v>
      </c>
      <c r="T542" s="113">
        <f t="shared" si="9"/>
        <v>65.09</v>
      </c>
      <c r="U542" s="172"/>
      <c r="V542" s="172"/>
      <c r="W542" s="172"/>
      <c r="X542" s="172"/>
      <c r="Y542" s="173"/>
      <c r="Z542" s="165"/>
      <c r="AA542" s="165"/>
    </row>
    <row r="543" hidden="1" outlineLevel="1">
      <c r="A543" s="165"/>
      <c r="B543" s="174"/>
      <c r="C543" s="100" t="s">
        <v>39</v>
      </c>
      <c r="D543" s="126">
        <v>-319.98</v>
      </c>
      <c r="E543" s="401"/>
      <c r="F543" s="103">
        <v>-2.0</v>
      </c>
      <c r="G543" s="103">
        <v>0.0</v>
      </c>
      <c r="H543" s="104" t="str">
        <f t="shared" si="1"/>
        <v>#DIV/0!</v>
      </c>
      <c r="I543" s="105">
        <f t="shared" si="2"/>
        <v>159.99</v>
      </c>
      <c r="J543" s="106" t="str">
        <f t="shared" si="3"/>
        <v>#DIV/0!</v>
      </c>
      <c r="K543" s="126">
        <v>0.0</v>
      </c>
      <c r="L543" s="103">
        <v>0.0</v>
      </c>
      <c r="M543" s="103">
        <v>0.0</v>
      </c>
      <c r="N543" s="127">
        <v>0.0</v>
      </c>
      <c r="O543" s="109" t="str">
        <f t="shared" si="149"/>
        <v>#DIV/0!</v>
      </c>
      <c r="P543" s="110" t="str">
        <f t="shared" si="5"/>
        <v>#DIV/0!</v>
      </c>
      <c r="Q543" s="109">
        <f t="shared" si="6"/>
        <v>0</v>
      </c>
      <c r="R543" s="111">
        <f t="shared" si="7"/>
        <v>0</v>
      </c>
      <c r="S543" s="128">
        <f t="shared" si="148"/>
        <v>-319.98</v>
      </c>
      <c r="T543" s="113" t="str">
        <f t="shared" si="9"/>
        <v>#DIV/0!</v>
      </c>
      <c r="U543" s="172"/>
      <c r="V543" s="172"/>
      <c r="W543" s="172"/>
      <c r="X543" s="172"/>
      <c r="Y543" s="173"/>
      <c r="Z543" s="165"/>
      <c r="AA543" s="165"/>
    </row>
    <row r="544" hidden="1" outlineLevel="1">
      <c r="A544" s="165"/>
      <c r="B544" s="174"/>
      <c r="C544" s="100" t="s">
        <v>40</v>
      </c>
      <c r="D544" s="129">
        <v>604.45</v>
      </c>
      <c r="E544" s="401"/>
      <c r="F544" s="103">
        <v>11.0</v>
      </c>
      <c r="G544" s="103">
        <v>4.0</v>
      </c>
      <c r="H544" s="104">
        <f t="shared" si="1"/>
        <v>2.75</v>
      </c>
      <c r="I544" s="105">
        <f t="shared" si="2"/>
        <v>54.95</v>
      </c>
      <c r="J544" s="106">
        <f t="shared" si="3"/>
        <v>19.98181818</v>
      </c>
      <c r="K544" s="129">
        <v>0.0</v>
      </c>
      <c r="L544" s="103">
        <v>0.0</v>
      </c>
      <c r="M544" s="103">
        <v>0.0</v>
      </c>
      <c r="N544" s="130">
        <v>0.0</v>
      </c>
      <c r="O544" s="109" t="str">
        <f t="shared" si="149"/>
        <v>#DIV/0!</v>
      </c>
      <c r="P544" s="110" t="str">
        <f t="shared" si="5"/>
        <v>#DIV/0!</v>
      </c>
      <c r="Q544" s="109">
        <f t="shared" si="6"/>
        <v>0</v>
      </c>
      <c r="R544" s="111">
        <f t="shared" si="7"/>
        <v>0</v>
      </c>
      <c r="S544" s="131">
        <f t="shared" si="148"/>
        <v>604.45</v>
      </c>
      <c r="T544" s="113" t="str">
        <f t="shared" si="9"/>
        <v>#DIV/0!</v>
      </c>
      <c r="U544" s="172"/>
      <c r="V544" s="172"/>
      <c r="W544" s="172"/>
      <c r="X544" s="172"/>
      <c r="Y544" s="173"/>
      <c r="Z544" s="165"/>
      <c r="AA544" s="165"/>
    </row>
    <row r="545" hidden="1" outlineLevel="1">
      <c r="A545" s="165"/>
      <c r="B545" s="174"/>
      <c r="C545" s="100" t="s">
        <v>41</v>
      </c>
      <c r="D545" s="132">
        <v>-52.71</v>
      </c>
      <c r="E545" s="401"/>
      <c r="F545" s="103">
        <v>1.0</v>
      </c>
      <c r="G545" s="103">
        <v>3.0</v>
      </c>
      <c r="H545" s="104">
        <f t="shared" si="1"/>
        <v>0.3333333333</v>
      </c>
      <c r="I545" s="105">
        <f t="shared" si="2"/>
        <v>-52.71</v>
      </c>
      <c r="J545" s="106">
        <f t="shared" si="3"/>
        <v>-158.13</v>
      </c>
      <c r="K545" s="132">
        <v>38.06</v>
      </c>
      <c r="L545" s="103">
        <v>8821.0</v>
      </c>
      <c r="M545" s="103">
        <v>1.0</v>
      </c>
      <c r="N545" s="133">
        <v>149.0</v>
      </c>
      <c r="O545" s="109">
        <f t="shared" si="149"/>
        <v>0.2554362416</v>
      </c>
      <c r="P545" s="110">
        <f t="shared" si="5"/>
        <v>3.914871256</v>
      </c>
      <c r="Q545" s="109">
        <f t="shared" si="6"/>
        <v>-0.7220641245</v>
      </c>
      <c r="R545" s="111">
        <f t="shared" si="7"/>
        <v>-2.826788086</v>
      </c>
      <c r="S545" s="134">
        <f t="shared" si="148"/>
        <v>-201.71</v>
      </c>
      <c r="T545" s="113">
        <f t="shared" si="9"/>
        <v>38.06</v>
      </c>
      <c r="U545" s="172"/>
      <c r="V545" s="172"/>
      <c r="W545" s="172"/>
      <c r="X545" s="172"/>
      <c r="Y545" s="173"/>
      <c r="Z545" s="165"/>
      <c r="AA545" s="165"/>
    </row>
    <row r="546" hidden="1" outlineLevel="1">
      <c r="A546" s="165"/>
      <c r="B546" s="174"/>
      <c r="C546" s="100" t="s">
        <v>42</v>
      </c>
      <c r="D546" s="120">
        <v>19.99</v>
      </c>
      <c r="E546" s="401"/>
      <c r="F546" s="103">
        <v>1.0</v>
      </c>
      <c r="G546" s="103">
        <v>1.0</v>
      </c>
      <c r="H546" s="104">
        <f t="shared" si="1"/>
        <v>1</v>
      </c>
      <c r="I546" s="105">
        <f t="shared" si="2"/>
        <v>19.99</v>
      </c>
      <c r="J546" s="106">
        <f t="shared" si="3"/>
        <v>19.99</v>
      </c>
      <c r="K546" s="120">
        <v>10.88</v>
      </c>
      <c r="L546" s="103">
        <v>21244.0</v>
      </c>
      <c r="M546" s="103">
        <v>0.0</v>
      </c>
      <c r="N546" s="121">
        <v>0.0</v>
      </c>
      <c r="O546" s="109" t="str">
        <f t="shared" si="149"/>
        <v>#DIV/0!</v>
      </c>
      <c r="P546" s="110">
        <f t="shared" si="5"/>
        <v>0</v>
      </c>
      <c r="Q546" s="109">
        <f t="shared" si="6"/>
        <v>0.5442721361</v>
      </c>
      <c r="R546" s="111">
        <f t="shared" si="7"/>
        <v>0</v>
      </c>
      <c r="S546" s="122">
        <f t="shared" si="148"/>
        <v>19.99</v>
      </c>
      <c r="T546" s="113" t="str">
        <f t="shared" si="9"/>
        <v>#DIV/0!</v>
      </c>
      <c r="U546" s="172"/>
      <c r="V546" s="172"/>
      <c r="W546" s="172"/>
      <c r="X546" s="172"/>
      <c r="Y546" s="173"/>
      <c r="Z546" s="165"/>
      <c r="AA546" s="165"/>
    </row>
    <row r="547" hidden="1" outlineLevel="1">
      <c r="A547" s="165"/>
      <c r="B547" s="174"/>
      <c r="C547" s="100" t="s">
        <v>43</v>
      </c>
      <c r="D547" s="135">
        <v>439.39</v>
      </c>
      <c r="E547" s="401"/>
      <c r="F547" s="103">
        <v>5.0</v>
      </c>
      <c r="G547" s="103">
        <v>5.0</v>
      </c>
      <c r="H547" s="104">
        <f t="shared" si="1"/>
        <v>1</v>
      </c>
      <c r="I547" s="105">
        <f t="shared" si="2"/>
        <v>87.878</v>
      </c>
      <c r="J547" s="106">
        <f t="shared" si="3"/>
        <v>87.878</v>
      </c>
      <c r="K547" s="135">
        <v>80.58</v>
      </c>
      <c r="L547" s="103">
        <v>23771.0</v>
      </c>
      <c r="M547" s="103">
        <v>2.0</v>
      </c>
      <c r="N547" s="136">
        <v>172.76</v>
      </c>
      <c r="O547" s="109">
        <f t="shared" si="149"/>
        <v>0.4664274138</v>
      </c>
      <c r="P547" s="110">
        <f t="shared" si="5"/>
        <v>2.143956317</v>
      </c>
      <c r="Q547" s="109">
        <f t="shared" si="6"/>
        <v>0.1833906097</v>
      </c>
      <c r="R547" s="111">
        <f t="shared" si="7"/>
        <v>0.3931814561</v>
      </c>
      <c r="S547" s="137">
        <f t="shared" si="148"/>
        <v>266.63</v>
      </c>
      <c r="T547" s="113">
        <f t="shared" si="9"/>
        <v>40.29</v>
      </c>
      <c r="U547" s="172"/>
      <c r="V547" s="172"/>
      <c r="W547" s="172"/>
      <c r="X547" s="172"/>
      <c r="Y547" s="173"/>
      <c r="Z547" s="165"/>
      <c r="AA547" s="165"/>
    </row>
    <row r="548" hidden="1" outlineLevel="1">
      <c r="A548" s="165"/>
      <c r="B548" s="174"/>
      <c r="C548" s="100" t="s">
        <v>44</v>
      </c>
      <c r="D548" s="138">
        <v>44.95</v>
      </c>
      <c r="E548" s="401"/>
      <c r="F548" s="103">
        <v>1.0</v>
      </c>
      <c r="G548" s="103">
        <v>1.0</v>
      </c>
      <c r="H548" s="104">
        <f t="shared" si="1"/>
        <v>1</v>
      </c>
      <c r="I548" s="105">
        <f t="shared" si="2"/>
        <v>44.95</v>
      </c>
      <c r="J548" s="106">
        <f t="shared" si="3"/>
        <v>44.95</v>
      </c>
      <c r="K548" s="138">
        <v>27.45</v>
      </c>
      <c r="L548" s="103">
        <v>13588.0</v>
      </c>
      <c r="M548" s="103">
        <v>0.0</v>
      </c>
      <c r="N548" s="139">
        <v>0.0</v>
      </c>
      <c r="O548" s="109" t="str">
        <f t="shared" si="149"/>
        <v>#DIV/0!</v>
      </c>
      <c r="P548" s="110">
        <f t="shared" si="5"/>
        <v>0</v>
      </c>
      <c r="Q548" s="109">
        <f t="shared" si="6"/>
        <v>0.6106785317</v>
      </c>
      <c r="R548" s="111">
        <f t="shared" si="7"/>
        <v>0</v>
      </c>
      <c r="S548" s="140">
        <f t="shared" si="148"/>
        <v>44.95</v>
      </c>
      <c r="T548" s="113" t="str">
        <f t="shared" si="9"/>
        <v>#DIV/0!</v>
      </c>
      <c r="U548" s="172"/>
      <c r="V548" s="172"/>
      <c r="W548" s="172"/>
      <c r="X548" s="172"/>
      <c r="Y548" s="173"/>
      <c r="Z548" s="165"/>
      <c r="AA548" s="165"/>
    </row>
    <row r="549" hidden="1" outlineLevel="1">
      <c r="A549" s="192"/>
      <c r="B549" s="174"/>
      <c r="C549" s="142" t="s">
        <v>45</v>
      </c>
      <c r="D549" s="101">
        <v>39.9</v>
      </c>
      <c r="E549" s="401"/>
      <c r="F549" s="103">
        <v>2.0</v>
      </c>
      <c r="G549" s="103">
        <v>1.0</v>
      </c>
      <c r="H549" s="104">
        <f t="shared" si="1"/>
        <v>2</v>
      </c>
      <c r="I549" s="105">
        <f t="shared" si="2"/>
        <v>19.95</v>
      </c>
      <c r="J549" s="106">
        <f t="shared" si="3"/>
        <v>9.975</v>
      </c>
      <c r="K549" s="101">
        <v>0.0</v>
      </c>
      <c r="L549" s="103">
        <v>0.0</v>
      </c>
      <c r="M549" s="103">
        <v>0.0</v>
      </c>
      <c r="N549" s="108">
        <v>0.0</v>
      </c>
      <c r="O549" s="109" t="str">
        <f t="shared" si="149"/>
        <v>#DIV/0!</v>
      </c>
      <c r="P549" s="110" t="str">
        <f t="shared" si="5"/>
        <v>#DIV/0!</v>
      </c>
      <c r="Q549" s="109">
        <f t="shared" si="6"/>
        <v>0</v>
      </c>
      <c r="R549" s="111">
        <f t="shared" si="7"/>
        <v>0</v>
      </c>
      <c r="S549" s="112">
        <f t="shared" si="148"/>
        <v>39.9</v>
      </c>
      <c r="T549" s="113" t="str">
        <f t="shared" si="9"/>
        <v>#DIV/0!</v>
      </c>
      <c r="U549" s="193"/>
      <c r="V549" s="193"/>
      <c r="W549" s="193"/>
      <c r="X549" s="194"/>
      <c r="Y549" s="195"/>
      <c r="Z549" s="165"/>
      <c r="AA549" s="165"/>
    </row>
    <row r="550" hidden="1" outlineLevel="1">
      <c r="A550" s="165"/>
      <c r="B550" s="174"/>
      <c r="C550" s="100" t="s">
        <v>46</v>
      </c>
      <c r="D550" s="146">
        <v>812.09</v>
      </c>
      <c r="E550" s="401"/>
      <c r="F550" s="103">
        <v>21.0</v>
      </c>
      <c r="G550" s="103">
        <v>22.0</v>
      </c>
      <c r="H550" s="104">
        <f t="shared" si="1"/>
        <v>0.9545454545</v>
      </c>
      <c r="I550" s="105">
        <f t="shared" si="2"/>
        <v>38.67095238</v>
      </c>
      <c r="J550" s="106">
        <f t="shared" si="3"/>
        <v>40.5124263</v>
      </c>
      <c r="K550" s="146">
        <v>132.96</v>
      </c>
      <c r="L550" s="103">
        <v>28360.0</v>
      </c>
      <c r="M550" s="103">
        <v>12.0</v>
      </c>
      <c r="N550" s="147">
        <v>305.66</v>
      </c>
      <c r="O550" s="109">
        <f t="shared" si="149"/>
        <v>0.4349931296</v>
      </c>
      <c r="P550" s="110">
        <f t="shared" si="5"/>
        <v>2.298886883</v>
      </c>
      <c r="Q550" s="109">
        <f t="shared" si="6"/>
        <v>0.1637256954</v>
      </c>
      <c r="R550" s="111">
        <f t="shared" si="7"/>
        <v>0.3763868537</v>
      </c>
      <c r="S550" s="112">
        <f t="shared" si="148"/>
        <v>506.43</v>
      </c>
      <c r="T550" s="113">
        <f t="shared" si="9"/>
        <v>11.08</v>
      </c>
      <c r="U550" s="172"/>
      <c r="V550" s="172"/>
      <c r="W550" s="172"/>
      <c r="X550" s="172"/>
      <c r="Y550" s="173"/>
      <c r="Z550" s="165"/>
      <c r="AA550" s="165"/>
    </row>
    <row r="551" hidden="1" outlineLevel="1">
      <c r="A551" s="148" t="str">
        <f t="shared" ref="A551:A552" si="150">iferror(if(B551&gt;0,month(B551)&amp;"-"&amp;year(B551),B551),)</f>
        <v>7-2025</v>
      </c>
      <c r="B551" s="99">
        <v>45850.0</v>
      </c>
      <c r="C551" s="100" t="s">
        <v>49</v>
      </c>
      <c r="D551" s="146">
        <v>0.0</v>
      </c>
      <c r="E551" s="401"/>
      <c r="F551" s="103">
        <v>0.0</v>
      </c>
      <c r="G551" s="103">
        <v>0.0</v>
      </c>
      <c r="H551" s="104" t="str">
        <f t="shared" si="1"/>
        <v>#DIV/0!</v>
      </c>
      <c r="I551" s="105" t="str">
        <f t="shared" si="2"/>
        <v>#DIV/0!</v>
      </c>
      <c r="J551" s="106" t="str">
        <f t="shared" si="3"/>
        <v>#DIV/0!</v>
      </c>
      <c r="K551" s="146">
        <v>1.79</v>
      </c>
      <c r="L551" s="103">
        <v>5729.0</v>
      </c>
      <c r="M551" s="103">
        <v>0.0</v>
      </c>
      <c r="N551" s="147">
        <v>0.0</v>
      </c>
      <c r="O551" s="109" t="str">
        <f t="shared" si="149"/>
        <v>#DIV/0!</v>
      </c>
      <c r="P551" s="110">
        <f t="shared" si="5"/>
        <v>0</v>
      </c>
      <c r="Q551" s="109" t="str">
        <f t="shared" si="6"/>
        <v>#DIV/0!</v>
      </c>
      <c r="R551" s="111" t="str">
        <f t="shared" si="7"/>
        <v>#DIV/0!</v>
      </c>
      <c r="S551" s="112">
        <f t="shared" si="148"/>
        <v>0</v>
      </c>
      <c r="T551" s="113" t="str">
        <f t="shared" si="9"/>
        <v>#DIV/0!</v>
      </c>
      <c r="U551" s="172"/>
      <c r="V551" s="172"/>
      <c r="W551" s="172"/>
      <c r="X551" s="172"/>
      <c r="Y551" s="173"/>
      <c r="Z551" s="165"/>
      <c r="AA551" s="165"/>
    </row>
    <row r="552" collapsed="1">
      <c r="A552" s="165" t="str">
        <f t="shared" si="150"/>
        <v/>
      </c>
      <c r="B552" s="80" t="s">
        <v>115</v>
      </c>
      <c r="C552" s="201"/>
      <c r="D552" s="151">
        <f>SUM(D535:D551)</f>
        <v>37213.2</v>
      </c>
      <c r="E552" s="400"/>
      <c r="F552" s="153">
        <f t="shared" ref="F552:G552" si="151">SUM(F535:F551)</f>
        <v>177</v>
      </c>
      <c r="G552" s="153">
        <f t="shared" si="151"/>
        <v>185</v>
      </c>
      <c r="H552" s="154">
        <f t="shared" si="1"/>
        <v>0.9567567568</v>
      </c>
      <c r="I552" s="155">
        <f t="shared" si="2"/>
        <v>210.2440678</v>
      </c>
      <c r="J552" s="156">
        <f t="shared" si="3"/>
        <v>219.7466245</v>
      </c>
      <c r="K552" s="151">
        <f t="shared" ref="K552:N552" si="152">SUM(K535:K551)</f>
        <v>2105.6</v>
      </c>
      <c r="L552" s="153">
        <f t="shared" si="152"/>
        <v>422004</v>
      </c>
      <c r="M552" s="153">
        <f t="shared" si="152"/>
        <v>58</v>
      </c>
      <c r="N552" s="157">
        <f t="shared" si="152"/>
        <v>7856.45</v>
      </c>
      <c r="O552" s="158">
        <f t="shared" si="149"/>
        <v>0.2680090881</v>
      </c>
      <c r="P552" s="159">
        <f t="shared" si="5"/>
        <v>3.731216755</v>
      </c>
      <c r="Q552" s="158">
        <f t="shared" si="6"/>
        <v>0.05658207303</v>
      </c>
      <c r="R552" s="160">
        <f t="shared" si="7"/>
        <v>0.2111199789</v>
      </c>
      <c r="S552" s="161">
        <f>SUM(S535:S551)</f>
        <v>29356.75</v>
      </c>
      <c r="T552" s="162">
        <f t="shared" si="9"/>
        <v>36.30344828</v>
      </c>
      <c r="U552" s="163">
        <f>IFERROR((D552-D246)/D552,)</f>
        <v>0.7962733654</v>
      </c>
      <c r="V552" s="163">
        <f>IFERROR((F552-F246)/F552,)</f>
        <v>0.4689265537</v>
      </c>
      <c r="W552" s="398" t="str">
        <f>IFERROR((D552-monthly_reporting_2021!E343)/D552, )</f>
        <v/>
      </c>
      <c r="X552" s="398" t="str">
        <f>IFERROR((F552-monthly_reporting_2021!F343)/F552, )</f>
        <v/>
      </c>
      <c r="Y552" s="165"/>
      <c r="Z552" s="165"/>
      <c r="AA552" s="165"/>
    </row>
    <row r="553" hidden="1" outlineLevel="1">
      <c r="A553" s="165"/>
      <c r="B553" s="99">
        <v>45851.0</v>
      </c>
      <c r="C553" s="100" t="s">
        <v>32</v>
      </c>
      <c r="D553" s="101">
        <v>4845.86</v>
      </c>
      <c r="E553" s="401"/>
      <c r="F553" s="103">
        <v>25.0</v>
      </c>
      <c r="G553" s="103">
        <v>26.0</v>
      </c>
      <c r="H553" s="104">
        <f t="shared" si="1"/>
        <v>0.9615384615</v>
      </c>
      <c r="I553" s="105">
        <f t="shared" si="2"/>
        <v>193.8344</v>
      </c>
      <c r="J553" s="106">
        <f t="shared" si="3"/>
        <v>201.587776</v>
      </c>
      <c r="K553" s="107">
        <v>841.16</v>
      </c>
      <c r="L553" s="103">
        <v>125708.0</v>
      </c>
      <c r="M553" s="103">
        <v>11.0</v>
      </c>
      <c r="N553" s="108">
        <v>3131.8</v>
      </c>
      <c r="O553" s="109">
        <f t="shared" si="149"/>
        <v>0.2685867552</v>
      </c>
      <c r="P553" s="110">
        <f t="shared" si="5"/>
        <v>3.723191783</v>
      </c>
      <c r="Q553" s="109">
        <f t="shared" si="6"/>
        <v>0.1735832236</v>
      </c>
      <c r="R553" s="111">
        <f t="shared" si="7"/>
        <v>0.6462836318</v>
      </c>
      <c r="S553" s="112">
        <f t="shared" ref="S553:S569" si="153">D553-N553</f>
        <v>1714.06</v>
      </c>
      <c r="T553" s="113">
        <f t="shared" si="9"/>
        <v>76.46909091</v>
      </c>
      <c r="U553" s="172"/>
      <c r="V553" s="172"/>
      <c r="W553" s="172"/>
      <c r="X553" s="172"/>
      <c r="Y553" s="173"/>
      <c r="Z553" s="165"/>
      <c r="AA553" s="165"/>
    </row>
    <row r="554" hidden="1" outlineLevel="1">
      <c r="A554" s="165"/>
      <c r="B554" s="174"/>
      <c r="C554" s="100" t="s">
        <v>33</v>
      </c>
      <c r="D554" s="117">
        <v>8948.3</v>
      </c>
      <c r="E554" s="401"/>
      <c r="F554" s="103">
        <v>74.0</v>
      </c>
      <c r="G554" s="103">
        <v>73.0</v>
      </c>
      <c r="H554" s="104">
        <f t="shared" si="1"/>
        <v>1.01369863</v>
      </c>
      <c r="I554" s="105">
        <f t="shared" si="2"/>
        <v>120.922973</v>
      </c>
      <c r="J554" s="106">
        <f t="shared" si="3"/>
        <v>119.2888787</v>
      </c>
      <c r="K554" s="117">
        <v>380.4</v>
      </c>
      <c r="L554" s="103">
        <v>182221.0</v>
      </c>
      <c r="M554" s="103">
        <v>16.0</v>
      </c>
      <c r="N554" s="118">
        <v>2186.55</v>
      </c>
      <c r="O554" s="109">
        <f t="shared" si="149"/>
        <v>0.1739726967</v>
      </c>
      <c r="P554" s="110">
        <f t="shared" si="5"/>
        <v>5.748028391</v>
      </c>
      <c r="Q554" s="109">
        <f t="shared" si="6"/>
        <v>0.04251086799</v>
      </c>
      <c r="R554" s="111">
        <f t="shared" si="7"/>
        <v>0.2443536761</v>
      </c>
      <c r="S554" s="119">
        <f t="shared" si="153"/>
        <v>6761.75</v>
      </c>
      <c r="T554" s="113">
        <f t="shared" si="9"/>
        <v>23.775</v>
      </c>
      <c r="U554" s="172"/>
      <c r="V554" s="172"/>
      <c r="W554" s="172"/>
      <c r="X554" s="172"/>
      <c r="Y554" s="173"/>
      <c r="Z554" s="165"/>
      <c r="AA554" s="165"/>
    </row>
    <row r="555" hidden="1" outlineLevel="1">
      <c r="A555" s="165"/>
      <c r="B555" s="174"/>
      <c r="C555" s="100" t="s">
        <v>34</v>
      </c>
      <c r="D555" s="120">
        <v>139.9</v>
      </c>
      <c r="E555" s="401"/>
      <c r="F555" s="103">
        <v>2.0</v>
      </c>
      <c r="G555" s="103">
        <v>2.0</v>
      </c>
      <c r="H555" s="104">
        <f t="shared" si="1"/>
        <v>1</v>
      </c>
      <c r="I555" s="105">
        <f t="shared" si="2"/>
        <v>69.95</v>
      </c>
      <c r="J555" s="106">
        <f t="shared" si="3"/>
        <v>69.95</v>
      </c>
      <c r="K555" s="120">
        <v>0.0</v>
      </c>
      <c r="L555" s="103">
        <v>0.0</v>
      </c>
      <c r="M555" s="103">
        <v>0.0</v>
      </c>
      <c r="N555" s="121">
        <v>0.0</v>
      </c>
      <c r="O555" s="109" t="str">
        <f>(K555/N555)</f>
        <v>#DIV/0!</v>
      </c>
      <c r="P555" s="110" t="str">
        <f t="shared" si="5"/>
        <v>#DIV/0!</v>
      </c>
      <c r="Q555" s="109">
        <f t="shared" si="6"/>
        <v>0</v>
      </c>
      <c r="R555" s="111">
        <f t="shared" si="7"/>
        <v>0</v>
      </c>
      <c r="S555" s="122">
        <f t="shared" si="153"/>
        <v>139.9</v>
      </c>
      <c r="T555" s="113" t="str">
        <f t="shared" si="9"/>
        <v>#DIV/0!</v>
      </c>
      <c r="U555" s="172"/>
      <c r="V555" s="172"/>
      <c r="W555" s="172"/>
      <c r="X555" s="172"/>
      <c r="Y555" s="173"/>
      <c r="Z555" s="165"/>
      <c r="AA555" s="165"/>
    </row>
    <row r="556" hidden="1" outlineLevel="1">
      <c r="A556" s="165"/>
      <c r="B556" s="174"/>
      <c r="C556" s="100" t="s">
        <v>35</v>
      </c>
      <c r="D556" s="120">
        <v>239.8</v>
      </c>
      <c r="E556" s="401"/>
      <c r="F556" s="103">
        <v>4.0</v>
      </c>
      <c r="G556" s="103">
        <v>4.0</v>
      </c>
      <c r="H556" s="104">
        <f t="shared" si="1"/>
        <v>1</v>
      </c>
      <c r="I556" s="105">
        <f t="shared" si="2"/>
        <v>59.95</v>
      </c>
      <c r="J556" s="106">
        <f t="shared" si="3"/>
        <v>59.95</v>
      </c>
      <c r="K556" s="120">
        <v>74.16</v>
      </c>
      <c r="L556" s="103">
        <v>7744.0</v>
      </c>
      <c r="M556" s="103">
        <v>2.0</v>
      </c>
      <c r="N556" s="121">
        <v>119.9</v>
      </c>
      <c r="O556" s="109">
        <f t="shared" ref="O556:O572" si="154">K556/N556</f>
        <v>0.6185154295</v>
      </c>
      <c r="P556" s="110">
        <f t="shared" si="5"/>
        <v>1.616774542</v>
      </c>
      <c r="Q556" s="109">
        <f t="shared" si="6"/>
        <v>0.3092577148</v>
      </c>
      <c r="R556" s="111">
        <f t="shared" si="7"/>
        <v>0.5</v>
      </c>
      <c r="S556" s="122">
        <f t="shared" si="153"/>
        <v>119.9</v>
      </c>
      <c r="T556" s="113">
        <f t="shared" si="9"/>
        <v>37.08</v>
      </c>
      <c r="U556" s="172"/>
      <c r="V556" s="172"/>
      <c r="W556" s="172"/>
      <c r="X556" s="172"/>
      <c r="Y556" s="173"/>
      <c r="Z556" s="165"/>
      <c r="AA556" s="165"/>
    </row>
    <row r="557" hidden="1" outlineLevel="1">
      <c r="A557" s="165"/>
      <c r="B557" s="174"/>
      <c r="C557" s="100" t="s">
        <v>65</v>
      </c>
      <c r="D557" s="300">
        <v>0.0</v>
      </c>
      <c r="E557" s="401"/>
      <c r="F557" s="103">
        <v>0.0</v>
      </c>
      <c r="G557" s="103">
        <v>0.0</v>
      </c>
      <c r="H557" s="104" t="str">
        <f t="shared" si="1"/>
        <v>#DIV/0!</v>
      </c>
      <c r="I557" s="105" t="str">
        <f t="shared" si="2"/>
        <v>#DIV/0!</v>
      </c>
      <c r="J557" s="106" t="str">
        <f t="shared" si="3"/>
        <v>#DIV/0!</v>
      </c>
      <c r="K557" s="300">
        <v>0.0</v>
      </c>
      <c r="L557" s="103">
        <v>0.0</v>
      </c>
      <c r="M557" s="103">
        <v>0.0</v>
      </c>
      <c r="N557" s="300">
        <v>0.0</v>
      </c>
      <c r="O557" s="109" t="str">
        <f t="shared" si="154"/>
        <v>#DIV/0!</v>
      </c>
      <c r="P557" s="110" t="str">
        <f t="shared" si="5"/>
        <v>#DIV/0!</v>
      </c>
      <c r="Q557" s="109" t="str">
        <f t="shared" si="6"/>
        <v>#DIV/0!</v>
      </c>
      <c r="R557" s="111" t="str">
        <f t="shared" si="7"/>
        <v>#DIV/0!</v>
      </c>
      <c r="S557" s="122">
        <f t="shared" si="153"/>
        <v>0</v>
      </c>
      <c r="T557" s="113" t="str">
        <f t="shared" si="9"/>
        <v>#DIV/0!</v>
      </c>
      <c r="U557" s="172"/>
      <c r="V557" s="172"/>
      <c r="W557" s="172"/>
      <c r="X557" s="172"/>
      <c r="Y557" s="173"/>
      <c r="Z557" s="165"/>
      <c r="AA557" s="165"/>
    </row>
    <row r="558" hidden="1" outlineLevel="1">
      <c r="A558" s="165"/>
      <c r="B558" s="174"/>
      <c r="C558" s="100" t="s">
        <v>85</v>
      </c>
      <c r="D558" s="302">
        <v>0.0</v>
      </c>
      <c r="E558" s="401"/>
      <c r="F558" s="103">
        <v>0.0</v>
      </c>
      <c r="G558" s="103">
        <v>0.0</v>
      </c>
      <c r="H558" s="104" t="str">
        <f t="shared" si="1"/>
        <v>#DIV/0!</v>
      </c>
      <c r="I558" s="105" t="str">
        <f t="shared" si="2"/>
        <v>#DIV/0!</v>
      </c>
      <c r="J558" s="106" t="str">
        <f t="shared" si="3"/>
        <v>#DIV/0!</v>
      </c>
      <c r="K558" s="302">
        <v>67.21</v>
      </c>
      <c r="L558" s="103">
        <v>7724.0</v>
      </c>
      <c r="M558" s="103">
        <v>1.0</v>
      </c>
      <c r="N558" s="303">
        <v>59.95</v>
      </c>
      <c r="O558" s="109">
        <f t="shared" si="154"/>
        <v>1.121100917</v>
      </c>
      <c r="P558" s="110">
        <f t="shared" si="5"/>
        <v>0.8919803601</v>
      </c>
      <c r="Q558" s="109" t="str">
        <f t="shared" si="6"/>
        <v>#DIV/0!</v>
      </c>
      <c r="R558" s="111" t="str">
        <f t="shared" si="7"/>
        <v>#DIV/0!</v>
      </c>
      <c r="S558" s="304">
        <f t="shared" si="153"/>
        <v>-59.95</v>
      </c>
      <c r="T558" s="113">
        <f t="shared" si="9"/>
        <v>67.21</v>
      </c>
      <c r="U558" s="172"/>
      <c r="V558" s="172"/>
      <c r="W558" s="172"/>
      <c r="X558" s="172"/>
      <c r="Y558" s="173"/>
      <c r="Z558" s="165"/>
      <c r="AA558" s="165"/>
    </row>
    <row r="559" hidden="1" outlineLevel="1">
      <c r="A559" s="165"/>
      <c r="B559" s="174"/>
      <c r="C559" s="100" t="s">
        <v>36</v>
      </c>
      <c r="D559" s="120">
        <v>239.8</v>
      </c>
      <c r="E559" s="401"/>
      <c r="F559" s="103">
        <v>4.0</v>
      </c>
      <c r="G559" s="103">
        <v>4.0</v>
      </c>
      <c r="H559" s="104">
        <f t="shared" si="1"/>
        <v>1</v>
      </c>
      <c r="I559" s="105">
        <f t="shared" si="2"/>
        <v>59.95</v>
      </c>
      <c r="J559" s="106">
        <f t="shared" si="3"/>
        <v>59.95</v>
      </c>
      <c r="K559" s="120">
        <v>9.28</v>
      </c>
      <c r="L559" s="103">
        <v>2048.0</v>
      </c>
      <c r="M559" s="103">
        <v>0.0</v>
      </c>
      <c r="N559" s="121">
        <v>0.0</v>
      </c>
      <c r="O559" s="109" t="str">
        <f t="shared" si="154"/>
        <v>#DIV/0!</v>
      </c>
      <c r="P559" s="110">
        <f t="shared" si="5"/>
        <v>0</v>
      </c>
      <c r="Q559" s="109">
        <f t="shared" si="6"/>
        <v>0.03869891576</v>
      </c>
      <c r="R559" s="111">
        <f t="shared" si="7"/>
        <v>0</v>
      </c>
      <c r="S559" s="122">
        <f t="shared" si="153"/>
        <v>239.8</v>
      </c>
      <c r="T559" s="113" t="str">
        <f t="shared" si="9"/>
        <v>#DIV/0!</v>
      </c>
      <c r="U559" s="172"/>
      <c r="V559" s="172"/>
      <c r="W559" s="172"/>
      <c r="X559" s="172"/>
      <c r="Y559" s="173"/>
      <c r="Z559" s="165"/>
      <c r="AA559" s="165"/>
    </row>
    <row r="560" hidden="1" outlineLevel="1">
      <c r="A560" s="165"/>
      <c r="B560" s="99" t="s">
        <v>37</v>
      </c>
      <c r="C560" s="100" t="s">
        <v>38</v>
      </c>
      <c r="D560" s="123">
        <v>65.9</v>
      </c>
      <c r="E560" s="401"/>
      <c r="F560" s="103">
        <v>3.0</v>
      </c>
      <c r="G560" s="103">
        <v>4.0</v>
      </c>
      <c r="H560" s="104">
        <f t="shared" si="1"/>
        <v>0.75</v>
      </c>
      <c r="I560" s="105">
        <f t="shared" si="2"/>
        <v>21.96666667</v>
      </c>
      <c r="J560" s="106">
        <f t="shared" si="3"/>
        <v>29.28888889</v>
      </c>
      <c r="K560" s="123">
        <v>37.81</v>
      </c>
      <c r="L560" s="103">
        <v>8987.0</v>
      </c>
      <c r="M560" s="103">
        <v>2.0</v>
      </c>
      <c r="N560" s="124">
        <v>51.92</v>
      </c>
      <c r="O560" s="109">
        <f t="shared" si="154"/>
        <v>0.7282357473</v>
      </c>
      <c r="P560" s="110">
        <f t="shared" si="5"/>
        <v>1.373181698</v>
      </c>
      <c r="Q560" s="109">
        <f t="shared" si="6"/>
        <v>0.5737481032</v>
      </c>
      <c r="R560" s="111">
        <f t="shared" si="7"/>
        <v>0.7878603945</v>
      </c>
      <c r="S560" s="125">
        <f t="shared" si="153"/>
        <v>13.98</v>
      </c>
      <c r="T560" s="113">
        <f t="shared" si="9"/>
        <v>18.905</v>
      </c>
      <c r="U560" s="172"/>
      <c r="V560" s="172"/>
      <c r="W560" s="172"/>
      <c r="X560" s="172"/>
      <c r="Y560" s="173"/>
      <c r="Z560" s="165"/>
      <c r="AA560" s="165"/>
    </row>
    <row r="561" hidden="1" outlineLevel="1">
      <c r="A561" s="165"/>
      <c r="B561" s="174"/>
      <c r="C561" s="100" t="s">
        <v>39</v>
      </c>
      <c r="D561" s="126">
        <v>0.0</v>
      </c>
      <c r="E561" s="401"/>
      <c r="F561" s="103">
        <v>0.0</v>
      </c>
      <c r="G561" s="103">
        <v>0.0</v>
      </c>
      <c r="H561" s="104" t="str">
        <f t="shared" si="1"/>
        <v>#DIV/0!</v>
      </c>
      <c r="I561" s="105" t="str">
        <f t="shared" si="2"/>
        <v>#DIV/0!</v>
      </c>
      <c r="J561" s="106" t="str">
        <f t="shared" si="3"/>
        <v>#DIV/0!</v>
      </c>
      <c r="K561" s="126">
        <v>0.0</v>
      </c>
      <c r="L561" s="103">
        <v>0.0</v>
      </c>
      <c r="M561" s="103">
        <v>0.0</v>
      </c>
      <c r="N561" s="127">
        <v>0.0</v>
      </c>
      <c r="O561" s="109" t="str">
        <f t="shared" si="154"/>
        <v>#DIV/0!</v>
      </c>
      <c r="P561" s="110" t="str">
        <f t="shared" si="5"/>
        <v>#DIV/0!</v>
      </c>
      <c r="Q561" s="109" t="str">
        <f t="shared" si="6"/>
        <v>#DIV/0!</v>
      </c>
      <c r="R561" s="111" t="str">
        <f t="shared" si="7"/>
        <v>#DIV/0!</v>
      </c>
      <c r="S561" s="128">
        <f t="shared" si="153"/>
        <v>0</v>
      </c>
      <c r="T561" s="113" t="str">
        <f t="shared" si="9"/>
        <v>#DIV/0!</v>
      </c>
      <c r="U561" s="172"/>
      <c r="V561" s="172"/>
      <c r="W561" s="172"/>
      <c r="X561" s="172"/>
      <c r="Y561" s="173"/>
      <c r="Z561" s="165"/>
      <c r="AA561" s="165"/>
    </row>
    <row r="562" hidden="1" outlineLevel="1">
      <c r="A562" s="165"/>
      <c r="B562" s="174"/>
      <c r="C562" s="100" t="s">
        <v>40</v>
      </c>
      <c r="D562" s="129">
        <v>879.2</v>
      </c>
      <c r="E562" s="401"/>
      <c r="F562" s="103">
        <v>16.0</v>
      </c>
      <c r="G562" s="103">
        <v>9.0</v>
      </c>
      <c r="H562" s="104">
        <f t="shared" si="1"/>
        <v>1.777777778</v>
      </c>
      <c r="I562" s="105">
        <f t="shared" si="2"/>
        <v>54.95</v>
      </c>
      <c r="J562" s="106">
        <f t="shared" si="3"/>
        <v>30.909375</v>
      </c>
      <c r="K562" s="129">
        <v>0.0</v>
      </c>
      <c r="L562" s="103">
        <v>0.0</v>
      </c>
      <c r="M562" s="103">
        <v>0.0</v>
      </c>
      <c r="N562" s="130">
        <v>0.0</v>
      </c>
      <c r="O562" s="109" t="str">
        <f t="shared" si="154"/>
        <v>#DIV/0!</v>
      </c>
      <c r="P562" s="110" t="str">
        <f t="shared" si="5"/>
        <v>#DIV/0!</v>
      </c>
      <c r="Q562" s="109">
        <f t="shared" si="6"/>
        <v>0</v>
      </c>
      <c r="R562" s="111">
        <f t="shared" si="7"/>
        <v>0</v>
      </c>
      <c r="S562" s="131">
        <f t="shared" si="153"/>
        <v>879.2</v>
      </c>
      <c r="T562" s="113" t="str">
        <f t="shared" si="9"/>
        <v>#DIV/0!</v>
      </c>
      <c r="U562" s="172"/>
      <c r="V562" s="172"/>
      <c r="W562" s="172"/>
      <c r="X562" s="172"/>
      <c r="Y562" s="173"/>
      <c r="Z562" s="165"/>
      <c r="AA562" s="165"/>
    </row>
    <row r="563" hidden="1" outlineLevel="1">
      <c r="A563" s="165"/>
      <c r="B563" s="174"/>
      <c r="C563" s="100" t="s">
        <v>41</v>
      </c>
      <c r="D563" s="132">
        <v>1054.62</v>
      </c>
      <c r="E563" s="401"/>
      <c r="F563" s="103">
        <v>11.0</v>
      </c>
      <c r="G563" s="103">
        <v>11.0</v>
      </c>
      <c r="H563" s="104">
        <f t="shared" si="1"/>
        <v>1</v>
      </c>
      <c r="I563" s="105">
        <f t="shared" si="2"/>
        <v>95.87454545</v>
      </c>
      <c r="J563" s="106">
        <f t="shared" si="3"/>
        <v>95.87454545</v>
      </c>
      <c r="K563" s="132">
        <v>128.59</v>
      </c>
      <c r="L563" s="103">
        <v>21330.0</v>
      </c>
      <c r="M563" s="103">
        <v>5.0</v>
      </c>
      <c r="N563" s="133">
        <v>512.66</v>
      </c>
      <c r="O563" s="109">
        <f t="shared" si="154"/>
        <v>0.2508290095</v>
      </c>
      <c r="P563" s="110">
        <f t="shared" si="5"/>
        <v>3.986779687</v>
      </c>
      <c r="Q563" s="109">
        <f t="shared" si="6"/>
        <v>0.1219301739</v>
      </c>
      <c r="R563" s="111">
        <f t="shared" si="7"/>
        <v>0.4861087406</v>
      </c>
      <c r="S563" s="134">
        <f t="shared" si="153"/>
        <v>541.96</v>
      </c>
      <c r="T563" s="113">
        <f t="shared" si="9"/>
        <v>25.718</v>
      </c>
      <c r="U563" s="172"/>
      <c r="V563" s="172"/>
      <c r="W563" s="172"/>
      <c r="X563" s="172"/>
      <c r="Y563" s="173"/>
      <c r="Z563" s="165"/>
      <c r="AA563" s="165"/>
    </row>
    <row r="564" hidden="1" outlineLevel="1">
      <c r="A564" s="165"/>
      <c r="B564" s="174"/>
      <c r="C564" s="100" t="s">
        <v>42</v>
      </c>
      <c r="D564" s="120">
        <v>0.0</v>
      </c>
      <c r="E564" s="401"/>
      <c r="F564" s="103">
        <v>0.0</v>
      </c>
      <c r="G564" s="103">
        <v>1.0</v>
      </c>
      <c r="H564" s="104">
        <f t="shared" si="1"/>
        <v>0</v>
      </c>
      <c r="I564" s="105" t="str">
        <f t="shared" si="2"/>
        <v>#DIV/0!</v>
      </c>
      <c r="J564" s="106" t="str">
        <f t="shared" si="3"/>
        <v>#DIV/0!</v>
      </c>
      <c r="K564" s="120">
        <v>5.17</v>
      </c>
      <c r="L564" s="103">
        <v>17908.0</v>
      </c>
      <c r="M564" s="103">
        <v>1.0</v>
      </c>
      <c r="N564" s="121">
        <v>19.99</v>
      </c>
      <c r="O564" s="109">
        <f t="shared" si="154"/>
        <v>0.2586293147</v>
      </c>
      <c r="P564" s="110">
        <f t="shared" si="5"/>
        <v>3.866537718</v>
      </c>
      <c r="Q564" s="109" t="str">
        <f t="shared" si="6"/>
        <v>#DIV/0!</v>
      </c>
      <c r="R564" s="111" t="str">
        <f t="shared" si="7"/>
        <v>#DIV/0!</v>
      </c>
      <c r="S564" s="122">
        <f t="shared" si="153"/>
        <v>-19.99</v>
      </c>
      <c r="T564" s="113">
        <f t="shared" si="9"/>
        <v>5.17</v>
      </c>
      <c r="U564" s="172"/>
      <c r="V564" s="172"/>
      <c r="W564" s="172"/>
      <c r="X564" s="172"/>
      <c r="Y564" s="173"/>
      <c r="Z564" s="165"/>
      <c r="AA564" s="165"/>
    </row>
    <row r="565" hidden="1" outlineLevel="1">
      <c r="A565" s="165"/>
      <c r="B565" s="174"/>
      <c r="C565" s="100" t="s">
        <v>43</v>
      </c>
      <c r="D565" s="135">
        <v>135.96</v>
      </c>
      <c r="E565" s="401"/>
      <c r="F565" s="103">
        <v>1.0</v>
      </c>
      <c r="G565" s="103">
        <v>1.0</v>
      </c>
      <c r="H565" s="104">
        <f t="shared" si="1"/>
        <v>1</v>
      </c>
      <c r="I565" s="105">
        <f t="shared" si="2"/>
        <v>135.96</v>
      </c>
      <c r="J565" s="106">
        <f t="shared" si="3"/>
        <v>135.96</v>
      </c>
      <c r="K565" s="135">
        <v>40.85</v>
      </c>
      <c r="L565" s="103">
        <v>13445.0</v>
      </c>
      <c r="M565" s="103">
        <v>0.0</v>
      </c>
      <c r="N565" s="136">
        <v>0.0</v>
      </c>
      <c r="O565" s="109" t="str">
        <f t="shared" si="154"/>
        <v>#DIV/0!</v>
      </c>
      <c r="P565" s="110">
        <f t="shared" si="5"/>
        <v>0</v>
      </c>
      <c r="Q565" s="109">
        <f t="shared" si="6"/>
        <v>0.3004560165</v>
      </c>
      <c r="R565" s="111">
        <f t="shared" si="7"/>
        <v>0</v>
      </c>
      <c r="S565" s="137">
        <f t="shared" si="153"/>
        <v>135.96</v>
      </c>
      <c r="T565" s="113" t="str">
        <f t="shared" si="9"/>
        <v>#DIV/0!</v>
      </c>
      <c r="U565" s="172"/>
      <c r="V565" s="172"/>
      <c r="W565" s="172"/>
      <c r="X565" s="172"/>
      <c r="Y565" s="173"/>
      <c r="Z565" s="165"/>
      <c r="AA565" s="165"/>
    </row>
    <row r="566" hidden="1" outlineLevel="1">
      <c r="A566" s="165"/>
      <c r="B566" s="174"/>
      <c r="C566" s="100" t="s">
        <v>44</v>
      </c>
      <c r="D566" s="138">
        <v>134.85</v>
      </c>
      <c r="E566" s="401"/>
      <c r="F566" s="103">
        <v>3.0</v>
      </c>
      <c r="G566" s="103">
        <v>3.0</v>
      </c>
      <c r="H566" s="104">
        <f t="shared" si="1"/>
        <v>1</v>
      </c>
      <c r="I566" s="105">
        <f t="shared" si="2"/>
        <v>44.95</v>
      </c>
      <c r="J566" s="106">
        <f t="shared" si="3"/>
        <v>44.95</v>
      </c>
      <c r="K566" s="138">
        <v>57.75</v>
      </c>
      <c r="L566" s="103">
        <v>34709.0</v>
      </c>
      <c r="M566" s="103">
        <v>2.0</v>
      </c>
      <c r="N566" s="139">
        <v>89.9</v>
      </c>
      <c r="O566" s="109">
        <f t="shared" si="154"/>
        <v>0.6423804227</v>
      </c>
      <c r="P566" s="110">
        <f t="shared" si="5"/>
        <v>1.556709957</v>
      </c>
      <c r="Q566" s="109">
        <f t="shared" si="6"/>
        <v>0.4282536151</v>
      </c>
      <c r="R566" s="111">
        <f t="shared" si="7"/>
        <v>0.6666666667</v>
      </c>
      <c r="S566" s="140">
        <f t="shared" si="153"/>
        <v>44.95</v>
      </c>
      <c r="T566" s="113">
        <f t="shared" si="9"/>
        <v>28.875</v>
      </c>
      <c r="U566" s="172"/>
      <c r="V566" s="172"/>
      <c r="W566" s="172"/>
      <c r="X566" s="172"/>
      <c r="Y566" s="173"/>
      <c r="Z566" s="165"/>
      <c r="AA566" s="165"/>
    </row>
    <row r="567" hidden="1" outlineLevel="1">
      <c r="A567" s="192"/>
      <c r="B567" s="174"/>
      <c r="C567" s="142" t="s">
        <v>45</v>
      </c>
      <c r="D567" s="101">
        <v>59.85</v>
      </c>
      <c r="E567" s="401"/>
      <c r="F567" s="103">
        <v>3.0</v>
      </c>
      <c r="G567" s="103">
        <v>1.0</v>
      </c>
      <c r="H567" s="104">
        <f t="shared" si="1"/>
        <v>3</v>
      </c>
      <c r="I567" s="105">
        <f t="shared" si="2"/>
        <v>19.95</v>
      </c>
      <c r="J567" s="106">
        <f t="shared" si="3"/>
        <v>6.65</v>
      </c>
      <c r="K567" s="101">
        <v>0.0</v>
      </c>
      <c r="L567" s="103">
        <v>0.0</v>
      </c>
      <c r="M567" s="103">
        <v>0.0</v>
      </c>
      <c r="N567" s="108">
        <v>0.0</v>
      </c>
      <c r="O567" s="109" t="str">
        <f t="shared" si="154"/>
        <v>#DIV/0!</v>
      </c>
      <c r="P567" s="110" t="str">
        <f t="shared" si="5"/>
        <v>#DIV/0!</v>
      </c>
      <c r="Q567" s="109">
        <f t="shared" si="6"/>
        <v>0</v>
      </c>
      <c r="R567" s="111">
        <f t="shared" si="7"/>
        <v>0</v>
      </c>
      <c r="S567" s="112">
        <f t="shared" si="153"/>
        <v>59.85</v>
      </c>
      <c r="T567" s="113" t="str">
        <f t="shared" si="9"/>
        <v>#DIV/0!</v>
      </c>
      <c r="U567" s="193"/>
      <c r="V567" s="193"/>
      <c r="W567" s="193"/>
      <c r="X567" s="194"/>
      <c r="Y567" s="195"/>
      <c r="Z567" s="165"/>
      <c r="AA567" s="165"/>
    </row>
    <row r="568" hidden="1" outlineLevel="1">
      <c r="A568" s="165"/>
      <c r="B568" s="174"/>
      <c r="C568" s="100" t="s">
        <v>46</v>
      </c>
      <c r="D568" s="146">
        <v>623.3</v>
      </c>
      <c r="E568" s="401"/>
      <c r="F568" s="103">
        <v>14.0</v>
      </c>
      <c r="G568" s="103">
        <v>15.0</v>
      </c>
      <c r="H568" s="104">
        <f t="shared" si="1"/>
        <v>0.9333333333</v>
      </c>
      <c r="I568" s="105">
        <f t="shared" si="2"/>
        <v>44.52142857</v>
      </c>
      <c r="J568" s="106">
        <f t="shared" si="3"/>
        <v>47.70153061</v>
      </c>
      <c r="K568" s="146">
        <v>106.58</v>
      </c>
      <c r="L568" s="103">
        <v>20334.0</v>
      </c>
      <c r="M568" s="103">
        <v>5.0</v>
      </c>
      <c r="N568" s="147">
        <v>175.8</v>
      </c>
      <c r="O568" s="109">
        <f t="shared" si="154"/>
        <v>0.6062571104</v>
      </c>
      <c r="P568" s="110">
        <f t="shared" si="5"/>
        <v>1.64946519</v>
      </c>
      <c r="Q568" s="109">
        <f t="shared" si="6"/>
        <v>0.1709931012</v>
      </c>
      <c r="R568" s="111">
        <f t="shared" si="7"/>
        <v>0.2820471683</v>
      </c>
      <c r="S568" s="112">
        <f t="shared" si="153"/>
        <v>447.5</v>
      </c>
      <c r="T568" s="113">
        <f t="shared" si="9"/>
        <v>21.316</v>
      </c>
      <c r="U568" s="172"/>
      <c r="V568" s="172"/>
      <c r="W568" s="172"/>
      <c r="X568" s="172"/>
      <c r="Y568" s="173"/>
      <c r="Z568" s="165"/>
      <c r="AA568" s="165"/>
    </row>
    <row r="569" hidden="1" outlineLevel="1">
      <c r="A569" s="148" t="str">
        <f t="shared" ref="A569:A570" si="155">iferror(if(B569&gt;0,month(B569)&amp;"-"&amp;year(B569),B569),)</f>
        <v>7-2025</v>
      </c>
      <c r="B569" s="99">
        <v>45857.0</v>
      </c>
      <c r="C569" s="100" t="s">
        <v>49</v>
      </c>
      <c r="D569" s="146">
        <v>439.5</v>
      </c>
      <c r="E569" s="401"/>
      <c r="F569" s="103">
        <v>9.0</v>
      </c>
      <c r="G569" s="103">
        <v>9.0</v>
      </c>
      <c r="H569" s="104">
        <f t="shared" si="1"/>
        <v>1</v>
      </c>
      <c r="I569" s="105">
        <f t="shared" si="2"/>
        <v>48.83333333</v>
      </c>
      <c r="J569" s="106">
        <f t="shared" si="3"/>
        <v>48.83333333</v>
      </c>
      <c r="K569" s="146">
        <v>1.14</v>
      </c>
      <c r="L569" s="103">
        <v>4859.0</v>
      </c>
      <c r="M569" s="103">
        <v>0.0</v>
      </c>
      <c r="N569" s="147">
        <v>0.0</v>
      </c>
      <c r="O569" s="109" t="str">
        <f t="shared" si="154"/>
        <v>#DIV/0!</v>
      </c>
      <c r="P569" s="110">
        <f t="shared" si="5"/>
        <v>0</v>
      </c>
      <c r="Q569" s="109">
        <f t="shared" si="6"/>
        <v>0.002593856655</v>
      </c>
      <c r="R569" s="111">
        <f t="shared" si="7"/>
        <v>0</v>
      </c>
      <c r="S569" s="112">
        <f t="shared" si="153"/>
        <v>439.5</v>
      </c>
      <c r="T569" s="113" t="str">
        <f t="shared" si="9"/>
        <v>#DIV/0!</v>
      </c>
      <c r="U569" s="172"/>
      <c r="V569" s="172"/>
      <c r="W569" s="172"/>
      <c r="X569" s="172"/>
      <c r="Y569" s="173"/>
      <c r="Z569" s="165"/>
      <c r="AA569" s="165"/>
    </row>
    <row r="570" collapsed="1">
      <c r="A570" s="165" t="str">
        <f t="shared" si="155"/>
        <v/>
      </c>
      <c r="B570" s="80" t="s">
        <v>116</v>
      </c>
      <c r="C570" s="201"/>
      <c r="D570" s="151">
        <f>SUM(D553:D569)</f>
        <v>17806.84</v>
      </c>
      <c r="E570" s="400"/>
      <c r="F570" s="153">
        <f t="shared" ref="F570:G570" si="156">SUM(F553:F569)</f>
        <v>169</v>
      </c>
      <c r="G570" s="153">
        <f t="shared" si="156"/>
        <v>163</v>
      </c>
      <c r="H570" s="154">
        <f t="shared" si="1"/>
        <v>1.036809816</v>
      </c>
      <c r="I570" s="155">
        <f t="shared" si="2"/>
        <v>105.3659172</v>
      </c>
      <c r="J570" s="156">
        <f t="shared" si="3"/>
        <v>101.6251154</v>
      </c>
      <c r="K570" s="151">
        <f t="shared" ref="K570:N570" si="157">SUM(K553:K569)</f>
        <v>1750.1</v>
      </c>
      <c r="L570" s="153">
        <f t="shared" si="157"/>
        <v>447017</v>
      </c>
      <c r="M570" s="153">
        <f t="shared" si="157"/>
        <v>45</v>
      </c>
      <c r="N570" s="157">
        <f t="shared" si="157"/>
        <v>6348.47</v>
      </c>
      <c r="O570" s="158">
        <f t="shared" si="154"/>
        <v>0.2756727211</v>
      </c>
      <c r="P570" s="159">
        <f t="shared" si="5"/>
        <v>3.627489858</v>
      </c>
      <c r="Q570" s="158">
        <f t="shared" si="6"/>
        <v>0.09828245775</v>
      </c>
      <c r="R570" s="160">
        <f t="shared" si="7"/>
        <v>0.3565186187</v>
      </c>
      <c r="S570" s="161">
        <f>SUM(S553:S569)</f>
        <v>11458.37</v>
      </c>
      <c r="T570" s="162">
        <f t="shared" si="9"/>
        <v>38.89111111</v>
      </c>
      <c r="U570" s="163">
        <f>IFERROR((D570-D246)/D570,)</f>
        <v>0.5742467501</v>
      </c>
      <c r="V570" s="163">
        <f>IFERROR((F570-F246)/F570,)</f>
        <v>0.4437869822</v>
      </c>
      <c r="W570" s="398" t="str">
        <f>IFERROR((D570-monthly_reporting_2021!E361)/D570, )</f>
        <v/>
      </c>
      <c r="X570" s="398" t="str">
        <f>IFERROR((F570-monthly_reporting_2021!F361)/F570, )</f>
        <v/>
      </c>
      <c r="Y570" s="165"/>
      <c r="Z570" s="165"/>
      <c r="AA570" s="165"/>
    </row>
    <row r="571" hidden="1" outlineLevel="1">
      <c r="A571" s="165"/>
      <c r="B571" s="99">
        <v>45858.0</v>
      </c>
      <c r="C571" s="100" t="s">
        <v>32</v>
      </c>
      <c r="D571" s="101">
        <v>530.64</v>
      </c>
      <c r="E571" s="401"/>
      <c r="F571" s="103">
        <v>8.0</v>
      </c>
      <c r="G571" s="103">
        <v>7.0</v>
      </c>
      <c r="H571" s="104">
        <f t="shared" si="1"/>
        <v>1.142857143</v>
      </c>
      <c r="I571" s="105">
        <f t="shared" si="2"/>
        <v>66.33</v>
      </c>
      <c r="J571" s="106">
        <f t="shared" si="3"/>
        <v>58.03875</v>
      </c>
      <c r="K571" s="107">
        <v>652.89</v>
      </c>
      <c r="L571" s="103">
        <v>94474.0</v>
      </c>
      <c r="M571" s="103">
        <v>4.0</v>
      </c>
      <c r="N571" s="108">
        <v>59.95</v>
      </c>
      <c r="O571" s="109">
        <f t="shared" si="154"/>
        <v>10.89057548</v>
      </c>
      <c r="P571" s="110">
        <f t="shared" si="5"/>
        <v>0.09182251221</v>
      </c>
      <c r="Q571" s="109">
        <f t="shared" si="6"/>
        <v>1.23038218</v>
      </c>
      <c r="R571" s="111">
        <f t="shared" si="7"/>
        <v>0.1129767828</v>
      </c>
      <c r="S571" s="112">
        <f t="shared" ref="S571:S587" si="158">D571-N571</f>
        <v>470.69</v>
      </c>
      <c r="T571" s="113">
        <f t="shared" si="9"/>
        <v>163.2225</v>
      </c>
      <c r="U571" s="172"/>
      <c r="V571" s="172"/>
      <c r="W571" s="172"/>
      <c r="X571" s="172"/>
      <c r="Y571" s="173"/>
      <c r="Z571" s="165"/>
      <c r="AA571" s="165"/>
    </row>
    <row r="572" hidden="1" outlineLevel="1">
      <c r="A572" s="165"/>
      <c r="B572" s="174"/>
      <c r="C572" s="100" t="s">
        <v>33</v>
      </c>
      <c r="D572" s="117">
        <v>752.25</v>
      </c>
      <c r="E572" s="401"/>
      <c r="F572" s="103">
        <v>33.0</v>
      </c>
      <c r="G572" s="103">
        <v>35.0</v>
      </c>
      <c r="H572" s="104">
        <f t="shared" si="1"/>
        <v>0.9428571429</v>
      </c>
      <c r="I572" s="105">
        <f t="shared" si="2"/>
        <v>22.79545455</v>
      </c>
      <c r="J572" s="106">
        <f t="shared" si="3"/>
        <v>24.17699725</v>
      </c>
      <c r="K572" s="117">
        <v>322.83</v>
      </c>
      <c r="L572" s="103">
        <v>135682.0</v>
      </c>
      <c r="M572" s="103">
        <v>8.0</v>
      </c>
      <c r="N572" s="118">
        <v>1029.75</v>
      </c>
      <c r="O572" s="109">
        <f t="shared" si="154"/>
        <v>0.3135032775</v>
      </c>
      <c r="P572" s="110">
        <f t="shared" si="5"/>
        <v>3.189759316</v>
      </c>
      <c r="Q572" s="109">
        <f t="shared" si="6"/>
        <v>0.4291525424</v>
      </c>
      <c r="R572" s="111">
        <f t="shared" si="7"/>
        <v>1.36889332</v>
      </c>
      <c r="S572" s="119">
        <f t="shared" si="158"/>
        <v>-277.5</v>
      </c>
      <c r="T572" s="113">
        <f t="shared" si="9"/>
        <v>40.35375</v>
      </c>
      <c r="U572" s="172"/>
      <c r="V572" s="172"/>
      <c r="W572" s="172"/>
      <c r="X572" s="172"/>
      <c r="Y572" s="173"/>
      <c r="Z572" s="165"/>
      <c r="AA572" s="165"/>
    </row>
    <row r="573" hidden="1" outlineLevel="1">
      <c r="A573" s="165"/>
      <c r="B573" s="174"/>
      <c r="C573" s="100" t="s">
        <v>34</v>
      </c>
      <c r="D573" s="120">
        <v>0.0</v>
      </c>
      <c r="E573" s="401"/>
      <c r="F573" s="103">
        <v>0.0</v>
      </c>
      <c r="G573" s="103">
        <v>0.0</v>
      </c>
      <c r="H573" s="104" t="str">
        <f t="shared" si="1"/>
        <v>#DIV/0!</v>
      </c>
      <c r="I573" s="105" t="str">
        <f t="shared" si="2"/>
        <v>#DIV/0!</v>
      </c>
      <c r="J573" s="106" t="str">
        <f t="shared" si="3"/>
        <v>#DIV/0!</v>
      </c>
      <c r="K573" s="120">
        <v>1.01</v>
      </c>
      <c r="L573" s="103">
        <v>4.0</v>
      </c>
      <c r="M573" s="103">
        <v>0.0</v>
      </c>
      <c r="N573" s="121">
        <v>0.0</v>
      </c>
      <c r="O573" s="109" t="str">
        <f>(K573/N573)</f>
        <v>#DIV/0!</v>
      </c>
      <c r="P573" s="110">
        <f t="shared" si="5"/>
        <v>0</v>
      </c>
      <c r="Q573" s="109" t="str">
        <f t="shared" si="6"/>
        <v>#DIV/0!</v>
      </c>
      <c r="R573" s="111" t="str">
        <f t="shared" si="7"/>
        <v>#DIV/0!</v>
      </c>
      <c r="S573" s="122">
        <f t="shared" si="158"/>
        <v>0</v>
      </c>
      <c r="T573" s="113" t="str">
        <f t="shared" si="9"/>
        <v>#DIV/0!</v>
      </c>
      <c r="U573" s="172"/>
      <c r="V573" s="172"/>
      <c r="W573" s="172"/>
      <c r="X573" s="172"/>
      <c r="Y573" s="173"/>
      <c r="Z573" s="165"/>
      <c r="AA573" s="165"/>
    </row>
    <row r="574" hidden="1" outlineLevel="1">
      <c r="A574" s="165"/>
      <c r="B574" s="174"/>
      <c r="C574" s="100" t="s">
        <v>35</v>
      </c>
      <c r="D574" s="120">
        <v>239.8</v>
      </c>
      <c r="E574" s="401"/>
      <c r="F574" s="103">
        <v>4.0</v>
      </c>
      <c r="G574" s="103">
        <v>4.0</v>
      </c>
      <c r="H574" s="104">
        <f t="shared" si="1"/>
        <v>1</v>
      </c>
      <c r="I574" s="105">
        <f t="shared" si="2"/>
        <v>59.95</v>
      </c>
      <c r="J574" s="106">
        <f t="shared" si="3"/>
        <v>59.95</v>
      </c>
      <c r="K574" s="120">
        <v>12.25</v>
      </c>
      <c r="L574" s="103">
        <v>5249.0</v>
      </c>
      <c r="M574" s="103">
        <v>0.0</v>
      </c>
      <c r="N574" s="121">
        <v>0.0</v>
      </c>
      <c r="O574" s="109" t="str">
        <f t="shared" ref="O574:O590" si="159">K574/N574</f>
        <v>#DIV/0!</v>
      </c>
      <c r="P574" s="110">
        <f t="shared" si="5"/>
        <v>0</v>
      </c>
      <c r="Q574" s="109">
        <f t="shared" si="6"/>
        <v>0.05108423686</v>
      </c>
      <c r="R574" s="111">
        <f t="shared" si="7"/>
        <v>0</v>
      </c>
      <c r="S574" s="122">
        <f t="shared" si="158"/>
        <v>239.8</v>
      </c>
      <c r="T574" s="113" t="str">
        <f t="shared" si="9"/>
        <v>#DIV/0!</v>
      </c>
      <c r="U574" s="172"/>
      <c r="V574" s="172"/>
      <c r="W574" s="172"/>
      <c r="X574" s="172"/>
      <c r="Y574" s="173"/>
      <c r="Z574" s="165"/>
      <c r="AA574" s="165"/>
    </row>
    <row r="575" hidden="1" outlineLevel="1">
      <c r="A575" s="165"/>
      <c r="B575" s="174"/>
      <c r="C575" s="100" t="s">
        <v>65</v>
      </c>
      <c r="D575" s="300">
        <v>0.0</v>
      </c>
      <c r="E575" s="401"/>
      <c r="F575" s="103">
        <v>0.0</v>
      </c>
      <c r="G575" s="103">
        <v>0.0</v>
      </c>
      <c r="H575" s="104" t="str">
        <f t="shared" si="1"/>
        <v>#DIV/0!</v>
      </c>
      <c r="I575" s="105" t="str">
        <f t="shared" si="2"/>
        <v>#DIV/0!</v>
      </c>
      <c r="J575" s="106" t="str">
        <f t="shared" si="3"/>
        <v>#DIV/0!</v>
      </c>
      <c r="K575" s="300">
        <v>0.0</v>
      </c>
      <c r="L575" s="103">
        <v>0.0</v>
      </c>
      <c r="M575" s="103">
        <v>0.0</v>
      </c>
      <c r="N575" s="300">
        <v>0.0</v>
      </c>
      <c r="O575" s="109" t="str">
        <f t="shared" si="159"/>
        <v>#DIV/0!</v>
      </c>
      <c r="P575" s="110" t="str">
        <f t="shared" si="5"/>
        <v>#DIV/0!</v>
      </c>
      <c r="Q575" s="109" t="str">
        <f t="shared" si="6"/>
        <v>#DIV/0!</v>
      </c>
      <c r="R575" s="111" t="str">
        <f t="shared" si="7"/>
        <v>#DIV/0!</v>
      </c>
      <c r="S575" s="122">
        <f t="shared" si="158"/>
        <v>0</v>
      </c>
      <c r="T575" s="113" t="str">
        <f t="shared" si="9"/>
        <v>#DIV/0!</v>
      </c>
      <c r="U575" s="172"/>
      <c r="V575" s="172"/>
      <c r="W575" s="172"/>
      <c r="X575" s="172"/>
      <c r="Y575" s="173"/>
      <c r="Z575" s="165"/>
      <c r="AA575" s="165"/>
    </row>
    <row r="576" hidden="1" outlineLevel="1">
      <c r="A576" s="165"/>
      <c r="B576" s="174"/>
      <c r="C576" s="100" t="s">
        <v>85</v>
      </c>
      <c r="D576" s="302">
        <v>0.0</v>
      </c>
      <c r="E576" s="401"/>
      <c r="F576" s="103">
        <v>0.0</v>
      </c>
      <c r="G576" s="103">
        <v>0.0</v>
      </c>
      <c r="H576" s="104" t="str">
        <f t="shared" si="1"/>
        <v>#DIV/0!</v>
      </c>
      <c r="I576" s="105" t="str">
        <f t="shared" si="2"/>
        <v>#DIV/0!</v>
      </c>
      <c r="J576" s="106" t="str">
        <f t="shared" si="3"/>
        <v>#DIV/0!</v>
      </c>
      <c r="K576" s="302">
        <v>0.0</v>
      </c>
      <c r="L576" s="103">
        <v>0.0</v>
      </c>
      <c r="M576" s="103">
        <v>0.0</v>
      </c>
      <c r="N576" s="303">
        <v>0.0</v>
      </c>
      <c r="O576" s="109" t="str">
        <f t="shared" si="159"/>
        <v>#DIV/0!</v>
      </c>
      <c r="P576" s="110" t="str">
        <f t="shared" si="5"/>
        <v>#DIV/0!</v>
      </c>
      <c r="Q576" s="109" t="str">
        <f t="shared" si="6"/>
        <v>#DIV/0!</v>
      </c>
      <c r="R576" s="111" t="str">
        <f t="shared" si="7"/>
        <v>#DIV/0!</v>
      </c>
      <c r="S576" s="304">
        <f t="shared" si="158"/>
        <v>0</v>
      </c>
      <c r="T576" s="113" t="str">
        <f t="shared" si="9"/>
        <v>#DIV/0!</v>
      </c>
      <c r="U576" s="172"/>
      <c r="V576" s="172"/>
      <c r="W576" s="172"/>
      <c r="X576" s="172"/>
      <c r="Y576" s="173"/>
      <c r="Z576" s="165"/>
      <c r="AA576" s="165"/>
    </row>
    <row r="577" hidden="1" outlineLevel="1">
      <c r="A577" s="165"/>
      <c r="B577" s="174"/>
      <c r="C577" s="100" t="s">
        <v>36</v>
      </c>
      <c r="D577" s="120">
        <v>119.9</v>
      </c>
      <c r="E577" s="401"/>
      <c r="F577" s="103">
        <v>2.0</v>
      </c>
      <c r="G577" s="103">
        <v>2.0</v>
      </c>
      <c r="H577" s="104">
        <f t="shared" si="1"/>
        <v>1</v>
      </c>
      <c r="I577" s="105">
        <f t="shared" si="2"/>
        <v>59.95</v>
      </c>
      <c r="J577" s="106">
        <f t="shared" si="3"/>
        <v>59.95</v>
      </c>
      <c r="K577" s="120">
        <v>48.93</v>
      </c>
      <c r="L577" s="103">
        <v>9472.0</v>
      </c>
      <c r="M577" s="103">
        <v>2.0</v>
      </c>
      <c r="N577" s="121">
        <v>59.95</v>
      </c>
      <c r="O577" s="109">
        <f t="shared" si="159"/>
        <v>0.8161801501</v>
      </c>
      <c r="P577" s="110">
        <f t="shared" si="5"/>
        <v>1.225219702</v>
      </c>
      <c r="Q577" s="109">
        <f t="shared" si="6"/>
        <v>0.4080900751</v>
      </c>
      <c r="R577" s="111">
        <f t="shared" si="7"/>
        <v>0.5</v>
      </c>
      <c r="S577" s="122">
        <f t="shared" si="158"/>
        <v>59.95</v>
      </c>
      <c r="T577" s="113">
        <f t="shared" si="9"/>
        <v>24.465</v>
      </c>
      <c r="U577" s="172"/>
      <c r="V577" s="172"/>
      <c r="W577" s="172"/>
      <c r="X577" s="172"/>
      <c r="Y577" s="173"/>
      <c r="Z577" s="165"/>
      <c r="AA577" s="165"/>
    </row>
    <row r="578" hidden="1" outlineLevel="1">
      <c r="A578" s="165"/>
      <c r="B578" s="99" t="s">
        <v>37</v>
      </c>
      <c r="C578" s="100" t="s">
        <v>38</v>
      </c>
      <c r="D578" s="123">
        <v>36.94</v>
      </c>
      <c r="E578" s="401"/>
      <c r="F578" s="103">
        <v>1.0</v>
      </c>
      <c r="G578" s="103">
        <v>2.0</v>
      </c>
      <c r="H578" s="104">
        <f t="shared" si="1"/>
        <v>0.5</v>
      </c>
      <c r="I578" s="105">
        <f t="shared" si="2"/>
        <v>36.94</v>
      </c>
      <c r="J578" s="106">
        <f t="shared" si="3"/>
        <v>73.88</v>
      </c>
      <c r="K578" s="123">
        <v>24.06</v>
      </c>
      <c r="L578" s="103">
        <v>8815.0</v>
      </c>
      <c r="M578" s="103">
        <v>1.0</v>
      </c>
      <c r="N578" s="124">
        <v>29.95</v>
      </c>
      <c r="O578" s="109">
        <f t="shared" si="159"/>
        <v>0.8033388982</v>
      </c>
      <c r="P578" s="110">
        <f t="shared" si="5"/>
        <v>1.244804655</v>
      </c>
      <c r="Q578" s="109">
        <f t="shared" si="6"/>
        <v>0.6513264754</v>
      </c>
      <c r="R578" s="111">
        <f t="shared" si="7"/>
        <v>0.8107742285</v>
      </c>
      <c r="S578" s="125">
        <f t="shared" si="158"/>
        <v>6.99</v>
      </c>
      <c r="T578" s="113">
        <f t="shared" si="9"/>
        <v>24.06</v>
      </c>
      <c r="U578" s="172"/>
      <c r="V578" s="172"/>
      <c r="W578" s="172"/>
      <c r="X578" s="172"/>
      <c r="Y578" s="173"/>
      <c r="Z578" s="165"/>
      <c r="AA578" s="165"/>
    </row>
    <row r="579" hidden="1" outlineLevel="1">
      <c r="A579" s="165"/>
      <c r="B579" s="174"/>
      <c r="C579" s="100" t="s">
        <v>39</v>
      </c>
      <c r="D579" s="126">
        <v>0.0</v>
      </c>
      <c r="E579" s="401"/>
      <c r="F579" s="103">
        <v>0.0</v>
      </c>
      <c r="G579" s="103">
        <v>0.0</v>
      </c>
      <c r="H579" s="104" t="str">
        <f t="shared" si="1"/>
        <v>#DIV/0!</v>
      </c>
      <c r="I579" s="105" t="str">
        <f t="shared" si="2"/>
        <v>#DIV/0!</v>
      </c>
      <c r="J579" s="106" t="str">
        <f t="shared" si="3"/>
        <v>#DIV/0!</v>
      </c>
      <c r="K579" s="126">
        <v>0.0</v>
      </c>
      <c r="L579" s="103">
        <v>0.0</v>
      </c>
      <c r="M579" s="103">
        <v>0.0</v>
      </c>
      <c r="N579" s="127">
        <v>0.0</v>
      </c>
      <c r="O579" s="109" t="str">
        <f t="shared" si="159"/>
        <v>#DIV/0!</v>
      </c>
      <c r="P579" s="110" t="str">
        <f t="shared" si="5"/>
        <v>#DIV/0!</v>
      </c>
      <c r="Q579" s="109" t="str">
        <f t="shared" si="6"/>
        <v>#DIV/0!</v>
      </c>
      <c r="R579" s="111" t="str">
        <f t="shared" si="7"/>
        <v>#DIV/0!</v>
      </c>
      <c r="S579" s="128">
        <f t="shared" si="158"/>
        <v>0</v>
      </c>
      <c r="T579" s="113" t="str">
        <f t="shared" si="9"/>
        <v>#DIV/0!</v>
      </c>
      <c r="U579" s="172"/>
      <c r="V579" s="172"/>
      <c r="W579" s="172"/>
      <c r="X579" s="172"/>
      <c r="Y579" s="173"/>
      <c r="Z579" s="165"/>
      <c r="AA579" s="165"/>
    </row>
    <row r="580" hidden="1" outlineLevel="1">
      <c r="A580" s="165"/>
      <c r="B580" s="174"/>
      <c r="C580" s="100" t="s">
        <v>40</v>
      </c>
      <c r="D580" s="129">
        <v>54.95</v>
      </c>
      <c r="E580" s="401"/>
      <c r="F580" s="103">
        <v>1.0</v>
      </c>
      <c r="G580" s="103">
        <v>1.0</v>
      </c>
      <c r="H580" s="104">
        <f t="shared" si="1"/>
        <v>1</v>
      </c>
      <c r="I580" s="105">
        <f t="shared" si="2"/>
        <v>54.95</v>
      </c>
      <c r="J580" s="106">
        <f t="shared" si="3"/>
        <v>54.95</v>
      </c>
      <c r="K580" s="129">
        <v>0.0</v>
      </c>
      <c r="L580" s="103">
        <v>0.0</v>
      </c>
      <c r="M580" s="103">
        <v>0.0</v>
      </c>
      <c r="N580" s="130">
        <v>0.0</v>
      </c>
      <c r="O580" s="109" t="str">
        <f t="shared" si="159"/>
        <v>#DIV/0!</v>
      </c>
      <c r="P580" s="110" t="str">
        <f t="shared" si="5"/>
        <v>#DIV/0!</v>
      </c>
      <c r="Q580" s="109">
        <f t="shared" si="6"/>
        <v>0</v>
      </c>
      <c r="R580" s="111">
        <f t="shared" si="7"/>
        <v>0</v>
      </c>
      <c r="S580" s="131">
        <f t="shared" si="158"/>
        <v>54.95</v>
      </c>
      <c r="T580" s="113" t="str">
        <f t="shared" si="9"/>
        <v>#DIV/0!</v>
      </c>
      <c r="U580" s="172"/>
      <c r="V580" s="172"/>
      <c r="W580" s="172"/>
      <c r="X580" s="172"/>
      <c r="Y580" s="173"/>
      <c r="Z580" s="165"/>
      <c r="AA580" s="165"/>
    </row>
    <row r="581" hidden="1" outlineLevel="1">
      <c r="A581" s="165"/>
      <c r="B581" s="174"/>
      <c r="C581" s="100" t="s">
        <v>41</v>
      </c>
      <c r="D581" s="132">
        <v>191.99</v>
      </c>
      <c r="E581" s="401"/>
      <c r="F581" s="103">
        <v>2.0</v>
      </c>
      <c r="G581" s="103">
        <v>4.0</v>
      </c>
      <c r="H581" s="104">
        <f t="shared" si="1"/>
        <v>0.5</v>
      </c>
      <c r="I581" s="105">
        <f t="shared" si="2"/>
        <v>95.995</v>
      </c>
      <c r="J581" s="106">
        <f t="shared" si="3"/>
        <v>191.99</v>
      </c>
      <c r="K581" s="132">
        <v>83.15</v>
      </c>
      <c r="L581" s="103">
        <v>17275.0</v>
      </c>
      <c r="M581" s="103">
        <v>2.0</v>
      </c>
      <c r="N581" s="133">
        <v>215.99</v>
      </c>
      <c r="O581" s="109">
        <f t="shared" si="159"/>
        <v>0.3849715265</v>
      </c>
      <c r="P581" s="110">
        <f t="shared" si="5"/>
        <v>2.597594708</v>
      </c>
      <c r="Q581" s="109">
        <f t="shared" si="6"/>
        <v>0.4330954737</v>
      </c>
      <c r="R581" s="111">
        <f t="shared" si="7"/>
        <v>1.125006511</v>
      </c>
      <c r="S581" s="134">
        <f t="shared" si="158"/>
        <v>-24</v>
      </c>
      <c r="T581" s="113">
        <f t="shared" si="9"/>
        <v>41.575</v>
      </c>
      <c r="U581" s="172"/>
      <c r="V581" s="172"/>
      <c r="W581" s="172"/>
      <c r="X581" s="172"/>
      <c r="Y581" s="173"/>
      <c r="Z581" s="165"/>
      <c r="AA581" s="165"/>
    </row>
    <row r="582" hidden="1" outlineLevel="1">
      <c r="A582" s="165"/>
      <c r="B582" s="174"/>
      <c r="C582" s="100" t="s">
        <v>42</v>
      </c>
      <c r="D582" s="120">
        <v>59.97</v>
      </c>
      <c r="E582" s="401"/>
      <c r="F582" s="103">
        <v>3.0</v>
      </c>
      <c r="G582" s="103">
        <v>2.0</v>
      </c>
      <c r="H582" s="104">
        <f t="shared" si="1"/>
        <v>1.5</v>
      </c>
      <c r="I582" s="105">
        <f t="shared" si="2"/>
        <v>19.99</v>
      </c>
      <c r="J582" s="106">
        <f t="shared" si="3"/>
        <v>13.32666667</v>
      </c>
      <c r="K582" s="120">
        <v>8.67</v>
      </c>
      <c r="L582" s="103">
        <v>10640.0</v>
      </c>
      <c r="M582" s="103">
        <v>3.0</v>
      </c>
      <c r="N582" s="121">
        <v>59.97</v>
      </c>
      <c r="O582" s="109">
        <f t="shared" si="159"/>
        <v>0.1445722861</v>
      </c>
      <c r="P582" s="110">
        <f t="shared" si="5"/>
        <v>6.916955017</v>
      </c>
      <c r="Q582" s="109">
        <f t="shared" si="6"/>
        <v>0.1445722861</v>
      </c>
      <c r="R582" s="111">
        <f t="shared" si="7"/>
        <v>1</v>
      </c>
      <c r="S582" s="122">
        <f t="shared" si="158"/>
        <v>0</v>
      </c>
      <c r="T582" s="113">
        <f t="shared" si="9"/>
        <v>2.89</v>
      </c>
      <c r="U582" s="172"/>
      <c r="V582" s="172"/>
      <c r="W582" s="172"/>
      <c r="X582" s="172"/>
      <c r="Y582" s="173"/>
      <c r="Z582" s="165"/>
      <c r="AA582" s="165"/>
    </row>
    <row r="583" hidden="1" outlineLevel="1">
      <c r="A583" s="165"/>
      <c r="B583" s="174"/>
      <c r="C583" s="100" t="s">
        <v>43</v>
      </c>
      <c r="D583" s="135">
        <v>0.0</v>
      </c>
      <c r="E583" s="401"/>
      <c r="F583" s="103">
        <v>0.0</v>
      </c>
      <c r="G583" s="103">
        <v>0.0</v>
      </c>
      <c r="H583" s="104" t="str">
        <f t="shared" si="1"/>
        <v>#DIV/0!</v>
      </c>
      <c r="I583" s="105" t="str">
        <f t="shared" si="2"/>
        <v>#DIV/0!</v>
      </c>
      <c r="J583" s="106" t="str">
        <f t="shared" si="3"/>
        <v>#DIV/0!</v>
      </c>
      <c r="K583" s="135">
        <v>24.1</v>
      </c>
      <c r="L583" s="103">
        <v>12454.0</v>
      </c>
      <c r="M583" s="103">
        <v>0.0</v>
      </c>
      <c r="N583" s="136">
        <v>0.0</v>
      </c>
      <c r="O583" s="109" t="str">
        <f t="shared" si="159"/>
        <v>#DIV/0!</v>
      </c>
      <c r="P583" s="110">
        <f t="shared" si="5"/>
        <v>0</v>
      </c>
      <c r="Q583" s="109" t="str">
        <f t="shared" si="6"/>
        <v>#DIV/0!</v>
      </c>
      <c r="R583" s="111" t="str">
        <f t="shared" si="7"/>
        <v>#DIV/0!</v>
      </c>
      <c r="S583" s="137">
        <f t="shared" si="158"/>
        <v>0</v>
      </c>
      <c r="T583" s="113" t="str">
        <f t="shared" si="9"/>
        <v>#DIV/0!</v>
      </c>
      <c r="U583" s="172"/>
      <c r="V583" s="172"/>
      <c r="W583" s="172"/>
      <c r="X583" s="172"/>
      <c r="Y583" s="173"/>
      <c r="Z583" s="165"/>
      <c r="AA583" s="165"/>
    </row>
    <row r="584" hidden="1" outlineLevel="1">
      <c r="A584" s="165"/>
      <c r="B584" s="174"/>
      <c r="C584" s="100" t="s">
        <v>44</v>
      </c>
      <c r="D584" s="138">
        <v>135.55</v>
      </c>
      <c r="E584" s="401"/>
      <c r="F584" s="103">
        <v>3.0</v>
      </c>
      <c r="G584" s="103">
        <v>3.0</v>
      </c>
      <c r="H584" s="104">
        <f t="shared" si="1"/>
        <v>1</v>
      </c>
      <c r="I584" s="105">
        <f t="shared" si="2"/>
        <v>45.18333333</v>
      </c>
      <c r="J584" s="106">
        <f t="shared" si="3"/>
        <v>45.18333333</v>
      </c>
      <c r="K584" s="138">
        <v>67.57</v>
      </c>
      <c r="L584" s="103">
        <v>43022.0</v>
      </c>
      <c r="M584" s="103">
        <v>0.0</v>
      </c>
      <c r="N584" s="139">
        <v>0.0</v>
      </c>
      <c r="O584" s="109" t="str">
        <f t="shared" si="159"/>
        <v>#DIV/0!</v>
      </c>
      <c r="P584" s="110">
        <f t="shared" si="5"/>
        <v>0</v>
      </c>
      <c r="Q584" s="109">
        <f t="shared" si="6"/>
        <v>0.4984876429</v>
      </c>
      <c r="R584" s="111">
        <f t="shared" si="7"/>
        <v>0</v>
      </c>
      <c r="S584" s="140">
        <f t="shared" si="158"/>
        <v>135.55</v>
      </c>
      <c r="T584" s="113" t="str">
        <f t="shared" si="9"/>
        <v>#DIV/0!</v>
      </c>
      <c r="U584" s="172"/>
      <c r="V584" s="172"/>
      <c r="W584" s="172"/>
      <c r="X584" s="172"/>
      <c r="Y584" s="173"/>
      <c r="Z584" s="165"/>
      <c r="AA584" s="165"/>
    </row>
    <row r="585" hidden="1" outlineLevel="1">
      <c r="A585" s="192"/>
      <c r="B585" s="174"/>
      <c r="C585" s="142" t="s">
        <v>45</v>
      </c>
      <c r="D585" s="101">
        <v>0.0</v>
      </c>
      <c r="E585" s="401"/>
      <c r="F585" s="103">
        <v>0.0</v>
      </c>
      <c r="G585" s="103">
        <v>0.0</v>
      </c>
      <c r="H585" s="104" t="str">
        <f t="shared" si="1"/>
        <v>#DIV/0!</v>
      </c>
      <c r="I585" s="105" t="str">
        <f t="shared" si="2"/>
        <v>#DIV/0!</v>
      </c>
      <c r="J585" s="106" t="str">
        <f t="shared" si="3"/>
        <v>#DIV/0!</v>
      </c>
      <c r="K585" s="101">
        <v>0.0</v>
      </c>
      <c r="L585" s="103">
        <v>0.0</v>
      </c>
      <c r="M585" s="103">
        <v>0.0</v>
      </c>
      <c r="N585" s="108">
        <v>0.0</v>
      </c>
      <c r="O585" s="109" t="str">
        <f t="shared" si="159"/>
        <v>#DIV/0!</v>
      </c>
      <c r="P585" s="110" t="str">
        <f t="shared" si="5"/>
        <v>#DIV/0!</v>
      </c>
      <c r="Q585" s="109" t="str">
        <f t="shared" si="6"/>
        <v>#DIV/0!</v>
      </c>
      <c r="R585" s="111" t="str">
        <f t="shared" si="7"/>
        <v>#DIV/0!</v>
      </c>
      <c r="S585" s="112">
        <f t="shared" si="158"/>
        <v>0</v>
      </c>
      <c r="T585" s="113" t="str">
        <f t="shared" si="9"/>
        <v>#DIV/0!</v>
      </c>
      <c r="U585" s="193"/>
      <c r="V585" s="193"/>
      <c r="W585" s="193"/>
      <c r="X585" s="194"/>
      <c r="Y585" s="195"/>
      <c r="Z585" s="165"/>
      <c r="AA585" s="165"/>
    </row>
    <row r="586" hidden="1" outlineLevel="1">
      <c r="A586" s="165"/>
      <c r="B586" s="174"/>
      <c r="C586" s="100" t="s">
        <v>46</v>
      </c>
      <c r="D586" s="146">
        <v>424.53</v>
      </c>
      <c r="E586" s="401"/>
      <c r="F586" s="103">
        <v>9.0</v>
      </c>
      <c r="G586" s="103">
        <v>10.0</v>
      </c>
      <c r="H586" s="104">
        <f t="shared" si="1"/>
        <v>0.9</v>
      </c>
      <c r="I586" s="105">
        <f t="shared" si="2"/>
        <v>47.17</v>
      </c>
      <c r="J586" s="106">
        <f t="shared" si="3"/>
        <v>52.41111111</v>
      </c>
      <c r="K586" s="146">
        <v>101.69</v>
      </c>
      <c r="L586" s="103">
        <v>16550.0</v>
      </c>
      <c r="M586" s="103">
        <v>7.0</v>
      </c>
      <c r="N586" s="147">
        <v>269.7</v>
      </c>
      <c r="O586" s="109">
        <f t="shared" si="159"/>
        <v>0.3770485725</v>
      </c>
      <c r="P586" s="110">
        <f t="shared" si="5"/>
        <v>2.652178189</v>
      </c>
      <c r="Q586" s="109">
        <f t="shared" si="6"/>
        <v>0.2395354863</v>
      </c>
      <c r="R586" s="111">
        <f t="shared" si="7"/>
        <v>0.6352907922</v>
      </c>
      <c r="S586" s="112">
        <f t="shared" si="158"/>
        <v>154.83</v>
      </c>
      <c r="T586" s="113">
        <f t="shared" si="9"/>
        <v>14.52714286</v>
      </c>
      <c r="U586" s="172"/>
      <c r="V586" s="172"/>
      <c r="W586" s="172"/>
      <c r="X586" s="172"/>
      <c r="Y586" s="173"/>
      <c r="Z586" s="165"/>
      <c r="AA586" s="165"/>
    </row>
    <row r="587" hidden="1" outlineLevel="1">
      <c r="A587" s="148" t="str">
        <f t="shared" ref="A587:A588" si="160">iferror(if(B587&gt;0,month(B587)&amp;"-"&amp;year(B587),B587),)</f>
        <v>7-2025</v>
      </c>
      <c r="B587" s="99">
        <v>45864.0</v>
      </c>
      <c r="C587" s="100" t="s">
        <v>49</v>
      </c>
      <c r="D587" s="146">
        <v>0.0</v>
      </c>
      <c r="E587" s="401"/>
      <c r="F587" s="103">
        <v>0.0</v>
      </c>
      <c r="G587" s="103">
        <v>0.0</v>
      </c>
      <c r="H587" s="104" t="str">
        <f t="shared" si="1"/>
        <v>#DIV/0!</v>
      </c>
      <c r="I587" s="105" t="str">
        <f t="shared" si="2"/>
        <v>#DIV/0!</v>
      </c>
      <c r="J587" s="106" t="str">
        <f t="shared" si="3"/>
        <v>#DIV/0!</v>
      </c>
      <c r="K587" s="146">
        <v>3.48</v>
      </c>
      <c r="L587" s="103">
        <v>3633.0</v>
      </c>
      <c r="M587" s="103">
        <v>0.0</v>
      </c>
      <c r="N587" s="147">
        <v>0.0</v>
      </c>
      <c r="O587" s="109" t="str">
        <f t="shared" si="159"/>
        <v>#DIV/0!</v>
      </c>
      <c r="P587" s="110">
        <f t="shared" si="5"/>
        <v>0</v>
      </c>
      <c r="Q587" s="109" t="str">
        <f t="shared" si="6"/>
        <v>#DIV/0!</v>
      </c>
      <c r="R587" s="111" t="str">
        <f t="shared" si="7"/>
        <v>#DIV/0!</v>
      </c>
      <c r="S587" s="112">
        <f t="shared" si="158"/>
        <v>0</v>
      </c>
      <c r="T587" s="113" t="str">
        <f t="shared" si="9"/>
        <v>#DIV/0!</v>
      </c>
      <c r="U587" s="172"/>
      <c r="V587" s="172"/>
      <c r="W587" s="172"/>
      <c r="X587" s="172"/>
      <c r="Y587" s="173"/>
      <c r="Z587" s="165"/>
      <c r="AA587" s="165"/>
    </row>
    <row r="588" collapsed="1">
      <c r="A588" s="165" t="str">
        <f t="shared" si="160"/>
        <v/>
      </c>
      <c r="B588" s="80" t="s">
        <v>117</v>
      </c>
      <c r="C588" s="201"/>
      <c r="D588" s="151">
        <f>SUM(D571:D587)</f>
        <v>2546.52</v>
      </c>
      <c r="E588" s="400"/>
      <c r="F588" s="153">
        <f t="shared" ref="F588:G588" si="161">SUM(F571:F587)</f>
        <v>66</v>
      </c>
      <c r="G588" s="153">
        <f t="shared" si="161"/>
        <v>70</v>
      </c>
      <c r="H588" s="154">
        <f t="shared" si="1"/>
        <v>0.9428571429</v>
      </c>
      <c r="I588" s="155">
        <f t="shared" si="2"/>
        <v>38.58363636</v>
      </c>
      <c r="J588" s="156">
        <f t="shared" si="3"/>
        <v>40.92203857</v>
      </c>
      <c r="K588" s="151">
        <f t="shared" ref="K588:N588" si="162">SUM(K571:K587)</f>
        <v>1350.63</v>
      </c>
      <c r="L588" s="153">
        <f t="shared" si="162"/>
        <v>357270</v>
      </c>
      <c r="M588" s="153">
        <f t="shared" si="162"/>
        <v>27</v>
      </c>
      <c r="N588" s="157">
        <f t="shared" si="162"/>
        <v>1725.26</v>
      </c>
      <c r="O588" s="158">
        <f t="shared" si="159"/>
        <v>0.7828559174</v>
      </c>
      <c r="P588" s="159">
        <f t="shared" si="5"/>
        <v>1.277374262</v>
      </c>
      <c r="Q588" s="158">
        <f t="shared" si="6"/>
        <v>0.5303826398</v>
      </c>
      <c r="R588" s="160">
        <f t="shared" si="7"/>
        <v>0.6774971333</v>
      </c>
      <c r="S588" s="161">
        <f>SUM(S571:S587)</f>
        <v>821.26</v>
      </c>
      <c r="T588" s="162">
        <f t="shared" si="9"/>
        <v>50.02333333</v>
      </c>
      <c r="U588" s="399">
        <f>IFERROR((D588-D246)/D588,)</f>
        <v>-1.977129573</v>
      </c>
      <c r="V588" s="399">
        <f>IFERROR((F588-F246)/F588,)</f>
        <v>-0.4242424242</v>
      </c>
      <c r="W588" s="398" t="str">
        <f>IFERROR((D588-monthly_reporting_2021!E379)/D588, )</f>
        <v/>
      </c>
      <c r="X588" s="398" t="str">
        <f>IFERROR((F588-monthly_reporting_2021!F379)/F588, )</f>
        <v/>
      </c>
      <c r="Y588" s="165"/>
      <c r="Z588" s="165"/>
      <c r="AA588" s="165"/>
    </row>
    <row r="589" hidden="1" outlineLevel="1">
      <c r="A589" s="165"/>
      <c r="B589" s="99">
        <v>45865.0</v>
      </c>
      <c r="C589" s="100" t="s">
        <v>32</v>
      </c>
      <c r="D589" s="101">
        <v>3049.64</v>
      </c>
      <c r="E589" s="401"/>
      <c r="F589" s="103">
        <v>12.0</v>
      </c>
      <c r="G589" s="103">
        <v>13.0</v>
      </c>
      <c r="H589" s="104">
        <f t="shared" si="1"/>
        <v>0.9230769231</v>
      </c>
      <c r="I589" s="105">
        <f t="shared" si="2"/>
        <v>254.1366667</v>
      </c>
      <c r="J589" s="106">
        <f t="shared" si="3"/>
        <v>275.3147222</v>
      </c>
      <c r="K589" s="107">
        <v>840.83</v>
      </c>
      <c r="L589" s="103">
        <v>142970.0</v>
      </c>
      <c r="M589" s="103">
        <v>4.0</v>
      </c>
      <c r="N589" s="108">
        <v>1151.9</v>
      </c>
      <c r="O589" s="109">
        <f t="shared" si="159"/>
        <v>0.7299505165</v>
      </c>
      <c r="P589" s="110">
        <f t="shared" si="5"/>
        <v>1.369955877</v>
      </c>
      <c r="Q589" s="109">
        <f t="shared" si="6"/>
        <v>0.2757145106</v>
      </c>
      <c r="R589" s="111">
        <f t="shared" si="7"/>
        <v>0.3777167141</v>
      </c>
      <c r="S589" s="112">
        <f t="shared" ref="S589:S603" si="163">D589-N589</f>
        <v>1897.74</v>
      </c>
      <c r="T589" s="113">
        <f t="shared" si="9"/>
        <v>210.2075</v>
      </c>
      <c r="U589" s="172"/>
      <c r="V589" s="172"/>
      <c r="W589" s="172"/>
      <c r="X589" s="172"/>
      <c r="Y589" s="173"/>
      <c r="Z589" s="165"/>
      <c r="AA589" s="165"/>
    </row>
    <row r="590" hidden="1" outlineLevel="1">
      <c r="A590" s="165"/>
      <c r="B590" s="174"/>
      <c r="C590" s="100" t="s">
        <v>33</v>
      </c>
      <c r="D590" s="117">
        <v>3335.45</v>
      </c>
      <c r="E590" s="401"/>
      <c r="F590" s="103">
        <v>44.0</v>
      </c>
      <c r="G590" s="103">
        <v>49.0</v>
      </c>
      <c r="H590" s="104">
        <f t="shared" si="1"/>
        <v>0.8979591837</v>
      </c>
      <c r="I590" s="105">
        <f t="shared" si="2"/>
        <v>75.80568182</v>
      </c>
      <c r="J590" s="106">
        <f t="shared" si="3"/>
        <v>84.41996384</v>
      </c>
      <c r="K590" s="117">
        <v>515.25</v>
      </c>
      <c r="L590" s="103">
        <v>200118.0</v>
      </c>
      <c r="M590" s="103">
        <v>8.0</v>
      </c>
      <c r="N590" s="118">
        <v>634.95</v>
      </c>
      <c r="O590" s="109">
        <f t="shared" si="159"/>
        <v>0.811481219</v>
      </c>
      <c r="P590" s="110">
        <f t="shared" si="5"/>
        <v>1.23231441</v>
      </c>
      <c r="Q590" s="109">
        <f t="shared" si="6"/>
        <v>0.1544769072</v>
      </c>
      <c r="R590" s="111">
        <f t="shared" si="7"/>
        <v>0.1903641188</v>
      </c>
      <c r="S590" s="119">
        <f t="shared" si="163"/>
        <v>2700.5</v>
      </c>
      <c r="T590" s="113">
        <f t="shared" si="9"/>
        <v>64.40625</v>
      </c>
      <c r="U590" s="172"/>
      <c r="V590" s="172"/>
      <c r="W590" s="172"/>
      <c r="X590" s="172"/>
      <c r="Y590" s="173"/>
      <c r="Z590" s="165"/>
      <c r="AA590" s="165"/>
    </row>
    <row r="591" hidden="1" outlineLevel="1">
      <c r="A591" s="165"/>
      <c r="B591" s="174"/>
      <c r="C591" s="100" t="s">
        <v>34</v>
      </c>
      <c r="D591" s="120">
        <v>0.0</v>
      </c>
      <c r="E591" s="401"/>
      <c r="F591" s="103">
        <v>0.0</v>
      </c>
      <c r="G591" s="103">
        <v>0.0</v>
      </c>
      <c r="H591" s="104" t="str">
        <f t="shared" si="1"/>
        <v>#DIV/0!</v>
      </c>
      <c r="I591" s="105" t="str">
        <f t="shared" si="2"/>
        <v>#DIV/0!</v>
      </c>
      <c r="J591" s="106" t="str">
        <f t="shared" si="3"/>
        <v>#DIV/0!</v>
      </c>
      <c r="K591" s="120">
        <v>16.8</v>
      </c>
      <c r="L591" s="103">
        <v>275.0</v>
      </c>
      <c r="M591" s="103">
        <v>0.0</v>
      </c>
      <c r="N591" s="121">
        <v>0.0</v>
      </c>
      <c r="O591" s="109" t="str">
        <f>(K591/N591)</f>
        <v>#DIV/0!</v>
      </c>
      <c r="P591" s="110">
        <f t="shared" si="5"/>
        <v>0</v>
      </c>
      <c r="Q591" s="109" t="str">
        <f t="shared" si="6"/>
        <v>#DIV/0!</v>
      </c>
      <c r="R591" s="111" t="str">
        <f t="shared" si="7"/>
        <v>#DIV/0!</v>
      </c>
      <c r="S591" s="122">
        <f t="shared" si="163"/>
        <v>0</v>
      </c>
      <c r="T591" s="113" t="str">
        <f t="shared" si="9"/>
        <v>#DIV/0!</v>
      </c>
      <c r="U591" s="172"/>
      <c r="V591" s="172"/>
      <c r="W591" s="172"/>
      <c r="X591" s="172"/>
      <c r="Y591" s="173"/>
      <c r="Z591" s="165"/>
      <c r="AA591" s="165"/>
    </row>
    <row r="592" hidden="1" outlineLevel="1">
      <c r="A592" s="165"/>
      <c r="B592" s="174"/>
      <c r="C592" s="100" t="s">
        <v>35</v>
      </c>
      <c r="D592" s="120">
        <v>0.0</v>
      </c>
      <c r="E592" s="401"/>
      <c r="F592" s="103">
        <v>0.0</v>
      </c>
      <c r="G592" s="103">
        <v>0.0</v>
      </c>
      <c r="H592" s="104" t="str">
        <f t="shared" si="1"/>
        <v>#DIV/0!</v>
      </c>
      <c r="I592" s="105" t="str">
        <f t="shared" si="2"/>
        <v>#DIV/0!</v>
      </c>
      <c r="J592" s="106" t="str">
        <f t="shared" si="3"/>
        <v>#DIV/0!</v>
      </c>
      <c r="K592" s="120">
        <v>269.67</v>
      </c>
      <c r="L592" s="103">
        <v>23746.0</v>
      </c>
      <c r="M592" s="103">
        <v>3.0</v>
      </c>
      <c r="N592" s="121">
        <v>179.85</v>
      </c>
      <c r="O592" s="109">
        <f t="shared" ref="O592:O606" si="164">K592/N592</f>
        <v>1.49941618</v>
      </c>
      <c r="P592" s="110">
        <f t="shared" si="5"/>
        <v>0.6669262432</v>
      </c>
      <c r="Q592" s="109" t="str">
        <f t="shared" si="6"/>
        <v>#DIV/0!</v>
      </c>
      <c r="R592" s="111" t="str">
        <f t="shared" si="7"/>
        <v>#DIV/0!</v>
      </c>
      <c r="S592" s="122">
        <f t="shared" si="163"/>
        <v>-179.85</v>
      </c>
      <c r="T592" s="113">
        <f t="shared" si="9"/>
        <v>89.89</v>
      </c>
      <c r="U592" s="172"/>
      <c r="V592" s="172"/>
      <c r="W592" s="172"/>
      <c r="X592" s="172"/>
      <c r="Y592" s="173"/>
      <c r="Z592" s="165"/>
      <c r="AA592" s="165"/>
    </row>
    <row r="593" hidden="1" outlineLevel="1">
      <c r="A593" s="165"/>
      <c r="B593" s="174"/>
      <c r="C593" s="100" t="s">
        <v>36</v>
      </c>
      <c r="D593" s="120">
        <v>0.0</v>
      </c>
      <c r="E593" s="401"/>
      <c r="F593" s="103">
        <v>0.0</v>
      </c>
      <c r="G593" s="103">
        <v>0.0</v>
      </c>
      <c r="H593" s="104" t="str">
        <f t="shared" si="1"/>
        <v>#DIV/0!</v>
      </c>
      <c r="I593" s="105" t="str">
        <f t="shared" si="2"/>
        <v>#DIV/0!</v>
      </c>
      <c r="J593" s="106" t="str">
        <f t="shared" si="3"/>
        <v>#DIV/0!</v>
      </c>
      <c r="K593" s="120">
        <v>103.2</v>
      </c>
      <c r="L593" s="103">
        <v>17113.0</v>
      </c>
      <c r="M593" s="103">
        <v>3.0</v>
      </c>
      <c r="N593" s="121">
        <v>179.85</v>
      </c>
      <c r="O593" s="109">
        <f t="shared" si="164"/>
        <v>0.5738115096</v>
      </c>
      <c r="P593" s="110">
        <f t="shared" si="5"/>
        <v>1.742732558</v>
      </c>
      <c r="Q593" s="109" t="str">
        <f t="shared" si="6"/>
        <v>#DIV/0!</v>
      </c>
      <c r="R593" s="111" t="str">
        <f t="shared" si="7"/>
        <v>#DIV/0!</v>
      </c>
      <c r="S593" s="122">
        <f t="shared" si="163"/>
        <v>-179.85</v>
      </c>
      <c r="T593" s="113">
        <f t="shared" si="9"/>
        <v>34.4</v>
      </c>
      <c r="U593" s="172"/>
      <c r="V593" s="172"/>
      <c r="W593" s="172"/>
      <c r="X593" s="172"/>
      <c r="Y593" s="173"/>
      <c r="Z593" s="165"/>
      <c r="AA593" s="165"/>
    </row>
    <row r="594" hidden="1" outlineLevel="1">
      <c r="A594" s="165"/>
      <c r="B594" s="99" t="s">
        <v>37</v>
      </c>
      <c r="C594" s="100" t="s">
        <v>38</v>
      </c>
      <c r="D594" s="123">
        <v>35.99</v>
      </c>
      <c r="E594" s="401"/>
      <c r="F594" s="103">
        <v>1.0</v>
      </c>
      <c r="G594" s="103">
        <v>1.0</v>
      </c>
      <c r="H594" s="104">
        <f t="shared" si="1"/>
        <v>1</v>
      </c>
      <c r="I594" s="105">
        <f t="shared" si="2"/>
        <v>35.99</v>
      </c>
      <c r="J594" s="106">
        <f t="shared" si="3"/>
        <v>35.99</v>
      </c>
      <c r="K594" s="123">
        <v>47.14</v>
      </c>
      <c r="L594" s="103">
        <v>12800.0</v>
      </c>
      <c r="M594" s="103">
        <v>1.0</v>
      </c>
      <c r="N594" s="124">
        <v>35.99</v>
      </c>
      <c r="O594" s="109">
        <f t="shared" si="164"/>
        <v>1.30980828</v>
      </c>
      <c r="P594" s="110">
        <f t="shared" si="5"/>
        <v>0.7634705134</v>
      </c>
      <c r="Q594" s="109">
        <f t="shared" si="6"/>
        <v>1.30980828</v>
      </c>
      <c r="R594" s="111">
        <f t="shared" si="7"/>
        <v>1</v>
      </c>
      <c r="S594" s="125">
        <f t="shared" si="163"/>
        <v>0</v>
      </c>
      <c r="T594" s="113">
        <f t="shared" si="9"/>
        <v>47.14</v>
      </c>
      <c r="U594" s="172"/>
      <c r="V594" s="172"/>
      <c r="W594" s="172"/>
      <c r="X594" s="172"/>
      <c r="Y594" s="173"/>
      <c r="Z594" s="165"/>
      <c r="AA594" s="165"/>
    </row>
    <row r="595" hidden="1" outlineLevel="1">
      <c r="A595" s="165"/>
      <c r="B595" s="174"/>
      <c r="C595" s="100" t="s">
        <v>39</v>
      </c>
      <c r="D595" s="126">
        <v>24.95</v>
      </c>
      <c r="E595" s="401"/>
      <c r="F595" s="103">
        <v>1.0</v>
      </c>
      <c r="G595" s="103">
        <v>1.0</v>
      </c>
      <c r="H595" s="104">
        <f t="shared" si="1"/>
        <v>1</v>
      </c>
      <c r="I595" s="105">
        <f t="shared" si="2"/>
        <v>24.95</v>
      </c>
      <c r="J595" s="106">
        <f t="shared" si="3"/>
        <v>24.95</v>
      </c>
      <c r="K595" s="126">
        <v>0.0</v>
      </c>
      <c r="L595" s="103">
        <v>0.0</v>
      </c>
      <c r="M595" s="103">
        <v>0.0</v>
      </c>
      <c r="N595" s="127">
        <v>0.0</v>
      </c>
      <c r="O595" s="109" t="str">
        <f t="shared" si="164"/>
        <v>#DIV/0!</v>
      </c>
      <c r="P595" s="110" t="str">
        <f t="shared" si="5"/>
        <v>#DIV/0!</v>
      </c>
      <c r="Q595" s="109">
        <f t="shared" si="6"/>
        <v>0</v>
      </c>
      <c r="R595" s="111">
        <f t="shared" si="7"/>
        <v>0</v>
      </c>
      <c r="S595" s="128">
        <f t="shared" si="163"/>
        <v>24.95</v>
      </c>
      <c r="T595" s="113" t="str">
        <f t="shared" si="9"/>
        <v>#DIV/0!</v>
      </c>
      <c r="U595" s="172"/>
      <c r="V595" s="172"/>
      <c r="W595" s="172"/>
      <c r="X595" s="172"/>
      <c r="Y595" s="173"/>
      <c r="Z595" s="165"/>
      <c r="AA595" s="165"/>
    </row>
    <row r="596" hidden="1" outlineLevel="1">
      <c r="A596" s="165"/>
      <c r="B596" s="174"/>
      <c r="C596" s="100" t="s">
        <v>40</v>
      </c>
      <c r="D596" s="129">
        <v>219.8</v>
      </c>
      <c r="E596" s="401"/>
      <c r="F596" s="103">
        <v>4.0</v>
      </c>
      <c r="G596" s="103">
        <v>3.0</v>
      </c>
      <c r="H596" s="104">
        <f t="shared" si="1"/>
        <v>1.333333333</v>
      </c>
      <c r="I596" s="105">
        <f t="shared" si="2"/>
        <v>54.95</v>
      </c>
      <c r="J596" s="106">
        <f t="shared" si="3"/>
        <v>41.2125</v>
      </c>
      <c r="K596" s="129">
        <v>0.0</v>
      </c>
      <c r="L596" s="103">
        <v>0.0</v>
      </c>
      <c r="M596" s="103">
        <v>0.0</v>
      </c>
      <c r="N596" s="130">
        <v>0.0</v>
      </c>
      <c r="O596" s="109" t="str">
        <f t="shared" si="164"/>
        <v>#DIV/0!</v>
      </c>
      <c r="P596" s="110" t="str">
        <f t="shared" si="5"/>
        <v>#DIV/0!</v>
      </c>
      <c r="Q596" s="109">
        <f t="shared" si="6"/>
        <v>0</v>
      </c>
      <c r="R596" s="111">
        <f t="shared" si="7"/>
        <v>0</v>
      </c>
      <c r="S596" s="131">
        <f t="shared" si="163"/>
        <v>219.8</v>
      </c>
      <c r="T596" s="113" t="str">
        <f t="shared" si="9"/>
        <v>#DIV/0!</v>
      </c>
      <c r="U596" s="172"/>
      <c r="V596" s="172"/>
      <c r="W596" s="172"/>
      <c r="X596" s="172"/>
      <c r="Y596" s="173"/>
      <c r="Z596" s="165"/>
      <c r="AA596" s="165"/>
    </row>
    <row r="597" hidden="1" outlineLevel="1">
      <c r="A597" s="165"/>
      <c r="B597" s="174"/>
      <c r="C597" s="100" t="s">
        <v>41</v>
      </c>
      <c r="D597" s="132">
        <v>498.97</v>
      </c>
      <c r="E597" s="401"/>
      <c r="F597" s="103">
        <v>5.0</v>
      </c>
      <c r="G597" s="103">
        <v>5.0</v>
      </c>
      <c r="H597" s="104">
        <f t="shared" si="1"/>
        <v>1</v>
      </c>
      <c r="I597" s="105">
        <f t="shared" si="2"/>
        <v>99.794</v>
      </c>
      <c r="J597" s="106">
        <f t="shared" si="3"/>
        <v>99.794</v>
      </c>
      <c r="K597" s="132">
        <v>299.11</v>
      </c>
      <c r="L597" s="103">
        <v>29821.0</v>
      </c>
      <c r="M597" s="103">
        <v>3.0</v>
      </c>
      <c r="N597" s="133">
        <v>258.98</v>
      </c>
      <c r="O597" s="109">
        <f t="shared" si="164"/>
        <v>1.154954051</v>
      </c>
      <c r="P597" s="110">
        <f t="shared" si="5"/>
        <v>0.8658353114</v>
      </c>
      <c r="Q597" s="109">
        <f t="shared" si="6"/>
        <v>0.599454877</v>
      </c>
      <c r="R597" s="111">
        <f t="shared" si="7"/>
        <v>0.5190292002</v>
      </c>
      <c r="S597" s="134">
        <f t="shared" si="163"/>
        <v>239.99</v>
      </c>
      <c r="T597" s="113">
        <f t="shared" si="9"/>
        <v>99.70333333</v>
      </c>
      <c r="U597" s="172"/>
      <c r="V597" s="172"/>
      <c r="W597" s="172"/>
      <c r="X597" s="172"/>
      <c r="Y597" s="173"/>
      <c r="Z597" s="165"/>
      <c r="AA597" s="165"/>
    </row>
    <row r="598" hidden="1" outlineLevel="1">
      <c r="A598" s="165"/>
      <c r="B598" s="174"/>
      <c r="C598" s="100" t="s">
        <v>42</v>
      </c>
      <c r="D598" s="120">
        <v>0.0</v>
      </c>
      <c r="E598" s="401"/>
      <c r="F598" s="103">
        <v>0.0</v>
      </c>
      <c r="G598" s="103">
        <v>0.0</v>
      </c>
      <c r="H598" s="104" t="str">
        <f t="shared" si="1"/>
        <v>#DIV/0!</v>
      </c>
      <c r="I598" s="105" t="str">
        <f t="shared" si="2"/>
        <v>#DIV/0!</v>
      </c>
      <c r="J598" s="106" t="str">
        <f t="shared" si="3"/>
        <v>#DIV/0!</v>
      </c>
      <c r="K598" s="120">
        <v>0.0</v>
      </c>
      <c r="L598" s="103">
        <v>0.0</v>
      </c>
      <c r="M598" s="103">
        <v>0.0</v>
      </c>
      <c r="N598" s="121">
        <v>0.0</v>
      </c>
      <c r="O598" s="109" t="str">
        <f t="shared" si="164"/>
        <v>#DIV/0!</v>
      </c>
      <c r="P598" s="110" t="str">
        <f t="shared" si="5"/>
        <v>#DIV/0!</v>
      </c>
      <c r="Q598" s="109" t="str">
        <f t="shared" si="6"/>
        <v>#DIV/0!</v>
      </c>
      <c r="R598" s="111" t="str">
        <f t="shared" si="7"/>
        <v>#DIV/0!</v>
      </c>
      <c r="S598" s="122">
        <f t="shared" si="163"/>
        <v>0</v>
      </c>
      <c r="T598" s="113" t="str">
        <f t="shared" si="9"/>
        <v>#DIV/0!</v>
      </c>
      <c r="U598" s="172"/>
      <c r="V598" s="172"/>
      <c r="W598" s="172"/>
      <c r="X598" s="172"/>
      <c r="Y598" s="173"/>
      <c r="Z598" s="165"/>
      <c r="AA598" s="165"/>
    </row>
    <row r="599" hidden="1" outlineLevel="1">
      <c r="A599" s="165"/>
      <c r="B599" s="174"/>
      <c r="C599" s="100" t="s">
        <v>43</v>
      </c>
      <c r="D599" s="135">
        <v>215.95</v>
      </c>
      <c r="E599" s="401"/>
      <c r="F599" s="103">
        <v>1.0</v>
      </c>
      <c r="G599" s="103">
        <v>1.0</v>
      </c>
      <c r="H599" s="104">
        <f t="shared" si="1"/>
        <v>1</v>
      </c>
      <c r="I599" s="105">
        <f t="shared" si="2"/>
        <v>215.95</v>
      </c>
      <c r="J599" s="106">
        <f t="shared" si="3"/>
        <v>215.95</v>
      </c>
      <c r="K599" s="135">
        <v>64.16</v>
      </c>
      <c r="L599" s="103">
        <v>15185.0</v>
      </c>
      <c r="M599" s="103">
        <v>0.0</v>
      </c>
      <c r="N599" s="136">
        <v>0.0</v>
      </c>
      <c r="O599" s="109" t="str">
        <f t="shared" si="164"/>
        <v>#DIV/0!</v>
      </c>
      <c r="P599" s="110">
        <f t="shared" si="5"/>
        <v>0</v>
      </c>
      <c r="Q599" s="109">
        <f t="shared" si="6"/>
        <v>0.2971058115</v>
      </c>
      <c r="R599" s="111">
        <f t="shared" si="7"/>
        <v>0</v>
      </c>
      <c r="S599" s="137">
        <f t="shared" si="163"/>
        <v>215.95</v>
      </c>
      <c r="T599" s="113" t="str">
        <f t="shared" si="9"/>
        <v>#DIV/0!</v>
      </c>
      <c r="U599" s="172"/>
      <c r="V599" s="172"/>
      <c r="W599" s="172"/>
      <c r="X599" s="172"/>
      <c r="Y599" s="173"/>
      <c r="Z599" s="165"/>
      <c r="AA599" s="165"/>
    </row>
    <row r="600" hidden="1" outlineLevel="1">
      <c r="A600" s="165"/>
      <c r="B600" s="174"/>
      <c r="C600" s="100" t="s">
        <v>44</v>
      </c>
      <c r="D600" s="138">
        <v>179.8</v>
      </c>
      <c r="E600" s="401"/>
      <c r="F600" s="103">
        <v>4.0</v>
      </c>
      <c r="G600" s="103">
        <v>5.0</v>
      </c>
      <c r="H600" s="104">
        <f t="shared" si="1"/>
        <v>0.8</v>
      </c>
      <c r="I600" s="105">
        <f t="shared" si="2"/>
        <v>44.95</v>
      </c>
      <c r="J600" s="106">
        <f t="shared" si="3"/>
        <v>56.1875</v>
      </c>
      <c r="K600" s="138">
        <v>128.86</v>
      </c>
      <c r="L600" s="103">
        <v>54053.0</v>
      </c>
      <c r="M600" s="103">
        <v>4.0</v>
      </c>
      <c r="N600" s="139">
        <v>179.8</v>
      </c>
      <c r="O600" s="109">
        <f t="shared" si="164"/>
        <v>0.7166852058</v>
      </c>
      <c r="P600" s="110">
        <f t="shared" si="5"/>
        <v>1.395312743</v>
      </c>
      <c r="Q600" s="109">
        <f t="shared" si="6"/>
        <v>0.7166852058</v>
      </c>
      <c r="R600" s="111">
        <f t="shared" si="7"/>
        <v>1</v>
      </c>
      <c r="S600" s="140">
        <f t="shared" si="163"/>
        <v>0</v>
      </c>
      <c r="T600" s="113">
        <f t="shared" si="9"/>
        <v>32.215</v>
      </c>
      <c r="U600" s="172"/>
      <c r="V600" s="172"/>
      <c r="W600" s="172"/>
      <c r="X600" s="172"/>
      <c r="Y600" s="173"/>
      <c r="Z600" s="165"/>
      <c r="AA600" s="165"/>
    </row>
    <row r="601" hidden="1" outlineLevel="1">
      <c r="A601" s="192"/>
      <c r="B601" s="174"/>
      <c r="C601" s="142" t="s">
        <v>45</v>
      </c>
      <c r="D601" s="101">
        <v>729.51</v>
      </c>
      <c r="E601" s="401"/>
      <c r="F601" s="103">
        <v>13.0</v>
      </c>
      <c r="G601" s="103">
        <v>13.0</v>
      </c>
      <c r="H601" s="104">
        <f t="shared" si="1"/>
        <v>1</v>
      </c>
      <c r="I601" s="105">
        <f t="shared" si="2"/>
        <v>56.11615385</v>
      </c>
      <c r="J601" s="106">
        <f t="shared" si="3"/>
        <v>56.11615385</v>
      </c>
      <c r="K601" s="101">
        <v>0.0</v>
      </c>
      <c r="L601" s="103">
        <v>0.0</v>
      </c>
      <c r="M601" s="103">
        <v>0.0</v>
      </c>
      <c r="N601" s="108">
        <v>0.0</v>
      </c>
      <c r="O601" s="109" t="str">
        <f t="shared" si="164"/>
        <v>#DIV/0!</v>
      </c>
      <c r="P601" s="110" t="str">
        <f t="shared" si="5"/>
        <v>#DIV/0!</v>
      </c>
      <c r="Q601" s="109">
        <f t="shared" si="6"/>
        <v>0</v>
      </c>
      <c r="R601" s="111">
        <f t="shared" si="7"/>
        <v>0</v>
      </c>
      <c r="S601" s="112">
        <f t="shared" si="163"/>
        <v>729.51</v>
      </c>
      <c r="T601" s="113" t="str">
        <f t="shared" si="9"/>
        <v>#DIV/0!</v>
      </c>
      <c r="U601" s="193"/>
      <c r="V601" s="193"/>
      <c r="W601" s="193"/>
      <c r="X601" s="194"/>
      <c r="Y601" s="195"/>
      <c r="Z601" s="165"/>
      <c r="AA601" s="165"/>
    </row>
    <row r="602" hidden="1" outlineLevel="1">
      <c r="A602" s="165"/>
      <c r="B602" s="174"/>
      <c r="C602" s="100" t="s">
        <v>46</v>
      </c>
      <c r="D602" s="146">
        <v>807.1</v>
      </c>
      <c r="E602" s="401"/>
      <c r="F602" s="103">
        <v>18.0</v>
      </c>
      <c r="G602" s="103">
        <v>17.0</v>
      </c>
      <c r="H602" s="104">
        <f t="shared" si="1"/>
        <v>1.058823529</v>
      </c>
      <c r="I602" s="105">
        <f t="shared" si="2"/>
        <v>44.83888889</v>
      </c>
      <c r="J602" s="106">
        <f t="shared" si="3"/>
        <v>42.34783951</v>
      </c>
      <c r="K602" s="146">
        <v>111.83</v>
      </c>
      <c r="L602" s="103">
        <v>24815.0</v>
      </c>
      <c r="M602" s="103">
        <v>7.0</v>
      </c>
      <c r="N602" s="147">
        <v>309.65</v>
      </c>
      <c r="O602" s="109">
        <f t="shared" si="164"/>
        <v>0.3611496851</v>
      </c>
      <c r="P602" s="110">
        <f t="shared" si="5"/>
        <v>2.768934991</v>
      </c>
      <c r="Q602" s="109">
        <f t="shared" si="6"/>
        <v>0.1385577995</v>
      </c>
      <c r="R602" s="111">
        <f t="shared" si="7"/>
        <v>0.3836575393</v>
      </c>
      <c r="S602" s="112">
        <f t="shared" si="163"/>
        <v>497.45</v>
      </c>
      <c r="T602" s="113">
        <f t="shared" si="9"/>
        <v>15.97571429</v>
      </c>
      <c r="U602" s="172"/>
      <c r="V602" s="172"/>
      <c r="W602" s="172"/>
      <c r="X602" s="172"/>
      <c r="Y602" s="173"/>
      <c r="Z602" s="165"/>
      <c r="AA602" s="165"/>
    </row>
    <row r="603" hidden="1" outlineLevel="1">
      <c r="A603" s="148" t="str">
        <f t="shared" ref="A603:A604" si="165">iferror(if(B603&gt;0,month(B603)&amp;"-"&amp;year(B603),B603),)</f>
        <v>8-2025</v>
      </c>
      <c r="B603" s="99">
        <v>45871.0</v>
      </c>
      <c r="C603" s="100" t="s">
        <v>49</v>
      </c>
      <c r="D603" s="146">
        <v>0.0</v>
      </c>
      <c r="E603" s="401"/>
      <c r="F603" s="103">
        <v>0.0</v>
      </c>
      <c r="G603" s="103">
        <v>0.0</v>
      </c>
      <c r="H603" s="104" t="str">
        <f t="shared" si="1"/>
        <v>#DIV/0!</v>
      </c>
      <c r="I603" s="105" t="str">
        <f t="shared" si="2"/>
        <v>#DIV/0!</v>
      </c>
      <c r="J603" s="106" t="str">
        <f t="shared" si="3"/>
        <v>#DIV/0!</v>
      </c>
      <c r="K603" s="146">
        <v>8.38</v>
      </c>
      <c r="L603" s="103">
        <v>11690.0</v>
      </c>
      <c r="M603" s="103">
        <v>0.0</v>
      </c>
      <c r="N603" s="147">
        <v>0.0</v>
      </c>
      <c r="O603" s="109" t="str">
        <f t="shared" si="164"/>
        <v>#DIV/0!</v>
      </c>
      <c r="P603" s="110">
        <f t="shared" si="5"/>
        <v>0</v>
      </c>
      <c r="Q603" s="109" t="str">
        <f t="shared" si="6"/>
        <v>#DIV/0!</v>
      </c>
      <c r="R603" s="111" t="str">
        <f t="shared" si="7"/>
        <v>#DIV/0!</v>
      </c>
      <c r="S603" s="112">
        <f t="shared" si="163"/>
        <v>0</v>
      </c>
      <c r="T603" s="113" t="str">
        <f t="shared" si="9"/>
        <v>#DIV/0!</v>
      </c>
      <c r="U603" s="172"/>
      <c r="V603" s="172"/>
      <c r="W603" s="172"/>
      <c r="X603" s="172"/>
      <c r="Y603" s="173"/>
      <c r="Z603" s="165"/>
      <c r="AA603" s="165"/>
    </row>
    <row r="604" collapsed="1">
      <c r="A604" s="165" t="str">
        <f t="shared" si="165"/>
        <v/>
      </c>
      <c r="B604" s="80" t="s">
        <v>118</v>
      </c>
      <c r="C604" s="201"/>
      <c r="D604" s="151">
        <f>SUM(D589:D603)</f>
        <v>9097.16</v>
      </c>
      <c r="E604" s="400"/>
      <c r="F604" s="153">
        <f t="shared" ref="F604:G604" si="166">SUM(F589:F603)</f>
        <v>103</v>
      </c>
      <c r="G604" s="153">
        <f t="shared" si="166"/>
        <v>108</v>
      </c>
      <c r="H604" s="154">
        <f t="shared" si="1"/>
        <v>0.9537037037</v>
      </c>
      <c r="I604" s="155">
        <f t="shared" si="2"/>
        <v>88.32194175</v>
      </c>
      <c r="J604" s="156">
        <f t="shared" si="3"/>
        <v>92.60941465</v>
      </c>
      <c r="K604" s="151">
        <f t="shared" ref="K604:N604" si="167">SUM(K589:K603)</f>
        <v>2405.23</v>
      </c>
      <c r="L604" s="153">
        <f t="shared" si="167"/>
        <v>532586</v>
      </c>
      <c r="M604" s="153">
        <f t="shared" si="167"/>
        <v>33</v>
      </c>
      <c r="N604" s="157">
        <f t="shared" si="167"/>
        <v>2930.97</v>
      </c>
      <c r="O604" s="158">
        <f t="shared" si="164"/>
        <v>0.8206259361</v>
      </c>
      <c r="P604" s="159">
        <f t="shared" si="5"/>
        <v>1.218582007</v>
      </c>
      <c r="Q604" s="158">
        <f t="shared" si="6"/>
        <v>0.264393503</v>
      </c>
      <c r="R604" s="160">
        <f t="shared" si="7"/>
        <v>0.3221851655</v>
      </c>
      <c r="S604" s="161">
        <f>SUM(S589:S603)</f>
        <v>6166.19</v>
      </c>
      <c r="T604" s="162">
        <f t="shared" si="9"/>
        <v>72.88575758</v>
      </c>
      <c r="U604" s="163">
        <f>IFERROR((D604-D246)/D604,)</f>
        <v>0.1666278267</v>
      </c>
      <c r="V604" s="163">
        <f>IFERROR((F604-F246)/F604,)</f>
        <v>0.08737864078</v>
      </c>
      <c r="W604" s="398" t="str">
        <f>IFERROR((D604-monthly_reporting_2021!E395)/D604, )</f>
        <v/>
      </c>
      <c r="X604" s="398" t="str">
        <f>IFERROR((F604-monthly_reporting_2021!F395)/F604, )</f>
        <v/>
      </c>
      <c r="Y604" s="165"/>
      <c r="Z604" s="165"/>
      <c r="AA604" s="165"/>
    </row>
    <row r="605" hidden="1" outlineLevel="1">
      <c r="A605" s="165"/>
      <c r="B605" s="99">
        <v>45872.0</v>
      </c>
      <c r="C605" s="100" t="s">
        <v>32</v>
      </c>
      <c r="D605" s="101">
        <v>2641.7</v>
      </c>
      <c r="E605" s="401"/>
      <c r="F605" s="103">
        <v>14.0</v>
      </c>
      <c r="G605" s="103">
        <v>15.0</v>
      </c>
      <c r="H605" s="104">
        <f t="shared" si="1"/>
        <v>0.9333333333</v>
      </c>
      <c r="I605" s="105">
        <f t="shared" si="2"/>
        <v>188.6928571</v>
      </c>
      <c r="J605" s="106">
        <f t="shared" si="3"/>
        <v>202.1709184</v>
      </c>
      <c r="K605" s="107">
        <v>914.85</v>
      </c>
      <c r="L605" s="103">
        <v>156774.0</v>
      </c>
      <c r="M605" s="103">
        <v>7.0</v>
      </c>
      <c r="N605" s="108">
        <v>1524.9</v>
      </c>
      <c r="O605" s="109">
        <f t="shared" si="164"/>
        <v>0.5999409797</v>
      </c>
      <c r="P605" s="110">
        <f t="shared" si="5"/>
        <v>1.666830628</v>
      </c>
      <c r="Q605" s="109">
        <f t="shared" si="6"/>
        <v>0.3463110876</v>
      </c>
      <c r="R605" s="111">
        <f t="shared" si="7"/>
        <v>0.5772419275</v>
      </c>
      <c r="S605" s="112">
        <f t="shared" ref="S605:S619" si="168">D605-N605</f>
        <v>1116.8</v>
      </c>
      <c r="T605" s="113">
        <f t="shared" si="9"/>
        <v>130.6928571</v>
      </c>
      <c r="U605" s="172"/>
      <c r="V605" s="172"/>
      <c r="W605" s="172"/>
      <c r="X605" s="172"/>
      <c r="Y605" s="173"/>
      <c r="Z605" s="165"/>
      <c r="AA605" s="165"/>
    </row>
    <row r="606" hidden="1" outlineLevel="1">
      <c r="A606" s="165"/>
      <c r="B606" s="174"/>
      <c r="C606" s="100" t="s">
        <v>33</v>
      </c>
      <c r="D606" s="117">
        <v>4894.68</v>
      </c>
      <c r="E606" s="401"/>
      <c r="F606" s="103">
        <v>51.0</v>
      </c>
      <c r="G606" s="103">
        <v>53.0</v>
      </c>
      <c r="H606" s="104">
        <f t="shared" si="1"/>
        <v>0.9622641509</v>
      </c>
      <c r="I606" s="105">
        <f t="shared" si="2"/>
        <v>95.97411765</v>
      </c>
      <c r="J606" s="106">
        <f t="shared" si="3"/>
        <v>99.73780854</v>
      </c>
      <c r="K606" s="117">
        <v>454.16</v>
      </c>
      <c r="L606" s="103">
        <v>182523.0</v>
      </c>
      <c r="M606" s="103">
        <v>9.0</v>
      </c>
      <c r="N606" s="118">
        <v>1633.8</v>
      </c>
      <c r="O606" s="109">
        <f t="shared" si="164"/>
        <v>0.2779777207</v>
      </c>
      <c r="P606" s="110">
        <f t="shared" si="5"/>
        <v>3.597410604</v>
      </c>
      <c r="Q606" s="109">
        <f t="shared" si="6"/>
        <v>0.09278645386</v>
      </c>
      <c r="R606" s="111">
        <f t="shared" si="7"/>
        <v>0.3337909731</v>
      </c>
      <c r="S606" s="119">
        <f t="shared" si="168"/>
        <v>3260.88</v>
      </c>
      <c r="T606" s="113">
        <f t="shared" si="9"/>
        <v>50.46222222</v>
      </c>
      <c r="U606" s="172"/>
      <c r="V606" s="172"/>
      <c r="W606" s="172"/>
      <c r="X606" s="172"/>
      <c r="Y606" s="173"/>
      <c r="Z606" s="165"/>
      <c r="AA606" s="165"/>
    </row>
    <row r="607" hidden="1" outlineLevel="1">
      <c r="A607" s="165"/>
      <c r="B607" s="174"/>
      <c r="C607" s="100" t="s">
        <v>34</v>
      </c>
      <c r="D607" s="120">
        <v>209.85</v>
      </c>
      <c r="E607" s="401"/>
      <c r="F607" s="103">
        <v>3.0</v>
      </c>
      <c r="G607" s="103">
        <v>2.0</v>
      </c>
      <c r="H607" s="104">
        <f t="shared" si="1"/>
        <v>1.5</v>
      </c>
      <c r="I607" s="105">
        <f t="shared" si="2"/>
        <v>69.95</v>
      </c>
      <c r="J607" s="106">
        <f t="shared" si="3"/>
        <v>46.63333333</v>
      </c>
      <c r="K607" s="120">
        <v>8.4</v>
      </c>
      <c r="L607" s="103">
        <v>231.0</v>
      </c>
      <c r="M607" s="103">
        <v>0.0</v>
      </c>
      <c r="N607" s="121">
        <v>0.0</v>
      </c>
      <c r="O607" s="109" t="str">
        <f>(K607/N607)</f>
        <v>#DIV/0!</v>
      </c>
      <c r="P607" s="110">
        <f t="shared" si="5"/>
        <v>0</v>
      </c>
      <c r="Q607" s="109">
        <f t="shared" si="6"/>
        <v>0.04002859185</v>
      </c>
      <c r="R607" s="111">
        <f t="shared" si="7"/>
        <v>0</v>
      </c>
      <c r="S607" s="122">
        <f t="shared" si="168"/>
        <v>209.85</v>
      </c>
      <c r="T607" s="113" t="str">
        <f t="shared" si="9"/>
        <v>#DIV/0!</v>
      </c>
      <c r="U607" s="172"/>
      <c r="V607" s="172"/>
      <c r="W607" s="172"/>
      <c r="X607" s="172"/>
      <c r="Y607" s="173"/>
      <c r="Z607" s="165"/>
      <c r="AA607" s="165"/>
    </row>
    <row r="608" hidden="1" outlineLevel="1">
      <c r="A608" s="165"/>
      <c r="B608" s="174"/>
      <c r="C608" s="100" t="s">
        <v>35</v>
      </c>
      <c r="D608" s="120">
        <v>779.35</v>
      </c>
      <c r="E608" s="401"/>
      <c r="F608" s="103">
        <v>13.0</v>
      </c>
      <c r="G608" s="103">
        <v>10.0</v>
      </c>
      <c r="H608" s="104">
        <f t="shared" si="1"/>
        <v>1.3</v>
      </c>
      <c r="I608" s="105">
        <f t="shared" si="2"/>
        <v>59.95</v>
      </c>
      <c r="J608" s="106">
        <f t="shared" si="3"/>
        <v>46.11538462</v>
      </c>
      <c r="K608" s="120">
        <v>283.74</v>
      </c>
      <c r="L608" s="103">
        <v>23159.0</v>
      </c>
      <c r="M608" s="103">
        <v>8.0</v>
      </c>
      <c r="N608" s="121">
        <v>479.6</v>
      </c>
      <c r="O608" s="109">
        <f t="shared" ref="O608:O622" si="169">K608/N608</f>
        <v>0.591618015</v>
      </c>
      <c r="P608" s="110">
        <f t="shared" si="5"/>
        <v>1.690279834</v>
      </c>
      <c r="Q608" s="109">
        <f t="shared" si="6"/>
        <v>0.3640726246</v>
      </c>
      <c r="R608" s="111">
        <f t="shared" si="7"/>
        <v>0.6153846154</v>
      </c>
      <c r="S608" s="122">
        <f t="shared" si="168"/>
        <v>299.75</v>
      </c>
      <c r="T608" s="113">
        <f t="shared" si="9"/>
        <v>35.4675</v>
      </c>
      <c r="U608" s="172"/>
      <c r="V608" s="172"/>
      <c r="W608" s="172"/>
      <c r="X608" s="172"/>
      <c r="Y608" s="173"/>
      <c r="Z608" s="165"/>
      <c r="AA608" s="165"/>
    </row>
    <row r="609" hidden="1" outlineLevel="1">
      <c r="A609" s="165"/>
      <c r="B609" s="174"/>
      <c r="C609" s="100" t="s">
        <v>36</v>
      </c>
      <c r="D609" s="120">
        <v>179.85</v>
      </c>
      <c r="E609" s="401"/>
      <c r="F609" s="103">
        <v>3.0</v>
      </c>
      <c r="G609" s="103">
        <v>4.0</v>
      </c>
      <c r="H609" s="104">
        <f t="shared" si="1"/>
        <v>0.75</v>
      </c>
      <c r="I609" s="105">
        <f t="shared" si="2"/>
        <v>59.95</v>
      </c>
      <c r="J609" s="106">
        <f t="shared" si="3"/>
        <v>79.93333333</v>
      </c>
      <c r="K609" s="120">
        <v>88.23</v>
      </c>
      <c r="L609" s="103">
        <v>19717.0</v>
      </c>
      <c r="M609" s="103">
        <v>2.0</v>
      </c>
      <c r="N609" s="121">
        <v>119.9</v>
      </c>
      <c r="O609" s="109">
        <f t="shared" si="169"/>
        <v>0.7358632193</v>
      </c>
      <c r="P609" s="110">
        <f t="shared" si="5"/>
        <v>1.358948204</v>
      </c>
      <c r="Q609" s="109">
        <f t="shared" si="6"/>
        <v>0.4905754796</v>
      </c>
      <c r="R609" s="111">
        <f t="shared" si="7"/>
        <v>0.6666666667</v>
      </c>
      <c r="S609" s="122">
        <f t="shared" si="168"/>
        <v>59.95</v>
      </c>
      <c r="T609" s="113">
        <f t="shared" si="9"/>
        <v>44.115</v>
      </c>
      <c r="U609" s="172"/>
      <c r="V609" s="172"/>
      <c r="W609" s="172"/>
      <c r="X609" s="172"/>
      <c r="Y609" s="173"/>
      <c r="Z609" s="165"/>
      <c r="AA609" s="165"/>
    </row>
    <row r="610" hidden="1" outlineLevel="1">
      <c r="A610" s="165"/>
      <c r="B610" s="99" t="s">
        <v>37</v>
      </c>
      <c r="C610" s="100" t="s">
        <v>38</v>
      </c>
      <c r="D610" s="123">
        <v>29.95</v>
      </c>
      <c r="E610" s="401"/>
      <c r="F610" s="103">
        <v>1.0</v>
      </c>
      <c r="G610" s="103">
        <v>1.0</v>
      </c>
      <c r="H610" s="104">
        <f t="shared" si="1"/>
        <v>1</v>
      </c>
      <c r="I610" s="105">
        <f t="shared" si="2"/>
        <v>29.95</v>
      </c>
      <c r="J610" s="106">
        <f t="shared" si="3"/>
        <v>29.95</v>
      </c>
      <c r="K610" s="123">
        <v>59.13</v>
      </c>
      <c r="L610" s="103">
        <v>13495.0</v>
      </c>
      <c r="M610" s="103">
        <v>0.0</v>
      </c>
      <c r="N610" s="124">
        <v>0.0</v>
      </c>
      <c r="O610" s="109" t="str">
        <f t="shared" si="169"/>
        <v>#DIV/0!</v>
      </c>
      <c r="P610" s="110">
        <f t="shared" si="5"/>
        <v>0</v>
      </c>
      <c r="Q610" s="109">
        <f t="shared" si="6"/>
        <v>1.974290484</v>
      </c>
      <c r="R610" s="111">
        <f t="shared" si="7"/>
        <v>0</v>
      </c>
      <c r="S610" s="125">
        <f t="shared" si="168"/>
        <v>29.95</v>
      </c>
      <c r="T610" s="113" t="str">
        <f t="shared" si="9"/>
        <v>#DIV/0!</v>
      </c>
      <c r="U610" s="172"/>
      <c r="V610" s="172"/>
      <c r="W610" s="172"/>
      <c r="X610" s="172"/>
      <c r="Y610" s="173"/>
      <c r="Z610" s="165"/>
      <c r="AA610" s="165"/>
    </row>
    <row r="611" hidden="1" outlineLevel="1">
      <c r="A611" s="165"/>
      <c r="B611" s="174"/>
      <c r="C611" s="100" t="s">
        <v>39</v>
      </c>
      <c r="D611" s="126">
        <v>0.0</v>
      </c>
      <c r="E611" s="401"/>
      <c r="F611" s="103">
        <v>0.0</v>
      </c>
      <c r="G611" s="103">
        <v>0.0</v>
      </c>
      <c r="H611" s="104" t="str">
        <f t="shared" si="1"/>
        <v>#DIV/0!</v>
      </c>
      <c r="I611" s="105" t="str">
        <f t="shared" si="2"/>
        <v>#DIV/0!</v>
      </c>
      <c r="J611" s="106" t="str">
        <f t="shared" si="3"/>
        <v>#DIV/0!</v>
      </c>
      <c r="K611" s="126">
        <v>0.0</v>
      </c>
      <c r="L611" s="103">
        <v>0.0</v>
      </c>
      <c r="M611" s="103">
        <v>0.0</v>
      </c>
      <c r="N611" s="127">
        <v>0.0</v>
      </c>
      <c r="O611" s="109" t="str">
        <f t="shared" si="169"/>
        <v>#DIV/0!</v>
      </c>
      <c r="P611" s="110" t="str">
        <f t="shared" si="5"/>
        <v>#DIV/0!</v>
      </c>
      <c r="Q611" s="109" t="str">
        <f t="shared" si="6"/>
        <v>#DIV/0!</v>
      </c>
      <c r="R611" s="111" t="str">
        <f t="shared" si="7"/>
        <v>#DIV/0!</v>
      </c>
      <c r="S611" s="128">
        <f t="shared" si="168"/>
        <v>0</v>
      </c>
      <c r="T611" s="113" t="str">
        <f t="shared" si="9"/>
        <v>#DIV/0!</v>
      </c>
      <c r="U611" s="172"/>
      <c r="V611" s="172"/>
      <c r="W611" s="172"/>
      <c r="X611" s="172"/>
      <c r="Y611" s="173"/>
      <c r="Z611" s="165"/>
      <c r="AA611" s="165"/>
    </row>
    <row r="612" hidden="1" outlineLevel="1">
      <c r="A612" s="165"/>
      <c r="B612" s="174"/>
      <c r="C612" s="100" t="s">
        <v>40</v>
      </c>
      <c r="D612" s="129">
        <v>879.2</v>
      </c>
      <c r="E612" s="401"/>
      <c r="F612" s="103">
        <v>16.0</v>
      </c>
      <c r="G612" s="103">
        <v>5.0</v>
      </c>
      <c r="H612" s="104">
        <f t="shared" si="1"/>
        <v>3.2</v>
      </c>
      <c r="I612" s="105">
        <f t="shared" si="2"/>
        <v>54.95</v>
      </c>
      <c r="J612" s="106">
        <f t="shared" si="3"/>
        <v>17.171875</v>
      </c>
      <c r="K612" s="129">
        <v>0.0</v>
      </c>
      <c r="L612" s="103">
        <v>0.0</v>
      </c>
      <c r="M612" s="103">
        <v>0.0</v>
      </c>
      <c r="N612" s="130">
        <v>0.0</v>
      </c>
      <c r="O612" s="109" t="str">
        <f t="shared" si="169"/>
        <v>#DIV/0!</v>
      </c>
      <c r="P612" s="110" t="str">
        <f t="shared" si="5"/>
        <v>#DIV/0!</v>
      </c>
      <c r="Q612" s="109">
        <f t="shared" si="6"/>
        <v>0</v>
      </c>
      <c r="R612" s="111">
        <f t="shared" si="7"/>
        <v>0</v>
      </c>
      <c r="S612" s="131">
        <f t="shared" si="168"/>
        <v>879.2</v>
      </c>
      <c r="T612" s="113" t="str">
        <f t="shared" si="9"/>
        <v>#DIV/0!</v>
      </c>
      <c r="U612" s="172"/>
      <c r="V612" s="172"/>
      <c r="W612" s="172"/>
      <c r="X612" s="172"/>
      <c r="Y612" s="173"/>
      <c r="Z612" s="165"/>
      <c r="AA612" s="165"/>
    </row>
    <row r="613" hidden="1" outlineLevel="1">
      <c r="A613" s="165"/>
      <c r="B613" s="174"/>
      <c r="C613" s="100" t="s">
        <v>41</v>
      </c>
      <c r="D613" s="132">
        <v>746.9</v>
      </c>
      <c r="E613" s="401"/>
      <c r="F613" s="103">
        <v>11.0</v>
      </c>
      <c r="G613" s="103">
        <v>11.0</v>
      </c>
      <c r="H613" s="104">
        <f t="shared" si="1"/>
        <v>1</v>
      </c>
      <c r="I613" s="105">
        <f t="shared" si="2"/>
        <v>67.9</v>
      </c>
      <c r="J613" s="106">
        <f t="shared" si="3"/>
        <v>67.9</v>
      </c>
      <c r="K613" s="132">
        <v>598.57</v>
      </c>
      <c r="L613" s="103">
        <v>32914.0</v>
      </c>
      <c r="M613" s="103">
        <v>6.0</v>
      </c>
      <c r="N613" s="133">
        <v>447.95</v>
      </c>
      <c r="O613" s="109">
        <f t="shared" si="169"/>
        <v>1.336242884</v>
      </c>
      <c r="P613" s="110">
        <f t="shared" si="5"/>
        <v>0.7483669412</v>
      </c>
      <c r="Q613" s="109">
        <f t="shared" si="6"/>
        <v>0.8014058107</v>
      </c>
      <c r="R613" s="111">
        <f t="shared" si="7"/>
        <v>0.5997456152</v>
      </c>
      <c r="S613" s="134">
        <f t="shared" si="168"/>
        <v>298.95</v>
      </c>
      <c r="T613" s="113">
        <f t="shared" si="9"/>
        <v>99.76166667</v>
      </c>
      <c r="U613" s="172"/>
      <c r="V613" s="172"/>
      <c r="W613" s="172"/>
      <c r="X613" s="172"/>
      <c r="Y613" s="173"/>
      <c r="Z613" s="165"/>
      <c r="AA613" s="165"/>
    </row>
    <row r="614" hidden="1" outlineLevel="1">
      <c r="A614" s="165"/>
      <c r="B614" s="174"/>
      <c r="C614" s="100" t="s">
        <v>42</v>
      </c>
      <c r="D614" s="120">
        <v>0.0</v>
      </c>
      <c r="E614" s="401"/>
      <c r="F614" s="103">
        <v>0.0</v>
      </c>
      <c r="G614" s="103">
        <v>0.0</v>
      </c>
      <c r="H614" s="104" t="str">
        <f t="shared" si="1"/>
        <v>#DIV/0!</v>
      </c>
      <c r="I614" s="105" t="str">
        <f t="shared" si="2"/>
        <v>#DIV/0!</v>
      </c>
      <c r="J614" s="106" t="str">
        <f t="shared" si="3"/>
        <v>#DIV/0!</v>
      </c>
      <c r="K614" s="120">
        <v>0.0</v>
      </c>
      <c r="L614" s="103">
        <v>0.0</v>
      </c>
      <c r="M614" s="103">
        <v>0.0</v>
      </c>
      <c r="N614" s="121">
        <v>0.0</v>
      </c>
      <c r="O614" s="109" t="str">
        <f t="shared" si="169"/>
        <v>#DIV/0!</v>
      </c>
      <c r="P614" s="110" t="str">
        <f t="shared" si="5"/>
        <v>#DIV/0!</v>
      </c>
      <c r="Q614" s="109" t="str">
        <f t="shared" si="6"/>
        <v>#DIV/0!</v>
      </c>
      <c r="R614" s="111" t="str">
        <f t="shared" si="7"/>
        <v>#DIV/0!</v>
      </c>
      <c r="S614" s="122">
        <f t="shared" si="168"/>
        <v>0</v>
      </c>
      <c r="T614" s="113" t="str">
        <f t="shared" si="9"/>
        <v>#DIV/0!</v>
      </c>
      <c r="U614" s="172"/>
      <c r="V614" s="172"/>
      <c r="W614" s="172"/>
      <c r="X614" s="172"/>
      <c r="Y614" s="173"/>
      <c r="Z614" s="165"/>
      <c r="AA614" s="165"/>
    </row>
    <row r="615" hidden="1" outlineLevel="1">
      <c r="A615" s="165"/>
      <c r="B615" s="174"/>
      <c r="C615" s="100" t="s">
        <v>43</v>
      </c>
      <c r="D615" s="135">
        <v>0.0</v>
      </c>
      <c r="E615" s="401"/>
      <c r="F615" s="103">
        <v>0.0</v>
      </c>
      <c r="G615" s="103">
        <v>0.0</v>
      </c>
      <c r="H615" s="104" t="str">
        <f t="shared" si="1"/>
        <v>#DIV/0!</v>
      </c>
      <c r="I615" s="105" t="str">
        <f t="shared" si="2"/>
        <v>#DIV/0!</v>
      </c>
      <c r="J615" s="106" t="str">
        <f t="shared" si="3"/>
        <v>#DIV/0!</v>
      </c>
      <c r="K615" s="135">
        <v>40.35</v>
      </c>
      <c r="L615" s="103">
        <v>15859.0</v>
      </c>
      <c r="M615" s="103">
        <v>0.0</v>
      </c>
      <c r="N615" s="136">
        <v>0.0</v>
      </c>
      <c r="O615" s="109" t="str">
        <f t="shared" si="169"/>
        <v>#DIV/0!</v>
      </c>
      <c r="P615" s="110">
        <f t="shared" si="5"/>
        <v>0</v>
      </c>
      <c r="Q615" s="109" t="str">
        <f t="shared" si="6"/>
        <v>#DIV/0!</v>
      </c>
      <c r="R615" s="111" t="str">
        <f t="shared" si="7"/>
        <v>#DIV/0!</v>
      </c>
      <c r="S615" s="137">
        <f t="shared" si="168"/>
        <v>0</v>
      </c>
      <c r="T615" s="113" t="str">
        <f t="shared" si="9"/>
        <v>#DIV/0!</v>
      </c>
      <c r="U615" s="172"/>
      <c r="V615" s="172"/>
      <c r="W615" s="172"/>
      <c r="X615" s="172"/>
      <c r="Y615" s="173"/>
      <c r="Z615" s="165"/>
      <c r="AA615" s="165"/>
    </row>
    <row r="616" hidden="1" outlineLevel="1">
      <c r="A616" s="165"/>
      <c r="B616" s="174"/>
      <c r="C616" s="100" t="s">
        <v>44</v>
      </c>
      <c r="D616" s="138">
        <v>494.45</v>
      </c>
      <c r="E616" s="401"/>
      <c r="F616" s="103">
        <v>11.0</v>
      </c>
      <c r="G616" s="103">
        <v>11.0</v>
      </c>
      <c r="H616" s="104">
        <f t="shared" si="1"/>
        <v>1</v>
      </c>
      <c r="I616" s="105">
        <f t="shared" si="2"/>
        <v>44.95</v>
      </c>
      <c r="J616" s="106">
        <f t="shared" si="3"/>
        <v>44.95</v>
      </c>
      <c r="K616" s="138">
        <v>169.87</v>
      </c>
      <c r="L616" s="103">
        <v>69626.0</v>
      </c>
      <c r="M616" s="103">
        <v>4.0</v>
      </c>
      <c r="N616" s="139">
        <v>179.8</v>
      </c>
      <c r="O616" s="109">
        <f t="shared" si="169"/>
        <v>0.9447719689</v>
      </c>
      <c r="P616" s="110">
        <f t="shared" si="5"/>
        <v>1.058456467</v>
      </c>
      <c r="Q616" s="109">
        <f t="shared" si="6"/>
        <v>0.3435534432</v>
      </c>
      <c r="R616" s="111">
        <f t="shared" si="7"/>
        <v>0.3636363636</v>
      </c>
      <c r="S616" s="140">
        <f t="shared" si="168"/>
        <v>314.65</v>
      </c>
      <c r="T616" s="113">
        <f t="shared" si="9"/>
        <v>42.4675</v>
      </c>
      <c r="U616" s="172"/>
      <c r="V616" s="172"/>
      <c r="W616" s="172"/>
      <c r="X616" s="172"/>
      <c r="Y616" s="173"/>
      <c r="Z616" s="165"/>
      <c r="AA616" s="165"/>
    </row>
    <row r="617" hidden="1" outlineLevel="1">
      <c r="A617" s="192"/>
      <c r="B617" s="174"/>
      <c r="C617" s="142" t="s">
        <v>45</v>
      </c>
      <c r="D617" s="101">
        <v>0.0</v>
      </c>
      <c r="E617" s="401"/>
      <c r="F617" s="103">
        <v>0.0</v>
      </c>
      <c r="G617" s="103">
        <v>0.0</v>
      </c>
      <c r="H617" s="104" t="str">
        <f t="shared" si="1"/>
        <v>#DIV/0!</v>
      </c>
      <c r="I617" s="105" t="str">
        <f t="shared" si="2"/>
        <v>#DIV/0!</v>
      </c>
      <c r="J617" s="106" t="str">
        <f t="shared" si="3"/>
        <v>#DIV/0!</v>
      </c>
      <c r="K617" s="101">
        <v>0.0</v>
      </c>
      <c r="L617" s="103">
        <v>0.0</v>
      </c>
      <c r="M617" s="103">
        <v>0.0</v>
      </c>
      <c r="N617" s="108">
        <v>0.0</v>
      </c>
      <c r="O617" s="109" t="str">
        <f t="shared" si="169"/>
        <v>#DIV/0!</v>
      </c>
      <c r="P617" s="110" t="str">
        <f t="shared" si="5"/>
        <v>#DIV/0!</v>
      </c>
      <c r="Q617" s="109" t="str">
        <f t="shared" si="6"/>
        <v>#DIV/0!</v>
      </c>
      <c r="R617" s="111" t="str">
        <f t="shared" si="7"/>
        <v>#DIV/0!</v>
      </c>
      <c r="S617" s="112">
        <f t="shared" si="168"/>
        <v>0</v>
      </c>
      <c r="T617" s="113" t="str">
        <f t="shared" si="9"/>
        <v>#DIV/0!</v>
      </c>
      <c r="U617" s="193"/>
      <c r="V617" s="193"/>
      <c r="W617" s="193"/>
      <c r="X617" s="194"/>
      <c r="Y617" s="195"/>
      <c r="Z617" s="165"/>
      <c r="AA617" s="165"/>
    </row>
    <row r="618" hidden="1" outlineLevel="1">
      <c r="A618" s="165"/>
      <c r="B618" s="174"/>
      <c r="C618" s="100" t="s">
        <v>46</v>
      </c>
      <c r="D618" s="146">
        <v>447.5</v>
      </c>
      <c r="E618" s="401"/>
      <c r="F618" s="103">
        <v>10.0</v>
      </c>
      <c r="G618" s="103">
        <v>9.0</v>
      </c>
      <c r="H618" s="104">
        <f t="shared" si="1"/>
        <v>1.111111111</v>
      </c>
      <c r="I618" s="105">
        <f t="shared" si="2"/>
        <v>44.75</v>
      </c>
      <c r="J618" s="106">
        <f t="shared" si="3"/>
        <v>40.275</v>
      </c>
      <c r="K618" s="146">
        <v>134.14</v>
      </c>
      <c r="L618" s="103">
        <v>33640.0</v>
      </c>
      <c r="M618" s="103">
        <v>3.0</v>
      </c>
      <c r="N618" s="147">
        <v>89.9</v>
      </c>
      <c r="O618" s="109">
        <f t="shared" si="169"/>
        <v>1.492102336</v>
      </c>
      <c r="P618" s="110">
        <f t="shared" si="5"/>
        <v>0.6701953183</v>
      </c>
      <c r="Q618" s="109">
        <f t="shared" si="6"/>
        <v>0.2997541899</v>
      </c>
      <c r="R618" s="111">
        <f t="shared" si="7"/>
        <v>0.2008938547</v>
      </c>
      <c r="S618" s="112">
        <f t="shared" si="168"/>
        <v>357.6</v>
      </c>
      <c r="T618" s="113">
        <f t="shared" si="9"/>
        <v>44.71333333</v>
      </c>
      <c r="U618" s="172"/>
      <c r="V618" s="172"/>
      <c r="W618" s="172"/>
      <c r="X618" s="172"/>
      <c r="Y618" s="173"/>
      <c r="Z618" s="165"/>
      <c r="AA618" s="165"/>
    </row>
    <row r="619" hidden="1" outlineLevel="1">
      <c r="A619" s="148" t="str">
        <f t="shared" ref="A619:A620" si="170">iferror(if(B619&gt;0,month(B619)&amp;"-"&amp;year(B619),B619),)</f>
        <v>8-2025</v>
      </c>
      <c r="B619" s="99">
        <v>45878.0</v>
      </c>
      <c r="C619" s="100" t="s">
        <v>49</v>
      </c>
      <c r="D619" s="146">
        <v>-439.5</v>
      </c>
      <c r="E619" s="401"/>
      <c r="F619" s="103">
        <v>-9.0</v>
      </c>
      <c r="G619" s="103">
        <v>1.0</v>
      </c>
      <c r="H619" s="104">
        <f t="shared" si="1"/>
        <v>-9</v>
      </c>
      <c r="I619" s="105">
        <f t="shared" si="2"/>
        <v>48.83333333</v>
      </c>
      <c r="J619" s="106">
        <f t="shared" si="3"/>
        <v>-5.425925926</v>
      </c>
      <c r="K619" s="146">
        <v>39.31</v>
      </c>
      <c r="L619" s="103">
        <v>18928.0</v>
      </c>
      <c r="M619" s="103">
        <v>1.0</v>
      </c>
      <c r="N619" s="147">
        <v>96.0</v>
      </c>
      <c r="O619" s="109">
        <f t="shared" si="169"/>
        <v>0.4094791667</v>
      </c>
      <c r="P619" s="110">
        <f t="shared" si="5"/>
        <v>2.442126685</v>
      </c>
      <c r="Q619" s="109">
        <f t="shared" si="6"/>
        <v>-0.08944254835</v>
      </c>
      <c r="R619" s="111">
        <f t="shared" si="7"/>
        <v>-0.2184300341</v>
      </c>
      <c r="S619" s="112">
        <f t="shared" si="168"/>
        <v>-535.5</v>
      </c>
      <c r="T619" s="113">
        <f t="shared" si="9"/>
        <v>39.31</v>
      </c>
      <c r="U619" s="172"/>
      <c r="V619" s="172"/>
      <c r="W619" s="172"/>
      <c r="X619" s="172"/>
      <c r="Y619" s="173"/>
      <c r="Z619" s="165"/>
      <c r="AA619" s="165"/>
    </row>
    <row r="620" collapsed="1">
      <c r="A620" s="165" t="str">
        <f t="shared" si="170"/>
        <v/>
      </c>
      <c r="B620" s="80" t="s">
        <v>119</v>
      </c>
      <c r="C620" s="201"/>
      <c r="D620" s="151">
        <f>SUM(D605:D619)</f>
        <v>10863.93</v>
      </c>
      <c r="E620" s="400"/>
      <c r="F620" s="153">
        <f t="shared" ref="F620:G620" si="171">SUM(F605:F619)</f>
        <v>124</v>
      </c>
      <c r="G620" s="153">
        <f t="shared" si="171"/>
        <v>122</v>
      </c>
      <c r="H620" s="154">
        <f t="shared" si="1"/>
        <v>1.016393443</v>
      </c>
      <c r="I620" s="155">
        <f t="shared" si="2"/>
        <v>87.61233871</v>
      </c>
      <c r="J620" s="156">
        <f t="shared" si="3"/>
        <v>86.19923647</v>
      </c>
      <c r="K620" s="151">
        <f t="shared" ref="K620:N620" si="172">SUM(K605:K619)</f>
        <v>2790.75</v>
      </c>
      <c r="L620" s="153">
        <f t="shared" si="172"/>
        <v>566866</v>
      </c>
      <c r="M620" s="153">
        <f t="shared" si="172"/>
        <v>40</v>
      </c>
      <c r="N620" s="157">
        <f t="shared" si="172"/>
        <v>4571.85</v>
      </c>
      <c r="O620" s="158">
        <f t="shared" si="169"/>
        <v>0.6104202894</v>
      </c>
      <c r="P620" s="159">
        <f t="shared" si="5"/>
        <v>1.638215533</v>
      </c>
      <c r="Q620" s="158">
        <f t="shared" si="6"/>
        <v>0.256882178</v>
      </c>
      <c r="R620" s="160">
        <f t="shared" si="7"/>
        <v>0.4208283743</v>
      </c>
      <c r="S620" s="161">
        <f>SUM(S605:S619)</f>
        <v>6292.08</v>
      </c>
      <c r="T620" s="162">
        <f t="shared" si="9"/>
        <v>69.76875</v>
      </c>
      <c r="U620" s="163">
        <f>IFERROR((D620-D246)/D620,)</f>
        <v>0.3021567702</v>
      </c>
      <c r="V620" s="163">
        <f>IFERROR((F620-F246)/F620,)</f>
        <v>0.2419354839</v>
      </c>
      <c r="W620" s="398" t="str">
        <f>IFERROR((D620-monthly_reporting_2021!E411)/D620, )</f>
        <v/>
      </c>
      <c r="X620" s="398" t="str">
        <f>IFERROR((F620-monthly_reporting_2021!F411)/F620, )</f>
        <v/>
      </c>
      <c r="Y620" s="165"/>
      <c r="Z620" s="165"/>
      <c r="AA620" s="165"/>
    </row>
    <row r="621" hidden="1" outlineLevel="1">
      <c r="A621" s="165"/>
      <c r="B621" s="99">
        <v>45879.0</v>
      </c>
      <c r="C621" s="100" t="s">
        <v>32</v>
      </c>
      <c r="D621" s="101">
        <v>3711.18</v>
      </c>
      <c r="E621" s="401"/>
      <c r="F621" s="103">
        <v>9.0</v>
      </c>
      <c r="G621" s="103">
        <v>9.0</v>
      </c>
      <c r="H621" s="104">
        <f t="shared" si="1"/>
        <v>1</v>
      </c>
      <c r="I621" s="105">
        <f t="shared" si="2"/>
        <v>412.3533333</v>
      </c>
      <c r="J621" s="106">
        <f t="shared" si="3"/>
        <v>412.3533333</v>
      </c>
      <c r="K621" s="107">
        <v>1396.61</v>
      </c>
      <c r="L621" s="103">
        <v>210756.0</v>
      </c>
      <c r="M621" s="103">
        <v>5.0</v>
      </c>
      <c r="N621" s="108">
        <v>2943.95</v>
      </c>
      <c r="O621" s="109">
        <f t="shared" si="169"/>
        <v>0.4744000408</v>
      </c>
      <c r="P621" s="110">
        <f t="shared" si="5"/>
        <v>2.10792562</v>
      </c>
      <c r="Q621" s="109">
        <f t="shared" si="6"/>
        <v>0.3763250503</v>
      </c>
      <c r="R621" s="111">
        <f t="shared" si="7"/>
        <v>0.7932652148</v>
      </c>
      <c r="S621" s="112">
        <f t="shared" ref="S621:S635" si="173">D621-N621</f>
        <v>767.23</v>
      </c>
      <c r="T621" s="113">
        <f t="shared" si="9"/>
        <v>279.322</v>
      </c>
      <c r="U621" s="172"/>
      <c r="V621" s="172"/>
      <c r="W621" s="172"/>
      <c r="X621" s="172"/>
      <c r="Y621" s="173"/>
      <c r="Z621" s="165"/>
      <c r="AA621" s="165"/>
    </row>
    <row r="622" hidden="1" outlineLevel="1">
      <c r="A622" s="165"/>
      <c r="B622" s="174"/>
      <c r="C622" s="100" t="s">
        <v>33</v>
      </c>
      <c r="D622" s="117">
        <v>4721.95</v>
      </c>
      <c r="E622" s="401"/>
      <c r="F622" s="103">
        <v>76.0</v>
      </c>
      <c r="G622" s="103">
        <v>65.0</v>
      </c>
      <c r="H622" s="104">
        <f t="shared" si="1"/>
        <v>1.169230769</v>
      </c>
      <c r="I622" s="105">
        <f t="shared" si="2"/>
        <v>62.13092105</v>
      </c>
      <c r="J622" s="106">
        <f t="shared" si="3"/>
        <v>53.13828774</v>
      </c>
      <c r="K622" s="117">
        <v>576.22</v>
      </c>
      <c r="L622" s="103">
        <v>155896.0</v>
      </c>
      <c r="M622" s="103">
        <v>5.0</v>
      </c>
      <c r="N622" s="118">
        <v>980.0</v>
      </c>
      <c r="O622" s="109">
        <f t="shared" si="169"/>
        <v>0.5879795918</v>
      </c>
      <c r="P622" s="110">
        <f t="shared" si="5"/>
        <v>1.700739301</v>
      </c>
      <c r="Q622" s="109">
        <f t="shared" si="6"/>
        <v>0.1220300935</v>
      </c>
      <c r="R622" s="111">
        <f t="shared" si="7"/>
        <v>0.2075413759</v>
      </c>
      <c r="S622" s="119">
        <f t="shared" si="173"/>
        <v>3741.95</v>
      </c>
      <c r="T622" s="113">
        <f t="shared" si="9"/>
        <v>115.244</v>
      </c>
      <c r="U622" s="172"/>
      <c r="V622" s="172"/>
      <c r="W622" s="172"/>
      <c r="X622" s="172"/>
      <c r="Y622" s="173"/>
      <c r="Z622" s="165"/>
      <c r="AA622" s="165"/>
    </row>
    <row r="623" hidden="1" outlineLevel="1">
      <c r="A623" s="165"/>
      <c r="B623" s="174"/>
      <c r="C623" s="100" t="s">
        <v>34</v>
      </c>
      <c r="D623" s="120">
        <v>69.95</v>
      </c>
      <c r="E623" s="401"/>
      <c r="F623" s="103">
        <v>1.0</v>
      </c>
      <c r="G623" s="103">
        <v>1.0</v>
      </c>
      <c r="H623" s="104">
        <f t="shared" si="1"/>
        <v>1</v>
      </c>
      <c r="I623" s="105">
        <f t="shared" si="2"/>
        <v>69.95</v>
      </c>
      <c r="J623" s="106">
        <f t="shared" si="3"/>
        <v>69.95</v>
      </c>
      <c r="K623" s="120">
        <v>23.9</v>
      </c>
      <c r="L623" s="103">
        <v>235.0</v>
      </c>
      <c r="M623" s="103">
        <v>0.0</v>
      </c>
      <c r="N623" s="121">
        <v>0.0</v>
      </c>
      <c r="O623" s="109" t="str">
        <f>(K623/N623)</f>
        <v>#DIV/0!</v>
      </c>
      <c r="P623" s="110">
        <f t="shared" si="5"/>
        <v>0</v>
      </c>
      <c r="Q623" s="109">
        <f t="shared" si="6"/>
        <v>0.3416726233</v>
      </c>
      <c r="R623" s="111">
        <f t="shared" si="7"/>
        <v>0</v>
      </c>
      <c r="S623" s="122">
        <f t="shared" si="173"/>
        <v>69.95</v>
      </c>
      <c r="T623" s="113" t="str">
        <f t="shared" si="9"/>
        <v>#DIV/0!</v>
      </c>
      <c r="U623" s="172"/>
      <c r="V623" s="172"/>
      <c r="W623" s="172"/>
      <c r="X623" s="172"/>
      <c r="Y623" s="173"/>
      <c r="Z623" s="165"/>
      <c r="AA623" s="165"/>
    </row>
    <row r="624" hidden="1" outlineLevel="1">
      <c r="A624" s="165"/>
      <c r="B624" s="174"/>
      <c r="C624" s="100" t="s">
        <v>35</v>
      </c>
      <c r="D624" s="120">
        <v>899.25</v>
      </c>
      <c r="E624" s="401"/>
      <c r="F624" s="103">
        <v>15.0</v>
      </c>
      <c r="G624" s="103">
        <v>12.0</v>
      </c>
      <c r="H624" s="104">
        <f t="shared" si="1"/>
        <v>1.25</v>
      </c>
      <c r="I624" s="105">
        <f t="shared" si="2"/>
        <v>59.95</v>
      </c>
      <c r="J624" s="106">
        <f t="shared" si="3"/>
        <v>47.96</v>
      </c>
      <c r="K624" s="120">
        <v>278.45</v>
      </c>
      <c r="L624" s="103">
        <v>22772.0</v>
      </c>
      <c r="M624" s="103">
        <v>3.0</v>
      </c>
      <c r="N624" s="121">
        <v>179.85</v>
      </c>
      <c r="O624" s="109">
        <f t="shared" ref="O624:O638" si="174">K624/N624</f>
        <v>1.54823464</v>
      </c>
      <c r="P624" s="110">
        <f t="shared" si="5"/>
        <v>0.6458969294</v>
      </c>
      <c r="Q624" s="109">
        <f t="shared" si="6"/>
        <v>0.309646928</v>
      </c>
      <c r="R624" s="111">
        <f t="shared" si="7"/>
        <v>0.2</v>
      </c>
      <c r="S624" s="122">
        <f t="shared" si="173"/>
        <v>719.4</v>
      </c>
      <c r="T624" s="113">
        <f t="shared" si="9"/>
        <v>92.81666667</v>
      </c>
      <c r="U624" s="172"/>
      <c r="V624" s="172"/>
      <c r="W624" s="172"/>
      <c r="X624" s="172"/>
      <c r="Y624" s="173"/>
      <c r="Z624" s="165"/>
      <c r="AA624" s="165"/>
    </row>
    <row r="625" hidden="1" outlineLevel="1">
      <c r="A625" s="165"/>
      <c r="B625" s="174"/>
      <c r="C625" s="100" t="s">
        <v>36</v>
      </c>
      <c r="D625" s="120">
        <v>59.95</v>
      </c>
      <c r="E625" s="401"/>
      <c r="F625" s="103">
        <v>1.0</v>
      </c>
      <c r="G625" s="103">
        <v>1.0</v>
      </c>
      <c r="H625" s="104">
        <f t="shared" si="1"/>
        <v>1</v>
      </c>
      <c r="I625" s="105">
        <f t="shared" si="2"/>
        <v>59.95</v>
      </c>
      <c r="J625" s="106">
        <f t="shared" si="3"/>
        <v>59.95</v>
      </c>
      <c r="K625" s="120">
        <v>120.39</v>
      </c>
      <c r="L625" s="103">
        <v>19826.0</v>
      </c>
      <c r="M625" s="103">
        <v>3.0</v>
      </c>
      <c r="N625" s="121">
        <v>119.9</v>
      </c>
      <c r="O625" s="109">
        <f t="shared" si="174"/>
        <v>1.004086739</v>
      </c>
      <c r="P625" s="110">
        <f t="shared" si="5"/>
        <v>0.9959298945</v>
      </c>
      <c r="Q625" s="109">
        <f t="shared" si="6"/>
        <v>2.008173478</v>
      </c>
      <c r="R625" s="111">
        <f t="shared" si="7"/>
        <v>2</v>
      </c>
      <c r="S625" s="122">
        <f t="shared" si="173"/>
        <v>-59.95</v>
      </c>
      <c r="T625" s="113">
        <f t="shared" si="9"/>
        <v>40.13</v>
      </c>
      <c r="U625" s="172"/>
      <c r="V625" s="172"/>
      <c r="W625" s="172"/>
      <c r="X625" s="172"/>
      <c r="Y625" s="173"/>
      <c r="Z625" s="165"/>
      <c r="AA625" s="165"/>
    </row>
    <row r="626" hidden="1" outlineLevel="1">
      <c r="A626" s="165"/>
      <c r="B626" s="99" t="s">
        <v>37</v>
      </c>
      <c r="C626" s="100" t="s">
        <v>38</v>
      </c>
      <c r="D626" s="123">
        <v>64.9</v>
      </c>
      <c r="E626" s="401"/>
      <c r="F626" s="103">
        <v>2.0</v>
      </c>
      <c r="G626" s="103">
        <v>2.0</v>
      </c>
      <c r="H626" s="104">
        <f t="shared" si="1"/>
        <v>1</v>
      </c>
      <c r="I626" s="105">
        <f t="shared" si="2"/>
        <v>32.45</v>
      </c>
      <c r="J626" s="106">
        <f t="shared" si="3"/>
        <v>32.45</v>
      </c>
      <c r="K626" s="123">
        <v>53.57</v>
      </c>
      <c r="L626" s="103">
        <v>15457.0</v>
      </c>
      <c r="M626" s="103">
        <v>1.0</v>
      </c>
      <c r="N626" s="124">
        <v>29.95</v>
      </c>
      <c r="O626" s="109">
        <f t="shared" si="174"/>
        <v>1.788647746</v>
      </c>
      <c r="P626" s="110">
        <f t="shared" si="5"/>
        <v>0.5590815755</v>
      </c>
      <c r="Q626" s="109">
        <f t="shared" si="6"/>
        <v>0.8254237288</v>
      </c>
      <c r="R626" s="111">
        <f t="shared" si="7"/>
        <v>0.4614791988</v>
      </c>
      <c r="S626" s="125">
        <f t="shared" si="173"/>
        <v>34.95</v>
      </c>
      <c r="T626" s="113">
        <f t="shared" si="9"/>
        <v>53.57</v>
      </c>
      <c r="U626" s="172"/>
      <c r="V626" s="172"/>
      <c r="W626" s="172"/>
      <c r="X626" s="172"/>
      <c r="Y626" s="173"/>
      <c r="Z626" s="165"/>
      <c r="AA626" s="165"/>
    </row>
    <row r="627" hidden="1" outlineLevel="1">
      <c r="A627" s="165"/>
      <c r="B627" s="174"/>
      <c r="C627" s="100" t="s">
        <v>39</v>
      </c>
      <c r="D627" s="126">
        <v>24.95</v>
      </c>
      <c r="E627" s="401"/>
      <c r="F627" s="103">
        <v>1.0</v>
      </c>
      <c r="G627" s="103">
        <v>1.0</v>
      </c>
      <c r="H627" s="104">
        <f t="shared" si="1"/>
        <v>1</v>
      </c>
      <c r="I627" s="105">
        <f t="shared" si="2"/>
        <v>24.95</v>
      </c>
      <c r="J627" s="106">
        <f t="shared" si="3"/>
        <v>24.95</v>
      </c>
      <c r="K627" s="126">
        <v>0.0</v>
      </c>
      <c r="L627" s="103">
        <v>0.0</v>
      </c>
      <c r="M627" s="103">
        <v>0.0</v>
      </c>
      <c r="N627" s="127">
        <v>0.0</v>
      </c>
      <c r="O627" s="109" t="str">
        <f t="shared" si="174"/>
        <v>#DIV/0!</v>
      </c>
      <c r="P627" s="110" t="str">
        <f t="shared" si="5"/>
        <v>#DIV/0!</v>
      </c>
      <c r="Q627" s="109">
        <f t="shared" si="6"/>
        <v>0</v>
      </c>
      <c r="R627" s="111">
        <f t="shared" si="7"/>
        <v>0</v>
      </c>
      <c r="S627" s="128">
        <f t="shared" si="173"/>
        <v>24.95</v>
      </c>
      <c r="T627" s="113" t="str">
        <f t="shared" si="9"/>
        <v>#DIV/0!</v>
      </c>
      <c r="U627" s="172"/>
      <c r="V627" s="172"/>
      <c r="W627" s="172"/>
      <c r="X627" s="172"/>
      <c r="Y627" s="173"/>
      <c r="Z627" s="165"/>
      <c r="AA627" s="165"/>
    </row>
    <row r="628" hidden="1" outlineLevel="1">
      <c r="A628" s="165"/>
      <c r="B628" s="174"/>
      <c r="C628" s="100" t="s">
        <v>40</v>
      </c>
      <c r="D628" s="129">
        <v>219.8</v>
      </c>
      <c r="E628" s="401"/>
      <c r="F628" s="103">
        <v>4.0</v>
      </c>
      <c r="G628" s="103">
        <v>3.0</v>
      </c>
      <c r="H628" s="104">
        <f t="shared" si="1"/>
        <v>1.333333333</v>
      </c>
      <c r="I628" s="105">
        <f t="shared" si="2"/>
        <v>54.95</v>
      </c>
      <c r="J628" s="106">
        <f t="shared" si="3"/>
        <v>41.2125</v>
      </c>
      <c r="K628" s="129">
        <v>0.0</v>
      </c>
      <c r="L628" s="103">
        <v>0.0</v>
      </c>
      <c r="M628" s="103">
        <v>0.0</v>
      </c>
      <c r="N628" s="130">
        <v>0.0</v>
      </c>
      <c r="O628" s="109" t="str">
        <f t="shared" si="174"/>
        <v>#DIV/0!</v>
      </c>
      <c r="P628" s="110" t="str">
        <f t="shared" si="5"/>
        <v>#DIV/0!</v>
      </c>
      <c r="Q628" s="109">
        <f t="shared" si="6"/>
        <v>0</v>
      </c>
      <c r="R628" s="111">
        <f t="shared" si="7"/>
        <v>0</v>
      </c>
      <c r="S628" s="131">
        <f t="shared" si="173"/>
        <v>219.8</v>
      </c>
      <c r="T628" s="113" t="str">
        <f t="shared" si="9"/>
        <v>#DIV/0!</v>
      </c>
      <c r="U628" s="172"/>
      <c r="V628" s="172"/>
      <c r="W628" s="172"/>
      <c r="X628" s="172"/>
      <c r="Y628" s="173"/>
      <c r="Z628" s="165"/>
      <c r="AA628" s="165"/>
    </row>
    <row r="629" hidden="1" outlineLevel="1">
      <c r="A629" s="165"/>
      <c r="B629" s="174"/>
      <c r="C629" s="100" t="s">
        <v>41</v>
      </c>
      <c r="D629" s="132">
        <v>1340.03</v>
      </c>
      <c r="E629" s="401"/>
      <c r="F629" s="103">
        <v>11.0</v>
      </c>
      <c r="G629" s="103">
        <v>11.0</v>
      </c>
      <c r="H629" s="104">
        <f t="shared" si="1"/>
        <v>1</v>
      </c>
      <c r="I629" s="105">
        <f t="shared" si="2"/>
        <v>121.8209091</v>
      </c>
      <c r="J629" s="106">
        <f t="shared" si="3"/>
        <v>121.8209091</v>
      </c>
      <c r="K629" s="132">
        <v>365.85</v>
      </c>
      <c r="L629" s="103">
        <v>33599.0</v>
      </c>
      <c r="M629" s="103">
        <v>3.0</v>
      </c>
      <c r="N629" s="133">
        <v>378.68</v>
      </c>
      <c r="O629" s="109">
        <f t="shared" si="174"/>
        <v>0.9661191507</v>
      </c>
      <c r="P629" s="110">
        <f t="shared" si="5"/>
        <v>1.035069017</v>
      </c>
      <c r="Q629" s="109">
        <f t="shared" si="6"/>
        <v>0.2730162758</v>
      </c>
      <c r="R629" s="111">
        <f t="shared" si="7"/>
        <v>0.2825906883</v>
      </c>
      <c r="S629" s="134">
        <f t="shared" si="173"/>
        <v>961.35</v>
      </c>
      <c r="T629" s="113">
        <f t="shared" si="9"/>
        <v>121.95</v>
      </c>
      <c r="U629" s="172"/>
      <c r="V629" s="172"/>
      <c r="W629" s="172"/>
      <c r="X629" s="172"/>
      <c r="Y629" s="173"/>
      <c r="Z629" s="165"/>
      <c r="AA629" s="165"/>
    </row>
    <row r="630" hidden="1" outlineLevel="1">
      <c r="A630" s="165"/>
      <c r="B630" s="174"/>
      <c r="C630" s="100" t="s">
        <v>42</v>
      </c>
      <c r="D630" s="120">
        <v>-19.99</v>
      </c>
      <c r="E630" s="401"/>
      <c r="F630" s="103">
        <v>-1.0</v>
      </c>
      <c r="G630" s="103">
        <v>0.0</v>
      </c>
      <c r="H630" s="104" t="str">
        <f t="shared" si="1"/>
        <v>#DIV/0!</v>
      </c>
      <c r="I630" s="105">
        <f t="shared" si="2"/>
        <v>19.99</v>
      </c>
      <c r="J630" s="106" t="str">
        <f t="shared" si="3"/>
        <v>#DIV/0!</v>
      </c>
      <c r="K630" s="120">
        <v>0.0</v>
      </c>
      <c r="L630" s="103">
        <v>0.0</v>
      </c>
      <c r="M630" s="103">
        <v>0.0</v>
      </c>
      <c r="N630" s="121">
        <v>0.0</v>
      </c>
      <c r="O630" s="109" t="str">
        <f t="shared" si="174"/>
        <v>#DIV/0!</v>
      </c>
      <c r="P630" s="110" t="str">
        <f t="shared" si="5"/>
        <v>#DIV/0!</v>
      </c>
      <c r="Q630" s="109">
        <f t="shared" si="6"/>
        <v>0</v>
      </c>
      <c r="R630" s="111">
        <f t="shared" si="7"/>
        <v>0</v>
      </c>
      <c r="S630" s="122">
        <f t="shared" si="173"/>
        <v>-19.99</v>
      </c>
      <c r="T630" s="113" t="str">
        <f t="shared" si="9"/>
        <v>#DIV/0!</v>
      </c>
      <c r="U630" s="172"/>
      <c r="V630" s="172"/>
      <c r="W630" s="172"/>
      <c r="X630" s="172"/>
      <c r="Y630" s="173"/>
      <c r="Z630" s="165"/>
      <c r="AA630" s="165"/>
    </row>
    <row r="631" hidden="1" outlineLevel="1">
      <c r="A631" s="165"/>
      <c r="B631" s="174"/>
      <c r="C631" s="100" t="s">
        <v>43</v>
      </c>
      <c r="D631" s="135">
        <v>0.0</v>
      </c>
      <c r="E631" s="401"/>
      <c r="F631" s="103">
        <v>0.0</v>
      </c>
      <c r="G631" s="103">
        <v>0.0</v>
      </c>
      <c r="H631" s="104" t="str">
        <f t="shared" si="1"/>
        <v>#DIV/0!</v>
      </c>
      <c r="I631" s="105" t="str">
        <f t="shared" si="2"/>
        <v>#DIV/0!</v>
      </c>
      <c r="J631" s="106" t="str">
        <f t="shared" si="3"/>
        <v>#DIV/0!</v>
      </c>
      <c r="K631" s="135">
        <v>46.47</v>
      </c>
      <c r="L631" s="103">
        <v>14231.0</v>
      </c>
      <c r="M631" s="103">
        <v>0.0</v>
      </c>
      <c r="N631" s="136">
        <v>0.0</v>
      </c>
      <c r="O631" s="109" t="str">
        <f t="shared" si="174"/>
        <v>#DIV/0!</v>
      </c>
      <c r="P631" s="110">
        <f t="shared" si="5"/>
        <v>0</v>
      </c>
      <c r="Q631" s="109" t="str">
        <f t="shared" si="6"/>
        <v>#DIV/0!</v>
      </c>
      <c r="R631" s="111" t="str">
        <f t="shared" si="7"/>
        <v>#DIV/0!</v>
      </c>
      <c r="S631" s="137">
        <f t="shared" si="173"/>
        <v>0</v>
      </c>
      <c r="T631" s="113" t="str">
        <f t="shared" si="9"/>
        <v>#DIV/0!</v>
      </c>
      <c r="U631" s="172"/>
      <c r="V631" s="172"/>
      <c r="W631" s="172"/>
      <c r="X631" s="172"/>
      <c r="Y631" s="173"/>
      <c r="Z631" s="165"/>
      <c r="AA631" s="165"/>
    </row>
    <row r="632" hidden="1" outlineLevel="1">
      <c r="A632" s="165"/>
      <c r="B632" s="174"/>
      <c r="C632" s="100" t="s">
        <v>44</v>
      </c>
      <c r="D632" s="138">
        <v>134.85</v>
      </c>
      <c r="E632" s="401"/>
      <c r="F632" s="103">
        <v>3.0</v>
      </c>
      <c r="G632" s="103">
        <v>5.0</v>
      </c>
      <c r="H632" s="104">
        <f t="shared" si="1"/>
        <v>0.6</v>
      </c>
      <c r="I632" s="105">
        <f t="shared" si="2"/>
        <v>44.95</v>
      </c>
      <c r="J632" s="106">
        <f t="shared" si="3"/>
        <v>74.91666667</v>
      </c>
      <c r="K632" s="138">
        <v>151.04</v>
      </c>
      <c r="L632" s="103">
        <v>64325.0</v>
      </c>
      <c r="M632" s="103">
        <v>2.0</v>
      </c>
      <c r="N632" s="139">
        <v>89.9</v>
      </c>
      <c r="O632" s="109">
        <f t="shared" si="174"/>
        <v>1.680088988</v>
      </c>
      <c r="P632" s="110">
        <f t="shared" si="5"/>
        <v>0.5952065678</v>
      </c>
      <c r="Q632" s="109">
        <f t="shared" si="6"/>
        <v>1.120059325</v>
      </c>
      <c r="R632" s="111">
        <f t="shared" si="7"/>
        <v>0.6666666667</v>
      </c>
      <c r="S632" s="140">
        <f t="shared" si="173"/>
        <v>44.95</v>
      </c>
      <c r="T632" s="113">
        <f t="shared" si="9"/>
        <v>75.52</v>
      </c>
      <c r="U632" s="172"/>
      <c r="V632" s="172"/>
      <c r="W632" s="172"/>
      <c r="X632" s="172"/>
      <c r="Y632" s="173"/>
      <c r="Z632" s="165"/>
      <c r="AA632" s="165"/>
    </row>
    <row r="633" hidden="1" outlineLevel="1">
      <c r="A633" s="192"/>
      <c r="B633" s="174"/>
      <c r="C633" s="142" t="s">
        <v>45</v>
      </c>
      <c r="D633" s="101">
        <v>0.0</v>
      </c>
      <c r="E633" s="401"/>
      <c r="F633" s="103">
        <v>0.0</v>
      </c>
      <c r="G633" s="103">
        <v>0.0</v>
      </c>
      <c r="H633" s="104" t="str">
        <f t="shared" si="1"/>
        <v>#DIV/0!</v>
      </c>
      <c r="I633" s="105" t="str">
        <f t="shared" si="2"/>
        <v>#DIV/0!</v>
      </c>
      <c r="J633" s="106" t="str">
        <f t="shared" si="3"/>
        <v>#DIV/0!</v>
      </c>
      <c r="K633" s="101">
        <v>0.0</v>
      </c>
      <c r="L633" s="103">
        <v>0.0</v>
      </c>
      <c r="M633" s="103">
        <v>0.0</v>
      </c>
      <c r="N633" s="108">
        <v>0.0</v>
      </c>
      <c r="O633" s="109" t="str">
        <f t="shared" si="174"/>
        <v>#DIV/0!</v>
      </c>
      <c r="P633" s="110" t="str">
        <f t="shared" si="5"/>
        <v>#DIV/0!</v>
      </c>
      <c r="Q633" s="109" t="str">
        <f t="shared" si="6"/>
        <v>#DIV/0!</v>
      </c>
      <c r="R633" s="111" t="str">
        <f t="shared" si="7"/>
        <v>#DIV/0!</v>
      </c>
      <c r="S633" s="112">
        <f t="shared" si="173"/>
        <v>0</v>
      </c>
      <c r="T633" s="113" t="str">
        <f t="shared" si="9"/>
        <v>#DIV/0!</v>
      </c>
      <c r="U633" s="193"/>
      <c r="V633" s="193"/>
      <c r="W633" s="193"/>
      <c r="X633" s="194"/>
      <c r="Y633" s="195"/>
      <c r="Z633" s="165"/>
      <c r="AA633" s="165"/>
    </row>
    <row r="634" hidden="1" outlineLevel="1">
      <c r="A634" s="165"/>
      <c r="B634" s="174"/>
      <c r="C634" s="100" t="s">
        <v>46</v>
      </c>
      <c r="D634" s="146">
        <v>179.8</v>
      </c>
      <c r="E634" s="401"/>
      <c r="F634" s="103">
        <v>4.0</v>
      </c>
      <c r="G634" s="103">
        <v>4.0</v>
      </c>
      <c r="H634" s="104">
        <f t="shared" si="1"/>
        <v>1</v>
      </c>
      <c r="I634" s="105">
        <f t="shared" si="2"/>
        <v>44.95</v>
      </c>
      <c r="J634" s="106">
        <f t="shared" si="3"/>
        <v>44.95</v>
      </c>
      <c r="K634" s="146">
        <v>92.52</v>
      </c>
      <c r="L634" s="103">
        <v>27385.0</v>
      </c>
      <c r="M634" s="103">
        <v>3.0</v>
      </c>
      <c r="N634" s="147">
        <v>134.85</v>
      </c>
      <c r="O634" s="109">
        <f t="shared" si="174"/>
        <v>0.6860956618</v>
      </c>
      <c r="P634" s="110">
        <f t="shared" si="5"/>
        <v>1.457522698</v>
      </c>
      <c r="Q634" s="109">
        <f t="shared" si="6"/>
        <v>0.5145717464</v>
      </c>
      <c r="R634" s="111">
        <f t="shared" si="7"/>
        <v>0.75</v>
      </c>
      <c r="S634" s="112">
        <f t="shared" si="173"/>
        <v>44.95</v>
      </c>
      <c r="T634" s="113">
        <f t="shared" si="9"/>
        <v>30.84</v>
      </c>
      <c r="U634" s="172"/>
      <c r="V634" s="172"/>
      <c r="W634" s="172"/>
      <c r="X634" s="172"/>
      <c r="Y634" s="173"/>
      <c r="Z634" s="165"/>
      <c r="AA634" s="165"/>
    </row>
    <row r="635" hidden="1" outlineLevel="1">
      <c r="A635" s="148" t="str">
        <f t="shared" ref="A635:A636" si="175">iferror(if(B635&gt;0,month(B635)&amp;"-"&amp;year(B635),B635),)</f>
        <v>8-2025</v>
      </c>
      <c r="B635" s="99">
        <v>45885.0</v>
      </c>
      <c r="C635" s="100" t="s">
        <v>49</v>
      </c>
      <c r="D635" s="146">
        <v>0.0</v>
      </c>
      <c r="E635" s="401"/>
      <c r="F635" s="103">
        <v>0.0</v>
      </c>
      <c r="G635" s="103">
        <v>0.0</v>
      </c>
      <c r="H635" s="104" t="str">
        <f t="shared" si="1"/>
        <v>#DIV/0!</v>
      </c>
      <c r="I635" s="105" t="str">
        <f t="shared" si="2"/>
        <v>#DIV/0!</v>
      </c>
      <c r="J635" s="106" t="str">
        <f t="shared" si="3"/>
        <v>#DIV/0!</v>
      </c>
      <c r="K635" s="146">
        <v>24.33</v>
      </c>
      <c r="L635" s="103">
        <v>17119.0</v>
      </c>
      <c r="M635" s="103">
        <v>0.0</v>
      </c>
      <c r="N635" s="147">
        <v>0.0</v>
      </c>
      <c r="O635" s="109" t="str">
        <f t="shared" si="174"/>
        <v>#DIV/0!</v>
      </c>
      <c r="P635" s="110">
        <f t="shared" si="5"/>
        <v>0</v>
      </c>
      <c r="Q635" s="109" t="str">
        <f t="shared" si="6"/>
        <v>#DIV/0!</v>
      </c>
      <c r="R635" s="111" t="str">
        <f t="shared" si="7"/>
        <v>#DIV/0!</v>
      </c>
      <c r="S635" s="112">
        <f t="shared" si="173"/>
        <v>0</v>
      </c>
      <c r="T635" s="113" t="str">
        <f t="shared" si="9"/>
        <v>#DIV/0!</v>
      </c>
      <c r="U635" s="172"/>
      <c r="V635" s="172"/>
      <c r="W635" s="172"/>
      <c r="X635" s="172"/>
      <c r="Y635" s="173"/>
      <c r="Z635" s="165"/>
      <c r="AA635" s="165"/>
    </row>
    <row r="636" collapsed="1">
      <c r="A636" s="165" t="str">
        <f t="shared" si="175"/>
        <v/>
      </c>
      <c r="B636" s="80" t="s">
        <v>120</v>
      </c>
      <c r="C636" s="201"/>
      <c r="D636" s="151">
        <f>SUM(D621:D635)</f>
        <v>11406.62</v>
      </c>
      <c r="E636" s="400"/>
      <c r="F636" s="153">
        <f t="shared" ref="F636:G636" si="176">SUM(F621:F635)</f>
        <v>126</v>
      </c>
      <c r="G636" s="153">
        <f t="shared" si="176"/>
        <v>114</v>
      </c>
      <c r="H636" s="154">
        <f t="shared" si="1"/>
        <v>1.105263158</v>
      </c>
      <c r="I636" s="155">
        <f t="shared" si="2"/>
        <v>90.52873016</v>
      </c>
      <c r="J636" s="156">
        <f t="shared" si="3"/>
        <v>81.90694633</v>
      </c>
      <c r="K636" s="151">
        <f t="shared" ref="K636:N636" si="177">SUM(K621:K635)</f>
        <v>3129.35</v>
      </c>
      <c r="L636" s="153">
        <f t="shared" si="177"/>
        <v>581601</v>
      </c>
      <c r="M636" s="153">
        <f t="shared" si="177"/>
        <v>25</v>
      </c>
      <c r="N636" s="157">
        <f t="shared" si="177"/>
        <v>4857.08</v>
      </c>
      <c r="O636" s="158">
        <f t="shared" si="174"/>
        <v>0.644286279</v>
      </c>
      <c r="P636" s="159">
        <f t="shared" si="5"/>
        <v>1.55210507</v>
      </c>
      <c r="Q636" s="158">
        <f t="shared" si="6"/>
        <v>0.2743450733</v>
      </c>
      <c r="R636" s="160">
        <f t="shared" si="7"/>
        <v>0.4258123791</v>
      </c>
      <c r="S636" s="161">
        <f>SUM(S621:S635)</f>
        <v>6549.54</v>
      </c>
      <c r="T636" s="162">
        <f t="shared" si="9"/>
        <v>125.174</v>
      </c>
      <c r="U636" s="163">
        <f>IFERROR((D636-D246)/D636,)</f>
        <v>0.3353578887</v>
      </c>
      <c r="V636" s="163">
        <f>IFERROR((F636-F246)/F636,)</f>
        <v>0.253968254</v>
      </c>
      <c r="W636" s="398" t="str">
        <f>IFERROR((D636-monthly_reporting_2021!E427)/D636, )</f>
        <v/>
      </c>
      <c r="X636" s="398" t="str">
        <f>IFERROR((F636-monthly_reporting_2021!F427)/F636, )</f>
        <v/>
      </c>
      <c r="Y636" s="165"/>
      <c r="Z636" s="165"/>
      <c r="AA636" s="165"/>
    </row>
    <row r="637" hidden="1" outlineLevel="1">
      <c r="A637" s="165"/>
      <c r="B637" s="99">
        <v>45886.0</v>
      </c>
      <c r="C637" s="100" t="s">
        <v>32</v>
      </c>
      <c r="D637" s="101">
        <v>5642.85</v>
      </c>
      <c r="E637" s="401"/>
      <c r="F637" s="103">
        <v>18.0</v>
      </c>
      <c r="G637" s="103">
        <v>16.0</v>
      </c>
      <c r="H637" s="104">
        <f t="shared" si="1"/>
        <v>1.125</v>
      </c>
      <c r="I637" s="105">
        <f t="shared" si="2"/>
        <v>313.4916667</v>
      </c>
      <c r="J637" s="106">
        <f t="shared" si="3"/>
        <v>278.6592593</v>
      </c>
      <c r="K637" s="107">
        <v>1621.84</v>
      </c>
      <c r="L637" s="103">
        <v>221353.0</v>
      </c>
      <c r="M637" s="103">
        <v>8.0</v>
      </c>
      <c r="N637" s="108">
        <v>1816.35</v>
      </c>
      <c r="O637" s="109">
        <f t="shared" si="174"/>
        <v>0.8929116084</v>
      </c>
      <c r="P637" s="110">
        <f t="shared" si="5"/>
        <v>1.119931683</v>
      </c>
      <c r="Q637" s="109">
        <f t="shared" si="6"/>
        <v>0.2874150474</v>
      </c>
      <c r="R637" s="111">
        <f t="shared" si="7"/>
        <v>0.3218852176</v>
      </c>
      <c r="S637" s="112">
        <f t="shared" ref="S637:S651" si="178">D637-N637</f>
        <v>3826.5</v>
      </c>
      <c r="T637" s="113">
        <f t="shared" si="9"/>
        <v>202.73</v>
      </c>
      <c r="U637" s="172"/>
      <c r="V637" s="172"/>
      <c r="W637" s="172"/>
      <c r="X637" s="172"/>
      <c r="Y637" s="173"/>
      <c r="Z637" s="165"/>
      <c r="AA637" s="165"/>
    </row>
    <row r="638" hidden="1" outlineLevel="1">
      <c r="A638" s="165"/>
      <c r="B638" s="174"/>
      <c r="C638" s="100" t="s">
        <v>33</v>
      </c>
      <c r="D638" s="117">
        <v>6158.86</v>
      </c>
      <c r="E638" s="401"/>
      <c r="F638" s="103">
        <v>80.0</v>
      </c>
      <c r="G638" s="103">
        <v>72.0</v>
      </c>
      <c r="H638" s="104">
        <f t="shared" si="1"/>
        <v>1.111111111</v>
      </c>
      <c r="I638" s="105">
        <f t="shared" si="2"/>
        <v>76.98575</v>
      </c>
      <c r="J638" s="106">
        <f t="shared" si="3"/>
        <v>69.287175</v>
      </c>
      <c r="K638" s="117">
        <v>539.69</v>
      </c>
      <c r="L638" s="103">
        <v>149671.0</v>
      </c>
      <c r="M638" s="103">
        <v>9.0</v>
      </c>
      <c r="N638" s="118">
        <v>788.95</v>
      </c>
      <c r="O638" s="109">
        <f t="shared" si="174"/>
        <v>0.6840610939</v>
      </c>
      <c r="P638" s="110">
        <f t="shared" si="5"/>
        <v>1.461857733</v>
      </c>
      <c r="Q638" s="109">
        <f t="shared" si="6"/>
        <v>0.0876282299</v>
      </c>
      <c r="R638" s="111">
        <f t="shared" si="7"/>
        <v>0.1281000055</v>
      </c>
      <c r="S638" s="119">
        <f t="shared" si="178"/>
        <v>5369.91</v>
      </c>
      <c r="T638" s="113">
        <f t="shared" si="9"/>
        <v>59.96555556</v>
      </c>
      <c r="U638" s="172"/>
      <c r="V638" s="172"/>
      <c r="W638" s="172"/>
      <c r="X638" s="172"/>
      <c r="Y638" s="173"/>
      <c r="Z638" s="165"/>
      <c r="AA638" s="165"/>
    </row>
    <row r="639" hidden="1" outlineLevel="1">
      <c r="A639" s="165"/>
      <c r="B639" s="174"/>
      <c r="C639" s="100" t="s">
        <v>34</v>
      </c>
      <c r="D639" s="120">
        <v>69.95</v>
      </c>
      <c r="E639" s="401"/>
      <c r="F639" s="103">
        <v>1.0</v>
      </c>
      <c r="G639" s="103">
        <v>2.0</v>
      </c>
      <c r="H639" s="104">
        <f t="shared" si="1"/>
        <v>0.5</v>
      </c>
      <c r="I639" s="105">
        <f t="shared" si="2"/>
        <v>69.95</v>
      </c>
      <c r="J639" s="106">
        <f t="shared" si="3"/>
        <v>139.9</v>
      </c>
      <c r="K639" s="120">
        <v>0.0</v>
      </c>
      <c r="L639" s="103">
        <v>214.0</v>
      </c>
      <c r="M639" s="103">
        <v>0.0</v>
      </c>
      <c r="N639" s="121">
        <v>0.0</v>
      </c>
      <c r="O639" s="109" t="str">
        <f>(K639/N639)</f>
        <v>#DIV/0!</v>
      </c>
      <c r="P639" s="110" t="str">
        <f t="shared" si="5"/>
        <v>#DIV/0!</v>
      </c>
      <c r="Q639" s="109">
        <f t="shared" si="6"/>
        <v>0</v>
      </c>
      <c r="R639" s="111">
        <f t="shared" si="7"/>
        <v>0</v>
      </c>
      <c r="S639" s="122">
        <f t="shared" si="178"/>
        <v>69.95</v>
      </c>
      <c r="T639" s="113" t="str">
        <f t="shared" si="9"/>
        <v>#DIV/0!</v>
      </c>
      <c r="U639" s="172"/>
      <c r="V639" s="172"/>
      <c r="W639" s="172"/>
      <c r="X639" s="172"/>
      <c r="Y639" s="173"/>
      <c r="Z639" s="165"/>
      <c r="AA639" s="165"/>
    </row>
    <row r="640" hidden="1" outlineLevel="1">
      <c r="A640" s="165"/>
      <c r="B640" s="174"/>
      <c r="C640" s="100" t="s">
        <v>35</v>
      </c>
      <c r="D640" s="120">
        <v>611.5</v>
      </c>
      <c r="E640" s="401"/>
      <c r="F640" s="103">
        <v>10.0</v>
      </c>
      <c r="G640" s="103">
        <v>8.0</v>
      </c>
      <c r="H640" s="104">
        <f t="shared" si="1"/>
        <v>1.25</v>
      </c>
      <c r="I640" s="105">
        <f t="shared" si="2"/>
        <v>61.15</v>
      </c>
      <c r="J640" s="106">
        <f t="shared" si="3"/>
        <v>48.92</v>
      </c>
      <c r="K640" s="120">
        <v>256.79</v>
      </c>
      <c r="L640" s="103">
        <v>21116.0</v>
      </c>
      <c r="M640" s="103">
        <v>3.0</v>
      </c>
      <c r="N640" s="121">
        <v>179.85</v>
      </c>
      <c r="O640" s="109">
        <f t="shared" ref="O640:O654" si="179">K640/N640</f>
        <v>1.427800945</v>
      </c>
      <c r="P640" s="110">
        <f t="shared" si="5"/>
        <v>0.7003777406</v>
      </c>
      <c r="Q640" s="109">
        <f t="shared" si="6"/>
        <v>0.4199345871</v>
      </c>
      <c r="R640" s="111">
        <f t="shared" si="7"/>
        <v>0.2941128373</v>
      </c>
      <c r="S640" s="122">
        <f t="shared" si="178"/>
        <v>431.65</v>
      </c>
      <c r="T640" s="113">
        <f t="shared" si="9"/>
        <v>85.59666667</v>
      </c>
      <c r="U640" s="172"/>
      <c r="V640" s="172"/>
      <c r="W640" s="172"/>
      <c r="X640" s="172"/>
      <c r="Y640" s="173"/>
      <c r="Z640" s="165"/>
      <c r="AA640" s="165"/>
    </row>
    <row r="641" hidden="1" outlineLevel="1">
      <c r="A641" s="165"/>
      <c r="B641" s="174"/>
      <c r="C641" s="100" t="s">
        <v>36</v>
      </c>
      <c r="D641" s="120">
        <v>309.75</v>
      </c>
      <c r="E641" s="401"/>
      <c r="F641" s="103">
        <v>5.0</v>
      </c>
      <c r="G641" s="103">
        <v>5.0</v>
      </c>
      <c r="H641" s="104">
        <f t="shared" si="1"/>
        <v>1</v>
      </c>
      <c r="I641" s="105">
        <f t="shared" si="2"/>
        <v>61.95</v>
      </c>
      <c r="J641" s="106">
        <f t="shared" si="3"/>
        <v>61.95</v>
      </c>
      <c r="K641" s="120">
        <v>89.76</v>
      </c>
      <c r="L641" s="103">
        <v>20605.0</v>
      </c>
      <c r="M641" s="103">
        <v>3.0</v>
      </c>
      <c r="N641" s="121">
        <v>189.85</v>
      </c>
      <c r="O641" s="109">
        <f t="shared" si="179"/>
        <v>0.4727943113</v>
      </c>
      <c r="P641" s="110">
        <f t="shared" si="5"/>
        <v>2.11508467</v>
      </c>
      <c r="Q641" s="109">
        <f t="shared" si="6"/>
        <v>0.2897820823</v>
      </c>
      <c r="R641" s="111">
        <f t="shared" si="7"/>
        <v>0.61291364</v>
      </c>
      <c r="S641" s="122">
        <f t="shared" si="178"/>
        <v>119.9</v>
      </c>
      <c r="T641" s="113">
        <f t="shared" si="9"/>
        <v>29.92</v>
      </c>
      <c r="U641" s="172"/>
      <c r="V641" s="172"/>
      <c r="W641" s="172"/>
      <c r="X641" s="172"/>
      <c r="Y641" s="173"/>
      <c r="Z641" s="165"/>
      <c r="AA641" s="165"/>
    </row>
    <row r="642" hidden="1" outlineLevel="1">
      <c r="A642" s="165"/>
      <c r="B642" s="99" t="s">
        <v>37</v>
      </c>
      <c r="C642" s="100" t="s">
        <v>38</v>
      </c>
      <c r="D642" s="123">
        <v>59.9</v>
      </c>
      <c r="E642" s="401"/>
      <c r="F642" s="103">
        <v>2.0</v>
      </c>
      <c r="G642" s="103">
        <v>1.0</v>
      </c>
      <c r="H642" s="104">
        <f t="shared" si="1"/>
        <v>2</v>
      </c>
      <c r="I642" s="105">
        <f t="shared" si="2"/>
        <v>29.95</v>
      </c>
      <c r="J642" s="106">
        <f t="shared" si="3"/>
        <v>14.975</v>
      </c>
      <c r="K642" s="123">
        <v>44.23</v>
      </c>
      <c r="L642" s="103">
        <v>12174.0</v>
      </c>
      <c r="M642" s="103">
        <v>0.0</v>
      </c>
      <c r="N642" s="124">
        <v>0.0</v>
      </c>
      <c r="O642" s="109" t="str">
        <f t="shared" si="179"/>
        <v>#DIV/0!</v>
      </c>
      <c r="P642" s="110">
        <f t="shared" si="5"/>
        <v>0</v>
      </c>
      <c r="Q642" s="109">
        <f t="shared" si="6"/>
        <v>0.7383973289</v>
      </c>
      <c r="R642" s="111">
        <f t="shared" si="7"/>
        <v>0</v>
      </c>
      <c r="S642" s="125">
        <f t="shared" si="178"/>
        <v>59.9</v>
      </c>
      <c r="T642" s="113" t="str">
        <f t="shared" si="9"/>
        <v>#DIV/0!</v>
      </c>
      <c r="U642" s="172"/>
      <c r="V642" s="172"/>
      <c r="W642" s="172"/>
      <c r="X642" s="172"/>
      <c r="Y642" s="173"/>
      <c r="Z642" s="165"/>
      <c r="AA642" s="165"/>
    </row>
    <row r="643" hidden="1" outlineLevel="1">
      <c r="A643" s="165"/>
      <c r="B643" s="174"/>
      <c r="C643" s="100" t="s">
        <v>39</v>
      </c>
      <c r="D643" s="126">
        <v>0.0</v>
      </c>
      <c r="E643" s="401"/>
      <c r="F643" s="103">
        <v>0.0</v>
      </c>
      <c r="G643" s="103">
        <v>0.0</v>
      </c>
      <c r="H643" s="104" t="str">
        <f t="shared" si="1"/>
        <v>#DIV/0!</v>
      </c>
      <c r="I643" s="105" t="str">
        <f t="shared" si="2"/>
        <v>#DIV/0!</v>
      </c>
      <c r="J643" s="106" t="str">
        <f t="shared" si="3"/>
        <v>#DIV/0!</v>
      </c>
      <c r="K643" s="126">
        <v>0.0</v>
      </c>
      <c r="L643" s="103">
        <v>0.0</v>
      </c>
      <c r="M643" s="103">
        <v>0.0</v>
      </c>
      <c r="N643" s="127">
        <v>0.0</v>
      </c>
      <c r="O643" s="109" t="str">
        <f t="shared" si="179"/>
        <v>#DIV/0!</v>
      </c>
      <c r="P643" s="110" t="str">
        <f t="shared" si="5"/>
        <v>#DIV/0!</v>
      </c>
      <c r="Q643" s="109" t="str">
        <f t="shared" si="6"/>
        <v>#DIV/0!</v>
      </c>
      <c r="R643" s="111" t="str">
        <f t="shared" si="7"/>
        <v>#DIV/0!</v>
      </c>
      <c r="S643" s="128">
        <f t="shared" si="178"/>
        <v>0</v>
      </c>
      <c r="T643" s="113" t="str">
        <f t="shared" si="9"/>
        <v>#DIV/0!</v>
      </c>
      <c r="U643" s="172"/>
      <c r="V643" s="172"/>
      <c r="W643" s="172"/>
      <c r="X643" s="172"/>
      <c r="Y643" s="173"/>
      <c r="Z643" s="165"/>
      <c r="AA643" s="165"/>
    </row>
    <row r="644" hidden="1" outlineLevel="1">
      <c r="A644" s="165"/>
      <c r="B644" s="174"/>
      <c r="C644" s="100" t="s">
        <v>40</v>
      </c>
      <c r="D644" s="129">
        <v>219.8</v>
      </c>
      <c r="E644" s="401"/>
      <c r="F644" s="103">
        <v>4.0</v>
      </c>
      <c r="G644" s="103">
        <v>4.0</v>
      </c>
      <c r="H644" s="104">
        <f t="shared" si="1"/>
        <v>1</v>
      </c>
      <c r="I644" s="105">
        <f t="shared" si="2"/>
        <v>54.95</v>
      </c>
      <c r="J644" s="106">
        <f t="shared" si="3"/>
        <v>54.95</v>
      </c>
      <c r="K644" s="129">
        <v>0.0</v>
      </c>
      <c r="L644" s="103">
        <v>0.0</v>
      </c>
      <c r="M644" s="103">
        <v>0.0</v>
      </c>
      <c r="N644" s="130">
        <v>0.0</v>
      </c>
      <c r="O644" s="109" t="str">
        <f t="shared" si="179"/>
        <v>#DIV/0!</v>
      </c>
      <c r="P644" s="110" t="str">
        <f t="shared" si="5"/>
        <v>#DIV/0!</v>
      </c>
      <c r="Q644" s="109">
        <f t="shared" si="6"/>
        <v>0</v>
      </c>
      <c r="R644" s="111">
        <f t="shared" si="7"/>
        <v>0</v>
      </c>
      <c r="S644" s="131">
        <f t="shared" si="178"/>
        <v>219.8</v>
      </c>
      <c r="T644" s="113" t="str">
        <f t="shared" si="9"/>
        <v>#DIV/0!</v>
      </c>
      <c r="U644" s="172"/>
      <c r="V644" s="172"/>
      <c r="W644" s="172"/>
      <c r="X644" s="172"/>
      <c r="Y644" s="173"/>
      <c r="Z644" s="165"/>
      <c r="AA644" s="165"/>
    </row>
    <row r="645" hidden="1" outlineLevel="1">
      <c r="A645" s="165"/>
      <c r="B645" s="174"/>
      <c r="C645" s="100" t="s">
        <v>41</v>
      </c>
      <c r="D645" s="132">
        <v>483.95</v>
      </c>
      <c r="E645" s="401"/>
      <c r="F645" s="103">
        <v>6.0</v>
      </c>
      <c r="G645" s="103">
        <v>6.0</v>
      </c>
      <c r="H645" s="104">
        <f t="shared" si="1"/>
        <v>1</v>
      </c>
      <c r="I645" s="105">
        <f t="shared" si="2"/>
        <v>80.65833333</v>
      </c>
      <c r="J645" s="106">
        <f t="shared" si="3"/>
        <v>80.65833333</v>
      </c>
      <c r="K645" s="132">
        <v>164.44</v>
      </c>
      <c r="L645" s="103">
        <v>27147.0</v>
      </c>
      <c r="M645" s="103">
        <v>2.0</v>
      </c>
      <c r="N645" s="133">
        <v>133.98</v>
      </c>
      <c r="O645" s="109">
        <f t="shared" si="179"/>
        <v>1.227347365</v>
      </c>
      <c r="P645" s="110">
        <f t="shared" si="5"/>
        <v>0.8147652639</v>
      </c>
      <c r="Q645" s="109">
        <f t="shared" si="6"/>
        <v>0.3397871681</v>
      </c>
      <c r="R645" s="111">
        <f t="shared" si="7"/>
        <v>0.2768467817</v>
      </c>
      <c r="S645" s="134">
        <f t="shared" si="178"/>
        <v>349.97</v>
      </c>
      <c r="T645" s="113">
        <f t="shared" si="9"/>
        <v>82.22</v>
      </c>
      <c r="U645" s="172"/>
      <c r="V645" s="172"/>
      <c r="W645" s="172"/>
      <c r="X645" s="172"/>
      <c r="Y645" s="173"/>
      <c r="Z645" s="165"/>
      <c r="AA645" s="165"/>
    </row>
    <row r="646" hidden="1" outlineLevel="1">
      <c r="A646" s="165"/>
      <c r="B646" s="174"/>
      <c r="C646" s="100" t="s">
        <v>42</v>
      </c>
      <c r="D646" s="120">
        <v>9.95</v>
      </c>
      <c r="E646" s="401"/>
      <c r="F646" s="103">
        <v>1.0</v>
      </c>
      <c r="G646" s="103">
        <v>1.0</v>
      </c>
      <c r="H646" s="104">
        <f t="shared" si="1"/>
        <v>1</v>
      </c>
      <c r="I646" s="105">
        <f t="shared" si="2"/>
        <v>9.95</v>
      </c>
      <c r="J646" s="106">
        <f t="shared" si="3"/>
        <v>9.95</v>
      </c>
      <c r="K646" s="120">
        <v>0.0</v>
      </c>
      <c r="L646" s="103">
        <v>0.0</v>
      </c>
      <c r="M646" s="103">
        <v>0.0</v>
      </c>
      <c r="N646" s="121">
        <v>0.0</v>
      </c>
      <c r="O646" s="109" t="str">
        <f t="shared" si="179"/>
        <v>#DIV/0!</v>
      </c>
      <c r="P646" s="110" t="str">
        <f t="shared" si="5"/>
        <v>#DIV/0!</v>
      </c>
      <c r="Q646" s="109">
        <f t="shared" si="6"/>
        <v>0</v>
      </c>
      <c r="R646" s="111">
        <f t="shared" si="7"/>
        <v>0</v>
      </c>
      <c r="S646" s="122">
        <f t="shared" si="178"/>
        <v>9.95</v>
      </c>
      <c r="T646" s="113" t="str">
        <f t="shared" si="9"/>
        <v>#DIV/0!</v>
      </c>
      <c r="U646" s="172"/>
      <c r="V646" s="172"/>
      <c r="W646" s="172"/>
      <c r="X646" s="172"/>
      <c r="Y646" s="173"/>
      <c r="Z646" s="165"/>
      <c r="AA646" s="165"/>
    </row>
    <row r="647" hidden="1" outlineLevel="1">
      <c r="A647" s="165"/>
      <c r="B647" s="174"/>
      <c r="C647" s="100" t="s">
        <v>43</v>
      </c>
      <c r="D647" s="135">
        <v>169.95</v>
      </c>
      <c r="E647" s="401"/>
      <c r="F647" s="103">
        <v>1.0</v>
      </c>
      <c r="G647" s="103">
        <v>1.0</v>
      </c>
      <c r="H647" s="104">
        <f t="shared" si="1"/>
        <v>1</v>
      </c>
      <c r="I647" s="105">
        <f t="shared" si="2"/>
        <v>169.95</v>
      </c>
      <c r="J647" s="106">
        <f t="shared" si="3"/>
        <v>169.95</v>
      </c>
      <c r="K647" s="135">
        <v>44.76</v>
      </c>
      <c r="L647" s="103">
        <v>13817.0</v>
      </c>
      <c r="M647" s="103">
        <v>0.0</v>
      </c>
      <c r="N647" s="136">
        <v>0.0</v>
      </c>
      <c r="O647" s="109" t="str">
        <f t="shared" si="179"/>
        <v>#DIV/0!</v>
      </c>
      <c r="P647" s="110">
        <f t="shared" si="5"/>
        <v>0</v>
      </c>
      <c r="Q647" s="109">
        <f t="shared" si="6"/>
        <v>0.2633715799</v>
      </c>
      <c r="R647" s="111">
        <f t="shared" si="7"/>
        <v>0</v>
      </c>
      <c r="S647" s="137">
        <f t="shared" si="178"/>
        <v>169.95</v>
      </c>
      <c r="T647" s="113" t="str">
        <f t="shared" si="9"/>
        <v>#DIV/0!</v>
      </c>
      <c r="U647" s="172"/>
      <c r="V647" s="172"/>
      <c r="W647" s="172"/>
      <c r="X647" s="172"/>
      <c r="Y647" s="173"/>
      <c r="Z647" s="165"/>
      <c r="AA647" s="165"/>
    </row>
    <row r="648" hidden="1" outlineLevel="1">
      <c r="A648" s="165"/>
      <c r="B648" s="174"/>
      <c r="C648" s="100" t="s">
        <v>44</v>
      </c>
      <c r="D648" s="138">
        <v>404.55</v>
      </c>
      <c r="E648" s="401"/>
      <c r="F648" s="103">
        <v>9.0</v>
      </c>
      <c r="G648" s="103">
        <v>9.0</v>
      </c>
      <c r="H648" s="104">
        <f t="shared" si="1"/>
        <v>1</v>
      </c>
      <c r="I648" s="105">
        <f t="shared" si="2"/>
        <v>44.95</v>
      </c>
      <c r="J648" s="106">
        <f t="shared" si="3"/>
        <v>44.95</v>
      </c>
      <c r="K648" s="138">
        <v>111.88</v>
      </c>
      <c r="L648" s="103">
        <v>67224.0</v>
      </c>
      <c r="M648" s="103">
        <v>6.0</v>
      </c>
      <c r="N648" s="139">
        <v>269.7</v>
      </c>
      <c r="O648" s="109">
        <f t="shared" si="179"/>
        <v>0.414831294</v>
      </c>
      <c r="P648" s="110">
        <f t="shared" si="5"/>
        <v>2.41061852</v>
      </c>
      <c r="Q648" s="109">
        <f t="shared" si="6"/>
        <v>0.276554196</v>
      </c>
      <c r="R648" s="111">
        <f t="shared" si="7"/>
        <v>0.6666666667</v>
      </c>
      <c r="S648" s="140">
        <f t="shared" si="178"/>
        <v>134.85</v>
      </c>
      <c r="T648" s="113">
        <f t="shared" si="9"/>
        <v>18.64666667</v>
      </c>
      <c r="U648" s="172"/>
      <c r="V648" s="172"/>
      <c r="W648" s="172"/>
      <c r="X648" s="172"/>
      <c r="Y648" s="173"/>
      <c r="Z648" s="165"/>
      <c r="AA648" s="165"/>
    </row>
    <row r="649" hidden="1" outlineLevel="1">
      <c r="A649" s="192"/>
      <c r="B649" s="174"/>
      <c r="C649" s="142" t="s">
        <v>45</v>
      </c>
      <c r="D649" s="101">
        <v>59.9</v>
      </c>
      <c r="E649" s="401"/>
      <c r="F649" s="103">
        <v>2.0</v>
      </c>
      <c r="G649" s="103">
        <v>1.0</v>
      </c>
      <c r="H649" s="104">
        <f t="shared" si="1"/>
        <v>2</v>
      </c>
      <c r="I649" s="105">
        <f t="shared" si="2"/>
        <v>29.95</v>
      </c>
      <c r="J649" s="106">
        <f t="shared" si="3"/>
        <v>14.975</v>
      </c>
      <c r="K649" s="101">
        <v>0.0</v>
      </c>
      <c r="L649" s="103">
        <v>0.0</v>
      </c>
      <c r="M649" s="103">
        <v>0.0</v>
      </c>
      <c r="N649" s="108">
        <v>0.0</v>
      </c>
      <c r="O649" s="109" t="str">
        <f t="shared" si="179"/>
        <v>#DIV/0!</v>
      </c>
      <c r="P649" s="110" t="str">
        <f t="shared" si="5"/>
        <v>#DIV/0!</v>
      </c>
      <c r="Q649" s="109">
        <f t="shared" si="6"/>
        <v>0</v>
      </c>
      <c r="R649" s="111">
        <f t="shared" si="7"/>
        <v>0</v>
      </c>
      <c r="S649" s="112">
        <f t="shared" si="178"/>
        <v>59.9</v>
      </c>
      <c r="T649" s="113" t="str">
        <f t="shared" si="9"/>
        <v>#DIV/0!</v>
      </c>
      <c r="U649" s="193"/>
      <c r="V649" s="193"/>
      <c r="W649" s="193"/>
      <c r="X649" s="194"/>
      <c r="Y649" s="195"/>
      <c r="Z649" s="165"/>
      <c r="AA649" s="165"/>
    </row>
    <row r="650" hidden="1" outlineLevel="1">
      <c r="A650" s="165"/>
      <c r="B650" s="174"/>
      <c r="C650" s="100" t="s">
        <v>46</v>
      </c>
      <c r="D650" s="146">
        <v>351.6</v>
      </c>
      <c r="E650" s="401"/>
      <c r="F650" s="103">
        <v>8.0</v>
      </c>
      <c r="G650" s="103">
        <v>7.0</v>
      </c>
      <c r="H650" s="104">
        <f t="shared" si="1"/>
        <v>1.142857143</v>
      </c>
      <c r="I650" s="105">
        <f t="shared" si="2"/>
        <v>43.95</v>
      </c>
      <c r="J650" s="106">
        <f t="shared" si="3"/>
        <v>38.45625</v>
      </c>
      <c r="K650" s="146">
        <v>103.37</v>
      </c>
      <c r="L650" s="103">
        <v>27901.0</v>
      </c>
      <c r="M650" s="103">
        <v>4.0</v>
      </c>
      <c r="N650" s="147">
        <v>177.8</v>
      </c>
      <c r="O650" s="109">
        <f t="shared" si="179"/>
        <v>0.5813835771</v>
      </c>
      <c r="P650" s="110">
        <f t="shared" si="5"/>
        <v>1.720034826</v>
      </c>
      <c r="Q650" s="109">
        <f t="shared" si="6"/>
        <v>0.2939988623</v>
      </c>
      <c r="R650" s="111">
        <f t="shared" si="7"/>
        <v>0.5056882821</v>
      </c>
      <c r="S650" s="112">
        <f t="shared" si="178"/>
        <v>173.8</v>
      </c>
      <c r="T650" s="113">
        <f t="shared" si="9"/>
        <v>25.8425</v>
      </c>
      <c r="U650" s="172"/>
      <c r="V650" s="172"/>
      <c r="W650" s="172"/>
      <c r="X650" s="172"/>
      <c r="Y650" s="173"/>
      <c r="Z650" s="165"/>
      <c r="AA650" s="165"/>
    </row>
    <row r="651" hidden="1" outlineLevel="1">
      <c r="A651" s="148" t="str">
        <f t="shared" ref="A651:A652" si="180">iferror(if(B651&gt;0,month(B651)&amp;"-"&amp;year(B651),B651),)</f>
        <v>8-2025</v>
      </c>
      <c r="B651" s="99">
        <v>45892.0</v>
      </c>
      <c r="C651" s="100" t="s">
        <v>49</v>
      </c>
      <c r="D651" s="146">
        <v>0.0</v>
      </c>
      <c r="E651" s="401"/>
      <c r="F651" s="103">
        <v>0.0</v>
      </c>
      <c r="G651" s="103">
        <v>0.0</v>
      </c>
      <c r="H651" s="104" t="str">
        <f t="shared" si="1"/>
        <v>#DIV/0!</v>
      </c>
      <c r="I651" s="105" t="str">
        <f t="shared" si="2"/>
        <v>#DIV/0!</v>
      </c>
      <c r="J651" s="106" t="str">
        <f t="shared" si="3"/>
        <v>#DIV/0!</v>
      </c>
      <c r="K651" s="146">
        <v>7.49</v>
      </c>
      <c r="L651" s="103">
        <v>10124.0</v>
      </c>
      <c r="M651" s="103">
        <v>0.0</v>
      </c>
      <c r="N651" s="147">
        <v>0.0</v>
      </c>
      <c r="O651" s="109" t="str">
        <f t="shared" si="179"/>
        <v>#DIV/0!</v>
      </c>
      <c r="P651" s="110">
        <f t="shared" si="5"/>
        <v>0</v>
      </c>
      <c r="Q651" s="109" t="str">
        <f t="shared" si="6"/>
        <v>#DIV/0!</v>
      </c>
      <c r="R651" s="111" t="str">
        <f t="shared" si="7"/>
        <v>#DIV/0!</v>
      </c>
      <c r="S651" s="112">
        <f t="shared" si="178"/>
        <v>0</v>
      </c>
      <c r="T651" s="113" t="str">
        <f t="shared" si="9"/>
        <v>#DIV/0!</v>
      </c>
      <c r="U651" s="172"/>
      <c r="V651" s="172"/>
      <c r="W651" s="172"/>
      <c r="X651" s="172"/>
      <c r="Y651" s="173"/>
      <c r="Z651" s="165"/>
      <c r="AA651" s="165"/>
    </row>
    <row r="652" collapsed="1">
      <c r="A652" s="165" t="str">
        <f t="shared" si="180"/>
        <v/>
      </c>
      <c r="B652" s="80" t="s">
        <v>121</v>
      </c>
      <c r="C652" s="201"/>
      <c r="D652" s="151">
        <f>SUM(D637:D651)</f>
        <v>14552.51</v>
      </c>
      <c r="E652" s="400"/>
      <c r="F652" s="153">
        <f t="shared" ref="F652:G652" si="181">SUM(F637:F651)</f>
        <v>147</v>
      </c>
      <c r="G652" s="153">
        <f t="shared" si="181"/>
        <v>133</v>
      </c>
      <c r="H652" s="154">
        <f t="shared" si="1"/>
        <v>1.105263158</v>
      </c>
      <c r="I652" s="155">
        <f t="shared" si="2"/>
        <v>98.99666667</v>
      </c>
      <c r="J652" s="156">
        <f t="shared" si="3"/>
        <v>89.5684127</v>
      </c>
      <c r="K652" s="151">
        <f t="shared" ref="K652:N652" si="182">SUM(K637:K651)</f>
        <v>2984.25</v>
      </c>
      <c r="L652" s="153">
        <f t="shared" si="182"/>
        <v>571346</v>
      </c>
      <c r="M652" s="153">
        <f t="shared" si="182"/>
        <v>35</v>
      </c>
      <c r="N652" s="157">
        <f t="shared" si="182"/>
        <v>3556.48</v>
      </c>
      <c r="O652" s="158">
        <f t="shared" si="179"/>
        <v>0.8391021459</v>
      </c>
      <c r="P652" s="159">
        <f t="shared" si="5"/>
        <v>1.191750021</v>
      </c>
      <c r="Q652" s="158">
        <f t="shared" si="6"/>
        <v>0.2050677168</v>
      </c>
      <c r="R652" s="160">
        <f t="shared" si="7"/>
        <v>0.2443894558</v>
      </c>
      <c r="S652" s="161">
        <f>SUM(S637:S651)</f>
        <v>10996.03</v>
      </c>
      <c r="T652" s="162">
        <f t="shared" si="9"/>
        <v>85.26428571</v>
      </c>
      <c r="U652" s="163">
        <f>IFERROR((D652-D246)/D652,)</f>
        <v>0.4790369496</v>
      </c>
      <c r="V652" s="163">
        <f>IFERROR((F652-F246)/F652,)</f>
        <v>0.3605442177</v>
      </c>
      <c r="W652" s="398" t="str">
        <f>IFERROR((D652-monthly_reporting_2021!E443)/D652, )</f>
        <v/>
      </c>
      <c r="X652" s="398" t="str">
        <f>IFERROR((F652-monthly_reporting_2021!F443)/F652, )</f>
        <v/>
      </c>
      <c r="Y652" s="165"/>
      <c r="Z652" s="165"/>
      <c r="AA652" s="165"/>
    </row>
    <row r="653" hidden="1" outlineLevel="1">
      <c r="A653" s="165"/>
      <c r="B653" s="99">
        <v>45893.0</v>
      </c>
      <c r="C653" s="100" t="s">
        <v>32</v>
      </c>
      <c r="D653" s="101">
        <v>17865.38</v>
      </c>
      <c r="E653" s="401"/>
      <c r="F653" s="103">
        <v>62.0</v>
      </c>
      <c r="G653" s="103">
        <v>60.0</v>
      </c>
      <c r="H653" s="104">
        <f t="shared" si="1"/>
        <v>1.033333333</v>
      </c>
      <c r="I653" s="105">
        <f t="shared" si="2"/>
        <v>288.1512903</v>
      </c>
      <c r="J653" s="106">
        <f t="shared" si="3"/>
        <v>278.8560874</v>
      </c>
      <c r="K653" s="107">
        <v>1362.71</v>
      </c>
      <c r="L653" s="103">
        <v>227967.0</v>
      </c>
      <c r="M653" s="103">
        <v>3.0</v>
      </c>
      <c r="N653" s="108">
        <v>1381.6</v>
      </c>
      <c r="O653" s="109">
        <f t="shared" si="179"/>
        <v>0.9863274464</v>
      </c>
      <c r="P653" s="110">
        <f t="shared" si="5"/>
        <v>1.013862084</v>
      </c>
      <c r="Q653" s="109">
        <f t="shared" si="6"/>
        <v>0.07627657514</v>
      </c>
      <c r="R653" s="111">
        <f t="shared" si="7"/>
        <v>0.07733392741</v>
      </c>
      <c r="S653" s="112">
        <f t="shared" ref="S653:S667" si="183">D653-N653</f>
        <v>16483.78</v>
      </c>
      <c r="T653" s="113">
        <f t="shared" si="9"/>
        <v>454.2366667</v>
      </c>
      <c r="U653" s="172"/>
      <c r="V653" s="172"/>
      <c r="W653" s="172"/>
      <c r="X653" s="172"/>
      <c r="Y653" s="173"/>
      <c r="Z653" s="165"/>
      <c r="AA653" s="165"/>
    </row>
    <row r="654" hidden="1" outlineLevel="1">
      <c r="A654" s="165"/>
      <c r="B654" s="174"/>
      <c r="C654" s="100" t="s">
        <v>33</v>
      </c>
      <c r="D654" s="117">
        <v>21043.59</v>
      </c>
      <c r="E654" s="401"/>
      <c r="F654" s="103">
        <v>261.0</v>
      </c>
      <c r="G654" s="103">
        <v>242.0</v>
      </c>
      <c r="H654" s="104">
        <f t="shared" si="1"/>
        <v>1.078512397</v>
      </c>
      <c r="I654" s="105">
        <f t="shared" si="2"/>
        <v>80.62678161</v>
      </c>
      <c r="J654" s="106">
        <f t="shared" si="3"/>
        <v>74.75739904</v>
      </c>
      <c r="K654" s="117">
        <v>457.07</v>
      </c>
      <c r="L654" s="103">
        <v>129310.0</v>
      </c>
      <c r="M654" s="103">
        <v>7.0</v>
      </c>
      <c r="N654" s="118">
        <v>674.8</v>
      </c>
      <c r="O654" s="109">
        <f t="shared" si="179"/>
        <v>0.6773414345</v>
      </c>
      <c r="P654" s="110">
        <f t="shared" si="5"/>
        <v>1.476360295</v>
      </c>
      <c r="Q654" s="109">
        <f t="shared" si="6"/>
        <v>0.02172015326</v>
      </c>
      <c r="R654" s="111">
        <f t="shared" si="7"/>
        <v>0.03206677188</v>
      </c>
      <c r="S654" s="119">
        <f t="shared" si="183"/>
        <v>20368.79</v>
      </c>
      <c r="T654" s="113">
        <f t="shared" si="9"/>
        <v>65.29571429</v>
      </c>
      <c r="U654" s="172"/>
      <c r="V654" s="172"/>
      <c r="W654" s="172"/>
      <c r="X654" s="172"/>
      <c r="Y654" s="173"/>
      <c r="Z654" s="165"/>
      <c r="AA654" s="165"/>
    </row>
    <row r="655" hidden="1" outlineLevel="1">
      <c r="A655" s="165"/>
      <c r="B655" s="174"/>
      <c r="C655" s="100" t="s">
        <v>34</v>
      </c>
      <c r="D655" s="120">
        <v>769.45</v>
      </c>
      <c r="E655" s="401"/>
      <c r="F655" s="103">
        <v>11.0</v>
      </c>
      <c r="G655" s="103">
        <v>10.0</v>
      </c>
      <c r="H655" s="104">
        <f t="shared" si="1"/>
        <v>1.1</v>
      </c>
      <c r="I655" s="105">
        <f t="shared" si="2"/>
        <v>69.95</v>
      </c>
      <c r="J655" s="106">
        <f t="shared" si="3"/>
        <v>63.59090909</v>
      </c>
      <c r="K655" s="120">
        <v>0.0</v>
      </c>
      <c r="L655" s="103">
        <v>235.0</v>
      </c>
      <c r="M655" s="103">
        <v>0.0</v>
      </c>
      <c r="N655" s="121">
        <v>0.0</v>
      </c>
      <c r="O655" s="109" t="str">
        <f>(K655/N655)</f>
        <v>#DIV/0!</v>
      </c>
      <c r="P655" s="110" t="str">
        <f t="shared" si="5"/>
        <v>#DIV/0!</v>
      </c>
      <c r="Q655" s="109">
        <f t="shared" si="6"/>
        <v>0</v>
      </c>
      <c r="R655" s="111">
        <f t="shared" si="7"/>
        <v>0</v>
      </c>
      <c r="S655" s="122">
        <f t="shared" si="183"/>
        <v>769.45</v>
      </c>
      <c r="T655" s="113" t="str">
        <f t="shared" si="9"/>
        <v>#DIV/0!</v>
      </c>
      <c r="U655" s="172"/>
      <c r="V655" s="172"/>
      <c r="W655" s="172"/>
      <c r="X655" s="172"/>
      <c r="Y655" s="173"/>
      <c r="Z655" s="165"/>
      <c r="AA655" s="165"/>
    </row>
    <row r="656" hidden="1" outlineLevel="1">
      <c r="A656" s="165"/>
      <c r="B656" s="174"/>
      <c r="C656" s="100" t="s">
        <v>35</v>
      </c>
      <c r="D656" s="120">
        <v>2778.7</v>
      </c>
      <c r="E656" s="401"/>
      <c r="F656" s="103">
        <v>46.0</v>
      </c>
      <c r="G656" s="103">
        <v>36.0</v>
      </c>
      <c r="H656" s="104">
        <f t="shared" si="1"/>
        <v>1.277777778</v>
      </c>
      <c r="I656" s="105">
        <f t="shared" si="2"/>
        <v>60.40652174</v>
      </c>
      <c r="J656" s="106">
        <f t="shared" si="3"/>
        <v>47.27466919</v>
      </c>
      <c r="K656" s="120">
        <v>193.28</v>
      </c>
      <c r="L656" s="103">
        <v>22281.0</v>
      </c>
      <c r="M656" s="103">
        <v>0.0</v>
      </c>
      <c r="N656" s="121">
        <v>0.0</v>
      </c>
      <c r="O656" s="109" t="str">
        <f t="shared" ref="O656:O670" si="184">K656/N656</f>
        <v>#DIV/0!</v>
      </c>
      <c r="P656" s="110">
        <f t="shared" si="5"/>
        <v>0</v>
      </c>
      <c r="Q656" s="109">
        <f t="shared" si="6"/>
        <v>0.06955770684</v>
      </c>
      <c r="R656" s="111">
        <f t="shared" si="7"/>
        <v>0</v>
      </c>
      <c r="S656" s="122">
        <f t="shared" si="183"/>
        <v>2778.7</v>
      </c>
      <c r="T656" s="113" t="str">
        <f t="shared" si="9"/>
        <v>#DIV/0!</v>
      </c>
      <c r="U656" s="172"/>
      <c r="V656" s="172"/>
      <c r="W656" s="172"/>
      <c r="X656" s="172"/>
      <c r="Y656" s="173"/>
      <c r="Z656" s="165"/>
      <c r="AA656" s="165"/>
    </row>
    <row r="657" hidden="1" outlineLevel="1">
      <c r="A657" s="165"/>
      <c r="B657" s="174"/>
      <c r="C657" s="100" t="s">
        <v>36</v>
      </c>
      <c r="D657" s="120">
        <v>1199.05</v>
      </c>
      <c r="E657" s="401"/>
      <c r="F657" s="103">
        <v>19.0</v>
      </c>
      <c r="G657" s="103">
        <v>21.0</v>
      </c>
      <c r="H657" s="104">
        <f t="shared" si="1"/>
        <v>0.9047619048</v>
      </c>
      <c r="I657" s="105">
        <f t="shared" si="2"/>
        <v>63.10789474</v>
      </c>
      <c r="J657" s="106">
        <f t="shared" si="3"/>
        <v>69.75083102</v>
      </c>
      <c r="K657" s="120">
        <v>120.59</v>
      </c>
      <c r="L657" s="103">
        <v>21886.0</v>
      </c>
      <c r="M657" s="103">
        <v>2.0</v>
      </c>
      <c r="N657" s="121">
        <v>139.9</v>
      </c>
      <c r="O657" s="109">
        <f t="shared" si="184"/>
        <v>0.8619728377</v>
      </c>
      <c r="P657" s="110">
        <f t="shared" si="5"/>
        <v>1.160129364</v>
      </c>
      <c r="Q657" s="109">
        <f t="shared" si="6"/>
        <v>0.1005712856</v>
      </c>
      <c r="R657" s="111">
        <f t="shared" si="7"/>
        <v>0.1166757016</v>
      </c>
      <c r="S657" s="122">
        <f t="shared" si="183"/>
        <v>1059.15</v>
      </c>
      <c r="T657" s="113">
        <f t="shared" si="9"/>
        <v>60.295</v>
      </c>
      <c r="U657" s="172"/>
      <c r="V657" s="172"/>
      <c r="W657" s="172"/>
      <c r="X657" s="172"/>
      <c r="Y657" s="173"/>
      <c r="Z657" s="165"/>
      <c r="AA657" s="165"/>
    </row>
    <row r="658" hidden="1" outlineLevel="1">
      <c r="A658" s="165"/>
      <c r="B658" s="99" t="s">
        <v>37</v>
      </c>
      <c r="C658" s="100" t="s">
        <v>38</v>
      </c>
      <c r="D658" s="123">
        <v>254.7</v>
      </c>
      <c r="E658" s="401"/>
      <c r="F658" s="103">
        <v>6.0</v>
      </c>
      <c r="G658" s="103">
        <v>5.0</v>
      </c>
      <c r="H658" s="104">
        <f t="shared" si="1"/>
        <v>1.2</v>
      </c>
      <c r="I658" s="105">
        <f t="shared" si="2"/>
        <v>42.45</v>
      </c>
      <c r="J658" s="106">
        <f t="shared" si="3"/>
        <v>35.375</v>
      </c>
      <c r="K658" s="123">
        <v>35.77</v>
      </c>
      <c r="L658" s="103">
        <v>15412.0</v>
      </c>
      <c r="M658" s="103">
        <v>0.0</v>
      </c>
      <c r="N658" s="124">
        <v>0.0</v>
      </c>
      <c r="O658" s="109" t="str">
        <f t="shared" si="184"/>
        <v>#DIV/0!</v>
      </c>
      <c r="P658" s="110">
        <f t="shared" si="5"/>
        <v>0</v>
      </c>
      <c r="Q658" s="109">
        <f t="shared" si="6"/>
        <v>0.140439733</v>
      </c>
      <c r="R658" s="111">
        <f t="shared" si="7"/>
        <v>0</v>
      </c>
      <c r="S658" s="125">
        <f t="shared" si="183"/>
        <v>254.7</v>
      </c>
      <c r="T658" s="113" t="str">
        <f t="shared" si="9"/>
        <v>#DIV/0!</v>
      </c>
      <c r="U658" s="172"/>
      <c r="V658" s="172"/>
      <c r="W658" s="172"/>
      <c r="X658" s="172"/>
      <c r="Y658" s="173"/>
      <c r="Z658" s="165"/>
      <c r="AA658" s="165"/>
    </row>
    <row r="659" hidden="1" outlineLevel="1">
      <c r="A659" s="165"/>
      <c r="B659" s="174"/>
      <c r="C659" s="100" t="s">
        <v>39</v>
      </c>
      <c r="D659" s="126">
        <v>74.85</v>
      </c>
      <c r="E659" s="401"/>
      <c r="F659" s="103">
        <v>3.0</v>
      </c>
      <c r="G659" s="103">
        <v>3.0</v>
      </c>
      <c r="H659" s="104">
        <f t="shared" si="1"/>
        <v>1</v>
      </c>
      <c r="I659" s="105">
        <f t="shared" si="2"/>
        <v>24.95</v>
      </c>
      <c r="J659" s="106">
        <f t="shared" si="3"/>
        <v>24.95</v>
      </c>
      <c r="K659" s="126">
        <v>0.0</v>
      </c>
      <c r="L659" s="103">
        <v>0.0</v>
      </c>
      <c r="M659" s="103">
        <v>0.0</v>
      </c>
      <c r="N659" s="127">
        <v>0.0</v>
      </c>
      <c r="O659" s="109" t="str">
        <f t="shared" si="184"/>
        <v>#DIV/0!</v>
      </c>
      <c r="P659" s="110" t="str">
        <f t="shared" si="5"/>
        <v>#DIV/0!</v>
      </c>
      <c r="Q659" s="109">
        <f t="shared" si="6"/>
        <v>0</v>
      </c>
      <c r="R659" s="111">
        <f t="shared" si="7"/>
        <v>0</v>
      </c>
      <c r="S659" s="128">
        <f t="shared" si="183"/>
        <v>74.85</v>
      </c>
      <c r="T659" s="113" t="str">
        <f t="shared" si="9"/>
        <v>#DIV/0!</v>
      </c>
      <c r="U659" s="172"/>
      <c r="V659" s="172"/>
      <c r="W659" s="172"/>
      <c r="X659" s="172"/>
      <c r="Y659" s="173"/>
      <c r="Z659" s="165"/>
      <c r="AA659" s="165"/>
    </row>
    <row r="660" hidden="1" outlineLevel="1">
      <c r="A660" s="165"/>
      <c r="B660" s="174"/>
      <c r="C660" s="100" t="s">
        <v>40</v>
      </c>
      <c r="D660" s="129">
        <v>1593.55</v>
      </c>
      <c r="E660" s="401"/>
      <c r="F660" s="103">
        <v>29.0</v>
      </c>
      <c r="G660" s="103">
        <v>17.0</v>
      </c>
      <c r="H660" s="104">
        <f t="shared" si="1"/>
        <v>1.705882353</v>
      </c>
      <c r="I660" s="105">
        <f t="shared" si="2"/>
        <v>54.95</v>
      </c>
      <c r="J660" s="106">
        <f t="shared" si="3"/>
        <v>32.21206897</v>
      </c>
      <c r="K660" s="129">
        <v>0.0</v>
      </c>
      <c r="L660" s="103">
        <v>0.0</v>
      </c>
      <c r="M660" s="103">
        <v>0.0</v>
      </c>
      <c r="N660" s="130">
        <v>0.0</v>
      </c>
      <c r="O660" s="109" t="str">
        <f t="shared" si="184"/>
        <v>#DIV/0!</v>
      </c>
      <c r="P660" s="110" t="str">
        <f t="shared" si="5"/>
        <v>#DIV/0!</v>
      </c>
      <c r="Q660" s="109">
        <f t="shared" si="6"/>
        <v>0</v>
      </c>
      <c r="R660" s="111">
        <f t="shared" si="7"/>
        <v>0</v>
      </c>
      <c r="S660" s="131">
        <f t="shared" si="183"/>
        <v>1593.55</v>
      </c>
      <c r="T660" s="113" t="str">
        <f t="shared" si="9"/>
        <v>#DIV/0!</v>
      </c>
      <c r="U660" s="172"/>
      <c r="V660" s="172"/>
      <c r="W660" s="172"/>
      <c r="X660" s="172"/>
      <c r="Y660" s="173"/>
      <c r="Z660" s="165"/>
      <c r="AA660" s="165"/>
    </row>
    <row r="661" hidden="1" outlineLevel="1">
      <c r="A661" s="165"/>
      <c r="B661" s="174"/>
      <c r="C661" s="100" t="s">
        <v>41</v>
      </c>
      <c r="D661" s="132">
        <v>4412.82</v>
      </c>
      <c r="E661" s="401"/>
      <c r="F661" s="103">
        <v>46.0</v>
      </c>
      <c r="G661" s="103">
        <v>44.0</v>
      </c>
      <c r="H661" s="104">
        <f t="shared" si="1"/>
        <v>1.045454545</v>
      </c>
      <c r="I661" s="105">
        <f t="shared" si="2"/>
        <v>95.93086957</v>
      </c>
      <c r="J661" s="106">
        <f t="shared" si="3"/>
        <v>91.75996219</v>
      </c>
      <c r="K661" s="132">
        <v>253.99</v>
      </c>
      <c r="L661" s="103">
        <v>26721.0</v>
      </c>
      <c r="M661" s="103">
        <v>5.0</v>
      </c>
      <c r="N661" s="133">
        <v>188.97</v>
      </c>
      <c r="O661" s="109">
        <f t="shared" si="184"/>
        <v>1.344075779</v>
      </c>
      <c r="P661" s="110">
        <f t="shared" si="5"/>
        <v>0.7440056695</v>
      </c>
      <c r="Q661" s="109">
        <f t="shared" si="6"/>
        <v>0.05755729896</v>
      </c>
      <c r="R661" s="111">
        <f t="shared" si="7"/>
        <v>0.04282295675</v>
      </c>
      <c r="S661" s="134">
        <f t="shared" si="183"/>
        <v>4223.85</v>
      </c>
      <c r="T661" s="113">
        <f t="shared" si="9"/>
        <v>50.798</v>
      </c>
      <c r="U661" s="172"/>
      <c r="V661" s="172"/>
      <c r="W661" s="172"/>
      <c r="X661" s="172"/>
      <c r="Y661" s="173"/>
      <c r="Z661" s="165"/>
      <c r="AA661" s="165"/>
    </row>
    <row r="662" hidden="1" outlineLevel="1">
      <c r="A662" s="165"/>
      <c r="B662" s="174"/>
      <c r="C662" s="100" t="s">
        <v>42</v>
      </c>
      <c r="D662" s="120">
        <v>-0.09</v>
      </c>
      <c r="E662" s="401"/>
      <c r="F662" s="103">
        <v>1.0</v>
      </c>
      <c r="G662" s="103">
        <v>2.0</v>
      </c>
      <c r="H662" s="104">
        <f t="shared" si="1"/>
        <v>0.5</v>
      </c>
      <c r="I662" s="105">
        <f t="shared" si="2"/>
        <v>-0.09</v>
      </c>
      <c r="J662" s="106">
        <f t="shared" si="3"/>
        <v>-0.18</v>
      </c>
      <c r="K662" s="120">
        <v>0.0</v>
      </c>
      <c r="L662" s="103">
        <v>0.0</v>
      </c>
      <c r="M662" s="103">
        <v>0.0</v>
      </c>
      <c r="N662" s="121">
        <v>0.0</v>
      </c>
      <c r="O662" s="109" t="str">
        <f t="shared" si="184"/>
        <v>#DIV/0!</v>
      </c>
      <c r="P662" s="110" t="str">
        <f t="shared" si="5"/>
        <v>#DIV/0!</v>
      </c>
      <c r="Q662" s="109">
        <f t="shared" si="6"/>
        <v>0</v>
      </c>
      <c r="R662" s="111">
        <f t="shared" si="7"/>
        <v>0</v>
      </c>
      <c r="S662" s="122">
        <f t="shared" si="183"/>
        <v>-0.09</v>
      </c>
      <c r="T662" s="113" t="str">
        <f t="shared" si="9"/>
        <v>#DIV/0!</v>
      </c>
      <c r="U662" s="172"/>
      <c r="V662" s="172"/>
      <c r="W662" s="172"/>
      <c r="X662" s="172"/>
      <c r="Y662" s="173"/>
      <c r="Z662" s="165"/>
      <c r="AA662" s="165"/>
    </row>
    <row r="663" hidden="1" outlineLevel="1">
      <c r="A663" s="165"/>
      <c r="B663" s="174"/>
      <c r="C663" s="100" t="s">
        <v>43</v>
      </c>
      <c r="D663" s="135">
        <v>500.75</v>
      </c>
      <c r="E663" s="401"/>
      <c r="F663" s="103">
        <v>5.0</v>
      </c>
      <c r="G663" s="103">
        <v>5.0</v>
      </c>
      <c r="H663" s="104">
        <f t="shared" si="1"/>
        <v>1</v>
      </c>
      <c r="I663" s="105">
        <f t="shared" si="2"/>
        <v>100.15</v>
      </c>
      <c r="J663" s="106">
        <f t="shared" si="3"/>
        <v>100.15</v>
      </c>
      <c r="K663" s="135">
        <v>26.68</v>
      </c>
      <c r="L663" s="103">
        <v>15003.0</v>
      </c>
      <c r="M663" s="103">
        <v>0.0</v>
      </c>
      <c r="N663" s="136">
        <v>0.0</v>
      </c>
      <c r="O663" s="109" t="str">
        <f t="shared" si="184"/>
        <v>#DIV/0!</v>
      </c>
      <c r="P663" s="110">
        <f t="shared" si="5"/>
        <v>0</v>
      </c>
      <c r="Q663" s="109">
        <f t="shared" si="6"/>
        <v>0.05328007988</v>
      </c>
      <c r="R663" s="111">
        <f t="shared" si="7"/>
        <v>0</v>
      </c>
      <c r="S663" s="137">
        <f t="shared" si="183"/>
        <v>500.75</v>
      </c>
      <c r="T663" s="113" t="str">
        <f t="shared" si="9"/>
        <v>#DIV/0!</v>
      </c>
      <c r="U663" s="172"/>
      <c r="V663" s="172"/>
      <c r="W663" s="172"/>
      <c r="X663" s="172"/>
      <c r="Y663" s="173"/>
      <c r="Z663" s="165"/>
      <c r="AA663" s="165"/>
    </row>
    <row r="664" hidden="1" outlineLevel="1">
      <c r="A664" s="165"/>
      <c r="B664" s="174"/>
      <c r="C664" s="100" t="s">
        <v>44</v>
      </c>
      <c r="D664" s="138">
        <v>1303.55</v>
      </c>
      <c r="E664" s="401"/>
      <c r="F664" s="103">
        <v>29.0</v>
      </c>
      <c r="G664" s="103">
        <v>31.0</v>
      </c>
      <c r="H664" s="104">
        <f t="shared" si="1"/>
        <v>0.935483871</v>
      </c>
      <c r="I664" s="105">
        <f t="shared" si="2"/>
        <v>44.95</v>
      </c>
      <c r="J664" s="106">
        <f t="shared" si="3"/>
        <v>48.05</v>
      </c>
      <c r="K664" s="138">
        <v>149.07</v>
      </c>
      <c r="L664" s="103">
        <v>73351.0</v>
      </c>
      <c r="M664" s="103">
        <v>3.0</v>
      </c>
      <c r="N664" s="139">
        <v>134.85</v>
      </c>
      <c r="O664" s="109">
        <f t="shared" si="184"/>
        <v>1.105450501</v>
      </c>
      <c r="P664" s="110">
        <f t="shared" si="5"/>
        <v>0.9046085732</v>
      </c>
      <c r="Q664" s="109">
        <f t="shared" si="6"/>
        <v>0.1143569483</v>
      </c>
      <c r="R664" s="111">
        <f t="shared" si="7"/>
        <v>0.1034482759</v>
      </c>
      <c r="S664" s="140">
        <f t="shared" si="183"/>
        <v>1168.7</v>
      </c>
      <c r="T664" s="113">
        <f t="shared" si="9"/>
        <v>49.69</v>
      </c>
      <c r="U664" s="172"/>
      <c r="V664" s="172"/>
      <c r="W664" s="172"/>
      <c r="X664" s="172"/>
      <c r="Y664" s="173"/>
      <c r="Z664" s="165"/>
      <c r="AA664" s="165"/>
    </row>
    <row r="665" hidden="1" outlineLevel="1">
      <c r="A665" s="192"/>
      <c r="B665" s="174"/>
      <c r="C665" s="142" t="s">
        <v>45</v>
      </c>
      <c r="D665" s="101">
        <v>84.85</v>
      </c>
      <c r="E665" s="401"/>
      <c r="F665" s="103">
        <v>3.0</v>
      </c>
      <c r="G665" s="103">
        <v>2.0</v>
      </c>
      <c r="H665" s="104">
        <f t="shared" si="1"/>
        <v>1.5</v>
      </c>
      <c r="I665" s="105">
        <f t="shared" si="2"/>
        <v>28.28333333</v>
      </c>
      <c r="J665" s="106">
        <f t="shared" si="3"/>
        <v>18.85555556</v>
      </c>
      <c r="K665" s="101">
        <v>0.0</v>
      </c>
      <c r="L665" s="103">
        <v>0.0</v>
      </c>
      <c r="M665" s="103">
        <v>0.0</v>
      </c>
      <c r="N665" s="108">
        <v>0.0</v>
      </c>
      <c r="O665" s="109" t="str">
        <f t="shared" si="184"/>
        <v>#DIV/0!</v>
      </c>
      <c r="P665" s="110" t="str">
        <f t="shared" si="5"/>
        <v>#DIV/0!</v>
      </c>
      <c r="Q665" s="109">
        <f t="shared" si="6"/>
        <v>0</v>
      </c>
      <c r="R665" s="111">
        <f t="shared" si="7"/>
        <v>0</v>
      </c>
      <c r="S665" s="112">
        <f t="shared" si="183"/>
        <v>84.85</v>
      </c>
      <c r="T665" s="113" t="str">
        <f t="shared" si="9"/>
        <v>#DIV/0!</v>
      </c>
      <c r="U665" s="193"/>
      <c r="V665" s="193"/>
      <c r="W665" s="193"/>
      <c r="X665" s="194"/>
      <c r="Y665" s="195"/>
      <c r="Z665" s="165"/>
      <c r="AA665" s="165"/>
    </row>
    <row r="666" hidden="1" outlineLevel="1">
      <c r="A666" s="165"/>
      <c r="B666" s="174"/>
      <c r="C666" s="100" t="s">
        <v>46</v>
      </c>
      <c r="D666" s="146">
        <v>1625.15</v>
      </c>
      <c r="E666" s="401"/>
      <c r="F666" s="103">
        <v>37.0</v>
      </c>
      <c r="G666" s="103">
        <v>36.0</v>
      </c>
      <c r="H666" s="104">
        <f t="shared" si="1"/>
        <v>1.027777778</v>
      </c>
      <c r="I666" s="105">
        <f t="shared" si="2"/>
        <v>43.92297297</v>
      </c>
      <c r="J666" s="106">
        <f t="shared" si="3"/>
        <v>42.7358656</v>
      </c>
      <c r="K666" s="146">
        <v>146.27</v>
      </c>
      <c r="L666" s="103">
        <v>31773.0</v>
      </c>
      <c r="M666" s="103">
        <v>5.0</v>
      </c>
      <c r="N666" s="147">
        <v>173.8</v>
      </c>
      <c r="O666" s="109">
        <f t="shared" si="184"/>
        <v>0.8415995397</v>
      </c>
      <c r="P666" s="110">
        <f t="shared" si="5"/>
        <v>1.188213578</v>
      </c>
      <c r="Q666" s="109">
        <f t="shared" si="6"/>
        <v>0.09000399963</v>
      </c>
      <c r="R666" s="111">
        <f t="shared" si="7"/>
        <v>0.1069439744</v>
      </c>
      <c r="S666" s="112">
        <f t="shared" si="183"/>
        <v>1451.35</v>
      </c>
      <c r="T666" s="113">
        <f t="shared" si="9"/>
        <v>29.254</v>
      </c>
      <c r="U666" s="172"/>
      <c r="V666" s="172"/>
      <c r="W666" s="172"/>
      <c r="X666" s="172"/>
      <c r="Y666" s="173"/>
      <c r="Z666" s="165"/>
      <c r="AA666" s="165"/>
    </row>
    <row r="667" hidden="1" outlineLevel="1">
      <c r="A667" s="148" t="str">
        <f t="shared" ref="A667:A668" si="185">iferror(if(B667&gt;0,month(B667)&amp;"-"&amp;year(B667),B667),)</f>
        <v>8-2025</v>
      </c>
      <c r="B667" s="99">
        <v>45899.0</v>
      </c>
      <c r="C667" s="100" t="s">
        <v>49</v>
      </c>
      <c r="D667" s="146">
        <v>-439.5</v>
      </c>
      <c r="E667" s="401"/>
      <c r="F667" s="103">
        <v>-9.0</v>
      </c>
      <c r="G667" s="103">
        <v>1.0</v>
      </c>
      <c r="H667" s="104">
        <f t="shared" si="1"/>
        <v>-9</v>
      </c>
      <c r="I667" s="105">
        <f t="shared" si="2"/>
        <v>48.83333333</v>
      </c>
      <c r="J667" s="106">
        <f t="shared" si="3"/>
        <v>-5.425925926</v>
      </c>
      <c r="K667" s="146">
        <v>2.51</v>
      </c>
      <c r="L667" s="103">
        <v>13162.0</v>
      </c>
      <c r="M667" s="103">
        <v>0.0</v>
      </c>
      <c r="N667" s="147">
        <v>0.0</v>
      </c>
      <c r="O667" s="109" t="str">
        <f t="shared" si="184"/>
        <v>#DIV/0!</v>
      </c>
      <c r="P667" s="110">
        <f t="shared" si="5"/>
        <v>0</v>
      </c>
      <c r="Q667" s="109">
        <f t="shared" si="6"/>
        <v>-0.005711035267</v>
      </c>
      <c r="R667" s="111">
        <f t="shared" si="7"/>
        <v>0</v>
      </c>
      <c r="S667" s="112">
        <f t="shared" si="183"/>
        <v>-439.5</v>
      </c>
      <c r="T667" s="113" t="str">
        <f t="shared" si="9"/>
        <v>#DIV/0!</v>
      </c>
      <c r="U667" s="172"/>
      <c r="V667" s="172"/>
      <c r="W667" s="172"/>
      <c r="X667" s="172"/>
      <c r="Y667" s="173"/>
      <c r="Z667" s="165"/>
      <c r="AA667" s="165"/>
    </row>
    <row r="668" collapsed="1">
      <c r="A668" s="165" t="str">
        <f t="shared" si="185"/>
        <v/>
      </c>
      <c r="B668" s="80" t="s">
        <v>122</v>
      </c>
      <c r="C668" s="201"/>
      <c r="D668" s="151">
        <f>SUM(D653:D667)</f>
        <v>53066.8</v>
      </c>
      <c r="E668" s="400"/>
      <c r="F668" s="153">
        <f t="shared" ref="F668:G668" si="186">SUM(F653:F667)</f>
        <v>549</v>
      </c>
      <c r="G668" s="153">
        <f t="shared" si="186"/>
        <v>515</v>
      </c>
      <c r="H668" s="154">
        <f t="shared" si="1"/>
        <v>1.066019417</v>
      </c>
      <c r="I668" s="155">
        <f t="shared" si="2"/>
        <v>96.66083789</v>
      </c>
      <c r="J668" s="156">
        <f t="shared" si="3"/>
        <v>90.67455649</v>
      </c>
      <c r="K668" s="151">
        <f t="shared" ref="K668:N668" si="187">SUM(K653:K667)</f>
        <v>2747.94</v>
      </c>
      <c r="L668" s="153">
        <f t="shared" si="187"/>
        <v>577101</v>
      </c>
      <c r="M668" s="153">
        <f t="shared" si="187"/>
        <v>25</v>
      </c>
      <c r="N668" s="157">
        <f t="shared" si="187"/>
        <v>2693.92</v>
      </c>
      <c r="O668" s="158">
        <f t="shared" si="184"/>
        <v>1.020052563</v>
      </c>
      <c r="P668" s="159">
        <f t="shared" si="5"/>
        <v>0.9803416377</v>
      </c>
      <c r="Q668" s="158">
        <f t="shared" si="6"/>
        <v>0.05178265884</v>
      </c>
      <c r="R668" s="160">
        <f t="shared" si="7"/>
        <v>0.05076469657</v>
      </c>
      <c r="S668" s="161">
        <f>SUM(S653:S667)</f>
        <v>50372.88</v>
      </c>
      <c r="T668" s="162">
        <f t="shared" si="9"/>
        <v>109.9176</v>
      </c>
      <c r="U668" s="163">
        <f>IFERROR((D668-D246)/D668,)</f>
        <v>0.8571362886</v>
      </c>
      <c r="V668" s="163">
        <f>IFERROR((F668-F246)/F668,)</f>
        <v>0.8287795993</v>
      </c>
      <c r="W668" s="398" t="str">
        <f>IFERROR((D668-monthly_reporting_2021!E459)/D668, )</f>
        <v/>
      </c>
      <c r="X668" s="398" t="str">
        <f>IFERROR((F668-monthly_reporting_2021!F459)/F668, )</f>
        <v/>
      </c>
      <c r="Y668" s="165"/>
      <c r="Z668" s="165"/>
      <c r="AA668" s="165"/>
    </row>
    <row r="669" hidden="1" outlineLevel="1">
      <c r="A669" s="165"/>
      <c r="B669" s="99">
        <v>45900.0</v>
      </c>
      <c r="C669" s="100" t="s">
        <v>32</v>
      </c>
      <c r="D669" s="101">
        <v>9451.59</v>
      </c>
      <c r="E669" s="401"/>
      <c r="F669" s="103">
        <v>33.0</v>
      </c>
      <c r="G669" s="103">
        <v>34.0</v>
      </c>
      <c r="H669" s="104">
        <f t="shared" si="1"/>
        <v>0.9705882353</v>
      </c>
      <c r="I669" s="105">
        <f t="shared" si="2"/>
        <v>286.4118182</v>
      </c>
      <c r="J669" s="106">
        <f t="shared" si="3"/>
        <v>295.0909642</v>
      </c>
      <c r="K669" s="107">
        <v>1146.46</v>
      </c>
      <c r="L669" s="103">
        <v>223376.0</v>
      </c>
      <c r="M669" s="103">
        <v>9.0</v>
      </c>
      <c r="N669" s="108">
        <v>3006.7</v>
      </c>
      <c r="O669" s="109">
        <f t="shared" si="184"/>
        <v>0.3813017594</v>
      </c>
      <c r="P669" s="110">
        <f t="shared" si="5"/>
        <v>2.62259477</v>
      </c>
      <c r="Q669" s="109">
        <f t="shared" si="6"/>
        <v>0.1212981096</v>
      </c>
      <c r="R669" s="111">
        <f t="shared" si="7"/>
        <v>0.3181157879</v>
      </c>
      <c r="S669" s="112">
        <f t="shared" ref="S669:S683" si="188">D669-N669</f>
        <v>6444.89</v>
      </c>
      <c r="T669" s="113">
        <f t="shared" si="9"/>
        <v>127.3844444</v>
      </c>
      <c r="U669" s="172"/>
      <c r="V669" s="172"/>
      <c r="W669" s="172"/>
      <c r="X669" s="172"/>
      <c r="Y669" s="173"/>
      <c r="Z669" s="165"/>
      <c r="AA669" s="165"/>
    </row>
    <row r="670" hidden="1" outlineLevel="1">
      <c r="A670" s="165"/>
      <c r="B670" s="174"/>
      <c r="C670" s="100" t="s">
        <v>33</v>
      </c>
      <c r="D670" s="117">
        <v>6608.36</v>
      </c>
      <c r="E670" s="401"/>
      <c r="F670" s="103">
        <v>60.0</v>
      </c>
      <c r="G670" s="103">
        <v>62.0</v>
      </c>
      <c r="H670" s="104">
        <f t="shared" si="1"/>
        <v>0.9677419355</v>
      </c>
      <c r="I670" s="105">
        <f t="shared" si="2"/>
        <v>110.1393333</v>
      </c>
      <c r="J670" s="106">
        <f t="shared" si="3"/>
        <v>113.8106444</v>
      </c>
      <c r="K670" s="117">
        <v>495.4</v>
      </c>
      <c r="L670" s="103">
        <v>124118.0</v>
      </c>
      <c r="M670" s="103">
        <v>17.0</v>
      </c>
      <c r="N670" s="118">
        <v>2863.85</v>
      </c>
      <c r="O670" s="109">
        <f t="shared" si="184"/>
        <v>0.1729839202</v>
      </c>
      <c r="P670" s="110">
        <f t="shared" si="5"/>
        <v>5.780884134</v>
      </c>
      <c r="Q670" s="109">
        <f t="shared" si="6"/>
        <v>0.07496564957</v>
      </c>
      <c r="R670" s="111">
        <f t="shared" si="7"/>
        <v>0.4333677342</v>
      </c>
      <c r="S670" s="119">
        <f t="shared" si="188"/>
        <v>3744.51</v>
      </c>
      <c r="T670" s="113">
        <f t="shared" si="9"/>
        <v>29.14117647</v>
      </c>
      <c r="U670" s="172"/>
      <c r="V670" s="172"/>
      <c r="W670" s="172"/>
      <c r="X670" s="172"/>
      <c r="Y670" s="173"/>
      <c r="Z670" s="165"/>
      <c r="AA670" s="165"/>
    </row>
    <row r="671" hidden="1" outlineLevel="1">
      <c r="A671" s="165"/>
      <c r="B671" s="174"/>
      <c r="C671" s="100" t="s">
        <v>34</v>
      </c>
      <c r="D671" s="120">
        <v>139.9</v>
      </c>
      <c r="E671" s="401"/>
      <c r="F671" s="103">
        <v>2.0</v>
      </c>
      <c r="G671" s="103">
        <v>2.0</v>
      </c>
      <c r="H671" s="104">
        <f t="shared" si="1"/>
        <v>1</v>
      </c>
      <c r="I671" s="105">
        <f t="shared" si="2"/>
        <v>69.95</v>
      </c>
      <c r="J671" s="106">
        <f t="shared" si="3"/>
        <v>69.95</v>
      </c>
      <c r="K671" s="120">
        <v>20.24</v>
      </c>
      <c r="L671" s="103">
        <v>235.0</v>
      </c>
      <c r="M671" s="103">
        <v>0.0</v>
      </c>
      <c r="N671" s="121">
        <v>0.0</v>
      </c>
      <c r="O671" s="109" t="str">
        <f>(K671/N671)</f>
        <v>#DIV/0!</v>
      </c>
      <c r="P671" s="110">
        <f t="shared" si="5"/>
        <v>0</v>
      </c>
      <c r="Q671" s="109">
        <f t="shared" si="6"/>
        <v>0.1446747677</v>
      </c>
      <c r="R671" s="111">
        <f t="shared" si="7"/>
        <v>0</v>
      </c>
      <c r="S671" s="122">
        <f t="shared" si="188"/>
        <v>139.9</v>
      </c>
      <c r="T671" s="113" t="str">
        <f t="shared" si="9"/>
        <v>#DIV/0!</v>
      </c>
      <c r="U671" s="172"/>
      <c r="V671" s="172"/>
      <c r="W671" s="172"/>
      <c r="X671" s="172"/>
      <c r="Y671" s="173"/>
      <c r="Z671" s="165"/>
      <c r="AA671" s="165"/>
    </row>
    <row r="672" hidden="1" outlineLevel="1">
      <c r="A672" s="165"/>
      <c r="B672" s="174"/>
      <c r="C672" s="100" t="s">
        <v>35</v>
      </c>
      <c r="D672" s="120">
        <v>545.55</v>
      </c>
      <c r="E672" s="401"/>
      <c r="F672" s="103">
        <v>9.0</v>
      </c>
      <c r="G672" s="103">
        <v>9.0</v>
      </c>
      <c r="H672" s="104">
        <f t="shared" si="1"/>
        <v>1</v>
      </c>
      <c r="I672" s="105">
        <f t="shared" si="2"/>
        <v>60.61666667</v>
      </c>
      <c r="J672" s="106">
        <f t="shared" si="3"/>
        <v>60.61666667</v>
      </c>
      <c r="K672" s="120">
        <v>287.41</v>
      </c>
      <c r="L672" s="103">
        <v>22597.0</v>
      </c>
      <c r="M672" s="103">
        <v>5.0</v>
      </c>
      <c r="N672" s="121">
        <v>299.75</v>
      </c>
      <c r="O672" s="109">
        <f t="shared" ref="O672:O686" si="189">K672/N672</f>
        <v>0.9588323603</v>
      </c>
      <c r="P672" s="110">
        <f t="shared" si="5"/>
        <v>1.04293518</v>
      </c>
      <c r="Q672" s="109">
        <f t="shared" si="6"/>
        <v>0.5268261388</v>
      </c>
      <c r="R672" s="111">
        <f t="shared" si="7"/>
        <v>0.5494455137</v>
      </c>
      <c r="S672" s="122">
        <f t="shared" si="188"/>
        <v>245.8</v>
      </c>
      <c r="T672" s="113">
        <f t="shared" si="9"/>
        <v>57.482</v>
      </c>
      <c r="U672" s="172"/>
      <c r="V672" s="172"/>
      <c r="W672" s="172"/>
      <c r="X672" s="172"/>
      <c r="Y672" s="173"/>
      <c r="Z672" s="165"/>
      <c r="AA672" s="165"/>
    </row>
    <row r="673" hidden="1" outlineLevel="1">
      <c r="A673" s="165"/>
      <c r="B673" s="174"/>
      <c r="C673" s="100" t="s">
        <v>36</v>
      </c>
      <c r="D673" s="120">
        <v>719.45</v>
      </c>
      <c r="E673" s="401"/>
      <c r="F673" s="103">
        <v>11.0</v>
      </c>
      <c r="G673" s="103">
        <v>10.0</v>
      </c>
      <c r="H673" s="104">
        <f t="shared" si="1"/>
        <v>1.1</v>
      </c>
      <c r="I673" s="105">
        <f t="shared" si="2"/>
        <v>65.40454545</v>
      </c>
      <c r="J673" s="106">
        <f t="shared" si="3"/>
        <v>59.45867769</v>
      </c>
      <c r="K673" s="120">
        <v>127.66</v>
      </c>
      <c r="L673" s="103">
        <v>21787.0</v>
      </c>
      <c r="M673" s="103">
        <v>3.0</v>
      </c>
      <c r="N673" s="121">
        <v>189.85</v>
      </c>
      <c r="O673" s="109">
        <f t="shared" si="189"/>
        <v>0.6724255992</v>
      </c>
      <c r="P673" s="110">
        <f t="shared" si="5"/>
        <v>1.487153376</v>
      </c>
      <c r="Q673" s="109">
        <f t="shared" si="6"/>
        <v>0.1774411008</v>
      </c>
      <c r="R673" s="111">
        <f t="shared" si="7"/>
        <v>0.2638821322</v>
      </c>
      <c r="S673" s="122">
        <f t="shared" si="188"/>
        <v>529.6</v>
      </c>
      <c r="T673" s="113">
        <f t="shared" si="9"/>
        <v>42.55333333</v>
      </c>
      <c r="U673" s="172"/>
      <c r="V673" s="172"/>
      <c r="W673" s="172"/>
      <c r="X673" s="172"/>
      <c r="Y673" s="173"/>
      <c r="Z673" s="165"/>
      <c r="AA673" s="165"/>
    </row>
    <row r="674" hidden="1" outlineLevel="1">
      <c r="A674" s="165"/>
      <c r="B674" s="99" t="s">
        <v>37</v>
      </c>
      <c r="C674" s="100" t="s">
        <v>38</v>
      </c>
      <c r="D674" s="123">
        <v>299.7</v>
      </c>
      <c r="E674" s="401"/>
      <c r="F674" s="103">
        <v>6.0</v>
      </c>
      <c r="G674" s="103">
        <v>8.0</v>
      </c>
      <c r="H674" s="104">
        <f t="shared" si="1"/>
        <v>0.75</v>
      </c>
      <c r="I674" s="105">
        <f t="shared" si="2"/>
        <v>49.95</v>
      </c>
      <c r="J674" s="106">
        <f t="shared" si="3"/>
        <v>66.6</v>
      </c>
      <c r="K674" s="123">
        <v>32.57</v>
      </c>
      <c r="L674" s="103">
        <v>13136.0</v>
      </c>
      <c r="M674" s="103">
        <v>0.0</v>
      </c>
      <c r="N674" s="124">
        <v>0.0</v>
      </c>
      <c r="O674" s="109" t="str">
        <f t="shared" si="189"/>
        <v>#DIV/0!</v>
      </c>
      <c r="P674" s="110">
        <f t="shared" si="5"/>
        <v>0</v>
      </c>
      <c r="Q674" s="109">
        <f t="shared" si="6"/>
        <v>0.108675342</v>
      </c>
      <c r="R674" s="111">
        <f t="shared" si="7"/>
        <v>0</v>
      </c>
      <c r="S674" s="125">
        <f t="shared" si="188"/>
        <v>299.7</v>
      </c>
      <c r="T674" s="113" t="str">
        <f t="shared" si="9"/>
        <v>#DIV/0!</v>
      </c>
      <c r="U674" s="172"/>
      <c r="V674" s="172"/>
      <c r="W674" s="172"/>
      <c r="X674" s="172"/>
      <c r="Y674" s="173"/>
      <c r="Z674" s="165"/>
      <c r="AA674" s="165"/>
    </row>
    <row r="675" hidden="1" outlineLevel="1">
      <c r="A675" s="165"/>
      <c r="B675" s="174"/>
      <c r="C675" s="100" t="s">
        <v>39</v>
      </c>
      <c r="D675" s="126">
        <v>0.0</v>
      </c>
      <c r="E675" s="401"/>
      <c r="F675" s="103">
        <v>0.0</v>
      </c>
      <c r="G675" s="103">
        <v>0.0</v>
      </c>
      <c r="H675" s="104" t="str">
        <f t="shared" si="1"/>
        <v>#DIV/0!</v>
      </c>
      <c r="I675" s="105" t="str">
        <f t="shared" si="2"/>
        <v>#DIV/0!</v>
      </c>
      <c r="J675" s="106" t="str">
        <f t="shared" si="3"/>
        <v>#DIV/0!</v>
      </c>
      <c r="K675" s="126">
        <v>0.0</v>
      </c>
      <c r="L675" s="103">
        <v>0.0</v>
      </c>
      <c r="M675" s="103">
        <v>0.0</v>
      </c>
      <c r="N675" s="127">
        <v>0.0</v>
      </c>
      <c r="O675" s="109" t="str">
        <f t="shared" si="189"/>
        <v>#DIV/0!</v>
      </c>
      <c r="P675" s="110" t="str">
        <f t="shared" si="5"/>
        <v>#DIV/0!</v>
      </c>
      <c r="Q675" s="109" t="str">
        <f t="shared" si="6"/>
        <v>#DIV/0!</v>
      </c>
      <c r="R675" s="111" t="str">
        <f t="shared" si="7"/>
        <v>#DIV/0!</v>
      </c>
      <c r="S675" s="128">
        <f t="shared" si="188"/>
        <v>0</v>
      </c>
      <c r="T675" s="113" t="str">
        <f t="shared" si="9"/>
        <v>#DIV/0!</v>
      </c>
      <c r="U675" s="172"/>
      <c r="V675" s="172"/>
      <c r="W675" s="172"/>
      <c r="X675" s="172"/>
      <c r="Y675" s="173"/>
      <c r="Z675" s="165"/>
      <c r="AA675" s="165"/>
    </row>
    <row r="676" hidden="1" outlineLevel="1">
      <c r="A676" s="165"/>
      <c r="B676" s="174"/>
      <c r="C676" s="100" t="s">
        <v>40</v>
      </c>
      <c r="D676" s="129">
        <v>219.8</v>
      </c>
      <c r="E676" s="401"/>
      <c r="F676" s="103">
        <v>4.0</v>
      </c>
      <c r="G676" s="103">
        <v>5.0</v>
      </c>
      <c r="H676" s="104">
        <f t="shared" si="1"/>
        <v>0.8</v>
      </c>
      <c r="I676" s="105">
        <f t="shared" si="2"/>
        <v>54.95</v>
      </c>
      <c r="J676" s="106">
        <f t="shared" si="3"/>
        <v>68.6875</v>
      </c>
      <c r="K676" s="129">
        <v>0.0</v>
      </c>
      <c r="L676" s="103">
        <v>0.0</v>
      </c>
      <c r="M676" s="103">
        <v>0.0</v>
      </c>
      <c r="N676" s="130">
        <v>0.0</v>
      </c>
      <c r="O676" s="109" t="str">
        <f t="shared" si="189"/>
        <v>#DIV/0!</v>
      </c>
      <c r="P676" s="110" t="str">
        <f t="shared" si="5"/>
        <v>#DIV/0!</v>
      </c>
      <c r="Q676" s="109">
        <f t="shared" si="6"/>
        <v>0</v>
      </c>
      <c r="R676" s="111">
        <f t="shared" si="7"/>
        <v>0</v>
      </c>
      <c r="S676" s="131">
        <f t="shared" si="188"/>
        <v>219.8</v>
      </c>
      <c r="T676" s="113" t="str">
        <f t="shared" si="9"/>
        <v>#DIV/0!</v>
      </c>
      <c r="U676" s="172"/>
      <c r="V676" s="172"/>
      <c r="W676" s="172"/>
      <c r="X676" s="172"/>
      <c r="Y676" s="173"/>
      <c r="Z676" s="165"/>
      <c r="AA676" s="165"/>
    </row>
    <row r="677" hidden="1" outlineLevel="1">
      <c r="A677" s="165"/>
      <c r="B677" s="174"/>
      <c r="C677" s="100" t="s">
        <v>41</v>
      </c>
      <c r="D677" s="132">
        <v>1526.27</v>
      </c>
      <c r="E677" s="401"/>
      <c r="F677" s="103">
        <v>17.0</v>
      </c>
      <c r="G677" s="103">
        <v>18.0</v>
      </c>
      <c r="H677" s="104">
        <f t="shared" si="1"/>
        <v>0.9444444444</v>
      </c>
      <c r="I677" s="105">
        <f t="shared" si="2"/>
        <v>89.78058824</v>
      </c>
      <c r="J677" s="106">
        <f t="shared" si="3"/>
        <v>95.06179931</v>
      </c>
      <c r="K677" s="132">
        <v>394.92</v>
      </c>
      <c r="L677" s="103">
        <v>28872.0</v>
      </c>
      <c r="M677" s="103">
        <v>5.0</v>
      </c>
      <c r="N677" s="133">
        <v>582.67</v>
      </c>
      <c r="O677" s="109">
        <f t="shared" si="189"/>
        <v>0.6777764429</v>
      </c>
      <c r="P677" s="110">
        <f t="shared" si="5"/>
        <v>1.475412742</v>
      </c>
      <c r="Q677" s="109">
        <f t="shared" si="6"/>
        <v>0.2587484521</v>
      </c>
      <c r="R677" s="111">
        <f t="shared" si="7"/>
        <v>0.3817607632</v>
      </c>
      <c r="S677" s="134">
        <f t="shared" si="188"/>
        <v>943.6</v>
      </c>
      <c r="T677" s="113">
        <f t="shared" si="9"/>
        <v>78.984</v>
      </c>
      <c r="U677" s="172"/>
      <c r="V677" s="172"/>
      <c r="W677" s="172"/>
      <c r="X677" s="172"/>
      <c r="Y677" s="173"/>
      <c r="Z677" s="165"/>
      <c r="AA677" s="165"/>
    </row>
    <row r="678" hidden="1" outlineLevel="1">
      <c r="A678" s="165"/>
      <c r="B678" s="174"/>
      <c r="C678" s="100" t="s">
        <v>42</v>
      </c>
      <c r="D678" s="120">
        <v>9.95</v>
      </c>
      <c r="E678" s="401"/>
      <c r="F678" s="103">
        <v>1.0</v>
      </c>
      <c r="G678" s="103">
        <v>1.0</v>
      </c>
      <c r="H678" s="104">
        <f t="shared" si="1"/>
        <v>1</v>
      </c>
      <c r="I678" s="105">
        <f t="shared" si="2"/>
        <v>9.95</v>
      </c>
      <c r="J678" s="106">
        <f t="shared" si="3"/>
        <v>9.95</v>
      </c>
      <c r="K678" s="120">
        <v>0.0</v>
      </c>
      <c r="L678" s="103">
        <v>0.0</v>
      </c>
      <c r="M678" s="103">
        <v>0.0</v>
      </c>
      <c r="N678" s="121">
        <v>0.0</v>
      </c>
      <c r="O678" s="109" t="str">
        <f t="shared" si="189"/>
        <v>#DIV/0!</v>
      </c>
      <c r="P678" s="110" t="str">
        <f t="shared" si="5"/>
        <v>#DIV/0!</v>
      </c>
      <c r="Q678" s="109">
        <f t="shared" si="6"/>
        <v>0</v>
      </c>
      <c r="R678" s="111">
        <f t="shared" si="7"/>
        <v>0</v>
      </c>
      <c r="S678" s="122">
        <f t="shared" si="188"/>
        <v>9.95</v>
      </c>
      <c r="T678" s="113" t="str">
        <f t="shared" si="9"/>
        <v>#DIV/0!</v>
      </c>
      <c r="U678" s="172"/>
      <c r="V678" s="172"/>
      <c r="W678" s="172"/>
      <c r="X678" s="172"/>
      <c r="Y678" s="173"/>
      <c r="Z678" s="165"/>
      <c r="AA678" s="165"/>
    </row>
    <row r="679" hidden="1" outlineLevel="1">
      <c r="A679" s="165"/>
      <c r="B679" s="174"/>
      <c r="C679" s="100" t="s">
        <v>43</v>
      </c>
      <c r="D679" s="135">
        <v>586.85</v>
      </c>
      <c r="E679" s="401"/>
      <c r="F679" s="103">
        <v>3.0</v>
      </c>
      <c r="G679" s="103">
        <v>4.0</v>
      </c>
      <c r="H679" s="104">
        <f t="shared" si="1"/>
        <v>0.75</v>
      </c>
      <c r="I679" s="105">
        <f t="shared" si="2"/>
        <v>195.6166667</v>
      </c>
      <c r="J679" s="106">
        <f t="shared" si="3"/>
        <v>260.8222222</v>
      </c>
      <c r="K679" s="135">
        <v>53.96</v>
      </c>
      <c r="L679" s="103">
        <v>14217.0</v>
      </c>
      <c r="M679" s="103">
        <v>2.0</v>
      </c>
      <c r="N679" s="136">
        <v>210.95</v>
      </c>
      <c r="O679" s="109">
        <f t="shared" si="189"/>
        <v>0.2557952121</v>
      </c>
      <c r="P679" s="110">
        <f t="shared" si="5"/>
        <v>3.909377317</v>
      </c>
      <c r="Q679" s="109">
        <f t="shared" si="6"/>
        <v>0.09194853881</v>
      </c>
      <c r="R679" s="111">
        <f t="shared" si="7"/>
        <v>0.3594615319</v>
      </c>
      <c r="S679" s="137">
        <f t="shared" si="188"/>
        <v>375.9</v>
      </c>
      <c r="T679" s="113">
        <f t="shared" si="9"/>
        <v>26.98</v>
      </c>
      <c r="U679" s="172"/>
      <c r="V679" s="172"/>
      <c r="W679" s="172"/>
      <c r="X679" s="172"/>
      <c r="Y679" s="173"/>
      <c r="Z679" s="165"/>
      <c r="AA679" s="165"/>
    </row>
    <row r="680" hidden="1" outlineLevel="1">
      <c r="A680" s="165"/>
      <c r="B680" s="174"/>
      <c r="C680" s="100" t="s">
        <v>44</v>
      </c>
      <c r="D680" s="138">
        <v>314.65</v>
      </c>
      <c r="E680" s="401"/>
      <c r="F680" s="103">
        <v>7.0</v>
      </c>
      <c r="G680" s="103">
        <v>7.0</v>
      </c>
      <c r="H680" s="104">
        <f t="shared" si="1"/>
        <v>1</v>
      </c>
      <c r="I680" s="105">
        <f t="shared" si="2"/>
        <v>44.95</v>
      </c>
      <c r="J680" s="106">
        <f t="shared" si="3"/>
        <v>44.95</v>
      </c>
      <c r="K680" s="138">
        <v>145.42</v>
      </c>
      <c r="L680" s="103">
        <v>69627.0</v>
      </c>
      <c r="M680" s="103">
        <v>6.0</v>
      </c>
      <c r="N680" s="139">
        <v>269.7</v>
      </c>
      <c r="O680" s="109">
        <f t="shared" si="189"/>
        <v>0.5391916945</v>
      </c>
      <c r="P680" s="110">
        <f t="shared" si="5"/>
        <v>1.854627974</v>
      </c>
      <c r="Q680" s="109">
        <f t="shared" si="6"/>
        <v>0.4621643096</v>
      </c>
      <c r="R680" s="111">
        <f t="shared" si="7"/>
        <v>0.8571428571</v>
      </c>
      <c r="S680" s="140">
        <f t="shared" si="188"/>
        <v>44.95</v>
      </c>
      <c r="T680" s="113">
        <f t="shared" si="9"/>
        <v>24.23666667</v>
      </c>
      <c r="U680" s="172"/>
      <c r="V680" s="172"/>
      <c r="W680" s="172"/>
      <c r="X680" s="172"/>
      <c r="Y680" s="173"/>
      <c r="Z680" s="165"/>
      <c r="AA680" s="165"/>
    </row>
    <row r="681" hidden="1" outlineLevel="1">
      <c r="A681" s="192"/>
      <c r="B681" s="174"/>
      <c r="C681" s="142" t="s">
        <v>45</v>
      </c>
      <c r="D681" s="101">
        <v>59.9</v>
      </c>
      <c r="E681" s="401"/>
      <c r="F681" s="103">
        <v>2.0</v>
      </c>
      <c r="G681" s="103">
        <v>1.0</v>
      </c>
      <c r="H681" s="104">
        <f t="shared" si="1"/>
        <v>2</v>
      </c>
      <c r="I681" s="105">
        <f t="shared" si="2"/>
        <v>29.95</v>
      </c>
      <c r="J681" s="106">
        <f t="shared" si="3"/>
        <v>14.975</v>
      </c>
      <c r="K681" s="101">
        <v>0.0</v>
      </c>
      <c r="L681" s="103">
        <v>0.0</v>
      </c>
      <c r="M681" s="103">
        <v>0.0</v>
      </c>
      <c r="N681" s="108">
        <v>0.0</v>
      </c>
      <c r="O681" s="109" t="str">
        <f t="shared" si="189"/>
        <v>#DIV/0!</v>
      </c>
      <c r="P681" s="110" t="str">
        <f t="shared" si="5"/>
        <v>#DIV/0!</v>
      </c>
      <c r="Q681" s="109">
        <f t="shared" si="6"/>
        <v>0</v>
      </c>
      <c r="R681" s="111">
        <f t="shared" si="7"/>
        <v>0</v>
      </c>
      <c r="S681" s="112">
        <f t="shared" si="188"/>
        <v>59.9</v>
      </c>
      <c r="T681" s="113" t="str">
        <f t="shared" si="9"/>
        <v>#DIV/0!</v>
      </c>
      <c r="U681" s="193"/>
      <c r="V681" s="193"/>
      <c r="W681" s="193"/>
      <c r="X681" s="194"/>
      <c r="Y681" s="195"/>
      <c r="Z681" s="165"/>
      <c r="AA681" s="165"/>
    </row>
    <row r="682" hidden="1" outlineLevel="1">
      <c r="A682" s="165"/>
      <c r="B682" s="174"/>
      <c r="C682" s="100" t="s">
        <v>46</v>
      </c>
      <c r="D682" s="146">
        <v>958.9</v>
      </c>
      <c r="E682" s="401"/>
      <c r="F682" s="103">
        <v>22.0</v>
      </c>
      <c r="G682" s="103">
        <v>24.0</v>
      </c>
      <c r="H682" s="104">
        <f t="shared" si="1"/>
        <v>0.9166666667</v>
      </c>
      <c r="I682" s="105">
        <f t="shared" si="2"/>
        <v>43.58636364</v>
      </c>
      <c r="J682" s="106">
        <f t="shared" si="3"/>
        <v>47.54876033</v>
      </c>
      <c r="K682" s="146">
        <v>105.6</v>
      </c>
      <c r="L682" s="103">
        <v>28622.0</v>
      </c>
      <c r="M682" s="103">
        <v>5.0</v>
      </c>
      <c r="N682" s="147">
        <v>218.75</v>
      </c>
      <c r="O682" s="109">
        <f t="shared" si="189"/>
        <v>0.4827428571</v>
      </c>
      <c r="P682" s="110">
        <f t="shared" si="5"/>
        <v>2.071496212</v>
      </c>
      <c r="Q682" s="109">
        <f t="shared" si="6"/>
        <v>0.1101261863</v>
      </c>
      <c r="R682" s="111">
        <f t="shared" si="7"/>
        <v>0.2281259777</v>
      </c>
      <c r="S682" s="112">
        <f t="shared" si="188"/>
        <v>740.15</v>
      </c>
      <c r="T682" s="113">
        <f t="shared" si="9"/>
        <v>21.12</v>
      </c>
      <c r="U682" s="172"/>
      <c r="V682" s="172"/>
      <c r="W682" s="172"/>
      <c r="X682" s="172"/>
      <c r="Y682" s="173"/>
      <c r="Z682" s="165"/>
      <c r="AA682" s="165"/>
    </row>
    <row r="683" hidden="1" outlineLevel="1">
      <c r="A683" s="148" t="str">
        <f t="shared" ref="A683:A684" si="190">iferror(if(B683&gt;0,month(B683)&amp;"-"&amp;year(B683),B683),)</f>
        <v>9-2025</v>
      </c>
      <c r="B683" s="99">
        <v>45906.0</v>
      </c>
      <c r="C683" s="100" t="s">
        <v>49</v>
      </c>
      <c r="D683" s="146">
        <v>0.0</v>
      </c>
      <c r="E683" s="401"/>
      <c r="F683" s="103">
        <v>0.0</v>
      </c>
      <c r="G683" s="103">
        <v>0.0</v>
      </c>
      <c r="H683" s="104" t="str">
        <f t="shared" si="1"/>
        <v>#DIV/0!</v>
      </c>
      <c r="I683" s="105" t="str">
        <f t="shared" si="2"/>
        <v>#DIV/0!</v>
      </c>
      <c r="J683" s="106" t="str">
        <f t="shared" si="3"/>
        <v>#DIV/0!</v>
      </c>
      <c r="K683" s="146">
        <v>2.49</v>
      </c>
      <c r="L683" s="103">
        <v>10639.0</v>
      </c>
      <c r="M683" s="103">
        <v>0.0</v>
      </c>
      <c r="N683" s="147">
        <v>0.0</v>
      </c>
      <c r="O683" s="109" t="str">
        <f t="shared" si="189"/>
        <v>#DIV/0!</v>
      </c>
      <c r="P683" s="110">
        <f t="shared" si="5"/>
        <v>0</v>
      </c>
      <c r="Q683" s="109" t="str">
        <f t="shared" si="6"/>
        <v>#DIV/0!</v>
      </c>
      <c r="R683" s="111" t="str">
        <f t="shared" si="7"/>
        <v>#DIV/0!</v>
      </c>
      <c r="S683" s="112">
        <f t="shared" si="188"/>
        <v>0</v>
      </c>
      <c r="T683" s="113" t="str">
        <f t="shared" si="9"/>
        <v>#DIV/0!</v>
      </c>
      <c r="U683" s="172"/>
      <c r="V683" s="172"/>
      <c r="W683" s="172"/>
      <c r="X683" s="172"/>
      <c r="Y683" s="173"/>
      <c r="Z683" s="165"/>
      <c r="AA683" s="165"/>
    </row>
    <row r="684" collapsed="1">
      <c r="A684" s="165" t="str">
        <f t="shared" si="190"/>
        <v/>
      </c>
      <c r="B684" s="80" t="s">
        <v>123</v>
      </c>
      <c r="C684" s="201"/>
      <c r="D684" s="151">
        <f>SUM(D669:D683)</f>
        <v>21440.87</v>
      </c>
      <c r="E684" s="400"/>
      <c r="F684" s="153">
        <f t="shared" ref="F684:G684" si="191">SUM(F669:F683)</f>
        <v>177</v>
      </c>
      <c r="G684" s="153">
        <f t="shared" si="191"/>
        <v>185</v>
      </c>
      <c r="H684" s="154">
        <f t="shared" si="1"/>
        <v>0.9567567568</v>
      </c>
      <c r="I684" s="155">
        <f t="shared" si="2"/>
        <v>121.1348588</v>
      </c>
      <c r="J684" s="156">
        <f t="shared" si="3"/>
        <v>126.6098806</v>
      </c>
      <c r="K684" s="151">
        <f t="shared" ref="K684:N684" si="192">SUM(K669:K683)</f>
        <v>2812.13</v>
      </c>
      <c r="L684" s="153">
        <f t="shared" si="192"/>
        <v>557226</v>
      </c>
      <c r="M684" s="153">
        <f t="shared" si="192"/>
        <v>52</v>
      </c>
      <c r="N684" s="157">
        <f t="shared" si="192"/>
        <v>7642.22</v>
      </c>
      <c r="O684" s="158">
        <f t="shared" si="189"/>
        <v>0.3679729189</v>
      </c>
      <c r="P684" s="159">
        <f t="shared" si="5"/>
        <v>2.717591292</v>
      </c>
      <c r="Q684" s="158">
        <f t="shared" si="6"/>
        <v>0.1311574577</v>
      </c>
      <c r="R684" s="160">
        <f t="shared" si="7"/>
        <v>0.3564323649</v>
      </c>
      <c r="S684" s="161">
        <f>SUM(S669:S683)</f>
        <v>13798.65</v>
      </c>
      <c r="T684" s="162">
        <f t="shared" si="9"/>
        <v>54.07942308</v>
      </c>
      <c r="U684" s="163">
        <f>IFERROR((D684-D246)/D684,)</f>
        <v>0.6464080049</v>
      </c>
      <c r="V684" s="163">
        <f>IFERROR((F684-F246)/F684,)</f>
        <v>0.4689265537</v>
      </c>
      <c r="W684" s="398" t="str">
        <f>IFERROR((D684-monthly_reporting_2021!E475)/D684, )</f>
        <v/>
      </c>
      <c r="X684" s="398" t="str">
        <f>IFERROR((F684-monthly_reporting_2021!F475)/F684, )</f>
        <v/>
      </c>
      <c r="Y684" s="165"/>
      <c r="Z684" s="165"/>
      <c r="AA684" s="165"/>
    </row>
    <row r="685" hidden="1" outlineLevel="1">
      <c r="A685" s="165"/>
      <c r="B685" s="99">
        <v>45907.0</v>
      </c>
      <c r="C685" s="100" t="s">
        <v>32</v>
      </c>
      <c r="D685" s="101">
        <v>1746.1</v>
      </c>
      <c r="E685" s="401"/>
      <c r="F685" s="103">
        <v>10.0</v>
      </c>
      <c r="G685" s="103">
        <v>13.0</v>
      </c>
      <c r="H685" s="104">
        <f t="shared" si="1"/>
        <v>0.7692307692</v>
      </c>
      <c r="I685" s="105">
        <f t="shared" si="2"/>
        <v>174.61</v>
      </c>
      <c r="J685" s="106">
        <f t="shared" si="3"/>
        <v>226.993</v>
      </c>
      <c r="K685" s="107">
        <v>854.46</v>
      </c>
      <c r="L685" s="103">
        <v>178937.0</v>
      </c>
      <c r="M685" s="103">
        <v>3.0</v>
      </c>
      <c r="N685" s="108">
        <v>2267.0</v>
      </c>
      <c r="O685" s="109">
        <f t="shared" si="189"/>
        <v>0.3769122188</v>
      </c>
      <c r="P685" s="110">
        <f t="shared" si="5"/>
        <v>2.653137654</v>
      </c>
      <c r="Q685" s="109">
        <f t="shared" si="6"/>
        <v>0.4893534162</v>
      </c>
      <c r="R685" s="111">
        <f t="shared" si="7"/>
        <v>1.298321975</v>
      </c>
      <c r="S685" s="112">
        <f t="shared" ref="S685:S699" si="193">D685-N685</f>
        <v>-520.9</v>
      </c>
      <c r="T685" s="113">
        <f t="shared" si="9"/>
        <v>284.82</v>
      </c>
      <c r="U685" s="172"/>
      <c r="V685" s="172"/>
      <c r="W685" s="172"/>
      <c r="X685" s="172"/>
      <c r="Y685" s="173"/>
      <c r="Z685" s="165"/>
      <c r="AA685" s="165"/>
    </row>
    <row r="686" hidden="1" outlineLevel="1">
      <c r="A686" s="165"/>
      <c r="B686" s="174"/>
      <c r="C686" s="100" t="s">
        <v>33</v>
      </c>
      <c r="D686" s="117">
        <v>7724.65</v>
      </c>
      <c r="E686" s="401"/>
      <c r="F686" s="103">
        <v>67.0</v>
      </c>
      <c r="G686" s="103">
        <v>65.0</v>
      </c>
      <c r="H686" s="104">
        <f t="shared" si="1"/>
        <v>1.030769231</v>
      </c>
      <c r="I686" s="105">
        <f t="shared" si="2"/>
        <v>115.2932836</v>
      </c>
      <c r="J686" s="106">
        <f t="shared" si="3"/>
        <v>111.851693</v>
      </c>
      <c r="K686" s="117">
        <v>474.07</v>
      </c>
      <c r="L686" s="103">
        <v>105026.0</v>
      </c>
      <c r="M686" s="103">
        <v>10.0</v>
      </c>
      <c r="N686" s="118">
        <v>1723.85</v>
      </c>
      <c r="O686" s="109">
        <f t="shared" si="189"/>
        <v>0.2750065261</v>
      </c>
      <c r="P686" s="110">
        <f t="shared" si="5"/>
        <v>3.636277343</v>
      </c>
      <c r="Q686" s="109">
        <f t="shared" si="6"/>
        <v>0.06137106536</v>
      </c>
      <c r="R686" s="111">
        <f t="shared" si="7"/>
        <v>0.2231622145</v>
      </c>
      <c r="S686" s="119">
        <f t="shared" si="193"/>
        <v>6000.8</v>
      </c>
      <c r="T686" s="113">
        <f t="shared" si="9"/>
        <v>47.407</v>
      </c>
      <c r="U686" s="172"/>
      <c r="V686" s="172"/>
      <c r="W686" s="172"/>
      <c r="X686" s="172"/>
      <c r="Y686" s="173"/>
      <c r="Z686" s="165"/>
      <c r="AA686" s="165"/>
    </row>
    <row r="687" hidden="1" outlineLevel="1">
      <c r="A687" s="165"/>
      <c r="B687" s="174"/>
      <c r="C687" s="100" t="s">
        <v>34</v>
      </c>
      <c r="D687" s="120">
        <v>69.95</v>
      </c>
      <c r="E687" s="401"/>
      <c r="F687" s="103">
        <v>1.0</v>
      </c>
      <c r="G687" s="103">
        <v>1.0</v>
      </c>
      <c r="H687" s="104">
        <f t="shared" si="1"/>
        <v>1</v>
      </c>
      <c r="I687" s="105">
        <f t="shared" si="2"/>
        <v>69.95</v>
      </c>
      <c r="J687" s="106">
        <f t="shared" si="3"/>
        <v>69.95</v>
      </c>
      <c r="K687" s="120">
        <v>0.0</v>
      </c>
      <c r="L687" s="103">
        <v>286.0</v>
      </c>
      <c r="M687" s="103">
        <v>0.0</v>
      </c>
      <c r="N687" s="121">
        <v>0.0</v>
      </c>
      <c r="O687" s="109" t="str">
        <f>(K687/N687)</f>
        <v>#DIV/0!</v>
      </c>
      <c r="P687" s="110" t="str">
        <f t="shared" si="5"/>
        <v>#DIV/0!</v>
      </c>
      <c r="Q687" s="109">
        <f t="shared" si="6"/>
        <v>0</v>
      </c>
      <c r="R687" s="111">
        <f t="shared" si="7"/>
        <v>0</v>
      </c>
      <c r="S687" s="122">
        <f t="shared" si="193"/>
        <v>69.95</v>
      </c>
      <c r="T687" s="113" t="str">
        <f t="shared" si="9"/>
        <v>#DIV/0!</v>
      </c>
      <c r="U687" s="172"/>
      <c r="V687" s="172"/>
      <c r="W687" s="172"/>
      <c r="X687" s="172"/>
      <c r="Y687" s="173"/>
      <c r="Z687" s="165"/>
      <c r="AA687" s="165"/>
    </row>
    <row r="688" hidden="1" outlineLevel="1">
      <c r="A688" s="165"/>
      <c r="B688" s="174"/>
      <c r="C688" s="100" t="s">
        <v>35</v>
      </c>
      <c r="D688" s="120">
        <v>296.75</v>
      </c>
      <c r="E688" s="401"/>
      <c r="F688" s="103">
        <v>5.0</v>
      </c>
      <c r="G688" s="103">
        <v>7.0</v>
      </c>
      <c r="H688" s="104">
        <f t="shared" si="1"/>
        <v>0.7142857143</v>
      </c>
      <c r="I688" s="105">
        <f t="shared" si="2"/>
        <v>59.35</v>
      </c>
      <c r="J688" s="106">
        <f t="shared" si="3"/>
        <v>83.09</v>
      </c>
      <c r="K688" s="120">
        <v>257.62</v>
      </c>
      <c r="L688" s="103">
        <v>22610.0</v>
      </c>
      <c r="M688" s="103">
        <v>7.0</v>
      </c>
      <c r="N688" s="121">
        <v>419.65</v>
      </c>
      <c r="O688" s="109">
        <f t="shared" ref="O688:O702" si="194">K688/N688</f>
        <v>0.6138925295</v>
      </c>
      <c r="P688" s="110">
        <f t="shared" si="5"/>
        <v>1.628949616</v>
      </c>
      <c r="Q688" s="109">
        <f t="shared" si="6"/>
        <v>0.8681381634</v>
      </c>
      <c r="R688" s="111">
        <f t="shared" si="7"/>
        <v>1.414153328</v>
      </c>
      <c r="S688" s="122">
        <f t="shared" si="193"/>
        <v>-122.9</v>
      </c>
      <c r="T688" s="113">
        <f t="shared" si="9"/>
        <v>36.80285714</v>
      </c>
      <c r="U688" s="172"/>
      <c r="V688" s="172"/>
      <c r="W688" s="172"/>
      <c r="X688" s="172"/>
      <c r="Y688" s="173"/>
      <c r="Z688" s="165"/>
      <c r="AA688" s="165"/>
    </row>
    <row r="689" hidden="1" outlineLevel="1">
      <c r="A689" s="165"/>
      <c r="B689" s="174"/>
      <c r="C689" s="100" t="s">
        <v>36</v>
      </c>
      <c r="D689" s="120">
        <v>499.6</v>
      </c>
      <c r="E689" s="401"/>
      <c r="F689" s="103">
        <v>8.0</v>
      </c>
      <c r="G689" s="103">
        <v>9.0</v>
      </c>
      <c r="H689" s="104">
        <f t="shared" si="1"/>
        <v>0.8888888889</v>
      </c>
      <c r="I689" s="105">
        <f t="shared" si="2"/>
        <v>62.45</v>
      </c>
      <c r="J689" s="106">
        <f t="shared" si="3"/>
        <v>70.25625</v>
      </c>
      <c r="K689" s="120">
        <v>147.16</v>
      </c>
      <c r="L689" s="103">
        <v>21588.0</v>
      </c>
      <c r="M689" s="103">
        <v>4.0</v>
      </c>
      <c r="N689" s="121">
        <v>249.8</v>
      </c>
      <c r="O689" s="109">
        <f t="shared" si="194"/>
        <v>0.589111289</v>
      </c>
      <c r="P689" s="110">
        <f t="shared" si="5"/>
        <v>1.697472139</v>
      </c>
      <c r="Q689" s="109">
        <f t="shared" si="6"/>
        <v>0.2945556445</v>
      </c>
      <c r="R689" s="111">
        <f t="shared" si="7"/>
        <v>0.5</v>
      </c>
      <c r="S689" s="122">
        <f t="shared" si="193"/>
        <v>249.8</v>
      </c>
      <c r="T689" s="113">
        <f t="shared" si="9"/>
        <v>36.79</v>
      </c>
      <c r="U689" s="172"/>
      <c r="V689" s="172"/>
      <c r="W689" s="172"/>
      <c r="X689" s="172"/>
      <c r="Y689" s="173"/>
      <c r="Z689" s="165"/>
      <c r="AA689" s="165"/>
    </row>
    <row r="690" hidden="1" outlineLevel="1">
      <c r="A690" s="165"/>
      <c r="B690" s="99" t="s">
        <v>37</v>
      </c>
      <c r="C690" s="100" t="s">
        <v>38</v>
      </c>
      <c r="D690" s="123">
        <v>139.8</v>
      </c>
      <c r="E690" s="401"/>
      <c r="F690" s="103">
        <v>4.0</v>
      </c>
      <c r="G690" s="103">
        <v>4.0</v>
      </c>
      <c r="H690" s="104">
        <f t="shared" si="1"/>
        <v>1</v>
      </c>
      <c r="I690" s="105">
        <f t="shared" si="2"/>
        <v>34.95</v>
      </c>
      <c r="J690" s="106">
        <f t="shared" si="3"/>
        <v>34.95</v>
      </c>
      <c r="K690" s="123">
        <v>36.22</v>
      </c>
      <c r="L690" s="103">
        <v>11868.0</v>
      </c>
      <c r="M690" s="103">
        <v>0.0</v>
      </c>
      <c r="N690" s="124">
        <v>0.0</v>
      </c>
      <c r="O690" s="109" t="str">
        <f t="shared" si="194"/>
        <v>#DIV/0!</v>
      </c>
      <c r="P690" s="110">
        <f t="shared" si="5"/>
        <v>0</v>
      </c>
      <c r="Q690" s="109">
        <f t="shared" si="6"/>
        <v>0.2590844063</v>
      </c>
      <c r="R690" s="111">
        <f t="shared" si="7"/>
        <v>0</v>
      </c>
      <c r="S690" s="125">
        <f t="shared" si="193"/>
        <v>139.8</v>
      </c>
      <c r="T690" s="113" t="str">
        <f t="shared" si="9"/>
        <v>#DIV/0!</v>
      </c>
      <c r="U690" s="172"/>
      <c r="V690" s="172"/>
      <c r="W690" s="172"/>
      <c r="X690" s="172"/>
      <c r="Y690" s="173"/>
      <c r="Z690" s="165"/>
      <c r="AA690" s="165"/>
    </row>
    <row r="691" hidden="1" outlineLevel="1">
      <c r="A691" s="165"/>
      <c r="B691" s="174"/>
      <c r="C691" s="100" t="s">
        <v>39</v>
      </c>
      <c r="D691" s="126">
        <v>-24.95</v>
      </c>
      <c r="E691" s="401"/>
      <c r="F691" s="103">
        <v>-1.0</v>
      </c>
      <c r="G691" s="103">
        <v>0.0</v>
      </c>
      <c r="H691" s="104" t="str">
        <f t="shared" si="1"/>
        <v>#DIV/0!</v>
      </c>
      <c r="I691" s="105">
        <f t="shared" si="2"/>
        <v>24.95</v>
      </c>
      <c r="J691" s="106" t="str">
        <f t="shared" si="3"/>
        <v>#DIV/0!</v>
      </c>
      <c r="K691" s="126">
        <v>0.0</v>
      </c>
      <c r="L691" s="103">
        <v>0.0</v>
      </c>
      <c r="M691" s="103">
        <v>0.0</v>
      </c>
      <c r="N691" s="127">
        <v>0.0</v>
      </c>
      <c r="O691" s="109" t="str">
        <f t="shared" si="194"/>
        <v>#DIV/0!</v>
      </c>
      <c r="P691" s="110" t="str">
        <f t="shared" si="5"/>
        <v>#DIV/0!</v>
      </c>
      <c r="Q691" s="109">
        <f t="shared" si="6"/>
        <v>0</v>
      </c>
      <c r="R691" s="111">
        <f t="shared" si="7"/>
        <v>0</v>
      </c>
      <c r="S691" s="128">
        <f t="shared" si="193"/>
        <v>-24.95</v>
      </c>
      <c r="T691" s="113" t="str">
        <f t="shared" si="9"/>
        <v>#DIV/0!</v>
      </c>
      <c r="U691" s="172"/>
      <c r="V691" s="172"/>
      <c r="W691" s="172"/>
      <c r="X691" s="172"/>
      <c r="Y691" s="173"/>
      <c r="Z691" s="165"/>
      <c r="AA691" s="165"/>
    </row>
    <row r="692" hidden="1" outlineLevel="1">
      <c r="A692" s="165"/>
      <c r="B692" s="174"/>
      <c r="C692" s="100" t="s">
        <v>40</v>
      </c>
      <c r="D692" s="129">
        <v>824.25</v>
      </c>
      <c r="E692" s="401"/>
      <c r="F692" s="103">
        <v>15.0</v>
      </c>
      <c r="G692" s="103">
        <v>5.0</v>
      </c>
      <c r="H692" s="104">
        <f t="shared" si="1"/>
        <v>3</v>
      </c>
      <c r="I692" s="105">
        <f t="shared" si="2"/>
        <v>54.95</v>
      </c>
      <c r="J692" s="106">
        <f t="shared" si="3"/>
        <v>18.31666667</v>
      </c>
      <c r="K692" s="129">
        <v>0.0</v>
      </c>
      <c r="L692" s="103">
        <v>0.0</v>
      </c>
      <c r="M692" s="103">
        <v>0.0</v>
      </c>
      <c r="N692" s="130">
        <v>0.0</v>
      </c>
      <c r="O692" s="109" t="str">
        <f t="shared" si="194"/>
        <v>#DIV/0!</v>
      </c>
      <c r="P692" s="110" t="str">
        <f t="shared" si="5"/>
        <v>#DIV/0!</v>
      </c>
      <c r="Q692" s="109">
        <f t="shared" si="6"/>
        <v>0</v>
      </c>
      <c r="R692" s="111">
        <f t="shared" si="7"/>
        <v>0</v>
      </c>
      <c r="S692" s="131">
        <f t="shared" si="193"/>
        <v>824.25</v>
      </c>
      <c r="T692" s="113" t="str">
        <f t="shared" si="9"/>
        <v>#DIV/0!</v>
      </c>
      <c r="U692" s="172"/>
      <c r="V692" s="172"/>
      <c r="W692" s="172"/>
      <c r="X692" s="172"/>
      <c r="Y692" s="173"/>
      <c r="Z692" s="165"/>
      <c r="AA692" s="165"/>
    </row>
    <row r="693" hidden="1" outlineLevel="1">
      <c r="A693" s="165"/>
      <c r="B693" s="174"/>
      <c r="C693" s="100" t="s">
        <v>41</v>
      </c>
      <c r="D693" s="132">
        <v>1085.61</v>
      </c>
      <c r="E693" s="401"/>
      <c r="F693" s="103">
        <v>12.0</v>
      </c>
      <c r="G693" s="103">
        <v>14.0</v>
      </c>
      <c r="H693" s="104">
        <f t="shared" si="1"/>
        <v>0.8571428571</v>
      </c>
      <c r="I693" s="105">
        <f t="shared" si="2"/>
        <v>90.4675</v>
      </c>
      <c r="J693" s="106">
        <f t="shared" si="3"/>
        <v>105.5454167</v>
      </c>
      <c r="K693" s="132">
        <v>274.98</v>
      </c>
      <c r="L693" s="103">
        <v>26078.0</v>
      </c>
      <c r="M693" s="103">
        <v>6.0</v>
      </c>
      <c r="N693" s="133">
        <v>863.37</v>
      </c>
      <c r="O693" s="109">
        <f t="shared" si="194"/>
        <v>0.3184961256</v>
      </c>
      <c r="P693" s="110">
        <f t="shared" si="5"/>
        <v>3.139755619</v>
      </c>
      <c r="Q693" s="109">
        <f t="shared" si="6"/>
        <v>0.2532953823</v>
      </c>
      <c r="R693" s="111">
        <f t="shared" si="7"/>
        <v>0.7952855998</v>
      </c>
      <c r="S693" s="134">
        <f t="shared" si="193"/>
        <v>222.24</v>
      </c>
      <c r="T693" s="113">
        <f t="shared" si="9"/>
        <v>45.83</v>
      </c>
      <c r="U693" s="172"/>
      <c r="V693" s="172"/>
      <c r="W693" s="172"/>
      <c r="X693" s="172"/>
      <c r="Y693" s="173"/>
      <c r="Z693" s="165"/>
      <c r="AA693" s="165"/>
    </row>
    <row r="694" hidden="1" outlineLevel="1">
      <c r="A694" s="165"/>
      <c r="B694" s="174"/>
      <c r="C694" s="100" t="s">
        <v>42</v>
      </c>
      <c r="D694" s="120">
        <v>0.0</v>
      </c>
      <c r="E694" s="401"/>
      <c r="F694" s="103">
        <v>0.0</v>
      </c>
      <c r="G694" s="103">
        <v>0.0</v>
      </c>
      <c r="H694" s="104" t="str">
        <f t="shared" si="1"/>
        <v>#DIV/0!</v>
      </c>
      <c r="I694" s="105" t="str">
        <f t="shared" si="2"/>
        <v>#DIV/0!</v>
      </c>
      <c r="J694" s="106" t="str">
        <f t="shared" si="3"/>
        <v>#DIV/0!</v>
      </c>
      <c r="K694" s="120">
        <v>0.0</v>
      </c>
      <c r="L694" s="103">
        <v>0.0</v>
      </c>
      <c r="M694" s="103">
        <v>0.0</v>
      </c>
      <c r="N694" s="121">
        <v>0.0</v>
      </c>
      <c r="O694" s="109" t="str">
        <f t="shared" si="194"/>
        <v>#DIV/0!</v>
      </c>
      <c r="P694" s="110" t="str">
        <f t="shared" si="5"/>
        <v>#DIV/0!</v>
      </c>
      <c r="Q694" s="109" t="str">
        <f t="shared" si="6"/>
        <v>#DIV/0!</v>
      </c>
      <c r="R694" s="111" t="str">
        <f t="shared" si="7"/>
        <v>#DIV/0!</v>
      </c>
      <c r="S694" s="122">
        <f t="shared" si="193"/>
        <v>0</v>
      </c>
      <c r="T694" s="113" t="str">
        <f t="shared" si="9"/>
        <v>#DIV/0!</v>
      </c>
      <c r="U694" s="172"/>
      <c r="V694" s="172"/>
      <c r="W694" s="172"/>
      <c r="X694" s="172"/>
      <c r="Y694" s="173"/>
      <c r="Z694" s="165"/>
      <c r="AA694" s="165"/>
    </row>
    <row r="695" hidden="1" outlineLevel="1">
      <c r="A695" s="165"/>
      <c r="B695" s="174"/>
      <c r="C695" s="100" t="s">
        <v>43</v>
      </c>
      <c r="D695" s="135">
        <v>171.0</v>
      </c>
      <c r="E695" s="401"/>
      <c r="F695" s="103">
        <v>0.0</v>
      </c>
      <c r="G695" s="103">
        <v>1.0</v>
      </c>
      <c r="H695" s="104">
        <f t="shared" si="1"/>
        <v>0</v>
      </c>
      <c r="I695" s="105" t="str">
        <f t="shared" si="2"/>
        <v>#DIV/0!</v>
      </c>
      <c r="J695" s="106" t="str">
        <f t="shared" si="3"/>
        <v>#DIV/0!</v>
      </c>
      <c r="K695" s="135">
        <v>38.02</v>
      </c>
      <c r="L695" s="103">
        <v>12107.0</v>
      </c>
      <c r="M695" s="103">
        <v>1.0</v>
      </c>
      <c r="N695" s="136">
        <v>210.95</v>
      </c>
      <c r="O695" s="109">
        <f t="shared" si="194"/>
        <v>0.1802322825</v>
      </c>
      <c r="P695" s="110">
        <f t="shared" si="5"/>
        <v>5.548395581</v>
      </c>
      <c r="Q695" s="109">
        <f t="shared" si="6"/>
        <v>0.2223391813</v>
      </c>
      <c r="R695" s="111">
        <f t="shared" si="7"/>
        <v>1.233625731</v>
      </c>
      <c r="S695" s="137">
        <f t="shared" si="193"/>
        <v>-39.95</v>
      </c>
      <c r="T695" s="113">
        <f t="shared" si="9"/>
        <v>38.02</v>
      </c>
      <c r="U695" s="172"/>
      <c r="V695" s="172"/>
      <c r="W695" s="172"/>
      <c r="X695" s="172"/>
      <c r="Y695" s="173"/>
      <c r="Z695" s="165"/>
      <c r="AA695" s="165"/>
    </row>
    <row r="696" hidden="1" outlineLevel="1">
      <c r="A696" s="165"/>
      <c r="B696" s="174"/>
      <c r="C696" s="100" t="s">
        <v>44</v>
      </c>
      <c r="D696" s="138">
        <v>134.85</v>
      </c>
      <c r="E696" s="401"/>
      <c r="F696" s="103">
        <v>3.0</v>
      </c>
      <c r="G696" s="103">
        <v>3.0</v>
      </c>
      <c r="H696" s="104">
        <f t="shared" si="1"/>
        <v>1</v>
      </c>
      <c r="I696" s="105">
        <f t="shared" si="2"/>
        <v>44.95</v>
      </c>
      <c r="J696" s="106">
        <f t="shared" si="3"/>
        <v>44.95</v>
      </c>
      <c r="K696" s="138">
        <v>103.17</v>
      </c>
      <c r="L696" s="103">
        <v>64840.0</v>
      </c>
      <c r="M696" s="103">
        <v>2.0</v>
      </c>
      <c r="N696" s="139">
        <v>89.9</v>
      </c>
      <c r="O696" s="109">
        <f t="shared" si="194"/>
        <v>1.147608454</v>
      </c>
      <c r="P696" s="110">
        <f t="shared" si="5"/>
        <v>0.8713773384</v>
      </c>
      <c r="Q696" s="109">
        <f t="shared" si="6"/>
        <v>0.7650723026</v>
      </c>
      <c r="R696" s="111">
        <f t="shared" si="7"/>
        <v>0.6666666667</v>
      </c>
      <c r="S696" s="140">
        <f t="shared" si="193"/>
        <v>44.95</v>
      </c>
      <c r="T696" s="113">
        <f t="shared" si="9"/>
        <v>51.585</v>
      </c>
      <c r="U696" s="172"/>
      <c r="V696" s="172"/>
      <c r="W696" s="172"/>
      <c r="X696" s="172"/>
      <c r="Y696" s="173"/>
      <c r="Z696" s="165"/>
      <c r="AA696" s="165"/>
    </row>
    <row r="697" hidden="1" outlineLevel="1">
      <c r="A697" s="192"/>
      <c r="B697" s="174"/>
      <c r="C697" s="142" t="s">
        <v>45</v>
      </c>
      <c r="D697" s="101">
        <v>59.9</v>
      </c>
      <c r="E697" s="401"/>
      <c r="F697" s="103">
        <v>2.0</v>
      </c>
      <c r="G697" s="103">
        <v>1.0</v>
      </c>
      <c r="H697" s="104">
        <f t="shared" si="1"/>
        <v>2</v>
      </c>
      <c r="I697" s="105">
        <f t="shared" si="2"/>
        <v>29.95</v>
      </c>
      <c r="J697" s="106">
        <f t="shared" si="3"/>
        <v>14.975</v>
      </c>
      <c r="K697" s="101">
        <v>0.0</v>
      </c>
      <c r="L697" s="103">
        <v>0.0</v>
      </c>
      <c r="M697" s="103">
        <v>0.0</v>
      </c>
      <c r="N697" s="108">
        <v>0.0</v>
      </c>
      <c r="O697" s="109" t="str">
        <f t="shared" si="194"/>
        <v>#DIV/0!</v>
      </c>
      <c r="P697" s="110" t="str">
        <f t="shared" si="5"/>
        <v>#DIV/0!</v>
      </c>
      <c r="Q697" s="109">
        <f t="shared" si="6"/>
        <v>0</v>
      </c>
      <c r="R697" s="111">
        <f t="shared" si="7"/>
        <v>0</v>
      </c>
      <c r="S697" s="112">
        <f t="shared" si="193"/>
        <v>59.9</v>
      </c>
      <c r="T697" s="113" t="str">
        <f t="shared" si="9"/>
        <v>#DIV/0!</v>
      </c>
      <c r="U697" s="193"/>
      <c r="V697" s="193"/>
      <c r="W697" s="193"/>
      <c r="X697" s="194"/>
      <c r="Y697" s="195"/>
      <c r="Z697" s="165"/>
      <c r="AA697" s="165"/>
    </row>
    <row r="698" hidden="1" outlineLevel="1">
      <c r="A698" s="165"/>
      <c r="B698" s="174"/>
      <c r="C698" s="100" t="s">
        <v>46</v>
      </c>
      <c r="D698" s="146">
        <v>787.1</v>
      </c>
      <c r="E698" s="401"/>
      <c r="F698" s="103">
        <v>18.0</v>
      </c>
      <c r="G698" s="103">
        <v>19.0</v>
      </c>
      <c r="H698" s="104">
        <f t="shared" si="1"/>
        <v>0.9473684211</v>
      </c>
      <c r="I698" s="105">
        <f t="shared" si="2"/>
        <v>43.72777778</v>
      </c>
      <c r="J698" s="106">
        <f t="shared" si="3"/>
        <v>46.15709877</v>
      </c>
      <c r="K698" s="146">
        <v>106.64</v>
      </c>
      <c r="L698" s="103">
        <v>24790.0</v>
      </c>
      <c r="M698" s="103">
        <v>2.0</v>
      </c>
      <c r="N698" s="147">
        <v>87.9</v>
      </c>
      <c r="O698" s="109">
        <f t="shared" si="194"/>
        <v>1.213196815</v>
      </c>
      <c r="P698" s="110">
        <f t="shared" si="5"/>
        <v>0.8242685671</v>
      </c>
      <c r="Q698" s="109">
        <f t="shared" si="6"/>
        <v>0.1354846906</v>
      </c>
      <c r="R698" s="111">
        <f t="shared" si="7"/>
        <v>0.1116757718</v>
      </c>
      <c r="S698" s="112">
        <f t="shared" si="193"/>
        <v>699.2</v>
      </c>
      <c r="T698" s="113">
        <f t="shared" si="9"/>
        <v>53.32</v>
      </c>
      <c r="U698" s="172"/>
      <c r="V698" s="172"/>
      <c r="W698" s="172"/>
      <c r="X698" s="172"/>
      <c r="Y698" s="173"/>
      <c r="Z698" s="165"/>
      <c r="AA698" s="165"/>
    </row>
    <row r="699" hidden="1" outlineLevel="1">
      <c r="A699" s="148" t="str">
        <f t="shared" ref="A699:A700" si="195">iferror(if(B699&gt;0,month(B699)&amp;"-"&amp;year(B699),B699),)</f>
        <v>9-2025</v>
      </c>
      <c r="B699" s="99">
        <v>45913.0</v>
      </c>
      <c r="C699" s="100" t="s">
        <v>49</v>
      </c>
      <c r="D699" s="146">
        <v>0.0</v>
      </c>
      <c r="E699" s="401"/>
      <c r="F699" s="103">
        <v>0.0</v>
      </c>
      <c r="G699" s="103">
        <v>0.0</v>
      </c>
      <c r="H699" s="104" t="str">
        <f t="shared" si="1"/>
        <v>#DIV/0!</v>
      </c>
      <c r="I699" s="105" t="str">
        <f t="shared" si="2"/>
        <v>#DIV/0!</v>
      </c>
      <c r="J699" s="106" t="str">
        <f t="shared" si="3"/>
        <v>#DIV/0!</v>
      </c>
      <c r="K699" s="146">
        <v>7.87</v>
      </c>
      <c r="L699" s="103">
        <v>8514.0</v>
      </c>
      <c r="M699" s="103">
        <v>0.0</v>
      </c>
      <c r="N699" s="147">
        <v>0.0</v>
      </c>
      <c r="O699" s="109" t="str">
        <f t="shared" si="194"/>
        <v>#DIV/0!</v>
      </c>
      <c r="P699" s="110">
        <f t="shared" si="5"/>
        <v>0</v>
      </c>
      <c r="Q699" s="109" t="str">
        <f t="shared" si="6"/>
        <v>#DIV/0!</v>
      </c>
      <c r="R699" s="111" t="str">
        <f t="shared" si="7"/>
        <v>#DIV/0!</v>
      </c>
      <c r="S699" s="112">
        <f t="shared" si="193"/>
        <v>0</v>
      </c>
      <c r="T699" s="113" t="str">
        <f t="shared" si="9"/>
        <v>#DIV/0!</v>
      </c>
      <c r="U699" s="172"/>
      <c r="V699" s="172"/>
      <c r="W699" s="172"/>
      <c r="X699" s="172"/>
      <c r="Y699" s="173"/>
      <c r="Z699" s="165"/>
      <c r="AA699" s="165"/>
    </row>
    <row r="700" collapsed="1">
      <c r="A700" s="165" t="str">
        <f t="shared" si="195"/>
        <v/>
      </c>
      <c r="B700" s="80" t="s">
        <v>124</v>
      </c>
      <c r="C700" s="201"/>
      <c r="D700" s="151">
        <f>SUM(D685:D699)</f>
        <v>13514.61</v>
      </c>
      <c r="E700" s="400"/>
      <c r="F700" s="153">
        <f t="shared" ref="F700:G700" si="196">SUM(F685:F699)</f>
        <v>144</v>
      </c>
      <c r="G700" s="153">
        <f t="shared" si="196"/>
        <v>142</v>
      </c>
      <c r="H700" s="154">
        <f t="shared" si="1"/>
        <v>1.014084507</v>
      </c>
      <c r="I700" s="155">
        <f t="shared" si="2"/>
        <v>93.85145833</v>
      </c>
      <c r="J700" s="156">
        <f t="shared" si="3"/>
        <v>92.54796586</v>
      </c>
      <c r="K700" s="151">
        <f t="shared" ref="K700:N700" si="197">SUM(K685:K699)</f>
        <v>2300.21</v>
      </c>
      <c r="L700" s="153">
        <f t="shared" si="197"/>
        <v>476644</v>
      </c>
      <c r="M700" s="153">
        <f t="shared" si="197"/>
        <v>35</v>
      </c>
      <c r="N700" s="157">
        <f t="shared" si="197"/>
        <v>5912.42</v>
      </c>
      <c r="O700" s="158">
        <f t="shared" si="194"/>
        <v>0.3890471245</v>
      </c>
      <c r="P700" s="159">
        <f t="shared" si="5"/>
        <v>2.570382704</v>
      </c>
      <c r="Q700" s="158">
        <f t="shared" si="6"/>
        <v>0.1702017298</v>
      </c>
      <c r="R700" s="160">
        <f t="shared" si="7"/>
        <v>0.4374835826</v>
      </c>
      <c r="S700" s="161">
        <f>SUM(S685:S699)</f>
        <v>7602.19</v>
      </c>
      <c r="T700" s="162">
        <f t="shared" si="9"/>
        <v>65.72028571</v>
      </c>
      <c r="U700" s="163">
        <f>IFERROR((D700-D246)/D700,)</f>
        <v>0.4390278373</v>
      </c>
      <c r="V700" s="163">
        <f>IFERROR((F700-F246)/F700,)</f>
        <v>0.3472222222</v>
      </c>
      <c r="W700" s="398" t="str">
        <f>IFERROR((D700-monthly_reporting_2021!E491)/D700, )</f>
        <v/>
      </c>
      <c r="X700" s="398" t="str">
        <f>IFERROR((F700-monthly_reporting_2021!F491)/F700, )</f>
        <v/>
      </c>
      <c r="Y700" s="165"/>
      <c r="Z700" s="165"/>
      <c r="AA700" s="165"/>
    </row>
    <row r="701" hidden="1" outlineLevel="1">
      <c r="A701" s="165"/>
      <c r="B701" s="99">
        <v>45914.0</v>
      </c>
      <c r="C701" s="100" t="s">
        <v>32</v>
      </c>
      <c r="D701" s="101">
        <v>1165.55</v>
      </c>
      <c r="E701" s="401"/>
      <c r="F701" s="103">
        <v>6.0</v>
      </c>
      <c r="G701" s="103">
        <v>8.0</v>
      </c>
      <c r="H701" s="104">
        <f t="shared" si="1"/>
        <v>0.75</v>
      </c>
      <c r="I701" s="105">
        <f t="shared" si="2"/>
        <v>194.2583333</v>
      </c>
      <c r="J701" s="106">
        <f t="shared" si="3"/>
        <v>259.0111111</v>
      </c>
      <c r="K701" s="107">
        <v>839.67</v>
      </c>
      <c r="L701" s="103">
        <v>144598.0</v>
      </c>
      <c r="M701" s="103">
        <v>2.0</v>
      </c>
      <c r="N701" s="108">
        <v>968.0</v>
      </c>
      <c r="O701" s="109">
        <f t="shared" si="194"/>
        <v>0.867427686</v>
      </c>
      <c r="P701" s="110">
        <f t="shared" si="5"/>
        <v>1.152833851</v>
      </c>
      <c r="Q701" s="109">
        <f t="shared" si="6"/>
        <v>0.720406675</v>
      </c>
      <c r="R701" s="111">
        <f t="shared" si="7"/>
        <v>0.8305092017</v>
      </c>
      <c r="S701" s="112">
        <f t="shared" ref="S701:S715" si="198">D701-N701</f>
        <v>197.55</v>
      </c>
      <c r="T701" s="113">
        <f t="shared" si="9"/>
        <v>419.835</v>
      </c>
      <c r="U701" s="172"/>
      <c r="V701" s="172"/>
      <c r="W701" s="172"/>
      <c r="X701" s="172"/>
      <c r="Y701" s="173"/>
      <c r="Z701" s="165"/>
      <c r="AA701" s="165"/>
    </row>
    <row r="702" hidden="1" outlineLevel="1">
      <c r="A702" s="165"/>
      <c r="B702" s="174"/>
      <c r="C702" s="100" t="s">
        <v>33</v>
      </c>
      <c r="D702" s="117">
        <v>4327.0</v>
      </c>
      <c r="E702" s="401"/>
      <c r="F702" s="103">
        <v>33.0</v>
      </c>
      <c r="G702" s="103">
        <v>38.0</v>
      </c>
      <c r="H702" s="104">
        <f t="shared" si="1"/>
        <v>0.8684210526</v>
      </c>
      <c r="I702" s="105">
        <f t="shared" si="2"/>
        <v>131.1212121</v>
      </c>
      <c r="J702" s="106">
        <f t="shared" si="3"/>
        <v>150.9880624</v>
      </c>
      <c r="K702" s="117">
        <v>361.95</v>
      </c>
      <c r="L702" s="103">
        <v>99708.0</v>
      </c>
      <c r="M702" s="103">
        <v>8.0</v>
      </c>
      <c r="N702" s="118">
        <v>923.85</v>
      </c>
      <c r="O702" s="109">
        <f t="shared" si="194"/>
        <v>0.3917843806</v>
      </c>
      <c r="P702" s="110">
        <f t="shared" si="5"/>
        <v>2.552424368</v>
      </c>
      <c r="Q702" s="109">
        <f t="shared" si="6"/>
        <v>0.08364917957</v>
      </c>
      <c r="R702" s="111">
        <f t="shared" si="7"/>
        <v>0.2135082043</v>
      </c>
      <c r="S702" s="119">
        <f t="shared" si="198"/>
        <v>3403.15</v>
      </c>
      <c r="T702" s="113">
        <f t="shared" si="9"/>
        <v>45.24375</v>
      </c>
      <c r="U702" s="172"/>
      <c r="V702" s="172"/>
      <c r="W702" s="172"/>
      <c r="X702" s="172"/>
      <c r="Y702" s="173"/>
      <c r="Z702" s="165"/>
      <c r="AA702" s="165"/>
    </row>
    <row r="703" hidden="1" outlineLevel="1">
      <c r="A703" s="165"/>
      <c r="B703" s="174"/>
      <c r="C703" s="100" t="s">
        <v>34</v>
      </c>
      <c r="D703" s="120">
        <v>419.7</v>
      </c>
      <c r="E703" s="401"/>
      <c r="F703" s="103">
        <v>6.0</v>
      </c>
      <c r="G703" s="103">
        <v>3.0</v>
      </c>
      <c r="H703" s="104">
        <f t="shared" si="1"/>
        <v>2</v>
      </c>
      <c r="I703" s="105">
        <f t="shared" si="2"/>
        <v>69.95</v>
      </c>
      <c r="J703" s="106">
        <f t="shared" si="3"/>
        <v>34.975</v>
      </c>
      <c r="K703" s="120">
        <v>6.71</v>
      </c>
      <c r="L703" s="103">
        <v>243.0</v>
      </c>
      <c r="M703" s="103">
        <v>0.0</v>
      </c>
      <c r="N703" s="121">
        <v>0.0</v>
      </c>
      <c r="O703" s="109" t="str">
        <f>(K703/N703)</f>
        <v>#DIV/0!</v>
      </c>
      <c r="P703" s="110">
        <f t="shared" si="5"/>
        <v>0</v>
      </c>
      <c r="Q703" s="109">
        <f t="shared" si="6"/>
        <v>0.0159876102</v>
      </c>
      <c r="R703" s="111">
        <f t="shared" si="7"/>
        <v>0</v>
      </c>
      <c r="S703" s="122">
        <f t="shared" si="198"/>
        <v>419.7</v>
      </c>
      <c r="T703" s="113" t="str">
        <f t="shared" si="9"/>
        <v>#DIV/0!</v>
      </c>
      <c r="U703" s="172"/>
      <c r="V703" s="172"/>
      <c r="W703" s="172"/>
      <c r="X703" s="172"/>
      <c r="Y703" s="173"/>
      <c r="Z703" s="165"/>
      <c r="AA703" s="165"/>
    </row>
    <row r="704" hidden="1" outlineLevel="1">
      <c r="A704" s="165"/>
      <c r="B704" s="174"/>
      <c r="C704" s="100" t="s">
        <v>35</v>
      </c>
      <c r="D704" s="120">
        <v>734.4</v>
      </c>
      <c r="E704" s="401"/>
      <c r="F704" s="103">
        <v>12.0</v>
      </c>
      <c r="G704" s="103">
        <v>9.0</v>
      </c>
      <c r="H704" s="104">
        <f t="shared" si="1"/>
        <v>1.333333333</v>
      </c>
      <c r="I704" s="105">
        <f t="shared" si="2"/>
        <v>61.2</v>
      </c>
      <c r="J704" s="106">
        <f t="shared" si="3"/>
        <v>45.9</v>
      </c>
      <c r="K704" s="120">
        <v>179.68</v>
      </c>
      <c r="L704" s="103">
        <v>21866.0</v>
      </c>
      <c r="M704" s="103">
        <v>5.0</v>
      </c>
      <c r="N704" s="121">
        <v>299.75</v>
      </c>
      <c r="O704" s="109">
        <f t="shared" ref="O704:O718" si="199">K704/N704</f>
        <v>0.5994328607</v>
      </c>
      <c r="P704" s="110">
        <f t="shared" si="5"/>
        <v>1.668243544</v>
      </c>
      <c r="Q704" s="109">
        <f t="shared" si="6"/>
        <v>0.2446623094</v>
      </c>
      <c r="R704" s="111">
        <f t="shared" si="7"/>
        <v>0.4081563181</v>
      </c>
      <c r="S704" s="122">
        <f t="shared" si="198"/>
        <v>434.65</v>
      </c>
      <c r="T704" s="113">
        <f t="shared" si="9"/>
        <v>35.936</v>
      </c>
      <c r="U704" s="172"/>
      <c r="V704" s="172"/>
      <c r="W704" s="172"/>
      <c r="X704" s="172"/>
      <c r="Y704" s="173"/>
      <c r="Z704" s="165"/>
      <c r="AA704" s="165"/>
    </row>
    <row r="705" hidden="1" outlineLevel="1">
      <c r="A705" s="165"/>
      <c r="B705" s="174"/>
      <c r="C705" s="100" t="s">
        <v>36</v>
      </c>
      <c r="D705" s="120">
        <v>224.81</v>
      </c>
      <c r="E705" s="401"/>
      <c r="F705" s="103">
        <v>3.0</v>
      </c>
      <c r="G705" s="103">
        <v>4.0</v>
      </c>
      <c r="H705" s="104">
        <f t="shared" si="1"/>
        <v>0.75</v>
      </c>
      <c r="I705" s="105">
        <f t="shared" si="2"/>
        <v>74.93666667</v>
      </c>
      <c r="J705" s="106">
        <f t="shared" si="3"/>
        <v>99.91555556</v>
      </c>
      <c r="K705" s="120">
        <v>74.99</v>
      </c>
      <c r="L705" s="103">
        <v>20107.0</v>
      </c>
      <c r="M705" s="103">
        <v>2.0</v>
      </c>
      <c r="N705" s="121">
        <v>129.9</v>
      </c>
      <c r="O705" s="109">
        <f t="shared" si="199"/>
        <v>0.5772902232</v>
      </c>
      <c r="P705" s="110">
        <f t="shared" si="5"/>
        <v>1.732230964</v>
      </c>
      <c r="Q705" s="109">
        <f t="shared" si="6"/>
        <v>0.3335705707</v>
      </c>
      <c r="R705" s="111">
        <f t="shared" si="7"/>
        <v>0.5778212713</v>
      </c>
      <c r="S705" s="122">
        <f t="shared" si="198"/>
        <v>94.91</v>
      </c>
      <c r="T705" s="113">
        <f t="shared" si="9"/>
        <v>37.495</v>
      </c>
      <c r="U705" s="172"/>
      <c r="V705" s="172"/>
      <c r="W705" s="172"/>
      <c r="X705" s="172"/>
      <c r="Y705" s="173"/>
      <c r="Z705" s="165"/>
      <c r="AA705" s="165"/>
    </row>
    <row r="706" hidden="1" outlineLevel="1">
      <c r="A706" s="165"/>
      <c r="B706" s="99" t="s">
        <v>37</v>
      </c>
      <c r="C706" s="100" t="s">
        <v>38</v>
      </c>
      <c r="D706" s="123">
        <v>209.85</v>
      </c>
      <c r="E706" s="401"/>
      <c r="F706" s="103">
        <v>3.0</v>
      </c>
      <c r="G706" s="103">
        <v>3.0</v>
      </c>
      <c r="H706" s="104">
        <f t="shared" si="1"/>
        <v>1</v>
      </c>
      <c r="I706" s="105">
        <f t="shared" si="2"/>
        <v>69.95</v>
      </c>
      <c r="J706" s="106">
        <f t="shared" si="3"/>
        <v>69.95</v>
      </c>
      <c r="K706" s="123">
        <v>29.95</v>
      </c>
      <c r="L706" s="103">
        <v>15344.0</v>
      </c>
      <c r="M706" s="103">
        <v>0.0</v>
      </c>
      <c r="N706" s="124">
        <v>0.0</v>
      </c>
      <c r="O706" s="109" t="str">
        <f t="shared" si="199"/>
        <v>#DIV/0!</v>
      </c>
      <c r="P706" s="110">
        <f t="shared" si="5"/>
        <v>0</v>
      </c>
      <c r="Q706" s="109">
        <f t="shared" si="6"/>
        <v>0.1427209912</v>
      </c>
      <c r="R706" s="111">
        <f t="shared" si="7"/>
        <v>0</v>
      </c>
      <c r="S706" s="125">
        <f t="shared" si="198"/>
        <v>209.85</v>
      </c>
      <c r="T706" s="113" t="str">
        <f t="shared" si="9"/>
        <v>#DIV/0!</v>
      </c>
      <c r="U706" s="172"/>
      <c r="V706" s="172"/>
      <c r="W706" s="172"/>
      <c r="X706" s="172"/>
      <c r="Y706" s="173"/>
      <c r="Z706" s="165"/>
      <c r="AA706" s="165"/>
    </row>
    <row r="707" hidden="1" outlineLevel="1">
      <c r="A707" s="165"/>
      <c r="B707" s="174"/>
      <c r="C707" s="100" t="s">
        <v>39</v>
      </c>
      <c r="D707" s="126">
        <v>99.8</v>
      </c>
      <c r="E707" s="401"/>
      <c r="F707" s="103">
        <v>4.0</v>
      </c>
      <c r="G707" s="103">
        <v>2.0</v>
      </c>
      <c r="H707" s="104">
        <f t="shared" si="1"/>
        <v>2</v>
      </c>
      <c r="I707" s="105">
        <f t="shared" si="2"/>
        <v>24.95</v>
      </c>
      <c r="J707" s="106">
        <f t="shared" si="3"/>
        <v>12.475</v>
      </c>
      <c r="K707" s="126">
        <v>0.0</v>
      </c>
      <c r="L707" s="103">
        <v>0.0</v>
      </c>
      <c r="M707" s="103">
        <v>0.0</v>
      </c>
      <c r="N707" s="127">
        <v>0.0</v>
      </c>
      <c r="O707" s="109" t="str">
        <f t="shared" si="199"/>
        <v>#DIV/0!</v>
      </c>
      <c r="P707" s="110" t="str">
        <f t="shared" si="5"/>
        <v>#DIV/0!</v>
      </c>
      <c r="Q707" s="109">
        <f t="shared" si="6"/>
        <v>0</v>
      </c>
      <c r="R707" s="111">
        <f t="shared" si="7"/>
        <v>0</v>
      </c>
      <c r="S707" s="128">
        <f t="shared" si="198"/>
        <v>99.8</v>
      </c>
      <c r="T707" s="113" t="str">
        <f t="shared" si="9"/>
        <v>#DIV/0!</v>
      </c>
      <c r="U707" s="172"/>
      <c r="V707" s="172"/>
      <c r="W707" s="172"/>
      <c r="X707" s="172"/>
      <c r="Y707" s="173"/>
      <c r="Z707" s="165"/>
      <c r="AA707" s="165"/>
    </row>
    <row r="708" hidden="1" outlineLevel="1">
      <c r="A708" s="165"/>
      <c r="B708" s="174"/>
      <c r="C708" s="100" t="s">
        <v>40</v>
      </c>
      <c r="D708" s="129">
        <v>-54.95</v>
      </c>
      <c r="E708" s="401"/>
      <c r="F708" s="103">
        <v>-1.0</v>
      </c>
      <c r="G708" s="103">
        <v>3.0</v>
      </c>
      <c r="H708" s="104">
        <f t="shared" si="1"/>
        <v>-0.3333333333</v>
      </c>
      <c r="I708" s="105">
        <f t="shared" si="2"/>
        <v>54.95</v>
      </c>
      <c r="J708" s="106">
        <f t="shared" si="3"/>
        <v>-164.85</v>
      </c>
      <c r="K708" s="129">
        <v>0.0</v>
      </c>
      <c r="L708" s="103">
        <v>0.0</v>
      </c>
      <c r="M708" s="103">
        <v>0.0</v>
      </c>
      <c r="N708" s="130">
        <v>0.0</v>
      </c>
      <c r="O708" s="109" t="str">
        <f t="shared" si="199"/>
        <v>#DIV/0!</v>
      </c>
      <c r="P708" s="110" t="str">
        <f t="shared" si="5"/>
        <v>#DIV/0!</v>
      </c>
      <c r="Q708" s="109">
        <f t="shared" si="6"/>
        <v>0</v>
      </c>
      <c r="R708" s="111">
        <f t="shared" si="7"/>
        <v>0</v>
      </c>
      <c r="S708" s="131">
        <f t="shared" si="198"/>
        <v>-54.95</v>
      </c>
      <c r="T708" s="113" t="str">
        <f t="shared" si="9"/>
        <v>#DIV/0!</v>
      </c>
      <c r="U708" s="172"/>
      <c r="V708" s="172"/>
      <c r="W708" s="172"/>
      <c r="X708" s="172"/>
      <c r="Y708" s="173"/>
      <c r="Z708" s="165"/>
      <c r="AA708" s="165"/>
    </row>
    <row r="709" hidden="1" outlineLevel="1">
      <c r="A709" s="165"/>
      <c r="B709" s="174"/>
      <c r="C709" s="100" t="s">
        <v>41</v>
      </c>
      <c r="D709" s="132">
        <v>623.23</v>
      </c>
      <c r="E709" s="401"/>
      <c r="F709" s="103">
        <v>9.0</v>
      </c>
      <c r="G709" s="103">
        <v>11.0</v>
      </c>
      <c r="H709" s="104">
        <f t="shared" si="1"/>
        <v>0.8181818182</v>
      </c>
      <c r="I709" s="105">
        <f t="shared" si="2"/>
        <v>69.24777778</v>
      </c>
      <c r="J709" s="106">
        <f t="shared" si="3"/>
        <v>84.63617284</v>
      </c>
      <c r="K709" s="132">
        <v>233.2</v>
      </c>
      <c r="L709" s="103">
        <v>24539.0</v>
      </c>
      <c r="M709" s="103">
        <v>3.0</v>
      </c>
      <c r="N709" s="133">
        <v>282.98</v>
      </c>
      <c r="O709" s="109">
        <f t="shared" si="199"/>
        <v>0.8240865079</v>
      </c>
      <c r="P709" s="110">
        <f t="shared" si="5"/>
        <v>1.213464837</v>
      </c>
      <c r="Q709" s="109">
        <f t="shared" si="6"/>
        <v>0.3741796768</v>
      </c>
      <c r="R709" s="111">
        <f t="shared" si="7"/>
        <v>0.4540538806</v>
      </c>
      <c r="S709" s="134">
        <f t="shared" si="198"/>
        <v>340.25</v>
      </c>
      <c r="T709" s="113">
        <f t="shared" si="9"/>
        <v>77.73333333</v>
      </c>
      <c r="U709" s="172"/>
      <c r="V709" s="172"/>
      <c r="W709" s="172"/>
      <c r="X709" s="172"/>
      <c r="Y709" s="173"/>
      <c r="Z709" s="165"/>
      <c r="AA709" s="165"/>
    </row>
    <row r="710" hidden="1" outlineLevel="1">
      <c r="A710" s="165"/>
      <c r="B710" s="174"/>
      <c r="C710" s="100" t="s">
        <v>42</v>
      </c>
      <c r="D710" s="120">
        <v>0.0</v>
      </c>
      <c r="E710" s="401"/>
      <c r="F710" s="103">
        <v>0.0</v>
      </c>
      <c r="G710" s="103">
        <v>0.0</v>
      </c>
      <c r="H710" s="104" t="str">
        <f t="shared" si="1"/>
        <v>#DIV/0!</v>
      </c>
      <c r="I710" s="105" t="str">
        <f t="shared" si="2"/>
        <v>#DIV/0!</v>
      </c>
      <c r="J710" s="106" t="str">
        <f t="shared" si="3"/>
        <v>#DIV/0!</v>
      </c>
      <c r="K710" s="120">
        <v>0.0</v>
      </c>
      <c r="L710" s="103">
        <v>0.0</v>
      </c>
      <c r="M710" s="103">
        <v>0.0</v>
      </c>
      <c r="N710" s="121">
        <v>0.0</v>
      </c>
      <c r="O710" s="109" t="str">
        <f t="shared" si="199"/>
        <v>#DIV/0!</v>
      </c>
      <c r="P710" s="110" t="str">
        <f t="shared" si="5"/>
        <v>#DIV/0!</v>
      </c>
      <c r="Q710" s="109" t="str">
        <f t="shared" si="6"/>
        <v>#DIV/0!</v>
      </c>
      <c r="R710" s="111" t="str">
        <f t="shared" si="7"/>
        <v>#DIV/0!</v>
      </c>
      <c r="S710" s="122">
        <f t="shared" si="198"/>
        <v>0</v>
      </c>
      <c r="T710" s="113" t="str">
        <f t="shared" si="9"/>
        <v>#DIV/0!</v>
      </c>
      <c r="U710" s="172"/>
      <c r="V710" s="172"/>
      <c r="W710" s="172"/>
      <c r="X710" s="172"/>
      <c r="Y710" s="173"/>
      <c r="Z710" s="165"/>
      <c r="AA710" s="165"/>
    </row>
    <row r="711" hidden="1" outlineLevel="1">
      <c r="A711" s="165"/>
      <c r="B711" s="174"/>
      <c r="C711" s="100" t="s">
        <v>43</v>
      </c>
      <c r="D711" s="135">
        <v>250.9</v>
      </c>
      <c r="E711" s="401"/>
      <c r="F711" s="103">
        <v>2.0</v>
      </c>
      <c r="G711" s="103">
        <v>2.0</v>
      </c>
      <c r="H711" s="104">
        <f t="shared" si="1"/>
        <v>1</v>
      </c>
      <c r="I711" s="105">
        <f t="shared" si="2"/>
        <v>125.45</v>
      </c>
      <c r="J711" s="106">
        <f t="shared" si="3"/>
        <v>125.45</v>
      </c>
      <c r="K711" s="135">
        <v>102.13</v>
      </c>
      <c r="L711" s="103">
        <v>11856.0</v>
      </c>
      <c r="M711" s="103">
        <v>2.0</v>
      </c>
      <c r="N711" s="136">
        <v>210.95</v>
      </c>
      <c r="O711" s="109">
        <f t="shared" si="199"/>
        <v>0.4841431619</v>
      </c>
      <c r="P711" s="110">
        <f t="shared" si="5"/>
        <v>2.065504749</v>
      </c>
      <c r="Q711" s="109">
        <f t="shared" si="6"/>
        <v>0.4070546034</v>
      </c>
      <c r="R711" s="111">
        <f t="shared" si="7"/>
        <v>0.8407732164</v>
      </c>
      <c r="S711" s="137">
        <f t="shared" si="198"/>
        <v>39.95</v>
      </c>
      <c r="T711" s="113">
        <f t="shared" si="9"/>
        <v>51.065</v>
      </c>
      <c r="U711" s="172"/>
      <c r="V711" s="172"/>
      <c r="W711" s="172"/>
      <c r="X711" s="172"/>
      <c r="Y711" s="173"/>
      <c r="Z711" s="165"/>
      <c r="AA711" s="165"/>
    </row>
    <row r="712" hidden="1" outlineLevel="1">
      <c r="A712" s="165"/>
      <c r="B712" s="174"/>
      <c r="C712" s="100" t="s">
        <v>44</v>
      </c>
      <c r="D712" s="138">
        <v>214.8</v>
      </c>
      <c r="E712" s="401"/>
      <c r="F712" s="103">
        <v>4.0</v>
      </c>
      <c r="G712" s="103">
        <v>6.0</v>
      </c>
      <c r="H712" s="104">
        <f t="shared" si="1"/>
        <v>0.6666666667</v>
      </c>
      <c r="I712" s="105">
        <f t="shared" si="2"/>
        <v>53.7</v>
      </c>
      <c r="J712" s="106">
        <f t="shared" si="3"/>
        <v>80.55</v>
      </c>
      <c r="K712" s="138">
        <v>128.68</v>
      </c>
      <c r="L712" s="103">
        <v>60875.0</v>
      </c>
      <c r="M712" s="103">
        <v>6.0</v>
      </c>
      <c r="N712" s="139">
        <v>304.7</v>
      </c>
      <c r="O712" s="109">
        <f t="shared" si="199"/>
        <v>0.4223170331</v>
      </c>
      <c r="P712" s="110">
        <f t="shared" si="5"/>
        <v>2.367889338</v>
      </c>
      <c r="Q712" s="109">
        <f t="shared" si="6"/>
        <v>0.5990689013</v>
      </c>
      <c r="R712" s="111">
        <f t="shared" si="7"/>
        <v>1.418528864</v>
      </c>
      <c r="S712" s="140">
        <f t="shared" si="198"/>
        <v>-89.9</v>
      </c>
      <c r="T712" s="113">
        <f t="shared" si="9"/>
        <v>21.44666667</v>
      </c>
      <c r="U712" s="172"/>
      <c r="V712" s="172"/>
      <c r="W712" s="172"/>
      <c r="X712" s="172"/>
      <c r="Y712" s="173"/>
      <c r="Z712" s="165"/>
      <c r="AA712" s="165"/>
    </row>
    <row r="713" hidden="1" outlineLevel="1">
      <c r="A713" s="192"/>
      <c r="B713" s="174"/>
      <c r="C713" s="142" t="s">
        <v>45</v>
      </c>
      <c r="D713" s="101">
        <v>29.95</v>
      </c>
      <c r="E713" s="401"/>
      <c r="F713" s="103">
        <v>1.0</v>
      </c>
      <c r="G713" s="103">
        <v>1.0</v>
      </c>
      <c r="H713" s="104">
        <f t="shared" si="1"/>
        <v>1</v>
      </c>
      <c r="I713" s="105">
        <f t="shared" si="2"/>
        <v>29.95</v>
      </c>
      <c r="J713" s="106">
        <f t="shared" si="3"/>
        <v>29.95</v>
      </c>
      <c r="K713" s="101">
        <v>0.0</v>
      </c>
      <c r="L713" s="103">
        <v>0.0</v>
      </c>
      <c r="M713" s="103">
        <v>0.0</v>
      </c>
      <c r="N713" s="108">
        <v>0.0</v>
      </c>
      <c r="O713" s="109" t="str">
        <f t="shared" si="199"/>
        <v>#DIV/0!</v>
      </c>
      <c r="P713" s="110" t="str">
        <f t="shared" si="5"/>
        <v>#DIV/0!</v>
      </c>
      <c r="Q713" s="109">
        <f t="shared" si="6"/>
        <v>0</v>
      </c>
      <c r="R713" s="111">
        <f t="shared" si="7"/>
        <v>0</v>
      </c>
      <c r="S713" s="112">
        <f t="shared" si="198"/>
        <v>29.95</v>
      </c>
      <c r="T713" s="113" t="str">
        <f t="shared" si="9"/>
        <v>#DIV/0!</v>
      </c>
      <c r="U713" s="193"/>
      <c r="V713" s="193"/>
      <c r="W713" s="193"/>
      <c r="X713" s="194"/>
      <c r="Y713" s="195"/>
      <c r="Z713" s="165"/>
      <c r="AA713" s="165"/>
    </row>
    <row r="714" hidden="1" outlineLevel="1">
      <c r="A714" s="165"/>
      <c r="B714" s="174"/>
      <c r="C714" s="100" t="s">
        <v>46</v>
      </c>
      <c r="D714" s="146">
        <v>869.0</v>
      </c>
      <c r="E714" s="401"/>
      <c r="F714" s="103">
        <v>20.0</v>
      </c>
      <c r="G714" s="103">
        <v>15.0</v>
      </c>
      <c r="H714" s="104">
        <f t="shared" si="1"/>
        <v>1.333333333</v>
      </c>
      <c r="I714" s="105">
        <f t="shared" si="2"/>
        <v>43.45</v>
      </c>
      <c r="J714" s="106">
        <f t="shared" si="3"/>
        <v>32.5875</v>
      </c>
      <c r="K714" s="146">
        <v>166.52</v>
      </c>
      <c r="L714" s="103">
        <v>25286.0</v>
      </c>
      <c r="M714" s="103">
        <v>5.0</v>
      </c>
      <c r="N714" s="147">
        <v>173.8</v>
      </c>
      <c r="O714" s="109">
        <f t="shared" si="199"/>
        <v>0.9581127733</v>
      </c>
      <c r="P714" s="110">
        <f t="shared" si="5"/>
        <v>1.043718472</v>
      </c>
      <c r="Q714" s="109">
        <f t="shared" si="6"/>
        <v>0.1916225547</v>
      </c>
      <c r="R714" s="111">
        <f t="shared" si="7"/>
        <v>0.2</v>
      </c>
      <c r="S714" s="112">
        <f t="shared" si="198"/>
        <v>695.2</v>
      </c>
      <c r="T714" s="113">
        <f t="shared" si="9"/>
        <v>33.304</v>
      </c>
      <c r="U714" s="172"/>
      <c r="V714" s="172"/>
      <c r="W714" s="172"/>
      <c r="X714" s="172"/>
      <c r="Y714" s="173"/>
      <c r="Z714" s="165"/>
      <c r="AA714" s="165"/>
    </row>
    <row r="715" hidden="1" outlineLevel="1">
      <c r="A715" s="148" t="str">
        <f t="shared" ref="A715:A716" si="200">iferror(if(B715&gt;0,month(B715)&amp;"-"&amp;year(B715),B715),)</f>
        <v>9-2025</v>
      </c>
      <c r="B715" s="99">
        <v>45920.0</v>
      </c>
      <c r="C715" s="100" t="s">
        <v>49</v>
      </c>
      <c r="D715" s="146">
        <v>0.0</v>
      </c>
      <c r="E715" s="401"/>
      <c r="F715" s="103">
        <v>0.0</v>
      </c>
      <c r="G715" s="103">
        <v>0.0</v>
      </c>
      <c r="H715" s="104" t="str">
        <f t="shared" si="1"/>
        <v>#DIV/0!</v>
      </c>
      <c r="I715" s="105" t="str">
        <f t="shared" si="2"/>
        <v>#DIV/0!</v>
      </c>
      <c r="J715" s="106" t="str">
        <f t="shared" si="3"/>
        <v>#DIV/0!</v>
      </c>
      <c r="K715" s="146">
        <v>5.34</v>
      </c>
      <c r="L715" s="103">
        <v>6369.0</v>
      </c>
      <c r="M715" s="103">
        <v>0.0</v>
      </c>
      <c r="N715" s="147">
        <v>0.0</v>
      </c>
      <c r="O715" s="109" t="str">
        <f t="shared" si="199"/>
        <v>#DIV/0!</v>
      </c>
      <c r="P715" s="110">
        <f t="shared" si="5"/>
        <v>0</v>
      </c>
      <c r="Q715" s="109" t="str">
        <f t="shared" si="6"/>
        <v>#DIV/0!</v>
      </c>
      <c r="R715" s="111" t="str">
        <f t="shared" si="7"/>
        <v>#DIV/0!</v>
      </c>
      <c r="S715" s="112">
        <f t="shared" si="198"/>
        <v>0</v>
      </c>
      <c r="T715" s="113" t="str">
        <f t="shared" si="9"/>
        <v>#DIV/0!</v>
      </c>
      <c r="U715" s="172"/>
      <c r="V715" s="172"/>
      <c r="W715" s="172"/>
      <c r="X715" s="172"/>
      <c r="Y715" s="173"/>
      <c r="Z715" s="165"/>
      <c r="AA715" s="165"/>
    </row>
    <row r="716" collapsed="1">
      <c r="A716" s="165" t="str">
        <f t="shared" si="200"/>
        <v/>
      </c>
      <c r="B716" s="80" t="s">
        <v>125</v>
      </c>
      <c r="C716" s="201"/>
      <c r="D716" s="151">
        <f>SUM(D701:D715)</f>
        <v>9114.04</v>
      </c>
      <c r="E716" s="400"/>
      <c r="F716" s="153">
        <f t="shared" ref="F716:G716" si="201">SUM(F701:F715)</f>
        <v>102</v>
      </c>
      <c r="G716" s="153">
        <f t="shared" si="201"/>
        <v>105</v>
      </c>
      <c r="H716" s="154">
        <f t="shared" si="1"/>
        <v>0.9714285714</v>
      </c>
      <c r="I716" s="155">
        <f t="shared" si="2"/>
        <v>89.35333333</v>
      </c>
      <c r="J716" s="156">
        <f t="shared" si="3"/>
        <v>91.98137255</v>
      </c>
      <c r="K716" s="151">
        <f t="shared" ref="K716:N716" si="202">SUM(K701:K715)</f>
        <v>2128.82</v>
      </c>
      <c r="L716" s="153">
        <f t="shared" si="202"/>
        <v>430791</v>
      </c>
      <c r="M716" s="153">
        <f t="shared" si="202"/>
        <v>33</v>
      </c>
      <c r="N716" s="157">
        <f t="shared" si="202"/>
        <v>3293.93</v>
      </c>
      <c r="O716" s="158">
        <f t="shared" si="199"/>
        <v>0.6462857438</v>
      </c>
      <c r="P716" s="159">
        <f t="shared" si="5"/>
        <v>1.547303201</v>
      </c>
      <c r="Q716" s="158">
        <f t="shared" si="6"/>
        <v>0.2335758895</v>
      </c>
      <c r="R716" s="160">
        <f t="shared" si="7"/>
        <v>0.3614127215</v>
      </c>
      <c r="S716" s="161">
        <f>SUM(S701:S715)</f>
        <v>5820.11</v>
      </c>
      <c r="T716" s="162">
        <f t="shared" si="9"/>
        <v>64.50969697</v>
      </c>
      <c r="U716" s="163">
        <f>IFERROR((D716-D246)/D716,)</f>
        <v>0.1681713049</v>
      </c>
      <c r="V716" s="163">
        <f>IFERROR((F716-F246)/F716,)</f>
        <v>0.07843137255</v>
      </c>
      <c r="W716" s="398" t="str">
        <f>IFERROR((D716-monthly_reporting_2021!E507)/D716, )</f>
        <v/>
      </c>
      <c r="X716" s="398" t="str">
        <f>IFERROR((F716-monthly_reporting_2021!F507)/F716, )</f>
        <v/>
      </c>
      <c r="Y716" s="165"/>
      <c r="Z716" s="165"/>
      <c r="AA716" s="165"/>
    </row>
    <row r="717" hidden="1" outlineLevel="1">
      <c r="A717" s="165"/>
      <c r="B717" s="99">
        <v>45921.0</v>
      </c>
      <c r="C717" s="100" t="s">
        <v>32</v>
      </c>
      <c r="D717" s="101">
        <v>3731.7</v>
      </c>
      <c r="E717" s="401"/>
      <c r="F717" s="103">
        <v>24.0</v>
      </c>
      <c r="G717" s="103">
        <v>21.0</v>
      </c>
      <c r="H717" s="104">
        <f t="shared" si="1"/>
        <v>1.142857143</v>
      </c>
      <c r="I717" s="105">
        <f t="shared" si="2"/>
        <v>155.4875</v>
      </c>
      <c r="J717" s="106">
        <f t="shared" si="3"/>
        <v>136.0515625</v>
      </c>
      <c r="K717" s="107">
        <v>899.34</v>
      </c>
      <c r="L717" s="103">
        <v>187987.0</v>
      </c>
      <c r="M717" s="103">
        <v>18.0</v>
      </c>
      <c r="N717" s="108">
        <v>2904.5</v>
      </c>
      <c r="O717" s="109">
        <f t="shared" si="199"/>
        <v>0.3096367705</v>
      </c>
      <c r="P717" s="110">
        <f t="shared" si="5"/>
        <v>3.229590589</v>
      </c>
      <c r="Q717" s="109">
        <f t="shared" si="6"/>
        <v>0.2410000804</v>
      </c>
      <c r="R717" s="111">
        <f t="shared" si="7"/>
        <v>0.7783315915</v>
      </c>
      <c r="S717" s="112">
        <f t="shared" ref="S717:S731" si="203">D717-N717</f>
        <v>827.2</v>
      </c>
      <c r="T717" s="113">
        <f t="shared" si="9"/>
        <v>49.96333333</v>
      </c>
      <c r="U717" s="172"/>
      <c r="V717" s="172"/>
      <c r="W717" s="172"/>
      <c r="X717" s="172"/>
      <c r="Y717" s="173"/>
      <c r="Z717" s="165"/>
      <c r="AA717" s="165"/>
    </row>
    <row r="718" hidden="1" outlineLevel="1">
      <c r="A718" s="165"/>
      <c r="B718" s="174"/>
      <c r="C718" s="100" t="s">
        <v>33</v>
      </c>
      <c r="D718" s="117">
        <v>2737.5</v>
      </c>
      <c r="E718" s="401"/>
      <c r="F718" s="103">
        <v>23.0</v>
      </c>
      <c r="G718" s="103">
        <v>25.0</v>
      </c>
      <c r="H718" s="104">
        <f t="shared" si="1"/>
        <v>0.92</v>
      </c>
      <c r="I718" s="105">
        <f t="shared" si="2"/>
        <v>119.0217391</v>
      </c>
      <c r="J718" s="106">
        <f t="shared" si="3"/>
        <v>129.3714556</v>
      </c>
      <c r="K718" s="117">
        <v>345.36</v>
      </c>
      <c r="L718" s="103">
        <v>106659.0</v>
      </c>
      <c r="M718" s="103">
        <v>11.0</v>
      </c>
      <c r="N718" s="118">
        <v>1103.85</v>
      </c>
      <c r="O718" s="109">
        <f t="shared" si="199"/>
        <v>0.3128685963</v>
      </c>
      <c r="P718" s="110">
        <f t="shared" si="5"/>
        <v>3.196230021</v>
      </c>
      <c r="Q718" s="109">
        <f t="shared" si="6"/>
        <v>0.1261589041</v>
      </c>
      <c r="R718" s="111">
        <f t="shared" si="7"/>
        <v>0.4032328767</v>
      </c>
      <c r="S718" s="119">
        <f t="shared" si="203"/>
        <v>1633.65</v>
      </c>
      <c r="T718" s="113">
        <f t="shared" si="9"/>
        <v>31.39636364</v>
      </c>
      <c r="U718" s="172"/>
      <c r="V718" s="172"/>
      <c r="W718" s="172"/>
      <c r="X718" s="172"/>
      <c r="Y718" s="173"/>
      <c r="Z718" s="165"/>
      <c r="AA718" s="165"/>
    </row>
    <row r="719" hidden="1" outlineLevel="1">
      <c r="A719" s="165"/>
      <c r="B719" s="174"/>
      <c r="C719" s="100" t="s">
        <v>34</v>
      </c>
      <c r="D719" s="120">
        <v>419.7</v>
      </c>
      <c r="E719" s="401"/>
      <c r="F719" s="103">
        <v>6.0</v>
      </c>
      <c r="G719" s="103">
        <v>3.0</v>
      </c>
      <c r="H719" s="104">
        <f t="shared" si="1"/>
        <v>2</v>
      </c>
      <c r="I719" s="105">
        <f t="shared" si="2"/>
        <v>69.95</v>
      </c>
      <c r="J719" s="106">
        <f t="shared" si="3"/>
        <v>34.975</v>
      </c>
      <c r="K719" s="120">
        <v>1.35</v>
      </c>
      <c r="L719" s="103">
        <v>260.0</v>
      </c>
      <c r="M719" s="103">
        <v>0.0</v>
      </c>
      <c r="N719" s="121">
        <v>0.0</v>
      </c>
      <c r="O719" s="109" t="str">
        <f>(K719/N719)</f>
        <v>#DIV/0!</v>
      </c>
      <c r="P719" s="110">
        <f t="shared" si="5"/>
        <v>0</v>
      </c>
      <c r="Q719" s="109">
        <f t="shared" si="6"/>
        <v>0.003216583274</v>
      </c>
      <c r="R719" s="111">
        <f t="shared" si="7"/>
        <v>0</v>
      </c>
      <c r="S719" s="122">
        <f t="shared" si="203"/>
        <v>419.7</v>
      </c>
      <c r="T719" s="113" t="str">
        <f t="shared" si="9"/>
        <v>#DIV/0!</v>
      </c>
      <c r="U719" s="172"/>
      <c r="V719" s="172"/>
      <c r="W719" s="172"/>
      <c r="X719" s="172"/>
      <c r="Y719" s="173"/>
      <c r="Z719" s="165"/>
      <c r="AA719" s="165"/>
    </row>
    <row r="720" hidden="1" outlineLevel="1">
      <c r="A720" s="165"/>
      <c r="B720" s="174"/>
      <c r="C720" s="100" t="s">
        <v>35</v>
      </c>
      <c r="D720" s="120">
        <v>479.6</v>
      </c>
      <c r="E720" s="401"/>
      <c r="F720" s="103">
        <v>8.0</v>
      </c>
      <c r="G720" s="103">
        <v>8.0</v>
      </c>
      <c r="H720" s="104">
        <f t="shared" si="1"/>
        <v>1</v>
      </c>
      <c r="I720" s="105">
        <f t="shared" si="2"/>
        <v>59.95</v>
      </c>
      <c r="J720" s="106">
        <f t="shared" si="3"/>
        <v>59.95</v>
      </c>
      <c r="K720" s="120">
        <v>209.26</v>
      </c>
      <c r="L720" s="103">
        <v>21090.0</v>
      </c>
      <c r="M720" s="103">
        <v>5.0</v>
      </c>
      <c r="N720" s="121">
        <v>299.75</v>
      </c>
      <c r="O720" s="109">
        <f t="shared" ref="O720:O734" si="204">K720/N720</f>
        <v>0.6981150959</v>
      </c>
      <c r="P720" s="110">
        <f t="shared" si="5"/>
        <v>1.432428558</v>
      </c>
      <c r="Q720" s="109">
        <f t="shared" si="6"/>
        <v>0.4363219349</v>
      </c>
      <c r="R720" s="111">
        <f t="shared" si="7"/>
        <v>0.625</v>
      </c>
      <c r="S720" s="122">
        <f t="shared" si="203"/>
        <v>179.85</v>
      </c>
      <c r="T720" s="113">
        <f t="shared" si="9"/>
        <v>41.852</v>
      </c>
      <c r="U720" s="172"/>
      <c r="V720" s="172"/>
      <c r="W720" s="172"/>
      <c r="X720" s="172"/>
      <c r="Y720" s="173"/>
      <c r="Z720" s="165"/>
      <c r="AA720" s="165"/>
    </row>
    <row r="721" hidden="1" outlineLevel="1">
      <c r="A721" s="165"/>
      <c r="B721" s="174"/>
      <c r="C721" s="100" t="s">
        <v>36</v>
      </c>
      <c r="D721" s="120">
        <v>509.6</v>
      </c>
      <c r="E721" s="401"/>
      <c r="F721" s="103">
        <v>8.0</v>
      </c>
      <c r="G721" s="103">
        <v>8.0</v>
      </c>
      <c r="H721" s="104">
        <f t="shared" si="1"/>
        <v>1</v>
      </c>
      <c r="I721" s="105">
        <f t="shared" si="2"/>
        <v>63.7</v>
      </c>
      <c r="J721" s="106">
        <f t="shared" si="3"/>
        <v>63.7</v>
      </c>
      <c r="K721" s="120">
        <v>106.49</v>
      </c>
      <c r="L721" s="103">
        <v>19928.0</v>
      </c>
      <c r="M721" s="103">
        <v>6.0</v>
      </c>
      <c r="N721" s="121">
        <v>379.7</v>
      </c>
      <c r="O721" s="109">
        <f t="shared" si="204"/>
        <v>0.2804582565</v>
      </c>
      <c r="P721" s="110">
        <f t="shared" si="5"/>
        <v>3.565593013</v>
      </c>
      <c r="Q721" s="109">
        <f t="shared" si="6"/>
        <v>0.2089678179</v>
      </c>
      <c r="R721" s="111">
        <f t="shared" si="7"/>
        <v>0.7450941915</v>
      </c>
      <c r="S721" s="122">
        <f t="shared" si="203"/>
        <v>129.9</v>
      </c>
      <c r="T721" s="113">
        <f t="shared" si="9"/>
        <v>17.74833333</v>
      </c>
      <c r="U721" s="172"/>
      <c r="V721" s="172"/>
      <c r="W721" s="172"/>
      <c r="X721" s="172"/>
      <c r="Y721" s="173"/>
      <c r="Z721" s="165"/>
      <c r="AA721" s="165"/>
    </row>
    <row r="722" hidden="1" outlineLevel="1">
      <c r="A722" s="165"/>
      <c r="B722" s="99" t="s">
        <v>37</v>
      </c>
      <c r="C722" s="100" t="s">
        <v>38</v>
      </c>
      <c r="D722" s="123">
        <v>475.64</v>
      </c>
      <c r="E722" s="401"/>
      <c r="F722" s="103">
        <v>8.0</v>
      </c>
      <c r="G722" s="103">
        <v>8.0</v>
      </c>
      <c r="H722" s="104">
        <f t="shared" si="1"/>
        <v>1</v>
      </c>
      <c r="I722" s="105">
        <f t="shared" si="2"/>
        <v>59.455</v>
      </c>
      <c r="J722" s="106">
        <f t="shared" si="3"/>
        <v>59.455</v>
      </c>
      <c r="K722" s="123">
        <v>39.43</v>
      </c>
      <c r="L722" s="103">
        <v>15087.0</v>
      </c>
      <c r="M722" s="103">
        <v>1.0</v>
      </c>
      <c r="N722" s="124">
        <v>29.95</v>
      </c>
      <c r="O722" s="109">
        <f t="shared" si="204"/>
        <v>1.316527546</v>
      </c>
      <c r="P722" s="110">
        <f t="shared" si="5"/>
        <v>0.7595739285</v>
      </c>
      <c r="Q722" s="109">
        <f t="shared" si="6"/>
        <v>0.08289883105</v>
      </c>
      <c r="R722" s="111">
        <f t="shared" si="7"/>
        <v>0.06296779077</v>
      </c>
      <c r="S722" s="125">
        <f t="shared" si="203"/>
        <v>445.69</v>
      </c>
      <c r="T722" s="113">
        <f t="shared" si="9"/>
        <v>39.43</v>
      </c>
      <c r="U722" s="172"/>
      <c r="V722" s="172"/>
      <c r="W722" s="172"/>
      <c r="X722" s="172"/>
      <c r="Y722" s="173"/>
      <c r="Z722" s="165"/>
      <c r="AA722" s="165"/>
    </row>
    <row r="723" hidden="1" outlineLevel="1">
      <c r="A723" s="165"/>
      <c r="B723" s="174"/>
      <c r="C723" s="100" t="s">
        <v>39</v>
      </c>
      <c r="D723" s="126">
        <v>0.0</v>
      </c>
      <c r="E723" s="401"/>
      <c r="F723" s="103">
        <v>0.0</v>
      </c>
      <c r="G723" s="103">
        <v>0.0</v>
      </c>
      <c r="H723" s="104" t="str">
        <f t="shared" si="1"/>
        <v>#DIV/0!</v>
      </c>
      <c r="I723" s="105" t="str">
        <f t="shared" si="2"/>
        <v>#DIV/0!</v>
      </c>
      <c r="J723" s="106" t="str">
        <f t="shared" si="3"/>
        <v>#DIV/0!</v>
      </c>
      <c r="K723" s="126">
        <v>0.0</v>
      </c>
      <c r="L723" s="103">
        <v>0.0</v>
      </c>
      <c r="M723" s="103">
        <v>0.0</v>
      </c>
      <c r="N723" s="127">
        <v>0.0</v>
      </c>
      <c r="O723" s="109" t="str">
        <f t="shared" si="204"/>
        <v>#DIV/0!</v>
      </c>
      <c r="P723" s="110" t="str">
        <f t="shared" si="5"/>
        <v>#DIV/0!</v>
      </c>
      <c r="Q723" s="109" t="str">
        <f t="shared" si="6"/>
        <v>#DIV/0!</v>
      </c>
      <c r="R723" s="111" t="str">
        <f t="shared" si="7"/>
        <v>#DIV/0!</v>
      </c>
      <c r="S723" s="128">
        <f t="shared" si="203"/>
        <v>0</v>
      </c>
      <c r="T723" s="113" t="str">
        <f t="shared" si="9"/>
        <v>#DIV/0!</v>
      </c>
      <c r="U723" s="172"/>
      <c r="V723" s="172"/>
      <c r="W723" s="172"/>
      <c r="X723" s="172"/>
      <c r="Y723" s="173"/>
      <c r="Z723" s="165"/>
      <c r="AA723" s="165"/>
    </row>
    <row r="724" hidden="1" outlineLevel="1">
      <c r="A724" s="165"/>
      <c r="B724" s="174"/>
      <c r="C724" s="100" t="s">
        <v>40</v>
      </c>
      <c r="D724" s="129">
        <v>329.7</v>
      </c>
      <c r="E724" s="401"/>
      <c r="F724" s="103">
        <v>6.0</v>
      </c>
      <c r="G724" s="103">
        <v>3.0</v>
      </c>
      <c r="H724" s="104">
        <f t="shared" si="1"/>
        <v>2</v>
      </c>
      <c r="I724" s="105">
        <f t="shared" si="2"/>
        <v>54.95</v>
      </c>
      <c r="J724" s="106">
        <f t="shared" si="3"/>
        <v>27.475</v>
      </c>
      <c r="K724" s="129">
        <v>0.0</v>
      </c>
      <c r="L724" s="103">
        <v>0.0</v>
      </c>
      <c r="M724" s="103">
        <v>0.0</v>
      </c>
      <c r="N724" s="130">
        <v>0.0</v>
      </c>
      <c r="O724" s="109" t="str">
        <f t="shared" si="204"/>
        <v>#DIV/0!</v>
      </c>
      <c r="P724" s="110" t="str">
        <f t="shared" si="5"/>
        <v>#DIV/0!</v>
      </c>
      <c r="Q724" s="109">
        <f t="shared" si="6"/>
        <v>0</v>
      </c>
      <c r="R724" s="111">
        <f t="shared" si="7"/>
        <v>0</v>
      </c>
      <c r="S724" s="131">
        <f t="shared" si="203"/>
        <v>329.7</v>
      </c>
      <c r="T724" s="113" t="str">
        <f t="shared" si="9"/>
        <v>#DIV/0!</v>
      </c>
      <c r="U724" s="172"/>
      <c r="V724" s="172"/>
      <c r="W724" s="172"/>
      <c r="X724" s="172"/>
      <c r="Y724" s="173"/>
      <c r="Z724" s="165"/>
      <c r="AA724" s="165"/>
    </row>
    <row r="725" hidden="1" outlineLevel="1">
      <c r="A725" s="165"/>
      <c r="B725" s="174"/>
      <c r="C725" s="100" t="s">
        <v>41</v>
      </c>
      <c r="D725" s="132">
        <v>1252.8</v>
      </c>
      <c r="E725" s="401"/>
      <c r="F725" s="103">
        <v>18.0</v>
      </c>
      <c r="G725" s="103">
        <v>18.0</v>
      </c>
      <c r="H725" s="104">
        <f t="shared" si="1"/>
        <v>1</v>
      </c>
      <c r="I725" s="105">
        <f t="shared" si="2"/>
        <v>69.6</v>
      </c>
      <c r="J725" s="106">
        <f t="shared" si="3"/>
        <v>69.6</v>
      </c>
      <c r="K725" s="132">
        <v>189.33</v>
      </c>
      <c r="L725" s="103">
        <v>24077.0</v>
      </c>
      <c r="M725" s="103">
        <v>6.0</v>
      </c>
      <c r="N725" s="133">
        <v>437.6</v>
      </c>
      <c r="O725" s="109">
        <f t="shared" si="204"/>
        <v>0.4326553931</v>
      </c>
      <c r="P725" s="110">
        <f t="shared" si="5"/>
        <v>2.311308298</v>
      </c>
      <c r="Q725" s="109">
        <f t="shared" si="6"/>
        <v>0.1511254789</v>
      </c>
      <c r="R725" s="111">
        <f t="shared" si="7"/>
        <v>0.3492975734</v>
      </c>
      <c r="S725" s="134">
        <f t="shared" si="203"/>
        <v>815.2</v>
      </c>
      <c r="T725" s="113">
        <f t="shared" si="9"/>
        <v>31.555</v>
      </c>
      <c r="U725" s="172"/>
      <c r="V725" s="172"/>
      <c r="W725" s="172"/>
      <c r="X725" s="172"/>
      <c r="Y725" s="173"/>
      <c r="Z725" s="165"/>
      <c r="AA725" s="165"/>
    </row>
    <row r="726" hidden="1" outlineLevel="1">
      <c r="A726" s="165"/>
      <c r="B726" s="174"/>
      <c r="C726" s="100" t="s">
        <v>42</v>
      </c>
      <c r="D726" s="120">
        <v>0.0</v>
      </c>
      <c r="E726" s="401"/>
      <c r="F726" s="103">
        <v>0.0</v>
      </c>
      <c r="G726" s="103">
        <v>0.0</v>
      </c>
      <c r="H726" s="104" t="str">
        <f t="shared" si="1"/>
        <v>#DIV/0!</v>
      </c>
      <c r="I726" s="105" t="str">
        <f t="shared" si="2"/>
        <v>#DIV/0!</v>
      </c>
      <c r="J726" s="106" t="str">
        <f t="shared" si="3"/>
        <v>#DIV/0!</v>
      </c>
      <c r="K726" s="120">
        <v>0.0</v>
      </c>
      <c r="L726" s="103">
        <v>0.0</v>
      </c>
      <c r="M726" s="103">
        <v>0.0</v>
      </c>
      <c r="N726" s="121">
        <v>0.0</v>
      </c>
      <c r="O726" s="109" t="str">
        <f t="shared" si="204"/>
        <v>#DIV/0!</v>
      </c>
      <c r="P726" s="110" t="str">
        <f t="shared" si="5"/>
        <v>#DIV/0!</v>
      </c>
      <c r="Q726" s="109" t="str">
        <f t="shared" si="6"/>
        <v>#DIV/0!</v>
      </c>
      <c r="R726" s="111" t="str">
        <f t="shared" si="7"/>
        <v>#DIV/0!</v>
      </c>
      <c r="S726" s="122">
        <f t="shared" si="203"/>
        <v>0</v>
      </c>
      <c r="T726" s="113" t="str">
        <f t="shared" si="9"/>
        <v>#DIV/0!</v>
      </c>
      <c r="U726" s="172"/>
      <c r="V726" s="172"/>
      <c r="W726" s="172"/>
      <c r="X726" s="172"/>
      <c r="Y726" s="173"/>
      <c r="Z726" s="165"/>
      <c r="AA726" s="165"/>
    </row>
    <row r="727" hidden="1" outlineLevel="1">
      <c r="A727" s="165"/>
      <c r="B727" s="174"/>
      <c r="C727" s="100" t="s">
        <v>43</v>
      </c>
      <c r="D727" s="135">
        <v>0.0</v>
      </c>
      <c r="E727" s="401"/>
      <c r="F727" s="103">
        <v>0.0</v>
      </c>
      <c r="G727" s="103">
        <v>0.0</v>
      </c>
      <c r="H727" s="104" t="str">
        <f t="shared" si="1"/>
        <v>#DIV/0!</v>
      </c>
      <c r="I727" s="105" t="str">
        <f t="shared" si="2"/>
        <v>#DIV/0!</v>
      </c>
      <c r="J727" s="106" t="str">
        <f t="shared" si="3"/>
        <v>#DIV/0!</v>
      </c>
      <c r="K727" s="135">
        <v>76.47</v>
      </c>
      <c r="L727" s="103">
        <v>11585.0</v>
      </c>
      <c r="M727" s="103">
        <v>0.0</v>
      </c>
      <c r="N727" s="136">
        <v>0.0</v>
      </c>
      <c r="O727" s="109" t="str">
        <f t="shared" si="204"/>
        <v>#DIV/0!</v>
      </c>
      <c r="P727" s="110">
        <f t="shared" si="5"/>
        <v>0</v>
      </c>
      <c r="Q727" s="109" t="str">
        <f t="shared" si="6"/>
        <v>#DIV/0!</v>
      </c>
      <c r="R727" s="111" t="str">
        <f t="shared" si="7"/>
        <v>#DIV/0!</v>
      </c>
      <c r="S727" s="137">
        <f t="shared" si="203"/>
        <v>0</v>
      </c>
      <c r="T727" s="113" t="str">
        <f t="shared" si="9"/>
        <v>#DIV/0!</v>
      </c>
      <c r="U727" s="172"/>
      <c r="V727" s="172"/>
      <c r="W727" s="172"/>
      <c r="X727" s="172"/>
      <c r="Y727" s="173"/>
      <c r="Z727" s="165"/>
      <c r="AA727" s="165"/>
    </row>
    <row r="728" hidden="1" outlineLevel="1">
      <c r="A728" s="165"/>
      <c r="B728" s="174"/>
      <c r="C728" s="100" t="s">
        <v>44</v>
      </c>
      <c r="D728" s="138">
        <v>134.85</v>
      </c>
      <c r="E728" s="401"/>
      <c r="F728" s="103">
        <v>3.0</v>
      </c>
      <c r="G728" s="103">
        <v>3.0</v>
      </c>
      <c r="H728" s="104">
        <f t="shared" si="1"/>
        <v>1</v>
      </c>
      <c r="I728" s="105">
        <f t="shared" si="2"/>
        <v>44.95</v>
      </c>
      <c r="J728" s="106">
        <f t="shared" si="3"/>
        <v>44.95</v>
      </c>
      <c r="K728" s="138">
        <v>69.52</v>
      </c>
      <c r="L728" s="103">
        <v>40853.0</v>
      </c>
      <c r="M728" s="103">
        <v>1.0</v>
      </c>
      <c r="N728" s="139">
        <v>44.95</v>
      </c>
      <c r="O728" s="109">
        <f t="shared" si="204"/>
        <v>1.546607341</v>
      </c>
      <c r="P728" s="110">
        <f t="shared" si="5"/>
        <v>0.6465765247</v>
      </c>
      <c r="Q728" s="109">
        <f t="shared" si="6"/>
        <v>0.5155357805</v>
      </c>
      <c r="R728" s="111">
        <f t="shared" si="7"/>
        <v>0.3333333333</v>
      </c>
      <c r="S728" s="140">
        <f t="shared" si="203"/>
        <v>89.9</v>
      </c>
      <c r="T728" s="113">
        <f t="shared" si="9"/>
        <v>69.52</v>
      </c>
      <c r="U728" s="172"/>
      <c r="V728" s="172"/>
      <c r="W728" s="172"/>
      <c r="X728" s="172"/>
      <c r="Y728" s="173"/>
      <c r="Z728" s="165"/>
      <c r="AA728" s="165"/>
    </row>
    <row r="729" hidden="1" outlineLevel="1">
      <c r="A729" s="192"/>
      <c r="B729" s="174"/>
      <c r="C729" s="142" t="s">
        <v>45</v>
      </c>
      <c r="D729" s="101">
        <v>24.95</v>
      </c>
      <c r="E729" s="401"/>
      <c r="F729" s="103">
        <v>1.0</v>
      </c>
      <c r="G729" s="103">
        <v>1.0</v>
      </c>
      <c r="H729" s="104">
        <f t="shared" si="1"/>
        <v>1</v>
      </c>
      <c r="I729" s="105">
        <f t="shared" si="2"/>
        <v>24.95</v>
      </c>
      <c r="J729" s="106">
        <f t="shared" si="3"/>
        <v>24.95</v>
      </c>
      <c r="K729" s="101">
        <v>0.0</v>
      </c>
      <c r="L729" s="103">
        <v>0.0</v>
      </c>
      <c r="M729" s="103">
        <v>0.0</v>
      </c>
      <c r="N729" s="108">
        <v>0.0</v>
      </c>
      <c r="O729" s="109" t="str">
        <f t="shared" si="204"/>
        <v>#DIV/0!</v>
      </c>
      <c r="P729" s="110" t="str">
        <f t="shared" si="5"/>
        <v>#DIV/0!</v>
      </c>
      <c r="Q729" s="109">
        <f t="shared" si="6"/>
        <v>0</v>
      </c>
      <c r="R729" s="111">
        <f t="shared" si="7"/>
        <v>0</v>
      </c>
      <c r="S729" s="112">
        <f t="shared" si="203"/>
        <v>24.95</v>
      </c>
      <c r="T729" s="113" t="str">
        <f t="shared" si="9"/>
        <v>#DIV/0!</v>
      </c>
      <c r="U729" s="193"/>
      <c r="V729" s="193"/>
      <c r="W729" s="193"/>
      <c r="X729" s="194"/>
      <c r="Y729" s="195"/>
      <c r="Z729" s="165"/>
      <c r="AA729" s="165"/>
    </row>
    <row r="730" hidden="1" outlineLevel="1">
      <c r="A730" s="165"/>
      <c r="B730" s="174"/>
      <c r="C730" s="100" t="s">
        <v>46</v>
      </c>
      <c r="D730" s="146">
        <v>431.5</v>
      </c>
      <c r="E730" s="401"/>
      <c r="F730" s="103">
        <v>10.0</v>
      </c>
      <c r="G730" s="103">
        <v>10.0</v>
      </c>
      <c r="H730" s="104">
        <f t="shared" si="1"/>
        <v>1</v>
      </c>
      <c r="I730" s="105">
        <f t="shared" si="2"/>
        <v>43.15</v>
      </c>
      <c r="J730" s="106">
        <f t="shared" si="3"/>
        <v>43.15</v>
      </c>
      <c r="K730" s="146">
        <v>105.15</v>
      </c>
      <c r="L730" s="103">
        <v>22565.0</v>
      </c>
      <c r="M730" s="103">
        <v>4.0</v>
      </c>
      <c r="N730" s="147">
        <v>128.85</v>
      </c>
      <c r="O730" s="109">
        <f t="shared" si="204"/>
        <v>0.8160651921</v>
      </c>
      <c r="P730" s="110">
        <f t="shared" si="5"/>
        <v>1.225392297</v>
      </c>
      <c r="Q730" s="109">
        <f t="shared" si="6"/>
        <v>0.2436848204</v>
      </c>
      <c r="R730" s="111">
        <f t="shared" si="7"/>
        <v>0.2986095017</v>
      </c>
      <c r="S730" s="112">
        <f t="shared" si="203"/>
        <v>302.65</v>
      </c>
      <c r="T730" s="113">
        <f t="shared" si="9"/>
        <v>26.2875</v>
      </c>
      <c r="U730" s="172"/>
      <c r="V730" s="172"/>
      <c r="W730" s="172"/>
      <c r="X730" s="172"/>
      <c r="Y730" s="173"/>
      <c r="Z730" s="165"/>
      <c r="AA730" s="165"/>
    </row>
    <row r="731" hidden="1" outlineLevel="1">
      <c r="A731" s="148" t="str">
        <f t="shared" ref="A731:A732" si="205">iferror(if(B731&gt;0,month(B731)&amp;"-"&amp;year(B731),B731),)</f>
        <v>9-2025</v>
      </c>
      <c r="B731" s="99">
        <v>45927.0</v>
      </c>
      <c r="C731" s="100" t="s">
        <v>49</v>
      </c>
      <c r="D731" s="146">
        <v>96.0</v>
      </c>
      <c r="E731" s="401"/>
      <c r="F731" s="103">
        <v>1.0</v>
      </c>
      <c r="G731" s="103">
        <v>1.0</v>
      </c>
      <c r="H731" s="104">
        <f t="shared" si="1"/>
        <v>1</v>
      </c>
      <c r="I731" s="105">
        <f t="shared" si="2"/>
        <v>96</v>
      </c>
      <c r="J731" s="106">
        <f t="shared" si="3"/>
        <v>96</v>
      </c>
      <c r="K731" s="146">
        <v>4.07</v>
      </c>
      <c r="L731" s="103">
        <v>8988.0</v>
      </c>
      <c r="M731" s="103">
        <v>0.0</v>
      </c>
      <c r="N731" s="147">
        <v>0.0</v>
      </c>
      <c r="O731" s="109" t="str">
        <f t="shared" si="204"/>
        <v>#DIV/0!</v>
      </c>
      <c r="P731" s="110">
        <f t="shared" si="5"/>
        <v>0</v>
      </c>
      <c r="Q731" s="109">
        <f t="shared" si="6"/>
        <v>0.04239583333</v>
      </c>
      <c r="R731" s="111">
        <f t="shared" si="7"/>
        <v>0</v>
      </c>
      <c r="S731" s="112">
        <f t="shared" si="203"/>
        <v>96</v>
      </c>
      <c r="T731" s="113" t="str">
        <f t="shared" si="9"/>
        <v>#DIV/0!</v>
      </c>
      <c r="U731" s="172"/>
      <c r="V731" s="172"/>
      <c r="W731" s="172"/>
      <c r="X731" s="172"/>
      <c r="Y731" s="173"/>
      <c r="Z731" s="165"/>
      <c r="AA731" s="165"/>
    </row>
    <row r="732" collapsed="1">
      <c r="A732" s="165" t="str">
        <f t="shared" si="205"/>
        <v/>
      </c>
      <c r="B732" s="80" t="s">
        <v>126</v>
      </c>
      <c r="C732" s="201"/>
      <c r="D732" s="151">
        <f>SUM(D717:D731)</f>
        <v>10623.54</v>
      </c>
      <c r="E732" s="400"/>
      <c r="F732" s="153">
        <f t="shared" ref="F732:G732" si="206">SUM(F717:F731)</f>
        <v>116</v>
      </c>
      <c r="G732" s="153">
        <f t="shared" si="206"/>
        <v>109</v>
      </c>
      <c r="H732" s="154">
        <f t="shared" si="1"/>
        <v>1.064220183</v>
      </c>
      <c r="I732" s="155">
        <f t="shared" si="2"/>
        <v>91.58224138</v>
      </c>
      <c r="J732" s="156">
        <f t="shared" si="3"/>
        <v>86.05572681</v>
      </c>
      <c r="K732" s="151">
        <f t="shared" ref="K732:N732" si="207">SUM(K717:K731)</f>
        <v>2045.77</v>
      </c>
      <c r="L732" s="153">
        <f t="shared" si="207"/>
        <v>459079</v>
      </c>
      <c r="M732" s="153">
        <f t="shared" si="207"/>
        <v>52</v>
      </c>
      <c r="N732" s="157">
        <f t="shared" si="207"/>
        <v>5329.15</v>
      </c>
      <c r="O732" s="158">
        <f t="shared" si="204"/>
        <v>0.3838829832</v>
      </c>
      <c r="P732" s="159">
        <f t="shared" si="5"/>
        <v>2.604960479</v>
      </c>
      <c r="Q732" s="158">
        <f t="shared" si="6"/>
        <v>0.1925695201</v>
      </c>
      <c r="R732" s="160">
        <f t="shared" si="7"/>
        <v>0.5016359895</v>
      </c>
      <c r="S732" s="161">
        <f>SUM(S717:S731)</f>
        <v>5294.39</v>
      </c>
      <c r="T732" s="162">
        <f t="shared" si="9"/>
        <v>39.34173077</v>
      </c>
      <c r="U732" s="163">
        <f>IFERROR((D732-D246)/D732,)</f>
        <v>0.2863659383</v>
      </c>
      <c r="V732" s="163">
        <f>IFERROR((F732-F246)/F732,)</f>
        <v>0.1896551724</v>
      </c>
      <c r="W732" s="398" t="str">
        <f>IFERROR((D732-monthly_reporting_2021!E523)/D732, )</f>
        <v/>
      </c>
      <c r="X732" s="398" t="str">
        <f>IFERROR((F732-monthly_reporting_2021!F523)/F732, )</f>
        <v/>
      </c>
      <c r="Y732" s="165"/>
      <c r="Z732" s="165"/>
      <c r="AA732" s="165"/>
    </row>
    <row r="733" hidden="1" outlineLevel="1">
      <c r="A733" s="165"/>
      <c r="B733" s="99">
        <v>45928.0</v>
      </c>
      <c r="C733" s="100" t="s">
        <v>32</v>
      </c>
      <c r="D733" s="101">
        <v>3475.28</v>
      </c>
      <c r="E733" s="401"/>
      <c r="F733" s="103">
        <v>13.0</v>
      </c>
      <c r="G733" s="103">
        <v>13.0</v>
      </c>
      <c r="H733" s="104">
        <f t="shared" si="1"/>
        <v>1</v>
      </c>
      <c r="I733" s="105">
        <f t="shared" si="2"/>
        <v>267.3292308</v>
      </c>
      <c r="J733" s="106">
        <f t="shared" si="3"/>
        <v>267.3292308</v>
      </c>
      <c r="K733" s="107">
        <v>855.56</v>
      </c>
      <c r="L733" s="103">
        <v>196963.0</v>
      </c>
      <c r="M733" s="103">
        <v>4.0</v>
      </c>
      <c r="N733" s="108">
        <v>1745.28</v>
      </c>
      <c r="O733" s="109">
        <f t="shared" si="204"/>
        <v>0.4902136047</v>
      </c>
      <c r="P733" s="110">
        <f t="shared" si="5"/>
        <v>2.039927065</v>
      </c>
      <c r="Q733" s="109">
        <f t="shared" si="6"/>
        <v>0.2461844801</v>
      </c>
      <c r="R733" s="111">
        <f t="shared" si="7"/>
        <v>0.502198384</v>
      </c>
      <c r="S733" s="112">
        <f t="shared" ref="S733:S747" si="208">D733-N733</f>
        <v>1730</v>
      </c>
      <c r="T733" s="113">
        <f t="shared" si="9"/>
        <v>213.89</v>
      </c>
      <c r="U733" s="172"/>
      <c r="V733" s="172"/>
      <c r="W733" s="172"/>
      <c r="X733" s="172"/>
      <c r="Y733" s="173"/>
      <c r="Z733" s="165"/>
      <c r="AA733" s="165"/>
    </row>
    <row r="734" hidden="1" outlineLevel="1">
      <c r="A734" s="165"/>
      <c r="B734" s="174"/>
      <c r="C734" s="100" t="s">
        <v>33</v>
      </c>
      <c r="D734" s="117">
        <v>1340.95</v>
      </c>
      <c r="E734" s="401"/>
      <c r="F734" s="103">
        <v>32.0</v>
      </c>
      <c r="G734" s="103">
        <v>38.0</v>
      </c>
      <c r="H734" s="104">
        <f t="shared" si="1"/>
        <v>0.8421052632</v>
      </c>
      <c r="I734" s="105">
        <f t="shared" si="2"/>
        <v>41.9046875</v>
      </c>
      <c r="J734" s="106">
        <f t="shared" si="3"/>
        <v>49.76181641</v>
      </c>
      <c r="K734" s="117">
        <v>363.51</v>
      </c>
      <c r="L734" s="103">
        <v>108420.0</v>
      </c>
      <c r="M734" s="103">
        <v>8.0</v>
      </c>
      <c r="N734" s="118">
        <v>888.75</v>
      </c>
      <c r="O734" s="109">
        <f t="shared" si="204"/>
        <v>0.4090126582</v>
      </c>
      <c r="P734" s="110">
        <f t="shared" si="5"/>
        <v>2.444912107</v>
      </c>
      <c r="Q734" s="109">
        <f t="shared" si="6"/>
        <v>0.271083933</v>
      </c>
      <c r="R734" s="111">
        <f t="shared" si="7"/>
        <v>0.6627763899</v>
      </c>
      <c r="S734" s="119">
        <f t="shared" si="208"/>
        <v>452.2</v>
      </c>
      <c r="T734" s="113">
        <f t="shared" si="9"/>
        <v>45.43875</v>
      </c>
      <c r="U734" s="172"/>
      <c r="V734" s="172"/>
      <c r="W734" s="172"/>
      <c r="X734" s="172"/>
      <c r="Y734" s="173"/>
      <c r="Z734" s="165"/>
      <c r="AA734" s="165"/>
    </row>
    <row r="735" hidden="1" outlineLevel="1">
      <c r="A735" s="165"/>
      <c r="B735" s="174"/>
      <c r="C735" s="100" t="s">
        <v>34</v>
      </c>
      <c r="D735" s="120">
        <v>69.95</v>
      </c>
      <c r="E735" s="401"/>
      <c r="F735" s="103">
        <v>1.0</v>
      </c>
      <c r="G735" s="103">
        <v>1.0</v>
      </c>
      <c r="H735" s="104">
        <f t="shared" si="1"/>
        <v>1</v>
      </c>
      <c r="I735" s="105">
        <f t="shared" si="2"/>
        <v>69.95</v>
      </c>
      <c r="J735" s="106">
        <f t="shared" si="3"/>
        <v>69.95</v>
      </c>
      <c r="K735" s="120">
        <v>0.0</v>
      </c>
      <c r="L735" s="103">
        <v>311.0</v>
      </c>
      <c r="M735" s="103">
        <v>0.0</v>
      </c>
      <c r="N735" s="121">
        <v>0.0</v>
      </c>
      <c r="O735" s="109" t="str">
        <f>(K735/N735)</f>
        <v>#DIV/0!</v>
      </c>
      <c r="P735" s="110" t="str">
        <f t="shared" si="5"/>
        <v>#DIV/0!</v>
      </c>
      <c r="Q735" s="109">
        <f t="shared" si="6"/>
        <v>0</v>
      </c>
      <c r="R735" s="111">
        <f t="shared" si="7"/>
        <v>0</v>
      </c>
      <c r="S735" s="122">
        <f t="shared" si="208"/>
        <v>69.95</v>
      </c>
      <c r="T735" s="113" t="str">
        <f t="shared" si="9"/>
        <v>#DIV/0!</v>
      </c>
      <c r="U735" s="172"/>
      <c r="V735" s="172"/>
      <c r="W735" s="172"/>
      <c r="X735" s="172"/>
      <c r="Y735" s="173"/>
      <c r="Z735" s="165"/>
      <c r="AA735" s="165"/>
    </row>
    <row r="736" hidden="1" outlineLevel="1">
      <c r="A736" s="165"/>
      <c r="B736" s="174"/>
      <c r="C736" s="100" t="s">
        <v>35</v>
      </c>
      <c r="D736" s="120">
        <v>539.55</v>
      </c>
      <c r="E736" s="401"/>
      <c r="F736" s="103">
        <v>9.0</v>
      </c>
      <c r="G736" s="103">
        <v>8.0</v>
      </c>
      <c r="H736" s="104">
        <f t="shared" si="1"/>
        <v>1.125</v>
      </c>
      <c r="I736" s="105">
        <f t="shared" si="2"/>
        <v>59.95</v>
      </c>
      <c r="J736" s="106">
        <f t="shared" si="3"/>
        <v>53.28888889</v>
      </c>
      <c r="K736" s="120">
        <v>264.74</v>
      </c>
      <c r="L736" s="103">
        <v>24715.0</v>
      </c>
      <c r="M736" s="103">
        <v>7.0</v>
      </c>
      <c r="N736" s="121">
        <v>419.65</v>
      </c>
      <c r="O736" s="109">
        <f t="shared" ref="O736:O750" si="209">K736/N736</f>
        <v>0.6308590492</v>
      </c>
      <c r="P736" s="110">
        <f t="shared" si="5"/>
        <v>1.585140137</v>
      </c>
      <c r="Q736" s="109">
        <f t="shared" si="6"/>
        <v>0.4906681494</v>
      </c>
      <c r="R736" s="111">
        <f t="shared" si="7"/>
        <v>0.7777777778</v>
      </c>
      <c r="S736" s="122">
        <f t="shared" si="208"/>
        <v>119.9</v>
      </c>
      <c r="T736" s="113">
        <f t="shared" si="9"/>
        <v>37.82</v>
      </c>
      <c r="U736" s="172"/>
      <c r="V736" s="172"/>
      <c r="W736" s="172"/>
      <c r="X736" s="172"/>
      <c r="Y736" s="173"/>
      <c r="Z736" s="165"/>
      <c r="AA736" s="165"/>
    </row>
    <row r="737" hidden="1" outlineLevel="1">
      <c r="A737" s="165"/>
      <c r="B737" s="174"/>
      <c r="C737" s="100" t="s">
        <v>36</v>
      </c>
      <c r="D737" s="120">
        <v>659.5</v>
      </c>
      <c r="E737" s="401"/>
      <c r="F737" s="103">
        <v>10.0</v>
      </c>
      <c r="G737" s="103">
        <v>9.0</v>
      </c>
      <c r="H737" s="104">
        <f t="shared" si="1"/>
        <v>1.111111111</v>
      </c>
      <c r="I737" s="105">
        <f t="shared" si="2"/>
        <v>65.95</v>
      </c>
      <c r="J737" s="106">
        <f t="shared" si="3"/>
        <v>59.355</v>
      </c>
      <c r="K737" s="120">
        <v>64.99</v>
      </c>
      <c r="L737" s="103">
        <v>19719.0</v>
      </c>
      <c r="M737" s="103">
        <v>2.0</v>
      </c>
      <c r="N737" s="121">
        <v>129.9</v>
      </c>
      <c r="O737" s="109">
        <f t="shared" si="209"/>
        <v>0.5003079292</v>
      </c>
      <c r="P737" s="110">
        <f t="shared" si="5"/>
        <v>1.998769041</v>
      </c>
      <c r="Q737" s="109">
        <f t="shared" si="6"/>
        <v>0.09854435178</v>
      </c>
      <c r="R737" s="111">
        <f t="shared" si="7"/>
        <v>0.1969673995</v>
      </c>
      <c r="S737" s="122">
        <f t="shared" si="208"/>
        <v>529.6</v>
      </c>
      <c r="T737" s="113">
        <f t="shared" si="9"/>
        <v>32.495</v>
      </c>
      <c r="U737" s="172"/>
      <c r="V737" s="172"/>
      <c r="W737" s="172"/>
      <c r="X737" s="172"/>
      <c r="Y737" s="173"/>
      <c r="Z737" s="165"/>
      <c r="AA737" s="165"/>
    </row>
    <row r="738" hidden="1" outlineLevel="1">
      <c r="A738" s="165"/>
      <c r="B738" s="99" t="s">
        <v>37</v>
      </c>
      <c r="C738" s="100" t="s">
        <v>38</v>
      </c>
      <c r="D738" s="123">
        <v>234.8</v>
      </c>
      <c r="E738" s="401"/>
      <c r="F738" s="103">
        <v>4.0</v>
      </c>
      <c r="G738" s="103">
        <v>4.0</v>
      </c>
      <c r="H738" s="104">
        <f t="shared" si="1"/>
        <v>1</v>
      </c>
      <c r="I738" s="105">
        <f t="shared" si="2"/>
        <v>58.7</v>
      </c>
      <c r="J738" s="106">
        <f t="shared" si="3"/>
        <v>58.7</v>
      </c>
      <c r="K738" s="123">
        <v>50.88</v>
      </c>
      <c r="L738" s="103">
        <v>14681.0</v>
      </c>
      <c r="M738" s="103">
        <v>2.0</v>
      </c>
      <c r="N738" s="124">
        <v>169.9</v>
      </c>
      <c r="O738" s="109">
        <f t="shared" si="209"/>
        <v>0.2994702766</v>
      </c>
      <c r="P738" s="110">
        <f t="shared" si="5"/>
        <v>3.33922956</v>
      </c>
      <c r="Q738" s="109">
        <f t="shared" si="6"/>
        <v>0.2166950596</v>
      </c>
      <c r="R738" s="111">
        <f t="shared" si="7"/>
        <v>0.7235945486</v>
      </c>
      <c r="S738" s="125">
        <f t="shared" si="208"/>
        <v>64.9</v>
      </c>
      <c r="T738" s="113">
        <f t="shared" si="9"/>
        <v>25.44</v>
      </c>
      <c r="U738" s="172"/>
      <c r="V738" s="172"/>
      <c r="W738" s="172"/>
      <c r="X738" s="172"/>
      <c r="Y738" s="173"/>
      <c r="Z738" s="165"/>
      <c r="AA738" s="165"/>
    </row>
    <row r="739" hidden="1" outlineLevel="1">
      <c r="A739" s="165"/>
      <c r="B739" s="174"/>
      <c r="C739" s="100" t="s">
        <v>39</v>
      </c>
      <c r="D739" s="126">
        <v>0.0</v>
      </c>
      <c r="E739" s="401"/>
      <c r="F739" s="103">
        <v>0.0</v>
      </c>
      <c r="G739" s="103">
        <v>0.0</v>
      </c>
      <c r="H739" s="104" t="str">
        <f t="shared" si="1"/>
        <v>#DIV/0!</v>
      </c>
      <c r="I739" s="105" t="str">
        <f t="shared" si="2"/>
        <v>#DIV/0!</v>
      </c>
      <c r="J739" s="106" t="str">
        <f t="shared" si="3"/>
        <v>#DIV/0!</v>
      </c>
      <c r="K739" s="126">
        <v>0.0</v>
      </c>
      <c r="L739" s="103">
        <v>0.0</v>
      </c>
      <c r="M739" s="103">
        <v>0.0</v>
      </c>
      <c r="N739" s="127">
        <v>0.0</v>
      </c>
      <c r="O739" s="109" t="str">
        <f t="shared" si="209"/>
        <v>#DIV/0!</v>
      </c>
      <c r="P739" s="110" t="str">
        <f t="shared" si="5"/>
        <v>#DIV/0!</v>
      </c>
      <c r="Q739" s="109" t="str">
        <f t="shared" si="6"/>
        <v>#DIV/0!</v>
      </c>
      <c r="R739" s="111" t="str">
        <f t="shared" si="7"/>
        <v>#DIV/0!</v>
      </c>
      <c r="S739" s="128">
        <f t="shared" si="208"/>
        <v>0</v>
      </c>
      <c r="T739" s="113" t="str">
        <f t="shared" si="9"/>
        <v>#DIV/0!</v>
      </c>
      <c r="U739" s="172"/>
      <c r="V739" s="172"/>
      <c r="W739" s="172"/>
      <c r="X739" s="172"/>
      <c r="Y739" s="173"/>
      <c r="Z739" s="165"/>
      <c r="AA739" s="165"/>
    </row>
    <row r="740" hidden="1" outlineLevel="1">
      <c r="A740" s="165"/>
      <c r="B740" s="174"/>
      <c r="C740" s="100" t="s">
        <v>40</v>
      </c>
      <c r="D740" s="129">
        <v>0.0</v>
      </c>
      <c r="E740" s="401"/>
      <c r="F740" s="103">
        <v>0.0</v>
      </c>
      <c r="G740" s="103">
        <v>0.0</v>
      </c>
      <c r="H740" s="104" t="str">
        <f t="shared" si="1"/>
        <v>#DIV/0!</v>
      </c>
      <c r="I740" s="105" t="str">
        <f t="shared" si="2"/>
        <v>#DIV/0!</v>
      </c>
      <c r="J740" s="106" t="str">
        <f t="shared" si="3"/>
        <v>#DIV/0!</v>
      </c>
      <c r="K740" s="129">
        <v>0.0</v>
      </c>
      <c r="L740" s="103">
        <v>0.0</v>
      </c>
      <c r="M740" s="103">
        <v>0.0</v>
      </c>
      <c r="N740" s="130">
        <v>0.0</v>
      </c>
      <c r="O740" s="109" t="str">
        <f t="shared" si="209"/>
        <v>#DIV/0!</v>
      </c>
      <c r="P740" s="110" t="str">
        <f t="shared" si="5"/>
        <v>#DIV/0!</v>
      </c>
      <c r="Q740" s="109" t="str">
        <f t="shared" si="6"/>
        <v>#DIV/0!</v>
      </c>
      <c r="R740" s="111" t="str">
        <f t="shared" si="7"/>
        <v>#DIV/0!</v>
      </c>
      <c r="S740" s="131">
        <f t="shared" si="208"/>
        <v>0</v>
      </c>
      <c r="T740" s="113" t="str">
        <f t="shared" si="9"/>
        <v>#DIV/0!</v>
      </c>
      <c r="U740" s="172"/>
      <c r="V740" s="172"/>
      <c r="W740" s="172"/>
      <c r="X740" s="172"/>
      <c r="Y740" s="173"/>
      <c r="Z740" s="165"/>
      <c r="AA740" s="165"/>
    </row>
    <row r="741" hidden="1" outlineLevel="1">
      <c r="A741" s="165"/>
      <c r="B741" s="174"/>
      <c r="C741" s="100" t="s">
        <v>41</v>
      </c>
      <c r="D741" s="132">
        <v>1932.18</v>
      </c>
      <c r="E741" s="401"/>
      <c r="F741" s="103">
        <v>20.0</v>
      </c>
      <c r="G741" s="103">
        <v>19.0</v>
      </c>
      <c r="H741" s="104">
        <f t="shared" si="1"/>
        <v>1.052631579</v>
      </c>
      <c r="I741" s="105">
        <f t="shared" si="2"/>
        <v>96.609</v>
      </c>
      <c r="J741" s="106">
        <f t="shared" si="3"/>
        <v>91.77855</v>
      </c>
      <c r="K741" s="132">
        <v>149.81</v>
      </c>
      <c r="L741" s="103">
        <v>22219.0</v>
      </c>
      <c r="M741" s="103">
        <v>8.0</v>
      </c>
      <c r="N741" s="133">
        <v>695.57</v>
      </c>
      <c r="O741" s="109">
        <f t="shared" si="209"/>
        <v>0.2153773164</v>
      </c>
      <c r="P741" s="110">
        <f t="shared" si="5"/>
        <v>4.643014485</v>
      </c>
      <c r="Q741" s="109">
        <f t="shared" si="6"/>
        <v>0.07753418419</v>
      </c>
      <c r="R741" s="111">
        <f t="shared" si="7"/>
        <v>0.3599923403</v>
      </c>
      <c r="S741" s="134">
        <f t="shared" si="208"/>
        <v>1236.61</v>
      </c>
      <c r="T741" s="113">
        <f t="shared" si="9"/>
        <v>18.72625</v>
      </c>
      <c r="U741" s="172"/>
      <c r="V741" s="172"/>
      <c r="W741" s="172"/>
      <c r="X741" s="172"/>
      <c r="Y741" s="173"/>
      <c r="Z741" s="165"/>
      <c r="AA741" s="165"/>
    </row>
    <row r="742" hidden="1" outlineLevel="1">
      <c r="A742" s="165"/>
      <c r="B742" s="174"/>
      <c r="C742" s="100" t="s">
        <v>42</v>
      </c>
      <c r="D742" s="120">
        <v>0.0</v>
      </c>
      <c r="E742" s="401"/>
      <c r="F742" s="103">
        <v>0.0</v>
      </c>
      <c r="G742" s="103">
        <v>0.0</v>
      </c>
      <c r="H742" s="104" t="str">
        <f t="shared" si="1"/>
        <v>#DIV/0!</v>
      </c>
      <c r="I742" s="105" t="str">
        <f t="shared" si="2"/>
        <v>#DIV/0!</v>
      </c>
      <c r="J742" s="106" t="str">
        <f t="shared" si="3"/>
        <v>#DIV/0!</v>
      </c>
      <c r="K742" s="120">
        <v>0.0</v>
      </c>
      <c r="L742" s="103">
        <v>0.0</v>
      </c>
      <c r="M742" s="103">
        <v>0.0</v>
      </c>
      <c r="N742" s="121">
        <v>0.0</v>
      </c>
      <c r="O742" s="109" t="str">
        <f t="shared" si="209"/>
        <v>#DIV/0!</v>
      </c>
      <c r="P742" s="110" t="str">
        <f t="shared" si="5"/>
        <v>#DIV/0!</v>
      </c>
      <c r="Q742" s="109" t="str">
        <f t="shared" si="6"/>
        <v>#DIV/0!</v>
      </c>
      <c r="R742" s="111" t="str">
        <f t="shared" si="7"/>
        <v>#DIV/0!</v>
      </c>
      <c r="S742" s="122">
        <f t="shared" si="208"/>
        <v>0</v>
      </c>
      <c r="T742" s="113" t="str">
        <f t="shared" si="9"/>
        <v>#DIV/0!</v>
      </c>
      <c r="U742" s="172"/>
      <c r="V742" s="172"/>
      <c r="W742" s="172"/>
      <c r="X742" s="172"/>
      <c r="Y742" s="173"/>
      <c r="Z742" s="165"/>
      <c r="AA742" s="165"/>
    </row>
    <row r="743" hidden="1" outlineLevel="1">
      <c r="A743" s="165"/>
      <c r="B743" s="174"/>
      <c r="C743" s="100" t="s">
        <v>43</v>
      </c>
      <c r="D743" s="135">
        <v>290.85</v>
      </c>
      <c r="E743" s="401"/>
      <c r="F743" s="103">
        <v>3.0</v>
      </c>
      <c r="G743" s="103">
        <v>4.0</v>
      </c>
      <c r="H743" s="104">
        <f t="shared" si="1"/>
        <v>0.75</v>
      </c>
      <c r="I743" s="105">
        <f t="shared" si="2"/>
        <v>96.95</v>
      </c>
      <c r="J743" s="106">
        <f t="shared" si="3"/>
        <v>129.2666667</v>
      </c>
      <c r="K743" s="135">
        <v>46.25</v>
      </c>
      <c r="L743" s="103">
        <v>10206.0</v>
      </c>
      <c r="M743" s="103">
        <v>1.0</v>
      </c>
      <c r="N743" s="136">
        <v>210.95</v>
      </c>
      <c r="O743" s="109">
        <f t="shared" si="209"/>
        <v>0.2192462669</v>
      </c>
      <c r="P743" s="110">
        <f t="shared" si="5"/>
        <v>4.561081081</v>
      </c>
      <c r="Q743" s="109">
        <f t="shared" si="6"/>
        <v>0.1590166753</v>
      </c>
      <c r="R743" s="111">
        <f t="shared" si="7"/>
        <v>0.7252879491</v>
      </c>
      <c r="S743" s="137">
        <f t="shared" si="208"/>
        <v>79.9</v>
      </c>
      <c r="T743" s="113">
        <f t="shared" si="9"/>
        <v>46.25</v>
      </c>
      <c r="U743" s="172"/>
      <c r="V743" s="172"/>
      <c r="W743" s="172"/>
      <c r="X743" s="172"/>
      <c r="Y743" s="173"/>
      <c r="Z743" s="165"/>
      <c r="AA743" s="165"/>
    </row>
    <row r="744" hidden="1" outlineLevel="1">
      <c r="A744" s="165"/>
      <c r="B744" s="174"/>
      <c r="C744" s="100" t="s">
        <v>44</v>
      </c>
      <c r="D744" s="138">
        <v>0.0</v>
      </c>
      <c r="E744" s="401"/>
      <c r="F744" s="103">
        <v>0.0</v>
      </c>
      <c r="G744" s="103">
        <v>1.0</v>
      </c>
      <c r="H744" s="104">
        <f t="shared" si="1"/>
        <v>0</v>
      </c>
      <c r="I744" s="105" t="str">
        <f t="shared" si="2"/>
        <v>#DIV/0!</v>
      </c>
      <c r="J744" s="106" t="str">
        <f t="shared" si="3"/>
        <v>#DIV/0!</v>
      </c>
      <c r="K744" s="138">
        <v>115.46</v>
      </c>
      <c r="L744" s="103">
        <v>39634.0</v>
      </c>
      <c r="M744" s="103">
        <v>1.0</v>
      </c>
      <c r="N744" s="139">
        <v>44.95</v>
      </c>
      <c r="O744" s="109">
        <f t="shared" si="209"/>
        <v>2.568631813</v>
      </c>
      <c r="P744" s="110">
        <f t="shared" si="5"/>
        <v>0.389312316</v>
      </c>
      <c r="Q744" s="109" t="str">
        <f t="shared" si="6"/>
        <v>#DIV/0!</v>
      </c>
      <c r="R744" s="111" t="str">
        <f t="shared" si="7"/>
        <v>#DIV/0!</v>
      </c>
      <c r="S744" s="140">
        <f t="shared" si="208"/>
        <v>-44.95</v>
      </c>
      <c r="T744" s="113">
        <f t="shared" si="9"/>
        <v>115.46</v>
      </c>
      <c r="U744" s="172"/>
      <c r="V744" s="172"/>
      <c r="W744" s="172"/>
      <c r="X744" s="172"/>
      <c r="Y744" s="173"/>
      <c r="Z744" s="165"/>
      <c r="AA744" s="165"/>
    </row>
    <row r="745" hidden="1" outlineLevel="1">
      <c r="A745" s="192"/>
      <c r="B745" s="174"/>
      <c r="C745" s="142" t="s">
        <v>45</v>
      </c>
      <c r="D745" s="101">
        <v>59.9</v>
      </c>
      <c r="E745" s="401"/>
      <c r="F745" s="103">
        <v>2.0</v>
      </c>
      <c r="G745" s="103">
        <v>1.0</v>
      </c>
      <c r="H745" s="104">
        <f t="shared" si="1"/>
        <v>2</v>
      </c>
      <c r="I745" s="105">
        <f t="shared" si="2"/>
        <v>29.95</v>
      </c>
      <c r="J745" s="106">
        <f t="shared" si="3"/>
        <v>14.975</v>
      </c>
      <c r="K745" s="101">
        <v>0.0</v>
      </c>
      <c r="L745" s="103">
        <v>0.0</v>
      </c>
      <c r="M745" s="103">
        <v>0.0</v>
      </c>
      <c r="N745" s="108">
        <v>0.0</v>
      </c>
      <c r="O745" s="109" t="str">
        <f t="shared" si="209"/>
        <v>#DIV/0!</v>
      </c>
      <c r="P745" s="110" t="str">
        <f t="shared" si="5"/>
        <v>#DIV/0!</v>
      </c>
      <c r="Q745" s="109">
        <f t="shared" si="6"/>
        <v>0</v>
      </c>
      <c r="R745" s="111">
        <f t="shared" si="7"/>
        <v>0</v>
      </c>
      <c r="S745" s="112">
        <f t="shared" si="208"/>
        <v>59.9</v>
      </c>
      <c r="T745" s="113" t="str">
        <f t="shared" si="9"/>
        <v>#DIV/0!</v>
      </c>
      <c r="U745" s="193"/>
      <c r="V745" s="193"/>
      <c r="W745" s="193"/>
      <c r="X745" s="194"/>
      <c r="Y745" s="195"/>
      <c r="Z745" s="165"/>
      <c r="AA745" s="165"/>
    </row>
    <row r="746" hidden="1" outlineLevel="1">
      <c r="A746" s="165"/>
      <c r="B746" s="174"/>
      <c r="C746" s="100" t="s">
        <v>46</v>
      </c>
      <c r="D746" s="146">
        <v>304.65</v>
      </c>
      <c r="E746" s="401"/>
      <c r="F746" s="103">
        <v>7.0</v>
      </c>
      <c r="G746" s="103">
        <v>12.0</v>
      </c>
      <c r="H746" s="104">
        <f t="shared" si="1"/>
        <v>0.5833333333</v>
      </c>
      <c r="I746" s="105">
        <f t="shared" si="2"/>
        <v>43.52142857</v>
      </c>
      <c r="J746" s="106">
        <f t="shared" si="3"/>
        <v>74.60816327</v>
      </c>
      <c r="K746" s="146">
        <v>103.02</v>
      </c>
      <c r="L746" s="103">
        <v>18013.0</v>
      </c>
      <c r="M746" s="103">
        <v>4.0</v>
      </c>
      <c r="N746" s="147">
        <v>130.85</v>
      </c>
      <c r="O746" s="109">
        <f t="shared" si="209"/>
        <v>0.787313718</v>
      </c>
      <c r="P746" s="110">
        <f t="shared" si="5"/>
        <v>1.27014172</v>
      </c>
      <c r="Q746" s="109">
        <f t="shared" si="6"/>
        <v>0.3381585426</v>
      </c>
      <c r="R746" s="111">
        <f t="shared" si="7"/>
        <v>0.4295092729</v>
      </c>
      <c r="S746" s="112">
        <f t="shared" si="208"/>
        <v>173.8</v>
      </c>
      <c r="T746" s="113">
        <f t="shared" si="9"/>
        <v>25.755</v>
      </c>
      <c r="U746" s="172"/>
      <c r="V746" s="172"/>
      <c r="W746" s="172"/>
      <c r="X746" s="172"/>
      <c r="Y746" s="173"/>
      <c r="Z746" s="165"/>
      <c r="AA746" s="165"/>
    </row>
    <row r="747" hidden="1" outlineLevel="1">
      <c r="A747" s="148" t="str">
        <f t="shared" ref="A747:A748" si="210">iferror(if(B747&gt;0,month(B747)&amp;"-"&amp;year(B747),B747),)</f>
        <v>10-2025</v>
      </c>
      <c r="B747" s="99">
        <v>45934.0</v>
      </c>
      <c r="C747" s="100" t="s">
        <v>49</v>
      </c>
      <c r="D747" s="146">
        <v>0.0</v>
      </c>
      <c r="E747" s="401"/>
      <c r="F747" s="103">
        <v>0.0</v>
      </c>
      <c r="G747" s="103">
        <v>0.0</v>
      </c>
      <c r="H747" s="104" t="str">
        <f t="shared" si="1"/>
        <v>#DIV/0!</v>
      </c>
      <c r="I747" s="105" t="str">
        <f t="shared" si="2"/>
        <v>#DIV/0!</v>
      </c>
      <c r="J747" s="106" t="str">
        <f t="shared" si="3"/>
        <v>#DIV/0!</v>
      </c>
      <c r="K747" s="146">
        <v>8.59</v>
      </c>
      <c r="L747" s="103">
        <v>7794.0</v>
      </c>
      <c r="M747" s="103">
        <v>0.0</v>
      </c>
      <c r="N747" s="147">
        <v>0.0</v>
      </c>
      <c r="O747" s="109" t="str">
        <f t="shared" si="209"/>
        <v>#DIV/0!</v>
      </c>
      <c r="P747" s="110">
        <f t="shared" si="5"/>
        <v>0</v>
      </c>
      <c r="Q747" s="109" t="str">
        <f t="shared" si="6"/>
        <v>#DIV/0!</v>
      </c>
      <c r="R747" s="111" t="str">
        <f t="shared" si="7"/>
        <v>#DIV/0!</v>
      </c>
      <c r="S747" s="112">
        <f t="shared" si="208"/>
        <v>0</v>
      </c>
      <c r="T747" s="113" t="str">
        <f t="shared" si="9"/>
        <v>#DIV/0!</v>
      </c>
      <c r="U747" s="172"/>
      <c r="V747" s="172"/>
      <c r="W747" s="172"/>
      <c r="X747" s="172"/>
      <c r="Y747" s="173"/>
      <c r="Z747" s="165"/>
      <c r="AA747" s="165"/>
    </row>
    <row r="748" collapsed="1">
      <c r="A748" s="165" t="str">
        <f t="shared" si="210"/>
        <v/>
      </c>
      <c r="B748" s="80" t="s">
        <v>127</v>
      </c>
      <c r="C748" s="201"/>
      <c r="D748" s="151">
        <f>SUM(D733:D747)</f>
        <v>8907.61</v>
      </c>
      <c r="E748" s="400"/>
      <c r="F748" s="153">
        <f t="shared" ref="F748:G748" si="211">SUM(F733:F747)</f>
        <v>101</v>
      </c>
      <c r="G748" s="153">
        <f t="shared" si="211"/>
        <v>110</v>
      </c>
      <c r="H748" s="154">
        <f t="shared" si="1"/>
        <v>0.9181818182</v>
      </c>
      <c r="I748" s="155">
        <f t="shared" si="2"/>
        <v>88.19415842</v>
      </c>
      <c r="J748" s="156">
        <f t="shared" si="3"/>
        <v>96.05304382</v>
      </c>
      <c r="K748" s="151">
        <f t="shared" ref="K748:N748" si="212">SUM(K733:K747)</f>
        <v>2022.81</v>
      </c>
      <c r="L748" s="153">
        <f t="shared" si="212"/>
        <v>462675</v>
      </c>
      <c r="M748" s="153">
        <f t="shared" si="212"/>
        <v>37</v>
      </c>
      <c r="N748" s="157">
        <f t="shared" si="212"/>
        <v>4435.8</v>
      </c>
      <c r="O748" s="158">
        <f t="shared" si="209"/>
        <v>0.4560192074</v>
      </c>
      <c r="P748" s="159">
        <f t="shared" si="5"/>
        <v>2.192890089</v>
      </c>
      <c r="Q748" s="158">
        <f t="shared" si="6"/>
        <v>0.2270878496</v>
      </c>
      <c r="R748" s="160">
        <f t="shared" si="7"/>
        <v>0.4979786946</v>
      </c>
      <c r="S748" s="161">
        <f>SUM(S733:S747)</f>
        <v>4471.81</v>
      </c>
      <c r="T748" s="162">
        <f t="shared" si="9"/>
        <v>54.67054054</v>
      </c>
      <c r="U748" s="163">
        <f>IFERROR((D748-D246)/D748,)</f>
        <v>0.1488940355</v>
      </c>
      <c r="V748" s="163">
        <f>IFERROR((F748-F246)/F748,)</f>
        <v>0.06930693069</v>
      </c>
      <c r="W748" s="398" t="str">
        <f>IFERROR((D748-monthly_reporting_2021!E539)/D748, )</f>
        <v/>
      </c>
      <c r="X748" s="398" t="str">
        <f>IFERROR((F748-monthly_reporting_2021!F539)/F748, )</f>
        <v/>
      </c>
      <c r="Y748" s="165"/>
      <c r="Z748" s="165"/>
      <c r="AA748" s="165"/>
    </row>
    <row r="749" hidden="1" outlineLevel="1">
      <c r="A749" s="165"/>
      <c r="B749" s="99">
        <v>45935.0</v>
      </c>
      <c r="C749" s="100" t="s">
        <v>32</v>
      </c>
      <c r="D749" s="101">
        <v>16167.71</v>
      </c>
      <c r="E749" s="401"/>
      <c r="F749" s="103">
        <v>57.0</v>
      </c>
      <c r="G749" s="103">
        <v>47.0</v>
      </c>
      <c r="H749" s="104">
        <f t="shared" si="1"/>
        <v>1.212765957</v>
      </c>
      <c r="I749" s="105">
        <f t="shared" si="2"/>
        <v>283.6440351</v>
      </c>
      <c r="J749" s="106">
        <f t="shared" si="3"/>
        <v>233.8819237</v>
      </c>
      <c r="K749" s="107">
        <v>1721.58</v>
      </c>
      <c r="L749" s="103">
        <v>269717.0</v>
      </c>
      <c r="M749" s="103">
        <v>19.0</v>
      </c>
      <c r="N749" s="108">
        <v>3568.04</v>
      </c>
      <c r="O749" s="109">
        <f t="shared" si="209"/>
        <v>0.4825001962</v>
      </c>
      <c r="P749" s="110">
        <f t="shared" si="5"/>
        <v>2.072538017</v>
      </c>
      <c r="Q749" s="109">
        <f t="shared" si="6"/>
        <v>0.1064826126</v>
      </c>
      <c r="R749" s="111">
        <f t="shared" si="7"/>
        <v>0.2206892627</v>
      </c>
      <c r="S749" s="112">
        <f t="shared" ref="S749:S763" si="213">D749-N749</f>
        <v>12599.67</v>
      </c>
      <c r="T749" s="113">
        <f t="shared" si="9"/>
        <v>90.60947368</v>
      </c>
      <c r="U749" s="172"/>
      <c r="V749" s="172"/>
      <c r="W749" s="172"/>
      <c r="X749" s="172"/>
      <c r="Y749" s="173"/>
      <c r="Z749" s="165"/>
      <c r="AA749" s="165"/>
    </row>
    <row r="750" hidden="1" outlineLevel="1">
      <c r="A750" s="165"/>
      <c r="B750" s="174"/>
      <c r="C750" s="100" t="s">
        <v>33</v>
      </c>
      <c r="D750" s="117">
        <v>29945.6</v>
      </c>
      <c r="E750" s="401"/>
      <c r="F750" s="103">
        <v>137.0</v>
      </c>
      <c r="G750" s="103">
        <v>145.0</v>
      </c>
      <c r="H750" s="104">
        <f t="shared" si="1"/>
        <v>0.9448275862</v>
      </c>
      <c r="I750" s="105">
        <f t="shared" si="2"/>
        <v>218.5810219</v>
      </c>
      <c r="J750" s="106">
        <f t="shared" si="3"/>
        <v>231.3448772</v>
      </c>
      <c r="K750" s="117">
        <v>764.67</v>
      </c>
      <c r="L750" s="103">
        <v>129744.0</v>
      </c>
      <c r="M750" s="103">
        <v>47.0</v>
      </c>
      <c r="N750" s="118">
        <v>7857.13</v>
      </c>
      <c r="O750" s="109">
        <f t="shared" si="209"/>
        <v>0.09732179562</v>
      </c>
      <c r="P750" s="110">
        <f t="shared" si="5"/>
        <v>10.27519061</v>
      </c>
      <c r="Q750" s="109">
        <f t="shared" si="6"/>
        <v>0.02553530402</v>
      </c>
      <c r="R750" s="111">
        <f t="shared" si="7"/>
        <v>0.2623801159</v>
      </c>
      <c r="S750" s="119">
        <f t="shared" si="213"/>
        <v>22088.47</v>
      </c>
      <c r="T750" s="113">
        <f t="shared" si="9"/>
        <v>16.26957447</v>
      </c>
      <c r="U750" s="172"/>
      <c r="V750" s="172"/>
      <c r="W750" s="172"/>
      <c r="X750" s="172"/>
      <c r="Y750" s="173"/>
      <c r="Z750" s="165"/>
      <c r="AA750" s="165"/>
    </row>
    <row r="751" hidden="1" outlineLevel="1">
      <c r="A751" s="165"/>
      <c r="B751" s="174"/>
      <c r="C751" s="100" t="s">
        <v>34</v>
      </c>
      <c r="D751" s="120">
        <v>0.0</v>
      </c>
      <c r="E751" s="401"/>
      <c r="F751" s="103">
        <v>0.0</v>
      </c>
      <c r="G751" s="103">
        <v>0.0</v>
      </c>
      <c r="H751" s="104" t="str">
        <f t="shared" si="1"/>
        <v>#DIV/0!</v>
      </c>
      <c r="I751" s="105" t="str">
        <f t="shared" si="2"/>
        <v>#DIV/0!</v>
      </c>
      <c r="J751" s="106" t="str">
        <f t="shared" si="3"/>
        <v>#DIV/0!</v>
      </c>
      <c r="K751" s="120">
        <v>11.43</v>
      </c>
      <c r="L751" s="103">
        <v>368.0</v>
      </c>
      <c r="M751" s="103">
        <v>0.0</v>
      </c>
      <c r="N751" s="121">
        <v>0.0</v>
      </c>
      <c r="O751" s="109" t="str">
        <f>(K751/N751)</f>
        <v>#DIV/0!</v>
      </c>
      <c r="P751" s="110">
        <f t="shared" si="5"/>
        <v>0</v>
      </c>
      <c r="Q751" s="109" t="str">
        <f t="shared" si="6"/>
        <v>#DIV/0!</v>
      </c>
      <c r="R751" s="111" t="str">
        <f t="shared" si="7"/>
        <v>#DIV/0!</v>
      </c>
      <c r="S751" s="122">
        <f t="shared" si="213"/>
        <v>0</v>
      </c>
      <c r="T751" s="113" t="str">
        <f t="shared" si="9"/>
        <v>#DIV/0!</v>
      </c>
      <c r="U751" s="172"/>
      <c r="V751" s="172"/>
      <c r="W751" s="172"/>
      <c r="X751" s="172"/>
      <c r="Y751" s="173"/>
      <c r="Z751" s="165"/>
      <c r="AA751" s="165"/>
    </row>
    <row r="752" hidden="1" outlineLevel="1">
      <c r="A752" s="165"/>
      <c r="B752" s="174"/>
      <c r="C752" s="100" t="s">
        <v>35</v>
      </c>
      <c r="D752" s="120">
        <v>910.09</v>
      </c>
      <c r="E752" s="401"/>
      <c r="F752" s="103">
        <v>21.0</v>
      </c>
      <c r="G752" s="103">
        <v>17.0</v>
      </c>
      <c r="H752" s="104">
        <f t="shared" si="1"/>
        <v>1.235294118</v>
      </c>
      <c r="I752" s="105">
        <f t="shared" si="2"/>
        <v>43.33761905</v>
      </c>
      <c r="J752" s="106">
        <f t="shared" si="3"/>
        <v>35.08283447</v>
      </c>
      <c r="K752" s="120">
        <v>259.63</v>
      </c>
      <c r="L752" s="103">
        <v>24233.0</v>
      </c>
      <c r="M752" s="103">
        <v>11.0</v>
      </c>
      <c r="N752" s="121">
        <v>470.63</v>
      </c>
      <c r="O752" s="109">
        <f t="shared" ref="O752:O766" si="214">K752/N752</f>
        <v>0.5516647897</v>
      </c>
      <c r="P752" s="110">
        <f t="shared" si="5"/>
        <v>1.812694989</v>
      </c>
      <c r="Q752" s="109">
        <f t="shared" si="6"/>
        <v>0.2852794779</v>
      </c>
      <c r="R752" s="111">
        <f t="shared" si="7"/>
        <v>0.51712468</v>
      </c>
      <c r="S752" s="122">
        <f t="shared" si="213"/>
        <v>439.46</v>
      </c>
      <c r="T752" s="113">
        <f t="shared" si="9"/>
        <v>23.60272727</v>
      </c>
      <c r="U752" s="172"/>
      <c r="V752" s="172"/>
      <c r="W752" s="172"/>
      <c r="X752" s="172"/>
      <c r="Y752" s="173"/>
      <c r="Z752" s="165"/>
      <c r="AA752" s="165"/>
    </row>
    <row r="753" hidden="1" outlineLevel="1">
      <c r="A753" s="165"/>
      <c r="B753" s="174"/>
      <c r="C753" s="100" t="s">
        <v>36</v>
      </c>
      <c r="D753" s="120">
        <v>0.0</v>
      </c>
      <c r="E753" s="401"/>
      <c r="F753" s="103">
        <v>0.0</v>
      </c>
      <c r="G753" s="103">
        <v>0.0</v>
      </c>
      <c r="H753" s="104" t="str">
        <f t="shared" si="1"/>
        <v>#DIV/0!</v>
      </c>
      <c r="I753" s="105" t="str">
        <f t="shared" si="2"/>
        <v>#DIV/0!</v>
      </c>
      <c r="J753" s="106" t="str">
        <f t="shared" si="3"/>
        <v>#DIV/0!</v>
      </c>
      <c r="K753" s="120">
        <v>68.62</v>
      </c>
      <c r="L753" s="103">
        <v>16933.0</v>
      </c>
      <c r="M753" s="103">
        <v>4.0</v>
      </c>
      <c r="N753" s="121">
        <v>155.88</v>
      </c>
      <c r="O753" s="109">
        <f t="shared" si="214"/>
        <v>0.4402104183</v>
      </c>
      <c r="P753" s="110">
        <f t="shared" si="5"/>
        <v>2.271640921</v>
      </c>
      <c r="Q753" s="109" t="str">
        <f t="shared" si="6"/>
        <v>#DIV/0!</v>
      </c>
      <c r="R753" s="111" t="str">
        <f t="shared" si="7"/>
        <v>#DIV/0!</v>
      </c>
      <c r="S753" s="122">
        <f t="shared" si="213"/>
        <v>-155.88</v>
      </c>
      <c r="T753" s="113">
        <f t="shared" si="9"/>
        <v>17.155</v>
      </c>
      <c r="U753" s="172"/>
      <c r="V753" s="172"/>
      <c r="W753" s="172"/>
      <c r="X753" s="172"/>
      <c r="Y753" s="173"/>
      <c r="Z753" s="165"/>
      <c r="AA753" s="165"/>
    </row>
    <row r="754" hidden="1" outlineLevel="1">
      <c r="A754" s="165"/>
      <c r="B754" s="99" t="s">
        <v>37</v>
      </c>
      <c r="C754" s="100" t="s">
        <v>38</v>
      </c>
      <c r="D754" s="123">
        <v>446.08</v>
      </c>
      <c r="E754" s="401"/>
      <c r="F754" s="103">
        <v>10.0</v>
      </c>
      <c r="G754" s="103">
        <v>10.0</v>
      </c>
      <c r="H754" s="104">
        <f t="shared" si="1"/>
        <v>1</v>
      </c>
      <c r="I754" s="105">
        <f t="shared" si="2"/>
        <v>44.608</v>
      </c>
      <c r="J754" s="106">
        <f t="shared" si="3"/>
        <v>44.608</v>
      </c>
      <c r="K754" s="123">
        <v>93.55</v>
      </c>
      <c r="L754" s="103">
        <v>17224.0</v>
      </c>
      <c r="M754" s="103">
        <v>2.0</v>
      </c>
      <c r="N754" s="124">
        <v>59.9</v>
      </c>
      <c r="O754" s="109">
        <f t="shared" si="214"/>
        <v>1.561769616</v>
      </c>
      <c r="P754" s="110">
        <f t="shared" si="5"/>
        <v>0.6402993052</v>
      </c>
      <c r="Q754" s="109">
        <f t="shared" si="6"/>
        <v>0.2097157461</v>
      </c>
      <c r="R754" s="111">
        <f t="shared" si="7"/>
        <v>0.1342808465</v>
      </c>
      <c r="S754" s="125">
        <f t="shared" si="213"/>
        <v>386.18</v>
      </c>
      <c r="T754" s="113">
        <f t="shared" si="9"/>
        <v>46.775</v>
      </c>
      <c r="U754" s="172"/>
      <c r="V754" s="172"/>
      <c r="W754" s="172"/>
      <c r="X754" s="172"/>
      <c r="Y754" s="173"/>
      <c r="Z754" s="165"/>
      <c r="AA754" s="165"/>
    </row>
    <row r="755" hidden="1" outlineLevel="1">
      <c r="A755" s="165"/>
      <c r="B755" s="174"/>
      <c r="C755" s="100" t="s">
        <v>39</v>
      </c>
      <c r="D755" s="126">
        <v>0.0</v>
      </c>
      <c r="E755" s="401"/>
      <c r="F755" s="103">
        <v>0.0</v>
      </c>
      <c r="G755" s="103">
        <v>0.0</v>
      </c>
      <c r="H755" s="104" t="str">
        <f t="shared" si="1"/>
        <v>#DIV/0!</v>
      </c>
      <c r="I755" s="105" t="str">
        <f t="shared" si="2"/>
        <v>#DIV/0!</v>
      </c>
      <c r="J755" s="106" t="str">
        <f t="shared" si="3"/>
        <v>#DIV/0!</v>
      </c>
      <c r="K755" s="126">
        <v>0.0</v>
      </c>
      <c r="L755" s="103">
        <v>0.0</v>
      </c>
      <c r="M755" s="103">
        <v>0.0</v>
      </c>
      <c r="N755" s="127">
        <v>0.0</v>
      </c>
      <c r="O755" s="109" t="str">
        <f t="shared" si="214"/>
        <v>#DIV/0!</v>
      </c>
      <c r="P755" s="110" t="str">
        <f t="shared" si="5"/>
        <v>#DIV/0!</v>
      </c>
      <c r="Q755" s="109" t="str">
        <f t="shared" si="6"/>
        <v>#DIV/0!</v>
      </c>
      <c r="R755" s="111" t="str">
        <f t="shared" si="7"/>
        <v>#DIV/0!</v>
      </c>
      <c r="S755" s="128">
        <f t="shared" si="213"/>
        <v>0</v>
      </c>
      <c r="T755" s="113" t="str">
        <f t="shared" si="9"/>
        <v>#DIV/0!</v>
      </c>
      <c r="U755" s="172"/>
      <c r="V755" s="172"/>
      <c r="W755" s="172"/>
      <c r="X755" s="172"/>
      <c r="Y755" s="173"/>
      <c r="Z755" s="165"/>
      <c r="AA755" s="165"/>
    </row>
    <row r="756" hidden="1" outlineLevel="1">
      <c r="A756" s="165"/>
      <c r="B756" s="174"/>
      <c r="C756" s="100" t="s">
        <v>40</v>
      </c>
      <c r="D756" s="129">
        <v>0.0</v>
      </c>
      <c r="E756" s="401"/>
      <c r="F756" s="103">
        <v>0.0</v>
      </c>
      <c r="G756" s="103">
        <v>0.0</v>
      </c>
      <c r="H756" s="104" t="str">
        <f t="shared" si="1"/>
        <v>#DIV/0!</v>
      </c>
      <c r="I756" s="105" t="str">
        <f t="shared" si="2"/>
        <v>#DIV/0!</v>
      </c>
      <c r="J756" s="106" t="str">
        <f t="shared" si="3"/>
        <v>#DIV/0!</v>
      </c>
      <c r="K756" s="129">
        <v>0.0</v>
      </c>
      <c r="L756" s="103">
        <v>0.0</v>
      </c>
      <c r="M756" s="103">
        <v>0.0</v>
      </c>
      <c r="N756" s="130">
        <v>0.0</v>
      </c>
      <c r="O756" s="109" t="str">
        <f t="shared" si="214"/>
        <v>#DIV/0!</v>
      </c>
      <c r="P756" s="110" t="str">
        <f t="shared" si="5"/>
        <v>#DIV/0!</v>
      </c>
      <c r="Q756" s="109" t="str">
        <f t="shared" si="6"/>
        <v>#DIV/0!</v>
      </c>
      <c r="R756" s="111" t="str">
        <f t="shared" si="7"/>
        <v>#DIV/0!</v>
      </c>
      <c r="S756" s="131">
        <f t="shared" si="213"/>
        <v>0</v>
      </c>
      <c r="T756" s="113" t="str">
        <f t="shared" si="9"/>
        <v>#DIV/0!</v>
      </c>
      <c r="U756" s="172"/>
      <c r="V756" s="172"/>
      <c r="W756" s="172"/>
      <c r="X756" s="172"/>
      <c r="Y756" s="173"/>
      <c r="Z756" s="165"/>
      <c r="AA756" s="165"/>
    </row>
    <row r="757" hidden="1" outlineLevel="1">
      <c r="A757" s="165"/>
      <c r="B757" s="174"/>
      <c r="C757" s="100" t="s">
        <v>41</v>
      </c>
      <c r="D757" s="132">
        <v>3081.69</v>
      </c>
      <c r="E757" s="401"/>
      <c r="F757" s="103">
        <v>44.0</v>
      </c>
      <c r="G757" s="103">
        <v>42.0</v>
      </c>
      <c r="H757" s="104">
        <f t="shared" si="1"/>
        <v>1.047619048</v>
      </c>
      <c r="I757" s="105">
        <f t="shared" si="2"/>
        <v>70.03840909</v>
      </c>
      <c r="J757" s="106">
        <f t="shared" si="3"/>
        <v>66.85484504</v>
      </c>
      <c r="K757" s="132">
        <v>140.17</v>
      </c>
      <c r="L757" s="103">
        <v>24719.0</v>
      </c>
      <c r="M757" s="103">
        <v>16.0</v>
      </c>
      <c r="N757" s="133">
        <v>1011.21</v>
      </c>
      <c r="O757" s="109">
        <f t="shared" si="214"/>
        <v>0.1386161134</v>
      </c>
      <c r="P757" s="110">
        <f t="shared" si="5"/>
        <v>7.21416851</v>
      </c>
      <c r="Q757" s="109">
        <f t="shared" si="6"/>
        <v>0.0454847827</v>
      </c>
      <c r="R757" s="111">
        <f t="shared" si="7"/>
        <v>0.328134887</v>
      </c>
      <c r="S757" s="134">
        <f t="shared" si="213"/>
        <v>2070.48</v>
      </c>
      <c r="T757" s="113">
        <f t="shared" si="9"/>
        <v>8.760625</v>
      </c>
      <c r="U757" s="172"/>
      <c r="V757" s="172"/>
      <c r="W757" s="172"/>
      <c r="X757" s="172"/>
      <c r="Y757" s="173"/>
      <c r="Z757" s="165"/>
      <c r="AA757" s="165"/>
    </row>
    <row r="758" hidden="1" outlineLevel="1">
      <c r="A758" s="165"/>
      <c r="B758" s="174"/>
      <c r="C758" s="100" t="s">
        <v>42</v>
      </c>
      <c r="D758" s="120">
        <v>0.0</v>
      </c>
      <c r="E758" s="401"/>
      <c r="F758" s="103">
        <v>0.0</v>
      </c>
      <c r="G758" s="103">
        <v>0.0</v>
      </c>
      <c r="H758" s="104" t="str">
        <f t="shared" si="1"/>
        <v>#DIV/0!</v>
      </c>
      <c r="I758" s="105" t="str">
        <f t="shared" si="2"/>
        <v>#DIV/0!</v>
      </c>
      <c r="J758" s="106" t="str">
        <f t="shared" si="3"/>
        <v>#DIV/0!</v>
      </c>
      <c r="K758" s="120">
        <v>7.78</v>
      </c>
      <c r="L758" s="103">
        <v>4585.0</v>
      </c>
      <c r="M758" s="103">
        <v>0.0</v>
      </c>
      <c r="N758" s="121">
        <v>0.0</v>
      </c>
      <c r="O758" s="109" t="str">
        <f t="shared" si="214"/>
        <v>#DIV/0!</v>
      </c>
      <c r="P758" s="110">
        <f t="shared" si="5"/>
        <v>0</v>
      </c>
      <c r="Q758" s="109" t="str">
        <f t="shared" si="6"/>
        <v>#DIV/0!</v>
      </c>
      <c r="R758" s="111" t="str">
        <f t="shared" si="7"/>
        <v>#DIV/0!</v>
      </c>
      <c r="S758" s="122">
        <f t="shared" si="213"/>
        <v>0</v>
      </c>
      <c r="T758" s="113" t="str">
        <f t="shared" si="9"/>
        <v>#DIV/0!</v>
      </c>
      <c r="U758" s="172"/>
      <c r="V758" s="172"/>
      <c r="W758" s="172"/>
      <c r="X758" s="172"/>
      <c r="Y758" s="173"/>
      <c r="Z758" s="165"/>
      <c r="AA758" s="165"/>
    </row>
    <row r="759" hidden="1" outlineLevel="1">
      <c r="A759" s="165"/>
      <c r="B759" s="174"/>
      <c r="C759" s="100" t="s">
        <v>43</v>
      </c>
      <c r="D759" s="135">
        <v>1147.67</v>
      </c>
      <c r="E759" s="401"/>
      <c r="F759" s="103">
        <v>8.0</v>
      </c>
      <c r="G759" s="103">
        <v>8.0</v>
      </c>
      <c r="H759" s="104">
        <f t="shared" si="1"/>
        <v>1</v>
      </c>
      <c r="I759" s="105">
        <f t="shared" si="2"/>
        <v>143.45875</v>
      </c>
      <c r="J759" s="106">
        <f t="shared" si="3"/>
        <v>143.45875</v>
      </c>
      <c r="K759" s="135">
        <v>62.81</v>
      </c>
      <c r="L759" s="103">
        <v>13306.0</v>
      </c>
      <c r="M759" s="103">
        <v>1.0</v>
      </c>
      <c r="N759" s="136">
        <v>168.76</v>
      </c>
      <c r="O759" s="109">
        <f t="shared" si="214"/>
        <v>0.372185352</v>
      </c>
      <c r="P759" s="110">
        <f t="shared" si="5"/>
        <v>2.686833307</v>
      </c>
      <c r="Q759" s="109">
        <f t="shared" si="6"/>
        <v>0.05472827555</v>
      </c>
      <c r="R759" s="111">
        <f t="shared" si="7"/>
        <v>0.1470457536</v>
      </c>
      <c r="S759" s="137">
        <f t="shared" si="213"/>
        <v>978.91</v>
      </c>
      <c r="T759" s="113">
        <f t="shared" si="9"/>
        <v>62.81</v>
      </c>
      <c r="U759" s="172"/>
      <c r="V759" s="172"/>
      <c r="W759" s="172"/>
      <c r="X759" s="172"/>
      <c r="Y759" s="173"/>
      <c r="Z759" s="165"/>
      <c r="AA759" s="165"/>
    </row>
    <row r="760" hidden="1" outlineLevel="1">
      <c r="A760" s="165"/>
      <c r="B760" s="174"/>
      <c r="C760" s="100" t="s">
        <v>44</v>
      </c>
      <c r="D760" s="138">
        <v>332.64</v>
      </c>
      <c r="E760" s="401"/>
      <c r="F760" s="103">
        <v>12.0</v>
      </c>
      <c r="G760" s="103">
        <v>12.0</v>
      </c>
      <c r="H760" s="104">
        <f t="shared" si="1"/>
        <v>1</v>
      </c>
      <c r="I760" s="105">
        <f t="shared" si="2"/>
        <v>27.72</v>
      </c>
      <c r="J760" s="106">
        <f t="shared" si="3"/>
        <v>27.72</v>
      </c>
      <c r="K760" s="138">
        <v>120.16</v>
      </c>
      <c r="L760" s="103">
        <v>49339.0</v>
      </c>
      <c r="M760" s="103">
        <v>8.0</v>
      </c>
      <c r="N760" s="139">
        <v>224.76</v>
      </c>
      <c r="O760" s="109">
        <f t="shared" si="214"/>
        <v>0.5346147001</v>
      </c>
      <c r="P760" s="110">
        <f t="shared" si="5"/>
        <v>1.870505992</v>
      </c>
      <c r="Q760" s="109">
        <f t="shared" si="6"/>
        <v>0.3612313612</v>
      </c>
      <c r="R760" s="111">
        <f t="shared" si="7"/>
        <v>0.6756854257</v>
      </c>
      <c r="S760" s="140">
        <f t="shared" si="213"/>
        <v>107.88</v>
      </c>
      <c r="T760" s="113">
        <f t="shared" si="9"/>
        <v>15.02</v>
      </c>
      <c r="U760" s="172"/>
      <c r="V760" s="172"/>
      <c r="W760" s="172"/>
      <c r="X760" s="172"/>
      <c r="Y760" s="173"/>
      <c r="Z760" s="165"/>
      <c r="AA760" s="165"/>
    </row>
    <row r="761" hidden="1" outlineLevel="1">
      <c r="A761" s="192"/>
      <c r="B761" s="174"/>
      <c r="C761" s="142" t="s">
        <v>45</v>
      </c>
      <c r="D761" s="101">
        <v>89.85</v>
      </c>
      <c r="E761" s="401"/>
      <c r="F761" s="103">
        <v>3.0</v>
      </c>
      <c r="G761" s="103">
        <v>2.0</v>
      </c>
      <c r="H761" s="104">
        <f t="shared" si="1"/>
        <v>1.5</v>
      </c>
      <c r="I761" s="105">
        <f t="shared" si="2"/>
        <v>29.95</v>
      </c>
      <c r="J761" s="106">
        <f t="shared" si="3"/>
        <v>19.96666667</v>
      </c>
      <c r="K761" s="101">
        <v>0.0</v>
      </c>
      <c r="L761" s="103">
        <v>0.0</v>
      </c>
      <c r="M761" s="103">
        <v>0.0</v>
      </c>
      <c r="N761" s="108">
        <v>0.0</v>
      </c>
      <c r="O761" s="109" t="str">
        <f t="shared" si="214"/>
        <v>#DIV/0!</v>
      </c>
      <c r="P761" s="110" t="str">
        <f t="shared" si="5"/>
        <v>#DIV/0!</v>
      </c>
      <c r="Q761" s="109">
        <f t="shared" si="6"/>
        <v>0</v>
      </c>
      <c r="R761" s="111">
        <f t="shared" si="7"/>
        <v>0</v>
      </c>
      <c r="S761" s="112">
        <f t="shared" si="213"/>
        <v>89.85</v>
      </c>
      <c r="T761" s="113" t="str">
        <f t="shared" si="9"/>
        <v>#DIV/0!</v>
      </c>
      <c r="U761" s="193"/>
      <c r="V761" s="193"/>
      <c r="W761" s="193"/>
      <c r="X761" s="194"/>
      <c r="Y761" s="195"/>
      <c r="Z761" s="165"/>
      <c r="AA761" s="165"/>
    </row>
    <row r="762" hidden="1" outlineLevel="1">
      <c r="A762" s="165"/>
      <c r="B762" s="174"/>
      <c r="C762" s="100" t="s">
        <v>46</v>
      </c>
      <c r="D762" s="146">
        <v>313.58</v>
      </c>
      <c r="E762" s="401"/>
      <c r="F762" s="103">
        <v>10.0</v>
      </c>
      <c r="G762" s="103">
        <v>11.0</v>
      </c>
      <c r="H762" s="104">
        <f t="shared" si="1"/>
        <v>0.9090909091</v>
      </c>
      <c r="I762" s="105">
        <f t="shared" si="2"/>
        <v>31.358</v>
      </c>
      <c r="J762" s="106">
        <f t="shared" si="3"/>
        <v>34.4938</v>
      </c>
      <c r="K762" s="146">
        <v>13.8</v>
      </c>
      <c r="L762" s="103">
        <v>3675.0</v>
      </c>
      <c r="M762" s="103">
        <v>1.0</v>
      </c>
      <c r="N762" s="147">
        <v>30.07</v>
      </c>
      <c r="O762" s="109">
        <f t="shared" si="214"/>
        <v>0.4589291653</v>
      </c>
      <c r="P762" s="110">
        <f t="shared" si="5"/>
        <v>2.178985507</v>
      </c>
      <c r="Q762" s="109">
        <f t="shared" si="6"/>
        <v>0.04400790867</v>
      </c>
      <c r="R762" s="111">
        <f t="shared" si="7"/>
        <v>0.09589259519</v>
      </c>
      <c r="S762" s="112">
        <f t="shared" si="213"/>
        <v>283.51</v>
      </c>
      <c r="T762" s="113">
        <f t="shared" si="9"/>
        <v>13.8</v>
      </c>
      <c r="U762" s="172"/>
      <c r="V762" s="172"/>
      <c r="W762" s="172"/>
      <c r="X762" s="172"/>
      <c r="Y762" s="173"/>
      <c r="Z762" s="165"/>
      <c r="AA762" s="165"/>
    </row>
    <row r="763" hidden="1" outlineLevel="1">
      <c r="A763" s="148" t="str">
        <f t="shared" ref="A763:A764" si="215">iferror(if(B763&gt;0,month(B763)&amp;"-"&amp;year(B763),B763),)</f>
        <v>10-2025</v>
      </c>
      <c r="B763" s="99">
        <v>45941.0</v>
      </c>
      <c r="C763" s="100" t="s">
        <v>49</v>
      </c>
      <c r="D763" s="146">
        <v>0.0</v>
      </c>
      <c r="E763" s="401"/>
      <c r="F763" s="103">
        <v>0.0</v>
      </c>
      <c r="G763" s="103">
        <v>0.0</v>
      </c>
      <c r="H763" s="104" t="str">
        <f t="shared" si="1"/>
        <v>#DIV/0!</v>
      </c>
      <c r="I763" s="105" t="str">
        <f t="shared" si="2"/>
        <v>#DIV/0!</v>
      </c>
      <c r="J763" s="106" t="str">
        <f t="shared" si="3"/>
        <v>#DIV/0!</v>
      </c>
      <c r="K763" s="146">
        <v>7.38</v>
      </c>
      <c r="L763" s="103">
        <v>7442.0</v>
      </c>
      <c r="M763" s="103">
        <v>0.0</v>
      </c>
      <c r="N763" s="147">
        <v>0.0</v>
      </c>
      <c r="O763" s="109" t="str">
        <f t="shared" si="214"/>
        <v>#DIV/0!</v>
      </c>
      <c r="P763" s="110">
        <f t="shared" si="5"/>
        <v>0</v>
      </c>
      <c r="Q763" s="109" t="str">
        <f t="shared" si="6"/>
        <v>#DIV/0!</v>
      </c>
      <c r="R763" s="111" t="str">
        <f t="shared" si="7"/>
        <v>#DIV/0!</v>
      </c>
      <c r="S763" s="112">
        <f t="shared" si="213"/>
        <v>0</v>
      </c>
      <c r="T763" s="113" t="str">
        <f t="shared" si="9"/>
        <v>#DIV/0!</v>
      </c>
      <c r="U763" s="172"/>
      <c r="V763" s="172"/>
      <c r="W763" s="172"/>
      <c r="X763" s="172"/>
      <c r="Y763" s="173"/>
      <c r="Z763" s="165"/>
      <c r="AA763" s="165"/>
    </row>
    <row r="764" collapsed="1">
      <c r="A764" s="165" t="str">
        <f t="shared" si="215"/>
        <v/>
      </c>
      <c r="B764" s="80" t="s">
        <v>128</v>
      </c>
      <c r="C764" s="201"/>
      <c r="D764" s="151">
        <f>SUM(D749:D763)</f>
        <v>52434.91</v>
      </c>
      <c r="E764" s="400"/>
      <c r="F764" s="153">
        <f t="shared" ref="F764:G764" si="216">SUM(F749:F763)</f>
        <v>302</v>
      </c>
      <c r="G764" s="153">
        <f t="shared" si="216"/>
        <v>294</v>
      </c>
      <c r="H764" s="154">
        <f t="shared" si="1"/>
        <v>1.027210884</v>
      </c>
      <c r="I764" s="155">
        <f t="shared" si="2"/>
        <v>173.6255298</v>
      </c>
      <c r="J764" s="156">
        <f t="shared" si="3"/>
        <v>169.026178</v>
      </c>
      <c r="K764" s="151">
        <f t="shared" ref="K764:N764" si="217">SUM(K749:K763)</f>
        <v>3271.58</v>
      </c>
      <c r="L764" s="153">
        <f t="shared" si="217"/>
        <v>561285</v>
      </c>
      <c r="M764" s="153">
        <f t="shared" si="217"/>
        <v>109</v>
      </c>
      <c r="N764" s="157">
        <f t="shared" si="217"/>
        <v>13546.38</v>
      </c>
      <c r="O764" s="158">
        <f t="shared" si="214"/>
        <v>0.2415095398</v>
      </c>
      <c r="P764" s="159">
        <f t="shared" si="5"/>
        <v>4.140623185</v>
      </c>
      <c r="Q764" s="158">
        <f t="shared" si="6"/>
        <v>0.06239316516</v>
      </c>
      <c r="R764" s="160">
        <f t="shared" si="7"/>
        <v>0.2583465863</v>
      </c>
      <c r="S764" s="161">
        <f>SUM(S749:S763)</f>
        <v>38888.53</v>
      </c>
      <c r="T764" s="162">
        <f t="shared" si="9"/>
        <v>30.01449541</v>
      </c>
      <c r="U764" s="163">
        <f>IFERROR((D764-D246)/D764,)</f>
        <v>0.8554146465</v>
      </c>
      <c r="V764" s="163">
        <f>IFERROR((F764-F246)/F764,)</f>
        <v>0.6887417219</v>
      </c>
      <c r="W764" s="398" t="str">
        <f>IFERROR((D764-monthly_reporting_2021!E555)/D764, )</f>
        <v/>
      </c>
      <c r="X764" s="398" t="str">
        <f>IFERROR((F764-monthly_reporting_2021!F555)/F764, )</f>
        <v/>
      </c>
      <c r="Y764" s="165"/>
      <c r="Z764" s="165"/>
      <c r="AA764" s="165"/>
    </row>
    <row r="765" hidden="1" outlineLevel="1">
      <c r="A765" s="165"/>
      <c r="B765" s="99">
        <v>45942.0</v>
      </c>
      <c r="C765" s="100" t="s">
        <v>32</v>
      </c>
      <c r="D765" s="101">
        <v>5646.49</v>
      </c>
      <c r="E765" s="401"/>
      <c r="F765" s="103">
        <v>36.0</v>
      </c>
      <c r="G765" s="103">
        <v>35.0</v>
      </c>
      <c r="H765" s="104">
        <f t="shared" si="1"/>
        <v>1.028571429</v>
      </c>
      <c r="I765" s="105">
        <f t="shared" si="2"/>
        <v>156.8469444</v>
      </c>
      <c r="J765" s="106">
        <f t="shared" si="3"/>
        <v>152.4900849</v>
      </c>
      <c r="K765" s="107">
        <v>477.18</v>
      </c>
      <c r="L765" s="103">
        <v>112905.0</v>
      </c>
      <c r="M765" s="103">
        <v>15.0</v>
      </c>
      <c r="N765" s="108">
        <v>1591.8</v>
      </c>
      <c r="O765" s="109">
        <f t="shared" si="214"/>
        <v>0.2997738409</v>
      </c>
      <c r="P765" s="110">
        <f t="shared" si="5"/>
        <v>3.335848108</v>
      </c>
      <c r="Q765" s="109">
        <f t="shared" si="6"/>
        <v>0.08450913753</v>
      </c>
      <c r="R765" s="111">
        <f t="shared" si="7"/>
        <v>0.2819096465</v>
      </c>
      <c r="S765" s="112">
        <f t="shared" ref="S765:S779" si="218">D765-N765</f>
        <v>4054.69</v>
      </c>
      <c r="T765" s="113">
        <f t="shared" si="9"/>
        <v>31.812</v>
      </c>
      <c r="U765" s="172"/>
      <c r="V765" s="172"/>
      <c r="W765" s="172"/>
      <c r="X765" s="172"/>
      <c r="Y765" s="173"/>
      <c r="Z765" s="165"/>
      <c r="AA765" s="165"/>
    </row>
    <row r="766" hidden="1" outlineLevel="1">
      <c r="A766" s="165"/>
      <c r="B766" s="174"/>
      <c r="C766" s="100" t="s">
        <v>33</v>
      </c>
      <c r="D766" s="117">
        <v>8886.6</v>
      </c>
      <c r="E766" s="401"/>
      <c r="F766" s="103">
        <v>81.0</v>
      </c>
      <c r="G766" s="103">
        <v>90.0</v>
      </c>
      <c r="H766" s="104">
        <f t="shared" si="1"/>
        <v>0.9</v>
      </c>
      <c r="I766" s="105">
        <f t="shared" si="2"/>
        <v>109.7111111</v>
      </c>
      <c r="J766" s="106">
        <f t="shared" si="3"/>
        <v>121.9012346</v>
      </c>
      <c r="K766" s="117">
        <v>400.49</v>
      </c>
      <c r="L766" s="103">
        <v>108260.0</v>
      </c>
      <c r="M766" s="103">
        <v>13.0</v>
      </c>
      <c r="N766" s="118">
        <v>2455.18</v>
      </c>
      <c r="O766" s="109">
        <f t="shared" si="214"/>
        <v>0.1631204229</v>
      </c>
      <c r="P766" s="110">
        <f t="shared" si="5"/>
        <v>6.130440211</v>
      </c>
      <c r="Q766" s="109">
        <f t="shared" si="6"/>
        <v>0.04506672968</v>
      </c>
      <c r="R766" s="111">
        <f t="shared" si="7"/>
        <v>0.2762788918</v>
      </c>
      <c r="S766" s="119">
        <f t="shared" si="218"/>
        <v>6431.42</v>
      </c>
      <c r="T766" s="113">
        <f t="shared" si="9"/>
        <v>30.80692308</v>
      </c>
      <c r="U766" s="172"/>
      <c r="V766" s="172"/>
      <c r="W766" s="172"/>
      <c r="X766" s="172"/>
      <c r="Y766" s="173"/>
      <c r="Z766" s="165"/>
      <c r="AA766" s="165"/>
    </row>
    <row r="767" hidden="1" outlineLevel="1">
      <c r="A767" s="165"/>
      <c r="B767" s="174"/>
      <c r="C767" s="100" t="s">
        <v>34</v>
      </c>
      <c r="D767" s="120">
        <v>279.8</v>
      </c>
      <c r="E767" s="401"/>
      <c r="F767" s="103">
        <v>4.0</v>
      </c>
      <c r="G767" s="103">
        <v>3.0</v>
      </c>
      <c r="H767" s="104">
        <f t="shared" si="1"/>
        <v>1.333333333</v>
      </c>
      <c r="I767" s="105">
        <f t="shared" si="2"/>
        <v>69.95</v>
      </c>
      <c r="J767" s="106">
        <f t="shared" si="3"/>
        <v>52.4625</v>
      </c>
      <c r="K767" s="120">
        <v>16.8</v>
      </c>
      <c r="L767" s="103">
        <v>303.0</v>
      </c>
      <c r="M767" s="103">
        <v>0.0</v>
      </c>
      <c r="N767" s="121">
        <v>0.0</v>
      </c>
      <c r="O767" s="109" t="str">
        <f>(K767/N767)</f>
        <v>#DIV/0!</v>
      </c>
      <c r="P767" s="110">
        <f t="shared" si="5"/>
        <v>0</v>
      </c>
      <c r="Q767" s="109">
        <f t="shared" si="6"/>
        <v>0.06004288778</v>
      </c>
      <c r="R767" s="111">
        <f t="shared" si="7"/>
        <v>0</v>
      </c>
      <c r="S767" s="122">
        <f t="shared" si="218"/>
        <v>279.8</v>
      </c>
      <c r="T767" s="113" t="str">
        <f t="shared" si="9"/>
        <v>#DIV/0!</v>
      </c>
      <c r="U767" s="172"/>
      <c r="V767" s="172"/>
      <c r="W767" s="172"/>
      <c r="X767" s="172"/>
      <c r="Y767" s="173"/>
      <c r="Z767" s="165"/>
      <c r="AA767" s="165"/>
    </row>
    <row r="768" hidden="1" outlineLevel="1">
      <c r="A768" s="165"/>
      <c r="B768" s="174"/>
      <c r="C768" s="100" t="s">
        <v>35</v>
      </c>
      <c r="D768" s="120">
        <v>794.22</v>
      </c>
      <c r="E768" s="401"/>
      <c r="F768" s="103">
        <v>17.0</v>
      </c>
      <c r="G768" s="103">
        <v>15.0</v>
      </c>
      <c r="H768" s="104">
        <f t="shared" si="1"/>
        <v>1.133333333</v>
      </c>
      <c r="I768" s="105">
        <f t="shared" si="2"/>
        <v>46.71882353</v>
      </c>
      <c r="J768" s="106">
        <f t="shared" si="3"/>
        <v>41.22249135</v>
      </c>
      <c r="K768" s="120">
        <v>241.09</v>
      </c>
      <c r="L768" s="103">
        <v>21587.0</v>
      </c>
      <c r="M768" s="103">
        <v>10.0</v>
      </c>
      <c r="N768" s="121">
        <v>515.58</v>
      </c>
      <c r="O768" s="109">
        <f t="shared" ref="O768:O782" si="219">K768/N768</f>
        <v>0.4676092944</v>
      </c>
      <c r="P768" s="110">
        <f t="shared" si="5"/>
        <v>2.138537476</v>
      </c>
      <c r="Q768" s="109">
        <f t="shared" si="6"/>
        <v>0.3035556899</v>
      </c>
      <c r="R768" s="111">
        <f t="shared" si="7"/>
        <v>0.6491652187</v>
      </c>
      <c r="S768" s="122">
        <f t="shared" si="218"/>
        <v>278.64</v>
      </c>
      <c r="T768" s="113">
        <f t="shared" si="9"/>
        <v>24.109</v>
      </c>
      <c r="U768" s="172"/>
      <c r="V768" s="172"/>
      <c r="W768" s="172"/>
      <c r="X768" s="172"/>
      <c r="Y768" s="173"/>
      <c r="Z768" s="165"/>
      <c r="AA768" s="165"/>
    </row>
    <row r="769" hidden="1" outlineLevel="1">
      <c r="A769" s="165"/>
      <c r="B769" s="174"/>
      <c r="C769" s="100" t="s">
        <v>36</v>
      </c>
      <c r="D769" s="120">
        <v>254.77</v>
      </c>
      <c r="E769" s="401"/>
      <c r="F769" s="103">
        <v>5.0</v>
      </c>
      <c r="G769" s="103">
        <v>5.0</v>
      </c>
      <c r="H769" s="104">
        <f t="shared" si="1"/>
        <v>1</v>
      </c>
      <c r="I769" s="105">
        <f t="shared" si="2"/>
        <v>50.954</v>
      </c>
      <c r="J769" s="106">
        <f t="shared" si="3"/>
        <v>50.954</v>
      </c>
      <c r="K769" s="120">
        <v>56.57</v>
      </c>
      <c r="L769" s="103">
        <v>15496.0</v>
      </c>
      <c r="M769" s="103">
        <v>2.0</v>
      </c>
      <c r="N769" s="121">
        <v>116.88</v>
      </c>
      <c r="O769" s="109">
        <f t="shared" si="219"/>
        <v>0.4840006845</v>
      </c>
      <c r="P769" s="110">
        <f t="shared" si="5"/>
        <v>2.066112781</v>
      </c>
      <c r="Q769" s="109">
        <f t="shared" si="6"/>
        <v>0.2220434117</v>
      </c>
      <c r="R769" s="111">
        <f t="shared" si="7"/>
        <v>0.4587667308</v>
      </c>
      <c r="S769" s="122">
        <f t="shared" si="218"/>
        <v>137.89</v>
      </c>
      <c r="T769" s="113">
        <f t="shared" si="9"/>
        <v>28.285</v>
      </c>
      <c r="U769" s="172"/>
      <c r="V769" s="172"/>
      <c r="W769" s="172"/>
      <c r="X769" s="172"/>
      <c r="Y769" s="173"/>
      <c r="Z769" s="165"/>
      <c r="AA769" s="165"/>
    </row>
    <row r="770" hidden="1" outlineLevel="1">
      <c r="A770" s="165"/>
      <c r="B770" s="99" t="s">
        <v>37</v>
      </c>
      <c r="C770" s="100" t="s">
        <v>38</v>
      </c>
      <c r="D770" s="123">
        <v>-45.1</v>
      </c>
      <c r="E770" s="401"/>
      <c r="F770" s="103">
        <v>2.0</v>
      </c>
      <c r="G770" s="103">
        <v>3.0</v>
      </c>
      <c r="H770" s="104">
        <f t="shared" si="1"/>
        <v>0.6666666667</v>
      </c>
      <c r="I770" s="105">
        <f t="shared" si="2"/>
        <v>-22.55</v>
      </c>
      <c r="J770" s="106">
        <f t="shared" si="3"/>
        <v>-33.825</v>
      </c>
      <c r="K770" s="123">
        <v>33.9</v>
      </c>
      <c r="L770" s="103">
        <v>11504.0</v>
      </c>
      <c r="M770" s="103">
        <v>0.0</v>
      </c>
      <c r="N770" s="124">
        <v>0.0</v>
      </c>
      <c r="O770" s="109" t="str">
        <f t="shared" si="219"/>
        <v>#DIV/0!</v>
      </c>
      <c r="P770" s="110">
        <f t="shared" si="5"/>
        <v>0</v>
      </c>
      <c r="Q770" s="109">
        <f t="shared" si="6"/>
        <v>-0.7516629712</v>
      </c>
      <c r="R770" s="111">
        <f t="shared" si="7"/>
        <v>0</v>
      </c>
      <c r="S770" s="125">
        <f t="shared" si="218"/>
        <v>-45.1</v>
      </c>
      <c r="T770" s="113" t="str">
        <f t="shared" si="9"/>
        <v>#DIV/0!</v>
      </c>
      <c r="U770" s="172"/>
      <c r="V770" s="172"/>
      <c r="W770" s="172"/>
      <c r="X770" s="172"/>
      <c r="Y770" s="173"/>
      <c r="Z770" s="165"/>
      <c r="AA770" s="165"/>
    </row>
    <row r="771" hidden="1" outlineLevel="1">
      <c r="A771" s="165"/>
      <c r="B771" s="174"/>
      <c r="C771" s="100" t="s">
        <v>39</v>
      </c>
      <c r="D771" s="126">
        <v>0.0</v>
      </c>
      <c r="E771" s="401"/>
      <c r="F771" s="103">
        <v>0.0</v>
      </c>
      <c r="G771" s="103">
        <v>0.0</v>
      </c>
      <c r="H771" s="104" t="str">
        <f t="shared" si="1"/>
        <v>#DIV/0!</v>
      </c>
      <c r="I771" s="105" t="str">
        <f t="shared" si="2"/>
        <v>#DIV/0!</v>
      </c>
      <c r="J771" s="106" t="str">
        <f t="shared" si="3"/>
        <v>#DIV/0!</v>
      </c>
      <c r="K771" s="126">
        <v>0.0</v>
      </c>
      <c r="L771" s="103">
        <v>0.0</v>
      </c>
      <c r="M771" s="103">
        <v>0.0</v>
      </c>
      <c r="N771" s="127">
        <v>0.0</v>
      </c>
      <c r="O771" s="109" t="str">
        <f t="shared" si="219"/>
        <v>#DIV/0!</v>
      </c>
      <c r="P771" s="110" t="str">
        <f t="shared" si="5"/>
        <v>#DIV/0!</v>
      </c>
      <c r="Q771" s="109" t="str">
        <f t="shared" si="6"/>
        <v>#DIV/0!</v>
      </c>
      <c r="R771" s="111" t="str">
        <f t="shared" si="7"/>
        <v>#DIV/0!</v>
      </c>
      <c r="S771" s="128">
        <f t="shared" si="218"/>
        <v>0</v>
      </c>
      <c r="T771" s="113" t="str">
        <f t="shared" si="9"/>
        <v>#DIV/0!</v>
      </c>
      <c r="U771" s="172"/>
      <c r="V771" s="172"/>
      <c r="W771" s="172"/>
      <c r="X771" s="172"/>
      <c r="Y771" s="173"/>
      <c r="Z771" s="165"/>
      <c r="AA771" s="165"/>
    </row>
    <row r="772" hidden="1" outlineLevel="1">
      <c r="A772" s="165"/>
      <c r="B772" s="174"/>
      <c r="C772" s="100" t="s">
        <v>40</v>
      </c>
      <c r="D772" s="129">
        <v>0.0</v>
      </c>
      <c r="E772" s="401"/>
      <c r="F772" s="103">
        <v>0.0</v>
      </c>
      <c r="G772" s="103">
        <v>0.0</v>
      </c>
      <c r="H772" s="104" t="str">
        <f t="shared" si="1"/>
        <v>#DIV/0!</v>
      </c>
      <c r="I772" s="105" t="str">
        <f t="shared" si="2"/>
        <v>#DIV/0!</v>
      </c>
      <c r="J772" s="106" t="str">
        <f t="shared" si="3"/>
        <v>#DIV/0!</v>
      </c>
      <c r="K772" s="129">
        <v>0.0</v>
      </c>
      <c r="L772" s="103">
        <v>0.0</v>
      </c>
      <c r="M772" s="103">
        <v>0.0</v>
      </c>
      <c r="N772" s="130">
        <v>0.0</v>
      </c>
      <c r="O772" s="109" t="str">
        <f t="shared" si="219"/>
        <v>#DIV/0!</v>
      </c>
      <c r="P772" s="110" t="str">
        <f t="shared" si="5"/>
        <v>#DIV/0!</v>
      </c>
      <c r="Q772" s="109" t="str">
        <f t="shared" si="6"/>
        <v>#DIV/0!</v>
      </c>
      <c r="R772" s="111" t="str">
        <f t="shared" si="7"/>
        <v>#DIV/0!</v>
      </c>
      <c r="S772" s="131">
        <f t="shared" si="218"/>
        <v>0</v>
      </c>
      <c r="T772" s="113" t="str">
        <f t="shared" si="9"/>
        <v>#DIV/0!</v>
      </c>
      <c r="U772" s="172"/>
      <c r="V772" s="172"/>
      <c r="W772" s="172"/>
      <c r="X772" s="172"/>
      <c r="Y772" s="173"/>
      <c r="Z772" s="165"/>
      <c r="AA772" s="165"/>
    </row>
    <row r="773" hidden="1" outlineLevel="1">
      <c r="A773" s="165"/>
      <c r="B773" s="174"/>
      <c r="C773" s="100" t="s">
        <v>41</v>
      </c>
      <c r="D773" s="132">
        <v>1566.1</v>
      </c>
      <c r="E773" s="401"/>
      <c r="F773" s="103">
        <v>23.0</v>
      </c>
      <c r="G773" s="103">
        <v>24.0</v>
      </c>
      <c r="H773" s="104">
        <f t="shared" si="1"/>
        <v>0.9583333333</v>
      </c>
      <c r="I773" s="105">
        <f t="shared" si="2"/>
        <v>68.09130435</v>
      </c>
      <c r="J773" s="106">
        <f t="shared" si="3"/>
        <v>71.05179584</v>
      </c>
      <c r="K773" s="132">
        <v>156.01</v>
      </c>
      <c r="L773" s="103">
        <v>26389.0</v>
      </c>
      <c r="M773" s="103">
        <v>8.0</v>
      </c>
      <c r="N773" s="133">
        <v>726.7</v>
      </c>
      <c r="O773" s="109">
        <f t="shared" si="219"/>
        <v>0.2146828127</v>
      </c>
      <c r="P773" s="110">
        <f t="shared" si="5"/>
        <v>4.658034741</v>
      </c>
      <c r="Q773" s="109">
        <f t="shared" si="6"/>
        <v>0.0996168827</v>
      </c>
      <c r="R773" s="111">
        <f t="shared" si="7"/>
        <v>0.4640189005</v>
      </c>
      <c r="S773" s="134">
        <f t="shared" si="218"/>
        <v>839.4</v>
      </c>
      <c r="T773" s="113">
        <f t="shared" si="9"/>
        <v>19.50125</v>
      </c>
      <c r="U773" s="172"/>
      <c r="V773" s="172"/>
      <c r="W773" s="172"/>
      <c r="X773" s="172"/>
      <c r="Y773" s="173"/>
      <c r="Z773" s="165"/>
      <c r="AA773" s="165"/>
    </row>
    <row r="774" hidden="1" outlineLevel="1">
      <c r="A774" s="165"/>
      <c r="B774" s="174"/>
      <c r="C774" s="100" t="s">
        <v>42</v>
      </c>
      <c r="D774" s="120">
        <v>119.94</v>
      </c>
      <c r="E774" s="401"/>
      <c r="F774" s="103">
        <v>6.0</v>
      </c>
      <c r="G774" s="103">
        <v>7.0</v>
      </c>
      <c r="H774" s="104">
        <f t="shared" si="1"/>
        <v>0.8571428571</v>
      </c>
      <c r="I774" s="105">
        <f t="shared" si="2"/>
        <v>19.99</v>
      </c>
      <c r="J774" s="106">
        <f t="shared" si="3"/>
        <v>23.32166667</v>
      </c>
      <c r="K774" s="120">
        <v>177.01</v>
      </c>
      <c r="L774" s="103">
        <v>68111.0</v>
      </c>
      <c r="M774" s="103">
        <v>3.0</v>
      </c>
      <c r="N774" s="121">
        <v>59.97</v>
      </c>
      <c r="O774" s="109">
        <f t="shared" si="219"/>
        <v>2.951642488</v>
      </c>
      <c r="P774" s="110">
        <f t="shared" si="5"/>
        <v>0.3387944184</v>
      </c>
      <c r="Q774" s="109">
        <f t="shared" si="6"/>
        <v>1.475821244</v>
      </c>
      <c r="R774" s="111">
        <f t="shared" si="7"/>
        <v>0.5</v>
      </c>
      <c r="S774" s="122">
        <f t="shared" si="218"/>
        <v>59.97</v>
      </c>
      <c r="T774" s="113">
        <f t="shared" si="9"/>
        <v>59.00333333</v>
      </c>
      <c r="U774" s="172"/>
      <c r="V774" s="172"/>
      <c r="W774" s="172"/>
      <c r="X774" s="172"/>
      <c r="Y774" s="173"/>
      <c r="Z774" s="165"/>
      <c r="AA774" s="165"/>
    </row>
    <row r="775" hidden="1" outlineLevel="1">
      <c r="A775" s="165"/>
      <c r="B775" s="174"/>
      <c r="C775" s="100" t="s">
        <v>43</v>
      </c>
      <c r="D775" s="135">
        <v>0.0</v>
      </c>
      <c r="E775" s="401"/>
      <c r="F775" s="103">
        <v>0.0</v>
      </c>
      <c r="G775" s="103">
        <v>1.0</v>
      </c>
      <c r="H775" s="104">
        <f t="shared" si="1"/>
        <v>0</v>
      </c>
      <c r="I775" s="105" t="str">
        <f t="shared" si="2"/>
        <v>#DIV/0!</v>
      </c>
      <c r="J775" s="106" t="str">
        <f t="shared" si="3"/>
        <v>#DIV/0!</v>
      </c>
      <c r="K775" s="135">
        <v>77.98</v>
      </c>
      <c r="L775" s="103">
        <v>12887.0</v>
      </c>
      <c r="M775" s="103">
        <v>0.0</v>
      </c>
      <c r="N775" s="136">
        <v>0.0</v>
      </c>
      <c r="O775" s="109" t="str">
        <f t="shared" si="219"/>
        <v>#DIV/0!</v>
      </c>
      <c r="P775" s="110">
        <f t="shared" si="5"/>
        <v>0</v>
      </c>
      <c r="Q775" s="109" t="str">
        <f t="shared" si="6"/>
        <v>#DIV/0!</v>
      </c>
      <c r="R775" s="111" t="str">
        <f t="shared" si="7"/>
        <v>#DIV/0!</v>
      </c>
      <c r="S775" s="137">
        <f t="shared" si="218"/>
        <v>0</v>
      </c>
      <c r="T775" s="113" t="str">
        <f t="shared" si="9"/>
        <v>#DIV/0!</v>
      </c>
      <c r="U775" s="172"/>
      <c r="V775" s="172"/>
      <c r="W775" s="172"/>
      <c r="X775" s="172"/>
      <c r="Y775" s="173"/>
      <c r="Z775" s="165"/>
      <c r="AA775" s="165"/>
    </row>
    <row r="776" hidden="1" outlineLevel="1">
      <c r="A776" s="165"/>
      <c r="B776" s="174"/>
      <c r="C776" s="100" t="s">
        <v>44</v>
      </c>
      <c r="D776" s="138">
        <v>269.76</v>
      </c>
      <c r="E776" s="401"/>
      <c r="F776" s="103">
        <v>6.0</v>
      </c>
      <c r="G776" s="103">
        <v>7.0</v>
      </c>
      <c r="H776" s="104">
        <f t="shared" si="1"/>
        <v>0.8571428571</v>
      </c>
      <c r="I776" s="105">
        <f t="shared" si="2"/>
        <v>44.96</v>
      </c>
      <c r="J776" s="106">
        <f t="shared" si="3"/>
        <v>52.45333333</v>
      </c>
      <c r="K776" s="138">
        <v>138.73</v>
      </c>
      <c r="L776" s="103">
        <v>50887.0</v>
      </c>
      <c r="M776" s="103">
        <v>4.0</v>
      </c>
      <c r="N776" s="139">
        <v>206.82</v>
      </c>
      <c r="O776" s="109">
        <f t="shared" si="219"/>
        <v>0.6707765206</v>
      </c>
      <c r="P776" s="110">
        <f t="shared" si="5"/>
        <v>1.490809486</v>
      </c>
      <c r="Q776" s="109">
        <f t="shared" si="6"/>
        <v>0.5142719454</v>
      </c>
      <c r="R776" s="111">
        <f t="shared" si="7"/>
        <v>0.7666814947</v>
      </c>
      <c r="S776" s="140">
        <f t="shared" si="218"/>
        <v>62.94</v>
      </c>
      <c r="T776" s="113">
        <f t="shared" si="9"/>
        <v>34.6825</v>
      </c>
      <c r="U776" s="172"/>
      <c r="V776" s="172"/>
      <c r="W776" s="172"/>
      <c r="X776" s="172"/>
      <c r="Y776" s="173"/>
      <c r="Z776" s="165"/>
      <c r="AA776" s="165"/>
    </row>
    <row r="777" hidden="1" outlineLevel="1">
      <c r="A777" s="192"/>
      <c r="B777" s="174"/>
      <c r="C777" s="142" t="s">
        <v>45</v>
      </c>
      <c r="D777" s="101">
        <v>54.9</v>
      </c>
      <c r="E777" s="401"/>
      <c r="F777" s="103">
        <v>2.0</v>
      </c>
      <c r="G777" s="103">
        <v>2.0</v>
      </c>
      <c r="H777" s="104">
        <f t="shared" si="1"/>
        <v>1</v>
      </c>
      <c r="I777" s="105">
        <f t="shared" si="2"/>
        <v>27.45</v>
      </c>
      <c r="J777" s="106">
        <f t="shared" si="3"/>
        <v>27.45</v>
      </c>
      <c r="K777" s="101">
        <v>0.0</v>
      </c>
      <c r="L777" s="103">
        <v>0.0</v>
      </c>
      <c r="M777" s="103">
        <v>0.0</v>
      </c>
      <c r="N777" s="108">
        <v>0.0</v>
      </c>
      <c r="O777" s="109" t="str">
        <f t="shared" si="219"/>
        <v>#DIV/0!</v>
      </c>
      <c r="P777" s="110" t="str">
        <f t="shared" si="5"/>
        <v>#DIV/0!</v>
      </c>
      <c r="Q777" s="109">
        <f t="shared" si="6"/>
        <v>0</v>
      </c>
      <c r="R777" s="111">
        <f t="shared" si="7"/>
        <v>0</v>
      </c>
      <c r="S777" s="112">
        <f t="shared" si="218"/>
        <v>54.9</v>
      </c>
      <c r="T777" s="113" t="str">
        <f t="shared" si="9"/>
        <v>#DIV/0!</v>
      </c>
      <c r="U777" s="193"/>
      <c r="V777" s="193"/>
      <c r="W777" s="193"/>
      <c r="X777" s="194"/>
      <c r="Y777" s="195"/>
      <c r="Z777" s="165"/>
      <c r="AA777" s="165"/>
    </row>
    <row r="778" hidden="1" outlineLevel="1">
      <c r="A778" s="165"/>
      <c r="B778" s="174"/>
      <c r="C778" s="100" t="s">
        <v>46</v>
      </c>
      <c r="D778" s="146">
        <v>15.19</v>
      </c>
      <c r="E778" s="401"/>
      <c r="F778" s="103">
        <v>1.0</v>
      </c>
      <c r="G778" s="103">
        <v>3.0</v>
      </c>
      <c r="H778" s="104">
        <f t="shared" si="1"/>
        <v>0.3333333333</v>
      </c>
      <c r="I778" s="105">
        <f t="shared" si="2"/>
        <v>15.19</v>
      </c>
      <c r="J778" s="106">
        <f t="shared" si="3"/>
        <v>45.57</v>
      </c>
      <c r="K778" s="146">
        <v>11.66</v>
      </c>
      <c r="L778" s="103">
        <v>3234.0</v>
      </c>
      <c r="M778" s="103">
        <v>0.0</v>
      </c>
      <c r="N778" s="147">
        <v>0.0</v>
      </c>
      <c r="O778" s="109" t="str">
        <f t="shared" si="219"/>
        <v>#DIV/0!</v>
      </c>
      <c r="P778" s="110">
        <f t="shared" si="5"/>
        <v>0</v>
      </c>
      <c r="Q778" s="109">
        <f t="shared" si="6"/>
        <v>0.7676102699</v>
      </c>
      <c r="R778" s="111">
        <f t="shared" si="7"/>
        <v>0</v>
      </c>
      <c r="S778" s="112">
        <f t="shared" si="218"/>
        <v>15.19</v>
      </c>
      <c r="T778" s="113" t="str">
        <f t="shared" si="9"/>
        <v>#DIV/0!</v>
      </c>
      <c r="U778" s="172"/>
      <c r="V778" s="172"/>
      <c r="W778" s="172"/>
      <c r="X778" s="172"/>
      <c r="Y778" s="173"/>
      <c r="Z778" s="165"/>
      <c r="AA778" s="165"/>
    </row>
    <row r="779" hidden="1" outlineLevel="1">
      <c r="A779" s="148" t="str">
        <f t="shared" ref="A779:A780" si="220">iferror(if(B779&gt;0,month(B779)&amp;"-"&amp;year(B779),B779),)</f>
        <v>10-2025</v>
      </c>
      <c r="B779" s="99">
        <v>45948.0</v>
      </c>
      <c r="C779" s="100" t="s">
        <v>49</v>
      </c>
      <c r="D779" s="146">
        <v>288.0</v>
      </c>
      <c r="E779" s="401"/>
      <c r="F779" s="103">
        <v>3.0</v>
      </c>
      <c r="G779" s="103">
        <v>3.0</v>
      </c>
      <c r="H779" s="104">
        <f t="shared" si="1"/>
        <v>1</v>
      </c>
      <c r="I779" s="105">
        <f t="shared" si="2"/>
        <v>96</v>
      </c>
      <c r="J779" s="106">
        <f t="shared" si="3"/>
        <v>96</v>
      </c>
      <c r="K779" s="146">
        <v>6.45</v>
      </c>
      <c r="L779" s="103">
        <v>7110.0</v>
      </c>
      <c r="M779" s="103">
        <v>2.0</v>
      </c>
      <c r="N779" s="147">
        <v>192.0</v>
      </c>
      <c r="O779" s="109">
        <f t="shared" si="219"/>
        <v>0.03359375</v>
      </c>
      <c r="P779" s="110">
        <f t="shared" si="5"/>
        <v>29.76744186</v>
      </c>
      <c r="Q779" s="109">
        <f t="shared" si="6"/>
        <v>0.02239583333</v>
      </c>
      <c r="R779" s="111">
        <f t="shared" si="7"/>
        <v>0.6666666667</v>
      </c>
      <c r="S779" s="112">
        <f t="shared" si="218"/>
        <v>96</v>
      </c>
      <c r="T779" s="113">
        <f t="shared" si="9"/>
        <v>3.225</v>
      </c>
      <c r="U779" s="172"/>
      <c r="V779" s="172"/>
      <c r="W779" s="172"/>
      <c r="X779" s="172"/>
      <c r="Y779" s="173"/>
      <c r="Z779" s="165"/>
      <c r="AA779" s="165"/>
    </row>
    <row r="780" collapsed="1">
      <c r="A780" s="165" t="str">
        <f t="shared" si="220"/>
        <v/>
      </c>
      <c r="B780" s="80" t="s">
        <v>129</v>
      </c>
      <c r="C780" s="201"/>
      <c r="D780" s="151">
        <f>SUM(D765:D779)</f>
        <v>18130.67</v>
      </c>
      <c r="E780" s="400"/>
      <c r="F780" s="153">
        <f t="shared" ref="F780:G780" si="221">SUM(F765:F779)</f>
        <v>186</v>
      </c>
      <c r="G780" s="153">
        <f t="shared" si="221"/>
        <v>198</v>
      </c>
      <c r="H780" s="154">
        <f t="shared" si="1"/>
        <v>0.9393939394</v>
      </c>
      <c r="I780" s="155">
        <f t="shared" si="2"/>
        <v>97.47672043</v>
      </c>
      <c r="J780" s="156">
        <f t="shared" si="3"/>
        <v>103.7655411</v>
      </c>
      <c r="K780" s="151">
        <f t="shared" ref="K780:N780" si="222">SUM(K765:K779)</f>
        <v>1793.87</v>
      </c>
      <c r="L780" s="153">
        <f t="shared" si="222"/>
        <v>438673</v>
      </c>
      <c r="M780" s="153">
        <f t="shared" si="222"/>
        <v>57</v>
      </c>
      <c r="N780" s="157">
        <f t="shared" si="222"/>
        <v>5864.93</v>
      </c>
      <c r="O780" s="158">
        <f t="shared" si="219"/>
        <v>0.3058638381</v>
      </c>
      <c r="P780" s="159">
        <f t="shared" si="5"/>
        <v>3.269428665</v>
      </c>
      <c r="Q780" s="158">
        <f t="shared" si="6"/>
        <v>0.0989411864</v>
      </c>
      <c r="R780" s="160">
        <f t="shared" si="7"/>
        <v>0.323481151</v>
      </c>
      <c r="S780" s="161">
        <f>SUM(S765:S779)</f>
        <v>12265.74</v>
      </c>
      <c r="T780" s="162">
        <f t="shared" si="9"/>
        <v>31.47140351</v>
      </c>
      <c r="U780" s="163">
        <f>IFERROR((D780-D246)/D780,)</f>
        <v>0.5818510844</v>
      </c>
      <c r="V780" s="163">
        <f>IFERROR((F780-F246)/F780,)</f>
        <v>0.4946236559</v>
      </c>
      <c r="W780" s="398" t="str">
        <f>IFERROR((D780-monthly_reporting_2021!E571)/D780, )</f>
        <v/>
      </c>
      <c r="X780" s="398" t="str">
        <f>IFERROR((F780-monthly_reporting_2021!F571)/F780, )</f>
        <v/>
      </c>
      <c r="Y780" s="165"/>
      <c r="Z780" s="165"/>
      <c r="AA780" s="165"/>
    </row>
    <row r="781" hidden="1" outlineLevel="1">
      <c r="A781" s="165"/>
      <c r="B781" s="99">
        <v>45949.0</v>
      </c>
      <c r="C781" s="100" t="s">
        <v>32</v>
      </c>
      <c r="D781" s="101">
        <v>5917.24</v>
      </c>
      <c r="E781" s="401"/>
      <c r="F781" s="103">
        <v>20.0</v>
      </c>
      <c r="G781" s="103">
        <v>21.0</v>
      </c>
      <c r="H781" s="104">
        <f t="shared" si="1"/>
        <v>0.9523809524</v>
      </c>
      <c r="I781" s="105">
        <f t="shared" si="2"/>
        <v>295.862</v>
      </c>
      <c r="J781" s="106">
        <f t="shared" si="3"/>
        <v>310.6551</v>
      </c>
      <c r="K781" s="107">
        <v>418.13</v>
      </c>
      <c r="L781" s="103">
        <v>105111.0</v>
      </c>
      <c r="M781" s="103">
        <v>5.0</v>
      </c>
      <c r="N781" s="108">
        <v>1936.0</v>
      </c>
      <c r="O781" s="109">
        <f t="shared" si="219"/>
        <v>0.2159762397</v>
      </c>
      <c r="P781" s="110">
        <f t="shared" si="5"/>
        <v>4.630138952</v>
      </c>
      <c r="Q781" s="109">
        <f t="shared" si="6"/>
        <v>0.07066301181</v>
      </c>
      <c r="R781" s="111">
        <f t="shared" si="7"/>
        <v>0.3271795634</v>
      </c>
      <c r="S781" s="112">
        <f t="shared" ref="S781:S795" si="223">D781-N781</f>
        <v>3981.24</v>
      </c>
      <c r="T781" s="113">
        <f t="shared" si="9"/>
        <v>83.626</v>
      </c>
      <c r="U781" s="172"/>
      <c r="V781" s="172"/>
      <c r="W781" s="172"/>
      <c r="X781" s="172"/>
      <c r="Y781" s="173"/>
      <c r="Z781" s="165"/>
      <c r="AA781" s="165"/>
    </row>
    <row r="782" hidden="1" outlineLevel="1">
      <c r="A782" s="165"/>
      <c r="B782" s="174"/>
      <c r="C782" s="100" t="s">
        <v>33</v>
      </c>
      <c r="D782" s="117">
        <v>2785.04</v>
      </c>
      <c r="E782" s="401"/>
      <c r="F782" s="103">
        <v>39.0</v>
      </c>
      <c r="G782" s="103">
        <v>45.0</v>
      </c>
      <c r="H782" s="104">
        <f t="shared" si="1"/>
        <v>0.8666666667</v>
      </c>
      <c r="I782" s="105">
        <f t="shared" si="2"/>
        <v>71.41128205</v>
      </c>
      <c r="J782" s="106">
        <f t="shared" si="3"/>
        <v>82.39763314</v>
      </c>
      <c r="K782" s="117">
        <v>300.64</v>
      </c>
      <c r="L782" s="103">
        <v>106265.0</v>
      </c>
      <c r="M782" s="103">
        <v>7.0</v>
      </c>
      <c r="N782" s="118">
        <v>1006.9</v>
      </c>
      <c r="O782" s="109">
        <f t="shared" si="219"/>
        <v>0.2985797994</v>
      </c>
      <c r="P782" s="110">
        <f t="shared" si="5"/>
        <v>3.349188398</v>
      </c>
      <c r="Q782" s="109">
        <f t="shared" si="6"/>
        <v>0.1079481803</v>
      </c>
      <c r="R782" s="111">
        <f t="shared" si="7"/>
        <v>0.361538793</v>
      </c>
      <c r="S782" s="119">
        <f t="shared" si="223"/>
        <v>1778.14</v>
      </c>
      <c r="T782" s="113">
        <f t="shared" si="9"/>
        <v>42.94857143</v>
      </c>
      <c r="U782" s="172"/>
      <c r="V782" s="172"/>
      <c r="W782" s="172"/>
      <c r="X782" s="172"/>
      <c r="Y782" s="173"/>
      <c r="Z782" s="165"/>
      <c r="AA782" s="165"/>
    </row>
    <row r="783" hidden="1" outlineLevel="1">
      <c r="A783" s="165"/>
      <c r="B783" s="174"/>
      <c r="C783" s="100" t="s">
        <v>34</v>
      </c>
      <c r="D783" s="120">
        <v>69.95</v>
      </c>
      <c r="E783" s="401"/>
      <c r="F783" s="103">
        <v>1.0</v>
      </c>
      <c r="G783" s="103">
        <v>1.0</v>
      </c>
      <c r="H783" s="104">
        <f t="shared" si="1"/>
        <v>1</v>
      </c>
      <c r="I783" s="105">
        <f t="shared" si="2"/>
        <v>69.95</v>
      </c>
      <c r="J783" s="106">
        <f t="shared" si="3"/>
        <v>69.95</v>
      </c>
      <c r="K783" s="120">
        <v>8.38</v>
      </c>
      <c r="L783" s="103">
        <v>337.0</v>
      </c>
      <c r="M783" s="103">
        <v>0.0</v>
      </c>
      <c r="N783" s="121">
        <v>0.0</v>
      </c>
      <c r="O783" s="109" t="str">
        <f>(K783/N783)</f>
        <v>#DIV/0!</v>
      </c>
      <c r="P783" s="110">
        <f t="shared" si="5"/>
        <v>0</v>
      </c>
      <c r="Q783" s="109">
        <f t="shared" si="6"/>
        <v>0.119799857</v>
      </c>
      <c r="R783" s="111">
        <f t="shared" si="7"/>
        <v>0</v>
      </c>
      <c r="S783" s="122">
        <f t="shared" si="223"/>
        <v>69.95</v>
      </c>
      <c r="T783" s="113" t="str">
        <f t="shared" si="9"/>
        <v>#DIV/0!</v>
      </c>
      <c r="U783" s="172"/>
      <c r="V783" s="172"/>
      <c r="W783" s="172"/>
      <c r="X783" s="172"/>
      <c r="Y783" s="173"/>
      <c r="Z783" s="165"/>
      <c r="AA783" s="165"/>
    </row>
    <row r="784" hidden="1" outlineLevel="1">
      <c r="A784" s="165"/>
      <c r="B784" s="174"/>
      <c r="C784" s="100" t="s">
        <v>35</v>
      </c>
      <c r="D784" s="120">
        <v>419.65</v>
      </c>
      <c r="E784" s="401"/>
      <c r="F784" s="103">
        <v>7.0</v>
      </c>
      <c r="G784" s="103">
        <v>8.0</v>
      </c>
      <c r="H784" s="104">
        <f t="shared" si="1"/>
        <v>0.875</v>
      </c>
      <c r="I784" s="105">
        <f t="shared" si="2"/>
        <v>59.95</v>
      </c>
      <c r="J784" s="106">
        <f t="shared" si="3"/>
        <v>68.51428571</v>
      </c>
      <c r="K784" s="120">
        <v>248.54</v>
      </c>
      <c r="L784" s="103">
        <v>23456.0</v>
      </c>
      <c r="M784" s="103">
        <v>8.0</v>
      </c>
      <c r="N784" s="121">
        <v>479.6</v>
      </c>
      <c r="O784" s="109">
        <f t="shared" ref="O784:O798" si="224">K784/N784</f>
        <v>0.5182235196</v>
      </c>
      <c r="P784" s="110">
        <f t="shared" si="5"/>
        <v>1.929669269</v>
      </c>
      <c r="Q784" s="109">
        <f t="shared" si="6"/>
        <v>0.592255451</v>
      </c>
      <c r="R784" s="111">
        <f t="shared" si="7"/>
        <v>1.142857143</v>
      </c>
      <c r="S784" s="122">
        <f t="shared" si="223"/>
        <v>-59.95</v>
      </c>
      <c r="T784" s="113">
        <f t="shared" si="9"/>
        <v>31.0675</v>
      </c>
      <c r="U784" s="172"/>
      <c r="V784" s="172"/>
      <c r="W784" s="172"/>
      <c r="X784" s="172"/>
      <c r="Y784" s="173"/>
      <c r="Z784" s="165"/>
      <c r="AA784" s="165"/>
    </row>
    <row r="785" hidden="1" outlineLevel="1">
      <c r="A785" s="165"/>
      <c r="B785" s="174"/>
      <c r="C785" s="100" t="s">
        <v>36</v>
      </c>
      <c r="D785" s="120">
        <v>169.85</v>
      </c>
      <c r="E785" s="401"/>
      <c r="F785" s="103">
        <v>3.0</v>
      </c>
      <c r="G785" s="103">
        <v>4.0</v>
      </c>
      <c r="H785" s="104">
        <f t="shared" si="1"/>
        <v>0.75</v>
      </c>
      <c r="I785" s="105">
        <f t="shared" si="2"/>
        <v>56.61666667</v>
      </c>
      <c r="J785" s="106">
        <f t="shared" si="3"/>
        <v>75.48888889</v>
      </c>
      <c r="K785" s="120">
        <v>51.53</v>
      </c>
      <c r="L785" s="103">
        <v>17181.0</v>
      </c>
      <c r="M785" s="103">
        <v>0.0</v>
      </c>
      <c r="N785" s="121">
        <v>0.0</v>
      </c>
      <c r="O785" s="109" t="str">
        <f t="shared" si="224"/>
        <v>#DIV/0!</v>
      </c>
      <c r="P785" s="110">
        <f t="shared" si="5"/>
        <v>0</v>
      </c>
      <c r="Q785" s="109">
        <f t="shared" si="6"/>
        <v>0.30338534</v>
      </c>
      <c r="R785" s="111">
        <f t="shared" si="7"/>
        <v>0</v>
      </c>
      <c r="S785" s="122">
        <f t="shared" si="223"/>
        <v>169.85</v>
      </c>
      <c r="T785" s="113" t="str">
        <f t="shared" si="9"/>
        <v>#DIV/0!</v>
      </c>
      <c r="U785" s="172"/>
      <c r="V785" s="172"/>
      <c r="W785" s="172"/>
      <c r="X785" s="172"/>
      <c r="Y785" s="173"/>
      <c r="Z785" s="165"/>
      <c r="AA785" s="165"/>
    </row>
    <row r="786" hidden="1" outlineLevel="1">
      <c r="A786" s="165"/>
      <c r="B786" s="99" t="s">
        <v>37</v>
      </c>
      <c r="C786" s="100" t="s">
        <v>38</v>
      </c>
      <c r="D786" s="123">
        <v>339.75</v>
      </c>
      <c r="E786" s="401"/>
      <c r="F786" s="103">
        <v>5.0</v>
      </c>
      <c r="G786" s="103">
        <v>6.0</v>
      </c>
      <c r="H786" s="104">
        <f t="shared" si="1"/>
        <v>0.8333333333</v>
      </c>
      <c r="I786" s="105">
        <f t="shared" si="2"/>
        <v>67.95</v>
      </c>
      <c r="J786" s="106">
        <f t="shared" si="3"/>
        <v>81.54</v>
      </c>
      <c r="K786" s="123">
        <v>37.21</v>
      </c>
      <c r="L786" s="103">
        <v>12517.0</v>
      </c>
      <c r="M786" s="103">
        <v>3.0</v>
      </c>
      <c r="N786" s="124">
        <v>229.85</v>
      </c>
      <c r="O786" s="109">
        <f t="shared" si="224"/>
        <v>0.1618881879</v>
      </c>
      <c r="P786" s="110">
        <f t="shared" si="5"/>
        <v>6.177102929</v>
      </c>
      <c r="Q786" s="109">
        <f t="shared" si="6"/>
        <v>0.1095217071</v>
      </c>
      <c r="R786" s="111">
        <f t="shared" si="7"/>
        <v>0.676526858</v>
      </c>
      <c r="S786" s="125">
        <f t="shared" si="223"/>
        <v>109.9</v>
      </c>
      <c r="T786" s="113">
        <f t="shared" si="9"/>
        <v>12.40333333</v>
      </c>
      <c r="U786" s="172"/>
      <c r="V786" s="172"/>
      <c r="W786" s="172"/>
      <c r="X786" s="172"/>
      <c r="Y786" s="173"/>
      <c r="Z786" s="165"/>
      <c r="AA786" s="165"/>
    </row>
    <row r="787" hidden="1" outlineLevel="1">
      <c r="A787" s="165"/>
      <c r="B787" s="174"/>
      <c r="C787" s="100" t="s">
        <v>39</v>
      </c>
      <c r="D787" s="126">
        <v>0.0</v>
      </c>
      <c r="E787" s="401"/>
      <c r="F787" s="103">
        <v>0.0</v>
      </c>
      <c r="G787" s="103">
        <v>0.0</v>
      </c>
      <c r="H787" s="104" t="str">
        <f t="shared" si="1"/>
        <v>#DIV/0!</v>
      </c>
      <c r="I787" s="105" t="str">
        <f t="shared" si="2"/>
        <v>#DIV/0!</v>
      </c>
      <c r="J787" s="106" t="str">
        <f t="shared" si="3"/>
        <v>#DIV/0!</v>
      </c>
      <c r="K787" s="126">
        <v>0.0</v>
      </c>
      <c r="L787" s="103">
        <v>0.0</v>
      </c>
      <c r="M787" s="103">
        <v>0.0</v>
      </c>
      <c r="N787" s="127">
        <v>0.0</v>
      </c>
      <c r="O787" s="109" t="str">
        <f t="shared" si="224"/>
        <v>#DIV/0!</v>
      </c>
      <c r="P787" s="110" t="str">
        <f t="shared" si="5"/>
        <v>#DIV/0!</v>
      </c>
      <c r="Q787" s="109" t="str">
        <f t="shared" si="6"/>
        <v>#DIV/0!</v>
      </c>
      <c r="R787" s="111" t="str">
        <f t="shared" si="7"/>
        <v>#DIV/0!</v>
      </c>
      <c r="S787" s="128">
        <f t="shared" si="223"/>
        <v>0</v>
      </c>
      <c r="T787" s="113" t="str">
        <f t="shared" si="9"/>
        <v>#DIV/0!</v>
      </c>
      <c r="U787" s="172"/>
      <c r="V787" s="172"/>
      <c r="W787" s="172"/>
      <c r="X787" s="172"/>
      <c r="Y787" s="173"/>
      <c r="Z787" s="165"/>
      <c r="AA787" s="165"/>
    </row>
    <row r="788" hidden="1" outlineLevel="1">
      <c r="A788" s="165"/>
      <c r="B788" s="174"/>
      <c r="C788" s="100" t="s">
        <v>40</v>
      </c>
      <c r="D788" s="129">
        <v>0.0</v>
      </c>
      <c r="E788" s="401"/>
      <c r="F788" s="103">
        <v>0.0</v>
      </c>
      <c r="G788" s="103">
        <v>0.0</v>
      </c>
      <c r="H788" s="104" t="str">
        <f t="shared" si="1"/>
        <v>#DIV/0!</v>
      </c>
      <c r="I788" s="105" t="str">
        <f t="shared" si="2"/>
        <v>#DIV/0!</v>
      </c>
      <c r="J788" s="106" t="str">
        <f t="shared" si="3"/>
        <v>#DIV/0!</v>
      </c>
      <c r="K788" s="129">
        <v>0.0</v>
      </c>
      <c r="L788" s="103">
        <v>0.0</v>
      </c>
      <c r="M788" s="103">
        <v>0.0</v>
      </c>
      <c r="N788" s="130">
        <v>0.0</v>
      </c>
      <c r="O788" s="109" t="str">
        <f t="shared" si="224"/>
        <v>#DIV/0!</v>
      </c>
      <c r="P788" s="110" t="str">
        <f t="shared" si="5"/>
        <v>#DIV/0!</v>
      </c>
      <c r="Q788" s="109" t="str">
        <f t="shared" si="6"/>
        <v>#DIV/0!</v>
      </c>
      <c r="R788" s="111" t="str">
        <f t="shared" si="7"/>
        <v>#DIV/0!</v>
      </c>
      <c r="S788" s="131">
        <f t="shared" si="223"/>
        <v>0</v>
      </c>
      <c r="T788" s="113" t="str">
        <f t="shared" si="9"/>
        <v>#DIV/0!</v>
      </c>
      <c r="U788" s="172"/>
      <c r="V788" s="172"/>
      <c r="W788" s="172"/>
      <c r="X788" s="172"/>
      <c r="Y788" s="173"/>
      <c r="Z788" s="165"/>
      <c r="AA788" s="165"/>
    </row>
    <row r="789" hidden="1" outlineLevel="1">
      <c r="A789" s="165"/>
      <c r="B789" s="174"/>
      <c r="C789" s="100" t="s">
        <v>41</v>
      </c>
      <c r="D789" s="132">
        <v>1737.94</v>
      </c>
      <c r="E789" s="401"/>
      <c r="F789" s="103">
        <v>24.0</v>
      </c>
      <c r="G789" s="103">
        <v>24.0</v>
      </c>
      <c r="H789" s="104">
        <f t="shared" si="1"/>
        <v>1</v>
      </c>
      <c r="I789" s="105">
        <f t="shared" si="2"/>
        <v>72.41416667</v>
      </c>
      <c r="J789" s="106">
        <f t="shared" si="3"/>
        <v>72.41416667</v>
      </c>
      <c r="K789" s="132">
        <v>192.57</v>
      </c>
      <c r="L789" s="103">
        <v>29771.0</v>
      </c>
      <c r="M789" s="103">
        <v>9.0</v>
      </c>
      <c r="N789" s="133">
        <v>718.93</v>
      </c>
      <c r="O789" s="109">
        <f t="shared" si="224"/>
        <v>0.2678563977</v>
      </c>
      <c r="P789" s="110">
        <f t="shared" si="5"/>
        <v>3.733343719</v>
      </c>
      <c r="Q789" s="109">
        <f t="shared" si="6"/>
        <v>0.1108035951</v>
      </c>
      <c r="R789" s="111">
        <f t="shared" si="7"/>
        <v>0.4136679057</v>
      </c>
      <c r="S789" s="134">
        <f t="shared" si="223"/>
        <v>1019.01</v>
      </c>
      <c r="T789" s="113">
        <f t="shared" si="9"/>
        <v>21.39666667</v>
      </c>
      <c r="U789" s="172"/>
      <c r="V789" s="172"/>
      <c r="W789" s="172"/>
      <c r="X789" s="172"/>
      <c r="Y789" s="173"/>
      <c r="Z789" s="165"/>
      <c r="AA789" s="165"/>
    </row>
    <row r="790" hidden="1" outlineLevel="1">
      <c r="A790" s="165"/>
      <c r="B790" s="174"/>
      <c r="C790" s="100" t="s">
        <v>42</v>
      </c>
      <c r="D790" s="120">
        <v>19.99</v>
      </c>
      <c r="E790" s="401"/>
      <c r="F790" s="103">
        <v>1.0</v>
      </c>
      <c r="G790" s="103">
        <v>2.0</v>
      </c>
      <c r="H790" s="104">
        <f t="shared" si="1"/>
        <v>0.5</v>
      </c>
      <c r="I790" s="105">
        <f t="shared" si="2"/>
        <v>19.99</v>
      </c>
      <c r="J790" s="106">
        <f t="shared" si="3"/>
        <v>39.98</v>
      </c>
      <c r="K790" s="120">
        <v>114.32</v>
      </c>
      <c r="L790" s="103">
        <v>46531.0</v>
      </c>
      <c r="M790" s="103">
        <v>2.0</v>
      </c>
      <c r="N790" s="121">
        <v>39.98</v>
      </c>
      <c r="O790" s="109">
        <f t="shared" si="224"/>
        <v>2.859429715</v>
      </c>
      <c r="P790" s="110">
        <f t="shared" si="5"/>
        <v>0.349720084</v>
      </c>
      <c r="Q790" s="109">
        <f t="shared" si="6"/>
        <v>5.71885943</v>
      </c>
      <c r="R790" s="111">
        <f t="shared" si="7"/>
        <v>2</v>
      </c>
      <c r="S790" s="122">
        <f t="shared" si="223"/>
        <v>-19.99</v>
      </c>
      <c r="T790" s="113">
        <f t="shared" si="9"/>
        <v>57.16</v>
      </c>
      <c r="U790" s="172"/>
      <c r="V790" s="172"/>
      <c r="W790" s="172"/>
      <c r="X790" s="172"/>
      <c r="Y790" s="173"/>
      <c r="Z790" s="165"/>
      <c r="AA790" s="165"/>
    </row>
    <row r="791" hidden="1" outlineLevel="1">
      <c r="A791" s="165"/>
      <c r="B791" s="174"/>
      <c r="C791" s="100" t="s">
        <v>43</v>
      </c>
      <c r="D791" s="135">
        <v>-131.96</v>
      </c>
      <c r="E791" s="401"/>
      <c r="F791" s="103">
        <v>-1.0</v>
      </c>
      <c r="G791" s="103">
        <v>1.0</v>
      </c>
      <c r="H791" s="104">
        <f t="shared" si="1"/>
        <v>-1</v>
      </c>
      <c r="I791" s="105">
        <f t="shared" si="2"/>
        <v>131.96</v>
      </c>
      <c r="J791" s="106">
        <f t="shared" si="3"/>
        <v>-131.96</v>
      </c>
      <c r="K791" s="135">
        <v>59.03</v>
      </c>
      <c r="L791" s="103">
        <v>11790.0</v>
      </c>
      <c r="M791" s="103">
        <v>1.0</v>
      </c>
      <c r="N791" s="136">
        <v>210.95</v>
      </c>
      <c r="O791" s="109">
        <f t="shared" si="224"/>
        <v>0.2798293434</v>
      </c>
      <c r="P791" s="110">
        <f t="shared" si="5"/>
        <v>3.573606641</v>
      </c>
      <c r="Q791" s="109">
        <f t="shared" si="6"/>
        <v>-0.447332525</v>
      </c>
      <c r="R791" s="111">
        <f t="shared" si="7"/>
        <v>-1.598590482</v>
      </c>
      <c r="S791" s="137">
        <f t="shared" si="223"/>
        <v>-342.91</v>
      </c>
      <c r="T791" s="113">
        <f t="shared" si="9"/>
        <v>59.03</v>
      </c>
      <c r="U791" s="172"/>
      <c r="V791" s="172"/>
      <c r="W791" s="172"/>
      <c r="X791" s="172"/>
      <c r="Y791" s="173"/>
      <c r="Z791" s="165"/>
      <c r="AA791" s="165"/>
    </row>
    <row r="792" hidden="1" outlineLevel="1">
      <c r="A792" s="165"/>
      <c r="B792" s="174"/>
      <c r="C792" s="100" t="s">
        <v>44</v>
      </c>
      <c r="D792" s="138">
        <v>138.89</v>
      </c>
      <c r="E792" s="401"/>
      <c r="F792" s="103">
        <v>1.0</v>
      </c>
      <c r="G792" s="103">
        <v>5.0</v>
      </c>
      <c r="H792" s="104">
        <f t="shared" si="1"/>
        <v>0.2</v>
      </c>
      <c r="I792" s="105">
        <f t="shared" si="2"/>
        <v>138.89</v>
      </c>
      <c r="J792" s="106">
        <f t="shared" si="3"/>
        <v>694.45</v>
      </c>
      <c r="K792" s="138">
        <v>137.3</v>
      </c>
      <c r="L792" s="103">
        <v>54033.0</v>
      </c>
      <c r="M792" s="103">
        <v>3.0</v>
      </c>
      <c r="N792" s="139">
        <v>179.85</v>
      </c>
      <c r="O792" s="109">
        <f t="shared" si="224"/>
        <v>0.7634139561</v>
      </c>
      <c r="P792" s="110">
        <f t="shared" si="5"/>
        <v>1.309905317</v>
      </c>
      <c r="Q792" s="109">
        <f t="shared" si="6"/>
        <v>0.9885520916</v>
      </c>
      <c r="R792" s="111">
        <f t="shared" si="7"/>
        <v>1.294909641</v>
      </c>
      <c r="S792" s="140">
        <f t="shared" si="223"/>
        <v>-40.96</v>
      </c>
      <c r="T792" s="113">
        <f t="shared" si="9"/>
        <v>45.76666667</v>
      </c>
      <c r="U792" s="172"/>
      <c r="V792" s="172"/>
      <c r="W792" s="172"/>
      <c r="X792" s="172"/>
      <c r="Y792" s="173"/>
      <c r="Z792" s="165"/>
      <c r="AA792" s="165"/>
    </row>
    <row r="793" hidden="1" outlineLevel="1">
      <c r="A793" s="192"/>
      <c r="B793" s="174"/>
      <c r="C793" s="142" t="s">
        <v>45</v>
      </c>
      <c r="D793" s="101">
        <v>0.0</v>
      </c>
      <c r="E793" s="401"/>
      <c r="F793" s="103">
        <v>0.0</v>
      </c>
      <c r="G793" s="103">
        <v>0.0</v>
      </c>
      <c r="H793" s="104" t="str">
        <f t="shared" si="1"/>
        <v>#DIV/0!</v>
      </c>
      <c r="I793" s="105" t="str">
        <f t="shared" si="2"/>
        <v>#DIV/0!</v>
      </c>
      <c r="J793" s="106" t="str">
        <f t="shared" si="3"/>
        <v>#DIV/0!</v>
      </c>
      <c r="K793" s="101">
        <v>0.0</v>
      </c>
      <c r="L793" s="103">
        <v>0.0</v>
      </c>
      <c r="M793" s="103">
        <v>0.0</v>
      </c>
      <c r="N793" s="108">
        <v>0.0</v>
      </c>
      <c r="O793" s="109" t="str">
        <f t="shared" si="224"/>
        <v>#DIV/0!</v>
      </c>
      <c r="P793" s="110" t="str">
        <f t="shared" si="5"/>
        <v>#DIV/0!</v>
      </c>
      <c r="Q793" s="109" t="str">
        <f t="shared" si="6"/>
        <v>#DIV/0!</v>
      </c>
      <c r="R793" s="111" t="str">
        <f t="shared" si="7"/>
        <v>#DIV/0!</v>
      </c>
      <c r="S793" s="112">
        <f t="shared" si="223"/>
        <v>0</v>
      </c>
      <c r="T793" s="113" t="str">
        <f t="shared" si="9"/>
        <v>#DIV/0!</v>
      </c>
      <c r="U793" s="193"/>
      <c r="V793" s="193"/>
      <c r="W793" s="193"/>
      <c r="X793" s="194"/>
      <c r="Y793" s="195"/>
      <c r="Z793" s="165"/>
      <c r="AA793" s="165"/>
    </row>
    <row r="794" hidden="1" outlineLevel="1">
      <c r="A794" s="165"/>
      <c r="B794" s="174"/>
      <c r="C794" s="100" t="s">
        <v>46</v>
      </c>
      <c r="D794" s="146">
        <v>130.85</v>
      </c>
      <c r="E794" s="401"/>
      <c r="F794" s="103">
        <v>3.0</v>
      </c>
      <c r="G794" s="103">
        <v>2.0</v>
      </c>
      <c r="H794" s="104">
        <f t="shared" si="1"/>
        <v>1.5</v>
      </c>
      <c r="I794" s="105">
        <f t="shared" si="2"/>
        <v>43.61666667</v>
      </c>
      <c r="J794" s="106">
        <f t="shared" si="3"/>
        <v>29.07777778</v>
      </c>
      <c r="K794" s="146">
        <v>70.46</v>
      </c>
      <c r="L794" s="103">
        <v>15556.0</v>
      </c>
      <c r="M794" s="103">
        <v>0.0</v>
      </c>
      <c r="N794" s="147">
        <v>0.0</v>
      </c>
      <c r="O794" s="109" t="str">
        <f t="shared" si="224"/>
        <v>#DIV/0!</v>
      </c>
      <c r="P794" s="110">
        <f t="shared" si="5"/>
        <v>0</v>
      </c>
      <c r="Q794" s="109">
        <f t="shared" si="6"/>
        <v>0.5384791746</v>
      </c>
      <c r="R794" s="111">
        <f t="shared" si="7"/>
        <v>0</v>
      </c>
      <c r="S794" s="112">
        <f t="shared" si="223"/>
        <v>130.85</v>
      </c>
      <c r="T794" s="113" t="str">
        <f t="shared" si="9"/>
        <v>#DIV/0!</v>
      </c>
      <c r="U794" s="172"/>
      <c r="V794" s="172"/>
      <c r="W794" s="172"/>
      <c r="X794" s="172"/>
      <c r="Y794" s="173"/>
      <c r="Z794" s="165"/>
      <c r="AA794" s="165"/>
    </row>
    <row r="795" hidden="1" outlineLevel="1">
      <c r="A795" s="148" t="str">
        <f t="shared" ref="A795:A796" si="225">iferror(if(B795&gt;0,month(B795)&amp;"-"&amp;year(B795),B795),)</f>
        <v>10-2025</v>
      </c>
      <c r="B795" s="99">
        <v>45955.0</v>
      </c>
      <c r="C795" s="100" t="s">
        <v>49</v>
      </c>
      <c r="D795" s="146">
        <v>-96.0</v>
      </c>
      <c r="E795" s="401"/>
      <c r="F795" s="103">
        <v>-1.0</v>
      </c>
      <c r="G795" s="103">
        <v>0.0</v>
      </c>
      <c r="H795" s="104" t="str">
        <f t="shared" si="1"/>
        <v>#DIV/0!</v>
      </c>
      <c r="I795" s="105">
        <f t="shared" si="2"/>
        <v>96</v>
      </c>
      <c r="J795" s="106" t="str">
        <f t="shared" si="3"/>
        <v>#DIV/0!</v>
      </c>
      <c r="K795" s="146">
        <v>7.3</v>
      </c>
      <c r="L795" s="103">
        <v>7520.0</v>
      </c>
      <c r="M795" s="103">
        <v>0.0</v>
      </c>
      <c r="N795" s="147">
        <v>0.0</v>
      </c>
      <c r="O795" s="109" t="str">
        <f t="shared" si="224"/>
        <v>#DIV/0!</v>
      </c>
      <c r="P795" s="110">
        <f t="shared" si="5"/>
        <v>0</v>
      </c>
      <c r="Q795" s="109">
        <f t="shared" si="6"/>
        <v>-0.07604166667</v>
      </c>
      <c r="R795" s="111">
        <f t="shared" si="7"/>
        <v>0</v>
      </c>
      <c r="S795" s="112">
        <f t="shared" si="223"/>
        <v>-96</v>
      </c>
      <c r="T795" s="113" t="str">
        <f t="shared" si="9"/>
        <v>#DIV/0!</v>
      </c>
      <c r="U795" s="172"/>
      <c r="V795" s="172"/>
      <c r="W795" s="172"/>
      <c r="X795" s="172"/>
      <c r="Y795" s="173"/>
      <c r="Z795" s="165"/>
      <c r="AA795" s="165"/>
    </row>
    <row r="796" collapsed="1">
      <c r="A796" s="165" t="str">
        <f t="shared" si="225"/>
        <v/>
      </c>
      <c r="B796" s="80" t="s">
        <v>130</v>
      </c>
      <c r="C796" s="201"/>
      <c r="D796" s="151">
        <f>SUM(D781:D795)</f>
        <v>11501.19</v>
      </c>
      <c r="E796" s="400"/>
      <c r="F796" s="153">
        <f t="shared" ref="F796:G796" si="226">SUM(F781:F795)</f>
        <v>102</v>
      </c>
      <c r="G796" s="153">
        <f t="shared" si="226"/>
        <v>119</v>
      </c>
      <c r="H796" s="154">
        <f t="shared" si="1"/>
        <v>0.8571428571</v>
      </c>
      <c r="I796" s="155">
        <f t="shared" si="2"/>
        <v>112.7567647</v>
      </c>
      <c r="J796" s="156">
        <f t="shared" si="3"/>
        <v>131.5495588</v>
      </c>
      <c r="K796" s="151">
        <f t="shared" ref="K796:N796" si="227">SUM(K781:K795)</f>
        <v>1645.41</v>
      </c>
      <c r="L796" s="153">
        <f t="shared" si="227"/>
        <v>430068</v>
      </c>
      <c r="M796" s="153">
        <f t="shared" si="227"/>
        <v>38</v>
      </c>
      <c r="N796" s="157">
        <f t="shared" si="227"/>
        <v>4802.06</v>
      </c>
      <c r="O796" s="158">
        <f t="shared" si="224"/>
        <v>0.3426466975</v>
      </c>
      <c r="P796" s="159">
        <f t="shared" si="5"/>
        <v>2.918458014</v>
      </c>
      <c r="Q796" s="158">
        <f t="shared" si="6"/>
        <v>0.1430643264</v>
      </c>
      <c r="R796" s="160">
        <f t="shared" si="7"/>
        <v>0.4175272298</v>
      </c>
      <c r="S796" s="161">
        <f>SUM(S781:S795)</f>
        <v>6699.13</v>
      </c>
      <c r="T796" s="162">
        <f t="shared" si="9"/>
        <v>43.30026316</v>
      </c>
      <c r="U796" s="163">
        <f>IFERROR((D796-D246)/D796,)</f>
        <v>0.3408229931</v>
      </c>
      <c r="V796" s="163">
        <f>IFERROR((F796-F246)/F796,)</f>
        <v>0.07843137255</v>
      </c>
      <c r="W796" s="398" t="str">
        <f>IFERROR((D796-monthly_reporting_2021!E587)/D796, )</f>
        <v/>
      </c>
      <c r="X796" s="398" t="str">
        <f>IFERROR((F796-monthly_reporting_2021!F587)/F796, )</f>
        <v/>
      </c>
      <c r="Y796" s="165"/>
      <c r="Z796" s="165"/>
      <c r="AA796" s="165"/>
    </row>
    <row r="797" hidden="1" outlineLevel="1">
      <c r="A797" s="165"/>
      <c r="B797" s="99">
        <v>45956.0</v>
      </c>
      <c r="C797" s="100" t="s">
        <v>32</v>
      </c>
      <c r="D797" s="101">
        <v>3108.77</v>
      </c>
      <c r="E797" s="401"/>
      <c r="F797" s="103">
        <v>27.0</v>
      </c>
      <c r="G797" s="103">
        <v>30.0</v>
      </c>
      <c r="H797" s="104">
        <f t="shared" si="1"/>
        <v>0.9</v>
      </c>
      <c r="I797" s="105">
        <f t="shared" si="2"/>
        <v>115.1396296</v>
      </c>
      <c r="J797" s="106">
        <f t="shared" si="3"/>
        <v>127.9329218</v>
      </c>
      <c r="K797" s="107">
        <v>534.11</v>
      </c>
      <c r="L797" s="103">
        <v>103940.0</v>
      </c>
      <c r="M797" s="103">
        <v>6.0</v>
      </c>
      <c r="N797" s="108">
        <v>307.75</v>
      </c>
      <c r="O797" s="109">
        <f t="shared" si="224"/>
        <v>1.735532088</v>
      </c>
      <c r="P797" s="110">
        <f t="shared" si="5"/>
        <v>0.5761921702</v>
      </c>
      <c r="Q797" s="109">
        <f t="shared" si="6"/>
        <v>0.1718074994</v>
      </c>
      <c r="R797" s="111">
        <f t="shared" si="7"/>
        <v>0.09899413594</v>
      </c>
      <c r="S797" s="112">
        <f t="shared" ref="S797:S811" si="228">D797-N797</f>
        <v>2801.02</v>
      </c>
      <c r="T797" s="113">
        <f t="shared" si="9"/>
        <v>89.01833333</v>
      </c>
      <c r="U797" s="172"/>
      <c r="V797" s="172"/>
      <c r="W797" s="172"/>
      <c r="X797" s="172"/>
      <c r="Y797" s="173"/>
      <c r="Z797" s="165"/>
      <c r="AA797" s="165"/>
    </row>
    <row r="798" hidden="1" outlineLevel="1">
      <c r="A798" s="165"/>
      <c r="B798" s="174"/>
      <c r="C798" s="100" t="s">
        <v>33</v>
      </c>
      <c r="D798" s="117">
        <v>2365.95</v>
      </c>
      <c r="E798" s="401"/>
      <c r="F798" s="103">
        <v>42.0</v>
      </c>
      <c r="G798" s="103">
        <v>40.0</v>
      </c>
      <c r="H798" s="104">
        <f t="shared" si="1"/>
        <v>1.05</v>
      </c>
      <c r="I798" s="105">
        <f t="shared" si="2"/>
        <v>56.33214286</v>
      </c>
      <c r="J798" s="106">
        <f t="shared" si="3"/>
        <v>53.64965986</v>
      </c>
      <c r="K798" s="117">
        <v>227.98</v>
      </c>
      <c r="L798" s="103">
        <v>79981.0</v>
      </c>
      <c r="M798" s="103">
        <v>6.0</v>
      </c>
      <c r="N798" s="118">
        <v>1004.9</v>
      </c>
      <c r="O798" s="109">
        <f t="shared" si="224"/>
        <v>0.2268683451</v>
      </c>
      <c r="P798" s="110">
        <f t="shared" si="5"/>
        <v>4.407842793</v>
      </c>
      <c r="Q798" s="109">
        <f t="shared" si="6"/>
        <v>0.09635875652</v>
      </c>
      <c r="R798" s="111">
        <f t="shared" si="7"/>
        <v>0.4247342505</v>
      </c>
      <c r="S798" s="119">
        <f t="shared" si="228"/>
        <v>1361.05</v>
      </c>
      <c r="T798" s="113">
        <f t="shared" si="9"/>
        <v>37.99666667</v>
      </c>
      <c r="U798" s="172"/>
      <c r="V798" s="172"/>
      <c r="W798" s="172"/>
      <c r="X798" s="172"/>
      <c r="Y798" s="173"/>
      <c r="Z798" s="165"/>
      <c r="AA798" s="165"/>
    </row>
    <row r="799" hidden="1" outlineLevel="1">
      <c r="A799" s="165"/>
      <c r="B799" s="174"/>
      <c r="C799" s="100" t="s">
        <v>34</v>
      </c>
      <c r="D799" s="120">
        <v>699.5</v>
      </c>
      <c r="E799" s="401"/>
      <c r="F799" s="103">
        <v>10.0</v>
      </c>
      <c r="G799" s="103">
        <v>5.0</v>
      </c>
      <c r="H799" s="104">
        <f t="shared" si="1"/>
        <v>2</v>
      </c>
      <c r="I799" s="105">
        <f t="shared" si="2"/>
        <v>69.95</v>
      </c>
      <c r="J799" s="106">
        <f t="shared" si="3"/>
        <v>34.975</v>
      </c>
      <c r="K799" s="120">
        <v>0.0</v>
      </c>
      <c r="L799" s="103">
        <v>342.0</v>
      </c>
      <c r="M799" s="103">
        <v>0.0</v>
      </c>
      <c r="N799" s="121">
        <v>0.0</v>
      </c>
      <c r="O799" s="109" t="str">
        <f>(K799/N799)</f>
        <v>#DIV/0!</v>
      </c>
      <c r="P799" s="110" t="str">
        <f t="shared" si="5"/>
        <v>#DIV/0!</v>
      </c>
      <c r="Q799" s="109">
        <f t="shared" si="6"/>
        <v>0</v>
      </c>
      <c r="R799" s="111">
        <f t="shared" si="7"/>
        <v>0</v>
      </c>
      <c r="S799" s="122">
        <f t="shared" si="228"/>
        <v>699.5</v>
      </c>
      <c r="T799" s="113" t="str">
        <f t="shared" si="9"/>
        <v>#DIV/0!</v>
      </c>
      <c r="U799" s="172"/>
      <c r="V799" s="172"/>
      <c r="W799" s="172"/>
      <c r="X799" s="172"/>
      <c r="Y799" s="173"/>
      <c r="Z799" s="165"/>
      <c r="AA799" s="165"/>
    </row>
    <row r="800" hidden="1" outlineLevel="1">
      <c r="A800" s="165"/>
      <c r="B800" s="174"/>
      <c r="C800" s="100" t="s">
        <v>35</v>
      </c>
      <c r="D800" s="120">
        <v>560.53</v>
      </c>
      <c r="E800" s="401"/>
      <c r="F800" s="103">
        <v>9.0</v>
      </c>
      <c r="G800" s="103">
        <v>10.0</v>
      </c>
      <c r="H800" s="104">
        <f t="shared" si="1"/>
        <v>0.9</v>
      </c>
      <c r="I800" s="105">
        <f t="shared" si="2"/>
        <v>62.28111111</v>
      </c>
      <c r="J800" s="106">
        <f t="shared" si="3"/>
        <v>69.20123457</v>
      </c>
      <c r="K800" s="120">
        <v>268.76</v>
      </c>
      <c r="L800" s="103">
        <v>25315.0</v>
      </c>
      <c r="M800" s="103">
        <v>8.0</v>
      </c>
      <c r="N800" s="121">
        <v>479.6</v>
      </c>
      <c r="O800" s="109">
        <f t="shared" ref="O800:O814" si="229">K800/N800</f>
        <v>0.560383653</v>
      </c>
      <c r="P800" s="110">
        <f t="shared" si="5"/>
        <v>1.78449174</v>
      </c>
      <c r="Q800" s="109">
        <f t="shared" si="6"/>
        <v>0.4794747828</v>
      </c>
      <c r="R800" s="111">
        <f t="shared" si="7"/>
        <v>0.8556187894</v>
      </c>
      <c r="S800" s="122">
        <f t="shared" si="228"/>
        <v>80.93</v>
      </c>
      <c r="T800" s="113">
        <f t="shared" si="9"/>
        <v>33.595</v>
      </c>
      <c r="U800" s="172"/>
      <c r="V800" s="172"/>
      <c r="W800" s="172"/>
      <c r="X800" s="172"/>
      <c r="Y800" s="173"/>
      <c r="Z800" s="165"/>
      <c r="AA800" s="165"/>
    </row>
    <row r="801" hidden="1" outlineLevel="1">
      <c r="A801" s="165"/>
      <c r="B801" s="174"/>
      <c r="C801" s="100" t="s">
        <v>36</v>
      </c>
      <c r="D801" s="120">
        <v>319.75</v>
      </c>
      <c r="E801" s="401"/>
      <c r="F801" s="103">
        <v>5.0</v>
      </c>
      <c r="G801" s="103">
        <v>5.0</v>
      </c>
      <c r="H801" s="104">
        <f t="shared" si="1"/>
        <v>1</v>
      </c>
      <c r="I801" s="105">
        <f t="shared" si="2"/>
        <v>63.95</v>
      </c>
      <c r="J801" s="106">
        <f t="shared" si="3"/>
        <v>63.95</v>
      </c>
      <c r="K801" s="120">
        <v>64.74</v>
      </c>
      <c r="L801" s="103">
        <v>23556.0</v>
      </c>
      <c r="M801" s="103">
        <v>2.0</v>
      </c>
      <c r="N801" s="121">
        <v>129.9</v>
      </c>
      <c r="O801" s="109">
        <f t="shared" si="229"/>
        <v>0.4983833718</v>
      </c>
      <c r="P801" s="110">
        <f t="shared" si="5"/>
        <v>2.006487488</v>
      </c>
      <c r="Q801" s="109">
        <f t="shared" si="6"/>
        <v>0.2024706802</v>
      </c>
      <c r="R801" s="111">
        <f t="shared" si="7"/>
        <v>0.4062548866</v>
      </c>
      <c r="S801" s="122">
        <f t="shared" si="228"/>
        <v>189.85</v>
      </c>
      <c r="T801" s="113">
        <f t="shared" si="9"/>
        <v>32.37</v>
      </c>
      <c r="U801" s="172"/>
      <c r="V801" s="172"/>
      <c r="W801" s="172"/>
      <c r="X801" s="172"/>
      <c r="Y801" s="173"/>
      <c r="Z801" s="165"/>
      <c r="AA801" s="165"/>
    </row>
    <row r="802" hidden="1" outlineLevel="1">
      <c r="A802" s="165"/>
      <c r="B802" s="99" t="s">
        <v>37</v>
      </c>
      <c r="C802" s="100" t="s">
        <v>38</v>
      </c>
      <c r="D802" s="123">
        <v>419.69</v>
      </c>
      <c r="E802" s="401"/>
      <c r="F802" s="103">
        <v>7.0</v>
      </c>
      <c r="G802" s="103">
        <v>7.0</v>
      </c>
      <c r="H802" s="104">
        <f t="shared" si="1"/>
        <v>1</v>
      </c>
      <c r="I802" s="105">
        <f t="shared" si="2"/>
        <v>59.95571429</v>
      </c>
      <c r="J802" s="106">
        <f t="shared" si="3"/>
        <v>59.95571429</v>
      </c>
      <c r="K802" s="123">
        <v>32.93</v>
      </c>
      <c r="L802" s="103">
        <v>16166.0</v>
      </c>
      <c r="M802" s="103">
        <v>0.0</v>
      </c>
      <c r="N802" s="124">
        <v>0.0</v>
      </c>
      <c r="O802" s="109" t="str">
        <f t="shared" si="229"/>
        <v>#DIV/0!</v>
      </c>
      <c r="P802" s="110">
        <f t="shared" si="5"/>
        <v>0</v>
      </c>
      <c r="Q802" s="109">
        <f t="shared" si="6"/>
        <v>0.07846267483</v>
      </c>
      <c r="R802" s="111">
        <f t="shared" si="7"/>
        <v>0</v>
      </c>
      <c r="S802" s="125">
        <f t="shared" si="228"/>
        <v>419.69</v>
      </c>
      <c r="T802" s="113" t="str">
        <f t="shared" si="9"/>
        <v>#DIV/0!</v>
      </c>
      <c r="U802" s="172"/>
      <c r="V802" s="172"/>
      <c r="W802" s="172"/>
      <c r="X802" s="172"/>
      <c r="Y802" s="173"/>
      <c r="Z802" s="165"/>
      <c r="AA802" s="165"/>
    </row>
    <row r="803" hidden="1" outlineLevel="1">
      <c r="A803" s="165"/>
      <c r="B803" s="174"/>
      <c r="C803" s="100" t="s">
        <v>39</v>
      </c>
      <c r="D803" s="126">
        <v>0.0</v>
      </c>
      <c r="E803" s="401"/>
      <c r="F803" s="103">
        <v>0.0</v>
      </c>
      <c r="G803" s="103">
        <v>0.0</v>
      </c>
      <c r="H803" s="104" t="str">
        <f t="shared" si="1"/>
        <v>#DIV/0!</v>
      </c>
      <c r="I803" s="105" t="str">
        <f t="shared" si="2"/>
        <v>#DIV/0!</v>
      </c>
      <c r="J803" s="106" t="str">
        <f t="shared" si="3"/>
        <v>#DIV/0!</v>
      </c>
      <c r="K803" s="126">
        <v>0.0</v>
      </c>
      <c r="L803" s="103">
        <v>0.0</v>
      </c>
      <c r="M803" s="103">
        <v>0.0</v>
      </c>
      <c r="N803" s="127">
        <v>0.0</v>
      </c>
      <c r="O803" s="109" t="str">
        <f t="shared" si="229"/>
        <v>#DIV/0!</v>
      </c>
      <c r="P803" s="110" t="str">
        <f t="shared" si="5"/>
        <v>#DIV/0!</v>
      </c>
      <c r="Q803" s="109" t="str">
        <f t="shared" si="6"/>
        <v>#DIV/0!</v>
      </c>
      <c r="R803" s="111" t="str">
        <f t="shared" si="7"/>
        <v>#DIV/0!</v>
      </c>
      <c r="S803" s="128">
        <f t="shared" si="228"/>
        <v>0</v>
      </c>
      <c r="T803" s="113" t="str">
        <f t="shared" si="9"/>
        <v>#DIV/0!</v>
      </c>
      <c r="U803" s="172"/>
      <c r="V803" s="172"/>
      <c r="W803" s="172"/>
      <c r="X803" s="172"/>
      <c r="Y803" s="173"/>
      <c r="Z803" s="165"/>
      <c r="AA803" s="165"/>
    </row>
    <row r="804" hidden="1" outlineLevel="1">
      <c r="A804" s="165"/>
      <c r="B804" s="174"/>
      <c r="C804" s="100" t="s">
        <v>40</v>
      </c>
      <c r="D804" s="129">
        <v>0.0</v>
      </c>
      <c r="E804" s="401"/>
      <c r="F804" s="103">
        <v>0.0</v>
      </c>
      <c r="G804" s="103">
        <v>0.0</v>
      </c>
      <c r="H804" s="104" t="str">
        <f t="shared" si="1"/>
        <v>#DIV/0!</v>
      </c>
      <c r="I804" s="105" t="str">
        <f t="shared" si="2"/>
        <v>#DIV/0!</v>
      </c>
      <c r="J804" s="106" t="str">
        <f t="shared" si="3"/>
        <v>#DIV/0!</v>
      </c>
      <c r="K804" s="129">
        <v>0.0</v>
      </c>
      <c r="L804" s="103">
        <v>0.0</v>
      </c>
      <c r="M804" s="103">
        <v>0.0</v>
      </c>
      <c r="N804" s="130">
        <v>0.0</v>
      </c>
      <c r="O804" s="109" t="str">
        <f t="shared" si="229"/>
        <v>#DIV/0!</v>
      </c>
      <c r="P804" s="110" t="str">
        <f t="shared" si="5"/>
        <v>#DIV/0!</v>
      </c>
      <c r="Q804" s="109" t="str">
        <f t="shared" si="6"/>
        <v>#DIV/0!</v>
      </c>
      <c r="R804" s="111" t="str">
        <f t="shared" si="7"/>
        <v>#DIV/0!</v>
      </c>
      <c r="S804" s="131">
        <f t="shared" si="228"/>
        <v>0</v>
      </c>
      <c r="T804" s="113" t="str">
        <f t="shared" si="9"/>
        <v>#DIV/0!</v>
      </c>
      <c r="U804" s="172"/>
      <c r="V804" s="172"/>
      <c r="W804" s="172"/>
      <c r="X804" s="172"/>
      <c r="Y804" s="173"/>
      <c r="Z804" s="165"/>
      <c r="AA804" s="165"/>
    </row>
    <row r="805" hidden="1" outlineLevel="1">
      <c r="A805" s="165"/>
      <c r="B805" s="174"/>
      <c r="C805" s="100" t="s">
        <v>41</v>
      </c>
      <c r="D805" s="132">
        <v>1198.82</v>
      </c>
      <c r="E805" s="401"/>
      <c r="F805" s="103">
        <v>19.0</v>
      </c>
      <c r="G805" s="103">
        <v>17.0</v>
      </c>
      <c r="H805" s="104">
        <f t="shared" si="1"/>
        <v>1.117647059</v>
      </c>
      <c r="I805" s="105">
        <f t="shared" si="2"/>
        <v>63.09578947</v>
      </c>
      <c r="J805" s="106">
        <f t="shared" si="3"/>
        <v>56.45412742</v>
      </c>
      <c r="K805" s="132">
        <v>106.18</v>
      </c>
      <c r="L805" s="103">
        <v>29280.0</v>
      </c>
      <c r="M805" s="103">
        <v>5.0</v>
      </c>
      <c r="N805" s="133">
        <v>380.96</v>
      </c>
      <c r="O805" s="109">
        <f t="shared" si="229"/>
        <v>0.2787169257</v>
      </c>
      <c r="P805" s="110">
        <f t="shared" si="5"/>
        <v>3.587869655</v>
      </c>
      <c r="Q805" s="109">
        <f t="shared" si="6"/>
        <v>0.08857042759</v>
      </c>
      <c r="R805" s="111">
        <f t="shared" si="7"/>
        <v>0.3177791495</v>
      </c>
      <c r="S805" s="134">
        <f t="shared" si="228"/>
        <v>817.86</v>
      </c>
      <c r="T805" s="113">
        <f t="shared" si="9"/>
        <v>21.236</v>
      </c>
      <c r="U805" s="172"/>
      <c r="V805" s="172"/>
      <c r="W805" s="172"/>
      <c r="X805" s="172"/>
      <c r="Y805" s="173"/>
      <c r="Z805" s="165"/>
      <c r="AA805" s="165"/>
    </row>
    <row r="806" hidden="1" outlineLevel="1">
      <c r="A806" s="165"/>
      <c r="B806" s="174"/>
      <c r="C806" s="100" t="s">
        <v>42</v>
      </c>
      <c r="D806" s="120">
        <v>49.93</v>
      </c>
      <c r="E806" s="401"/>
      <c r="F806" s="103">
        <v>3.0</v>
      </c>
      <c r="G806" s="103">
        <v>3.0</v>
      </c>
      <c r="H806" s="104">
        <f t="shared" si="1"/>
        <v>1</v>
      </c>
      <c r="I806" s="105">
        <f t="shared" si="2"/>
        <v>16.64333333</v>
      </c>
      <c r="J806" s="106">
        <f t="shared" si="3"/>
        <v>16.64333333</v>
      </c>
      <c r="K806" s="120">
        <v>97.59</v>
      </c>
      <c r="L806" s="103">
        <v>48478.0</v>
      </c>
      <c r="M806" s="103">
        <v>3.0</v>
      </c>
      <c r="N806" s="121">
        <v>59.97</v>
      </c>
      <c r="O806" s="109">
        <f t="shared" si="229"/>
        <v>1.627313657</v>
      </c>
      <c r="P806" s="110">
        <f t="shared" si="5"/>
        <v>0.6145096834</v>
      </c>
      <c r="Q806" s="109">
        <f t="shared" si="6"/>
        <v>1.954536351</v>
      </c>
      <c r="R806" s="111">
        <f t="shared" si="7"/>
        <v>1.201081514</v>
      </c>
      <c r="S806" s="122">
        <f t="shared" si="228"/>
        <v>-10.04</v>
      </c>
      <c r="T806" s="113">
        <f t="shared" si="9"/>
        <v>32.53</v>
      </c>
      <c r="U806" s="172"/>
      <c r="V806" s="172"/>
      <c r="W806" s="172"/>
      <c r="X806" s="172"/>
      <c r="Y806" s="173"/>
      <c r="Z806" s="165"/>
      <c r="AA806" s="165"/>
    </row>
    <row r="807" hidden="1" outlineLevel="1">
      <c r="A807" s="165"/>
      <c r="B807" s="174"/>
      <c r="C807" s="100" t="s">
        <v>43</v>
      </c>
      <c r="D807" s="135">
        <v>158.9</v>
      </c>
      <c r="E807" s="401"/>
      <c r="F807" s="103">
        <v>2.0</v>
      </c>
      <c r="G807" s="103">
        <v>3.0</v>
      </c>
      <c r="H807" s="104">
        <f t="shared" si="1"/>
        <v>0.6666666667</v>
      </c>
      <c r="I807" s="105">
        <f t="shared" si="2"/>
        <v>79.45</v>
      </c>
      <c r="J807" s="106">
        <f t="shared" si="3"/>
        <v>119.175</v>
      </c>
      <c r="K807" s="135">
        <v>38.13</v>
      </c>
      <c r="L807" s="103">
        <v>12772.0</v>
      </c>
      <c r="M807" s="103">
        <v>0.0</v>
      </c>
      <c r="N807" s="136">
        <v>0.0</v>
      </c>
      <c r="O807" s="109" t="str">
        <f t="shared" si="229"/>
        <v>#DIV/0!</v>
      </c>
      <c r="P807" s="110">
        <f t="shared" si="5"/>
        <v>0</v>
      </c>
      <c r="Q807" s="109">
        <f t="shared" si="6"/>
        <v>0.2399622404</v>
      </c>
      <c r="R807" s="111">
        <f t="shared" si="7"/>
        <v>0</v>
      </c>
      <c r="S807" s="137">
        <f t="shared" si="228"/>
        <v>158.9</v>
      </c>
      <c r="T807" s="113" t="str">
        <f t="shared" si="9"/>
        <v>#DIV/0!</v>
      </c>
      <c r="U807" s="172"/>
      <c r="V807" s="172"/>
      <c r="W807" s="172"/>
      <c r="X807" s="172"/>
      <c r="Y807" s="173"/>
      <c r="Z807" s="165"/>
      <c r="AA807" s="165"/>
    </row>
    <row r="808" hidden="1" outlineLevel="1">
      <c r="A808" s="165"/>
      <c r="B808" s="174"/>
      <c r="C808" s="100" t="s">
        <v>44</v>
      </c>
      <c r="D808" s="138">
        <v>152.88</v>
      </c>
      <c r="E808" s="401"/>
      <c r="F808" s="103">
        <v>2.0</v>
      </c>
      <c r="G808" s="103">
        <v>4.0</v>
      </c>
      <c r="H808" s="104">
        <f t="shared" si="1"/>
        <v>0.5</v>
      </c>
      <c r="I808" s="105">
        <f t="shared" si="2"/>
        <v>76.44</v>
      </c>
      <c r="J808" s="106">
        <f t="shared" si="3"/>
        <v>152.88</v>
      </c>
      <c r="K808" s="138">
        <v>136.81</v>
      </c>
      <c r="L808" s="103">
        <v>49376.0</v>
      </c>
      <c r="M808" s="103">
        <v>3.0</v>
      </c>
      <c r="N808" s="139">
        <v>179.85</v>
      </c>
      <c r="O808" s="109">
        <f t="shared" si="229"/>
        <v>0.7606894634</v>
      </c>
      <c r="P808" s="110">
        <f t="shared" si="5"/>
        <v>1.314596886</v>
      </c>
      <c r="Q808" s="109">
        <f t="shared" si="6"/>
        <v>0.894884877</v>
      </c>
      <c r="R808" s="111">
        <f t="shared" si="7"/>
        <v>1.176412873</v>
      </c>
      <c r="S808" s="140">
        <f t="shared" si="228"/>
        <v>-26.97</v>
      </c>
      <c r="T808" s="113">
        <f t="shared" si="9"/>
        <v>45.60333333</v>
      </c>
      <c r="U808" s="172"/>
      <c r="V808" s="172"/>
      <c r="W808" s="172"/>
      <c r="X808" s="172"/>
      <c r="Y808" s="173"/>
      <c r="Z808" s="165"/>
      <c r="AA808" s="165"/>
    </row>
    <row r="809" hidden="1" outlineLevel="1">
      <c r="A809" s="192"/>
      <c r="B809" s="174"/>
      <c r="C809" s="142" t="s">
        <v>45</v>
      </c>
      <c r="D809" s="101">
        <v>0.0</v>
      </c>
      <c r="E809" s="401"/>
      <c r="F809" s="103">
        <v>0.0</v>
      </c>
      <c r="G809" s="103">
        <v>0.0</v>
      </c>
      <c r="H809" s="104" t="str">
        <f t="shared" si="1"/>
        <v>#DIV/0!</v>
      </c>
      <c r="I809" s="105" t="str">
        <f t="shared" si="2"/>
        <v>#DIV/0!</v>
      </c>
      <c r="J809" s="106" t="str">
        <f t="shared" si="3"/>
        <v>#DIV/0!</v>
      </c>
      <c r="K809" s="101">
        <v>0.0</v>
      </c>
      <c r="L809" s="103">
        <v>0.0</v>
      </c>
      <c r="M809" s="103">
        <v>0.0</v>
      </c>
      <c r="N809" s="108">
        <v>0.0</v>
      </c>
      <c r="O809" s="109" t="str">
        <f t="shared" si="229"/>
        <v>#DIV/0!</v>
      </c>
      <c r="P809" s="110" t="str">
        <f t="shared" si="5"/>
        <v>#DIV/0!</v>
      </c>
      <c r="Q809" s="109" t="str">
        <f t="shared" si="6"/>
        <v>#DIV/0!</v>
      </c>
      <c r="R809" s="111" t="str">
        <f t="shared" si="7"/>
        <v>#DIV/0!</v>
      </c>
      <c r="S809" s="112">
        <f t="shared" si="228"/>
        <v>0</v>
      </c>
      <c r="T809" s="113" t="str">
        <f t="shared" si="9"/>
        <v>#DIV/0!</v>
      </c>
      <c r="U809" s="193"/>
      <c r="V809" s="193"/>
      <c r="W809" s="193"/>
      <c r="X809" s="194"/>
      <c r="Y809" s="195"/>
      <c r="Z809" s="165"/>
      <c r="AA809" s="165"/>
    </row>
    <row r="810" hidden="1" outlineLevel="1">
      <c r="A810" s="165"/>
      <c r="B810" s="174"/>
      <c r="C810" s="100" t="s">
        <v>46</v>
      </c>
      <c r="D810" s="146">
        <v>392.55</v>
      </c>
      <c r="E810" s="401"/>
      <c r="F810" s="103">
        <v>9.0</v>
      </c>
      <c r="G810" s="103">
        <v>12.0</v>
      </c>
      <c r="H810" s="104">
        <f t="shared" si="1"/>
        <v>0.75</v>
      </c>
      <c r="I810" s="105">
        <f t="shared" si="2"/>
        <v>43.61666667</v>
      </c>
      <c r="J810" s="106">
        <f t="shared" si="3"/>
        <v>58.15555556</v>
      </c>
      <c r="K810" s="146">
        <v>182.16</v>
      </c>
      <c r="L810" s="103">
        <v>38980.0</v>
      </c>
      <c r="M810" s="103">
        <v>4.0</v>
      </c>
      <c r="N810" s="147">
        <v>173.8</v>
      </c>
      <c r="O810" s="109">
        <f t="shared" si="229"/>
        <v>1.048101266</v>
      </c>
      <c r="P810" s="110">
        <f t="shared" si="5"/>
        <v>0.9541062802</v>
      </c>
      <c r="Q810" s="109">
        <f t="shared" si="6"/>
        <v>0.4640427971</v>
      </c>
      <c r="R810" s="111">
        <f t="shared" si="7"/>
        <v>0.442746147</v>
      </c>
      <c r="S810" s="112">
        <f t="shared" si="228"/>
        <v>218.75</v>
      </c>
      <c r="T810" s="113">
        <f t="shared" si="9"/>
        <v>45.54</v>
      </c>
      <c r="U810" s="172"/>
      <c r="V810" s="172"/>
      <c r="W810" s="172"/>
      <c r="X810" s="172"/>
      <c r="Y810" s="173"/>
      <c r="Z810" s="165"/>
      <c r="AA810" s="165"/>
    </row>
    <row r="811" hidden="1" outlineLevel="1">
      <c r="A811" s="148" t="str">
        <f t="shared" ref="A811:A812" si="230">iferror(if(B811&gt;0,month(B811)&amp;"-"&amp;year(B811),B811),)</f>
        <v>11-2025</v>
      </c>
      <c r="B811" s="99">
        <v>45962.0</v>
      </c>
      <c r="C811" s="100" t="s">
        <v>49</v>
      </c>
      <c r="D811" s="146">
        <v>-96.0</v>
      </c>
      <c r="E811" s="401"/>
      <c r="F811" s="103">
        <v>-1.0</v>
      </c>
      <c r="G811" s="103">
        <v>0.0</v>
      </c>
      <c r="H811" s="104" t="str">
        <f t="shared" si="1"/>
        <v>#DIV/0!</v>
      </c>
      <c r="I811" s="105">
        <f t="shared" si="2"/>
        <v>96</v>
      </c>
      <c r="J811" s="106" t="str">
        <f t="shared" si="3"/>
        <v>#DIV/0!</v>
      </c>
      <c r="K811" s="146">
        <v>5.88</v>
      </c>
      <c r="L811" s="103">
        <v>8831.0</v>
      </c>
      <c r="M811" s="103">
        <v>0.0</v>
      </c>
      <c r="N811" s="147">
        <v>0.0</v>
      </c>
      <c r="O811" s="109" t="str">
        <f t="shared" si="229"/>
        <v>#DIV/0!</v>
      </c>
      <c r="P811" s="110">
        <f t="shared" si="5"/>
        <v>0</v>
      </c>
      <c r="Q811" s="109">
        <f t="shared" si="6"/>
        <v>-0.06125</v>
      </c>
      <c r="R811" s="111">
        <f t="shared" si="7"/>
        <v>0</v>
      </c>
      <c r="S811" s="112">
        <f t="shared" si="228"/>
        <v>-96</v>
      </c>
      <c r="T811" s="113" t="str">
        <f t="shared" si="9"/>
        <v>#DIV/0!</v>
      </c>
      <c r="U811" s="172"/>
      <c r="V811" s="172"/>
      <c r="W811" s="172"/>
      <c r="X811" s="172"/>
      <c r="Y811" s="173"/>
      <c r="Z811" s="165"/>
      <c r="AA811" s="165"/>
    </row>
    <row r="812" collapsed="1">
      <c r="A812" s="165" t="str">
        <f t="shared" si="230"/>
        <v/>
      </c>
      <c r="B812" s="80" t="s">
        <v>131</v>
      </c>
      <c r="C812" s="201"/>
      <c r="D812" s="151">
        <f>SUM(D797:D811)</f>
        <v>9331.27</v>
      </c>
      <c r="E812" s="400"/>
      <c r="F812" s="153">
        <f t="shared" ref="F812:G812" si="231">SUM(F797:F811)</f>
        <v>134</v>
      </c>
      <c r="G812" s="153">
        <f t="shared" si="231"/>
        <v>136</v>
      </c>
      <c r="H812" s="154">
        <f t="shared" si="1"/>
        <v>0.9852941176</v>
      </c>
      <c r="I812" s="155">
        <f t="shared" si="2"/>
        <v>69.63634328</v>
      </c>
      <c r="J812" s="156">
        <f t="shared" si="3"/>
        <v>70.67569169</v>
      </c>
      <c r="K812" s="151">
        <f t="shared" ref="K812:N812" si="232">SUM(K797:K811)</f>
        <v>1695.27</v>
      </c>
      <c r="L812" s="153">
        <f t="shared" si="232"/>
        <v>437017</v>
      </c>
      <c r="M812" s="153">
        <f t="shared" si="232"/>
        <v>37</v>
      </c>
      <c r="N812" s="157">
        <f t="shared" si="232"/>
        <v>2716.73</v>
      </c>
      <c r="O812" s="158">
        <f t="shared" si="229"/>
        <v>0.6240112194</v>
      </c>
      <c r="P812" s="159">
        <f t="shared" si="5"/>
        <v>1.602535289</v>
      </c>
      <c r="Q812" s="158">
        <f t="shared" si="6"/>
        <v>0.1816762349</v>
      </c>
      <c r="R812" s="160">
        <f t="shared" si="7"/>
        <v>0.2911425776</v>
      </c>
      <c r="S812" s="161">
        <f>SUM(S797:S811)</f>
        <v>6614.54</v>
      </c>
      <c r="T812" s="162">
        <f t="shared" si="9"/>
        <v>45.81810811</v>
      </c>
      <c r="U812" s="163">
        <f>IFERROR((D812-D246)/D812,)</f>
        <v>0.1875361017</v>
      </c>
      <c r="V812" s="163">
        <f>IFERROR((F812-F246)/F812,)</f>
        <v>0.2985074627</v>
      </c>
      <c r="W812" s="398" t="str">
        <f>IFERROR((D812-monthly_reporting_2021!E603)/D812, )</f>
        <v/>
      </c>
      <c r="X812" s="398" t="str">
        <f>IFERROR((F812-monthly_reporting_2021!F603)/F812, )</f>
        <v/>
      </c>
      <c r="Y812" s="165"/>
      <c r="Z812" s="165"/>
      <c r="AA812" s="165"/>
    </row>
    <row r="813" hidden="1" outlineLevel="1">
      <c r="A813" s="165"/>
      <c r="B813" s="99">
        <v>45963.0</v>
      </c>
      <c r="C813" s="100" t="s">
        <v>32</v>
      </c>
      <c r="D813" s="101">
        <v>2096.95</v>
      </c>
      <c r="E813" s="401"/>
      <c r="F813" s="103">
        <v>22.0</v>
      </c>
      <c r="G813" s="103">
        <v>24.0</v>
      </c>
      <c r="H813" s="104">
        <f t="shared" si="1"/>
        <v>0.9166666667</v>
      </c>
      <c r="I813" s="105">
        <f t="shared" si="2"/>
        <v>95.31590909</v>
      </c>
      <c r="J813" s="106">
        <f t="shared" si="3"/>
        <v>103.9809917</v>
      </c>
      <c r="K813" s="107">
        <v>738.02</v>
      </c>
      <c r="L813" s="103">
        <v>132624.0</v>
      </c>
      <c r="M813" s="103">
        <v>2.0</v>
      </c>
      <c r="N813" s="108">
        <v>204.9</v>
      </c>
      <c r="O813" s="109">
        <f t="shared" si="229"/>
        <v>3.601854563</v>
      </c>
      <c r="P813" s="110">
        <f t="shared" si="5"/>
        <v>0.2776347524</v>
      </c>
      <c r="Q813" s="109">
        <f t="shared" si="6"/>
        <v>0.3519492596</v>
      </c>
      <c r="R813" s="111">
        <f t="shared" si="7"/>
        <v>0.09771334557</v>
      </c>
      <c r="S813" s="112">
        <f t="shared" ref="S813:S828" si="233">D813-N813</f>
        <v>1892.05</v>
      </c>
      <c r="T813" s="113">
        <f t="shared" si="9"/>
        <v>369.01</v>
      </c>
      <c r="U813" s="172"/>
      <c r="V813" s="172"/>
      <c r="W813" s="172"/>
      <c r="X813" s="172"/>
      <c r="Y813" s="173"/>
      <c r="Z813" s="165"/>
      <c r="AA813" s="165"/>
    </row>
    <row r="814" hidden="1" outlineLevel="1">
      <c r="A814" s="165"/>
      <c r="B814" s="174"/>
      <c r="C814" s="100" t="s">
        <v>33</v>
      </c>
      <c r="D814" s="117">
        <v>4358.85</v>
      </c>
      <c r="E814" s="401"/>
      <c r="F814" s="103">
        <v>52.0</v>
      </c>
      <c r="G814" s="103">
        <v>52.0</v>
      </c>
      <c r="H814" s="104">
        <f t="shared" si="1"/>
        <v>1</v>
      </c>
      <c r="I814" s="105">
        <f t="shared" si="2"/>
        <v>83.82403846</v>
      </c>
      <c r="J814" s="106">
        <f t="shared" si="3"/>
        <v>83.82403846</v>
      </c>
      <c r="K814" s="117">
        <v>290.51</v>
      </c>
      <c r="L814" s="103">
        <v>95880.0</v>
      </c>
      <c r="M814" s="103">
        <v>12.0</v>
      </c>
      <c r="N814" s="118">
        <v>904.65</v>
      </c>
      <c r="O814" s="109">
        <f t="shared" si="229"/>
        <v>0.3211297187</v>
      </c>
      <c r="P814" s="110">
        <f t="shared" si="5"/>
        <v>3.114006403</v>
      </c>
      <c r="Q814" s="109">
        <f t="shared" si="6"/>
        <v>0.0666483132</v>
      </c>
      <c r="R814" s="111">
        <f t="shared" si="7"/>
        <v>0.207543274</v>
      </c>
      <c r="S814" s="119">
        <f t="shared" si="233"/>
        <v>3454.2</v>
      </c>
      <c r="T814" s="113">
        <f t="shared" si="9"/>
        <v>24.20916667</v>
      </c>
      <c r="U814" s="172"/>
      <c r="V814" s="172"/>
      <c r="W814" s="172"/>
      <c r="X814" s="172"/>
      <c r="Y814" s="173"/>
      <c r="Z814" s="165"/>
      <c r="AA814" s="165"/>
    </row>
    <row r="815" hidden="1" outlineLevel="1">
      <c r="A815" s="165"/>
      <c r="B815" s="174"/>
      <c r="C815" s="100" t="s">
        <v>34</v>
      </c>
      <c r="D815" s="120">
        <v>209.85</v>
      </c>
      <c r="E815" s="401"/>
      <c r="F815" s="103">
        <v>3.0</v>
      </c>
      <c r="G815" s="103">
        <v>1.0</v>
      </c>
      <c r="H815" s="104">
        <f t="shared" si="1"/>
        <v>3</v>
      </c>
      <c r="I815" s="105">
        <f t="shared" si="2"/>
        <v>69.95</v>
      </c>
      <c r="J815" s="106">
        <f t="shared" si="3"/>
        <v>23.31666667</v>
      </c>
      <c r="K815" s="120">
        <v>0.0</v>
      </c>
      <c r="L815" s="103">
        <v>320.0</v>
      </c>
      <c r="M815" s="103">
        <v>0.0</v>
      </c>
      <c r="N815" s="121">
        <v>0.0</v>
      </c>
      <c r="O815" s="109" t="str">
        <f>(K815/N815)</f>
        <v>#DIV/0!</v>
      </c>
      <c r="P815" s="110" t="str">
        <f t="shared" si="5"/>
        <v>#DIV/0!</v>
      </c>
      <c r="Q815" s="109">
        <f t="shared" si="6"/>
        <v>0</v>
      </c>
      <c r="R815" s="111">
        <f t="shared" si="7"/>
        <v>0</v>
      </c>
      <c r="S815" s="122">
        <f t="shared" si="233"/>
        <v>209.85</v>
      </c>
      <c r="T815" s="113" t="str">
        <f t="shared" si="9"/>
        <v>#DIV/0!</v>
      </c>
      <c r="U815" s="172"/>
      <c r="V815" s="172"/>
      <c r="W815" s="172"/>
      <c r="X815" s="172"/>
      <c r="Y815" s="173"/>
      <c r="Z815" s="165"/>
      <c r="AA815" s="165"/>
    </row>
    <row r="816" hidden="1" outlineLevel="1">
      <c r="A816" s="165"/>
      <c r="B816" s="174"/>
      <c r="C816" s="100" t="s">
        <v>35</v>
      </c>
      <c r="D816" s="120">
        <v>422.65</v>
      </c>
      <c r="E816" s="401"/>
      <c r="F816" s="103">
        <v>7.0</v>
      </c>
      <c r="G816" s="103">
        <v>7.0</v>
      </c>
      <c r="H816" s="104">
        <f t="shared" si="1"/>
        <v>1</v>
      </c>
      <c r="I816" s="105">
        <f t="shared" si="2"/>
        <v>60.37857143</v>
      </c>
      <c r="J816" s="106">
        <f t="shared" si="3"/>
        <v>60.37857143</v>
      </c>
      <c r="K816" s="120">
        <v>199.67</v>
      </c>
      <c r="L816" s="103">
        <v>26446.0</v>
      </c>
      <c r="M816" s="103">
        <v>3.0</v>
      </c>
      <c r="N816" s="121">
        <v>179.85</v>
      </c>
      <c r="O816" s="109">
        <f t="shared" ref="O816:O831" si="234">K816/N816</f>
        <v>1.110202947</v>
      </c>
      <c r="P816" s="110">
        <f t="shared" si="5"/>
        <v>0.9007362148</v>
      </c>
      <c r="Q816" s="109">
        <f t="shared" si="6"/>
        <v>0.4724239915</v>
      </c>
      <c r="R816" s="111">
        <f t="shared" si="7"/>
        <v>0.4255293978</v>
      </c>
      <c r="S816" s="122">
        <f t="shared" si="233"/>
        <v>242.8</v>
      </c>
      <c r="T816" s="113">
        <f t="shared" si="9"/>
        <v>66.55666667</v>
      </c>
      <c r="U816" s="172"/>
      <c r="V816" s="172"/>
      <c r="W816" s="172"/>
      <c r="X816" s="172"/>
      <c r="Y816" s="173"/>
      <c r="Z816" s="165"/>
      <c r="AA816" s="165"/>
    </row>
    <row r="817" hidden="1" outlineLevel="1">
      <c r="A817" s="165"/>
      <c r="B817" s="174"/>
      <c r="C817" s="100" t="s">
        <v>36</v>
      </c>
      <c r="D817" s="120">
        <v>404.66</v>
      </c>
      <c r="E817" s="401"/>
      <c r="F817" s="103">
        <v>6.0</v>
      </c>
      <c r="G817" s="103">
        <v>6.0</v>
      </c>
      <c r="H817" s="104">
        <f t="shared" si="1"/>
        <v>1</v>
      </c>
      <c r="I817" s="105">
        <f t="shared" si="2"/>
        <v>67.44333333</v>
      </c>
      <c r="J817" s="106">
        <f t="shared" si="3"/>
        <v>67.44333333</v>
      </c>
      <c r="K817" s="120">
        <v>79.9</v>
      </c>
      <c r="L817" s="103">
        <v>29248.0</v>
      </c>
      <c r="M817" s="103">
        <v>3.0</v>
      </c>
      <c r="N817" s="121">
        <v>129.9</v>
      </c>
      <c r="O817" s="109">
        <f t="shared" si="234"/>
        <v>0.6150885296</v>
      </c>
      <c r="P817" s="110">
        <f t="shared" si="5"/>
        <v>1.625782228</v>
      </c>
      <c r="Q817" s="109">
        <f t="shared" si="6"/>
        <v>0.1974497109</v>
      </c>
      <c r="R817" s="111">
        <f t="shared" si="7"/>
        <v>0.3210102308</v>
      </c>
      <c r="S817" s="122">
        <f t="shared" si="233"/>
        <v>274.76</v>
      </c>
      <c r="T817" s="113">
        <f t="shared" si="9"/>
        <v>26.63333333</v>
      </c>
      <c r="U817" s="172"/>
      <c r="V817" s="172"/>
      <c r="W817" s="172"/>
      <c r="X817" s="172"/>
      <c r="Y817" s="173"/>
      <c r="Z817" s="165"/>
      <c r="AA817" s="165"/>
    </row>
    <row r="818" hidden="1" outlineLevel="1">
      <c r="A818" s="165"/>
      <c r="B818" s="99" t="s">
        <v>37</v>
      </c>
      <c r="C818" s="100" t="s">
        <v>38</v>
      </c>
      <c r="D818" s="123">
        <v>234.8</v>
      </c>
      <c r="E818" s="401"/>
      <c r="F818" s="103">
        <v>4.0</v>
      </c>
      <c r="G818" s="103">
        <v>5.0</v>
      </c>
      <c r="H818" s="104">
        <f t="shared" si="1"/>
        <v>0.8</v>
      </c>
      <c r="I818" s="105">
        <f t="shared" si="2"/>
        <v>58.7</v>
      </c>
      <c r="J818" s="106">
        <f t="shared" si="3"/>
        <v>73.375</v>
      </c>
      <c r="K818" s="123">
        <v>38.45</v>
      </c>
      <c r="L818" s="103">
        <v>10545.0</v>
      </c>
      <c r="M818" s="103">
        <v>2.0</v>
      </c>
      <c r="N818" s="124">
        <v>69.9</v>
      </c>
      <c r="O818" s="109">
        <f t="shared" si="234"/>
        <v>0.5500715308</v>
      </c>
      <c r="P818" s="110">
        <f t="shared" si="5"/>
        <v>1.817945384</v>
      </c>
      <c r="Q818" s="109">
        <f t="shared" si="6"/>
        <v>0.1637563884</v>
      </c>
      <c r="R818" s="111">
        <f t="shared" si="7"/>
        <v>0.2977001704</v>
      </c>
      <c r="S818" s="125">
        <f t="shared" si="233"/>
        <v>164.9</v>
      </c>
      <c r="T818" s="113">
        <f t="shared" si="9"/>
        <v>19.225</v>
      </c>
      <c r="U818" s="172"/>
      <c r="V818" s="172"/>
      <c r="W818" s="172"/>
      <c r="X818" s="172"/>
      <c r="Y818" s="173"/>
      <c r="Z818" s="165"/>
      <c r="AA818" s="165"/>
    </row>
    <row r="819" hidden="1" outlineLevel="1">
      <c r="A819" s="165"/>
      <c r="B819" s="174"/>
      <c r="C819" s="100" t="s">
        <v>39</v>
      </c>
      <c r="D819" s="126">
        <v>0.0</v>
      </c>
      <c r="E819" s="401"/>
      <c r="F819" s="103">
        <v>0.0</v>
      </c>
      <c r="G819" s="103">
        <v>0.0</v>
      </c>
      <c r="H819" s="104" t="str">
        <f t="shared" si="1"/>
        <v>#DIV/0!</v>
      </c>
      <c r="I819" s="105" t="str">
        <f t="shared" si="2"/>
        <v>#DIV/0!</v>
      </c>
      <c r="J819" s="106" t="str">
        <f t="shared" si="3"/>
        <v>#DIV/0!</v>
      </c>
      <c r="K819" s="126">
        <v>0.0</v>
      </c>
      <c r="L819" s="103">
        <v>0.0</v>
      </c>
      <c r="M819" s="103">
        <v>0.0</v>
      </c>
      <c r="N819" s="127">
        <v>0.0</v>
      </c>
      <c r="O819" s="109" t="str">
        <f t="shared" si="234"/>
        <v>#DIV/0!</v>
      </c>
      <c r="P819" s="110" t="str">
        <f t="shared" si="5"/>
        <v>#DIV/0!</v>
      </c>
      <c r="Q819" s="109" t="str">
        <f t="shared" si="6"/>
        <v>#DIV/0!</v>
      </c>
      <c r="R819" s="111" t="str">
        <f t="shared" si="7"/>
        <v>#DIV/0!</v>
      </c>
      <c r="S819" s="128">
        <f t="shared" si="233"/>
        <v>0</v>
      </c>
      <c r="T819" s="113" t="str">
        <f t="shared" si="9"/>
        <v>#DIV/0!</v>
      </c>
      <c r="U819" s="172"/>
      <c r="V819" s="172"/>
      <c r="W819" s="172"/>
      <c r="X819" s="172"/>
      <c r="Y819" s="173"/>
      <c r="Z819" s="165"/>
      <c r="AA819" s="165"/>
    </row>
    <row r="820" hidden="1" outlineLevel="1">
      <c r="A820" s="165"/>
      <c r="B820" s="174"/>
      <c r="C820" s="100" t="s">
        <v>40</v>
      </c>
      <c r="D820" s="129">
        <v>0.0</v>
      </c>
      <c r="E820" s="401"/>
      <c r="F820" s="103">
        <v>0.0</v>
      </c>
      <c r="G820" s="103">
        <v>0.0</v>
      </c>
      <c r="H820" s="104" t="str">
        <f t="shared" si="1"/>
        <v>#DIV/0!</v>
      </c>
      <c r="I820" s="105" t="str">
        <f t="shared" si="2"/>
        <v>#DIV/0!</v>
      </c>
      <c r="J820" s="106" t="str">
        <f t="shared" si="3"/>
        <v>#DIV/0!</v>
      </c>
      <c r="K820" s="129">
        <v>0.0</v>
      </c>
      <c r="L820" s="103">
        <v>0.0</v>
      </c>
      <c r="M820" s="103">
        <v>0.0</v>
      </c>
      <c r="N820" s="130">
        <v>0.0</v>
      </c>
      <c r="O820" s="109" t="str">
        <f t="shared" si="234"/>
        <v>#DIV/0!</v>
      </c>
      <c r="P820" s="110" t="str">
        <f t="shared" si="5"/>
        <v>#DIV/0!</v>
      </c>
      <c r="Q820" s="109" t="str">
        <f t="shared" si="6"/>
        <v>#DIV/0!</v>
      </c>
      <c r="R820" s="111" t="str">
        <f t="shared" si="7"/>
        <v>#DIV/0!</v>
      </c>
      <c r="S820" s="131">
        <f t="shared" si="233"/>
        <v>0</v>
      </c>
      <c r="T820" s="113" t="str">
        <f t="shared" si="9"/>
        <v>#DIV/0!</v>
      </c>
      <c r="U820" s="172"/>
      <c r="V820" s="172"/>
      <c r="W820" s="172"/>
      <c r="X820" s="172"/>
      <c r="Y820" s="173"/>
      <c r="Z820" s="165"/>
      <c r="AA820" s="165"/>
    </row>
    <row r="821" hidden="1" outlineLevel="1">
      <c r="A821" s="165"/>
      <c r="B821" s="174"/>
      <c r="C821" s="100" t="s">
        <v>41</v>
      </c>
      <c r="D821" s="132">
        <v>2015.52</v>
      </c>
      <c r="E821" s="401"/>
      <c r="F821" s="103">
        <v>24.0</v>
      </c>
      <c r="G821" s="103">
        <v>24.0</v>
      </c>
      <c r="H821" s="104">
        <f t="shared" si="1"/>
        <v>1</v>
      </c>
      <c r="I821" s="105">
        <f t="shared" si="2"/>
        <v>83.98</v>
      </c>
      <c r="J821" s="106">
        <f t="shared" si="3"/>
        <v>83.98</v>
      </c>
      <c r="K821" s="132">
        <v>148.69</v>
      </c>
      <c r="L821" s="103">
        <v>24989.0</v>
      </c>
      <c r="M821" s="103">
        <v>8.0</v>
      </c>
      <c r="N821" s="133">
        <v>651.94</v>
      </c>
      <c r="O821" s="109">
        <f t="shared" si="234"/>
        <v>0.2280731356</v>
      </c>
      <c r="P821" s="110">
        <f t="shared" si="5"/>
        <v>4.384558477</v>
      </c>
      <c r="Q821" s="109">
        <f t="shared" si="6"/>
        <v>0.0737725252</v>
      </c>
      <c r="R821" s="111">
        <f t="shared" si="7"/>
        <v>0.3234599508</v>
      </c>
      <c r="S821" s="134">
        <f t="shared" si="233"/>
        <v>1363.58</v>
      </c>
      <c r="T821" s="113">
        <f t="shared" si="9"/>
        <v>18.58625</v>
      </c>
      <c r="U821" s="172"/>
      <c r="V821" s="172"/>
      <c r="W821" s="172"/>
      <c r="X821" s="172"/>
      <c r="Y821" s="173"/>
      <c r="Z821" s="165"/>
      <c r="AA821" s="165"/>
    </row>
    <row r="822" hidden="1" outlineLevel="1">
      <c r="A822" s="165"/>
      <c r="B822" s="174"/>
      <c r="C822" s="100" t="s">
        <v>42</v>
      </c>
      <c r="D822" s="120">
        <v>79.96</v>
      </c>
      <c r="E822" s="401"/>
      <c r="F822" s="103">
        <v>4.0</v>
      </c>
      <c r="G822" s="103">
        <v>4.0</v>
      </c>
      <c r="H822" s="104">
        <f t="shared" si="1"/>
        <v>1</v>
      </c>
      <c r="I822" s="105">
        <f t="shared" si="2"/>
        <v>19.99</v>
      </c>
      <c r="J822" s="106">
        <f t="shared" si="3"/>
        <v>19.99</v>
      </c>
      <c r="K822" s="120">
        <v>132.47</v>
      </c>
      <c r="L822" s="103">
        <v>64051.0</v>
      </c>
      <c r="M822" s="103">
        <v>0.0</v>
      </c>
      <c r="N822" s="121">
        <v>0.0</v>
      </c>
      <c r="O822" s="109" t="str">
        <f t="shared" si="234"/>
        <v>#DIV/0!</v>
      </c>
      <c r="P822" s="110">
        <f t="shared" si="5"/>
        <v>0</v>
      </c>
      <c r="Q822" s="109">
        <f t="shared" si="6"/>
        <v>1.656703352</v>
      </c>
      <c r="R822" s="111">
        <f t="shared" si="7"/>
        <v>0</v>
      </c>
      <c r="S822" s="122">
        <f t="shared" si="233"/>
        <v>79.96</v>
      </c>
      <c r="T822" s="113" t="str">
        <f t="shared" si="9"/>
        <v>#DIV/0!</v>
      </c>
      <c r="U822" s="172"/>
      <c r="V822" s="172"/>
      <c r="W822" s="172"/>
      <c r="X822" s="172"/>
      <c r="Y822" s="173"/>
      <c r="Z822" s="165"/>
      <c r="AA822" s="165"/>
    </row>
    <row r="823" hidden="1" outlineLevel="1">
      <c r="A823" s="165"/>
      <c r="B823" s="174"/>
      <c r="C823" s="100" t="s">
        <v>43</v>
      </c>
      <c r="D823" s="135">
        <v>455.8</v>
      </c>
      <c r="E823" s="401"/>
      <c r="F823" s="103">
        <v>4.0</v>
      </c>
      <c r="G823" s="103">
        <v>5.0</v>
      </c>
      <c r="H823" s="104">
        <f t="shared" si="1"/>
        <v>0.8</v>
      </c>
      <c r="I823" s="105">
        <f t="shared" si="2"/>
        <v>113.95</v>
      </c>
      <c r="J823" s="106">
        <f t="shared" si="3"/>
        <v>142.4375</v>
      </c>
      <c r="K823" s="135">
        <v>53.13</v>
      </c>
      <c r="L823" s="103">
        <v>15807.0</v>
      </c>
      <c r="M823" s="103">
        <v>3.0</v>
      </c>
      <c r="N823" s="136">
        <v>421.9</v>
      </c>
      <c r="O823" s="109">
        <f t="shared" si="234"/>
        <v>0.1259303152</v>
      </c>
      <c r="P823" s="110">
        <f t="shared" si="5"/>
        <v>7.94089968</v>
      </c>
      <c r="Q823" s="109">
        <f t="shared" si="6"/>
        <v>0.1165642826</v>
      </c>
      <c r="R823" s="111">
        <f t="shared" si="7"/>
        <v>0.9256252742</v>
      </c>
      <c r="S823" s="137">
        <f t="shared" si="233"/>
        <v>33.9</v>
      </c>
      <c r="T823" s="113">
        <f t="shared" si="9"/>
        <v>17.71</v>
      </c>
      <c r="U823" s="172"/>
      <c r="V823" s="172"/>
      <c r="W823" s="172"/>
      <c r="X823" s="172"/>
      <c r="Y823" s="173"/>
      <c r="Z823" s="165"/>
      <c r="AA823" s="165"/>
    </row>
    <row r="824" hidden="1" outlineLevel="1">
      <c r="A824" s="165"/>
      <c r="B824" s="174"/>
      <c r="C824" s="100" t="s">
        <v>44</v>
      </c>
      <c r="D824" s="138">
        <v>299.75</v>
      </c>
      <c r="E824" s="401"/>
      <c r="F824" s="103">
        <v>5.0</v>
      </c>
      <c r="G824" s="103">
        <v>5.0</v>
      </c>
      <c r="H824" s="104">
        <f t="shared" si="1"/>
        <v>1</v>
      </c>
      <c r="I824" s="105">
        <f t="shared" si="2"/>
        <v>59.95</v>
      </c>
      <c r="J824" s="106">
        <f t="shared" si="3"/>
        <v>59.95</v>
      </c>
      <c r="K824" s="138">
        <v>91.62</v>
      </c>
      <c r="L824" s="103">
        <v>50703.0</v>
      </c>
      <c r="M824" s="103">
        <v>2.0</v>
      </c>
      <c r="N824" s="139">
        <v>119.9</v>
      </c>
      <c r="O824" s="109">
        <f t="shared" si="234"/>
        <v>0.7641367807</v>
      </c>
      <c r="P824" s="110">
        <f t="shared" si="5"/>
        <v>1.30866623</v>
      </c>
      <c r="Q824" s="109">
        <f t="shared" si="6"/>
        <v>0.3056547123</v>
      </c>
      <c r="R824" s="111">
        <f t="shared" si="7"/>
        <v>0.4</v>
      </c>
      <c r="S824" s="140">
        <f t="shared" si="233"/>
        <v>179.85</v>
      </c>
      <c r="T824" s="113">
        <f t="shared" si="9"/>
        <v>45.81</v>
      </c>
      <c r="U824" s="172"/>
      <c r="V824" s="172"/>
      <c r="W824" s="172"/>
      <c r="X824" s="172"/>
      <c r="Y824" s="173"/>
      <c r="Z824" s="165"/>
      <c r="AA824" s="165"/>
    </row>
    <row r="825" hidden="1" outlineLevel="1">
      <c r="A825" s="192"/>
      <c r="B825" s="174"/>
      <c r="C825" s="142" t="s">
        <v>45</v>
      </c>
      <c r="D825" s="101">
        <v>0.0</v>
      </c>
      <c r="E825" s="401"/>
      <c r="F825" s="103">
        <v>0.0</v>
      </c>
      <c r="G825" s="103">
        <v>0.0</v>
      </c>
      <c r="H825" s="104" t="str">
        <f t="shared" si="1"/>
        <v>#DIV/0!</v>
      </c>
      <c r="I825" s="105" t="str">
        <f t="shared" si="2"/>
        <v>#DIV/0!</v>
      </c>
      <c r="J825" s="106" t="str">
        <f t="shared" si="3"/>
        <v>#DIV/0!</v>
      </c>
      <c r="K825" s="101">
        <v>0.0</v>
      </c>
      <c r="L825" s="103">
        <v>0.0</v>
      </c>
      <c r="M825" s="103">
        <v>0.0</v>
      </c>
      <c r="N825" s="108">
        <v>0.0</v>
      </c>
      <c r="O825" s="109" t="str">
        <f t="shared" si="234"/>
        <v>#DIV/0!</v>
      </c>
      <c r="P825" s="110" t="str">
        <f t="shared" si="5"/>
        <v>#DIV/0!</v>
      </c>
      <c r="Q825" s="109" t="str">
        <f t="shared" si="6"/>
        <v>#DIV/0!</v>
      </c>
      <c r="R825" s="111" t="str">
        <f t="shared" si="7"/>
        <v>#DIV/0!</v>
      </c>
      <c r="S825" s="112">
        <f t="shared" si="233"/>
        <v>0</v>
      </c>
      <c r="T825" s="113" t="str">
        <f t="shared" si="9"/>
        <v>#DIV/0!</v>
      </c>
      <c r="U825" s="193"/>
      <c r="V825" s="193"/>
      <c r="W825" s="193"/>
      <c r="X825" s="194"/>
      <c r="Y825" s="195"/>
      <c r="Z825" s="165"/>
      <c r="AA825" s="165"/>
    </row>
    <row r="826" hidden="1" outlineLevel="1">
      <c r="A826" s="165"/>
      <c r="B826" s="174"/>
      <c r="C826" s="100" t="s">
        <v>46</v>
      </c>
      <c r="D826" s="146">
        <v>392.55</v>
      </c>
      <c r="E826" s="401"/>
      <c r="F826" s="103">
        <v>9.0</v>
      </c>
      <c r="G826" s="103">
        <v>10.0</v>
      </c>
      <c r="H826" s="104">
        <f t="shared" si="1"/>
        <v>0.9</v>
      </c>
      <c r="I826" s="105">
        <f t="shared" si="2"/>
        <v>43.61666667</v>
      </c>
      <c r="J826" s="106">
        <f t="shared" si="3"/>
        <v>48.46296296</v>
      </c>
      <c r="K826" s="146">
        <v>150.37</v>
      </c>
      <c r="L826" s="103">
        <v>47879.0</v>
      </c>
      <c r="M826" s="103">
        <v>2.0</v>
      </c>
      <c r="N826" s="147">
        <v>85.9</v>
      </c>
      <c r="O826" s="109">
        <f t="shared" si="234"/>
        <v>1.750523865</v>
      </c>
      <c r="P826" s="110">
        <f t="shared" si="5"/>
        <v>0.5712575647</v>
      </c>
      <c r="Q826" s="109">
        <f t="shared" si="6"/>
        <v>0.3830594829</v>
      </c>
      <c r="R826" s="111">
        <f t="shared" si="7"/>
        <v>0.2188256273</v>
      </c>
      <c r="S826" s="112">
        <f t="shared" si="233"/>
        <v>306.65</v>
      </c>
      <c r="T826" s="113">
        <f t="shared" si="9"/>
        <v>75.185</v>
      </c>
      <c r="U826" s="172"/>
      <c r="V826" s="172"/>
      <c r="W826" s="172"/>
      <c r="X826" s="172"/>
      <c r="Y826" s="173"/>
      <c r="Z826" s="165"/>
      <c r="AA826" s="165"/>
    </row>
    <row r="827" hidden="1" outlineLevel="1">
      <c r="A827" s="165"/>
      <c r="B827" s="174"/>
      <c r="C827" s="100" t="s">
        <v>47</v>
      </c>
      <c r="D827" s="402">
        <v>0.0</v>
      </c>
      <c r="E827" s="401"/>
      <c r="F827" s="103">
        <v>0.0</v>
      </c>
      <c r="G827" s="103">
        <v>0.0</v>
      </c>
      <c r="H827" s="104" t="str">
        <f t="shared" si="1"/>
        <v>#DIV/0!</v>
      </c>
      <c r="I827" s="105" t="str">
        <f t="shared" si="2"/>
        <v>#DIV/0!</v>
      </c>
      <c r="J827" s="106" t="str">
        <f t="shared" si="3"/>
        <v>#DIV/0!</v>
      </c>
      <c r="K827" s="402">
        <v>0.0</v>
      </c>
      <c r="L827" s="103">
        <v>0.0</v>
      </c>
      <c r="M827" s="103">
        <v>0.0</v>
      </c>
      <c r="N827" s="403">
        <v>0.0</v>
      </c>
      <c r="O827" s="109" t="str">
        <f t="shared" si="234"/>
        <v>#DIV/0!</v>
      </c>
      <c r="P827" s="110" t="str">
        <f t="shared" si="5"/>
        <v>#DIV/0!</v>
      </c>
      <c r="Q827" s="109" t="str">
        <f t="shared" si="6"/>
        <v>#DIV/0!</v>
      </c>
      <c r="R827" s="111" t="str">
        <f t="shared" si="7"/>
        <v>#DIV/0!</v>
      </c>
      <c r="S827" s="112">
        <f t="shared" si="233"/>
        <v>0</v>
      </c>
      <c r="T827" s="113" t="str">
        <f t="shared" si="9"/>
        <v>#DIV/0!</v>
      </c>
      <c r="U827" s="172"/>
      <c r="V827" s="172"/>
      <c r="W827" s="172"/>
      <c r="X827" s="172"/>
      <c r="Y827" s="173"/>
      <c r="Z827" s="165"/>
      <c r="AA827" s="165"/>
    </row>
    <row r="828" hidden="1" outlineLevel="1">
      <c r="A828" s="148" t="str">
        <f t="shared" ref="A828:A829" si="235">iferror(if(B828&gt;0,month(B828)&amp;"-"&amp;year(B828),B828),)</f>
        <v>11-2025</v>
      </c>
      <c r="B828" s="99">
        <v>45969.0</v>
      </c>
      <c r="C828" s="100" t="s">
        <v>49</v>
      </c>
      <c r="D828" s="146">
        <v>96.0</v>
      </c>
      <c r="E828" s="401"/>
      <c r="F828" s="103">
        <v>1.0</v>
      </c>
      <c r="G828" s="103">
        <v>1.0</v>
      </c>
      <c r="H828" s="104">
        <f t="shared" si="1"/>
        <v>1</v>
      </c>
      <c r="I828" s="105">
        <f t="shared" si="2"/>
        <v>96</v>
      </c>
      <c r="J828" s="106">
        <f t="shared" si="3"/>
        <v>96</v>
      </c>
      <c r="K828" s="146">
        <v>11.35</v>
      </c>
      <c r="L828" s="103">
        <v>11665.0</v>
      </c>
      <c r="M828" s="103">
        <v>0.0</v>
      </c>
      <c r="N828" s="147">
        <v>0.0</v>
      </c>
      <c r="O828" s="109" t="str">
        <f t="shared" si="234"/>
        <v>#DIV/0!</v>
      </c>
      <c r="P828" s="110">
        <f t="shared" si="5"/>
        <v>0</v>
      </c>
      <c r="Q828" s="109">
        <f t="shared" si="6"/>
        <v>0.1182291667</v>
      </c>
      <c r="R828" s="111">
        <f t="shared" si="7"/>
        <v>0</v>
      </c>
      <c r="S828" s="112">
        <f t="shared" si="233"/>
        <v>96</v>
      </c>
      <c r="T828" s="113" t="str">
        <f t="shared" si="9"/>
        <v>#DIV/0!</v>
      </c>
      <c r="U828" s="172"/>
      <c r="V828" s="172"/>
      <c r="W828" s="172"/>
      <c r="X828" s="172"/>
      <c r="Y828" s="173"/>
      <c r="Z828" s="165"/>
      <c r="AA828" s="165"/>
    </row>
    <row r="829" collapsed="1">
      <c r="A829" s="165" t="str">
        <f t="shared" si="235"/>
        <v/>
      </c>
      <c r="B829" s="80" t="s">
        <v>132</v>
      </c>
      <c r="C829" s="201"/>
      <c r="D829" s="151">
        <f>SUM(D813:D828)</f>
        <v>11067.34</v>
      </c>
      <c r="E829" s="400"/>
      <c r="F829" s="153">
        <f t="shared" ref="F829:G829" si="236">SUM(F813:F828)</f>
        <v>141</v>
      </c>
      <c r="G829" s="153">
        <f t="shared" si="236"/>
        <v>144</v>
      </c>
      <c r="H829" s="154">
        <f t="shared" si="1"/>
        <v>0.9791666667</v>
      </c>
      <c r="I829" s="155">
        <f t="shared" si="2"/>
        <v>78.49177305</v>
      </c>
      <c r="J829" s="156">
        <f t="shared" si="3"/>
        <v>80.16181077</v>
      </c>
      <c r="K829" s="151">
        <f t="shared" ref="K829:N829" si="237">SUM(K813:K828)</f>
        <v>1934.18</v>
      </c>
      <c r="L829" s="153">
        <f t="shared" si="237"/>
        <v>510157</v>
      </c>
      <c r="M829" s="153">
        <f t="shared" si="237"/>
        <v>37</v>
      </c>
      <c r="N829" s="157">
        <f t="shared" si="237"/>
        <v>2768.84</v>
      </c>
      <c r="O829" s="158">
        <f t="shared" si="234"/>
        <v>0.6985524624</v>
      </c>
      <c r="P829" s="159">
        <f t="shared" si="5"/>
        <v>1.431531709</v>
      </c>
      <c r="Q829" s="158">
        <f t="shared" si="6"/>
        <v>0.1747646679</v>
      </c>
      <c r="R829" s="160">
        <f t="shared" si="7"/>
        <v>0.2501811637</v>
      </c>
      <c r="S829" s="161">
        <f>SUM(S813:S828)</f>
        <v>8298.5</v>
      </c>
      <c r="T829" s="162">
        <f t="shared" si="9"/>
        <v>52.27513514</v>
      </c>
      <c r="U829" s="163">
        <f>IFERROR((D829-D246)/D829,)</f>
        <v>0.3149826426</v>
      </c>
      <c r="V829" s="163">
        <f>IFERROR((F829-F246)/F829,)</f>
        <v>0.3333333333</v>
      </c>
      <c r="W829" s="398" t="str">
        <f>IFERROR((D829-monthly_reporting_2021!E620)/D829, )</f>
        <v/>
      </c>
      <c r="X829" s="398" t="str">
        <f>IFERROR((F829-monthly_reporting_2021!F620)/F829, )</f>
        <v/>
      </c>
      <c r="Y829" s="165"/>
      <c r="Z829" s="165"/>
      <c r="AA829" s="165"/>
    </row>
    <row r="830" hidden="1" outlineLevel="1">
      <c r="A830" s="98"/>
      <c r="B830" s="99">
        <v>45970.0</v>
      </c>
      <c r="C830" s="100" t="s">
        <v>32</v>
      </c>
      <c r="D830" s="101">
        <v>3141.65</v>
      </c>
      <c r="E830" s="102"/>
      <c r="F830" s="103">
        <v>18.0</v>
      </c>
      <c r="G830" s="103">
        <v>18.0</v>
      </c>
      <c r="H830" s="104">
        <f t="shared" si="1"/>
        <v>1</v>
      </c>
      <c r="I830" s="105">
        <f t="shared" si="2"/>
        <v>174.5361111</v>
      </c>
      <c r="J830" s="106">
        <f t="shared" si="3"/>
        <v>174.5361111</v>
      </c>
      <c r="K830" s="107">
        <v>746.22</v>
      </c>
      <c r="L830" s="103">
        <v>350718.0</v>
      </c>
      <c r="M830" s="103">
        <v>7.0</v>
      </c>
      <c r="N830" s="108">
        <v>1434.8</v>
      </c>
      <c r="O830" s="109">
        <f t="shared" si="234"/>
        <v>0.5200864232</v>
      </c>
      <c r="P830" s="110">
        <f t="shared" si="5"/>
        <v>1.922757364</v>
      </c>
      <c r="Q830" s="109">
        <f t="shared" si="6"/>
        <v>0.2375248675</v>
      </c>
      <c r="R830" s="111">
        <f t="shared" si="7"/>
        <v>0.4567026881</v>
      </c>
      <c r="S830" s="112">
        <f t="shared" ref="S830:S846" si="238">D830-N830</f>
        <v>1706.85</v>
      </c>
      <c r="T830" s="113">
        <f t="shared" si="9"/>
        <v>106.6028571</v>
      </c>
      <c r="U830" s="114"/>
      <c r="V830" s="114"/>
      <c r="W830" s="114"/>
      <c r="X830" s="114"/>
      <c r="Y830" s="115"/>
      <c r="Z830" s="98"/>
      <c r="AA830" s="98"/>
    </row>
    <row r="831" hidden="1" outlineLevel="1">
      <c r="A831" s="98"/>
      <c r="B831" s="116"/>
      <c r="C831" s="100" t="s">
        <v>33</v>
      </c>
      <c r="D831" s="117">
        <v>3001.98</v>
      </c>
      <c r="E831" s="102"/>
      <c r="F831" s="103">
        <v>35.0</v>
      </c>
      <c r="G831" s="103">
        <v>38.0</v>
      </c>
      <c r="H831" s="104">
        <f t="shared" si="1"/>
        <v>0.9210526316</v>
      </c>
      <c r="I831" s="105">
        <f t="shared" si="2"/>
        <v>85.77085714</v>
      </c>
      <c r="J831" s="106">
        <f t="shared" si="3"/>
        <v>93.1226449</v>
      </c>
      <c r="K831" s="117">
        <v>351.82</v>
      </c>
      <c r="L831" s="103">
        <v>413951.0</v>
      </c>
      <c r="M831" s="103">
        <v>8.0</v>
      </c>
      <c r="N831" s="118">
        <v>241.75</v>
      </c>
      <c r="O831" s="109">
        <f t="shared" si="234"/>
        <v>1.455305067</v>
      </c>
      <c r="P831" s="110">
        <f t="shared" si="5"/>
        <v>0.6871411517</v>
      </c>
      <c r="Q831" s="109">
        <f t="shared" si="6"/>
        <v>0.117195984</v>
      </c>
      <c r="R831" s="111">
        <f t="shared" si="7"/>
        <v>0.08053018341</v>
      </c>
      <c r="S831" s="119">
        <f t="shared" si="238"/>
        <v>2760.23</v>
      </c>
      <c r="T831" s="113">
        <f t="shared" si="9"/>
        <v>43.9775</v>
      </c>
      <c r="U831" s="114"/>
      <c r="V831" s="114"/>
      <c r="W831" s="114"/>
      <c r="X831" s="114"/>
      <c r="Y831" s="115"/>
      <c r="Z831" s="98"/>
      <c r="AA831" s="98"/>
    </row>
    <row r="832" hidden="1" outlineLevel="1">
      <c r="A832" s="98"/>
      <c r="B832" s="116"/>
      <c r="C832" s="100" t="s">
        <v>34</v>
      </c>
      <c r="D832" s="120">
        <v>0.0</v>
      </c>
      <c r="E832" s="102"/>
      <c r="F832" s="103">
        <v>0.0</v>
      </c>
      <c r="G832" s="103">
        <v>0.0</v>
      </c>
      <c r="H832" s="104" t="str">
        <f t="shared" si="1"/>
        <v>#DIV/0!</v>
      </c>
      <c r="I832" s="105" t="str">
        <f t="shared" si="2"/>
        <v>#DIV/0!</v>
      </c>
      <c r="J832" s="106" t="str">
        <f t="shared" si="3"/>
        <v>#DIV/0!</v>
      </c>
      <c r="K832" s="120">
        <v>25.2</v>
      </c>
      <c r="L832" s="103">
        <v>348.0</v>
      </c>
      <c r="M832" s="103">
        <v>0.0</v>
      </c>
      <c r="N832" s="121">
        <v>0.0</v>
      </c>
      <c r="O832" s="109" t="str">
        <f>(K832/N832)</f>
        <v>#DIV/0!</v>
      </c>
      <c r="P832" s="110">
        <f t="shared" si="5"/>
        <v>0</v>
      </c>
      <c r="Q832" s="109" t="str">
        <f t="shared" si="6"/>
        <v>#DIV/0!</v>
      </c>
      <c r="R832" s="111" t="str">
        <f t="shared" si="7"/>
        <v>#DIV/0!</v>
      </c>
      <c r="S832" s="122">
        <f t="shared" si="238"/>
        <v>0</v>
      </c>
      <c r="T832" s="113" t="str">
        <f t="shared" si="9"/>
        <v>#DIV/0!</v>
      </c>
      <c r="U832" s="114"/>
      <c r="V832" s="114"/>
      <c r="W832" s="114"/>
      <c r="X832" s="114"/>
      <c r="Y832" s="115"/>
      <c r="Z832" s="98"/>
      <c r="AA832" s="98"/>
    </row>
    <row r="833" hidden="1" outlineLevel="1">
      <c r="A833" s="98"/>
      <c r="B833" s="116"/>
      <c r="C833" s="100" t="s">
        <v>35</v>
      </c>
      <c r="D833" s="120">
        <v>470.61</v>
      </c>
      <c r="E833" s="102"/>
      <c r="F833" s="103">
        <v>8.0</v>
      </c>
      <c r="G833" s="103">
        <v>8.0</v>
      </c>
      <c r="H833" s="104">
        <f t="shared" si="1"/>
        <v>1</v>
      </c>
      <c r="I833" s="105">
        <f t="shared" si="2"/>
        <v>58.82625</v>
      </c>
      <c r="J833" s="106">
        <f t="shared" si="3"/>
        <v>58.82625</v>
      </c>
      <c r="K833" s="120">
        <v>279.77</v>
      </c>
      <c r="L833" s="103">
        <v>22624.0</v>
      </c>
      <c r="M833" s="103">
        <v>5.0</v>
      </c>
      <c r="N833" s="121">
        <v>299.75</v>
      </c>
      <c r="O833" s="109">
        <f t="shared" ref="O833:O849" si="239">K833/N833</f>
        <v>0.9333444537</v>
      </c>
      <c r="P833" s="110">
        <f t="shared" si="5"/>
        <v>1.071415806</v>
      </c>
      <c r="Q833" s="109">
        <f t="shared" si="6"/>
        <v>0.5944837551</v>
      </c>
      <c r="R833" s="111">
        <f t="shared" si="7"/>
        <v>0.6369392916</v>
      </c>
      <c r="S833" s="122">
        <f t="shared" si="238"/>
        <v>170.86</v>
      </c>
      <c r="T833" s="113">
        <f t="shared" si="9"/>
        <v>55.954</v>
      </c>
      <c r="U833" s="114"/>
      <c r="V833" s="114"/>
      <c r="W833" s="114"/>
      <c r="X833" s="114"/>
      <c r="Y833" s="115"/>
      <c r="Z833" s="98"/>
      <c r="AA833" s="98"/>
    </row>
    <row r="834" hidden="1" outlineLevel="1">
      <c r="A834" s="98"/>
      <c r="B834" s="116"/>
      <c r="C834" s="100" t="s">
        <v>36</v>
      </c>
      <c r="D834" s="120">
        <v>1040.18</v>
      </c>
      <c r="E834" s="102"/>
      <c r="F834" s="103">
        <v>16.0</v>
      </c>
      <c r="G834" s="103">
        <v>14.0</v>
      </c>
      <c r="H834" s="104">
        <f t="shared" si="1"/>
        <v>1.142857143</v>
      </c>
      <c r="I834" s="105">
        <f t="shared" si="2"/>
        <v>65.01125</v>
      </c>
      <c r="J834" s="106">
        <f t="shared" si="3"/>
        <v>56.88484375</v>
      </c>
      <c r="K834" s="120">
        <v>79.61</v>
      </c>
      <c r="L834" s="103">
        <v>29121.0</v>
      </c>
      <c r="M834" s="103">
        <v>6.0</v>
      </c>
      <c r="N834" s="121">
        <v>389.7</v>
      </c>
      <c r="O834" s="109">
        <f t="shared" si="239"/>
        <v>0.2042853477</v>
      </c>
      <c r="P834" s="110">
        <f t="shared" si="5"/>
        <v>4.895113679</v>
      </c>
      <c r="Q834" s="109">
        <f t="shared" si="6"/>
        <v>0.07653483051</v>
      </c>
      <c r="R834" s="111">
        <f t="shared" si="7"/>
        <v>0.3746466958</v>
      </c>
      <c r="S834" s="122">
        <f t="shared" si="238"/>
        <v>650.48</v>
      </c>
      <c r="T834" s="113">
        <f t="shared" si="9"/>
        <v>13.26833333</v>
      </c>
      <c r="U834" s="114"/>
      <c r="V834" s="114"/>
      <c r="W834" s="114"/>
      <c r="X834" s="114"/>
      <c r="Y834" s="115"/>
      <c r="Z834" s="98"/>
      <c r="AA834" s="98"/>
    </row>
    <row r="835" hidden="1" outlineLevel="1">
      <c r="A835" s="98"/>
      <c r="B835" s="99" t="s">
        <v>37</v>
      </c>
      <c r="C835" s="100" t="s">
        <v>38</v>
      </c>
      <c r="D835" s="123">
        <v>59.9</v>
      </c>
      <c r="E835" s="102"/>
      <c r="F835" s="103">
        <v>2.0</v>
      </c>
      <c r="G835" s="103">
        <v>2.0</v>
      </c>
      <c r="H835" s="104">
        <f t="shared" si="1"/>
        <v>1</v>
      </c>
      <c r="I835" s="105">
        <f t="shared" si="2"/>
        <v>29.95</v>
      </c>
      <c r="J835" s="106">
        <f t="shared" si="3"/>
        <v>29.95</v>
      </c>
      <c r="K835" s="123">
        <v>35.48</v>
      </c>
      <c r="L835" s="103">
        <v>7796.0</v>
      </c>
      <c r="M835" s="103">
        <v>2.0</v>
      </c>
      <c r="N835" s="124">
        <v>59.9</v>
      </c>
      <c r="O835" s="109">
        <f t="shared" si="239"/>
        <v>0.5923205342</v>
      </c>
      <c r="P835" s="110">
        <f t="shared" si="5"/>
        <v>1.688275085</v>
      </c>
      <c r="Q835" s="109">
        <f t="shared" si="6"/>
        <v>0.5923205342</v>
      </c>
      <c r="R835" s="111">
        <f t="shared" si="7"/>
        <v>1</v>
      </c>
      <c r="S835" s="125">
        <f t="shared" si="238"/>
        <v>0</v>
      </c>
      <c r="T835" s="113">
        <f t="shared" si="9"/>
        <v>17.74</v>
      </c>
      <c r="U835" s="114"/>
      <c r="V835" s="114"/>
      <c r="W835" s="114"/>
      <c r="X835" s="114"/>
      <c r="Y835" s="115"/>
      <c r="Z835" s="98"/>
      <c r="AA835" s="98"/>
    </row>
    <row r="836" hidden="1" outlineLevel="1">
      <c r="A836" s="98"/>
      <c r="B836" s="116"/>
      <c r="C836" s="100" t="s">
        <v>39</v>
      </c>
      <c r="D836" s="126">
        <v>0.0</v>
      </c>
      <c r="E836" s="102"/>
      <c r="F836" s="103">
        <v>0.0</v>
      </c>
      <c r="G836" s="103">
        <v>0.0</v>
      </c>
      <c r="H836" s="104" t="str">
        <f t="shared" si="1"/>
        <v>#DIV/0!</v>
      </c>
      <c r="I836" s="105" t="str">
        <f t="shared" si="2"/>
        <v>#DIV/0!</v>
      </c>
      <c r="J836" s="106" t="str">
        <f t="shared" si="3"/>
        <v>#DIV/0!</v>
      </c>
      <c r="K836" s="126">
        <v>0.0</v>
      </c>
      <c r="L836" s="103">
        <v>0.0</v>
      </c>
      <c r="M836" s="103">
        <v>0.0</v>
      </c>
      <c r="N836" s="127">
        <v>0.0</v>
      </c>
      <c r="O836" s="109" t="str">
        <f t="shared" si="239"/>
        <v>#DIV/0!</v>
      </c>
      <c r="P836" s="110" t="str">
        <f t="shared" si="5"/>
        <v>#DIV/0!</v>
      </c>
      <c r="Q836" s="109" t="str">
        <f t="shared" si="6"/>
        <v>#DIV/0!</v>
      </c>
      <c r="R836" s="111" t="str">
        <f t="shared" si="7"/>
        <v>#DIV/0!</v>
      </c>
      <c r="S836" s="128">
        <f t="shared" si="238"/>
        <v>0</v>
      </c>
      <c r="T836" s="113" t="str">
        <f t="shared" si="9"/>
        <v>#DIV/0!</v>
      </c>
      <c r="U836" s="114"/>
      <c r="V836" s="114"/>
      <c r="W836" s="114"/>
      <c r="X836" s="114"/>
      <c r="Y836" s="115"/>
      <c r="Z836" s="98"/>
      <c r="AA836" s="98"/>
    </row>
    <row r="837" hidden="1" outlineLevel="1">
      <c r="A837" s="98"/>
      <c r="B837" s="116"/>
      <c r="C837" s="100" t="s">
        <v>40</v>
      </c>
      <c r="D837" s="129">
        <v>0.0</v>
      </c>
      <c r="E837" s="102"/>
      <c r="F837" s="103">
        <v>0.0</v>
      </c>
      <c r="G837" s="103">
        <v>0.0</v>
      </c>
      <c r="H837" s="104" t="str">
        <f t="shared" si="1"/>
        <v>#DIV/0!</v>
      </c>
      <c r="I837" s="105" t="str">
        <f t="shared" si="2"/>
        <v>#DIV/0!</v>
      </c>
      <c r="J837" s="106" t="str">
        <f t="shared" si="3"/>
        <v>#DIV/0!</v>
      </c>
      <c r="K837" s="129">
        <v>0.0</v>
      </c>
      <c r="L837" s="103">
        <v>0.0</v>
      </c>
      <c r="M837" s="103">
        <v>0.0</v>
      </c>
      <c r="N837" s="130">
        <v>0.0</v>
      </c>
      <c r="O837" s="109" t="str">
        <f t="shared" si="239"/>
        <v>#DIV/0!</v>
      </c>
      <c r="P837" s="110" t="str">
        <f t="shared" si="5"/>
        <v>#DIV/0!</v>
      </c>
      <c r="Q837" s="109" t="str">
        <f t="shared" si="6"/>
        <v>#DIV/0!</v>
      </c>
      <c r="R837" s="111" t="str">
        <f t="shared" si="7"/>
        <v>#DIV/0!</v>
      </c>
      <c r="S837" s="131">
        <f t="shared" si="238"/>
        <v>0</v>
      </c>
      <c r="T837" s="113" t="str">
        <f t="shared" si="9"/>
        <v>#DIV/0!</v>
      </c>
      <c r="U837" s="114"/>
      <c r="V837" s="114"/>
      <c r="W837" s="114"/>
      <c r="X837" s="114"/>
      <c r="Y837" s="115"/>
      <c r="Z837" s="98"/>
      <c r="AA837" s="98"/>
    </row>
    <row r="838" hidden="1" outlineLevel="1">
      <c r="A838" s="98"/>
      <c r="B838" s="116"/>
      <c r="C838" s="100" t="s">
        <v>41</v>
      </c>
      <c r="D838" s="132">
        <v>1889.93</v>
      </c>
      <c r="E838" s="102"/>
      <c r="F838" s="103">
        <v>21.0</v>
      </c>
      <c r="G838" s="103">
        <v>21.0</v>
      </c>
      <c r="H838" s="104">
        <f t="shared" si="1"/>
        <v>1</v>
      </c>
      <c r="I838" s="105">
        <f t="shared" si="2"/>
        <v>89.99666667</v>
      </c>
      <c r="J838" s="106">
        <f t="shared" si="3"/>
        <v>89.99666667</v>
      </c>
      <c r="K838" s="132">
        <v>285.34</v>
      </c>
      <c r="L838" s="103">
        <v>34665.0</v>
      </c>
      <c r="M838" s="103">
        <v>7.0</v>
      </c>
      <c r="N838" s="133">
        <v>1191.77</v>
      </c>
      <c r="O838" s="109">
        <f t="shared" si="239"/>
        <v>0.2394253925</v>
      </c>
      <c r="P838" s="110">
        <f t="shared" si="5"/>
        <v>4.176666433</v>
      </c>
      <c r="Q838" s="109">
        <f t="shared" si="6"/>
        <v>0.1509791368</v>
      </c>
      <c r="R838" s="111">
        <f t="shared" si="7"/>
        <v>0.6305894927</v>
      </c>
      <c r="S838" s="134">
        <f t="shared" si="238"/>
        <v>698.16</v>
      </c>
      <c r="T838" s="113">
        <f t="shared" si="9"/>
        <v>40.76285714</v>
      </c>
      <c r="U838" s="114"/>
      <c r="V838" s="114"/>
      <c r="W838" s="114"/>
      <c r="X838" s="114"/>
      <c r="Y838" s="115"/>
      <c r="Z838" s="98"/>
      <c r="AA838" s="98"/>
    </row>
    <row r="839" hidden="1" outlineLevel="1">
      <c r="A839" s="98"/>
      <c r="B839" s="116"/>
      <c r="C839" s="100" t="s">
        <v>42</v>
      </c>
      <c r="D839" s="120">
        <v>139.93</v>
      </c>
      <c r="E839" s="102"/>
      <c r="F839" s="103">
        <v>7.0</v>
      </c>
      <c r="G839" s="103">
        <v>6.0</v>
      </c>
      <c r="H839" s="104">
        <f t="shared" si="1"/>
        <v>1.166666667</v>
      </c>
      <c r="I839" s="105">
        <f t="shared" si="2"/>
        <v>19.99</v>
      </c>
      <c r="J839" s="106">
        <f t="shared" si="3"/>
        <v>17.13428571</v>
      </c>
      <c r="K839" s="120">
        <v>140.48</v>
      </c>
      <c r="L839" s="103">
        <v>53690.0</v>
      </c>
      <c r="M839" s="103">
        <v>7.0</v>
      </c>
      <c r="N839" s="121">
        <v>139.93</v>
      </c>
      <c r="O839" s="109">
        <f t="shared" si="239"/>
        <v>1.003930537</v>
      </c>
      <c r="P839" s="110">
        <f t="shared" si="5"/>
        <v>0.9960848519</v>
      </c>
      <c r="Q839" s="109">
        <f t="shared" si="6"/>
        <v>1.003930537</v>
      </c>
      <c r="R839" s="111">
        <f t="shared" si="7"/>
        <v>1</v>
      </c>
      <c r="S839" s="122">
        <f t="shared" si="238"/>
        <v>0</v>
      </c>
      <c r="T839" s="113">
        <f t="shared" si="9"/>
        <v>20.06857143</v>
      </c>
      <c r="U839" s="114"/>
      <c r="V839" s="114"/>
      <c r="W839" s="114"/>
      <c r="X839" s="114"/>
      <c r="Y839" s="115"/>
      <c r="Z839" s="98"/>
      <c r="AA839" s="98"/>
    </row>
    <row r="840" hidden="1" outlineLevel="1">
      <c r="A840" s="98"/>
      <c r="B840" s="116"/>
      <c r="C840" s="100" t="s">
        <v>43</v>
      </c>
      <c r="D840" s="135">
        <v>290.85</v>
      </c>
      <c r="E840" s="102"/>
      <c r="F840" s="103">
        <v>3.0</v>
      </c>
      <c r="G840" s="103">
        <v>3.0</v>
      </c>
      <c r="H840" s="104">
        <f t="shared" si="1"/>
        <v>1</v>
      </c>
      <c r="I840" s="105">
        <f t="shared" si="2"/>
        <v>96.95</v>
      </c>
      <c r="J840" s="106">
        <f t="shared" si="3"/>
        <v>96.95</v>
      </c>
      <c r="K840" s="135">
        <v>67.6</v>
      </c>
      <c r="L840" s="103">
        <v>16222.0</v>
      </c>
      <c r="M840" s="103">
        <v>1.0</v>
      </c>
      <c r="N840" s="136">
        <v>210.95</v>
      </c>
      <c r="O840" s="109">
        <f t="shared" si="239"/>
        <v>0.3204550841</v>
      </c>
      <c r="P840" s="110">
        <f t="shared" si="5"/>
        <v>3.12056213</v>
      </c>
      <c r="Q840" s="109">
        <f t="shared" si="6"/>
        <v>0.2324222108</v>
      </c>
      <c r="R840" s="111">
        <f t="shared" si="7"/>
        <v>0.7252879491</v>
      </c>
      <c r="S840" s="137">
        <f t="shared" si="238"/>
        <v>79.9</v>
      </c>
      <c r="T840" s="113">
        <f t="shared" si="9"/>
        <v>67.6</v>
      </c>
      <c r="U840" s="114"/>
      <c r="V840" s="114"/>
      <c r="W840" s="114"/>
      <c r="X840" s="114"/>
      <c r="Y840" s="115"/>
      <c r="Z840" s="98"/>
      <c r="AA840" s="98"/>
    </row>
    <row r="841" hidden="1" outlineLevel="1">
      <c r="A841" s="98"/>
      <c r="B841" s="116"/>
      <c r="C841" s="100" t="s">
        <v>44</v>
      </c>
      <c r="D841" s="138">
        <v>23.98</v>
      </c>
      <c r="E841" s="102"/>
      <c r="F841" s="103">
        <v>0.0</v>
      </c>
      <c r="G841" s="103">
        <v>3.0</v>
      </c>
      <c r="H841" s="104">
        <f t="shared" si="1"/>
        <v>0</v>
      </c>
      <c r="I841" s="105" t="str">
        <f t="shared" si="2"/>
        <v>#DIV/0!</v>
      </c>
      <c r="J841" s="106" t="str">
        <f t="shared" si="3"/>
        <v>#DIV/0!</v>
      </c>
      <c r="K841" s="138">
        <v>130.4</v>
      </c>
      <c r="L841" s="103">
        <v>53659.0</v>
      </c>
      <c r="M841" s="103">
        <v>2.0</v>
      </c>
      <c r="N841" s="139">
        <v>119.9</v>
      </c>
      <c r="O841" s="109">
        <f t="shared" si="239"/>
        <v>1.087572977</v>
      </c>
      <c r="P841" s="110">
        <f t="shared" si="5"/>
        <v>0.9194785276</v>
      </c>
      <c r="Q841" s="109">
        <f t="shared" si="6"/>
        <v>5.437864887</v>
      </c>
      <c r="R841" s="111">
        <f t="shared" si="7"/>
        <v>5</v>
      </c>
      <c r="S841" s="140">
        <f t="shared" si="238"/>
        <v>-95.92</v>
      </c>
      <c r="T841" s="113">
        <f t="shared" si="9"/>
        <v>65.2</v>
      </c>
      <c r="U841" s="114"/>
      <c r="V841" s="114"/>
      <c r="W841" s="114"/>
      <c r="X841" s="114"/>
      <c r="Y841" s="115"/>
      <c r="Z841" s="98"/>
      <c r="AA841" s="98"/>
    </row>
    <row r="842" hidden="1" outlineLevel="1">
      <c r="A842" s="141"/>
      <c r="B842" s="116"/>
      <c r="C842" s="142" t="s">
        <v>45</v>
      </c>
      <c r="D842" s="101">
        <v>0.0</v>
      </c>
      <c r="E842" s="102"/>
      <c r="F842" s="103">
        <v>0.0</v>
      </c>
      <c r="G842" s="103">
        <v>0.0</v>
      </c>
      <c r="H842" s="104" t="str">
        <f t="shared" si="1"/>
        <v>#DIV/0!</v>
      </c>
      <c r="I842" s="105" t="str">
        <f t="shared" si="2"/>
        <v>#DIV/0!</v>
      </c>
      <c r="J842" s="106" t="str">
        <f t="shared" si="3"/>
        <v>#DIV/0!</v>
      </c>
      <c r="K842" s="101">
        <v>0.0</v>
      </c>
      <c r="L842" s="103">
        <v>0.0</v>
      </c>
      <c r="M842" s="103">
        <v>0.0</v>
      </c>
      <c r="N842" s="108">
        <v>0.0</v>
      </c>
      <c r="O842" s="109" t="str">
        <f t="shared" si="239"/>
        <v>#DIV/0!</v>
      </c>
      <c r="P842" s="110" t="str">
        <f t="shared" si="5"/>
        <v>#DIV/0!</v>
      </c>
      <c r="Q842" s="109" t="str">
        <f t="shared" si="6"/>
        <v>#DIV/0!</v>
      </c>
      <c r="R842" s="111" t="str">
        <f t="shared" si="7"/>
        <v>#DIV/0!</v>
      </c>
      <c r="S842" s="112">
        <f t="shared" si="238"/>
        <v>0</v>
      </c>
      <c r="T842" s="113" t="str">
        <f t="shared" si="9"/>
        <v>#DIV/0!</v>
      </c>
      <c r="U842" s="143"/>
      <c r="V842" s="143"/>
      <c r="W842" s="143"/>
      <c r="X842" s="144"/>
      <c r="Y842" s="145"/>
      <c r="Z842" s="98"/>
      <c r="AA842" s="98"/>
    </row>
    <row r="843" hidden="1" outlineLevel="1">
      <c r="A843" s="98"/>
      <c r="B843" s="116"/>
      <c r="C843" s="100" t="s">
        <v>46</v>
      </c>
      <c r="D843" s="146">
        <v>826.05</v>
      </c>
      <c r="E843" s="102"/>
      <c r="F843" s="103">
        <v>19.0</v>
      </c>
      <c r="G843" s="103">
        <v>18.0</v>
      </c>
      <c r="H843" s="104">
        <f t="shared" si="1"/>
        <v>1.055555556</v>
      </c>
      <c r="I843" s="105">
        <f t="shared" si="2"/>
        <v>43.47631579</v>
      </c>
      <c r="J843" s="106">
        <f t="shared" si="3"/>
        <v>41.18808864</v>
      </c>
      <c r="K843" s="146">
        <v>192.18</v>
      </c>
      <c r="L843" s="103">
        <v>50971.0</v>
      </c>
      <c r="M843" s="103">
        <v>8.0</v>
      </c>
      <c r="N843" s="147">
        <v>306.65</v>
      </c>
      <c r="O843" s="109">
        <f t="shared" si="239"/>
        <v>0.6267079733</v>
      </c>
      <c r="P843" s="110">
        <f t="shared" si="5"/>
        <v>1.595639505</v>
      </c>
      <c r="Q843" s="109">
        <f t="shared" si="6"/>
        <v>0.2326493554</v>
      </c>
      <c r="R843" s="111">
        <f t="shared" si="7"/>
        <v>0.3712245021</v>
      </c>
      <c r="S843" s="112">
        <f t="shared" si="238"/>
        <v>519.4</v>
      </c>
      <c r="T843" s="113">
        <f t="shared" si="9"/>
        <v>24.0225</v>
      </c>
      <c r="U843" s="114"/>
      <c r="V843" s="114"/>
      <c r="W843" s="114"/>
      <c r="X843" s="114"/>
      <c r="Y843" s="115"/>
      <c r="Z843" s="98"/>
      <c r="AA843" s="98"/>
    </row>
    <row r="844" hidden="1" outlineLevel="1">
      <c r="A844" s="98"/>
      <c r="B844" s="116"/>
      <c r="C844" s="100" t="s">
        <v>47</v>
      </c>
      <c r="D844" s="402">
        <v>0.0</v>
      </c>
      <c r="E844" s="102"/>
      <c r="F844" s="103">
        <v>0.0</v>
      </c>
      <c r="G844" s="103">
        <v>0.0</v>
      </c>
      <c r="H844" s="104" t="str">
        <f t="shared" si="1"/>
        <v>#DIV/0!</v>
      </c>
      <c r="I844" s="105" t="str">
        <f t="shared" si="2"/>
        <v>#DIV/0!</v>
      </c>
      <c r="J844" s="106" t="str">
        <f t="shared" si="3"/>
        <v>#DIV/0!</v>
      </c>
      <c r="K844" s="402">
        <v>0.0</v>
      </c>
      <c r="L844" s="103">
        <v>0.0</v>
      </c>
      <c r="M844" s="103">
        <v>0.0</v>
      </c>
      <c r="N844" s="403">
        <v>0.0</v>
      </c>
      <c r="O844" s="109" t="str">
        <f t="shared" si="239"/>
        <v>#DIV/0!</v>
      </c>
      <c r="P844" s="110" t="str">
        <f t="shared" si="5"/>
        <v>#DIV/0!</v>
      </c>
      <c r="Q844" s="109" t="str">
        <f t="shared" si="6"/>
        <v>#DIV/0!</v>
      </c>
      <c r="R844" s="111" t="str">
        <f t="shared" si="7"/>
        <v>#DIV/0!</v>
      </c>
      <c r="S844" s="112">
        <f t="shared" si="238"/>
        <v>0</v>
      </c>
      <c r="T844" s="113" t="str">
        <f t="shared" si="9"/>
        <v>#DIV/0!</v>
      </c>
      <c r="U844" s="114"/>
      <c r="V844" s="114"/>
      <c r="W844" s="114"/>
      <c r="X844" s="114"/>
      <c r="Y844" s="115"/>
      <c r="Z844" s="98"/>
      <c r="AA844" s="98"/>
    </row>
    <row r="845" hidden="1" outlineLevel="1">
      <c r="A845" s="98"/>
      <c r="B845" s="116"/>
      <c r="C845" s="100" t="s">
        <v>48</v>
      </c>
      <c r="D845" s="132">
        <v>6198.51</v>
      </c>
      <c r="E845" s="102"/>
      <c r="F845" s="103">
        <v>29.0</v>
      </c>
      <c r="G845" s="103">
        <v>30.0</v>
      </c>
      <c r="H845" s="104">
        <f t="shared" si="1"/>
        <v>0.9666666667</v>
      </c>
      <c r="I845" s="105">
        <f t="shared" si="2"/>
        <v>213.7417241</v>
      </c>
      <c r="J845" s="106">
        <f t="shared" si="3"/>
        <v>221.1121284</v>
      </c>
      <c r="K845" s="132">
        <v>399.4</v>
      </c>
      <c r="L845" s="103">
        <v>30857.0</v>
      </c>
      <c r="M845" s="103">
        <v>19.0</v>
      </c>
      <c r="N845" s="133">
        <v>3959.15</v>
      </c>
      <c r="O845" s="109">
        <f t="shared" si="239"/>
        <v>0.1008802394</v>
      </c>
      <c r="P845" s="110">
        <f t="shared" si="5"/>
        <v>9.912744116</v>
      </c>
      <c r="Q845" s="109">
        <f t="shared" si="6"/>
        <v>0.06443483999</v>
      </c>
      <c r="R845" s="111">
        <f t="shared" si="7"/>
        <v>0.6387260809</v>
      </c>
      <c r="S845" s="112">
        <f t="shared" si="238"/>
        <v>2239.36</v>
      </c>
      <c r="T845" s="113">
        <f t="shared" si="9"/>
        <v>21.02105263</v>
      </c>
      <c r="U845" s="114"/>
      <c r="V845" s="114"/>
      <c r="W845" s="114"/>
      <c r="X845" s="114"/>
      <c r="Y845" s="115"/>
      <c r="Z845" s="98"/>
      <c r="AA845" s="98"/>
    </row>
    <row r="846" hidden="1" outlineLevel="1">
      <c r="A846" s="148" t="str">
        <f t="shared" ref="A846:A847" si="240">iferror(if(B846&gt;0,month(B846)&amp;"-"&amp;year(B846),B846),)</f>
        <v>11-2025</v>
      </c>
      <c r="B846" s="99">
        <v>45976.0</v>
      </c>
      <c r="C846" s="100" t="s">
        <v>49</v>
      </c>
      <c r="D846" s="146">
        <v>192.0</v>
      </c>
      <c r="E846" s="102"/>
      <c r="F846" s="103">
        <v>2.0</v>
      </c>
      <c r="G846" s="103">
        <v>1.0</v>
      </c>
      <c r="H846" s="104">
        <f t="shared" si="1"/>
        <v>2</v>
      </c>
      <c r="I846" s="105">
        <f t="shared" si="2"/>
        <v>96</v>
      </c>
      <c r="J846" s="106">
        <f t="shared" si="3"/>
        <v>48</v>
      </c>
      <c r="K846" s="146">
        <v>3.33</v>
      </c>
      <c r="L846" s="103">
        <v>11176.0</v>
      </c>
      <c r="M846" s="103">
        <v>0.0</v>
      </c>
      <c r="N846" s="147">
        <v>0.0</v>
      </c>
      <c r="O846" s="109" t="str">
        <f t="shared" si="239"/>
        <v>#DIV/0!</v>
      </c>
      <c r="P846" s="110">
        <f t="shared" si="5"/>
        <v>0</v>
      </c>
      <c r="Q846" s="109">
        <f t="shared" si="6"/>
        <v>0.01734375</v>
      </c>
      <c r="R846" s="111">
        <f t="shared" si="7"/>
        <v>0</v>
      </c>
      <c r="S846" s="112">
        <f t="shared" si="238"/>
        <v>192</v>
      </c>
      <c r="T846" s="113" t="str">
        <f t="shared" si="9"/>
        <v>#DIV/0!</v>
      </c>
      <c r="U846" s="114"/>
      <c r="V846" s="114"/>
      <c r="W846" s="114"/>
      <c r="X846" s="114"/>
      <c r="Y846" s="115"/>
      <c r="Z846" s="98"/>
      <c r="AA846" s="98"/>
    </row>
    <row r="847" collapsed="1">
      <c r="A847" s="98" t="str">
        <f t="shared" si="240"/>
        <v/>
      </c>
      <c r="B847" s="80" t="s">
        <v>133</v>
      </c>
      <c r="C847" s="150"/>
      <c r="D847" s="151">
        <f>SUM(D830:D846)</f>
        <v>17275.57</v>
      </c>
      <c r="E847" s="152"/>
      <c r="F847" s="153">
        <f t="shared" ref="F847:G847" si="241">SUM(F830:F846)</f>
        <v>160</v>
      </c>
      <c r="G847" s="153">
        <f t="shared" si="241"/>
        <v>162</v>
      </c>
      <c r="H847" s="154">
        <f t="shared" si="1"/>
        <v>0.987654321</v>
      </c>
      <c r="I847" s="155">
        <f t="shared" si="2"/>
        <v>107.9723125</v>
      </c>
      <c r="J847" s="156">
        <f t="shared" si="3"/>
        <v>109.3219664</v>
      </c>
      <c r="K847" s="151">
        <f t="shared" ref="K847:N847" si="242">SUM(K830:K846)</f>
        <v>2736.83</v>
      </c>
      <c r="L847" s="153">
        <f t="shared" si="242"/>
        <v>1075798</v>
      </c>
      <c r="M847" s="153">
        <f t="shared" si="242"/>
        <v>72</v>
      </c>
      <c r="N847" s="157">
        <f t="shared" si="242"/>
        <v>8354.25</v>
      </c>
      <c r="O847" s="158">
        <f t="shared" si="239"/>
        <v>0.3275973307</v>
      </c>
      <c r="P847" s="159">
        <f t="shared" si="5"/>
        <v>3.052527925</v>
      </c>
      <c r="Q847" s="158">
        <f t="shared" si="6"/>
        <v>0.1584219797</v>
      </c>
      <c r="R847" s="160">
        <f t="shared" si="7"/>
        <v>0.4835875169</v>
      </c>
      <c r="S847" s="161">
        <f>SUM(S830:S846)</f>
        <v>8921.32</v>
      </c>
      <c r="T847" s="162">
        <f t="shared" si="9"/>
        <v>38.01152778</v>
      </c>
      <c r="U847" s="163">
        <f>IFERROR((D847-D246)/D847,)</f>
        <v>0.5611536985</v>
      </c>
      <c r="V847" s="163">
        <f>IFERROR((F847-F246)/F847,)</f>
        <v>0.4125</v>
      </c>
      <c r="W847" s="164" t="str">
        <f>IFERROR((D847-monthly_reporting_2021!E638)/D847, )</f>
        <v/>
      </c>
      <c r="X847" s="164" t="str">
        <f>IFERROR((F847-monthly_reporting_2021!F638)/F847, )</f>
        <v/>
      </c>
      <c r="Y847" s="98"/>
      <c r="Z847" s="98"/>
      <c r="AA847" s="98"/>
    </row>
    <row r="848" hidden="1" outlineLevel="1">
      <c r="A848" s="98"/>
      <c r="B848" s="99">
        <v>45977.0</v>
      </c>
      <c r="C848" s="100" t="s">
        <v>32</v>
      </c>
      <c r="D848" s="101">
        <v>4625.63</v>
      </c>
      <c r="E848" s="102"/>
      <c r="F848" s="103">
        <v>19.0</v>
      </c>
      <c r="G848" s="103">
        <v>20.0</v>
      </c>
      <c r="H848" s="104">
        <f t="shared" si="1"/>
        <v>0.95</v>
      </c>
      <c r="I848" s="105">
        <f t="shared" si="2"/>
        <v>243.4542105</v>
      </c>
      <c r="J848" s="106">
        <f t="shared" si="3"/>
        <v>256.26759</v>
      </c>
      <c r="K848" s="107">
        <v>2049.45</v>
      </c>
      <c r="L848" s="103">
        <v>619809.0</v>
      </c>
      <c r="M848" s="103">
        <v>6.0</v>
      </c>
      <c r="N848" s="108">
        <v>1094.99</v>
      </c>
      <c r="O848" s="109">
        <f t="shared" si="239"/>
        <v>1.871660928</v>
      </c>
      <c r="P848" s="110">
        <f t="shared" si="5"/>
        <v>0.5342848081</v>
      </c>
      <c r="Q848" s="109">
        <f t="shared" si="6"/>
        <v>0.4430639718</v>
      </c>
      <c r="R848" s="111">
        <f t="shared" si="7"/>
        <v>0.2367223492</v>
      </c>
      <c r="S848" s="112">
        <f t="shared" ref="S848:S864" si="243">D848-N848</f>
        <v>3530.64</v>
      </c>
      <c r="T848" s="113">
        <f t="shared" si="9"/>
        <v>341.575</v>
      </c>
      <c r="U848" s="114"/>
      <c r="V848" s="114"/>
      <c r="W848" s="114"/>
      <c r="X848" s="114"/>
      <c r="Y848" s="115"/>
      <c r="Z848" s="98"/>
      <c r="AA848" s="98"/>
    </row>
    <row r="849" hidden="1" outlineLevel="1">
      <c r="A849" s="98"/>
      <c r="B849" s="116"/>
      <c r="C849" s="100" t="s">
        <v>33</v>
      </c>
      <c r="D849" s="117">
        <v>7897.2</v>
      </c>
      <c r="E849" s="102"/>
      <c r="F849" s="103">
        <v>42.0</v>
      </c>
      <c r="G849" s="103">
        <v>46.0</v>
      </c>
      <c r="H849" s="104">
        <f t="shared" si="1"/>
        <v>0.9130434783</v>
      </c>
      <c r="I849" s="105">
        <f t="shared" si="2"/>
        <v>188.0285714</v>
      </c>
      <c r="J849" s="106">
        <f t="shared" si="3"/>
        <v>205.9360544</v>
      </c>
      <c r="K849" s="117">
        <v>678.76</v>
      </c>
      <c r="L849" s="103">
        <v>829031.0</v>
      </c>
      <c r="M849" s="103">
        <v>9.0</v>
      </c>
      <c r="N849" s="118">
        <v>1450.7</v>
      </c>
      <c r="O849" s="109">
        <f t="shared" si="239"/>
        <v>0.4678844696</v>
      </c>
      <c r="P849" s="110">
        <f t="shared" si="5"/>
        <v>2.137279745</v>
      </c>
      <c r="Q849" s="109">
        <f t="shared" si="6"/>
        <v>0.08594945044</v>
      </c>
      <c r="R849" s="111">
        <f t="shared" si="7"/>
        <v>0.1836980196</v>
      </c>
      <c r="S849" s="119">
        <f t="shared" si="243"/>
        <v>6446.5</v>
      </c>
      <c r="T849" s="113">
        <f t="shared" si="9"/>
        <v>75.41777778</v>
      </c>
      <c r="U849" s="114"/>
      <c r="V849" s="114"/>
      <c r="W849" s="114"/>
      <c r="X849" s="114"/>
      <c r="Y849" s="115"/>
      <c r="Z849" s="98"/>
      <c r="AA849" s="98"/>
    </row>
    <row r="850" hidden="1" outlineLevel="1">
      <c r="A850" s="98"/>
      <c r="B850" s="116"/>
      <c r="C850" s="100" t="s">
        <v>34</v>
      </c>
      <c r="D850" s="120">
        <v>349.75</v>
      </c>
      <c r="E850" s="102"/>
      <c r="F850" s="103">
        <v>5.0</v>
      </c>
      <c r="G850" s="103">
        <v>2.0</v>
      </c>
      <c r="H850" s="104">
        <f t="shared" si="1"/>
        <v>2.5</v>
      </c>
      <c r="I850" s="105">
        <f t="shared" si="2"/>
        <v>69.95</v>
      </c>
      <c r="J850" s="106">
        <f t="shared" si="3"/>
        <v>27.98</v>
      </c>
      <c r="K850" s="120">
        <v>0.0</v>
      </c>
      <c r="L850" s="103">
        <v>332.0</v>
      </c>
      <c r="M850" s="103">
        <v>0.0</v>
      </c>
      <c r="N850" s="121">
        <v>0.0</v>
      </c>
      <c r="O850" s="109" t="str">
        <f>(K850/N850)</f>
        <v>#DIV/0!</v>
      </c>
      <c r="P850" s="110" t="str">
        <f t="shared" si="5"/>
        <v>#DIV/0!</v>
      </c>
      <c r="Q850" s="109">
        <f t="shared" si="6"/>
        <v>0</v>
      </c>
      <c r="R850" s="111">
        <f t="shared" si="7"/>
        <v>0</v>
      </c>
      <c r="S850" s="122">
        <f t="shared" si="243"/>
        <v>349.75</v>
      </c>
      <c r="T850" s="113" t="str">
        <f t="shared" si="9"/>
        <v>#DIV/0!</v>
      </c>
      <c r="U850" s="114"/>
      <c r="V850" s="114"/>
      <c r="W850" s="114"/>
      <c r="X850" s="114"/>
      <c r="Y850" s="115"/>
      <c r="Z850" s="98"/>
      <c r="AA850" s="98"/>
    </row>
    <row r="851" hidden="1" outlineLevel="1">
      <c r="A851" s="98"/>
      <c r="B851" s="116"/>
      <c r="C851" s="100" t="s">
        <v>35</v>
      </c>
      <c r="D851" s="120">
        <v>188.85</v>
      </c>
      <c r="E851" s="102"/>
      <c r="F851" s="103">
        <v>5.0</v>
      </c>
      <c r="G851" s="103">
        <v>3.0</v>
      </c>
      <c r="H851" s="104">
        <f t="shared" si="1"/>
        <v>1.666666667</v>
      </c>
      <c r="I851" s="105">
        <f t="shared" si="2"/>
        <v>37.77</v>
      </c>
      <c r="J851" s="106">
        <f t="shared" si="3"/>
        <v>22.662</v>
      </c>
      <c r="K851" s="120">
        <v>281.6</v>
      </c>
      <c r="L851" s="103">
        <v>21883.0</v>
      </c>
      <c r="M851" s="103">
        <v>7.0</v>
      </c>
      <c r="N851" s="121">
        <v>270.37</v>
      </c>
      <c r="O851" s="109">
        <f t="shared" ref="O851:O867" si="244">K851/N851</f>
        <v>1.041535673</v>
      </c>
      <c r="P851" s="110">
        <f t="shared" si="5"/>
        <v>0.9601207386</v>
      </c>
      <c r="Q851" s="109">
        <f t="shared" si="6"/>
        <v>1.491130527</v>
      </c>
      <c r="R851" s="111">
        <f t="shared" si="7"/>
        <v>1.431665343</v>
      </c>
      <c r="S851" s="122">
        <f t="shared" si="243"/>
        <v>-81.52</v>
      </c>
      <c r="T851" s="113">
        <f t="shared" si="9"/>
        <v>40.22857143</v>
      </c>
      <c r="U851" s="114"/>
      <c r="V851" s="114"/>
      <c r="W851" s="114"/>
      <c r="X851" s="114"/>
      <c r="Y851" s="115"/>
      <c r="Z851" s="98"/>
      <c r="AA851" s="98"/>
    </row>
    <row r="852" hidden="1" outlineLevel="1">
      <c r="A852" s="98"/>
      <c r="B852" s="116"/>
      <c r="C852" s="100" t="s">
        <v>36</v>
      </c>
      <c r="D852" s="120">
        <v>781.37</v>
      </c>
      <c r="E852" s="102"/>
      <c r="F852" s="103">
        <v>13.0</v>
      </c>
      <c r="G852" s="103">
        <v>10.0</v>
      </c>
      <c r="H852" s="104">
        <f t="shared" si="1"/>
        <v>1.3</v>
      </c>
      <c r="I852" s="105">
        <f t="shared" si="2"/>
        <v>60.10538462</v>
      </c>
      <c r="J852" s="106">
        <f t="shared" si="3"/>
        <v>46.23491124</v>
      </c>
      <c r="K852" s="120">
        <v>47.88</v>
      </c>
      <c r="L852" s="103">
        <v>17236.0</v>
      </c>
      <c r="M852" s="103">
        <v>6.0</v>
      </c>
      <c r="N852" s="121">
        <v>361.72</v>
      </c>
      <c r="O852" s="109">
        <f t="shared" si="244"/>
        <v>0.1323675771</v>
      </c>
      <c r="P852" s="110">
        <f t="shared" si="5"/>
        <v>7.554720134</v>
      </c>
      <c r="Q852" s="109">
        <f t="shared" si="6"/>
        <v>0.06127698785</v>
      </c>
      <c r="R852" s="111">
        <f t="shared" si="7"/>
        <v>0.4629304939</v>
      </c>
      <c r="S852" s="122">
        <f t="shared" si="243"/>
        <v>419.65</v>
      </c>
      <c r="T852" s="113">
        <f t="shared" si="9"/>
        <v>7.98</v>
      </c>
      <c r="U852" s="114"/>
      <c r="V852" s="114"/>
      <c r="W852" s="114"/>
      <c r="X852" s="114"/>
      <c r="Y852" s="115"/>
      <c r="Z852" s="98"/>
      <c r="AA852" s="98"/>
    </row>
    <row r="853" hidden="1" outlineLevel="1">
      <c r="A853" s="98"/>
      <c r="B853" s="99" t="s">
        <v>37</v>
      </c>
      <c r="C853" s="100" t="s">
        <v>38</v>
      </c>
      <c r="D853" s="123">
        <v>194.7</v>
      </c>
      <c r="E853" s="102"/>
      <c r="F853" s="103">
        <v>6.0</v>
      </c>
      <c r="G853" s="103">
        <v>5.0</v>
      </c>
      <c r="H853" s="104">
        <f t="shared" si="1"/>
        <v>1.2</v>
      </c>
      <c r="I853" s="105">
        <f t="shared" si="2"/>
        <v>32.45</v>
      </c>
      <c r="J853" s="106">
        <f t="shared" si="3"/>
        <v>27.04166667</v>
      </c>
      <c r="K853" s="123">
        <v>37.6</v>
      </c>
      <c r="L853" s="103">
        <v>8316.0</v>
      </c>
      <c r="M853" s="103">
        <v>2.0</v>
      </c>
      <c r="N853" s="124">
        <v>59.9</v>
      </c>
      <c r="O853" s="109">
        <f t="shared" si="244"/>
        <v>0.6277128548</v>
      </c>
      <c r="P853" s="110">
        <f t="shared" si="5"/>
        <v>1.593085106</v>
      </c>
      <c r="Q853" s="109">
        <f t="shared" si="6"/>
        <v>0.1931176168</v>
      </c>
      <c r="R853" s="111">
        <f t="shared" si="7"/>
        <v>0.3076527992</v>
      </c>
      <c r="S853" s="125">
        <f t="shared" si="243"/>
        <v>134.8</v>
      </c>
      <c r="T853" s="113">
        <f t="shared" si="9"/>
        <v>18.8</v>
      </c>
      <c r="U853" s="114"/>
      <c r="V853" s="114"/>
      <c r="W853" s="114"/>
      <c r="X853" s="114"/>
      <c r="Y853" s="115"/>
      <c r="Z853" s="98"/>
      <c r="AA853" s="98"/>
    </row>
    <row r="854" hidden="1" outlineLevel="1">
      <c r="A854" s="98"/>
      <c r="B854" s="116"/>
      <c r="C854" s="100" t="s">
        <v>39</v>
      </c>
      <c r="D854" s="126">
        <v>0.0</v>
      </c>
      <c r="E854" s="102"/>
      <c r="F854" s="103">
        <v>0.0</v>
      </c>
      <c r="G854" s="103">
        <v>0.0</v>
      </c>
      <c r="H854" s="104" t="str">
        <f t="shared" si="1"/>
        <v>#DIV/0!</v>
      </c>
      <c r="I854" s="105" t="str">
        <f t="shared" si="2"/>
        <v>#DIV/0!</v>
      </c>
      <c r="J854" s="106" t="str">
        <f t="shared" si="3"/>
        <v>#DIV/0!</v>
      </c>
      <c r="K854" s="126">
        <v>0.0</v>
      </c>
      <c r="L854" s="103">
        <v>0.0</v>
      </c>
      <c r="M854" s="103">
        <v>0.0</v>
      </c>
      <c r="N854" s="127">
        <v>0.0</v>
      </c>
      <c r="O854" s="109" t="str">
        <f t="shared" si="244"/>
        <v>#DIV/0!</v>
      </c>
      <c r="P854" s="110" t="str">
        <f t="shared" si="5"/>
        <v>#DIV/0!</v>
      </c>
      <c r="Q854" s="109" t="str">
        <f t="shared" si="6"/>
        <v>#DIV/0!</v>
      </c>
      <c r="R854" s="111" t="str">
        <f t="shared" si="7"/>
        <v>#DIV/0!</v>
      </c>
      <c r="S854" s="128">
        <f t="shared" si="243"/>
        <v>0</v>
      </c>
      <c r="T854" s="113" t="str">
        <f t="shared" si="9"/>
        <v>#DIV/0!</v>
      </c>
      <c r="U854" s="114"/>
      <c r="V854" s="114"/>
      <c r="W854" s="114"/>
      <c r="X854" s="114"/>
      <c r="Y854" s="115"/>
      <c r="Z854" s="98"/>
      <c r="AA854" s="98"/>
    </row>
    <row r="855" hidden="1" outlineLevel="1">
      <c r="A855" s="98"/>
      <c r="B855" s="116"/>
      <c r="C855" s="100" t="s">
        <v>40</v>
      </c>
      <c r="D855" s="129">
        <v>0.0</v>
      </c>
      <c r="E855" s="102"/>
      <c r="F855" s="103">
        <v>0.0</v>
      </c>
      <c r="G855" s="103">
        <v>0.0</v>
      </c>
      <c r="H855" s="104" t="str">
        <f t="shared" si="1"/>
        <v>#DIV/0!</v>
      </c>
      <c r="I855" s="105" t="str">
        <f t="shared" si="2"/>
        <v>#DIV/0!</v>
      </c>
      <c r="J855" s="106" t="str">
        <f t="shared" si="3"/>
        <v>#DIV/0!</v>
      </c>
      <c r="K855" s="129">
        <v>0.0</v>
      </c>
      <c r="L855" s="103">
        <v>0.0</v>
      </c>
      <c r="M855" s="103">
        <v>0.0</v>
      </c>
      <c r="N855" s="130">
        <v>0.0</v>
      </c>
      <c r="O855" s="109" t="str">
        <f t="shared" si="244"/>
        <v>#DIV/0!</v>
      </c>
      <c r="P855" s="110" t="str">
        <f t="shared" si="5"/>
        <v>#DIV/0!</v>
      </c>
      <c r="Q855" s="109" t="str">
        <f t="shared" si="6"/>
        <v>#DIV/0!</v>
      </c>
      <c r="R855" s="111" t="str">
        <f t="shared" si="7"/>
        <v>#DIV/0!</v>
      </c>
      <c r="S855" s="131">
        <f t="shared" si="243"/>
        <v>0</v>
      </c>
      <c r="T855" s="113" t="str">
        <f t="shared" si="9"/>
        <v>#DIV/0!</v>
      </c>
      <c r="U855" s="114"/>
      <c r="V855" s="114"/>
      <c r="W855" s="114"/>
      <c r="X855" s="114"/>
      <c r="Y855" s="115"/>
      <c r="Z855" s="98"/>
      <c r="AA855" s="98"/>
    </row>
    <row r="856" hidden="1" outlineLevel="1">
      <c r="A856" s="98"/>
      <c r="B856" s="116"/>
      <c r="C856" s="100" t="s">
        <v>41</v>
      </c>
      <c r="D856" s="132">
        <v>1526.71</v>
      </c>
      <c r="E856" s="102"/>
      <c r="F856" s="103">
        <v>27.0</v>
      </c>
      <c r="G856" s="103">
        <v>22.0</v>
      </c>
      <c r="H856" s="104">
        <f t="shared" si="1"/>
        <v>1.227272727</v>
      </c>
      <c r="I856" s="105">
        <f t="shared" si="2"/>
        <v>56.54481481</v>
      </c>
      <c r="J856" s="106">
        <f t="shared" si="3"/>
        <v>46.07355281</v>
      </c>
      <c r="K856" s="132">
        <v>456.03</v>
      </c>
      <c r="L856" s="103">
        <v>40650.0</v>
      </c>
      <c r="M856" s="103">
        <v>6.0</v>
      </c>
      <c r="N856" s="133">
        <v>466.38</v>
      </c>
      <c r="O856" s="109">
        <f t="shared" si="244"/>
        <v>0.9778077962</v>
      </c>
      <c r="P856" s="110">
        <f t="shared" si="5"/>
        <v>1.022695875</v>
      </c>
      <c r="Q856" s="109">
        <f t="shared" si="6"/>
        <v>0.2987011286</v>
      </c>
      <c r="R856" s="111">
        <f t="shared" si="7"/>
        <v>0.3054804121</v>
      </c>
      <c r="S856" s="134">
        <f t="shared" si="243"/>
        <v>1060.33</v>
      </c>
      <c r="T856" s="113">
        <f t="shared" si="9"/>
        <v>76.005</v>
      </c>
      <c r="U856" s="114"/>
      <c r="V856" s="114"/>
      <c r="W856" s="114"/>
      <c r="X856" s="114"/>
      <c r="Y856" s="115"/>
      <c r="Z856" s="98"/>
      <c r="AA856" s="98"/>
    </row>
    <row r="857" hidden="1" outlineLevel="1">
      <c r="A857" s="98"/>
      <c r="B857" s="116"/>
      <c r="C857" s="100" t="s">
        <v>42</v>
      </c>
      <c r="D857" s="120">
        <v>79.96</v>
      </c>
      <c r="E857" s="102"/>
      <c r="F857" s="103">
        <v>4.0</v>
      </c>
      <c r="G857" s="103">
        <v>5.0</v>
      </c>
      <c r="H857" s="104">
        <f t="shared" si="1"/>
        <v>0.8</v>
      </c>
      <c r="I857" s="105">
        <f t="shared" si="2"/>
        <v>19.99</v>
      </c>
      <c r="J857" s="106">
        <f t="shared" si="3"/>
        <v>24.9875</v>
      </c>
      <c r="K857" s="120">
        <v>139.62</v>
      </c>
      <c r="L857" s="103">
        <v>49701.0</v>
      </c>
      <c r="M857" s="103">
        <v>8.0</v>
      </c>
      <c r="N857" s="121">
        <v>159.92</v>
      </c>
      <c r="O857" s="109">
        <f t="shared" si="244"/>
        <v>0.8730615308</v>
      </c>
      <c r="P857" s="110">
        <f t="shared" si="5"/>
        <v>1.145394643</v>
      </c>
      <c r="Q857" s="109">
        <f t="shared" si="6"/>
        <v>1.746123062</v>
      </c>
      <c r="R857" s="111">
        <f t="shared" si="7"/>
        <v>2</v>
      </c>
      <c r="S857" s="122">
        <f t="shared" si="243"/>
        <v>-79.96</v>
      </c>
      <c r="T857" s="113">
        <f t="shared" si="9"/>
        <v>17.4525</v>
      </c>
      <c r="U857" s="114"/>
      <c r="V857" s="114"/>
      <c r="W857" s="114"/>
      <c r="X857" s="114"/>
      <c r="Y857" s="115"/>
      <c r="Z857" s="98"/>
      <c r="AA857" s="98"/>
    </row>
    <row r="858" hidden="1" outlineLevel="1">
      <c r="A858" s="98"/>
      <c r="B858" s="116"/>
      <c r="C858" s="100" t="s">
        <v>43</v>
      </c>
      <c r="D858" s="135">
        <v>767.81</v>
      </c>
      <c r="E858" s="102"/>
      <c r="F858" s="103">
        <v>6.0</v>
      </c>
      <c r="G858" s="103">
        <v>7.0</v>
      </c>
      <c r="H858" s="104">
        <f t="shared" si="1"/>
        <v>0.8571428571</v>
      </c>
      <c r="I858" s="105">
        <f t="shared" si="2"/>
        <v>127.9683333</v>
      </c>
      <c r="J858" s="106">
        <f t="shared" si="3"/>
        <v>149.2963889</v>
      </c>
      <c r="K858" s="135">
        <v>94.38</v>
      </c>
      <c r="L858" s="103">
        <v>10987.0</v>
      </c>
      <c r="M858" s="103">
        <v>2.0</v>
      </c>
      <c r="N858" s="136">
        <v>146.22</v>
      </c>
      <c r="O858" s="109">
        <f t="shared" si="244"/>
        <v>0.6454657366</v>
      </c>
      <c r="P858" s="110">
        <f t="shared" si="5"/>
        <v>1.549268913</v>
      </c>
      <c r="Q858" s="109">
        <f t="shared" si="6"/>
        <v>0.1229210352</v>
      </c>
      <c r="R858" s="111">
        <f t="shared" si="7"/>
        <v>0.1904377385</v>
      </c>
      <c r="S858" s="137">
        <f t="shared" si="243"/>
        <v>621.59</v>
      </c>
      <c r="T858" s="113">
        <f t="shared" si="9"/>
        <v>47.19</v>
      </c>
      <c r="U858" s="114"/>
      <c r="V858" s="114"/>
      <c r="W858" s="114"/>
      <c r="X858" s="114"/>
      <c r="Y858" s="115"/>
      <c r="Z858" s="98"/>
      <c r="AA858" s="98"/>
    </row>
    <row r="859" hidden="1" outlineLevel="1">
      <c r="A859" s="98"/>
      <c r="B859" s="116"/>
      <c r="C859" s="100" t="s">
        <v>44</v>
      </c>
      <c r="D859" s="138">
        <v>215.95</v>
      </c>
      <c r="E859" s="102"/>
      <c r="F859" s="103">
        <v>5.0</v>
      </c>
      <c r="G859" s="103">
        <v>4.0</v>
      </c>
      <c r="H859" s="104">
        <f t="shared" si="1"/>
        <v>1.25</v>
      </c>
      <c r="I859" s="105">
        <f t="shared" si="2"/>
        <v>43.19</v>
      </c>
      <c r="J859" s="106">
        <f t="shared" si="3"/>
        <v>34.552</v>
      </c>
      <c r="K859" s="138">
        <v>132.9</v>
      </c>
      <c r="L859" s="103">
        <v>54020.0</v>
      </c>
      <c r="M859" s="103">
        <v>0.0</v>
      </c>
      <c r="N859" s="139">
        <v>0.0</v>
      </c>
      <c r="O859" s="109" t="str">
        <f t="shared" si="244"/>
        <v>#DIV/0!</v>
      </c>
      <c r="P859" s="110">
        <f t="shared" si="5"/>
        <v>0</v>
      </c>
      <c r="Q859" s="109">
        <f t="shared" si="6"/>
        <v>0.6154202362</v>
      </c>
      <c r="R859" s="111">
        <f t="shared" si="7"/>
        <v>0</v>
      </c>
      <c r="S859" s="140">
        <f t="shared" si="243"/>
        <v>215.95</v>
      </c>
      <c r="T859" s="113" t="str">
        <f t="shared" si="9"/>
        <v>#DIV/0!</v>
      </c>
      <c r="U859" s="114"/>
      <c r="V859" s="114"/>
      <c r="W859" s="114"/>
      <c r="X859" s="114"/>
      <c r="Y859" s="115"/>
      <c r="Z859" s="98"/>
      <c r="AA859" s="98"/>
    </row>
    <row r="860" hidden="1" outlineLevel="1">
      <c r="A860" s="141"/>
      <c r="B860" s="116"/>
      <c r="C860" s="142" t="s">
        <v>45</v>
      </c>
      <c r="D860" s="101">
        <v>24.95</v>
      </c>
      <c r="E860" s="102"/>
      <c r="F860" s="103">
        <v>1.0</v>
      </c>
      <c r="G860" s="103">
        <v>1.0</v>
      </c>
      <c r="H860" s="104">
        <f t="shared" si="1"/>
        <v>1</v>
      </c>
      <c r="I860" s="105">
        <f t="shared" si="2"/>
        <v>24.95</v>
      </c>
      <c r="J860" s="106">
        <f t="shared" si="3"/>
        <v>24.95</v>
      </c>
      <c r="K860" s="101">
        <v>0.0</v>
      </c>
      <c r="L860" s="103">
        <v>0.0</v>
      </c>
      <c r="M860" s="103">
        <v>0.0</v>
      </c>
      <c r="N860" s="108">
        <v>0.0</v>
      </c>
      <c r="O860" s="109" t="str">
        <f t="shared" si="244"/>
        <v>#DIV/0!</v>
      </c>
      <c r="P860" s="110" t="str">
        <f t="shared" si="5"/>
        <v>#DIV/0!</v>
      </c>
      <c r="Q860" s="109">
        <f t="shared" si="6"/>
        <v>0</v>
      </c>
      <c r="R860" s="111">
        <f t="shared" si="7"/>
        <v>0</v>
      </c>
      <c r="S860" s="112">
        <f t="shared" si="243"/>
        <v>24.95</v>
      </c>
      <c r="T860" s="113" t="str">
        <f t="shared" si="9"/>
        <v>#DIV/0!</v>
      </c>
      <c r="U860" s="143"/>
      <c r="V860" s="143"/>
      <c r="W860" s="143"/>
      <c r="X860" s="144"/>
      <c r="Y860" s="145"/>
      <c r="Z860" s="98"/>
      <c r="AA860" s="98"/>
    </row>
    <row r="861" hidden="1" outlineLevel="1">
      <c r="A861" s="98"/>
      <c r="B861" s="116"/>
      <c r="C861" s="100" t="s">
        <v>46</v>
      </c>
      <c r="D861" s="146">
        <v>977.12</v>
      </c>
      <c r="E861" s="102"/>
      <c r="F861" s="103">
        <v>27.0</v>
      </c>
      <c r="G861" s="103">
        <v>27.0</v>
      </c>
      <c r="H861" s="104">
        <f t="shared" si="1"/>
        <v>1</v>
      </c>
      <c r="I861" s="105">
        <f t="shared" si="2"/>
        <v>36.18962963</v>
      </c>
      <c r="J861" s="106">
        <f t="shared" si="3"/>
        <v>36.18962963</v>
      </c>
      <c r="K861" s="146">
        <v>186.93</v>
      </c>
      <c r="L861" s="103">
        <v>46308.0</v>
      </c>
      <c r="M861" s="103">
        <v>12.0</v>
      </c>
      <c r="N861" s="147">
        <v>206.95</v>
      </c>
      <c r="O861" s="109">
        <f t="shared" si="244"/>
        <v>0.9032616574</v>
      </c>
      <c r="P861" s="110">
        <f t="shared" si="5"/>
        <v>1.107098914</v>
      </c>
      <c r="Q861" s="109">
        <f t="shared" si="6"/>
        <v>0.1913071066</v>
      </c>
      <c r="R861" s="111">
        <f t="shared" si="7"/>
        <v>0.21179589</v>
      </c>
      <c r="S861" s="112">
        <f t="shared" si="243"/>
        <v>770.17</v>
      </c>
      <c r="T861" s="113">
        <f t="shared" si="9"/>
        <v>15.5775</v>
      </c>
      <c r="U861" s="114"/>
      <c r="V861" s="114"/>
      <c r="W861" s="114"/>
      <c r="X861" s="114"/>
      <c r="Y861" s="115"/>
      <c r="Z861" s="98"/>
      <c r="AA861" s="98"/>
    </row>
    <row r="862" hidden="1" outlineLevel="1">
      <c r="A862" s="98"/>
      <c r="B862" s="116"/>
      <c r="C862" s="100" t="s">
        <v>47</v>
      </c>
      <c r="D862" s="117">
        <v>0.0</v>
      </c>
      <c r="E862" s="102"/>
      <c r="F862" s="103">
        <v>0.0</v>
      </c>
      <c r="G862" s="103">
        <v>0.0</v>
      </c>
      <c r="H862" s="104" t="str">
        <f t="shared" si="1"/>
        <v>#DIV/0!</v>
      </c>
      <c r="I862" s="105" t="str">
        <f t="shared" si="2"/>
        <v>#DIV/0!</v>
      </c>
      <c r="J862" s="106" t="str">
        <f t="shared" si="3"/>
        <v>#DIV/0!</v>
      </c>
      <c r="K862" s="117">
        <v>0.0</v>
      </c>
      <c r="L862" s="103">
        <v>0.0</v>
      </c>
      <c r="M862" s="103">
        <v>0.0</v>
      </c>
      <c r="N862" s="118">
        <v>0.0</v>
      </c>
      <c r="O862" s="109" t="str">
        <f t="shared" si="244"/>
        <v>#DIV/0!</v>
      </c>
      <c r="P862" s="110" t="str">
        <f t="shared" si="5"/>
        <v>#DIV/0!</v>
      </c>
      <c r="Q862" s="109" t="str">
        <f t="shared" si="6"/>
        <v>#DIV/0!</v>
      </c>
      <c r="R862" s="111" t="str">
        <f t="shared" si="7"/>
        <v>#DIV/0!</v>
      </c>
      <c r="S862" s="112">
        <f t="shared" si="243"/>
        <v>0</v>
      </c>
      <c r="T862" s="113" t="str">
        <f t="shared" si="9"/>
        <v>#DIV/0!</v>
      </c>
      <c r="U862" s="114"/>
      <c r="V862" s="114"/>
      <c r="W862" s="114"/>
      <c r="X862" s="114"/>
      <c r="Y862" s="115"/>
      <c r="Z862" s="98"/>
      <c r="AA862" s="98"/>
    </row>
    <row r="863" hidden="1" outlineLevel="1">
      <c r="A863" s="98"/>
      <c r="B863" s="116"/>
      <c r="C863" s="100" t="s">
        <v>48</v>
      </c>
      <c r="D863" s="132">
        <v>4339.11</v>
      </c>
      <c r="E863" s="102"/>
      <c r="F863" s="103">
        <v>17.0</v>
      </c>
      <c r="G863" s="103">
        <v>18.0</v>
      </c>
      <c r="H863" s="104">
        <f t="shared" si="1"/>
        <v>0.9444444444</v>
      </c>
      <c r="I863" s="105">
        <f t="shared" si="2"/>
        <v>255.2417647</v>
      </c>
      <c r="J863" s="106">
        <f t="shared" si="3"/>
        <v>270.2559862</v>
      </c>
      <c r="K863" s="132">
        <v>464.98</v>
      </c>
      <c r="L863" s="103">
        <v>29954.0</v>
      </c>
      <c r="M863" s="103">
        <v>5.0</v>
      </c>
      <c r="N863" s="133">
        <v>1299.75</v>
      </c>
      <c r="O863" s="109">
        <f t="shared" si="244"/>
        <v>0.3577457203</v>
      </c>
      <c r="P863" s="110">
        <f t="shared" si="5"/>
        <v>2.795281517</v>
      </c>
      <c r="Q863" s="109">
        <f t="shared" si="6"/>
        <v>0.1071602241</v>
      </c>
      <c r="R863" s="111">
        <f t="shared" si="7"/>
        <v>0.2995429938</v>
      </c>
      <c r="S863" s="112">
        <f t="shared" si="243"/>
        <v>3039.36</v>
      </c>
      <c r="T863" s="113">
        <f t="shared" si="9"/>
        <v>92.996</v>
      </c>
      <c r="U863" s="114"/>
      <c r="V863" s="114"/>
      <c r="W863" s="114"/>
      <c r="X863" s="114"/>
      <c r="Y863" s="115"/>
      <c r="Z863" s="98"/>
      <c r="AA863" s="98"/>
    </row>
    <row r="864" hidden="1" outlineLevel="1">
      <c r="A864" s="148" t="str">
        <f t="shared" ref="A864:A865" si="245">iferror(if(B864&gt;0,month(B864)&amp;"-"&amp;year(B864),B864),)</f>
        <v>11-2025</v>
      </c>
      <c r="B864" s="99">
        <v>45983.0</v>
      </c>
      <c r="C864" s="100" t="s">
        <v>49</v>
      </c>
      <c r="D864" s="146">
        <v>192.0</v>
      </c>
      <c r="E864" s="102"/>
      <c r="F864" s="103">
        <v>2.0</v>
      </c>
      <c r="G864" s="103">
        <v>2.0</v>
      </c>
      <c r="H864" s="104">
        <f t="shared" si="1"/>
        <v>1</v>
      </c>
      <c r="I864" s="105">
        <f t="shared" si="2"/>
        <v>96</v>
      </c>
      <c r="J864" s="106">
        <f t="shared" si="3"/>
        <v>96</v>
      </c>
      <c r="K864" s="146">
        <v>10.34</v>
      </c>
      <c r="L864" s="103">
        <v>9702.0</v>
      </c>
      <c r="M864" s="103">
        <v>0.0</v>
      </c>
      <c r="N864" s="147">
        <v>0.0</v>
      </c>
      <c r="O864" s="109" t="str">
        <f t="shared" si="244"/>
        <v>#DIV/0!</v>
      </c>
      <c r="P864" s="110">
        <f t="shared" si="5"/>
        <v>0</v>
      </c>
      <c r="Q864" s="109">
        <f t="shared" si="6"/>
        <v>0.05385416667</v>
      </c>
      <c r="R864" s="111">
        <f t="shared" si="7"/>
        <v>0</v>
      </c>
      <c r="S864" s="112">
        <f t="shared" si="243"/>
        <v>192</v>
      </c>
      <c r="T864" s="113" t="str">
        <f t="shared" si="9"/>
        <v>#DIV/0!</v>
      </c>
      <c r="U864" s="114"/>
      <c r="V864" s="114"/>
      <c r="W864" s="114"/>
      <c r="X864" s="114"/>
      <c r="Y864" s="115"/>
      <c r="Z864" s="98"/>
      <c r="AA864" s="98"/>
    </row>
    <row r="865" collapsed="1">
      <c r="A865" s="98" t="str">
        <f t="shared" si="245"/>
        <v/>
      </c>
      <c r="B865" s="80" t="s">
        <v>134</v>
      </c>
      <c r="C865" s="150"/>
      <c r="D865" s="151">
        <f>SUM(D848:D864)</f>
        <v>22161.11</v>
      </c>
      <c r="E865" s="152"/>
      <c r="F865" s="153">
        <f t="shared" ref="F865:G865" si="246">SUM(F848:F864)</f>
        <v>179</v>
      </c>
      <c r="G865" s="153">
        <f t="shared" si="246"/>
        <v>172</v>
      </c>
      <c r="H865" s="154">
        <f t="shared" si="1"/>
        <v>1.040697674</v>
      </c>
      <c r="I865" s="155">
        <f t="shared" si="2"/>
        <v>123.8050838</v>
      </c>
      <c r="J865" s="156">
        <f t="shared" si="3"/>
        <v>118.9635442</v>
      </c>
      <c r="K865" s="151">
        <f t="shared" ref="K865:N865" si="247">SUM(K848:K864)</f>
        <v>4580.47</v>
      </c>
      <c r="L865" s="153">
        <f t="shared" si="247"/>
        <v>1737929</v>
      </c>
      <c r="M865" s="153">
        <f t="shared" si="247"/>
        <v>63</v>
      </c>
      <c r="N865" s="157">
        <f t="shared" si="247"/>
        <v>5516.9</v>
      </c>
      <c r="O865" s="158">
        <f t="shared" si="244"/>
        <v>0.8302615599</v>
      </c>
      <c r="P865" s="159">
        <f t="shared" si="5"/>
        <v>1.204439719</v>
      </c>
      <c r="Q865" s="158">
        <f t="shared" si="6"/>
        <v>0.2066895566</v>
      </c>
      <c r="R865" s="160">
        <f t="shared" si="7"/>
        <v>0.2489451115</v>
      </c>
      <c r="S865" s="161">
        <f>SUM(S848:S864)</f>
        <v>16644.21</v>
      </c>
      <c r="T865" s="162">
        <f t="shared" si="9"/>
        <v>72.70587302</v>
      </c>
      <c r="U865" s="163">
        <f>IFERROR((D865-D246)/D865,)</f>
        <v>0.6578998074</v>
      </c>
      <c r="V865" s="163">
        <f>IFERROR((F865-F246)/F865,)</f>
        <v>0.4748603352</v>
      </c>
      <c r="W865" s="164" t="str">
        <f>IFERROR((D865-monthly_reporting_2021!E656)/D865, )</f>
        <v/>
      </c>
      <c r="X865" s="164" t="str">
        <f>IFERROR((F865-monthly_reporting_2021!F656)/F865, )</f>
        <v/>
      </c>
      <c r="Y865" s="98"/>
      <c r="Z865" s="98"/>
      <c r="AA865" s="98"/>
    </row>
    <row r="866" hidden="1" outlineLevel="1">
      <c r="A866" s="98"/>
      <c r="B866" s="99">
        <v>45984.0</v>
      </c>
      <c r="C866" s="100" t="s">
        <v>32</v>
      </c>
      <c r="D866" s="101">
        <v>16063.07</v>
      </c>
      <c r="E866" s="102"/>
      <c r="F866" s="103">
        <v>57.0</v>
      </c>
      <c r="G866" s="103">
        <v>61.0</v>
      </c>
      <c r="H866" s="104">
        <f t="shared" si="1"/>
        <v>0.9344262295</v>
      </c>
      <c r="I866" s="105">
        <f t="shared" si="2"/>
        <v>281.8082456</v>
      </c>
      <c r="J866" s="106">
        <f t="shared" si="3"/>
        <v>301.5842629</v>
      </c>
      <c r="K866" s="107">
        <v>3476.06</v>
      </c>
      <c r="L866" s="103">
        <v>789555.0</v>
      </c>
      <c r="M866" s="103">
        <v>25.0</v>
      </c>
      <c r="N866" s="108">
        <v>5744.61</v>
      </c>
      <c r="O866" s="109">
        <f t="shared" si="244"/>
        <v>0.6050993888</v>
      </c>
      <c r="P866" s="110">
        <f t="shared" si="5"/>
        <v>1.652621071</v>
      </c>
      <c r="Q866" s="109">
        <f t="shared" si="6"/>
        <v>0.2164007254</v>
      </c>
      <c r="R866" s="111">
        <f t="shared" si="7"/>
        <v>0.3576283986</v>
      </c>
      <c r="S866" s="112">
        <f t="shared" ref="S866:S882" si="248">D866-N866</f>
        <v>10318.46</v>
      </c>
      <c r="T866" s="113">
        <f t="shared" si="9"/>
        <v>139.0424</v>
      </c>
      <c r="U866" s="114"/>
      <c r="V866" s="114"/>
      <c r="W866" s="114"/>
      <c r="X866" s="114"/>
      <c r="Y866" s="115"/>
      <c r="Z866" s="98"/>
      <c r="AA866" s="98"/>
    </row>
    <row r="867" hidden="1" outlineLevel="1">
      <c r="A867" s="98"/>
      <c r="B867" s="116"/>
      <c r="C867" s="100" t="s">
        <v>33</v>
      </c>
      <c r="D867" s="117">
        <v>54500.36</v>
      </c>
      <c r="E867" s="102"/>
      <c r="F867" s="103">
        <v>199.0</v>
      </c>
      <c r="G867" s="103">
        <v>200.0</v>
      </c>
      <c r="H867" s="104">
        <f t="shared" si="1"/>
        <v>0.995</v>
      </c>
      <c r="I867" s="105">
        <f t="shared" si="2"/>
        <v>273.8711558</v>
      </c>
      <c r="J867" s="106">
        <f t="shared" si="3"/>
        <v>275.2473927</v>
      </c>
      <c r="K867" s="117">
        <v>1711.79</v>
      </c>
      <c r="L867" s="103">
        <v>2002846.0</v>
      </c>
      <c r="M867" s="103">
        <v>63.0</v>
      </c>
      <c r="N867" s="118">
        <v>8752.78</v>
      </c>
      <c r="O867" s="109">
        <f t="shared" si="244"/>
        <v>0.1955710072</v>
      </c>
      <c r="P867" s="110">
        <f t="shared" si="5"/>
        <v>5.113232347</v>
      </c>
      <c r="Q867" s="109">
        <f t="shared" si="6"/>
        <v>0.03140878335</v>
      </c>
      <c r="R867" s="111">
        <f t="shared" si="7"/>
        <v>0.160600407</v>
      </c>
      <c r="S867" s="119">
        <f t="shared" si="248"/>
        <v>45747.58</v>
      </c>
      <c r="T867" s="113">
        <f t="shared" si="9"/>
        <v>27.17126984</v>
      </c>
      <c r="U867" s="114"/>
      <c r="V867" s="114"/>
      <c r="W867" s="114"/>
      <c r="X867" s="114"/>
      <c r="Y867" s="115"/>
      <c r="Z867" s="98"/>
      <c r="AA867" s="98"/>
    </row>
    <row r="868" hidden="1" outlineLevel="1">
      <c r="A868" s="98"/>
      <c r="B868" s="116"/>
      <c r="C868" s="100" t="s">
        <v>34</v>
      </c>
      <c r="D868" s="120">
        <v>0.0</v>
      </c>
      <c r="E868" s="102"/>
      <c r="F868" s="103">
        <v>0.0</v>
      </c>
      <c r="G868" s="103">
        <v>0.0</v>
      </c>
      <c r="H868" s="104" t="str">
        <f t="shared" si="1"/>
        <v>#DIV/0!</v>
      </c>
      <c r="I868" s="105" t="str">
        <f t="shared" si="2"/>
        <v>#DIV/0!</v>
      </c>
      <c r="J868" s="106" t="str">
        <f t="shared" si="3"/>
        <v>#DIV/0!</v>
      </c>
      <c r="K868" s="120">
        <v>0.0</v>
      </c>
      <c r="L868" s="103">
        <v>229.0</v>
      </c>
      <c r="M868" s="103">
        <v>0.0</v>
      </c>
      <c r="N868" s="121">
        <v>0.0</v>
      </c>
      <c r="O868" s="109" t="str">
        <f>(K868/N868)</f>
        <v>#DIV/0!</v>
      </c>
      <c r="P868" s="110" t="str">
        <f t="shared" si="5"/>
        <v>#DIV/0!</v>
      </c>
      <c r="Q868" s="109" t="str">
        <f t="shared" si="6"/>
        <v>#DIV/0!</v>
      </c>
      <c r="R868" s="111" t="str">
        <f t="shared" si="7"/>
        <v>#DIV/0!</v>
      </c>
      <c r="S868" s="122">
        <f t="shared" si="248"/>
        <v>0</v>
      </c>
      <c r="T868" s="113" t="str">
        <f t="shared" si="9"/>
        <v>#DIV/0!</v>
      </c>
      <c r="U868" s="114"/>
      <c r="V868" s="114"/>
      <c r="W868" s="114"/>
      <c r="X868" s="114"/>
      <c r="Y868" s="115"/>
      <c r="Z868" s="98"/>
      <c r="AA868" s="98"/>
    </row>
    <row r="869" hidden="1" outlineLevel="1">
      <c r="A869" s="98"/>
      <c r="B869" s="116"/>
      <c r="C869" s="100" t="s">
        <v>35</v>
      </c>
      <c r="D869" s="120">
        <v>1404.04</v>
      </c>
      <c r="E869" s="102"/>
      <c r="F869" s="103">
        <v>38.0</v>
      </c>
      <c r="G869" s="103">
        <v>29.0</v>
      </c>
      <c r="H869" s="104">
        <f t="shared" si="1"/>
        <v>1.310344828</v>
      </c>
      <c r="I869" s="105">
        <f t="shared" si="2"/>
        <v>36.94842105</v>
      </c>
      <c r="J869" s="106">
        <f t="shared" si="3"/>
        <v>28.19747922</v>
      </c>
      <c r="K869" s="120">
        <v>258.76</v>
      </c>
      <c r="L869" s="103">
        <v>17785.0</v>
      </c>
      <c r="M869" s="103">
        <v>17.0</v>
      </c>
      <c r="N869" s="121">
        <v>635.47</v>
      </c>
      <c r="O869" s="109">
        <f t="shared" ref="O869:O885" si="249">K869/N869</f>
        <v>0.4071946748</v>
      </c>
      <c r="P869" s="110">
        <f t="shared" si="5"/>
        <v>2.455827794</v>
      </c>
      <c r="Q869" s="109">
        <f t="shared" si="6"/>
        <v>0.1842967437</v>
      </c>
      <c r="R869" s="111">
        <f t="shared" si="7"/>
        <v>0.4526010655</v>
      </c>
      <c r="S869" s="122">
        <f t="shared" si="248"/>
        <v>768.57</v>
      </c>
      <c r="T869" s="113">
        <f t="shared" si="9"/>
        <v>15.22117647</v>
      </c>
      <c r="U869" s="114"/>
      <c r="V869" s="114"/>
      <c r="W869" s="114"/>
      <c r="X869" s="114"/>
      <c r="Y869" s="115"/>
      <c r="Z869" s="98"/>
      <c r="AA869" s="98"/>
    </row>
    <row r="870" hidden="1" outlineLevel="1">
      <c r="A870" s="98"/>
      <c r="B870" s="116"/>
      <c r="C870" s="100" t="s">
        <v>36</v>
      </c>
      <c r="D870" s="120">
        <v>551.56</v>
      </c>
      <c r="E870" s="102"/>
      <c r="F870" s="103">
        <v>14.0</v>
      </c>
      <c r="G870" s="103">
        <v>11.0</v>
      </c>
      <c r="H870" s="104">
        <f t="shared" si="1"/>
        <v>1.272727273</v>
      </c>
      <c r="I870" s="105">
        <f t="shared" si="2"/>
        <v>39.39714286</v>
      </c>
      <c r="J870" s="106">
        <f t="shared" si="3"/>
        <v>30.95489796</v>
      </c>
      <c r="K870" s="120">
        <v>41.14</v>
      </c>
      <c r="L870" s="103">
        <v>11966.0</v>
      </c>
      <c r="M870" s="103">
        <v>3.0</v>
      </c>
      <c r="N870" s="121">
        <v>119.91</v>
      </c>
      <c r="O870" s="109">
        <f t="shared" si="249"/>
        <v>0.3430906513</v>
      </c>
      <c r="P870" s="110">
        <f t="shared" si="5"/>
        <v>2.914681575</v>
      </c>
      <c r="Q870" s="109">
        <f t="shared" si="6"/>
        <v>0.07458844006</v>
      </c>
      <c r="R870" s="111">
        <f t="shared" si="7"/>
        <v>0.217401552</v>
      </c>
      <c r="S870" s="122">
        <f t="shared" si="248"/>
        <v>431.65</v>
      </c>
      <c r="T870" s="113">
        <f t="shared" si="9"/>
        <v>13.71333333</v>
      </c>
      <c r="U870" s="114"/>
      <c r="V870" s="114"/>
      <c r="W870" s="114"/>
      <c r="X870" s="114"/>
      <c r="Y870" s="115"/>
      <c r="Z870" s="98"/>
      <c r="AA870" s="98"/>
    </row>
    <row r="871" hidden="1" outlineLevel="1">
      <c r="A871" s="98"/>
      <c r="B871" s="99" t="s">
        <v>37</v>
      </c>
      <c r="C871" s="100" t="s">
        <v>38</v>
      </c>
      <c r="D871" s="123">
        <v>654.41</v>
      </c>
      <c r="E871" s="102"/>
      <c r="F871" s="103">
        <v>16.0</v>
      </c>
      <c r="G871" s="103">
        <v>17.0</v>
      </c>
      <c r="H871" s="104">
        <f t="shared" si="1"/>
        <v>0.9411764706</v>
      </c>
      <c r="I871" s="105">
        <f t="shared" si="2"/>
        <v>40.900625</v>
      </c>
      <c r="J871" s="106">
        <f t="shared" si="3"/>
        <v>43.45691406</v>
      </c>
      <c r="K871" s="123">
        <v>49.76</v>
      </c>
      <c r="L871" s="103">
        <v>12426.0</v>
      </c>
      <c r="M871" s="103">
        <v>4.0</v>
      </c>
      <c r="N871" s="124">
        <v>89.92</v>
      </c>
      <c r="O871" s="109">
        <f t="shared" si="249"/>
        <v>0.5533807829</v>
      </c>
      <c r="P871" s="110">
        <f t="shared" si="5"/>
        <v>1.807073955</v>
      </c>
      <c r="Q871" s="109">
        <f t="shared" si="6"/>
        <v>0.07603795786</v>
      </c>
      <c r="R871" s="111">
        <f t="shared" si="7"/>
        <v>0.1374062132</v>
      </c>
      <c r="S871" s="125">
        <f t="shared" si="248"/>
        <v>564.49</v>
      </c>
      <c r="T871" s="113">
        <f t="shared" si="9"/>
        <v>12.44</v>
      </c>
      <c r="U871" s="114"/>
      <c r="V871" s="114"/>
      <c r="W871" s="114"/>
      <c r="X871" s="114"/>
      <c r="Y871" s="115"/>
      <c r="Z871" s="98"/>
      <c r="AA871" s="98"/>
    </row>
    <row r="872" hidden="1" outlineLevel="1">
      <c r="A872" s="98"/>
      <c r="B872" s="116"/>
      <c r="C872" s="100" t="s">
        <v>39</v>
      </c>
      <c r="D872" s="126">
        <v>0.0</v>
      </c>
      <c r="E872" s="102"/>
      <c r="F872" s="103">
        <v>0.0</v>
      </c>
      <c r="G872" s="103">
        <v>0.0</v>
      </c>
      <c r="H872" s="104" t="str">
        <f t="shared" si="1"/>
        <v>#DIV/0!</v>
      </c>
      <c r="I872" s="105" t="str">
        <f t="shared" si="2"/>
        <v>#DIV/0!</v>
      </c>
      <c r="J872" s="106" t="str">
        <f t="shared" si="3"/>
        <v>#DIV/0!</v>
      </c>
      <c r="K872" s="126">
        <v>0.0</v>
      </c>
      <c r="L872" s="103">
        <v>0.0</v>
      </c>
      <c r="M872" s="103">
        <v>0.0</v>
      </c>
      <c r="N872" s="127">
        <v>0.0</v>
      </c>
      <c r="O872" s="109" t="str">
        <f t="shared" si="249"/>
        <v>#DIV/0!</v>
      </c>
      <c r="P872" s="110" t="str">
        <f t="shared" si="5"/>
        <v>#DIV/0!</v>
      </c>
      <c r="Q872" s="109" t="str">
        <f t="shared" si="6"/>
        <v>#DIV/0!</v>
      </c>
      <c r="R872" s="111" t="str">
        <f t="shared" si="7"/>
        <v>#DIV/0!</v>
      </c>
      <c r="S872" s="128">
        <f t="shared" si="248"/>
        <v>0</v>
      </c>
      <c r="T872" s="113" t="str">
        <f t="shared" si="9"/>
        <v>#DIV/0!</v>
      </c>
      <c r="U872" s="114"/>
      <c r="V872" s="114"/>
      <c r="W872" s="114"/>
      <c r="X872" s="114"/>
      <c r="Y872" s="115"/>
      <c r="Z872" s="98"/>
      <c r="AA872" s="98"/>
    </row>
    <row r="873" hidden="1" outlineLevel="1">
      <c r="A873" s="98"/>
      <c r="B873" s="116"/>
      <c r="C873" s="100" t="s">
        <v>40</v>
      </c>
      <c r="D873" s="129">
        <v>0.0</v>
      </c>
      <c r="E873" s="102"/>
      <c r="F873" s="103">
        <v>0.0</v>
      </c>
      <c r="G873" s="103">
        <v>0.0</v>
      </c>
      <c r="H873" s="104" t="str">
        <f t="shared" si="1"/>
        <v>#DIV/0!</v>
      </c>
      <c r="I873" s="105" t="str">
        <f t="shared" si="2"/>
        <v>#DIV/0!</v>
      </c>
      <c r="J873" s="106" t="str">
        <f t="shared" si="3"/>
        <v>#DIV/0!</v>
      </c>
      <c r="K873" s="129">
        <v>0.0</v>
      </c>
      <c r="L873" s="103">
        <v>0.0</v>
      </c>
      <c r="M873" s="103">
        <v>0.0</v>
      </c>
      <c r="N873" s="130">
        <v>0.0</v>
      </c>
      <c r="O873" s="109" t="str">
        <f t="shared" si="249"/>
        <v>#DIV/0!</v>
      </c>
      <c r="P873" s="110" t="str">
        <f t="shared" si="5"/>
        <v>#DIV/0!</v>
      </c>
      <c r="Q873" s="109" t="str">
        <f t="shared" si="6"/>
        <v>#DIV/0!</v>
      </c>
      <c r="R873" s="111" t="str">
        <f t="shared" si="7"/>
        <v>#DIV/0!</v>
      </c>
      <c r="S873" s="131">
        <f t="shared" si="248"/>
        <v>0</v>
      </c>
      <c r="T873" s="113" t="str">
        <f t="shared" si="9"/>
        <v>#DIV/0!</v>
      </c>
      <c r="U873" s="114"/>
      <c r="V873" s="114"/>
      <c r="W873" s="114"/>
      <c r="X873" s="114"/>
      <c r="Y873" s="115"/>
      <c r="Z873" s="98"/>
      <c r="AA873" s="98"/>
    </row>
    <row r="874" hidden="1" outlineLevel="1">
      <c r="A874" s="98"/>
      <c r="B874" s="116"/>
      <c r="C874" s="100" t="s">
        <v>41</v>
      </c>
      <c r="D874" s="132">
        <v>3504.03</v>
      </c>
      <c r="E874" s="102"/>
      <c r="F874" s="103">
        <v>79.0</v>
      </c>
      <c r="G874" s="103">
        <v>58.0</v>
      </c>
      <c r="H874" s="104">
        <f t="shared" si="1"/>
        <v>1.362068966</v>
      </c>
      <c r="I874" s="105">
        <f t="shared" si="2"/>
        <v>44.35481013</v>
      </c>
      <c r="J874" s="106">
        <f t="shared" si="3"/>
        <v>32.56429098</v>
      </c>
      <c r="K874" s="132">
        <v>586.68</v>
      </c>
      <c r="L874" s="103">
        <v>37948.0</v>
      </c>
      <c r="M874" s="103">
        <v>25.0</v>
      </c>
      <c r="N874" s="133">
        <v>1499.48</v>
      </c>
      <c r="O874" s="109">
        <f t="shared" si="249"/>
        <v>0.3912556353</v>
      </c>
      <c r="P874" s="110">
        <f t="shared" si="5"/>
        <v>2.55587373</v>
      </c>
      <c r="Q874" s="109">
        <f t="shared" si="6"/>
        <v>0.1674300734</v>
      </c>
      <c r="R874" s="111">
        <f t="shared" si="7"/>
        <v>0.4279301262</v>
      </c>
      <c r="S874" s="134">
        <f t="shared" si="248"/>
        <v>2004.55</v>
      </c>
      <c r="T874" s="113">
        <f t="shared" si="9"/>
        <v>23.4672</v>
      </c>
      <c r="U874" s="114"/>
      <c r="V874" s="114"/>
      <c r="W874" s="114"/>
      <c r="X874" s="114"/>
      <c r="Y874" s="115"/>
      <c r="Z874" s="98"/>
      <c r="AA874" s="98"/>
    </row>
    <row r="875" hidden="1" outlineLevel="1">
      <c r="A875" s="98"/>
      <c r="B875" s="116"/>
      <c r="C875" s="100" t="s">
        <v>42</v>
      </c>
      <c r="D875" s="120">
        <v>69.92</v>
      </c>
      <c r="E875" s="102"/>
      <c r="F875" s="103">
        <v>4.0</v>
      </c>
      <c r="G875" s="103">
        <v>4.0</v>
      </c>
      <c r="H875" s="104">
        <f t="shared" si="1"/>
        <v>1</v>
      </c>
      <c r="I875" s="105">
        <f t="shared" si="2"/>
        <v>17.48</v>
      </c>
      <c r="J875" s="106">
        <f t="shared" si="3"/>
        <v>17.48</v>
      </c>
      <c r="K875" s="120">
        <v>107.2</v>
      </c>
      <c r="L875" s="103">
        <v>37986.0</v>
      </c>
      <c r="M875" s="103">
        <v>3.0</v>
      </c>
      <c r="N875" s="121">
        <v>59.97</v>
      </c>
      <c r="O875" s="109">
        <f t="shared" si="249"/>
        <v>1.787560447</v>
      </c>
      <c r="P875" s="110">
        <f t="shared" si="5"/>
        <v>0.5594216418</v>
      </c>
      <c r="Q875" s="109">
        <f t="shared" si="6"/>
        <v>1.533180778</v>
      </c>
      <c r="R875" s="111">
        <f t="shared" si="7"/>
        <v>0.857694508</v>
      </c>
      <c r="S875" s="122">
        <f t="shared" si="248"/>
        <v>9.95</v>
      </c>
      <c r="T875" s="113">
        <f t="shared" si="9"/>
        <v>35.73333333</v>
      </c>
      <c r="U875" s="114"/>
      <c r="V875" s="114"/>
      <c r="W875" s="114"/>
      <c r="X875" s="114"/>
      <c r="Y875" s="115"/>
      <c r="Z875" s="98"/>
      <c r="AA875" s="98"/>
    </row>
    <row r="876" hidden="1" outlineLevel="1">
      <c r="A876" s="98"/>
      <c r="B876" s="116"/>
      <c r="C876" s="100" t="s">
        <v>43</v>
      </c>
      <c r="D876" s="135">
        <v>4789.59</v>
      </c>
      <c r="E876" s="102"/>
      <c r="F876" s="103">
        <v>43.0</v>
      </c>
      <c r="G876" s="103">
        <v>42.0</v>
      </c>
      <c r="H876" s="104">
        <f t="shared" si="1"/>
        <v>1.023809524</v>
      </c>
      <c r="I876" s="105">
        <f t="shared" si="2"/>
        <v>111.385814</v>
      </c>
      <c r="J876" s="106">
        <f t="shared" si="3"/>
        <v>108.7954462</v>
      </c>
      <c r="K876" s="135">
        <v>77.52</v>
      </c>
      <c r="L876" s="103">
        <v>15141.0</v>
      </c>
      <c r="M876" s="103">
        <v>3.0</v>
      </c>
      <c r="N876" s="136">
        <v>146.22</v>
      </c>
      <c r="O876" s="109">
        <f t="shared" si="249"/>
        <v>0.5301600328</v>
      </c>
      <c r="P876" s="110">
        <f t="shared" si="5"/>
        <v>1.88622291</v>
      </c>
      <c r="Q876" s="109">
        <f t="shared" si="6"/>
        <v>0.01618510144</v>
      </c>
      <c r="R876" s="111">
        <f t="shared" si="7"/>
        <v>0.03052870914</v>
      </c>
      <c r="S876" s="137">
        <f t="shared" si="248"/>
        <v>4643.37</v>
      </c>
      <c r="T876" s="113">
        <f t="shared" si="9"/>
        <v>25.84</v>
      </c>
      <c r="U876" s="114"/>
      <c r="V876" s="114"/>
      <c r="W876" s="114"/>
      <c r="X876" s="114"/>
      <c r="Y876" s="115"/>
      <c r="Z876" s="98"/>
      <c r="AA876" s="98"/>
    </row>
    <row r="877" hidden="1" outlineLevel="1">
      <c r="A877" s="98"/>
      <c r="B877" s="116"/>
      <c r="C877" s="100" t="s">
        <v>44</v>
      </c>
      <c r="D877" s="138">
        <v>317.77</v>
      </c>
      <c r="E877" s="102"/>
      <c r="F877" s="103">
        <v>9.0</v>
      </c>
      <c r="G877" s="103">
        <v>8.0</v>
      </c>
      <c r="H877" s="104">
        <f t="shared" si="1"/>
        <v>1.125</v>
      </c>
      <c r="I877" s="105">
        <f t="shared" si="2"/>
        <v>35.30777778</v>
      </c>
      <c r="J877" s="106">
        <f t="shared" si="3"/>
        <v>31.38469136</v>
      </c>
      <c r="K877" s="138">
        <v>92.06</v>
      </c>
      <c r="L877" s="103">
        <v>31307.0</v>
      </c>
      <c r="M877" s="103">
        <v>3.0</v>
      </c>
      <c r="N877" s="139">
        <v>128.92</v>
      </c>
      <c r="O877" s="109">
        <f t="shared" si="249"/>
        <v>0.714086255</v>
      </c>
      <c r="P877" s="110">
        <f t="shared" si="5"/>
        <v>1.400391049</v>
      </c>
      <c r="Q877" s="109">
        <f t="shared" si="6"/>
        <v>0.2897063914</v>
      </c>
      <c r="R877" s="111">
        <f t="shared" si="7"/>
        <v>0.4057022375</v>
      </c>
      <c r="S877" s="140">
        <f t="shared" si="248"/>
        <v>188.85</v>
      </c>
      <c r="T877" s="113">
        <f t="shared" si="9"/>
        <v>30.68666667</v>
      </c>
      <c r="U877" s="114"/>
      <c r="V877" s="114"/>
      <c r="W877" s="114"/>
      <c r="X877" s="114"/>
      <c r="Y877" s="115"/>
      <c r="Z877" s="98"/>
      <c r="AA877" s="98"/>
    </row>
    <row r="878" hidden="1" outlineLevel="1">
      <c r="A878" s="141"/>
      <c r="B878" s="116"/>
      <c r="C878" s="142" t="s">
        <v>45</v>
      </c>
      <c r="D878" s="101">
        <v>0.0</v>
      </c>
      <c r="E878" s="102"/>
      <c r="F878" s="103">
        <v>0.0</v>
      </c>
      <c r="G878" s="103">
        <v>0.0</v>
      </c>
      <c r="H878" s="104" t="str">
        <f t="shared" si="1"/>
        <v>#DIV/0!</v>
      </c>
      <c r="I878" s="105" t="str">
        <f t="shared" si="2"/>
        <v>#DIV/0!</v>
      </c>
      <c r="J878" s="106" t="str">
        <f t="shared" si="3"/>
        <v>#DIV/0!</v>
      </c>
      <c r="K878" s="101">
        <v>0.0</v>
      </c>
      <c r="L878" s="103">
        <v>0.0</v>
      </c>
      <c r="M878" s="103">
        <v>0.0</v>
      </c>
      <c r="N878" s="108">
        <v>0.0</v>
      </c>
      <c r="O878" s="109" t="str">
        <f t="shared" si="249"/>
        <v>#DIV/0!</v>
      </c>
      <c r="P878" s="110" t="str">
        <f t="shared" si="5"/>
        <v>#DIV/0!</v>
      </c>
      <c r="Q878" s="109" t="str">
        <f t="shared" si="6"/>
        <v>#DIV/0!</v>
      </c>
      <c r="R878" s="111" t="str">
        <f t="shared" si="7"/>
        <v>#DIV/0!</v>
      </c>
      <c r="S878" s="112">
        <f t="shared" si="248"/>
        <v>0</v>
      </c>
      <c r="T878" s="113" t="str">
        <f t="shared" si="9"/>
        <v>#DIV/0!</v>
      </c>
      <c r="U878" s="143"/>
      <c r="V878" s="143"/>
      <c r="W878" s="143"/>
      <c r="X878" s="144"/>
      <c r="Y878" s="145"/>
      <c r="Z878" s="98"/>
      <c r="AA878" s="98"/>
    </row>
    <row r="879" hidden="1" outlineLevel="1">
      <c r="A879" s="98"/>
      <c r="B879" s="116"/>
      <c r="C879" s="100" t="s">
        <v>46</v>
      </c>
      <c r="D879" s="146">
        <v>2299.2</v>
      </c>
      <c r="E879" s="102"/>
      <c r="F879" s="103">
        <v>66.0</v>
      </c>
      <c r="G879" s="103">
        <v>63.0</v>
      </c>
      <c r="H879" s="104">
        <f t="shared" si="1"/>
        <v>1.047619048</v>
      </c>
      <c r="I879" s="105">
        <f t="shared" si="2"/>
        <v>34.83636364</v>
      </c>
      <c r="J879" s="106">
        <f t="shared" si="3"/>
        <v>33.25289256</v>
      </c>
      <c r="K879" s="146">
        <v>177.1</v>
      </c>
      <c r="L879" s="103">
        <v>25398.0</v>
      </c>
      <c r="M879" s="103">
        <v>21.0</v>
      </c>
      <c r="N879" s="147">
        <v>579.74</v>
      </c>
      <c r="O879" s="109">
        <f t="shared" si="249"/>
        <v>0.3054817677</v>
      </c>
      <c r="P879" s="110">
        <f t="shared" si="5"/>
        <v>3.273517787</v>
      </c>
      <c r="Q879" s="109">
        <f t="shared" si="6"/>
        <v>0.07702679193</v>
      </c>
      <c r="R879" s="111">
        <f t="shared" si="7"/>
        <v>0.2521485734</v>
      </c>
      <c r="S879" s="112">
        <f t="shared" si="248"/>
        <v>1719.46</v>
      </c>
      <c r="T879" s="113">
        <f t="shared" si="9"/>
        <v>8.433333333</v>
      </c>
      <c r="U879" s="114"/>
      <c r="V879" s="114"/>
      <c r="W879" s="114"/>
      <c r="X879" s="114"/>
      <c r="Y879" s="115"/>
      <c r="Z879" s="98"/>
      <c r="AA879" s="98"/>
    </row>
    <row r="880" hidden="1" outlineLevel="1">
      <c r="A880" s="98"/>
      <c r="B880" s="116"/>
      <c r="C880" s="100" t="s">
        <v>47</v>
      </c>
      <c r="D880" s="117">
        <v>149.75</v>
      </c>
      <c r="E880" s="102"/>
      <c r="F880" s="103">
        <v>5.0</v>
      </c>
      <c r="G880" s="103">
        <v>2.0</v>
      </c>
      <c r="H880" s="104">
        <f t="shared" si="1"/>
        <v>2.5</v>
      </c>
      <c r="I880" s="105">
        <f t="shared" si="2"/>
        <v>29.95</v>
      </c>
      <c r="J880" s="106">
        <f t="shared" si="3"/>
        <v>11.98</v>
      </c>
      <c r="K880" s="117">
        <v>0.0</v>
      </c>
      <c r="L880" s="103">
        <v>0.0</v>
      </c>
      <c r="M880" s="103">
        <v>0.0</v>
      </c>
      <c r="N880" s="118">
        <v>0.0</v>
      </c>
      <c r="O880" s="109" t="str">
        <f t="shared" si="249"/>
        <v>#DIV/0!</v>
      </c>
      <c r="P880" s="110" t="str">
        <f t="shared" si="5"/>
        <v>#DIV/0!</v>
      </c>
      <c r="Q880" s="109">
        <f t="shared" si="6"/>
        <v>0</v>
      </c>
      <c r="R880" s="111">
        <f t="shared" si="7"/>
        <v>0</v>
      </c>
      <c r="S880" s="112">
        <f t="shared" si="248"/>
        <v>149.75</v>
      </c>
      <c r="T880" s="113" t="str">
        <f t="shared" si="9"/>
        <v>#DIV/0!</v>
      </c>
      <c r="U880" s="114"/>
      <c r="V880" s="114"/>
      <c r="W880" s="114"/>
      <c r="X880" s="114"/>
      <c r="Y880" s="115"/>
      <c r="Z880" s="98"/>
      <c r="AA880" s="98"/>
    </row>
    <row r="881" hidden="1" outlineLevel="1">
      <c r="A881" s="98"/>
      <c r="B881" s="116"/>
      <c r="C881" s="100" t="s">
        <v>48</v>
      </c>
      <c r="D881" s="132">
        <v>6311.75</v>
      </c>
      <c r="E881" s="102"/>
      <c r="F881" s="103">
        <v>43.0</v>
      </c>
      <c r="G881" s="103">
        <v>43.0</v>
      </c>
      <c r="H881" s="104">
        <f t="shared" si="1"/>
        <v>1</v>
      </c>
      <c r="I881" s="105">
        <f t="shared" si="2"/>
        <v>146.7848837</v>
      </c>
      <c r="J881" s="106">
        <f t="shared" si="3"/>
        <v>146.7848837</v>
      </c>
      <c r="K881" s="132">
        <v>718.92</v>
      </c>
      <c r="L881" s="103">
        <v>39216.0</v>
      </c>
      <c r="M881" s="103">
        <v>15.0</v>
      </c>
      <c r="N881" s="133">
        <v>2033.55</v>
      </c>
      <c r="O881" s="109">
        <f t="shared" si="249"/>
        <v>0.3535295419</v>
      </c>
      <c r="P881" s="110">
        <f t="shared" si="5"/>
        <v>2.828617927</v>
      </c>
      <c r="Q881" s="109">
        <f t="shared" si="6"/>
        <v>0.1139018497</v>
      </c>
      <c r="R881" s="111">
        <f t="shared" si="7"/>
        <v>0.322184814</v>
      </c>
      <c r="S881" s="112">
        <f t="shared" si="248"/>
        <v>4278.2</v>
      </c>
      <c r="T881" s="113">
        <f t="shared" si="9"/>
        <v>47.928</v>
      </c>
      <c r="U881" s="114"/>
      <c r="V881" s="114"/>
      <c r="W881" s="114"/>
      <c r="X881" s="114"/>
      <c r="Y881" s="115"/>
      <c r="Z881" s="98"/>
      <c r="AA881" s="98"/>
    </row>
    <row r="882" hidden="1" outlineLevel="1">
      <c r="A882" s="148" t="str">
        <f t="shared" ref="A882:A883" si="250">iferror(if(B882&gt;0,month(B882)&amp;"-"&amp;year(B882),B882),)</f>
        <v>11-2025</v>
      </c>
      <c r="B882" s="99">
        <v>45990.0</v>
      </c>
      <c r="C882" s="100" t="s">
        <v>49</v>
      </c>
      <c r="D882" s="146">
        <v>81.75</v>
      </c>
      <c r="E882" s="102"/>
      <c r="F882" s="103">
        <v>1.0</v>
      </c>
      <c r="G882" s="103">
        <v>1.0</v>
      </c>
      <c r="H882" s="104">
        <f t="shared" si="1"/>
        <v>1</v>
      </c>
      <c r="I882" s="105">
        <f t="shared" si="2"/>
        <v>81.75</v>
      </c>
      <c r="J882" s="106">
        <f t="shared" si="3"/>
        <v>81.75</v>
      </c>
      <c r="K882" s="146">
        <v>15.9</v>
      </c>
      <c r="L882" s="103">
        <v>9569.0</v>
      </c>
      <c r="M882" s="103">
        <v>0.0</v>
      </c>
      <c r="N882" s="147">
        <v>0.0</v>
      </c>
      <c r="O882" s="109" t="str">
        <f t="shared" si="249"/>
        <v>#DIV/0!</v>
      </c>
      <c r="P882" s="110">
        <f t="shared" si="5"/>
        <v>0</v>
      </c>
      <c r="Q882" s="109">
        <f t="shared" si="6"/>
        <v>0.1944954128</v>
      </c>
      <c r="R882" s="111">
        <f t="shared" si="7"/>
        <v>0</v>
      </c>
      <c r="S882" s="112">
        <f t="shared" si="248"/>
        <v>81.75</v>
      </c>
      <c r="T882" s="113" t="str">
        <f t="shared" si="9"/>
        <v>#DIV/0!</v>
      </c>
      <c r="U882" s="114"/>
      <c r="V882" s="114"/>
      <c r="W882" s="114"/>
      <c r="X882" s="114"/>
      <c r="Y882" s="115"/>
      <c r="Z882" s="98"/>
      <c r="AA882" s="98"/>
    </row>
    <row r="883" collapsed="1">
      <c r="A883" s="98" t="str">
        <f t="shared" si="250"/>
        <v/>
      </c>
      <c r="B883" s="80" t="s">
        <v>135</v>
      </c>
      <c r="C883" s="150"/>
      <c r="D883" s="151">
        <f>SUM(D866:D882)</f>
        <v>90697.2</v>
      </c>
      <c r="E883" s="152"/>
      <c r="F883" s="153">
        <f t="shared" ref="F883:G883" si="251">SUM(F866:F882)</f>
        <v>574</v>
      </c>
      <c r="G883" s="153">
        <f t="shared" si="251"/>
        <v>539</v>
      </c>
      <c r="H883" s="154">
        <f t="shared" si="1"/>
        <v>1.064935065</v>
      </c>
      <c r="I883" s="155">
        <f t="shared" si="2"/>
        <v>158.0090592</v>
      </c>
      <c r="J883" s="156">
        <f t="shared" si="3"/>
        <v>148.3743605</v>
      </c>
      <c r="K883" s="151">
        <f t="shared" ref="K883:N883" si="252">SUM(K866:K882)</f>
        <v>7312.89</v>
      </c>
      <c r="L883" s="153">
        <f t="shared" si="252"/>
        <v>3031372</v>
      </c>
      <c r="M883" s="153">
        <f t="shared" si="252"/>
        <v>182</v>
      </c>
      <c r="N883" s="157">
        <f t="shared" si="252"/>
        <v>19790.57</v>
      </c>
      <c r="O883" s="158">
        <f t="shared" si="249"/>
        <v>0.3695138644</v>
      </c>
      <c r="P883" s="159">
        <f t="shared" si="5"/>
        <v>2.706258401</v>
      </c>
      <c r="Q883" s="158">
        <f t="shared" si="6"/>
        <v>0.08062972176</v>
      </c>
      <c r="R883" s="160">
        <f t="shared" si="7"/>
        <v>0.2182048619</v>
      </c>
      <c r="S883" s="161">
        <f>SUM(S866:S882)</f>
        <v>70906.63</v>
      </c>
      <c r="T883" s="162">
        <f t="shared" si="9"/>
        <v>40.18071429</v>
      </c>
      <c r="U883" s="163">
        <f>IFERROR((D883-D246)/D883,)</f>
        <v>0.9164106499</v>
      </c>
      <c r="V883" s="163">
        <f>IFERROR((F883-F246)/F883,)</f>
        <v>0.8362369338</v>
      </c>
      <c r="W883" s="164" t="str">
        <f>IFERROR((D883-monthly_reporting_2021!E674)/D883, )</f>
        <v/>
      </c>
      <c r="X883" s="164" t="str">
        <f>IFERROR((F883-monthly_reporting_2021!F674)/F883, )</f>
        <v/>
      </c>
      <c r="Y883" s="98"/>
      <c r="Z883" s="98"/>
      <c r="AA883" s="98"/>
    </row>
    <row r="884" outlineLevel="1">
      <c r="A884" s="98"/>
      <c r="B884" s="99">
        <v>45991.0</v>
      </c>
      <c r="C884" s="100" t="s">
        <v>32</v>
      </c>
      <c r="D884" s="101">
        <v>13062.62</v>
      </c>
      <c r="E884" s="102"/>
      <c r="F884" s="103">
        <v>52.0</v>
      </c>
      <c r="G884" s="103">
        <v>48.0</v>
      </c>
      <c r="H884" s="104">
        <f t="shared" si="1"/>
        <v>1.083333333</v>
      </c>
      <c r="I884" s="105">
        <f t="shared" si="2"/>
        <v>251.2042308</v>
      </c>
      <c r="J884" s="106">
        <f t="shared" si="3"/>
        <v>231.8808284</v>
      </c>
      <c r="K884" s="107">
        <v>3476.06</v>
      </c>
      <c r="L884" s="103">
        <v>789555.0</v>
      </c>
      <c r="M884" s="103">
        <v>25.0</v>
      </c>
      <c r="N884" s="108">
        <v>5744.61</v>
      </c>
      <c r="O884" s="109">
        <f t="shared" si="249"/>
        <v>0.6050993888</v>
      </c>
      <c r="P884" s="110">
        <f t="shared" si="5"/>
        <v>1.652621071</v>
      </c>
      <c r="Q884" s="109">
        <f t="shared" si="6"/>
        <v>0.2661074118</v>
      </c>
      <c r="R884" s="111">
        <f t="shared" si="7"/>
        <v>0.4397747159</v>
      </c>
      <c r="S884" s="112">
        <f t="shared" ref="S884:S900" si="253">D884-N884</f>
        <v>7318.01</v>
      </c>
      <c r="T884" s="113">
        <f t="shared" si="9"/>
        <v>139.0424</v>
      </c>
      <c r="U884" s="114"/>
      <c r="V884" s="114"/>
      <c r="W884" s="114"/>
      <c r="X884" s="114"/>
      <c r="Y884" s="115"/>
      <c r="Z884" s="98"/>
      <c r="AA884" s="98"/>
    </row>
    <row r="885" outlineLevel="1">
      <c r="A885" s="98"/>
      <c r="B885" s="116"/>
      <c r="C885" s="100" t="s">
        <v>33</v>
      </c>
      <c r="D885" s="117">
        <v>46091.89</v>
      </c>
      <c r="E885" s="102"/>
      <c r="F885" s="103">
        <v>185.0</v>
      </c>
      <c r="G885" s="103">
        <v>189.0</v>
      </c>
      <c r="H885" s="104">
        <f t="shared" si="1"/>
        <v>0.9788359788</v>
      </c>
      <c r="I885" s="105">
        <f t="shared" si="2"/>
        <v>249.1453514</v>
      </c>
      <c r="J885" s="106">
        <f t="shared" si="3"/>
        <v>254.5322779</v>
      </c>
      <c r="K885" s="117">
        <v>1711.79</v>
      </c>
      <c r="L885" s="103">
        <v>2002846.0</v>
      </c>
      <c r="M885" s="103">
        <v>63.0</v>
      </c>
      <c r="N885" s="118">
        <v>8752.78</v>
      </c>
      <c r="O885" s="109">
        <f t="shared" si="249"/>
        <v>0.1955710072</v>
      </c>
      <c r="P885" s="110">
        <f t="shared" si="5"/>
        <v>5.113232347</v>
      </c>
      <c r="Q885" s="109">
        <f t="shared" si="6"/>
        <v>0.03713863762</v>
      </c>
      <c r="R885" s="111">
        <f t="shared" si="7"/>
        <v>0.1898984832</v>
      </c>
      <c r="S885" s="119">
        <f t="shared" si="253"/>
        <v>37339.11</v>
      </c>
      <c r="T885" s="113">
        <f t="shared" si="9"/>
        <v>27.17126984</v>
      </c>
      <c r="U885" s="114"/>
      <c r="V885" s="114"/>
      <c r="W885" s="114"/>
      <c r="X885" s="114"/>
      <c r="Y885" s="115"/>
      <c r="Z885" s="98"/>
      <c r="AA885" s="98"/>
    </row>
    <row r="886" outlineLevel="1">
      <c r="A886" s="98"/>
      <c r="B886" s="116"/>
      <c r="C886" s="100" t="s">
        <v>34</v>
      </c>
      <c r="D886" s="120">
        <v>69.95</v>
      </c>
      <c r="E886" s="102"/>
      <c r="F886" s="103">
        <v>1.0</v>
      </c>
      <c r="G886" s="103">
        <v>1.0</v>
      </c>
      <c r="H886" s="104">
        <f t="shared" si="1"/>
        <v>1</v>
      </c>
      <c r="I886" s="105">
        <f t="shared" si="2"/>
        <v>69.95</v>
      </c>
      <c r="J886" s="106">
        <f t="shared" si="3"/>
        <v>69.95</v>
      </c>
      <c r="K886" s="120">
        <v>0.0</v>
      </c>
      <c r="L886" s="103">
        <v>229.0</v>
      </c>
      <c r="M886" s="103">
        <v>0.0</v>
      </c>
      <c r="N886" s="121">
        <v>0.0</v>
      </c>
      <c r="O886" s="109" t="str">
        <f>(K886/N886)</f>
        <v>#DIV/0!</v>
      </c>
      <c r="P886" s="110" t="str">
        <f t="shared" si="5"/>
        <v>#DIV/0!</v>
      </c>
      <c r="Q886" s="109">
        <f t="shared" si="6"/>
        <v>0</v>
      </c>
      <c r="R886" s="111">
        <f t="shared" si="7"/>
        <v>0</v>
      </c>
      <c r="S886" s="122">
        <f t="shared" si="253"/>
        <v>69.95</v>
      </c>
      <c r="T886" s="113" t="str">
        <f t="shared" si="9"/>
        <v>#DIV/0!</v>
      </c>
      <c r="U886" s="114"/>
      <c r="V886" s="114"/>
      <c r="W886" s="114"/>
      <c r="X886" s="114"/>
      <c r="Y886" s="115"/>
      <c r="Z886" s="98"/>
      <c r="AA886" s="98"/>
    </row>
    <row r="887" outlineLevel="1">
      <c r="A887" s="98"/>
      <c r="B887" s="116"/>
      <c r="C887" s="100" t="s">
        <v>35</v>
      </c>
      <c r="D887" s="120">
        <v>926.27</v>
      </c>
      <c r="E887" s="102"/>
      <c r="F887" s="103">
        <v>19.0</v>
      </c>
      <c r="G887" s="103">
        <v>15.0</v>
      </c>
      <c r="H887" s="104">
        <f t="shared" si="1"/>
        <v>1.266666667</v>
      </c>
      <c r="I887" s="105">
        <f t="shared" si="2"/>
        <v>48.75105263</v>
      </c>
      <c r="J887" s="106">
        <f t="shared" si="3"/>
        <v>38.48767313</v>
      </c>
      <c r="K887" s="120">
        <v>258.76</v>
      </c>
      <c r="L887" s="103">
        <v>17785.0</v>
      </c>
      <c r="M887" s="103">
        <v>17.0</v>
      </c>
      <c r="N887" s="121">
        <v>635.47</v>
      </c>
      <c r="O887" s="109">
        <f t="shared" ref="O887:O903" si="254">K887/N887</f>
        <v>0.4071946748</v>
      </c>
      <c r="P887" s="110">
        <f t="shared" si="5"/>
        <v>2.455827794</v>
      </c>
      <c r="Q887" s="109">
        <f t="shared" si="6"/>
        <v>0.2793569909</v>
      </c>
      <c r="R887" s="111">
        <f t="shared" si="7"/>
        <v>0.6860526628</v>
      </c>
      <c r="S887" s="122">
        <f t="shared" si="253"/>
        <v>290.8</v>
      </c>
      <c r="T887" s="113">
        <f t="shared" si="9"/>
        <v>15.22117647</v>
      </c>
      <c r="U887" s="114"/>
      <c r="V887" s="114"/>
      <c r="W887" s="114"/>
      <c r="X887" s="114"/>
      <c r="Y887" s="115"/>
      <c r="Z887" s="98"/>
      <c r="AA887" s="98"/>
    </row>
    <row r="888" outlineLevel="1">
      <c r="A888" s="98"/>
      <c r="B888" s="116"/>
      <c r="C888" s="100" t="s">
        <v>36</v>
      </c>
      <c r="D888" s="120">
        <v>688.46</v>
      </c>
      <c r="E888" s="102"/>
      <c r="F888" s="103">
        <v>14.0</v>
      </c>
      <c r="G888" s="103">
        <v>13.0</v>
      </c>
      <c r="H888" s="104">
        <f t="shared" si="1"/>
        <v>1.076923077</v>
      </c>
      <c r="I888" s="105">
        <f t="shared" si="2"/>
        <v>49.17571429</v>
      </c>
      <c r="J888" s="106">
        <f t="shared" si="3"/>
        <v>45.66316327</v>
      </c>
      <c r="K888" s="120">
        <v>41.14</v>
      </c>
      <c r="L888" s="103">
        <v>11966.0</v>
      </c>
      <c r="M888" s="103">
        <v>3.0</v>
      </c>
      <c r="N888" s="121">
        <v>119.91</v>
      </c>
      <c r="O888" s="109">
        <f t="shared" si="254"/>
        <v>0.3430906513</v>
      </c>
      <c r="P888" s="110">
        <f t="shared" si="5"/>
        <v>2.914681575</v>
      </c>
      <c r="Q888" s="109">
        <f t="shared" si="6"/>
        <v>0.05975655812</v>
      </c>
      <c r="R888" s="111">
        <f t="shared" si="7"/>
        <v>0.1741713389</v>
      </c>
      <c r="S888" s="122">
        <f t="shared" si="253"/>
        <v>568.55</v>
      </c>
      <c r="T888" s="113">
        <f t="shared" si="9"/>
        <v>13.71333333</v>
      </c>
      <c r="U888" s="114"/>
      <c r="V888" s="114"/>
      <c r="W888" s="114"/>
      <c r="X888" s="114"/>
      <c r="Y888" s="115"/>
      <c r="Z888" s="98"/>
      <c r="AA888" s="98"/>
    </row>
    <row r="889" outlineLevel="1">
      <c r="A889" s="98"/>
      <c r="B889" s="99" t="s">
        <v>37</v>
      </c>
      <c r="C889" s="100" t="s">
        <v>38</v>
      </c>
      <c r="D889" s="123">
        <v>919.9</v>
      </c>
      <c r="E889" s="102"/>
      <c r="F889" s="103">
        <v>21.0</v>
      </c>
      <c r="G889" s="103">
        <v>20.0</v>
      </c>
      <c r="H889" s="104">
        <f t="shared" si="1"/>
        <v>1.05</v>
      </c>
      <c r="I889" s="105">
        <f t="shared" si="2"/>
        <v>43.8047619</v>
      </c>
      <c r="J889" s="106">
        <f t="shared" si="3"/>
        <v>41.71882086</v>
      </c>
      <c r="K889" s="123">
        <v>49.76</v>
      </c>
      <c r="L889" s="103">
        <v>12426.0</v>
      </c>
      <c r="M889" s="103">
        <v>4.0</v>
      </c>
      <c r="N889" s="124">
        <v>89.92</v>
      </c>
      <c r="O889" s="109">
        <f t="shared" si="254"/>
        <v>0.5533807829</v>
      </c>
      <c r="P889" s="110">
        <f t="shared" si="5"/>
        <v>1.807073955</v>
      </c>
      <c r="Q889" s="109">
        <f t="shared" si="6"/>
        <v>0.05409283618</v>
      </c>
      <c r="R889" s="111">
        <f t="shared" si="7"/>
        <v>0.09774975541</v>
      </c>
      <c r="S889" s="125">
        <f t="shared" si="253"/>
        <v>829.98</v>
      </c>
      <c r="T889" s="113">
        <f t="shared" si="9"/>
        <v>12.44</v>
      </c>
      <c r="U889" s="114"/>
      <c r="V889" s="114"/>
      <c r="W889" s="114"/>
      <c r="X889" s="114"/>
      <c r="Y889" s="115"/>
      <c r="Z889" s="98"/>
      <c r="AA889" s="98"/>
    </row>
    <row r="890" outlineLevel="1">
      <c r="A890" s="98"/>
      <c r="B890" s="116"/>
      <c r="C890" s="100" t="s">
        <v>39</v>
      </c>
      <c r="D890" s="126">
        <v>0.0</v>
      </c>
      <c r="E890" s="102"/>
      <c r="F890" s="103">
        <v>0.0</v>
      </c>
      <c r="G890" s="103">
        <v>0.0</v>
      </c>
      <c r="H890" s="104" t="str">
        <f t="shared" si="1"/>
        <v>#DIV/0!</v>
      </c>
      <c r="I890" s="105" t="str">
        <f t="shared" si="2"/>
        <v>#DIV/0!</v>
      </c>
      <c r="J890" s="106" t="str">
        <f t="shared" si="3"/>
        <v>#DIV/0!</v>
      </c>
      <c r="K890" s="126">
        <v>0.0</v>
      </c>
      <c r="L890" s="103">
        <v>0.0</v>
      </c>
      <c r="M890" s="103">
        <v>0.0</v>
      </c>
      <c r="N890" s="127">
        <v>0.0</v>
      </c>
      <c r="O890" s="109" t="str">
        <f t="shared" si="254"/>
        <v>#DIV/0!</v>
      </c>
      <c r="P890" s="110" t="str">
        <f t="shared" si="5"/>
        <v>#DIV/0!</v>
      </c>
      <c r="Q890" s="109" t="str">
        <f t="shared" si="6"/>
        <v>#DIV/0!</v>
      </c>
      <c r="R890" s="111" t="str">
        <f t="shared" si="7"/>
        <v>#DIV/0!</v>
      </c>
      <c r="S890" s="128">
        <f t="shared" si="253"/>
        <v>0</v>
      </c>
      <c r="T890" s="113" t="str">
        <f t="shared" si="9"/>
        <v>#DIV/0!</v>
      </c>
      <c r="U890" s="114"/>
      <c r="V890" s="114"/>
      <c r="W890" s="114"/>
      <c r="X890" s="114"/>
      <c r="Y890" s="115"/>
      <c r="Z890" s="98"/>
      <c r="AA890" s="98"/>
    </row>
    <row r="891" outlineLevel="1">
      <c r="A891" s="98"/>
      <c r="B891" s="116"/>
      <c r="C891" s="100" t="s">
        <v>40</v>
      </c>
      <c r="D891" s="129">
        <v>0.0</v>
      </c>
      <c r="E891" s="102"/>
      <c r="F891" s="103">
        <v>0.0</v>
      </c>
      <c r="G891" s="103">
        <v>0.0</v>
      </c>
      <c r="H891" s="104" t="str">
        <f t="shared" si="1"/>
        <v>#DIV/0!</v>
      </c>
      <c r="I891" s="105" t="str">
        <f t="shared" si="2"/>
        <v>#DIV/0!</v>
      </c>
      <c r="J891" s="106" t="str">
        <f t="shared" si="3"/>
        <v>#DIV/0!</v>
      </c>
      <c r="K891" s="129">
        <v>0.0</v>
      </c>
      <c r="L891" s="103">
        <v>0.0</v>
      </c>
      <c r="M891" s="103">
        <v>0.0</v>
      </c>
      <c r="N891" s="130">
        <v>0.0</v>
      </c>
      <c r="O891" s="109" t="str">
        <f t="shared" si="254"/>
        <v>#DIV/0!</v>
      </c>
      <c r="P891" s="110" t="str">
        <f t="shared" si="5"/>
        <v>#DIV/0!</v>
      </c>
      <c r="Q891" s="109" t="str">
        <f t="shared" si="6"/>
        <v>#DIV/0!</v>
      </c>
      <c r="R891" s="111" t="str">
        <f t="shared" si="7"/>
        <v>#DIV/0!</v>
      </c>
      <c r="S891" s="131">
        <f t="shared" si="253"/>
        <v>0</v>
      </c>
      <c r="T891" s="113" t="str">
        <f t="shared" si="9"/>
        <v>#DIV/0!</v>
      </c>
      <c r="U891" s="114"/>
      <c r="V891" s="114"/>
      <c r="W891" s="114"/>
      <c r="X891" s="114"/>
      <c r="Y891" s="115"/>
      <c r="Z891" s="98"/>
      <c r="AA891" s="98"/>
    </row>
    <row r="892" outlineLevel="1">
      <c r="A892" s="98"/>
      <c r="B892" s="116"/>
      <c r="C892" s="100" t="s">
        <v>41</v>
      </c>
      <c r="D892" s="132">
        <v>2863.55</v>
      </c>
      <c r="E892" s="102"/>
      <c r="F892" s="103">
        <v>59.0</v>
      </c>
      <c r="G892" s="103">
        <v>46.0</v>
      </c>
      <c r="H892" s="104">
        <f t="shared" si="1"/>
        <v>1.282608696</v>
      </c>
      <c r="I892" s="105">
        <f t="shared" si="2"/>
        <v>48.53474576</v>
      </c>
      <c r="J892" s="106">
        <f t="shared" si="3"/>
        <v>37.84064924</v>
      </c>
      <c r="K892" s="132">
        <v>586.68</v>
      </c>
      <c r="L892" s="103">
        <v>37948.0</v>
      </c>
      <c r="M892" s="103">
        <v>25.0</v>
      </c>
      <c r="N892" s="133">
        <v>1499.48</v>
      </c>
      <c r="O892" s="109">
        <f t="shared" si="254"/>
        <v>0.3912556353</v>
      </c>
      <c r="P892" s="110">
        <f t="shared" si="5"/>
        <v>2.55587373</v>
      </c>
      <c r="Q892" s="109">
        <f t="shared" si="6"/>
        <v>0.2048785598</v>
      </c>
      <c r="R892" s="111">
        <f t="shared" si="7"/>
        <v>0.5236437289</v>
      </c>
      <c r="S892" s="134">
        <f t="shared" si="253"/>
        <v>1364.07</v>
      </c>
      <c r="T892" s="113">
        <f t="shared" si="9"/>
        <v>23.4672</v>
      </c>
      <c r="U892" s="114"/>
      <c r="V892" s="114"/>
      <c r="W892" s="114"/>
      <c r="X892" s="114"/>
      <c r="Y892" s="115"/>
      <c r="Z892" s="98"/>
      <c r="AA892" s="98"/>
    </row>
    <row r="893" outlineLevel="1">
      <c r="A893" s="98"/>
      <c r="B893" s="116"/>
      <c r="C893" s="100" t="s">
        <v>42</v>
      </c>
      <c r="D893" s="120">
        <v>259.78</v>
      </c>
      <c r="E893" s="102"/>
      <c r="F893" s="103">
        <v>14.0</v>
      </c>
      <c r="G893" s="103">
        <v>8.0</v>
      </c>
      <c r="H893" s="104">
        <f t="shared" si="1"/>
        <v>1.75</v>
      </c>
      <c r="I893" s="105">
        <f t="shared" si="2"/>
        <v>18.55571429</v>
      </c>
      <c r="J893" s="106">
        <f t="shared" si="3"/>
        <v>10.60326531</v>
      </c>
      <c r="K893" s="120">
        <v>107.2</v>
      </c>
      <c r="L893" s="103">
        <v>37986.0</v>
      </c>
      <c r="M893" s="103">
        <v>3.0</v>
      </c>
      <c r="N893" s="121">
        <v>59.97</v>
      </c>
      <c r="O893" s="109">
        <f t="shared" si="254"/>
        <v>1.787560447</v>
      </c>
      <c r="P893" s="110">
        <f t="shared" si="5"/>
        <v>0.5594216418</v>
      </c>
      <c r="Q893" s="109">
        <f t="shared" si="6"/>
        <v>0.4126568635</v>
      </c>
      <c r="R893" s="111">
        <f t="shared" si="7"/>
        <v>0.2308491801</v>
      </c>
      <c r="S893" s="122">
        <f t="shared" si="253"/>
        <v>199.81</v>
      </c>
      <c r="T893" s="113">
        <f t="shared" si="9"/>
        <v>35.73333333</v>
      </c>
      <c r="U893" s="114"/>
      <c r="V893" s="114"/>
      <c r="W893" s="114"/>
      <c r="X893" s="114"/>
      <c r="Y893" s="115"/>
      <c r="Z893" s="98"/>
      <c r="AA893" s="98"/>
    </row>
    <row r="894" outlineLevel="1">
      <c r="A894" s="98"/>
      <c r="B894" s="116"/>
      <c r="C894" s="100" t="s">
        <v>43</v>
      </c>
      <c r="D894" s="135">
        <v>3401.36</v>
      </c>
      <c r="E894" s="102"/>
      <c r="F894" s="103">
        <v>28.0</v>
      </c>
      <c r="G894" s="103">
        <v>29.0</v>
      </c>
      <c r="H894" s="104">
        <f t="shared" si="1"/>
        <v>0.9655172414</v>
      </c>
      <c r="I894" s="105">
        <f t="shared" si="2"/>
        <v>121.4771429</v>
      </c>
      <c r="J894" s="106">
        <f t="shared" si="3"/>
        <v>125.8156122</v>
      </c>
      <c r="K894" s="135">
        <v>77.52</v>
      </c>
      <c r="L894" s="103">
        <v>15141.0</v>
      </c>
      <c r="M894" s="103">
        <v>3.0</v>
      </c>
      <c r="N894" s="136">
        <v>146.22</v>
      </c>
      <c r="O894" s="109">
        <f t="shared" si="254"/>
        <v>0.5301600328</v>
      </c>
      <c r="P894" s="110">
        <f t="shared" si="5"/>
        <v>1.88622291</v>
      </c>
      <c r="Q894" s="109">
        <f t="shared" si="6"/>
        <v>0.02279088365</v>
      </c>
      <c r="R894" s="111">
        <f t="shared" si="7"/>
        <v>0.04298868688</v>
      </c>
      <c r="S894" s="137">
        <f t="shared" si="253"/>
        <v>3255.14</v>
      </c>
      <c r="T894" s="113">
        <f t="shared" si="9"/>
        <v>25.84</v>
      </c>
      <c r="U894" s="114"/>
      <c r="V894" s="114"/>
      <c r="W894" s="114"/>
      <c r="X894" s="114"/>
      <c r="Y894" s="115"/>
      <c r="Z894" s="98"/>
      <c r="AA894" s="98"/>
    </row>
    <row r="895" outlineLevel="1">
      <c r="A895" s="98"/>
      <c r="B895" s="116"/>
      <c r="C895" s="100" t="s">
        <v>44</v>
      </c>
      <c r="D895" s="138">
        <v>36.95</v>
      </c>
      <c r="E895" s="102"/>
      <c r="F895" s="103">
        <v>2.0</v>
      </c>
      <c r="G895" s="103">
        <v>3.0</v>
      </c>
      <c r="H895" s="104">
        <f t="shared" si="1"/>
        <v>0.6666666667</v>
      </c>
      <c r="I895" s="105">
        <f t="shared" si="2"/>
        <v>18.475</v>
      </c>
      <c r="J895" s="106">
        <f t="shared" si="3"/>
        <v>27.7125</v>
      </c>
      <c r="K895" s="138">
        <v>92.06</v>
      </c>
      <c r="L895" s="103">
        <v>31307.0</v>
      </c>
      <c r="M895" s="103">
        <v>3.0</v>
      </c>
      <c r="N895" s="139">
        <v>128.92</v>
      </c>
      <c r="O895" s="109">
        <f t="shared" si="254"/>
        <v>0.714086255</v>
      </c>
      <c r="P895" s="110">
        <f t="shared" si="5"/>
        <v>1.400391049</v>
      </c>
      <c r="Q895" s="109">
        <f t="shared" si="6"/>
        <v>2.491474966</v>
      </c>
      <c r="R895" s="111">
        <f t="shared" si="7"/>
        <v>3.489039242</v>
      </c>
      <c r="S895" s="140">
        <f t="shared" si="253"/>
        <v>-91.97</v>
      </c>
      <c r="T895" s="113">
        <f t="shared" si="9"/>
        <v>30.68666667</v>
      </c>
      <c r="U895" s="114"/>
      <c r="V895" s="114"/>
      <c r="W895" s="114"/>
      <c r="X895" s="114"/>
      <c r="Y895" s="115"/>
      <c r="Z895" s="98"/>
      <c r="AA895" s="98"/>
    </row>
    <row r="896" outlineLevel="1">
      <c r="A896" s="141"/>
      <c r="B896" s="116"/>
      <c r="C896" s="142" t="s">
        <v>45</v>
      </c>
      <c r="D896" s="101">
        <v>0.0</v>
      </c>
      <c r="E896" s="102"/>
      <c r="F896" s="103">
        <v>0.0</v>
      </c>
      <c r="G896" s="103">
        <v>0.0</v>
      </c>
      <c r="H896" s="104" t="str">
        <f t="shared" si="1"/>
        <v>#DIV/0!</v>
      </c>
      <c r="I896" s="105" t="str">
        <f t="shared" si="2"/>
        <v>#DIV/0!</v>
      </c>
      <c r="J896" s="106" t="str">
        <f t="shared" si="3"/>
        <v>#DIV/0!</v>
      </c>
      <c r="K896" s="101">
        <v>0.0</v>
      </c>
      <c r="L896" s="103">
        <v>0.0</v>
      </c>
      <c r="M896" s="103">
        <v>0.0</v>
      </c>
      <c r="N896" s="108">
        <v>0.0</v>
      </c>
      <c r="O896" s="109" t="str">
        <f t="shared" si="254"/>
        <v>#DIV/0!</v>
      </c>
      <c r="P896" s="110" t="str">
        <f t="shared" si="5"/>
        <v>#DIV/0!</v>
      </c>
      <c r="Q896" s="109" t="str">
        <f t="shared" si="6"/>
        <v>#DIV/0!</v>
      </c>
      <c r="R896" s="111" t="str">
        <f t="shared" si="7"/>
        <v>#DIV/0!</v>
      </c>
      <c r="S896" s="112">
        <f t="shared" si="253"/>
        <v>0</v>
      </c>
      <c r="T896" s="113" t="str">
        <f t="shared" si="9"/>
        <v>#DIV/0!</v>
      </c>
      <c r="U896" s="143"/>
      <c r="V896" s="143"/>
      <c r="W896" s="143"/>
      <c r="X896" s="144"/>
      <c r="Y896" s="145"/>
      <c r="Z896" s="98"/>
      <c r="AA896" s="98"/>
    </row>
    <row r="897" outlineLevel="1">
      <c r="A897" s="98"/>
      <c r="B897" s="116"/>
      <c r="C897" s="100" t="s">
        <v>46</v>
      </c>
      <c r="D897" s="146">
        <v>1933.96</v>
      </c>
      <c r="E897" s="102"/>
      <c r="F897" s="103">
        <v>51.0</v>
      </c>
      <c r="G897" s="103">
        <v>53.0</v>
      </c>
      <c r="H897" s="104">
        <f t="shared" si="1"/>
        <v>0.9622641509</v>
      </c>
      <c r="I897" s="105">
        <f t="shared" si="2"/>
        <v>37.92078431</v>
      </c>
      <c r="J897" s="106">
        <f t="shared" si="3"/>
        <v>39.40787389</v>
      </c>
      <c r="K897" s="146">
        <v>177.1</v>
      </c>
      <c r="L897" s="103">
        <v>25398.0</v>
      </c>
      <c r="M897" s="103">
        <v>21.0</v>
      </c>
      <c r="N897" s="147">
        <v>579.74</v>
      </c>
      <c r="O897" s="109">
        <f t="shared" si="254"/>
        <v>0.3054817677</v>
      </c>
      <c r="P897" s="110">
        <f t="shared" si="5"/>
        <v>3.273517787</v>
      </c>
      <c r="Q897" s="109">
        <f t="shared" si="6"/>
        <v>0.09157376574</v>
      </c>
      <c r="R897" s="111">
        <f t="shared" si="7"/>
        <v>0.2997683509</v>
      </c>
      <c r="S897" s="112">
        <f t="shared" si="253"/>
        <v>1354.22</v>
      </c>
      <c r="T897" s="113">
        <f t="shared" si="9"/>
        <v>8.433333333</v>
      </c>
      <c r="U897" s="114"/>
      <c r="V897" s="114"/>
      <c r="W897" s="114"/>
      <c r="X897" s="114"/>
      <c r="Y897" s="115"/>
      <c r="Z897" s="98"/>
      <c r="AA897" s="98"/>
    </row>
    <row r="898" outlineLevel="1">
      <c r="A898" s="98"/>
      <c r="B898" s="116"/>
      <c r="C898" s="100" t="s">
        <v>47</v>
      </c>
      <c r="D898" s="117">
        <v>0.0</v>
      </c>
      <c r="E898" s="102"/>
      <c r="F898" s="103">
        <v>0.0</v>
      </c>
      <c r="G898" s="103">
        <v>0.0</v>
      </c>
      <c r="H898" s="104" t="str">
        <f t="shared" si="1"/>
        <v>#DIV/0!</v>
      </c>
      <c r="I898" s="105" t="str">
        <f t="shared" si="2"/>
        <v>#DIV/0!</v>
      </c>
      <c r="J898" s="106" t="str">
        <f t="shared" si="3"/>
        <v>#DIV/0!</v>
      </c>
      <c r="K898" s="117">
        <v>0.0</v>
      </c>
      <c r="L898" s="103">
        <v>0.0</v>
      </c>
      <c r="M898" s="103">
        <v>0.0</v>
      </c>
      <c r="N898" s="118">
        <v>0.0</v>
      </c>
      <c r="O898" s="109" t="str">
        <f t="shared" si="254"/>
        <v>#DIV/0!</v>
      </c>
      <c r="P898" s="110" t="str">
        <f t="shared" si="5"/>
        <v>#DIV/0!</v>
      </c>
      <c r="Q898" s="109" t="str">
        <f t="shared" si="6"/>
        <v>#DIV/0!</v>
      </c>
      <c r="R898" s="111" t="str">
        <f t="shared" si="7"/>
        <v>#DIV/0!</v>
      </c>
      <c r="S898" s="112">
        <f t="shared" si="253"/>
        <v>0</v>
      </c>
      <c r="T898" s="113" t="str">
        <f t="shared" si="9"/>
        <v>#DIV/0!</v>
      </c>
      <c r="U898" s="114"/>
      <c r="V898" s="114"/>
      <c r="W898" s="114"/>
      <c r="X898" s="114"/>
      <c r="Y898" s="115"/>
      <c r="Z898" s="98"/>
      <c r="AA898" s="98"/>
    </row>
    <row r="899" outlineLevel="1">
      <c r="A899" s="98"/>
      <c r="B899" s="116"/>
      <c r="C899" s="100" t="s">
        <v>48</v>
      </c>
      <c r="D899" s="132">
        <v>8398.25</v>
      </c>
      <c r="E899" s="102"/>
      <c r="F899" s="103">
        <v>35.0</v>
      </c>
      <c r="G899" s="103">
        <v>34.0</v>
      </c>
      <c r="H899" s="104">
        <f t="shared" si="1"/>
        <v>1.029411765</v>
      </c>
      <c r="I899" s="105">
        <f t="shared" si="2"/>
        <v>239.95</v>
      </c>
      <c r="J899" s="106">
        <f t="shared" si="3"/>
        <v>233.0942857</v>
      </c>
      <c r="K899" s="132">
        <v>718.92</v>
      </c>
      <c r="L899" s="103">
        <v>39216.0</v>
      </c>
      <c r="M899" s="103">
        <v>15.0</v>
      </c>
      <c r="N899" s="133">
        <v>2033.55</v>
      </c>
      <c r="O899" s="109">
        <f t="shared" si="254"/>
        <v>0.3535295419</v>
      </c>
      <c r="P899" s="110">
        <f t="shared" si="5"/>
        <v>2.828617927</v>
      </c>
      <c r="Q899" s="109">
        <f t="shared" si="6"/>
        <v>0.08560354836</v>
      </c>
      <c r="R899" s="111">
        <f t="shared" si="7"/>
        <v>0.2421397315</v>
      </c>
      <c r="S899" s="112">
        <f t="shared" si="253"/>
        <v>6364.7</v>
      </c>
      <c r="T899" s="113">
        <f t="shared" si="9"/>
        <v>47.928</v>
      </c>
      <c r="U899" s="114"/>
      <c r="V899" s="114"/>
      <c r="W899" s="114"/>
      <c r="X899" s="114"/>
      <c r="Y899" s="115"/>
      <c r="Z899" s="98"/>
      <c r="AA899" s="98"/>
    </row>
    <row r="900" outlineLevel="1">
      <c r="A900" s="148" t="str">
        <f t="shared" ref="A900:A901" si="255">iferror(if(B900&gt;0,month(B900)&amp;"-"&amp;year(B900),B900),)</f>
        <v>12-2025</v>
      </c>
      <c r="B900" s="99">
        <v>45997.0</v>
      </c>
      <c r="C900" s="100" t="s">
        <v>49</v>
      </c>
      <c r="D900" s="146">
        <v>27.0</v>
      </c>
      <c r="E900" s="102"/>
      <c r="F900" s="103">
        <v>1.0</v>
      </c>
      <c r="G900" s="103">
        <v>2.0</v>
      </c>
      <c r="H900" s="104">
        <f t="shared" si="1"/>
        <v>0.5</v>
      </c>
      <c r="I900" s="105">
        <f t="shared" si="2"/>
        <v>27</v>
      </c>
      <c r="J900" s="106">
        <f t="shared" si="3"/>
        <v>54</v>
      </c>
      <c r="K900" s="146">
        <v>15.9</v>
      </c>
      <c r="L900" s="103">
        <v>9569.0</v>
      </c>
      <c r="M900" s="103">
        <v>0.0</v>
      </c>
      <c r="N900" s="147">
        <v>0.0</v>
      </c>
      <c r="O900" s="109" t="str">
        <f t="shared" si="254"/>
        <v>#DIV/0!</v>
      </c>
      <c r="P900" s="110">
        <f t="shared" si="5"/>
        <v>0</v>
      </c>
      <c r="Q900" s="109">
        <f t="shared" si="6"/>
        <v>0.5888888889</v>
      </c>
      <c r="R900" s="111">
        <f t="shared" si="7"/>
        <v>0</v>
      </c>
      <c r="S900" s="112">
        <f t="shared" si="253"/>
        <v>27</v>
      </c>
      <c r="T900" s="113" t="str">
        <f t="shared" si="9"/>
        <v>#DIV/0!</v>
      </c>
      <c r="U900" s="114"/>
      <c r="V900" s="114"/>
      <c r="W900" s="114"/>
      <c r="X900" s="114"/>
      <c r="Y900" s="115"/>
      <c r="Z900" s="98"/>
      <c r="AA900" s="98"/>
    </row>
    <row r="901">
      <c r="A901" s="98" t="str">
        <f t="shared" si="255"/>
        <v/>
      </c>
      <c r="B901" s="80" t="s">
        <v>136</v>
      </c>
      <c r="C901" s="150"/>
      <c r="D901" s="151">
        <f>SUM(D884:D900)</f>
        <v>78679.94</v>
      </c>
      <c r="E901" s="152"/>
      <c r="F901" s="153">
        <f t="shared" ref="F901:G901" si="256">SUM(F884:F900)</f>
        <v>482</v>
      </c>
      <c r="G901" s="153">
        <f t="shared" si="256"/>
        <v>461</v>
      </c>
      <c r="H901" s="154">
        <f t="shared" si="1"/>
        <v>1.045553145</v>
      </c>
      <c r="I901" s="155">
        <f t="shared" si="2"/>
        <v>163.23639</v>
      </c>
      <c r="J901" s="156">
        <f t="shared" si="3"/>
        <v>156.1244311</v>
      </c>
      <c r="K901" s="151">
        <f t="shared" ref="K901:N901" si="257">SUM(K884:K900)</f>
        <v>7312.89</v>
      </c>
      <c r="L901" s="153">
        <f t="shared" si="257"/>
        <v>3031372</v>
      </c>
      <c r="M901" s="153">
        <f t="shared" si="257"/>
        <v>182</v>
      </c>
      <c r="N901" s="157">
        <f t="shared" si="257"/>
        <v>19790.57</v>
      </c>
      <c r="O901" s="158">
        <f t="shared" si="254"/>
        <v>0.3695138644</v>
      </c>
      <c r="P901" s="159">
        <f t="shared" si="5"/>
        <v>2.706258401</v>
      </c>
      <c r="Q901" s="158">
        <f t="shared" si="6"/>
        <v>0.09294478364</v>
      </c>
      <c r="R901" s="160">
        <f t="shared" si="7"/>
        <v>0.2515326016</v>
      </c>
      <c r="S901" s="161">
        <f>SUM(S884:S900)</f>
        <v>58889.37</v>
      </c>
      <c r="T901" s="162">
        <f t="shared" si="9"/>
        <v>40.18071429</v>
      </c>
      <c r="U901" s="163">
        <f>IFERROR((D901-D246)/D901,)</f>
        <v>0.9036435462</v>
      </c>
      <c r="V901" s="163">
        <f>IFERROR((F901-F246)/F901,)</f>
        <v>0.8049792531</v>
      </c>
      <c r="W901" s="164" t="str">
        <f>IFERROR((D901-monthly_reporting_2021!E692)/D901, )</f>
        <v/>
      </c>
      <c r="X901" s="164" t="str">
        <f>IFERROR((F901-monthly_reporting_2021!F692)/F901, )</f>
        <v/>
      </c>
      <c r="Y901" s="98"/>
      <c r="Z901" s="98"/>
      <c r="AA901" s="98"/>
    </row>
    <row r="902" hidden="1" outlineLevel="1">
      <c r="A902" s="98"/>
      <c r="B902" s="99">
        <v>45998.0</v>
      </c>
      <c r="C902" s="100" t="s">
        <v>32</v>
      </c>
      <c r="D902" s="101">
        <v>2779.06</v>
      </c>
      <c r="E902" s="102"/>
      <c r="F902" s="103">
        <v>18.0</v>
      </c>
      <c r="G902" s="103">
        <v>22.0</v>
      </c>
      <c r="H902" s="104">
        <f t="shared" si="1"/>
        <v>0.8181818182</v>
      </c>
      <c r="I902" s="105">
        <f t="shared" si="2"/>
        <v>154.3922222</v>
      </c>
      <c r="J902" s="106">
        <f t="shared" si="3"/>
        <v>188.7016049</v>
      </c>
      <c r="K902" s="107">
        <v>1515.86</v>
      </c>
      <c r="L902" s="103">
        <v>442990.0</v>
      </c>
      <c r="M902" s="103">
        <v>10.0</v>
      </c>
      <c r="N902" s="108">
        <v>2537.0</v>
      </c>
      <c r="O902" s="109">
        <f t="shared" si="254"/>
        <v>0.5975009854</v>
      </c>
      <c r="P902" s="110">
        <f t="shared" si="5"/>
        <v>1.673637407</v>
      </c>
      <c r="Q902" s="109">
        <f t="shared" si="6"/>
        <v>0.5454578167</v>
      </c>
      <c r="R902" s="111">
        <f t="shared" si="7"/>
        <v>0.912898606</v>
      </c>
      <c r="S902" s="112">
        <f t="shared" ref="S902:S918" si="258">D902-N902</f>
        <v>242.06</v>
      </c>
      <c r="T902" s="113">
        <f t="shared" si="9"/>
        <v>151.586</v>
      </c>
      <c r="U902" s="114"/>
      <c r="V902" s="114"/>
      <c r="W902" s="114"/>
      <c r="X902" s="114"/>
      <c r="Y902" s="115"/>
      <c r="Z902" s="98"/>
      <c r="AA902" s="98"/>
    </row>
    <row r="903" hidden="1" outlineLevel="1">
      <c r="A903" s="98"/>
      <c r="B903" s="116"/>
      <c r="C903" s="100" t="s">
        <v>33</v>
      </c>
      <c r="D903" s="117">
        <v>10333.4</v>
      </c>
      <c r="E903" s="102"/>
      <c r="F903" s="103">
        <v>56.0</v>
      </c>
      <c r="G903" s="103">
        <v>63.0</v>
      </c>
      <c r="H903" s="104">
        <f t="shared" si="1"/>
        <v>0.8888888889</v>
      </c>
      <c r="I903" s="105">
        <f t="shared" si="2"/>
        <v>184.525</v>
      </c>
      <c r="J903" s="106">
        <f t="shared" si="3"/>
        <v>207.590625</v>
      </c>
      <c r="K903" s="117">
        <v>903.95</v>
      </c>
      <c r="L903" s="103">
        <v>1948034.0</v>
      </c>
      <c r="M903" s="103">
        <v>19.0</v>
      </c>
      <c r="N903" s="118">
        <v>4442.0</v>
      </c>
      <c r="O903" s="109">
        <f t="shared" si="254"/>
        <v>0.2035006754</v>
      </c>
      <c r="P903" s="110">
        <f t="shared" si="5"/>
        <v>4.913988606</v>
      </c>
      <c r="Q903" s="109">
        <f t="shared" si="6"/>
        <v>0.08747846788</v>
      </c>
      <c r="R903" s="111">
        <f t="shared" si="7"/>
        <v>0.4298681944</v>
      </c>
      <c r="S903" s="119">
        <f t="shared" si="258"/>
        <v>5891.4</v>
      </c>
      <c r="T903" s="113">
        <f t="shared" si="9"/>
        <v>47.57631579</v>
      </c>
      <c r="U903" s="114"/>
      <c r="V903" s="114"/>
      <c r="W903" s="114"/>
      <c r="X903" s="114"/>
      <c r="Y903" s="115"/>
      <c r="Z903" s="98"/>
      <c r="AA903" s="98"/>
    </row>
    <row r="904" hidden="1" outlineLevel="1">
      <c r="A904" s="98"/>
      <c r="B904" s="116"/>
      <c r="C904" s="100" t="s">
        <v>34</v>
      </c>
      <c r="D904" s="120">
        <v>0.0</v>
      </c>
      <c r="E904" s="102"/>
      <c r="F904" s="103">
        <v>0.0</v>
      </c>
      <c r="G904" s="103">
        <v>0.0</v>
      </c>
      <c r="H904" s="104" t="str">
        <f t="shared" si="1"/>
        <v>#DIV/0!</v>
      </c>
      <c r="I904" s="105" t="str">
        <f t="shared" si="2"/>
        <v>#DIV/0!</v>
      </c>
      <c r="J904" s="106" t="str">
        <f t="shared" si="3"/>
        <v>#DIV/0!</v>
      </c>
      <c r="K904" s="120">
        <v>15.0</v>
      </c>
      <c r="L904" s="103">
        <v>262.0</v>
      </c>
      <c r="M904" s="103">
        <v>0.0</v>
      </c>
      <c r="N904" s="121">
        <v>0.0</v>
      </c>
      <c r="O904" s="109" t="str">
        <f>(K904/N904)</f>
        <v>#DIV/0!</v>
      </c>
      <c r="P904" s="110">
        <f t="shared" si="5"/>
        <v>0</v>
      </c>
      <c r="Q904" s="109" t="str">
        <f t="shared" si="6"/>
        <v>#DIV/0!</v>
      </c>
      <c r="R904" s="111" t="str">
        <f t="shared" si="7"/>
        <v>#DIV/0!</v>
      </c>
      <c r="S904" s="122">
        <f t="shared" si="258"/>
        <v>0</v>
      </c>
      <c r="T904" s="113" t="str">
        <f t="shared" si="9"/>
        <v>#DIV/0!</v>
      </c>
      <c r="U904" s="114"/>
      <c r="V904" s="114"/>
      <c r="W904" s="114"/>
      <c r="X904" s="114"/>
      <c r="Y904" s="115"/>
      <c r="Z904" s="98"/>
      <c r="AA904" s="98"/>
    </row>
    <row r="905" hidden="1" outlineLevel="1">
      <c r="A905" s="98"/>
      <c r="B905" s="116"/>
      <c r="C905" s="100" t="s">
        <v>35</v>
      </c>
      <c r="D905" s="120">
        <v>368.7</v>
      </c>
      <c r="E905" s="102"/>
      <c r="F905" s="103">
        <v>6.0</v>
      </c>
      <c r="G905" s="103">
        <v>7.0</v>
      </c>
      <c r="H905" s="104">
        <f t="shared" si="1"/>
        <v>0.8571428571</v>
      </c>
      <c r="I905" s="105">
        <f t="shared" si="2"/>
        <v>61.45</v>
      </c>
      <c r="J905" s="106">
        <f t="shared" si="3"/>
        <v>71.69166667</v>
      </c>
      <c r="K905" s="120">
        <v>70.57</v>
      </c>
      <c r="L905" s="103">
        <v>6350.0</v>
      </c>
      <c r="M905" s="103">
        <v>2.0</v>
      </c>
      <c r="N905" s="121">
        <v>119.9</v>
      </c>
      <c r="O905" s="109">
        <f t="shared" ref="O905:O921" si="259">K905/N905</f>
        <v>0.5885738115</v>
      </c>
      <c r="P905" s="110">
        <f t="shared" si="5"/>
        <v>1.699022247</v>
      </c>
      <c r="Q905" s="109">
        <f t="shared" si="6"/>
        <v>0.191402224</v>
      </c>
      <c r="R905" s="111">
        <f t="shared" si="7"/>
        <v>0.3251966368</v>
      </c>
      <c r="S905" s="122">
        <f t="shared" si="258"/>
        <v>248.8</v>
      </c>
      <c r="T905" s="113">
        <f t="shared" si="9"/>
        <v>35.285</v>
      </c>
      <c r="U905" s="114"/>
      <c r="V905" s="114"/>
      <c r="W905" s="114"/>
      <c r="X905" s="114"/>
      <c r="Y905" s="115"/>
      <c r="Z905" s="98"/>
      <c r="AA905" s="98"/>
    </row>
    <row r="906" hidden="1" outlineLevel="1">
      <c r="A906" s="98"/>
      <c r="B906" s="116"/>
      <c r="C906" s="100" t="s">
        <v>36</v>
      </c>
      <c r="D906" s="120">
        <v>429.65</v>
      </c>
      <c r="E906" s="102"/>
      <c r="F906" s="103">
        <v>7.0</v>
      </c>
      <c r="G906" s="103">
        <v>7.0</v>
      </c>
      <c r="H906" s="104">
        <f t="shared" si="1"/>
        <v>1</v>
      </c>
      <c r="I906" s="105">
        <f t="shared" si="2"/>
        <v>61.37857143</v>
      </c>
      <c r="J906" s="106">
        <f t="shared" si="3"/>
        <v>61.37857143</v>
      </c>
      <c r="K906" s="120">
        <v>69.17</v>
      </c>
      <c r="L906" s="103">
        <v>14933.0</v>
      </c>
      <c r="M906" s="103">
        <v>3.0</v>
      </c>
      <c r="N906" s="121">
        <v>189.85</v>
      </c>
      <c r="O906" s="109">
        <f t="shared" si="259"/>
        <v>0.3643402686</v>
      </c>
      <c r="P906" s="110">
        <f t="shared" si="5"/>
        <v>2.744687003</v>
      </c>
      <c r="Q906" s="109">
        <f t="shared" si="6"/>
        <v>0.1609915047</v>
      </c>
      <c r="R906" s="111">
        <f t="shared" si="7"/>
        <v>0.4418712906</v>
      </c>
      <c r="S906" s="122">
        <f t="shared" si="258"/>
        <v>239.8</v>
      </c>
      <c r="T906" s="113">
        <f t="shared" si="9"/>
        <v>23.05666667</v>
      </c>
      <c r="U906" s="114"/>
      <c r="V906" s="114"/>
      <c r="W906" s="114"/>
      <c r="X906" s="114"/>
      <c r="Y906" s="115"/>
      <c r="Z906" s="98"/>
      <c r="AA906" s="98"/>
    </row>
    <row r="907" hidden="1" outlineLevel="1">
      <c r="A907" s="98"/>
      <c r="B907" s="99" t="s">
        <v>37</v>
      </c>
      <c r="C907" s="100" t="s">
        <v>38</v>
      </c>
      <c r="D907" s="123">
        <v>292.09</v>
      </c>
      <c r="E907" s="102"/>
      <c r="F907" s="103">
        <v>8.0</v>
      </c>
      <c r="G907" s="103">
        <v>9.0</v>
      </c>
      <c r="H907" s="104">
        <f t="shared" si="1"/>
        <v>0.8888888889</v>
      </c>
      <c r="I907" s="105">
        <f t="shared" si="2"/>
        <v>36.51125</v>
      </c>
      <c r="J907" s="106">
        <f t="shared" si="3"/>
        <v>41.07515625</v>
      </c>
      <c r="K907" s="123">
        <v>45.94</v>
      </c>
      <c r="L907" s="103">
        <v>8435.0</v>
      </c>
      <c r="M907" s="103">
        <v>1.0</v>
      </c>
      <c r="N907" s="124">
        <v>29.95</v>
      </c>
      <c r="O907" s="109">
        <f t="shared" si="259"/>
        <v>1.533889816</v>
      </c>
      <c r="P907" s="110">
        <f t="shared" si="5"/>
        <v>0.6519373095</v>
      </c>
      <c r="Q907" s="109">
        <f t="shared" si="6"/>
        <v>0.1572802903</v>
      </c>
      <c r="R907" s="111">
        <f t="shared" si="7"/>
        <v>0.1025368893</v>
      </c>
      <c r="S907" s="125">
        <f t="shared" si="258"/>
        <v>262.14</v>
      </c>
      <c r="T907" s="113">
        <f t="shared" si="9"/>
        <v>45.94</v>
      </c>
      <c r="U907" s="114"/>
      <c r="V907" s="114"/>
      <c r="W907" s="114"/>
      <c r="X907" s="114"/>
      <c r="Y907" s="115"/>
      <c r="Z907" s="98"/>
      <c r="AA907" s="98"/>
    </row>
    <row r="908" hidden="1" outlineLevel="1">
      <c r="A908" s="98"/>
      <c r="B908" s="116"/>
      <c r="C908" s="100" t="s">
        <v>39</v>
      </c>
      <c r="D908" s="126">
        <v>0.0</v>
      </c>
      <c r="E908" s="102"/>
      <c r="F908" s="103">
        <v>0.0</v>
      </c>
      <c r="G908" s="103">
        <v>0.0</v>
      </c>
      <c r="H908" s="104" t="str">
        <f t="shared" si="1"/>
        <v>#DIV/0!</v>
      </c>
      <c r="I908" s="105" t="str">
        <f t="shared" si="2"/>
        <v>#DIV/0!</v>
      </c>
      <c r="J908" s="106" t="str">
        <f t="shared" si="3"/>
        <v>#DIV/0!</v>
      </c>
      <c r="K908" s="126">
        <v>0.0</v>
      </c>
      <c r="L908" s="103">
        <v>0.0</v>
      </c>
      <c r="M908" s="103">
        <v>0.0</v>
      </c>
      <c r="N908" s="127">
        <v>0.0</v>
      </c>
      <c r="O908" s="109" t="str">
        <f t="shared" si="259"/>
        <v>#DIV/0!</v>
      </c>
      <c r="P908" s="110" t="str">
        <f t="shared" si="5"/>
        <v>#DIV/0!</v>
      </c>
      <c r="Q908" s="109" t="str">
        <f t="shared" si="6"/>
        <v>#DIV/0!</v>
      </c>
      <c r="R908" s="111" t="str">
        <f t="shared" si="7"/>
        <v>#DIV/0!</v>
      </c>
      <c r="S908" s="128">
        <f t="shared" si="258"/>
        <v>0</v>
      </c>
      <c r="T908" s="113" t="str">
        <f t="shared" si="9"/>
        <v>#DIV/0!</v>
      </c>
      <c r="U908" s="114"/>
      <c r="V908" s="114"/>
      <c r="W908" s="114"/>
      <c r="X908" s="114"/>
      <c r="Y908" s="115"/>
      <c r="Z908" s="98"/>
      <c r="AA908" s="98"/>
    </row>
    <row r="909" hidden="1" outlineLevel="1">
      <c r="A909" s="98"/>
      <c r="B909" s="116"/>
      <c r="C909" s="100" t="s">
        <v>40</v>
      </c>
      <c r="D909" s="129">
        <v>0.0</v>
      </c>
      <c r="E909" s="102"/>
      <c r="F909" s="103">
        <v>0.0</v>
      </c>
      <c r="G909" s="103">
        <v>0.0</v>
      </c>
      <c r="H909" s="104" t="str">
        <f t="shared" si="1"/>
        <v>#DIV/0!</v>
      </c>
      <c r="I909" s="105" t="str">
        <f t="shared" si="2"/>
        <v>#DIV/0!</v>
      </c>
      <c r="J909" s="106" t="str">
        <f t="shared" si="3"/>
        <v>#DIV/0!</v>
      </c>
      <c r="K909" s="129">
        <v>0.0</v>
      </c>
      <c r="L909" s="103">
        <v>0.0</v>
      </c>
      <c r="M909" s="103">
        <v>0.0</v>
      </c>
      <c r="N909" s="130">
        <v>0.0</v>
      </c>
      <c r="O909" s="109" t="str">
        <f t="shared" si="259"/>
        <v>#DIV/0!</v>
      </c>
      <c r="P909" s="110" t="str">
        <f t="shared" si="5"/>
        <v>#DIV/0!</v>
      </c>
      <c r="Q909" s="109" t="str">
        <f t="shared" si="6"/>
        <v>#DIV/0!</v>
      </c>
      <c r="R909" s="111" t="str">
        <f t="shared" si="7"/>
        <v>#DIV/0!</v>
      </c>
      <c r="S909" s="131">
        <f t="shared" si="258"/>
        <v>0</v>
      </c>
      <c r="T909" s="113" t="str">
        <f t="shared" si="9"/>
        <v>#DIV/0!</v>
      </c>
      <c r="U909" s="114"/>
      <c r="V909" s="114"/>
      <c r="W909" s="114"/>
      <c r="X909" s="114"/>
      <c r="Y909" s="115"/>
      <c r="Z909" s="98"/>
      <c r="AA909" s="98"/>
    </row>
    <row r="910" hidden="1" outlineLevel="1">
      <c r="A910" s="98"/>
      <c r="B910" s="116"/>
      <c r="C910" s="100" t="s">
        <v>41</v>
      </c>
      <c r="D910" s="132">
        <v>1725.85</v>
      </c>
      <c r="E910" s="102"/>
      <c r="F910" s="103">
        <v>20.0</v>
      </c>
      <c r="G910" s="103">
        <v>18.0</v>
      </c>
      <c r="H910" s="104">
        <f t="shared" si="1"/>
        <v>1.111111111</v>
      </c>
      <c r="I910" s="105">
        <f t="shared" si="2"/>
        <v>86.2925</v>
      </c>
      <c r="J910" s="106">
        <f t="shared" si="3"/>
        <v>77.66325</v>
      </c>
      <c r="K910" s="132">
        <v>265.5</v>
      </c>
      <c r="L910" s="103">
        <v>24715.0</v>
      </c>
      <c r="M910" s="103">
        <v>8.0</v>
      </c>
      <c r="N910" s="133">
        <v>632.95</v>
      </c>
      <c r="O910" s="109">
        <f t="shared" si="259"/>
        <v>0.4194644127</v>
      </c>
      <c r="P910" s="110">
        <f t="shared" si="5"/>
        <v>2.383992467</v>
      </c>
      <c r="Q910" s="109">
        <f t="shared" si="6"/>
        <v>0.1538372396</v>
      </c>
      <c r="R910" s="111">
        <f t="shared" si="7"/>
        <v>0.3667468204</v>
      </c>
      <c r="S910" s="134">
        <f t="shared" si="258"/>
        <v>1092.9</v>
      </c>
      <c r="T910" s="113">
        <f t="shared" si="9"/>
        <v>33.1875</v>
      </c>
      <c r="U910" s="114"/>
      <c r="V910" s="114"/>
      <c r="W910" s="114"/>
      <c r="X910" s="114"/>
      <c r="Y910" s="115"/>
      <c r="Z910" s="98"/>
      <c r="AA910" s="98"/>
    </row>
    <row r="911" hidden="1" outlineLevel="1">
      <c r="A911" s="98"/>
      <c r="B911" s="116"/>
      <c r="C911" s="100" t="s">
        <v>42</v>
      </c>
      <c r="D911" s="120">
        <v>-19.99</v>
      </c>
      <c r="E911" s="102"/>
      <c r="F911" s="103">
        <v>-1.0</v>
      </c>
      <c r="G911" s="103">
        <v>2.0</v>
      </c>
      <c r="H911" s="104">
        <f t="shared" si="1"/>
        <v>-0.5</v>
      </c>
      <c r="I911" s="105">
        <f t="shared" si="2"/>
        <v>19.99</v>
      </c>
      <c r="J911" s="106">
        <f t="shared" si="3"/>
        <v>-39.98</v>
      </c>
      <c r="K911" s="120">
        <v>99.45</v>
      </c>
      <c r="L911" s="103">
        <v>51883.0</v>
      </c>
      <c r="M911" s="103">
        <v>2.0</v>
      </c>
      <c r="N911" s="121">
        <v>39.98</v>
      </c>
      <c r="O911" s="109">
        <f t="shared" si="259"/>
        <v>2.487493747</v>
      </c>
      <c r="P911" s="110">
        <f t="shared" si="5"/>
        <v>0.4020110608</v>
      </c>
      <c r="Q911" s="109">
        <f t="shared" si="6"/>
        <v>-4.974987494</v>
      </c>
      <c r="R911" s="111">
        <f t="shared" si="7"/>
        <v>-2</v>
      </c>
      <c r="S911" s="122">
        <f t="shared" si="258"/>
        <v>-59.97</v>
      </c>
      <c r="T911" s="113">
        <f t="shared" si="9"/>
        <v>49.725</v>
      </c>
      <c r="U911" s="114"/>
      <c r="V911" s="114"/>
      <c r="W911" s="114"/>
      <c r="X911" s="114"/>
      <c r="Y911" s="115"/>
      <c r="Z911" s="98"/>
      <c r="AA911" s="98"/>
    </row>
    <row r="912" hidden="1" outlineLevel="1">
      <c r="A912" s="98"/>
      <c r="B912" s="116"/>
      <c r="C912" s="100" t="s">
        <v>43</v>
      </c>
      <c r="D912" s="135">
        <v>2338.97</v>
      </c>
      <c r="E912" s="102"/>
      <c r="F912" s="103">
        <v>19.0</v>
      </c>
      <c r="G912" s="103">
        <v>20.0</v>
      </c>
      <c r="H912" s="104">
        <f t="shared" si="1"/>
        <v>0.95</v>
      </c>
      <c r="I912" s="105">
        <f t="shared" si="2"/>
        <v>123.1036842</v>
      </c>
      <c r="J912" s="106">
        <f t="shared" si="3"/>
        <v>129.5828255</v>
      </c>
      <c r="K912" s="135">
        <v>49.88</v>
      </c>
      <c r="L912" s="103">
        <v>12418.0</v>
      </c>
      <c r="M912" s="103">
        <v>1.0</v>
      </c>
      <c r="N912" s="136">
        <v>0.0</v>
      </c>
      <c r="O912" s="109" t="str">
        <f t="shared" si="259"/>
        <v>#DIV/0!</v>
      </c>
      <c r="P912" s="110">
        <f t="shared" si="5"/>
        <v>0</v>
      </c>
      <c r="Q912" s="109">
        <f t="shared" si="6"/>
        <v>0.02132562624</v>
      </c>
      <c r="R912" s="111">
        <f t="shared" si="7"/>
        <v>0</v>
      </c>
      <c r="S912" s="137">
        <f t="shared" si="258"/>
        <v>2338.97</v>
      </c>
      <c r="T912" s="113">
        <f t="shared" si="9"/>
        <v>49.88</v>
      </c>
      <c r="U912" s="114"/>
      <c r="V912" s="114"/>
      <c r="W912" s="114"/>
      <c r="X912" s="114"/>
      <c r="Y912" s="115"/>
      <c r="Z912" s="98"/>
      <c r="AA912" s="98"/>
    </row>
    <row r="913" hidden="1" outlineLevel="1">
      <c r="A913" s="98"/>
      <c r="B913" s="116"/>
      <c r="C913" s="100" t="s">
        <v>44</v>
      </c>
      <c r="D913" s="138">
        <v>169.88</v>
      </c>
      <c r="E913" s="102"/>
      <c r="F913" s="103">
        <v>2.0</v>
      </c>
      <c r="G913" s="103">
        <v>3.0</v>
      </c>
      <c r="H913" s="104">
        <f t="shared" si="1"/>
        <v>0.6666666667</v>
      </c>
      <c r="I913" s="105">
        <f t="shared" si="2"/>
        <v>84.94</v>
      </c>
      <c r="J913" s="106">
        <f t="shared" si="3"/>
        <v>127.41</v>
      </c>
      <c r="K913" s="138">
        <v>79.81</v>
      </c>
      <c r="L913" s="103">
        <v>46887.0</v>
      </c>
      <c r="M913" s="103">
        <v>0.0</v>
      </c>
      <c r="N913" s="139">
        <v>0.0</v>
      </c>
      <c r="O913" s="109" t="str">
        <f t="shared" si="259"/>
        <v>#DIV/0!</v>
      </c>
      <c r="P913" s="110">
        <f t="shared" si="5"/>
        <v>0</v>
      </c>
      <c r="Q913" s="109">
        <f t="shared" si="6"/>
        <v>0.4698022133</v>
      </c>
      <c r="R913" s="111">
        <f t="shared" si="7"/>
        <v>0</v>
      </c>
      <c r="S913" s="140">
        <f t="shared" si="258"/>
        <v>169.88</v>
      </c>
      <c r="T913" s="113" t="str">
        <f t="shared" si="9"/>
        <v>#DIV/0!</v>
      </c>
      <c r="U913" s="114"/>
      <c r="V913" s="114"/>
      <c r="W913" s="114"/>
      <c r="X913" s="114"/>
      <c r="Y913" s="115"/>
      <c r="Z913" s="98"/>
      <c r="AA913" s="98"/>
    </row>
    <row r="914" hidden="1" outlineLevel="1">
      <c r="A914" s="141"/>
      <c r="B914" s="116"/>
      <c r="C914" s="142" t="s">
        <v>45</v>
      </c>
      <c r="D914" s="101">
        <v>0.0</v>
      </c>
      <c r="E914" s="102"/>
      <c r="F914" s="103">
        <v>0.0</v>
      </c>
      <c r="G914" s="103">
        <v>0.0</v>
      </c>
      <c r="H914" s="104" t="str">
        <f t="shared" si="1"/>
        <v>#DIV/0!</v>
      </c>
      <c r="I914" s="105" t="str">
        <f t="shared" si="2"/>
        <v>#DIV/0!</v>
      </c>
      <c r="J914" s="106" t="str">
        <f t="shared" si="3"/>
        <v>#DIV/0!</v>
      </c>
      <c r="K914" s="101">
        <v>0.0</v>
      </c>
      <c r="L914" s="103">
        <v>0.0</v>
      </c>
      <c r="M914" s="103">
        <v>0.0</v>
      </c>
      <c r="N914" s="108">
        <v>0.0</v>
      </c>
      <c r="O914" s="109" t="str">
        <f t="shared" si="259"/>
        <v>#DIV/0!</v>
      </c>
      <c r="P914" s="110" t="str">
        <f t="shared" si="5"/>
        <v>#DIV/0!</v>
      </c>
      <c r="Q914" s="109" t="str">
        <f t="shared" si="6"/>
        <v>#DIV/0!</v>
      </c>
      <c r="R914" s="111" t="str">
        <f t="shared" si="7"/>
        <v>#DIV/0!</v>
      </c>
      <c r="S914" s="112">
        <f t="shared" si="258"/>
        <v>0</v>
      </c>
      <c r="T914" s="113" t="str">
        <f t="shared" si="9"/>
        <v>#DIV/0!</v>
      </c>
      <c r="U914" s="143"/>
      <c r="V914" s="143"/>
      <c r="W914" s="143"/>
      <c r="X914" s="144"/>
      <c r="Y914" s="145"/>
      <c r="Z914" s="98"/>
      <c r="AA914" s="98"/>
    </row>
    <row r="915" hidden="1" outlineLevel="1">
      <c r="A915" s="98"/>
      <c r="B915" s="116"/>
      <c r="C915" s="100" t="s">
        <v>46</v>
      </c>
      <c r="D915" s="146">
        <v>1597.15</v>
      </c>
      <c r="E915" s="102"/>
      <c r="F915" s="103">
        <v>37.0</v>
      </c>
      <c r="G915" s="103">
        <v>31.0</v>
      </c>
      <c r="H915" s="104">
        <f t="shared" si="1"/>
        <v>1.193548387</v>
      </c>
      <c r="I915" s="105">
        <f t="shared" si="2"/>
        <v>43.16621622</v>
      </c>
      <c r="J915" s="106">
        <f t="shared" si="3"/>
        <v>36.16628926</v>
      </c>
      <c r="K915" s="146">
        <v>267.49</v>
      </c>
      <c r="L915" s="103">
        <v>56359.0</v>
      </c>
      <c r="M915" s="103">
        <v>9.0</v>
      </c>
      <c r="N915" s="147">
        <v>390.55</v>
      </c>
      <c r="O915" s="109">
        <f t="shared" si="259"/>
        <v>0.6849059019</v>
      </c>
      <c r="P915" s="110">
        <f t="shared" si="5"/>
        <v>1.460054581</v>
      </c>
      <c r="Q915" s="109">
        <f t="shared" si="6"/>
        <v>0.167479573</v>
      </c>
      <c r="R915" s="111">
        <f t="shared" si="7"/>
        <v>0.2445293178</v>
      </c>
      <c r="S915" s="112">
        <f t="shared" si="258"/>
        <v>1206.6</v>
      </c>
      <c r="T915" s="113">
        <f t="shared" si="9"/>
        <v>29.72111111</v>
      </c>
      <c r="U915" s="114"/>
      <c r="V915" s="114"/>
      <c r="W915" s="114"/>
      <c r="X915" s="114"/>
      <c r="Y915" s="115"/>
      <c r="Z915" s="98"/>
      <c r="AA915" s="98"/>
    </row>
    <row r="916" hidden="1" outlineLevel="1">
      <c r="A916" s="98"/>
      <c r="B916" s="116"/>
      <c r="C916" s="100" t="s">
        <v>47</v>
      </c>
      <c r="D916" s="117">
        <v>0.0</v>
      </c>
      <c r="E916" s="102"/>
      <c r="F916" s="103">
        <v>0.0</v>
      </c>
      <c r="G916" s="103">
        <v>0.0</v>
      </c>
      <c r="H916" s="104" t="str">
        <f t="shared" si="1"/>
        <v>#DIV/0!</v>
      </c>
      <c r="I916" s="105" t="str">
        <f t="shared" si="2"/>
        <v>#DIV/0!</v>
      </c>
      <c r="J916" s="106" t="str">
        <f t="shared" si="3"/>
        <v>#DIV/0!</v>
      </c>
      <c r="K916" s="117">
        <v>0.0</v>
      </c>
      <c r="L916" s="103">
        <v>0.0</v>
      </c>
      <c r="M916" s="103">
        <v>0.0</v>
      </c>
      <c r="N916" s="118">
        <v>0.0</v>
      </c>
      <c r="O916" s="109" t="str">
        <f t="shared" si="259"/>
        <v>#DIV/0!</v>
      </c>
      <c r="P916" s="110" t="str">
        <f t="shared" si="5"/>
        <v>#DIV/0!</v>
      </c>
      <c r="Q916" s="109" t="str">
        <f t="shared" si="6"/>
        <v>#DIV/0!</v>
      </c>
      <c r="R916" s="111" t="str">
        <f t="shared" si="7"/>
        <v>#DIV/0!</v>
      </c>
      <c r="S916" s="112">
        <f t="shared" si="258"/>
        <v>0</v>
      </c>
      <c r="T916" s="113" t="str">
        <f t="shared" si="9"/>
        <v>#DIV/0!</v>
      </c>
      <c r="U916" s="114"/>
      <c r="V916" s="114"/>
      <c r="W916" s="114"/>
      <c r="X916" s="114"/>
      <c r="Y916" s="115"/>
      <c r="Z916" s="98"/>
      <c r="AA916" s="98"/>
    </row>
    <row r="917" hidden="1" outlineLevel="1">
      <c r="A917" s="98"/>
      <c r="B917" s="116"/>
      <c r="C917" s="100" t="s">
        <v>48</v>
      </c>
      <c r="D917" s="132">
        <v>4980.4</v>
      </c>
      <c r="E917" s="102"/>
      <c r="F917" s="103">
        <v>21.0</v>
      </c>
      <c r="G917" s="103">
        <v>21.0</v>
      </c>
      <c r="H917" s="104">
        <f t="shared" si="1"/>
        <v>1</v>
      </c>
      <c r="I917" s="105">
        <f t="shared" si="2"/>
        <v>237.1619048</v>
      </c>
      <c r="J917" s="106">
        <f t="shared" si="3"/>
        <v>237.1619048</v>
      </c>
      <c r="K917" s="132">
        <v>435.99</v>
      </c>
      <c r="L917" s="103">
        <v>30871.0</v>
      </c>
      <c r="M917" s="103">
        <v>13.0</v>
      </c>
      <c r="N917" s="133">
        <v>2459.4</v>
      </c>
      <c r="O917" s="109">
        <f t="shared" si="259"/>
        <v>0.1772749451</v>
      </c>
      <c r="P917" s="110">
        <f t="shared" si="5"/>
        <v>5.640955068</v>
      </c>
      <c r="Q917" s="109">
        <f t="shared" si="6"/>
        <v>0.08754116135</v>
      </c>
      <c r="R917" s="111">
        <f t="shared" si="7"/>
        <v>0.4938157578</v>
      </c>
      <c r="S917" s="112">
        <f t="shared" si="258"/>
        <v>2521</v>
      </c>
      <c r="T917" s="113">
        <f t="shared" si="9"/>
        <v>33.53769231</v>
      </c>
      <c r="U917" s="114"/>
      <c r="V917" s="114"/>
      <c r="W917" s="114"/>
      <c r="X917" s="114"/>
      <c r="Y917" s="115"/>
      <c r="Z917" s="98"/>
      <c r="AA917" s="98"/>
    </row>
    <row r="918" hidden="1" outlineLevel="1">
      <c r="A918" s="148" t="str">
        <f t="shared" ref="A918:A919" si="260">iferror(if(B918&gt;0,month(B918)&amp;"-"&amp;year(B918),B918),)</f>
        <v>12-2025</v>
      </c>
      <c r="B918" s="99">
        <v>46004.0</v>
      </c>
      <c r="C918" s="100" t="s">
        <v>49</v>
      </c>
      <c r="D918" s="146">
        <v>0.0</v>
      </c>
      <c r="E918" s="102"/>
      <c r="F918" s="103">
        <v>0.0</v>
      </c>
      <c r="G918" s="103">
        <v>0.0</v>
      </c>
      <c r="H918" s="104" t="str">
        <f t="shared" si="1"/>
        <v>#DIV/0!</v>
      </c>
      <c r="I918" s="105" t="str">
        <f t="shared" si="2"/>
        <v>#DIV/0!</v>
      </c>
      <c r="J918" s="106" t="str">
        <f t="shared" si="3"/>
        <v>#DIV/0!</v>
      </c>
      <c r="K918" s="146">
        <v>5.88</v>
      </c>
      <c r="L918" s="103">
        <v>14559.0</v>
      </c>
      <c r="M918" s="103">
        <v>0.0</v>
      </c>
      <c r="N918" s="147">
        <v>0.0</v>
      </c>
      <c r="O918" s="109" t="str">
        <f t="shared" si="259"/>
        <v>#DIV/0!</v>
      </c>
      <c r="P918" s="110">
        <f t="shared" si="5"/>
        <v>0</v>
      </c>
      <c r="Q918" s="109" t="str">
        <f t="shared" si="6"/>
        <v>#DIV/0!</v>
      </c>
      <c r="R918" s="111" t="str">
        <f t="shared" si="7"/>
        <v>#DIV/0!</v>
      </c>
      <c r="S918" s="112">
        <f t="shared" si="258"/>
        <v>0</v>
      </c>
      <c r="T918" s="113" t="str">
        <f t="shared" si="9"/>
        <v>#DIV/0!</v>
      </c>
      <c r="U918" s="114"/>
      <c r="V918" s="114"/>
      <c r="W918" s="114"/>
      <c r="X918" s="114"/>
      <c r="Y918" s="115"/>
      <c r="Z918" s="98"/>
      <c r="AA918" s="98"/>
    </row>
    <row r="919" collapsed="1">
      <c r="A919" s="98" t="str">
        <f t="shared" si="260"/>
        <v/>
      </c>
      <c r="B919" s="80" t="s">
        <v>137</v>
      </c>
      <c r="C919" s="150"/>
      <c r="D919" s="151">
        <f>SUM(D902:D918)</f>
        <v>24995.16</v>
      </c>
      <c r="E919" s="152"/>
      <c r="F919" s="153">
        <f t="shared" ref="F919:G919" si="261">SUM(F902:F918)</f>
        <v>193</v>
      </c>
      <c r="G919" s="153">
        <f t="shared" si="261"/>
        <v>203</v>
      </c>
      <c r="H919" s="154">
        <f t="shared" si="1"/>
        <v>0.9507389163</v>
      </c>
      <c r="I919" s="155">
        <f t="shared" si="2"/>
        <v>129.508601</v>
      </c>
      <c r="J919" s="156">
        <f t="shared" si="3"/>
        <v>136.2188912</v>
      </c>
      <c r="K919" s="151">
        <f t="shared" ref="K919:N919" si="262">SUM(K902:K918)</f>
        <v>3824.49</v>
      </c>
      <c r="L919" s="153">
        <f t="shared" si="262"/>
        <v>2658696</v>
      </c>
      <c r="M919" s="153">
        <f t="shared" si="262"/>
        <v>68</v>
      </c>
      <c r="N919" s="157">
        <f t="shared" si="262"/>
        <v>10841.58</v>
      </c>
      <c r="O919" s="158">
        <f t="shared" si="259"/>
        <v>0.3527613134</v>
      </c>
      <c r="P919" s="159">
        <f t="shared" si="5"/>
        <v>2.83477797</v>
      </c>
      <c r="Q919" s="158">
        <f t="shared" si="6"/>
        <v>0.1530092226</v>
      </c>
      <c r="R919" s="160">
        <f t="shared" si="7"/>
        <v>0.4337471735</v>
      </c>
      <c r="S919" s="161">
        <f>SUM(S902:S918)</f>
        <v>14153.58</v>
      </c>
      <c r="T919" s="162">
        <f t="shared" si="9"/>
        <v>56.2425</v>
      </c>
      <c r="U919" s="163">
        <f>IFERROR((D919-D246)/D919,)</f>
        <v>0.6966884789</v>
      </c>
      <c r="V919" s="163">
        <f>IFERROR((F919-F246)/F919,)</f>
        <v>0.5129533679</v>
      </c>
      <c r="W919" s="164" t="str">
        <f>IFERROR((D919-monthly_reporting_2021!E710)/D919, )</f>
        <v/>
      </c>
      <c r="X919" s="164" t="str">
        <f>IFERROR((F919-monthly_reporting_2021!F710)/F919, )</f>
        <v/>
      </c>
      <c r="Y919" s="98"/>
      <c r="Z919" s="98"/>
      <c r="AA919" s="98"/>
    </row>
    <row r="920" hidden="1" outlineLevel="1">
      <c r="A920" s="98"/>
      <c r="B920" s="99">
        <v>46005.0</v>
      </c>
      <c r="C920" s="100" t="s">
        <v>32</v>
      </c>
      <c r="D920" s="101">
        <v>15879.79</v>
      </c>
      <c r="E920" s="102"/>
      <c r="F920" s="103">
        <v>46.0</v>
      </c>
      <c r="G920" s="103">
        <v>43.0</v>
      </c>
      <c r="H920" s="104">
        <f t="shared" si="1"/>
        <v>1.069767442</v>
      </c>
      <c r="I920" s="105">
        <f t="shared" si="2"/>
        <v>345.2128261</v>
      </c>
      <c r="J920" s="106">
        <f t="shared" si="3"/>
        <v>322.6989461</v>
      </c>
      <c r="K920" s="107">
        <v>1935.87</v>
      </c>
      <c r="L920" s="103">
        <v>307514.0</v>
      </c>
      <c r="M920" s="103">
        <v>24.0</v>
      </c>
      <c r="N920" s="108">
        <v>3946.46</v>
      </c>
      <c r="O920" s="109">
        <f t="shared" si="259"/>
        <v>0.4905332881</v>
      </c>
      <c r="P920" s="110">
        <f t="shared" si="5"/>
        <v>2.038597633</v>
      </c>
      <c r="Q920" s="109">
        <f t="shared" si="6"/>
        <v>0.1219077834</v>
      </c>
      <c r="R920" s="111">
        <f t="shared" si="7"/>
        <v>0.2485209187</v>
      </c>
      <c r="S920" s="112">
        <f t="shared" ref="S920:S936" si="263">D920-N920</f>
        <v>11933.33</v>
      </c>
      <c r="T920" s="113">
        <f t="shared" si="9"/>
        <v>80.66125</v>
      </c>
      <c r="U920" s="114"/>
      <c r="V920" s="114"/>
      <c r="W920" s="114"/>
      <c r="X920" s="114"/>
      <c r="Y920" s="115"/>
      <c r="Z920" s="98"/>
      <c r="AA920" s="98"/>
    </row>
    <row r="921" hidden="1" outlineLevel="1">
      <c r="A921" s="98"/>
      <c r="B921" s="116"/>
      <c r="C921" s="100" t="s">
        <v>33</v>
      </c>
      <c r="D921" s="117">
        <v>30591.79</v>
      </c>
      <c r="E921" s="102"/>
      <c r="F921" s="103">
        <v>135.0</v>
      </c>
      <c r="G921" s="103">
        <v>141.0</v>
      </c>
      <c r="H921" s="104">
        <f t="shared" si="1"/>
        <v>0.9574468085</v>
      </c>
      <c r="I921" s="105">
        <f t="shared" si="2"/>
        <v>226.6058519</v>
      </c>
      <c r="J921" s="106">
        <f t="shared" si="3"/>
        <v>236.677223</v>
      </c>
      <c r="K921" s="117">
        <v>1009.3</v>
      </c>
      <c r="L921" s="103">
        <v>394188.0</v>
      </c>
      <c r="M921" s="103">
        <v>47.0</v>
      </c>
      <c r="N921" s="118">
        <v>7893.63</v>
      </c>
      <c r="O921" s="109">
        <f t="shared" si="259"/>
        <v>0.127862593</v>
      </c>
      <c r="P921" s="110">
        <f t="shared" si="5"/>
        <v>7.82089567</v>
      </c>
      <c r="Q921" s="109">
        <f t="shared" si="6"/>
        <v>0.03299251204</v>
      </c>
      <c r="R921" s="111">
        <f t="shared" si="7"/>
        <v>0.2580309946</v>
      </c>
      <c r="S921" s="119">
        <f t="shared" si="263"/>
        <v>22698.16</v>
      </c>
      <c r="T921" s="113">
        <f t="shared" si="9"/>
        <v>21.47446809</v>
      </c>
      <c r="U921" s="114"/>
      <c r="V921" s="114"/>
      <c r="W921" s="114"/>
      <c r="X921" s="114"/>
      <c r="Y921" s="115"/>
      <c r="Z921" s="98"/>
      <c r="AA921" s="98"/>
    </row>
    <row r="922" hidden="1" outlineLevel="1">
      <c r="A922" s="98"/>
      <c r="B922" s="116"/>
      <c r="C922" s="100" t="s">
        <v>34</v>
      </c>
      <c r="D922" s="120">
        <v>0.0</v>
      </c>
      <c r="E922" s="102"/>
      <c r="F922" s="103">
        <v>0.0</v>
      </c>
      <c r="G922" s="103">
        <v>0.0</v>
      </c>
      <c r="H922" s="104" t="str">
        <f t="shared" si="1"/>
        <v>#DIV/0!</v>
      </c>
      <c r="I922" s="105" t="str">
        <f t="shared" si="2"/>
        <v>#DIV/0!</v>
      </c>
      <c r="J922" s="106" t="str">
        <f t="shared" si="3"/>
        <v>#DIV/0!</v>
      </c>
      <c r="K922" s="120">
        <v>0.0</v>
      </c>
      <c r="L922" s="103">
        <v>273.0</v>
      </c>
      <c r="M922" s="103">
        <v>0.0</v>
      </c>
      <c r="N922" s="121">
        <v>0.0</v>
      </c>
      <c r="O922" s="109" t="str">
        <f>(K922/N922)</f>
        <v>#DIV/0!</v>
      </c>
      <c r="P922" s="110" t="str">
        <f t="shared" si="5"/>
        <v>#DIV/0!</v>
      </c>
      <c r="Q922" s="109" t="str">
        <f t="shared" si="6"/>
        <v>#DIV/0!</v>
      </c>
      <c r="R922" s="111" t="str">
        <f t="shared" si="7"/>
        <v>#DIV/0!</v>
      </c>
      <c r="S922" s="122">
        <f t="shared" si="263"/>
        <v>0</v>
      </c>
      <c r="T922" s="113" t="str">
        <f t="shared" si="9"/>
        <v>#DIV/0!</v>
      </c>
      <c r="U922" s="114"/>
      <c r="V922" s="114"/>
      <c r="W922" s="114"/>
      <c r="X922" s="114"/>
      <c r="Y922" s="115"/>
      <c r="Z922" s="98"/>
      <c r="AA922" s="98"/>
    </row>
    <row r="923" hidden="1" outlineLevel="1">
      <c r="A923" s="98"/>
      <c r="B923" s="116"/>
      <c r="C923" s="100" t="s">
        <v>35</v>
      </c>
      <c r="D923" s="120">
        <v>125.9</v>
      </c>
      <c r="E923" s="102"/>
      <c r="F923" s="103">
        <v>2.0</v>
      </c>
      <c r="G923" s="103">
        <v>2.0</v>
      </c>
      <c r="H923" s="104">
        <f t="shared" si="1"/>
        <v>1</v>
      </c>
      <c r="I923" s="105">
        <f t="shared" si="2"/>
        <v>62.95</v>
      </c>
      <c r="J923" s="106">
        <f t="shared" si="3"/>
        <v>62.95</v>
      </c>
      <c r="K923" s="120">
        <v>0.0</v>
      </c>
      <c r="L923" s="103">
        <v>13.0</v>
      </c>
      <c r="M923" s="103">
        <v>0.0</v>
      </c>
      <c r="N923" s="121">
        <v>0.0</v>
      </c>
      <c r="O923" s="109" t="str">
        <f t="shared" ref="O923:O939" si="264">K923/N923</f>
        <v>#DIV/0!</v>
      </c>
      <c r="P923" s="110" t="str">
        <f t="shared" si="5"/>
        <v>#DIV/0!</v>
      </c>
      <c r="Q923" s="109">
        <f t="shared" si="6"/>
        <v>0</v>
      </c>
      <c r="R923" s="111">
        <f t="shared" si="7"/>
        <v>0</v>
      </c>
      <c r="S923" s="122">
        <f t="shared" si="263"/>
        <v>125.9</v>
      </c>
      <c r="T923" s="113" t="str">
        <f t="shared" si="9"/>
        <v>#DIV/0!</v>
      </c>
      <c r="U923" s="114"/>
      <c r="V923" s="114"/>
      <c r="W923" s="114"/>
      <c r="X923" s="114"/>
      <c r="Y923" s="115"/>
      <c r="Z923" s="98"/>
      <c r="AA923" s="98"/>
    </row>
    <row r="924" hidden="1" outlineLevel="1">
      <c r="A924" s="98"/>
      <c r="B924" s="116"/>
      <c r="C924" s="100" t="s">
        <v>36</v>
      </c>
      <c r="D924" s="120">
        <v>729.4</v>
      </c>
      <c r="E924" s="102"/>
      <c r="F924" s="103">
        <v>12.0</v>
      </c>
      <c r="G924" s="103">
        <v>10.0</v>
      </c>
      <c r="H924" s="104">
        <f t="shared" si="1"/>
        <v>1.2</v>
      </c>
      <c r="I924" s="105">
        <f t="shared" si="2"/>
        <v>60.78333333</v>
      </c>
      <c r="J924" s="106">
        <f t="shared" si="3"/>
        <v>50.65277778</v>
      </c>
      <c r="K924" s="120">
        <v>69.07</v>
      </c>
      <c r="L924" s="103">
        <v>19238.0</v>
      </c>
      <c r="M924" s="103">
        <v>3.0</v>
      </c>
      <c r="N924" s="121">
        <v>199.85</v>
      </c>
      <c r="O924" s="109">
        <f t="shared" si="264"/>
        <v>0.3456092069</v>
      </c>
      <c r="P924" s="110">
        <f t="shared" si="5"/>
        <v>2.893441436</v>
      </c>
      <c r="Q924" s="109">
        <f t="shared" si="6"/>
        <v>0.09469426926</v>
      </c>
      <c r="R924" s="111">
        <f t="shared" si="7"/>
        <v>0.2739923225</v>
      </c>
      <c r="S924" s="122">
        <f t="shared" si="263"/>
        <v>529.55</v>
      </c>
      <c r="T924" s="113">
        <f t="shared" si="9"/>
        <v>23.02333333</v>
      </c>
      <c r="U924" s="114"/>
      <c r="V924" s="114"/>
      <c r="W924" s="114"/>
      <c r="X924" s="114"/>
      <c r="Y924" s="115"/>
      <c r="Z924" s="98"/>
      <c r="AA924" s="98"/>
    </row>
    <row r="925" hidden="1" outlineLevel="1">
      <c r="A925" s="98"/>
      <c r="B925" s="99" t="s">
        <v>37</v>
      </c>
      <c r="C925" s="100" t="s">
        <v>38</v>
      </c>
      <c r="D925" s="123">
        <v>328.09</v>
      </c>
      <c r="E925" s="102"/>
      <c r="F925" s="103">
        <v>9.0</v>
      </c>
      <c r="G925" s="103">
        <v>10.0</v>
      </c>
      <c r="H925" s="104">
        <f t="shared" si="1"/>
        <v>0.9</v>
      </c>
      <c r="I925" s="105">
        <f t="shared" si="2"/>
        <v>36.45444444</v>
      </c>
      <c r="J925" s="106">
        <f t="shared" si="3"/>
        <v>40.50493827</v>
      </c>
      <c r="K925" s="123">
        <v>62.78</v>
      </c>
      <c r="L925" s="103">
        <v>10619.0</v>
      </c>
      <c r="M925" s="103">
        <v>3.0</v>
      </c>
      <c r="N925" s="124">
        <v>99.85</v>
      </c>
      <c r="O925" s="109">
        <f t="shared" si="264"/>
        <v>0.6287431147</v>
      </c>
      <c r="P925" s="110">
        <f t="shared" si="5"/>
        <v>1.590474673</v>
      </c>
      <c r="Q925" s="109">
        <f t="shared" si="6"/>
        <v>0.1913499345</v>
      </c>
      <c r="R925" s="111">
        <f t="shared" si="7"/>
        <v>0.3043372245</v>
      </c>
      <c r="S925" s="125">
        <f t="shared" si="263"/>
        <v>228.24</v>
      </c>
      <c r="T925" s="113">
        <f t="shared" si="9"/>
        <v>20.92666667</v>
      </c>
      <c r="U925" s="114"/>
      <c r="V925" s="114"/>
      <c r="W925" s="114"/>
      <c r="X925" s="114"/>
      <c r="Y925" s="115"/>
      <c r="Z925" s="98"/>
      <c r="AA925" s="98"/>
    </row>
    <row r="926" hidden="1" outlineLevel="1">
      <c r="A926" s="98"/>
      <c r="B926" s="116"/>
      <c r="C926" s="100" t="s">
        <v>39</v>
      </c>
      <c r="D926" s="126">
        <v>0.0</v>
      </c>
      <c r="E926" s="102"/>
      <c r="F926" s="103">
        <v>0.0</v>
      </c>
      <c r="G926" s="103">
        <v>0.0</v>
      </c>
      <c r="H926" s="104" t="str">
        <f t="shared" si="1"/>
        <v>#DIV/0!</v>
      </c>
      <c r="I926" s="105" t="str">
        <f t="shared" si="2"/>
        <v>#DIV/0!</v>
      </c>
      <c r="J926" s="106" t="str">
        <f t="shared" si="3"/>
        <v>#DIV/0!</v>
      </c>
      <c r="K926" s="126">
        <v>0.0</v>
      </c>
      <c r="L926" s="103">
        <v>0.0</v>
      </c>
      <c r="M926" s="103">
        <v>0.0</v>
      </c>
      <c r="N926" s="127">
        <v>0.0</v>
      </c>
      <c r="O926" s="109" t="str">
        <f t="shared" si="264"/>
        <v>#DIV/0!</v>
      </c>
      <c r="P926" s="110" t="str">
        <f t="shared" si="5"/>
        <v>#DIV/0!</v>
      </c>
      <c r="Q926" s="109" t="str">
        <f t="shared" si="6"/>
        <v>#DIV/0!</v>
      </c>
      <c r="R926" s="111" t="str">
        <f t="shared" si="7"/>
        <v>#DIV/0!</v>
      </c>
      <c r="S926" s="128">
        <f t="shared" si="263"/>
        <v>0</v>
      </c>
      <c r="T926" s="113" t="str">
        <f t="shared" si="9"/>
        <v>#DIV/0!</v>
      </c>
      <c r="U926" s="114"/>
      <c r="V926" s="114"/>
      <c r="W926" s="114"/>
      <c r="X926" s="114"/>
      <c r="Y926" s="115"/>
      <c r="Z926" s="98"/>
      <c r="AA926" s="98"/>
    </row>
    <row r="927" hidden="1" outlineLevel="1">
      <c r="A927" s="98"/>
      <c r="B927" s="116"/>
      <c r="C927" s="100" t="s">
        <v>40</v>
      </c>
      <c r="D927" s="129">
        <v>0.0</v>
      </c>
      <c r="E927" s="102"/>
      <c r="F927" s="103">
        <v>0.0</v>
      </c>
      <c r="G927" s="103">
        <v>0.0</v>
      </c>
      <c r="H927" s="104" t="str">
        <f t="shared" si="1"/>
        <v>#DIV/0!</v>
      </c>
      <c r="I927" s="105" t="str">
        <f t="shared" si="2"/>
        <v>#DIV/0!</v>
      </c>
      <c r="J927" s="106" t="str">
        <f t="shared" si="3"/>
        <v>#DIV/0!</v>
      </c>
      <c r="K927" s="129">
        <v>0.0</v>
      </c>
      <c r="L927" s="103">
        <v>0.0</v>
      </c>
      <c r="M927" s="103">
        <v>0.0</v>
      </c>
      <c r="N927" s="130">
        <v>0.0</v>
      </c>
      <c r="O927" s="109" t="str">
        <f t="shared" si="264"/>
        <v>#DIV/0!</v>
      </c>
      <c r="P927" s="110" t="str">
        <f t="shared" si="5"/>
        <v>#DIV/0!</v>
      </c>
      <c r="Q927" s="109" t="str">
        <f t="shared" si="6"/>
        <v>#DIV/0!</v>
      </c>
      <c r="R927" s="111" t="str">
        <f t="shared" si="7"/>
        <v>#DIV/0!</v>
      </c>
      <c r="S927" s="131">
        <f t="shared" si="263"/>
        <v>0</v>
      </c>
      <c r="T927" s="113" t="str">
        <f t="shared" si="9"/>
        <v>#DIV/0!</v>
      </c>
      <c r="U927" s="114"/>
      <c r="V927" s="114"/>
      <c r="W927" s="114"/>
      <c r="X927" s="114"/>
      <c r="Y927" s="115"/>
      <c r="Z927" s="98"/>
      <c r="AA927" s="98"/>
    </row>
    <row r="928" hidden="1" outlineLevel="1">
      <c r="A928" s="98"/>
      <c r="B928" s="116"/>
      <c r="C928" s="100" t="s">
        <v>41</v>
      </c>
      <c r="D928" s="132">
        <v>1334.56</v>
      </c>
      <c r="E928" s="102"/>
      <c r="F928" s="103">
        <v>16.0</v>
      </c>
      <c r="G928" s="103">
        <v>15.0</v>
      </c>
      <c r="H928" s="104">
        <f t="shared" si="1"/>
        <v>1.066666667</v>
      </c>
      <c r="I928" s="105">
        <f t="shared" si="2"/>
        <v>83.41</v>
      </c>
      <c r="J928" s="106">
        <f t="shared" si="3"/>
        <v>78.196875</v>
      </c>
      <c r="K928" s="132">
        <v>562.42</v>
      </c>
      <c r="L928" s="103">
        <v>34705.0</v>
      </c>
      <c r="M928" s="103">
        <v>9.0</v>
      </c>
      <c r="N928" s="133">
        <v>874.63</v>
      </c>
      <c r="O928" s="109">
        <f t="shared" si="264"/>
        <v>0.6430376273</v>
      </c>
      <c r="P928" s="110">
        <f t="shared" si="5"/>
        <v>1.55511895</v>
      </c>
      <c r="Q928" s="109">
        <f t="shared" si="6"/>
        <v>0.4214272869</v>
      </c>
      <c r="R928" s="111">
        <f t="shared" si="7"/>
        <v>0.65536956</v>
      </c>
      <c r="S928" s="134">
        <f t="shared" si="263"/>
        <v>459.93</v>
      </c>
      <c r="T928" s="113">
        <f t="shared" si="9"/>
        <v>62.49111111</v>
      </c>
      <c r="U928" s="114"/>
      <c r="V928" s="114"/>
      <c r="W928" s="114"/>
      <c r="X928" s="114"/>
      <c r="Y928" s="115"/>
      <c r="Z928" s="98"/>
      <c r="AA928" s="98"/>
    </row>
    <row r="929" hidden="1" outlineLevel="1">
      <c r="A929" s="98"/>
      <c r="B929" s="116"/>
      <c r="C929" s="100" t="s">
        <v>42</v>
      </c>
      <c r="D929" s="120">
        <v>99.95</v>
      </c>
      <c r="E929" s="102"/>
      <c r="F929" s="103">
        <v>5.0</v>
      </c>
      <c r="G929" s="103">
        <v>5.0</v>
      </c>
      <c r="H929" s="104">
        <f t="shared" si="1"/>
        <v>1</v>
      </c>
      <c r="I929" s="105">
        <f t="shared" si="2"/>
        <v>19.99</v>
      </c>
      <c r="J929" s="106">
        <f t="shared" si="3"/>
        <v>19.99</v>
      </c>
      <c r="K929" s="120">
        <v>115.07</v>
      </c>
      <c r="L929" s="103">
        <v>46481.0</v>
      </c>
      <c r="M929" s="103">
        <v>2.0</v>
      </c>
      <c r="N929" s="121">
        <v>39.98</v>
      </c>
      <c r="O929" s="109">
        <f t="shared" si="264"/>
        <v>2.878189095</v>
      </c>
      <c r="P929" s="110">
        <f t="shared" si="5"/>
        <v>0.3474406883</v>
      </c>
      <c r="Q929" s="109">
        <f t="shared" si="6"/>
        <v>1.151275638</v>
      </c>
      <c r="R929" s="111">
        <f t="shared" si="7"/>
        <v>0.4</v>
      </c>
      <c r="S929" s="122">
        <f t="shared" si="263"/>
        <v>59.97</v>
      </c>
      <c r="T929" s="113">
        <f t="shared" si="9"/>
        <v>57.535</v>
      </c>
      <c r="U929" s="114"/>
      <c r="V929" s="114"/>
      <c r="W929" s="114"/>
      <c r="X929" s="114"/>
      <c r="Y929" s="115"/>
      <c r="Z929" s="98"/>
      <c r="AA929" s="98"/>
    </row>
    <row r="930" hidden="1" outlineLevel="1">
      <c r="A930" s="98"/>
      <c r="B930" s="116"/>
      <c r="C930" s="100" t="s">
        <v>43</v>
      </c>
      <c r="D930" s="135">
        <v>-278.34</v>
      </c>
      <c r="E930" s="102"/>
      <c r="F930" s="103">
        <v>0.0</v>
      </c>
      <c r="G930" s="103">
        <v>2.0</v>
      </c>
      <c r="H930" s="104">
        <f t="shared" si="1"/>
        <v>0</v>
      </c>
      <c r="I930" s="105" t="str">
        <f t="shared" si="2"/>
        <v>#DIV/0!</v>
      </c>
      <c r="J930" s="106" t="str">
        <f t="shared" si="3"/>
        <v>#DIV/0!</v>
      </c>
      <c r="K930" s="135">
        <v>67.23</v>
      </c>
      <c r="L930" s="103">
        <v>11874.0</v>
      </c>
      <c r="M930" s="103">
        <v>0.0</v>
      </c>
      <c r="N930" s="136">
        <v>0.0</v>
      </c>
      <c r="O930" s="109" t="str">
        <f t="shared" si="264"/>
        <v>#DIV/0!</v>
      </c>
      <c r="P930" s="110">
        <f t="shared" si="5"/>
        <v>0</v>
      </c>
      <c r="Q930" s="109">
        <f t="shared" si="6"/>
        <v>-0.2415391248</v>
      </c>
      <c r="R930" s="111">
        <f t="shared" si="7"/>
        <v>0</v>
      </c>
      <c r="S930" s="137">
        <f t="shared" si="263"/>
        <v>-278.34</v>
      </c>
      <c r="T930" s="113" t="str">
        <f t="shared" si="9"/>
        <v>#DIV/0!</v>
      </c>
      <c r="U930" s="114"/>
      <c r="V930" s="114"/>
      <c r="W930" s="114"/>
      <c r="X930" s="114"/>
      <c r="Y930" s="115"/>
      <c r="Z930" s="98"/>
      <c r="AA930" s="98"/>
    </row>
    <row r="931" hidden="1" outlineLevel="1">
      <c r="A931" s="98"/>
      <c r="B931" s="116"/>
      <c r="C931" s="100" t="s">
        <v>44</v>
      </c>
      <c r="D931" s="138">
        <v>-139.9</v>
      </c>
      <c r="E931" s="102"/>
      <c r="F931" s="103">
        <v>-2.0</v>
      </c>
      <c r="G931" s="103">
        <v>0.0</v>
      </c>
      <c r="H931" s="104" t="str">
        <f t="shared" si="1"/>
        <v>#DIV/0!</v>
      </c>
      <c r="I931" s="105">
        <f t="shared" si="2"/>
        <v>69.95</v>
      </c>
      <c r="J931" s="106" t="str">
        <f t="shared" si="3"/>
        <v>#DIV/0!</v>
      </c>
      <c r="K931" s="138">
        <v>91.08</v>
      </c>
      <c r="L931" s="103">
        <v>54140.0</v>
      </c>
      <c r="M931" s="103">
        <v>0.0</v>
      </c>
      <c r="N931" s="139">
        <v>0.0</v>
      </c>
      <c r="O931" s="109" t="str">
        <f t="shared" si="264"/>
        <v>#DIV/0!</v>
      </c>
      <c r="P931" s="110">
        <f t="shared" si="5"/>
        <v>0</v>
      </c>
      <c r="Q931" s="109">
        <f t="shared" si="6"/>
        <v>-0.6510364546</v>
      </c>
      <c r="R931" s="111">
        <f t="shared" si="7"/>
        <v>0</v>
      </c>
      <c r="S931" s="140">
        <f t="shared" si="263"/>
        <v>-139.9</v>
      </c>
      <c r="T931" s="113" t="str">
        <f t="shared" si="9"/>
        <v>#DIV/0!</v>
      </c>
      <c r="U931" s="114"/>
      <c r="V931" s="114"/>
      <c r="W931" s="114"/>
      <c r="X931" s="114"/>
      <c r="Y931" s="115"/>
      <c r="Z931" s="98"/>
      <c r="AA931" s="98"/>
    </row>
    <row r="932" hidden="1" outlineLevel="1">
      <c r="A932" s="141"/>
      <c r="B932" s="116"/>
      <c r="C932" s="142" t="s">
        <v>45</v>
      </c>
      <c r="D932" s="101">
        <v>-191.84</v>
      </c>
      <c r="E932" s="102"/>
      <c r="F932" s="103">
        <v>-4.0</v>
      </c>
      <c r="G932" s="103">
        <v>1.0</v>
      </c>
      <c r="H932" s="104">
        <f t="shared" si="1"/>
        <v>-4</v>
      </c>
      <c r="I932" s="105">
        <f t="shared" si="2"/>
        <v>47.96</v>
      </c>
      <c r="J932" s="106">
        <f t="shared" si="3"/>
        <v>-11.99</v>
      </c>
      <c r="K932" s="101">
        <v>0.0</v>
      </c>
      <c r="L932" s="103">
        <v>0.0</v>
      </c>
      <c r="M932" s="103">
        <v>0.0</v>
      </c>
      <c r="N932" s="108">
        <v>0.0</v>
      </c>
      <c r="O932" s="109" t="str">
        <f t="shared" si="264"/>
        <v>#DIV/0!</v>
      </c>
      <c r="P932" s="110" t="str">
        <f t="shared" si="5"/>
        <v>#DIV/0!</v>
      </c>
      <c r="Q932" s="109">
        <f t="shared" si="6"/>
        <v>0</v>
      </c>
      <c r="R932" s="111">
        <f t="shared" si="7"/>
        <v>0</v>
      </c>
      <c r="S932" s="112">
        <f t="shared" si="263"/>
        <v>-191.84</v>
      </c>
      <c r="T932" s="113" t="str">
        <f t="shared" si="9"/>
        <v>#DIV/0!</v>
      </c>
      <c r="U932" s="143"/>
      <c r="V932" s="143"/>
      <c r="W932" s="143"/>
      <c r="X932" s="144"/>
      <c r="Y932" s="145"/>
      <c r="Z932" s="98"/>
      <c r="AA932" s="98"/>
    </row>
    <row r="933" hidden="1" outlineLevel="1">
      <c r="A933" s="98"/>
      <c r="B933" s="116"/>
      <c r="C933" s="100" t="s">
        <v>46</v>
      </c>
      <c r="D933" s="146">
        <v>941.43</v>
      </c>
      <c r="E933" s="102"/>
      <c r="F933" s="103">
        <v>24.0</v>
      </c>
      <c r="G933" s="103">
        <v>28.0</v>
      </c>
      <c r="H933" s="104">
        <f t="shared" si="1"/>
        <v>0.8571428571</v>
      </c>
      <c r="I933" s="105">
        <f t="shared" si="2"/>
        <v>39.22625</v>
      </c>
      <c r="J933" s="106">
        <f t="shared" si="3"/>
        <v>45.76395833</v>
      </c>
      <c r="K933" s="146">
        <v>228.05</v>
      </c>
      <c r="L933" s="103">
        <v>64037.0</v>
      </c>
      <c r="M933" s="103">
        <v>13.0</v>
      </c>
      <c r="N933" s="147">
        <v>485.63</v>
      </c>
      <c r="O933" s="109">
        <f t="shared" si="264"/>
        <v>0.4695961946</v>
      </c>
      <c r="P933" s="110">
        <f t="shared" si="5"/>
        <v>2.129489147</v>
      </c>
      <c r="Q933" s="109">
        <f t="shared" si="6"/>
        <v>0.2422378722</v>
      </c>
      <c r="R933" s="111">
        <f t="shared" si="7"/>
        <v>0.5158429198</v>
      </c>
      <c r="S933" s="112">
        <f t="shared" si="263"/>
        <v>455.8</v>
      </c>
      <c r="T933" s="113">
        <f t="shared" si="9"/>
        <v>17.54230769</v>
      </c>
      <c r="U933" s="114"/>
      <c r="V933" s="114"/>
      <c r="W933" s="114"/>
      <c r="X933" s="114"/>
      <c r="Y933" s="115"/>
      <c r="Z933" s="98"/>
      <c r="AA933" s="98"/>
    </row>
    <row r="934" hidden="1" outlineLevel="1">
      <c r="A934" s="98"/>
      <c r="B934" s="116"/>
      <c r="C934" s="100" t="s">
        <v>47</v>
      </c>
      <c r="D934" s="117">
        <v>0.0</v>
      </c>
      <c r="E934" s="102"/>
      <c r="F934" s="103">
        <v>0.0</v>
      </c>
      <c r="G934" s="103">
        <v>0.0</v>
      </c>
      <c r="H934" s="104" t="str">
        <f t="shared" si="1"/>
        <v>#DIV/0!</v>
      </c>
      <c r="I934" s="105" t="str">
        <f t="shared" si="2"/>
        <v>#DIV/0!</v>
      </c>
      <c r="J934" s="106" t="str">
        <f t="shared" si="3"/>
        <v>#DIV/0!</v>
      </c>
      <c r="K934" s="117">
        <v>0.0</v>
      </c>
      <c r="L934" s="103">
        <v>0.0</v>
      </c>
      <c r="M934" s="103">
        <v>0.0</v>
      </c>
      <c r="N934" s="118">
        <v>0.0</v>
      </c>
      <c r="O934" s="109" t="str">
        <f t="shared" si="264"/>
        <v>#DIV/0!</v>
      </c>
      <c r="P934" s="110" t="str">
        <f t="shared" si="5"/>
        <v>#DIV/0!</v>
      </c>
      <c r="Q934" s="109" t="str">
        <f t="shared" si="6"/>
        <v>#DIV/0!</v>
      </c>
      <c r="R934" s="111" t="str">
        <f t="shared" si="7"/>
        <v>#DIV/0!</v>
      </c>
      <c r="S934" s="112">
        <f t="shared" si="263"/>
        <v>0</v>
      </c>
      <c r="T934" s="113" t="str">
        <f t="shared" si="9"/>
        <v>#DIV/0!</v>
      </c>
      <c r="U934" s="114"/>
      <c r="V934" s="114"/>
      <c r="W934" s="114"/>
      <c r="X934" s="114"/>
      <c r="Y934" s="115"/>
      <c r="Z934" s="98"/>
      <c r="AA934" s="98"/>
    </row>
    <row r="935" hidden="1" outlineLevel="1">
      <c r="A935" s="98"/>
      <c r="B935" s="116"/>
      <c r="C935" s="100" t="s">
        <v>48</v>
      </c>
      <c r="D935" s="132">
        <v>5272.8</v>
      </c>
      <c r="E935" s="102"/>
      <c r="F935" s="103">
        <v>31.0</v>
      </c>
      <c r="G935" s="103">
        <v>37.0</v>
      </c>
      <c r="H935" s="104">
        <f t="shared" si="1"/>
        <v>0.8378378378</v>
      </c>
      <c r="I935" s="105">
        <f t="shared" si="2"/>
        <v>170.0903226</v>
      </c>
      <c r="J935" s="106">
        <f t="shared" si="3"/>
        <v>203.0110302</v>
      </c>
      <c r="K935" s="132">
        <v>707.83</v>
      </c>
      <c r="L935" s="103">
        <v>42629.0</v>
      </c>
      <c r="M935" s="103">
        <v>17.0</v>
      </c>
      <c r="N935" s="133">
        <v>2600.61</v>
      </c>
      <c r="O935" s="109">
        <f t="shared" si="264"/>
        <v>0.2721784504</v>
      </c>
      <c r="P935" s="110">
        <f t="shared" si="5"/>
        <v>3.674060156</v>
      </c>
      <c r="Q935" s="109">
        <f t="shared" si="6"/>
        <v>0.1342417691</v>
      </c>
      <c r="R935" s="111">
        <f t="shared" si="7"/>
        <v>0.493212335</v>
      </c>
      <c r="S935" s="112">
        <f t="shared" si="263"/>
        <v>2672.19</v>
      </c>
      <c r="T935" s="113">
        <f t="shared" si="9"/>
        <v>41.63705882</v>
      </c>
      <c r="U935" s="114"/>
      <c r="V935" s="114"/>
      <c r="W935" s="114"/>
      <c r="X935" s="114"/>
      <c r="Y935" s="115"/>
      <c r="Z935" s="98"/>
      <c r="AA935" s="98"/>
    </row>
    <row r="936" hidden="1" outlineLevel="1">
      <c r="A936" s="148" t="str">
        <f t="shared" ref="A936:A937" si="265">iferror(if(B936&gt;0,month(B936)&amp;"-"&amp;year(B936),B936),)</f>
        <v>12-2025</v>
      </c>
      <c r="B936" s="99">
        <v>46011.0</v>
      </c>
      <c r="C936" s="100" t="s">
        <v>49</v>
      </c>
      <c r="D936" s="146">
        <v>0.0</v>
      </c>
      <c r="E936" s="102"/>
      <c r="F936" s="103">
        <v>0.0</v>
      </c>
      <c r="G936" s="103">
        <v>0.0</v>
      </c>
      <c r="H936" s="104" t="str">
        <f t="shared" si="1"/>
        <v>#DIV/0!</v>
      </c>
      <c r="I936" s="105" t="str">
        <f t="shared" si="2"/>
        <v>#DIV/0!</v>
      </c>
      <c r="J936" s="106" t="str">
        <f t="shared" si="3"/>
        <v>#DIV/0!</v>
      </c>
      <c r="K936" s="146">
        <v>16.17</v>
      </c>
      <c r="L936" s="103">
        <v>18679.0</v>
      </c>
      <c r="M936" s="103">
        <v>0.0</v>
      </c>
      <c r="N936" s="147">
        <v>0.0</v>
      </c>
      <c r="O936" s="109" t="str">
        <f t="shared" si="264"/>
        <v>#DIV/0!</v>
      </c>
      <c r="P936" s="110">
        <f t="shared" si="5"/>
        <v>0</v>
      </c>
      <c r="Q936" s="109" t="str">
        <f t="shared" si="6"/>
        <v>#DIV/0!</v>
      </c>
      <c r="R936" s="111" t="str">
        <f t="shared" si="7"/>
        <v>#DIV/0!</v>
      </c>
      <c r="S936" s="112">
        <f t="shared" si="263"/>
        <v>0</v>
      </c>
      <c r="T936" s="113" t="str">
        <f t="shared" si="9"/>
        <v>#DIV/0!</v>
      </c>
      <c r="U936" s="114"/>
      <c r="V936" s="114"/>
      <c r="W936" s="114"/>
      <c r="X936" s="114"/>
      <c r="Y936" s="115"/>
      <c r="Z936" s="98"/>
      <c r="AA936" s="98"/>
    </row>
    <row r="937" collapsed="1">
      <c r="A937" s="98" t="str">
        <f t="shared" si="265"/>
        <v/>
      </c>
      <c r="B937" s="80" t="s">
        <v>138</v>
      </c>
      <c r="C937" s="150"/>
      <c r="D937" s="151">
        <f>SUM(D920:D936)</f>
        <v>54693.63</v>
      </c>
      <c r="E937" s="152"/>
      <c r="F937" s="153">
        <f t="shared" ref="F937:G937" si="266">SUM(F920:F936)</f>
        <v>274</v>
      </c>
      <c r="G937" s="153">
        <f t="shared" si="266"/>
        <v>294</v>
      </c>
      <c r="H937" s="154">
        <f t="shared" si="1"/>
        <v>0.9319727891</v>
      </c>
      <c r="I937" s="155">
        <f t="shared" si="2"/>
        <v>199.6117883</v>
      </c>
      <c r="J937" s="156">
        <f t="shared" si="3"/>
        <v>214.1819918</v>
      </c>
      <c r="K937" s="151">
        <f t="shared" ref="K937:N937" si="267">SUM(K920:K936)</f>
        <v>4864.87</v>
      </c>
      <c r="L937" s="153">
        <f t="shared" si="267"/>
        <v>1004390</v>
      </c>
      <c r="M937" s="153">
        <f t="shared" si="267"/>
        <v>118</v>
      </c>
      <c r="N937" s="157">
        <f t="shared" si="267"/>
        <v>16140.64</v>
      </c>
      <c r="O937" s="158">
        <f t="shared" si="264"/>
        <v>0.3014050248</v>
      </c>
      <c r="P937" s="159">
        <f t="shared" si="5"/>
        <v>3.31779472</v>
      </c>
      <c r="Q937" s="158">
        <f t="shared" si="6"/>
        <v>0.08894765259</v>
      </c>
      <c r="R937" s="160">
        <f t="shared" si="7"/>
        <v>0.2951100521</v>
      </c>
      <c r="S937" s="161">
        <f>SUM(S920:S936)</f>
        <v>38552.99</v>
      </c>
      <c r="T937" s="162">
        <f t="shared" si="9"/>
        <v>41.22771186</v>
      </c>
      <c r="U937" s="163">
        <f>IFERROR((D937-D246)/D937,)</f>
        <v>0.861385686</v>
      </c>
      <c r="V937" s="163">
        <f>IFERROR((F937-F246)/F937,)</f>
        <v>0.6569343066</v>
      </c>
      <c r="W937" s="164" t="str">
        <f>IFERROR((D937-monthly_reporting_2021!E728)/D937, )</f>
        <v/>
      </c>
      <c r="X937" s="164" t="str">
        <f>IFERROR((F937-monthly_reporting_2021!F728)/F937, )</f>
        <v/>
      </c>
      <c r="Y937" s="98"/>
      <c r="Z937" s="98"/>
      <c r="AA937" s="98"/>
    </row>
    <row r="938" hidden="1" outlineLevel="1">
      <c r="A938" s="165"/>
      <c r="B938" s="166">
        <v>46012.0</v>
      </c>
      <c r="C938" s="100" t="s">
        <v>32</v>
      </c>
      <c r="D938" s="167">
        <v>7936.51</v>
      </c>
      <c r="E938" s="168"/>
      <c r="F938" s="169">
        <v>30.0</v>
      </c>
      <c r="G938" s="169">
        <v>30.0</v>
      </c>
      <c r="H938" s="104">
        <f t="shared" si="1"/>
        <v>1</v>
      </c>
      <c r="I938" s="105">
        <f t="shared" si="2"/>
        <v>264.5503333</v>
      </c>
      <c r="J938" s="106">
        <f t="shared" si="3"/>
        <v>264.5503333</v>
      </c>
      <c r="K938" s="170">
        <v>1654.24</v>
      </c>
      <c r="L938" s="169">
        <v>263207.0</v>
      </c>
      <c r="M938" s="169">
        <v>16.0</v>
      </c>
      <c r="N938" s="171">
        <v>4466.73</v>
      </c>
      <c r="O938" s="109">
        <f t="shared" si="264"/>
        <v>0.3703469876</v>
      </c>
      <c r="P938" s="110">
        <f t="shared" si="5"/>
        <v>2.700170471</v>
      </c>
      <c r="Q938" s="109">
        <f t="shared" si="6"/>
        <v>0.2084341858</v>
      </c>
      <c r="R938" s="111">
        <f t="shared" si="7"/>
        <v>0.5628078337</v>
      </c>
      <c r="S938" s="112">
        <f t="shared" ref="S938:S954" si="268">D938-N938</f>
        <v>3469.78</v>
      </c>
      <c r="T938" s="113">
        <f t="shared" si="9"/>
        <v>103.39</v>
      </c>
      <c r="U938" s="172"/>
      <c r="V938" s="172"/>
      <c r="W938" s="172"/>
      <c r="X938" s="172"/>
      <c r="Y938" s="173"/>
      <c r="Z938" s="165"/>
      <c r="AA938" s="165"/>
    </row>
    <row r="939" hidden="1" outlineLevel="1">
      <c r="A939" s="165"/>
      <c r="B939" s="174"/>
      <c r="C939" s="100" t="s">
        <v>33</v>
      </c>
      <c r="D939" s="175">
        <v>19206.39</v>
      </c>
      <c r="E939" s="168"/>
      <c r="F939" s="169">
        <v>104.0</v>
      </c>
      <c r="G939" s="169">
        <v>119.0</v>
      </c>
      <c r="H939" s="104">
        <f t="shared" si="1"/>
        <v>0.8739495798</v>
      </c>
      <c r="I939" s="105">
        <f t="shared" si="2"/>
        <v>184.6768269</v>
      </c>
      <c r="J939" s="106">
        <f t="shared" si="3"/>
        <v>211.3129077</v>
      </c>
      <c r="K939" s="175">
        <v>1288.08</v>
      </c>
      <c r="L939" s="169">
        <v>442713.0</v>
      </c>
      <c r="M939" s="169">
        <v>37.0</v>
      </c>
      <c r="N939" s="176">
        <v>6713.65</v>
      </c>
      <c r="O939" s="109">
        <f t="shared" si="264"/>
        <v>0.1918598676</v>
      </c>
      <c r="P939" s="110">
        <f t="shared" si="5"/>
        <v>5.212137445</v>
      </c>
      <c r="Q939" s="109">
        <f t="shared" si="6"/>
        <v>0.06706517987</v>
      </c>
      <c r="R939" s="111">
        <f t="shared" si="7"/>
        <v>0.3495529352</v>
      </c>
      <c r="S939" s="119">
        <f t="shared" si="268"/>
        <v>12492.74</v>
      </c>
      <c r="T939" s="113">
        <f t="shared" si="9"/>
        <v>34.81297297</v>
      </c>
      <c r="U939" s="172"/>
      <c r="V939" s="172"/>
      <c r="W939" s="172"/>
      <c r="X939" s="172"/>
      <c r="Y939" s="173"/>
      <c r="Z939" s="165"/>
      <c r="AA939" s="165"/>
    </row>
    <row r="940" hidden="1" outlineLevel="1">
      <c r="A940" s="165"/>
      <c r="B940" s="174"/>
      <c r="C940" s="100" t="s">
        <v>34</v>
      </c>
      <c r="D940" s="177">
        <v>0.0</v>
      </c>
      <c r="E940" s="168"/>
      <c r="F940" s="169">
        <v>0.0</v>
      </c>
      <c r="G940" s="169">
        <v>0.0</v>
      </c>
      <c r="H940" s="104" t="str">
        <f t="shared" si="1"/>
        <v>#DIV/0!</v>
      </c>
      <c r="I940" s="105" t="str">
        <f t="shared" si="2"/>
        <v>#DIV/0!</v>
      </c>
      <c r="J940" s="106" t="str">
        <f t="shared" si="3"/>
        <v>#DIV/0!</v>
      </c>
      <c r="K940" s="177">
        <v>7.5</v>
      </c>
      <c r="L940" s="169">
        <v>288.0</v>
      </c>
      <c r="M940" s="169">
        <v>0.0</v>
      </c>
      <c r="N940" s="178">
        <v>0.0</v>
      </c>
      <c r="O940" s="109" t="str">
        <f>(K940/N940)</f>
        <v>#DIV/0!</v>
      </c>
      <c r="P940" s="110">
        <f t="shared" si="5"/>
        <v>0</v>
      </c>
      <c r="Q940" s="109" t="str">
        <f t="shared" si="6"/>
        <v>#DIV/0!</v>
      </c>
      <c r="R940" s="111" t="str">
        <f t="shared" si="7"/>
        <v>#DIV/0!</v>
      </c>
      <c r="S940" s="122">
        <f t="shared" si="268"/>
        <v>0</v>
      </c>
      <c r="T940" s="113" t="str">
        <f t="shared" si="9"/>
        <v>#DIV/0!</v>
      </c>
      <c r="U940" s="172"/>
      <c r="V940" s="172"/>
      <c r="W940" s="172"/>
      <c r="X940" s="172"/>
      <c r="Y940" s="173"/>
      <c r="Z940" s="165"/>
      <c r="AA940" s="165"/>
    </row>
    <row r="941" hidden="1" outlineLevel="1">
      <c r="A941" s="165"/>
      <c r="B941" s="174"/>
      <c r="C941" s="100" t="s">
        <v>35</v>
      </c>
      <c r="D941" s="177">
        <v>545.55</v>
      </c>
      <c r="E941" s="168"/>
      <c r="F941" s="169">
        <v>9.0</v>
      </c>
      <c r="G941" s="169">
        <v>10.0</v>
      </c>
      <c r="H941" s="104">
        <f t="shared" si="1"/>
        <v>0.9</v>
      </c>
      <c r="I941" s="105">
        <f t="shared" si="2"/>
        <v>60.61666667</v>
      </c>
      <c r="J941" s="106">
        <f t="shared" si="3"/>
        <v>67.35185185</v>
      </c>
      <c r="K941" s="177">
        <v>184.21</v>
      </c>
      <c r="L941" s="169">
        <v>16259.0</v>
      </c>
      <c r="M941" s="169">
        <v>1.0</v>
      </c>
      <c r="N941" s="178">
        <v>59.95</v>
      </c>
      <c r="O941" s="109">
        <f t="shared" ref="O941:O957" si="269">K941/N941</f>
        <v>3.072727273</v>
      </c>
      <c r="P941" s="110">
        <f t="shared" si="5"/>
        <v>0.325443787</v>
      </c>
      <c r="Q941" s="109">
        <f t="shared" si="6"/>
        <v>0.337659243</v>
      </c>
      <c r="R941" s="111">
        <f t="shared" si="7"/>
        <v>0.1098891027</v>
      </c>
      <c r="S941" s="122">
        <f t="shared" si="268"/>
        <v>485.6</v>
      </c>
      <c r="T941" s="113">
        <f t="shared" si="9"/>
        <v>184.21</v>
      </c>
      <c r="U941" s="172"/>
      <c r="V941" s="172"/>
      <c r="W941" s="172"/>
      <c r="X941" s="172"/>
      <c r="Y941" s="173"/>
      <c r="Z941" s="165"/>
      <c r="AA941" s="165"/>
    </row>
    <row r="942" hidden="1" outlineLevel="1">
      <c r="A942" s="165"/>
      <c r="B942" s="174"/>
      <c r="C942" s="100" t="s">
        <v>36</v>
      </c>
      <c r="D942" s="177">
        <v>589.55</v>
      </c>
      <c r="E942" s="168"/>
      <c r="F942" s="169">
        <v>9.0</v>
      </c>
      <c r="G942" s="169">
        <v>9.0</v>
      </c>
      <c r="H942" s="104">
        <f t="shared" si="1"/>
        <v>1</v>
      </c>
      <c r="I942" s="105">
        <f t="shared" si="2"/>
        <v>65.50555556</v>
      </c>
      <c r="J942" s="106">
        <f t="shared" si="3"/>
        <v>65.50555556</v>
      </c>
      <c r="K942" s="177">
        <v>52.21</v>
      </c>
      <c r="L942" s="169">
        <v>18056.0</v>
      </c>
      <c r="M942" s="169">
        <v>7.0</v>
      </c>
      <c r="N942" s="178">
        <v>479.65</v>
      </c>
      <c r="O942" s="109">
        <f t="shared" si="269"/>
        <v>0.1088502033</v>
      </c>
      <c r="P942" s="110">
        <f t="shared" si="5"/>
        <v>9.186937368</v>
      </c>
      <c r="Q942" s="109">
        <f t="shared" si="6"/>
        <v>0.08855907048</v>
      </c>
      <c r="R942" s="111">
        <f t="shared" si="7"/>
        <v>0.8135866339</v>
      </c>
      <c r="S942" s="122">
        <f t="shared" si="268"/>
        <v>109.9</v>
      </c>
      <c r="T942" s="113">
        <f t="shared" si="9"/>
        <v>7.458571429</v>
      </c>
      <c r="U942" s="172"/>
      <c r="V942" s="172"/>
      <c r="W942" s="172"/>
      <c r="X942" s="172"/>
      <c r="Y942" s="173"/>
      <c r="Z942" s="165"/>
      <c r="AA942" s="165"/>
    </row>
    <row r="943" hidden="1" outlineLevel="1">
      <c r="A943" s="165"/>
      <c r="B943" s="179" t="s">
        <v>37</v>
      </c>
      <c r="C943" s="100" t="s">
        <v>38</v>
      </c>
      <c r="D943" s="180">
        <v>-70.63</v>
      </c>
      <c r="E943" s="168"/>
      <c r="F943" s="169">
        <v>-2.0</v>
      </c>
      <c r="G943" s="169">
        <v>1.0</v>
      </c>
      <c r="H943" s="104">
        <f t="shared" si="1"/>
        <v>-2</v>
      </c>
      <c r="I943" s="105">
        <f t="shared" si="2"/>
        <v>35.315</v>
      </c>
      <c r="J943" s="106">
        <f t="shared" si="3"/>
        <v>-17.6575</v>
      </c>
      <c r="K943" s="180">
        <v>8.48</v>
      </c>
      <c r="L943" s="169">
        <v>697.0</v>
      </c>
      <c r="M943" s="169">
        <v>0.0</v>
      </c>
      <c r="N943" s="181">
        <v>0.0</v>
      </c>
      <c r="O943" s="109" t="str">
        <f t="shared" si="269"/>
        <v>#DIV/0!</v>
      </c>
      <c r="P943" s="110">
        <f t="shared" si="5"/>
        <v>0</v>
      </c>
      <c r="Q943" s="109">
        <f t="shared" si="6"/>
        <v>-0.1200622965</v>
      </c>
      <c r="R943" s="111">
        <f t="shared" si="7"/>
        <v>0</v>
      </c>
      <c r="S943" s="125">
        <f t="shared" si="268"/>
        <v>-70.63</v>
      </c>
      <c r="T943" s="113" t="str">
        <f t="shared" si="9"/>
        <v>#DIV/0!</v>
      </c>
      <c r="U943" s="172"/>
      <c r="V943" s="172"/>
      <c r="W943" s="172"/>
      <c r="X943" s="172"/>
      <c r="Y943" s="173"/>
      <c r="Z943" s="165"/>
      <c r="AA943" s="165"/>
    </row>
    <row r="944" hidden="1" outlineLevel="1">
      <c r="A944" s="165"/>
      <c r="B944" s="174"/>
      <c r="C944" s="100" t="s">
        <v>39</v>
      </c>
      <c r="D944" s="182">
        <v>0.0</v>
      </c>
      <c r="E944" s="168"/>
      <c r="F944" s="169">
        <v>0.0</v>
      </c>
      <c r="G944" s="169">
        <v>0.0</v>
      </c>
      <c r="H944" s="104" t="str">
        <f t="shared" si="1"/>
        <v>#DIV/0!</v>
      </c>
      <c r="I944" s="105" t="str">
        <f t="shared" si="2"/>
        <v>#DIV/0!</v>
      </c>
      <c r="J944" s="106" t="str">
        <f t="shared" si="3"/>
        <v>#DIV/0!</v>
      </c>
      <c r="K944" s="182">
        <v>0.0</v>
      </c>
      <c r="L944" s="169">
        <v>0.0</v>
      </c>
      <c r="M944" s="169">
        <v>0.0</v>
      </c>
      <c r="N944" s="183">
        <v>0.0</v>
      </c>
      <c r="O944" s="109" t="str">
        <f t="shared" si="269"/>
        <v>#DIV/0!</v>
      </c>
      <c r="P944" s="110" t="str">
        <f t="shared" si="5"/>
        <v>#DIV/0!</v>
      </c>
      <c r="Q944" s="109" t="str">
        <f t="shared" si="6"/>
        <v>#DIV/0!</v>
      </c>
      <c r="R944" s="111" t="str">
        <f t="shared" si="7"/>
        <v>#DIV/0!</v>
      </c>
      <c r="S944" s="128">
        <f t="shared" si="268"/>
        <v>0</v>
      </c>
      <c r="T944" s="113" t="str">
        <f t="shared" si="9"/>
        <v>#DIV/0!</v>
      </c>
      <c r="U944" s="172"/>
      <c r="V944" s="172"/>
      <c r="W944" s="172"/>
      <c r="X944" s="172"/>
      <c r="Y944" s="173"/>
      <c r="Z944" s="165"/>
      <c r="AA944" s="165"/>
    </row>
    <row r="945" hidden="1" outlineLevel="1">
      <c r="A945" s="165"/>
      <c r="B945" s="174"/>
      <c r="C945" s="100" t="s">
        <v>40</v>
      </c>
      <c r="D945" s="184">
        <v>0.0</v>
      </c>
      <c r="E945" s="168"/>
      <c r="F945" s="169">
        <v>0.0</v>
      </c>
      <c r="G945" s="169">
        <v>0.0</v>
      </c>
      <c r="H945" s="104" t="str">
        <f t="shared" si="1"/>
        <v>#DIV/0!</v>
      </c>
      <c r="I945" s="105" t="str">
        <f t="shared" si="2"/>
        <v>#DIV/0!</v>
      </c>
      <c r="J945" s="106" t="str">
        <f t="shared" si="3"/>
        <v>#DIV/0!</v>
      </c>
      <c r="K945" s="184">
        <v>0.0</v>
      </c>
      <c r="L945" s="169">
        <v>0.0</v>
      </c>
      <c r="M945" s="169">
        <v>0.0</v>
      </c>
      <c r="N945" s="185">
        <v>0.0</v>
      </c>
      <c r="O945" s="109" t="str">
        <f t="shared" si="269"/>
        <v>#DIV/0!</v>
      </c>
      <c r="P945" s="110" t="str">
        <f t="shared" si="5"/>
        <v>#DIV/0!</v>
      </c>
      <c r="Q945" s="109" t="str">
        <f t="shared" si="6"/>
        <v>#DIV/0!</v>
      </c>
      <c r="R945" s="111" t="str">
        <f t="shared" si="7"/>
        <v>#DIV/0!</v>
      </c>
      <c r="S945" s="131">
        <f t="shared" si="268"/>
        <v>0</v>
      </c>
      <c r="T945" s="113" t="str">
        <f t="shared" si="9"/>
        <v>#DIV/0!</v>
      </c>
      <c r="U945" s="172"/>
      <c r="V945" s="172"/>
      <c r="W945" s="172"/>
      <c r="X945" s="172"/>
      <c r="Y945" s="173"/>
      <c r="Z945" s="165"/>
      <c r="AA945" s="165"/>
    </row>
    <row r="946" hidden="1" outlineLevel="1">
      <c r="A946" s="165"/>
      <c r="B946" s="174"/>
      <c r="C946" s="100" t="s">
        <v>41</v>
      </c>
      <c r="D946" s="186">
        <v>2629.8</v>
      </c>
      <c r="E946" s="168"/>
      <c r="F946" s="169">
        <v>29.0</v>
      </c>
      <c r="G946" s="169">
        <v>28.0</v>
      </c>
      <c r="H946" s="104">
        <f t="shared" si="1"/>
        <v>1.035714286</v>
      </c>
      <c r="I946" s="105">
        <f t="shared" si="2"/>
        <v>90.68275862</v>
      </c>
      <c r="J946" s="106">
        <f t="shared" si="3"/>
        <v>87.55576694</v>
      </c>
      <c r="K946" s="186">
        <v>668.15</v>
      </c>
      <c r="L946" s="169">
        <v>36463.0</v>
      </c>
      <c r="M946" s="169">
        <v>17.0</v>
      </c>
      <c r="N946" s="187">
        <v>1466.87</v>
      </c>
      <c r="O946" s="109">
        <f t="shared" si="269"/>
        <v>0.4554936702</v>
      </c>
      <c r="P946" s="110">
        <f t="shared" si="5"/>
        <v>2.19542019</v>
      </c>
      <c r="Q946" s="109">
        <f t="shared" si="6"/>
        <v>0.2540687505</v>
      </c>
      <c r="R946" s="111">
        <f t="shared" si="7"/>
        <v>0.5577876645</v>
      </c>
      <c r="S946" s="134">
        <f t="shared" si="268"/>
        <v>1162.93</v>
      </c>
      <c r="T946" s="113">
        <f t="shared" si="9"/>
        <v>39.30294118</v>
      </c>
      <c r="U946" s="172"/>
      <c r="V946" s="172"/>
      <c r="W946" s="172"/>
      <c r="X946" s="172"/>
      <c r="Y946" s="173"/>
      <c r="Z946" s="165"/>
      <c r="AA946" s="165"/>
    </row>
    <row r="947" hidden="1" outlineLevel="1">
      <c r="A947" s="165"/>
      <c r="B947" s="174"/>
      <c r="C947" s="100" t="s">
        <v>42</v>
      </c>
      <c r="D947" s="177">
        <v>59.97</v>
      </c>
      <c r="E947" s="168"/>
      <c r="F947" s="169">
        <v>3.0</v>
      </c>
      <c r="G947" s="169">
        <v>4.0</v>
      </c>
      <c r="H947" s="104">
        <f t="shared" si="1"/>
        <v>0.75</v>
      </c>
      <c r="I947" s="105">
        <f t="shared" si="2"/>
        <v>19.99</v>
      </c>
      <c r="J947" s="106">
        <f t="shared" si="3"/>
        <v>26.65333333</v>
      </c>
      <c r="K947" s="177">
        <v>136.24</v>
      </c>
      <c r="L947" s="169">
        <v>47577.0</v>
      </c>
      <c r="M947" s="169">
        <v>2.0</v>
      </c>
      <c r="N947" s="178">
        <v>39.98</v>
      </c>
      <c r="O947" s="109">
        <f t="shared" si="269"/>
        <v>3.407703852</v>
      </c>
      <c r="P947" s="110">
        <f t="shared" si="5"/>
        <v>0.2934527305</v>
      </c>
      <c r="Q947" s="109">
        <f t="shared" si="6"/>
        <v>2.271802568</v>
      </c>
      <c r="R947" s="111">
        <f t="shared" si="7"/>
        <v>0.6666666667</v>
      </c>
      <c r="S947" s="122">
        <f t="shared" si="268"/>
        <v>19.99</v>
      </c>
      <c r="T947" s="113">
        <f t="shared" si="9"/>
        <v>68.12</v>
      </c>
      <c r="U947" s="172"/>
      <c r="V947" s="172"/>
      <c r="W947" s="172"/>
      <c r="X947" s="172"/>
      <c r="Y947" s="173"/>
      <c r="Z947" s="165"/>
      <c r="AA947" s="165"/>
    </row>
    <row r="948" hidden="1" outlineLevel="1">
      <c r="A948" s="165"/>
      <c r="B948" s="174"/>
      <c r="C948" s="100" t="s">
        <v>43</v>
      </c>
      <c r="D948" s="188">
        <v>78.59</v>
      </c>
      <c r="E948" s="168"/>
      <c r="F948" s="169">
        <v>0.0</v>
      </c>
      <c r="G948" s="169">
        <v>2.0</v>
      </c>
      <c r="H948" s="104">
        <f t="shared" si="1"/>
        <v>0</v>
      </c>
      <c r="I948" s="105" t="str">
        <f t="shared" si="2"/>
        <v>#DIV/0!</v>
      </c>
      <c r="J948" s="106" t="str">
        <f t="shared" si="3"/>
        <v>#DIV/0!</v>
      </c>
      <c r="K948" s="188">
        <v>36.36</v>
      </c>
      <c r="L948" s="169">
        <v>10972.0</v>
      </c>
      <c r="M948" s="169">
        <v>1.0</v>
      </c>
      <c r="N948" s="189">
        <v>154.46</v>
      </c>
      <c r="O948" s="109">
        <f t="shared" si="269"/>
        <v>0.235400751</v>
      </c>
      <c r="P948" s="110">
        <f t="shared" si="5"/>
        <v>4.248074807</v>
      </c>
      <c r="Q948" s="109">
        <f t="shared" si="6"/>
        <v>0.4626542817</v>
      </c>
      <c r="R948" s="111">
        <f t="shared" si="7"/>
        <v>1.965389999</v>
      </c>
      <c r="S948" s="137">
        <f t="shared" si="268"/>
        <v>-75.87</v>
      </c>
      <c r="T948" s="113">
        <f t="shared" si="9"/>
        <v>36.36</v>
      </c>
      <c r="U948" s="172"/>
      <c r="V948" s="172"/>
      <c r="W948" s="172"/>
      <c r="X948" s="172"/>
      <c r="Y948" s="173"/>
      <c r="Z948" s="165"/>
      <c r="AA948" s="165"/>
    </row>
    <row r="949" hidden="1" outlineLevel="1">
      <c r="A949" s="165"/>
      <c r="B949" s="174"/>
      <c r="C949" s="100" t="s">
        <v>44</v>
      </c>
      <c r="D949" s="190">
        <v>190.8</v>
      </c>
      <c r="E949" s="168"/>
      <c r="F949" s="169">
        <v>4.0</v>
      </c>
      <c r="G949" s="169">
        <v>4.0</v>
      </c>
      <c r="H949" s="104">
        <f t="shared" si="1"/>
        <v>1</v>
      </c>
      <c r="I949" s="105">
        <f t="shared" si="2"/>
        <v>47.7</v>
      </c>
      <c r="J949" s="106">
        <f t="shared" si="3"/>
        <v>47.7</v>
      </c>
      <c r="K949" s="190">
        <v>80.52</v>
      </c>
      <c r="L949" s="169">
        <v>40401.0</v>
      </c>
      <c r="M949" s="169">
        <v>3.0</v>
      </c>
      <c r="N949" s="191">
        <v>134.85</v>
      </c>
      <c r="O949" s="109">
        <f t="shared" si="269"/>
        <v>0.5971078977</v>
      </c>
      <c r="P949" s="110">
        <f t="shared" si="5"/>
        <v>1.674739195</v>
      </c>
      <c r="Q949" s="109">
        <f t="shared" si="6"/>
        <v>0.4220125786</v>
      </c>
      <c r="R949" s="111">
        <f t="shared" si="7"/>
        <v>0.7067610063</v>
      </c>
      <c r="S949" s="140">
        <f t="shared" si="268"/>
        <v>55.95</v>
      </c>
      <c r="T949" s="113">
        <f t="shared" si="9"/>
        <v>26.84</v>
      </c>
      <c r="U949" s="172"/>
      <c r="V949" s="172"/>
      <c r="W949" s="172"/>
      <c r="X949" s="172"/>
      <c r="Y949" s="173"/>
      <c r="Z949" s="165"/>
      <c r="AA949" s="165"/>
    </row>
    <row r="950" hidden="1" outlineLevel="1">
      <c r="A950" s="192"/>
      <c r="B950" s="174"/>
      <c r="C950" s="142" t="s">
        <v>45</v>
      </c>
      <c r="D950" s="167">
        <v>0.0</v>
      </c>
      <c r="E950" s="168"/>
      <c r="F950" s="169">
        <v>0.0</v>
      </c>
      <c r="G950" s="169">
        <v>0.0</v>
      </c>
      <c r="H950" s="104" t="str">
        <f t="shared" si="1"/>
        <v>#DIV/0!</v>
      </c>
      <c r="I950" s="105" t="str">
        <f t="shared" si="2"/>
        <v>#DIV/0!</v>
      </c>
      <c r="J950" s="106" t="str">
        <f t="shared" si="3"/>
        <v>#DIV/0!</v>
      </c>
      <c r="K950" s="167">
        <v>0.0</v>
      </c>
      <c r="L950" s="169">
        <v>0.0</v>
      </c>
      <c r="M950" s="169">
        <v>0.0</v>
      </c>
      <c r="N950" s="171">
        <v>0.0</v>
      </c>
      <c r="O950" s="109" t="str">
        <f t="shared" si="269"/>
        <v>#DIV/0!</v>
      </c>
      <c r="P950" s="110" t="str">
        <f t="shared" si="5"/>
        <v>#DIV/0!</v>
      </c>
      <c r="Q950" s="109" t="str">
        <f t="shared" si="6"/>
        <v>#DIV/0!</v>
      </c>
      <c r="R950" s="111" t="str">
        <f t="shared" si="7"/>
        <v>#DIV/0!</v>
      </c>
      <c r="S950" s="112">
        <f t="shared" si="268"/>
        <v>0</v>
      </c>
      <c r="T950" s="113" t="str">
        <f t="shared" si="9"/>
        <v>#DIV/0!</v>
      </c>
      <c r="U950" s="193"/>
      <c r="V950" s="193"/>
      <c r="W950" s="193"/>
      <c r="X950" s="194"/>
      <c r="Y950" s="195"/>
      <c r="Z950" s="165"/>
      <c r="AA950" s="165"/>
    </row>
    <row r="951" hidden="1" outlineLevel="1">
      <c r="A951" s="148"/>
      <c r="B951" s="99"/>
      <c r="C951" s="100" t="s">
        <v>46</v>
      </c>
      <c r="D951" s="196">
        <v>1312.67</v>
      </c>
      <c r="E951" s="105"/>
      <c r="F951" s="169">
        <v>34.0</v>
      </c>
      <c r="G951" s="169">
        <v>31.0</v>
      </c>
      <c r="H951" s="104">
        <f t="shared" si="1"/>
        <v>1.096774194</v>
      </c>
      <c r="I951" s="105">
        <f t="shared" si="2"/>
        <v>38.60794118</v>
      </c>
      <c r="J951" s="106">
        <f t="shared" si="3"/>
        <v>35.20135813</v>
      </c>
      <c r="K951" s="196">
        <v>269.35</v>
      </c>
      <c r="L951" s="169">
        <v>50705.0</v>
      </c>
      <c r="M951" s="169">
        <v>13.0</v>
      </c>
      <c r="N951" s="197">
        <v>403.73</v>
      </c>
      <c r="O951" s="109">
        <f t="shared" si="269"/>
        <v>0.6671537909</v>
      </c>
      <c r="P951" s="110">
        <f t="shared" si="5"/>
        <v>1.498904771</v>
      </c>
      <c r="Q951" s="109">
        <f t="shared" si="6"/>
        <v>0.2051924703</v>
      </c>
      <c r="R951" s="111">
        <f t="shared" si="7"/>
        <v>0.3075639727</v>
      </c>
      <c r="S951" s="112">
        <f t="shared" si="268"/>
        <v>908.94</v>
      </c>
      <c r="T951" s="113">
        <f t="shared" si="9"/>
        <v>20.71923077</v>
      </c>
      <c r="U951" s="198"/>
      <c r="V951" s="198"/>
      <c r="W951" s="198"/>
      <c r="X951" s="198"/>
      <c r="Y951" s="199"/>
      <c r="Z951" s="148"/>
      <c r="AA951" s="148"/>
    </row>
    <row r="952" hidden="1" outlineLevel="1">
      <c r="A952" s="165"/>
      <c r="B952" s="174"/>
      <c r="C952" s="200" t="s">
        <v>47</v>
      </c>
      <c r="D952" s="175">
        <v>-29.95</v>
      </c>
      <c r="E952" s="168"/>
      <c r="F952" s="169">
        <v>-1.0</v>
      </c>
      <c r="G952" s="169">
        <v>0.0</v>
      </c>
      <c r="H952" s="104" t="str">
        <f t="shared" si="1"/>
        <v>#DIV/0!</v>
      </c>
      <c r="I952" s="105">
        <f t="shared" si="2"/>
        <v>29.95</v>
      </c>
      <c r="J952" s="106" t="str">
        <f t="shared" si="3"/>
        <v>#DIV/0!</v>
      </c>
      <c r="K952" s="175">
        <v>0.0</v>
      </c>
      <c r="L952" s="169">
        <v>0.0</v>
      </c>
      <c r="M952" s="169">
        <v>0.0</v>
      </c>
      <c r="N952" s="176">
        <v>0.0</v>
      </c>
      <c r="O952" s="109" t="str">
        <f t="shared" si="269"/>
        <v>#DIV/0!</v>
      </c>
      <c r="P952" s="110" t="str">
        <f t="shared" si="5"/>
        <v>#DIV/0!</v>
      </c>
      <c r="Q952" s="109">
        <f t="shared" si="6"/>
        <v>0</v>
      </c>
      <c r="R952" s="111">
        <f t="shared" si="7"/>
        <v>0</v>
      </c>
      <c r="S952" s="112">
        <f t="shared" si="268"/>
        <v>-29.95</v>
      </c>
      <c r="T952" s="113" t="str">
        <f t="shared" si="9"/>
        <v>#DIV/0!</v>
      </c>
      <c r="U952" s="172"/>
      <c r="V952" s="172"/>
      <c r="W952" s="172"/>
      <c r="X952" s="172"/>
      <c r="Y952" s="173"/>
      <c r="Z952" s="165"/>
      <c r="AA952" s="165"/>
    </row>
    <row r="953" hidden="1" outlineLevel="1">
      <c r="A953" s="165"/>
      <c r="B953" s="174"/>
      <c r="C953" s="200" t="s">
        <v>48</v>
      </c>
      <c r="D953" s="186">
        <v>4625.06</v>
      </c>
      <c r="E953" s="168"/>
      <c r="F953" s="169">
        <v>26.0</v>
      </c>
      <c r="G953" s="169">
        <v>28.0</v>
      </c>
      <c r="H953" s="104">
        <f t="shared" si="1"/>
        <v>0.9285714286</v>
      </c>
      <c r="I953" s="105">
        <f t="shared" si="2"/>
        <v>177.8869231</v>
      </c>
      <c r="J953" s="106">
        <f t="shared" si="3"/>
        <v>191.5705325</v>
      </c>
      <c r="K953" s="186">
        <v>692.49</v>
      </c>
      <c r="L953" s="169">
        <v>44157.0</v>
      </c>
      <c r="M953" s="169">
        <v>11.0</v>
      </c>
      <c r="N953" s="187">
        <v>1670.89</v>
      </c>
      <c r="O953" s="109">
        <f t="shared" si="269"/>
        <v>0.4144437994</v>
      </c>
      <c r="P953" s="110">
        <f t="shared" si="5"/>
        <v>2.412872388</v>
      </c>
      <c r="Q953" s="109">
        <f t="shared" si="6"/>
        <v>0.1497256252</v>
      </c>
      <c r="R953" s="111">
        <f t="shared" si="7"/>
        <v>0.3612688268</v>
      </c>
      <c r="S953" s="112">
        <f t="shared" si="268"/>
        <v>2954.17</v>
      </c>
      <c r="T953" s="113">
        <f t="shared" si="9"/>
        <v>62.95363636</v>
      </c>
      <c r="U953" s="172"/>
      <c r="V953" s="172"/>
      <c r="W953" s="172"/>
      <c r="X953" s="172"/>
      <c r="Y953" s="173"/>
      <c r="Z953" s="165"/>
      <c r="AA953" s="165"/>
    </row>
    <row r="954" hidden="1" outlineLevel="1">
      <c r="A954" s="148" t="str">
        <f t="shared" ref="A954:A955" si="270">iferror(if(B954&gt;0,month(B954)&amp;"-"&amp;year(B954),B954),)</f>
        <v>12-2025</v>
      </c>
      <c r="B954" s="166">
        <v>46018.0</v>
      </c>
      <c r="C954" s="100" t="s">
        <v>49</v>
      </c>
      <c r="D954" s="196">
        <v>0.0</v>
      </c>
      <c r="E954" s="168"/>
      <c r="F954" s="169">
        <v>0.0</v>
      </c>
      <c r="G954" s="169">
        <v>0.0</v>
      </c>
      <c r="H954" s="104" t="str">
        <f t="shared" si="1"/>
        <v>#DIV/0!</v>
      </c>
      <c r="I954" s="105" t="str">
        <f t="shared" si="2"/>
        <v>#DIV/0!</v>
      </c>
      <c r="J954" s="106" t="str">
        <f t="shared" si="3"/>
        <v>#DIV/0!</v>
      </c>
      <c r="K954" s="196">
        <v>16.97</v>
      </c>
      <c r="L954" s="169">
        <v>17393.0</v>
      </c>
      <c r="M954" s="169">
        <v>0.0</v>
      </c>
      <c r="N954" s="197">
        <v>0.0</v>
      </c>
      <c r="O954" s="109" t="str">
        <f t="shared" si="269"/>
        <v>#DIV/0!</v>
      </c>
      <c r="P954" s="110">
        <f t="shared" si="5"/>
        <v>0</v>
      </c>
      <c r="Q954" s="109" t="str">
        <f t="shared" si="6"/>
        <v>#DIV/0!</v>
      </c>
      <c r="R954" s="111" t="str">
        <f t="shared" si="7"/>
        <v>#DIV/0!</v>
      </c>
      <c r="S954" s="112">
        <f t="shared" si="268"/>
        <v>0</v>
      </c>
      <c r="T954" s="113" t="str">
        <f t="shared" si="9"/>
        <v>#DIV/0!</v>
      </c>
      <c r="U954" s="172"/>
      <c r="V954" s="172"/>
      <c r="W954" s="172"/>
      <c r="X954" s="172"/>
      <c r="Y954" s="173"/>
      <c r="Z954" s="165"/>
      <c r="AA954" s="165"/>
    </row>
    <row r="955" ht="16.5" customHeight="1" collapsed="1">
      <c r="A955" s="165" t="str">
        <f t="shared" si="270"/>
        <v/>
      </c>
      <c r="B955" s="149" t="s">
        <v>61</v>
      </c>
      <c r="C955" s="201"/>
      <c r="D955" s="151">
        <f>SUM(D938:D954)</f>
        <v>37074.31</v>
      </c>
      <c r="E955" s="155"/>
      <c r="F955" s="202">
        <f t="shared" ref="F955:G955" si="271">SUM(F938:F954)</f>
        <v>245</v>
      </c>
      <c r="G955" s="202">
        <f t="shared" si="271"/>
        <v>266</v>
      </c>
      <c r="H955" s="154">
        <f t="shared" si="1"/>
        <v>0.9210526316</v>
      </c>
      <c r="I955" s="155">
        <f t="shared" si="2"/>
        <v>151.3237143</v>
      </c>
      <c r="J955" s="156">
        <f t="shared" si="3"/>
        <v>164.2943184</v>
      </c>
      <c r="K955" s="151">
        <f t="shared" ref="K955:N955" si="272">SUM(K938:K954)</f>
        <v>5094.8</v>
      </c>
      <c r="L955" s="202">
        <f t="shared" si="272"/>
        <v>988888</v>
      </c>
      <c r="M955" s="202">
        <f t="shared" si="272"/>
        <v>108</v>
      </c>
      <c r="N955" s="157">
        <f t="shared" si="272"/>
        <v>15590.76</v>
      </c>
      <c r="O955" s="158">
        <f t="shared" si="269"/>
        <v>0.3267832999</v>
      </c>
      <c r="P955" s="159">
        <f t="shared" si="5"/>
        <v>3.060131899</v>
      </c>
      <c r="Q955" s="158">
        <f t="shared" si="6"/>
        <v>0.1374213033</v>
      </c>
      <c r="R955" s="160">
        <f t="shared" si="7"/>
        <v>0.4205273139</v>
      </c>
      <c r="S955" s="161">
        <f>SUM(S938:S954)</f>
        <v>21483.55</v>
      </c>
      <c r="T955" s="162">
        <f t="shared" si="9"/>
        <v>47.17407407</v>
      </c>
      <c r="U955" s="163">
        <f>IFERROR((D955-D246)/D955,)</f>
        <v>0.7955101524</v>
      </c>
      <c r="V955" s="163">
        <f>IFERROR((F955-F246)/F955,)</f>
        <v>0.6163265306</v>
      </c>
      <c r="W955" s="163" t="str">
        <f>IFERROR((D955-monthly_reporting_2021!E746)/D955, )</f>
        <v/>
      </c>
      <c r="X955" s="163" t="str">
        <f>IFERROR((F955-monthly_reporting_2021!F746)/F955, )</f>
        <v/>
      </c>
      <c r="Y955" s="165"/>
      <c r="Z955" s="165"/>
      <c r="AA955" s="165"/>
    </row>
    <row r="956" outlineLevel="1">
      <c r="A956" s="165"/>
      <c r="B956" s="166">
        <v>46019.0</v>
      </c>
      <c r="C956" s="100" t="s">
        <v>32</v>
      </c>
      <c r="D956" s="167">
        <v>13519.5</v>
      </c>
      <c r="E956" s="168"/>
      <c r="F956" s="169">
        <v>57.0</v>
      </c>
      <c r="G956" s="169">
        <v>57.0</v>
      </c>
      <c r="H956" s="104">
        <f t="shared" si="1"/>
        <v>1</v>
      </c>
      <c r="I956" s="105">
        <f t="shared" si="2"/>
        <v>237.1842105</v>
      </c>
      <c r="J956" s="106">
        <f t="shared" si="3"/>
        <v>237.1842105</v>
      </c>
      <c r="K956" s="170">
        <v>1867.63</v>
      </c>
      <c r="L956" s="169">
        <v>249548.0</v>
      </c>
      <c r="M956" s="169">
        <v>23.0</v>
      </c>
      <c r="N956" s="171">
        <v>5019.44</v>
      </c>
      <c r="O956" s="109">
        <f t="shared" si="269"/>
        <v>0.3720793555</v>
      </c>
      <c r="P956" s="110">
        <f t="shared" si="5"/>
        <v>2.687598721</v>
      </c>
      <c r="Q956" s="109">
        <f t="shared" si="6"/>
        <v>0.1381434225</v>
      </c>
      <c r="R956" s="111">
        <f t="shared" si="7"/>
        <v>0.3712740856</v>
      </c>
      <c r="S956" s="112">
        <f t="shared" ref="S956:S972" si="273">D956-N956</f>
        <v>8500.06</v>
      </c>
      <c r="T956" s="113">
        <f t="shared" si="9"/>
        <v>81.20130435</v>
      </c>
      <c r="U956" s="172"/>
      <c r="V956" s="172"/>
      <c r="W956" s="172"/>
      <c r="X956" s="172"/>
      <c r="Y956" s="173"/>
      <c r="Z956" s="165"/>
      <c r="AA956" s="165"/>
    </row>
    <row r="957" outlineLevel="1">
      <c r="A957" s="165"/>
      <c r="B957" s="174"/>
      <c r="C957" s="100" t="s">
        <v>33</v>
      </c>
      <c r="D957" s="175">
        <v>18767.79</v>
      </c>
      <c r="E957" s="168"/>
      <c r="F957" s="169">
        <v>145.0</v>
      </c>
      <c r="G957" s="169">
        <v>161.0</v>
      </c>
      <c r="H957" s="104">
        <f t="shared" si="1"/>
        <v>0.900621118</v>
      </c>
      <c r="I957" s="105">
        <f t="shared" si="2"/>
        <v>129.4330345</v>
      </c>
      <c r="J957" s="106">
        <f t="shared" si="3"/>
        <v>143.7153004</v>
      </c>
      <c r="K957" s="175">
        <v>1072.07</v>
      </c>
      <c r="L957" s="169">
        <v>465644.0</v>
      </c>
      <c r="M957" s="169">
        <v>32.0</v>
      </c>
      <c r="N957" s="176">
        <v>3923.85</v>
      </c>
      <c r="O957" s="109">
        <f t="shared" si="269"/>
        <v>0.2732189049</v>
      </c>
      <c r="P957" s="110">
        <f t="shared" si="5"/>
        <v>3.660068839</v>
      </c>
      <c r="Q957" s="109">
        <f t="shared" si="6"/>
        <v>0.05712286849</v>
      </c>
      <c r="R957" s="111">
        <f t="shared" si="7"/>
        <v>0.2090736309</v>
      </c>
      <c r="S957" s="119">
        <f t="shared" si="273"/>
        <v>14843.94</v>
      </c>
      <c r="T957" s="113">
        <f t="shared" si="9"/>
        <v>33.5021875</v>
      </c>
      <c r="U957" s="172"/>
      <c r="V957" s="172"/>
      <c r="W957" s="172"/>
      <c r="X957" s="172"/>
      <c r="Y957" s="173"/>
      <c r="Z957" s="165"/>
      <c r="AA957" s="165"/>
    </row>
    <row r="958" outlineLevel="1">
      <c r="A958" s="165"/>
      <c r="B958" s="174"/>
      <c r="C958" s="100" t="s">
        <v>34</v>
      </c>
      <c r="D958" s="177">
        <v>0.0</v>
      </c>
      <c r="E958" s="168"/>
      <c r="F958" s="169">
        <v>0.0</v>
      </c>
      <c r="G958" s="169">
        <v>0.0</v>
      </c>
      <c r="H958" s="104" t="str">
        <f t="shared" si="1"/>
        <v>#DIV/0!</v>
      </c>
      <c r="I958" s="105" t="str">
        <f t="shared" si="2"/>
        <v>#DIV/0!</v>
      </c>
      <c r="J958" s="106" t="str">
        <f t="shared" si="3"/>
        <v>#DIV/0!</v>
      </c>
      <c r="K958" s="177">
        <v>0.0</v>
      </c>
      <c r="L958" s="169">
        <v>376.0</v>
      </c>
      <c r="M958" s="169">
        <v>0.0</v>
      </c>
      <c r="N958" s="178">
        <v>0.0</v>
      </c>
      <c r="O958" s="109" t="str">
        <f>(K958/N958)</f>
        <v>#DIV/0!</v>
      </c>
      <c r="P958" s="110" t="str">
        <f t="shared" si="5"/>
        <v>#DIV/0!</v>
      </c>
      <c r="Q958" s="109" t="str">
        <f t="shared" si="6"/>
        <v>#DIV/0!</v>
      </c>
      <c r="R958" s="111" t="str">
        <f t="shared" si="7"/>
        <v>#DIV/0!</v>
      </c>
      <c r="S958" s="122">
        <f t="shared" si="273"/>
        <v>0</v>
      </c>
      <c r="T958" s="113" t="str">
        <f t="shared" si="9"/>
        <v>#DIV/0!</v>
      </c>
      <c r="U958" s="172"/>
      <c r="V958" s="172"/>
      <c r="W958" s="172"/>
      <c r="X958" s="172"/>
      <c r="Y958" s="173"/>
      <c r="Z958" s="165"/>
      <c r="AA958" s="165"/>
    </row>
    <row r="959" outlineLevel="1">
      <c r="A959" s="165"/>
      <c r="B959" s="174"/>
      <c r="C959" s="100" t="s">
        <v>35</v>
      </c>
      <c r="D959" s="177">
        <v>125.9</v>
      </c>
      <c r="E959" s="168"/>
      <c r="F959" s="169">
        <v>2.0</v>
      </c>
      <c r="G959" s="169">
        <v>2.0</v>
      </c>
      <c r="H959" s="104">
        <f t="shared" si="1"/>
        <v>1</v>
      </c>
      <c r="I959" s="105">
        <f t="shared" si="2"/>
        <v>62.95</v>
      </c>
      <c r="J959" s="106">
        <f t="shared" si="3"/>
        <v>62.95</v>
      </c>
      <c r="K959" s="177">
        <v>298.8</v>
      </c>
      <c r="L959" s="169">
        <v>26455.0</v>
      </c>
      <c r="M959" s="169">
        <v>5.0</v>
      </c>
      <c r="N959" s="178">
        <v>299.75</v>
      </c>
      <c r="O959" s="109">
        <f t="shared" ref="O959:O973" si="274">K959/N959</f>
        <v>0.9968306922</v>
      </c>
      <c r="P959" s="110">
        <f t="shared" si="5"/>
        <v>1.003179384</v>
      </c>
      <c r="Q959" s="109">
        <f t="shared" si="6"/>
        <v>2.373312153</v>
      </c>
      <c r="R959" s="111">
        <f t="shared" si="7"/>
        <v>2.380857824</v>
      </c>
      <c r="S959" s="122">
        <f t="shared" si="273"/>
        <v>-173.85</v>
      </c>
      <c r="T959" s="113">
        <f t="shared" si="9"/>
        <v>59.76</v>
      </c>
      <c r="U959" s="172"/>
      <c r="V959" s="172"/>
      <c r="W959" s="172"/>
      <c r="X959" s="172"/>
      <c r="Y959" s="173"/>
      <c r="Z959" s="165"/>
      <c r="AA959" s="165"/>
    </row>
    <row r="960" outlineLevel="1">
      <c r="A960" s="165"/>
      <c r="B960" s="174"/>
      <c r="C960" s="100" t="s">
        <v>36</v>
      </c>
      <c r="D960" s="177">
        <v>359.7</v>
      </c>
      <c r="E960" s="168"/>
      <c r="F960" s="169">
        <v>6.0</v>
      </c>
      <c r="G960" s="169">
        <v>6.0</v>
      </c>
      <c r="H960" s="104">
        <f t="shared" si="1"/>
        <v>1</v>
      </c>
      <c r="I960" s="105">
        <f t="shared" si="2"/>
        <v>59.95</v>
      </c>
      <c r="J960" s="106">
        <f t="shared" si="3"/>
        <v>59.95</v>
      </c>
      <c r="K960" s="177">
        <v>105.72</v>
      </c>
      <c r="L960" s="169">
        <v>27117.0</v>
      </c>
      <c r="M960" s="169">
        <v>2.0</v>
      </c>
      <c r="N960" s="178">
        <v>129.9</v>
      </c>
      <c r="O960" s="109">
        <f t="shared" si="274"/>
        <v>0.8138568129</v>
      </c>
      <c r="P960" s="110">
        <f t="shared" si="5"/>
        <v>1.228717367</v>
      </c>
      <c r="Q960" s="109">
        <f t="shared" si="6"/>
        <v>0.293911593</v>
      </c>
      <c r="R960" s="111">
        <f t="shared" si="7"/>
        <v>0.3611342786</v>
      </c>
      <c r="S960" s="122">
        <f t="shared" si="273"/>
        <v>229.8</v>
      </c>
      <c r="T960" s="113">
        <f t="shared" si="9"/>
        <v>52.86</v>
      </c>
      <c r="U960" s="172"/>
      <c r="V960" s="172"/>
      <c r="W960" s="172"/>
      <c r="X960" s="172"/>
      <c r="Y960" s="173"/>
      <c r="Z960" s="165"/>
      <c r="AA960" s="165"/>
    </row>
    <row r="961" outlineLevel="1">
      <c r="A961" s="165"/>
      <c r="B961" s="179" t="s">
        <v>37</v>
      </c>
      <c r="C961" s="100" t="s">
        <v>38</v>
      </c>
      <c r="D961" s="180">
        <v>-60.73</v>
      </c>
      <c r="E961" s="168"/>
      <c r="F961" s="169">
        <v>0.0</v>
      </c>
      <c r="G961" s="169">
        <v>1.0</v>
      </c>
      <c r="H961" s="104">
        <f t="shared" si="1"/>
        <v>0</v>
      </c>
      <c r="I961" s="105" t="str">
        <f t="shared" si="2"/>
        <v>#DIV/0!</v>
      </c>
      <c r="J961" s="106" t="str">
        <f t="shared" si="3"/>
        <v>#DIV/0!</v>
      </c>
      <c r="K961" s="180">
        <v>83.88</v>
      </c>
      <c r="L961" s="169">
        <v>253679.0</v>
      </c>
      <c r="M961" s="169">
        <v>0.0</v>
      </c>
      <c r="N961" s="181">
        <v>0.0</v>
      </c>
      <c r="O961" s="109" t="str">
        <f t="shared" si="274"/>
        <v>#DIV/0!</v>
      </c>
      <c r="P961" s="110">
        <f t="shared" si="5"/>
        <v>0</v>
      </c>
      <c r="Q961" s="109">
        <f t="shared" si="6"/>
        <v>-1.381195455</v>
      </c>
      <c r="R961" s="111">
        <f t="shared" si="7"/>
        <v>0</v>
      </c>
      <c r="S961" s="125">
        <f t="shared" si="273"/>
        <v>-60.73</v>
      </c>
      <c r="T961" s="113" t="str">
        <f t="shared" si="9"/>
        <v>#DIV/0!</v>
      </c>
      <c r="U961" s="172"/>
      <c r="V961" s="172"/>
      <c r="W961" s="172"/>
      <c r="X961" s="172"/>
      <c r="Y961" s="173"/>
      <c r="Z961" s="165"/>
      <c r="AA961" s="165"/>
    </row>
    <row r="962" outlineLevel="1">
      <c r="A962" s="165"/>
      <c r="B962" s="174"/>
      <c r="C962" s="100" t="s">
        <v>39</v>
      </c>
      <c r="D962" s="182">
        <v>0.0</v>
      </c>
      <c r="E962" s="168"/>
      <c r="F962" s="169">
        <v>0.0</v>
      </c>
      <c r="G962" s="169">
        <v>0.0</v>
      </c>
      <c r="H962" s="104" t="str">
        <f t="shared" si="1"/>
        <v>#DIV/0!</v>
      </c>
      <c r="I962" s="105" t="str">
        <f t="shared" si="2"/>
        <v>#DIV/0!</v>
      </c>
      <c r="J962" s="106" t="str">
        <f t="shared" si="3"/>
        <v>#DIV/0!</v>
      </c>
      <c r="K962" s="182">
        <v>0.0</v>
      </c>
      <c r="L962" s="169">
        <v>0.0</v>
      </c>
      <c r="M962" s="169">
        <v>0.0</v>
      </c>
      <c r="N962" s="183">
        <v>0.0</v>
      </c>
      <c r="O962" s="109" t="str">
        <f t="shared" si="274"/>
        <v>#DIV/0!</v>
      </c>
      <c r="P962" s="110" t="str">
        <f t="shared" si="5"/>
        <v>#DIV/0!</v>
      </c>
      <c r="Q962" s="109" t="str">
        <f t="shared" si="6"/>
        <v>#DIV/0!</v>
      </c>
      <c r="R962" s="111" t="str">
        <f t="shared" si="7"/>
        <v>#DIV/0!</v>
      </c>
      <c r="S962" s="128">
        <f t="shared" si="273"/>
        <v>0</v>
      </c>
      <c r="T962" s="113" t="str">
        <f t="shared" si="9"/>
        <v>#DIV/0!</v>
      </c>
      <c r="U962" s="172"/>
      <c r="V962" s="172"/>
      <c r="W962" s="172"/>
      <c r="X962" s="172"/>
      <c r="Y962" s="173"/>
      <c r="Z962" s="165"/>
      <c r="AA962" s="165"/>
    </row>
    <row r="963" outlineLevel="1">
      <c r="A963" s="165"/>
      <c r="B963" s="174"/>
      <c r="C963" s="100" t="s">
        <v>40</v>
      </c>
      <c r="D963" s="184">
        <v>0.0</v>
      </c>
      <c r="E963" s="168"/>
      <c r="F963" s="169">
        <v>0.0</v>
      </c>
      <c r="G963" s="169">
        <v>0.0</v>
      </c>
      <c r="H963" s="104" t="str">
        <f t="shared" si="1"/>
        <v>#DIV/0!</v>
      </c>
      <c r="I963" s="105" t="str">
        <f t="shared" si="2"/>
        <v>#DIV/0!</v>
      </c>
      <c r="J963" s="106" t="str">
        <f t="shared" si="3"/>
        <v>#DIV/0!</v>
      </c>
      <c r="K963" s="184">
        <v>0.0</v>
      </c>
      <c r="L963" s="169">
        <v>0.0</v>
      </c>
      <c r="M963" s="169">
        <v>0.0</v>
      </c>
      <c r="N963" s="185">
        <v>0.0</v>
      </c>
      <c r="O963" s="109" t="str">
        <f t="shared" si="274"/>
        <v>#DIV/0!</v>
      </c>
      <c r="P963" s="110" t="str">
        <f t="shared" si="5"/>
        <v>#DIV/0!</v>
      </c>
      <c r="Q963" s="109" t="str">
        <f t="shared" si="6"/>
        <v>#DIV/0!</v>
      </c>
      <c r="R963" s="111" t="str">
        <f t="shared" si="7"/>
        <v>#DIV/0!</v>
      </c>
      <c r="S963" s="131">
        <f t="shared" si="273"/>
        <v>0</v>
      </c>
      <c r="T963" s="113" t="str">
        <f t="shared" si="9"/>
        <v>#DIV/0!</v>
      </c>
      <c r="U963" s="172"/>
      <c r="V963" s="172"/>
      <c r="W963" s="172"/>
      <c r="X963" s="172"/>
      <c r="Y963" s="173"/>
      <c r="Z963" s="165"/>
      <c r="AA963" s="165"/>
    </row>
    <row r="964" outlineLevel="1">
      <c r="A964" s="165"/>
      <c r="B964" s="174"/>
      <c r="C964" s="100" t="s">
        <v>41</v>
      </c>
      <c r="D964" s="186">
        <v>3534.27</v>
      </c>
      <c r="E964" s="168"/>
      <c r="F964" s="169">
        <v>49.0</v>
      </c>
      <c r="G964" s="169">
        <v>51.0</v>
      </c>
      <c r="H964" s="104">
        <f t="shared" si="1"/>
        <v>0.9607843137</v>
      </c>
      <c r="I964" s="105">
        <f t="shared" si="2"/>
        <v>72.12795918</v>
      </c>
      <c r="J964" s="106">
        <f t="shared" si="3"/>
        <v>75.07195752</v>
      </c>
      <c r="K964" s="186">
        <v>799.06</v>
      </c>
      <c r="L964" s="169">
        <v>59789.0</v>
      </c>
      <c r="M964" s="169">
        <v>14.0</v>
      </c>
      <c r="N964" s="187">
        <v>877.86</v>
      </c>
      <c r="O964" s="109">
        <f t="shared" si="274"/>
        <v>0.9102362564</v>
      </c>
      <c r="P964" s="110">
        <f t="shared" si="5"/>
        <v>1.098615874</v>
      </c>
      <c r="Q964" s="109">
        <f t="shared" si="6"/>
        <v>0.2260891217</v>
      </c>
      <c r="R964" s="111">
        <f t="shared" si="7"/>
        <v>0.2483850979</v>
      </c>
      <c r="S964" s="134">
        <f t="shared" si="273"/>
        <v>2656.41</v>
      </c>
      <c r="T964" s="113">
        <f t="shared" si="9"/>
        <v>57.07571429</v>
      </c>
      <c r="U964" s="172"/>
      <c r="V964" s="172"/>
      <c r="W964" s="172"/>
      <c r="X964" s="172"/>
      <c r="Y964" s="173"/>
      <c r="Z964" s="165"/>
      <c r="AA964" s="165"/>
    </row>
    <row r="965" outlineLevel="1">
      <c r="A965" s="165"/>
      <c r="B965" s="174"/>
      <c r="C965" s="100" t="s">
        <v>42</v>
      </c>
      <c r="D965" s="177">
        <v>59.97</v>
      </c>
      <c r="E965" s="168"/>
      <c r="F965" s="169">
        <v>3.0</v>
      </c>
      <c r="G965" s="169">
        <v>3.0</v>
      </c>
      <c r="H965" s="104">
        <f t="shared" si="1"/>
        <v>1</v>
      </c>
      <c r="I965" s="105">
        <f t="shared" si="2"/>
        <v>19.99</v>
      </c>
      <c r="J965" s="106">
        <f t="shared" si="3"/>
        <v>19.99</v>
      </c>
      <c r="K965" s="177">
        <v>356.37</v>
      </c>
      <c r="L965" s="169">
        <v>105893.0</v>
      </c>
      <c r="M965" s="169">
        <v>2.0</v>
      </c>
      <c r="N965" s="178">
        <v>39.98</v>
      </c>
      <c r="O965" s="109">
        <f t="shared" si="274"/>
        <v>8.913706853</v>
      </c>
      <c r="P965" s="110">
        <f t="shared" si="5"/>
        <v>0.1121867722</v>
      </c>
      <c r="Q965" s="109">
        <f t="shared" si="6"/>
        <v>5.942471236</v>
      </c>
      <c r="R965" s="111">
        <f t="shared" si="7"/>
        <v>0.6666666667</v>
      </c>
      <c r="S965" s="122">
        <f t="shared" si="273"/>
        <v>19.99</v>
      </c>
      <c r="T965" s="113">
        <f t="shared" si="9"/>
        <v>178.185</v>
      </c>
      <c r="U965" s="172"/>
      <c r="V965" s="172"/>
      <c r="W965" s="172"/>
      <c r="X965" s="172"/>
      <c r="Y965" s="173"/>
      <c r="Z965" s="165"/>
      <c r="AA965" s="165"/>
    </row>
    <row r="966" outlineLevel="1">
      <c r="A966" s="165"/>
      <c r="B966" s="174"/>
      <c r="C966" s="100" t="s">
        <v>43</v>
      </c>
      <c r="D966" s="188">
        <v>1547.97</v>
      </c>
      <c r="E966" s="168"/>
      <c r="F966" s="169">
        <v>13.0</v>
      </c>
      <c r="G966" s="169">
        <v>13.0</v>
      </c>
      <c r="H966" s="104">
        <f t="shared" si="1"/>
        <v>1</v>
      </c>
      <c r="I966" s="105">
        <f t="shared" si="2"/>
        <v>119.0746154</v>
      </c>
      <c r="J966" s="106">
        <f t="shared" si="3"/>
        <v>119.0746154</v>
      </c>
      <c r="K966" s="188">
        <v>74.14</v>
      </c>
      <c r="L966" s="169">
        <v>10788.0</v>
      </c>
      <c r="M966" s="169">
        <v>1.0</v>
      </c>
      <c r="N966" s="189">
        <v>0.0</v>
      </c>
      <c r="O966" s="109" t="str">
        <f t="shared" si="274"/>
        <v>#DIV/0!</v>
      </c>
      <c r="P966" s="110">
        <f t="shared" si="5"/>
        <v>0</v>
      </c>
      <c r="Q966" s="109">
        <f t="shared" si="6"/>
        <v>0.04789498504</v>
      </c>
      <c r="R966" s="111">
        <f t="shared" si="7"/>
        <v>0</v>
      </c>
      <c r="S966" s="137">
        <f t="shared" si="273"/>
        <v>1547.97</v>
      </c>
      <c r="T966" s="113">
        <f t="shared" si="9"/>
        <v>74.14</v>
      </c>
      <c r="U966" s="172"/>
      <c r="V966" s="172"/>
      <c r="W966" s="172"/>
      <c r="X966" s="172"/>
      <c r="Y966" s="173"/>
      <c r="Z966" s="165"/>
      <c r="AA966" s="165"/>
    </row>
    <row r="967" outlineLevel="1">
      <c r="A967" s="165"/>
      <c r="B967" s="174"/>
      <c r="C967" s="100" t="s">
        <v>44</v>
      </c>
      <c r="D967" s="190">
        <v>209.8</v>
      </c>
      <c r="E967" s="168"/>
      <c r="F967" s="169">
        <v>4.0</v>
      </c>
      <c r="G967" s="169">
        <v>4.0</v>
      </c>
      <c r="H967" s="104">
        <f t="shared" si="1"/>
        <v>1</v>
      </c>
      <c r="I967" s="105">
        <f t="shared" si="2"/>
        <v>52.45</v>
      </c>
      <c r="J967" s="106">
        <f t="shared" si="3"/>
        <v>52.45</v>
      </c>
      <c r="K967" s="190">
        <v>72.7</v>
      </c>
      <c r="L967" s="169">
        <v>40190.0</v>
      </c>
      <c r="M967" s="169">
        <v>3.0</v>
      </c>
      <c r="N967" s="191">
        <v>164.85</v>
      </c>
      <c r="O967" s="109">
        <f t="shared" si="274"/>
        <v>0.441006976</v>
      </c>
      <c r="P967" s="110">
        <f t="shared" si="5"/>
        <v>2.267537827</v>
      </c>
      <c r="Q967" s="109">
        <f t="shared" si="6"/>
        <v>0.3465204957</v>
      </c>
      <c r="R967" s="111">
        <f t="shared" si="7"/>
        <v>0.7857483317</v>
      </c>
      <c r="S967" s="140">
        <f t="shared" si="273"/>
        <v>44.95</v>
      </c>
      <c r="T967" s="113">
        <f t="shared" si="9"/>
        <v>24.23333333</v>
      </c>
      <c r="U967" s="172"/>
      <c r="V967" s="172"/>
      <c r="W967" s="172"/>
      <c r="X967" s="172"/>
      <c r="Y967" s="173"/>
      <c r="Z967" s="165"/>
      <c r="AA967" s="165"/>
    </row>
    <row r="968" outlineLevel="1">
      <c r="A968" s="192"/>
      <c r="B968" s="174"/>
      <c r="C968" s="142" t="s">
        <v>45</v>
      </c>
      <c r="D968" s="167">
        <v>0.0</v>
      </c>
      <c r="E968" s="168"/>
      <c r="F968" s="169">
        <v>0.0</v>
      </c>
      <c r="G968" s="169">
        <v>0.0</v>
      </c>
      <c r="H968" s="104" t="str">
        <f t="shared" si="1"/>
        <v>#DIV/0!</v>
      </c>
      <c r="I968" s="105" t="str">
        <f t="shared" si="2"/>
        <v>#DIV/0!</v>
      </c>
      <c r="J968" s="106" t="str">
        <f t="shared" si="3"/>
        <v>#DIV/0!</v>
      </c>
      <c r="K968" s="167">
        <v>0.0</v>
      </c>
      <c r="L968" s="169">
        <v>0.0</v>
      </c>
      <c r="M968" s="169">
        <v>0.0</v>
      </c>
      <c r="N968" s="171">
        <v>0.0</v>
      </c>
      <c r="O968" s="109" t="str">
        <f t="shared" si="274"/>
        <v>#DIV/0!</v>
      </c>
      <c r="P968" s="110" t="str">
        <f t="shared" si="5"/>
        <v>#DIV/0!</v>
      </c>
      <c r="Q968" s="109" t="str">
        <f t="shared" si="6"/>
        <v>#DIV/0!</v>
      </c>
      <c r="R968" s="111" t="str">
        <f t="shared" si="7"/>
        <v>#DIV/0!</v>
      </c>
      <c r="S968" s="112">
        <f t="shared" si="273"/>
        <v>0</v>
      </c>
      <c r="T968" s="113" t="str">
        <f t="shared" si="9"/>
        <v>#DIV/0!</v>
      </c>
      <c r="U968" s="193"/>
      <c r="V968" s="193"/>
      <c r="W968" s="193"/>
      <c r="X968" s="194"/>
      <c r="Y968" s="195"/>
      <c r="Z968" s="165"/>
      <c r="AA968" s="165"/>
    </row>
    <row r="969" outlineLevel="1">
      <c r="A969" s="148"/>
      <c r="B969" s="99"/>
      <c r="C969" s="100" t="s">
        <v>46</v>
      </c>
      <c r="D969" s="196">
        <v>1218.39</v>
      </c>
      <c r="E969" s="105"/>
      <c r="F969" s="169">
        <v>31.0</v>
      </c>
      <c r="G969" s="169">
        <v>31.0</v>
      </c>
      <c r="H969" s="104">
        <f t="shared" si="1"/>
        <v>1</v>
      </c>
      <c r="I969" s="105">
        <f t="shared" si="2"/>
        <v>39.30290323</v>
      </c>
      <c r="J969" s="106">
        <f t="shared" si="3"/>
        <v>39.30290323</v>
      </c>
      <c r="K969" s="196">
        <v>258.05</v>
      </c>
      <c r="L969" s="169">
        <v>66414.0</v>
      </c>
      <c r="M969" s="169">
        <v>25.0</v>
      </c>
      <c r="N969" s="197">
        <v>985.26</v>
      </c>
      <c r="O969" s="109">
        <f t="shared" si="274"/>
        <v>0.2619105617</v>
      </c>
      <c r="P969" s="110">
        <f t="shared" si="5"/>
        <v>3.818097268</v>
      </c>
      <c r="Q969" s="109">
        <f t="shared" si="6"/>
        <v>0.2117958946</v>
      </c>
      <c r="R969" s="111">
        <f t="shared" si="7"/>
        <v>0.8086573265</v>
      </c>
      <c r="S969" s="112">
        <f t="shared" si="273"/>
        <v>233.13</v>
      </c>
      <c r="T969" s="113">
        <f t="shared" si="9"/>
        <v>10.322</v>
      </c>
      <c r="U969" s="198"/>
      <c r="V969" s="198"/>
      <c r="W969" s="198"/>
      <c r="X969" s="198"/>
      <c r="Y969" s="199"/>
      <c r="Z969" s="148"/>
      <c r="AA969" s="148"/>
    </row>
    <row r="970" outlineLevel="1">
      <c r="A970" s="165"/>
      <c r="B970" s="174"/>
      <c r="C970" s="200" t="s">
        <v>47</v>
      </c>
      <c r="D970" s="175">
        <v>59.9</v>
      </c>
      <c r="E970" s="168"/>
      <c r="F970" s="169">
        <v>2.0</v>
      </c>
      <c r="G970" s="169">
        <v>2.0</v>
      </c>
      <c r="H970" s="104">
        <f t="shared" si="1"/>
        <v>1</v>
      </c>
      <c r="I970" s="105">
        <f t="shared" si="2"/>
        <v>29.95</v>
      </c>
      <c r="J970" s="106">
        <f t="shared" si="3"/>
        <v>29.95</v>
      </c>
      <c r="K970" s="175">
        <v>0.0</v>
      </c>
      <c r="L970" s="169">
        <v>0.0</v>
      </c>
      <c r="M970" s="169">
        <v>0.0</v>
      </c>
      <c r="N970" s="176">
        <v>0.0</v>
      </c>
      <c r="O970" s="109" t="str">
        <f t="shared" si="274"/>
        <v>#DIV/0!</v>
      </c>
      <c r="P970" s="110" t="str">
        <f t="shared" si="5"/>
        <v>#DIV/0!</v>
      </c>
      <c r="Q970" s="109">
        <f t="shared" si="6"/>
        <v>0</v>
      </c>
      <c r="R970" s="111">
        <f t="shared" si="7"/>
        <v>0</v>
      </c>
      <c r="S970" s="112">
        <f t="shared" si="273"/>
        <v>59.9</v>
      </c>
      <c r="T970" s="113" t="str">
        <f t="shared" si="9"/>
        <v>#DIV/0!</v>
      </c>
      <c r="U970" s="172"/>
      <c r="V970" s="172"/>
      <c r="W970" s="172"/>
      <c r="X970" s="172"/>
      <c r="Y970" s="173"/>
      <c r="Z970" s="165"/>
      <c r="AA970" s="165"/>
    </row>
    <row r="971" outlineLevel="1">
      <c r="A971" s="165"/>
      <c r="B971" s="174"/>
      <c r="C971" s="200" t="s">
        <v>48</v>
      </c>
      <c r="D971" s="186">
        <v>6535.42</v>
      </c>
      <c r="E971" s="168"/>
      <c r="F971" s="169">
        <v>31.0</v>
      </c>
      <c r="G971" s="169">
        <v>31.0</v>
      </c>
      <c r="H971" s="104">
        <f t="shared" si="1"/>
        <v>1</v>
      </c>
      <c r="I971" s="105">
        <f t="shared" si="2"/>
        <v>210.82</v>
      </c>
      <c r="J971" s="106">
        <f t="shared" si="3"/>
        <v>210.82</v>
      </c>
      <c r="K971" s="186">
        <v>807.83</v>
      </c>
      <c r="L971" s="169">
        <v>55281.0</v>
      </c>
      <c r="M971" s="169">
        <v>15.0</v>
      </c>
      <c r="N971" s="187">
        <v>2922.51</v>
      </c>
      <c r="O971" s="109">
        <f t="shared" si="274"/>
        <v>0.276416505</v>
      </c>
      <c r="P971" s="110">
        <f t="shared" si="5"/>
        <v>3.617728978</v>
      </c>
      <c r="Q971" s="109">
        <f t="shared" si="6"/>
        <v>0.1236079701</v>
      </c>
      <c r="R971" s="111">
        <f t="shared" si="7"/>
        <v>0.4471801353</v>
      </c>
      <c r="S971" s="112">
        <f t="shared" si="273"/>
        <v>3612.91</v>
      </c>
      <c r="T971" s="113">
        <f t="shared" si="9"/>
        <v>53.85533333</v>
      </c>
      <c r="U971" s="172"/>
      <c r="V971" s="172"/>
      <c r="W971" s="172"/>
      <c r="X971" s="172"/>
      <c r="Y971" s="173"/>
      <c r="Z971" s="165"/>
      <c r="AA971" s="165"/>
    </row>
    <row r="972" outlineLevel="1">
      <c r="A972" s="148" t="str">
        <f t="shared" ref="A972:A973" si="275">iferror(if(B972&gt;0,month(B972)&amp;"-"&amp;year(B972),B972),)</f>
        <v>1-2026</v>
      </c>
      <c r="B972" s="166">
        <v>46025.0</v>
      </c>
      <c r="C972" s="100" t="s">
        <v>49</v>
      </c>
      <c r="D972" s="196">
        <v>-27.0</v>
      </c>
      <c r="E972" s="168"/>
      <c r="F972" s="169">
        <v>-1.0</v>
      </c>
      <c r="G972" s="169">
        <v>0.0</v>
      </c>
      <c r="H972" s="104" t="str">
        <f t="shared" si="1"/>
        <v>#DIV/0!</v>
      </c>
      <c r="I972" s="105">
        <f t="shared" si="2"/>
        <v>27</v>
      </c>
      <c r="J972" s="106" t="str">
        <f t="shared" si="3"/>
        <v>#DIV/0!</v>
      </c>
      <c r="K972" s="196">
        <v>10.46</v>
      </c>
      <c r="L972" s="169">
        <v>14576.0</v>
      </c>
      <c r="M972" s="169">
        <v>0.0</v>
      </c>
      <c r="N972" s="197">
        <v>0.0</v>
      </c>
      <c r="O972" s="109" t="str">
        <f t="shared" si="274"/>
        <v>#DIV/0!</v>
      </c>
      <c r="P972" s="110">
        <f t="shared" si="5"/>
        <v>0</v>
      </c>
      <c r="Q972" s="109">
        <f t="shared" si="6"/>
        <v>-0.3874074074</v>
      </c>
      <c r="R972" s="111">
        <f t="shared" si="7"/>
        <v>0</v>
      </c>
      <c r="S972" s="112">
        <f t="shared" si="273"/>
        <v>-27</v>
      </c>
      <c r="T972" s="113" t="str">
        <f t="shared" si="9"/>
        <v>#DIV/0!</v>
      </c>
      <c r="U972" s="172"/>
      <c r="V972" s="172"/>
      <c r="W972" s="172"/>
      <c r="X972" s="172"/>
      <c r="Y972" s="173"/>
      <c r="Z972" s="165"/>
      <c r="AA972" s="165"/>
    </row>
    <row r="973">
      <c r="A973" s="165" t="str">
        <f t="shared" si="275"/>
        <v/>
      </c>
      <c r="B973" s="203" t="s">
        <v>62</v>
      </c>
      <c r="C973" s="201"/>
      <c r="D973" s="151">
        <f>SUM(D956:D972)</f>
        <v>45850.88</v>
      </c>
      <c r="E973" s="155"/>
      <c r="F973" s="202">
        <f t="shared" ref="F973:G973" si="276">SUM(F956:F972)</f>
        <v>342</v>
      </c>
      <c r="G973" s="202">
        <f t="shared" si="276"/>
        <v>362</v>
      </c>
      <c r="H973" s="154">
        <f t="shared" si="1"/>
        <v>0.9447513812</v>
      </c>
      <c r="I973" s="155">
        <f t="shared" si="2"/>
        <v>134.0669006</v>
      </c>
      <c r="J973" s="156">
        <f t="shared" si="3"/>
        <v>141.9070702</v>
      </c>
      <c r="K973" s="151">
        <f t="shared" ref="K973:N973" si="277">SUM(K956:K972)</f>
        <v>5806.71</v>
      </c>
      <c r="L973" s="202">
        <f t="shared" si="277"/>
        <v>1375750</v>
      </c>
      <c r="M973" s="202">
        <f t="shared" si="277"/>
        <v>122</v>
      </c>
      <c r="N973" s="157">
        <f t="shared" si="277"/>
        <v>14363.4</v>
      </c>
      <c r="O973" s="158">
        <f t="shared" si="274"/>
        <v>0.4042712728</v>
      </c>
      <c r="P973" s="159">
        <f t="shared" si="5"/>
        <v>2.473586592</v>
      </c>
      <c r="Q973" s="158">
        <f t="shared" si="6"/>
        <v>0.1266433709</v>
      </c>
      <c r="R973" s="160">
        <f t="shared" si="7"/>
        <v>0.3132633441</v>
      </c>
      <c r="S973" s="161">
        <f>SUM(S956:S972)</f>
        <v>31487.48</v>
      </c>
      <c r="T973" s="162">
        <f t="shared" si="9"/>
        <v>47.59598361</v>
      </c>
      <c r="U973" s="163">
        <f>IFERROR((D973-D955)/D973,)</f>
        <v>0.1914155192</v>
      </c>
      <c r="V973" s="163">
        <f>IFERROR((F973-F955)/F973,)</f>
        <v>0.283625731</v>
      </c>
      <c r="W973" s="163" t="str">
        <f>IFERROR((D973-monthly_reporting_2021!E746)/D973, )</f>
        <v/>
      </c>
      <c r="X973" s="163" t="str">
        <f>IFERROR((F973-monthly_reporting_2021!F746)/F973, )</f>
        <v/>
      </c>
      <c r="Y973" s="165"/>
      <c r="Z973" s="165"/>
      <c r="AA973" s="165"/>
    </row>
    <row r="974">
      <c r="A974" s="78"/>
      <c r="B974" s="78"/>
      <c r="C974" s="78"/>
      <c r="D974" s="78"/>
      <c r="E974" s="204"/>
      <c r="F974" s="78"/>
      <c r="G974" s="78"/>
      <c r="H974" s="78"/>
      <c r="I974" s="78"/>
      <c r="J974" s="78"/>
      <c r="K974" s="78"/>
      <c r="L974" s="78"/>
      <c r="M974" s="78"/>
      <c r="N974" s="78"/>
      <c r="O974" s="78"/>
      <c r="P974" s="78"/>
      <c r="Q974" s="78"/>
      <c r="R974" s="78"/>
      <c r="S974" s="78"/>
      <c r="T974" s="78"/>
      <c r="U974" s="78"/>
      <c r="V974" s="78"/>
      <c r="W974" s="78"/>
      <c r="X974" s="78"/>
      <c r="Y974" s="78"/>
      <c r="Z974" s="78"/>
      <c r="AA974" s="78"/>
    </row>
    <row r="975">
      <c r="A975" s="78"/>
      <c r="B975" s="78"/>
      <c r="C975" s="78"/>
      <c r="D975" s="78"/>
      <c r="E975" s="204"/>
      <c r="F975" s="78"/>
      <c r="G975" s="78"/>
      <c r="H975" s="78"/>
      <c r="I975" s="78"/>
      <c r="J975" s="78"/>
      <c r="K975" s="78"/>
      <c r="L975" s="78"/>
      <c r="M975" s="78"/>
      <c r="N975" s="78"/>
      <c r="O975" s="78"/>
      <c r="P975" s="78"/>
      <c r="Q975" s="78"/>
      <c r="R975" s="78"/>
      <c r="S975" s="78"/>
      <c r="T975" s="78"/>
      <c r="U975" s="78"/>
      <c r="V975" s="78"/>
      <c r="W975" s="78"/>
      <c r="X975" s="78"/>
      <c r="Y975" s="78"/>
      <c r="Z975" s="78"/>
      <c r="AA975" s="78"/>
    </row>
    <row r="976" hidden="1" outlineLevel="1">
      <c r="A976" s="205"/>
      <c r="B976" s="206"/>
      <c r="C976" s="207" t="s">
        <v>63</v>
      </c>
      <c r="D976" s="208"/>
      <c r="E976" s="209"/>
      <c r="F976" s="210"/>
      <c r="G976" s="210"/>
      <c r="H976" s="211" t="str">
        <f t="shared" ref="H976:H981" si="278">F976/G976</f>
        <v>#DIV/0!</v>
      </c>
      <c r="I976" s="212" t="str">
        <f t="shared" ref="I976:I981" si="279">D976/F976</f>
        <v>#DIV/0!</v>
      </c>
      <c r="J976" s="212" t="str">
        <f t="shared" ref="J976:J981" si="280">I976/H976</f>
        <v>#DIV/0!</v>
      </c>
      <c r="K976" s="213"/>
      <c r="L976" s="214"/>
      <c r="M976" s="214"/>
      <c r="N976" s="215"/>
      <c r="O976" s="216" t="str">
        <f t="shared" ref="O976:O982" si="281">K976/N976</f>
        <v>#DIV/0!</v>
      </c>
      <c r="P976" s="217" t="str">
        <f t="shared" ref="P976:P982" si="282">N976/K976</f>
        <v>#DIV/0!</v>
      </c>
      <c r="Q976" s="216" t="str">
        <f t="shared" ref="Q976:Q982" si="283">K976/D976</f>
        <v>#DIV/0!</v>
      </c>
      <c r="R976" s="218" t="str">
        <f t="shared" ref="R976:R982" si="284">N976/D976</f>
        <v>#DIV/0!</v>
      </c>
      <c r="S976" s="219"/>
      <c r="T976" s="220" t="str">
        <f t="shared" ref="T976:T982" si="285">K976/M976</f>
        <v>#DIV/0!</v>
      </c>
      <c r="U976" s="221"/>
      <c r="V976" s="221"/>
      <c r="W976" s="221"/>
      <c r="X976" s="221"/>
      <c r="Y976" s="14"/>
      <c r="Z976" s="78"/>
      <c r="AA976" s="78"/>
    </row>
    <row r="977" hidden="1" outlineLevel="1">
      <c r="A977" s="222"/>
      <c r="B977" s="206"/>
      <c r="C977" s="207" t="s">
        <v>35</v>
      </c>
      <c r="D977" s="223"/>
      <c r="E977" s="209"/>
      <c r="F977" s="210"/>
      <c r="G977" s="210"/>
      <c r="H977" s="211" t="str">
        <f t="shared" si="278"/>
        <v>#DIV/0!</v>
      </c>
      <c r="I977" s="212" t="str">
        <f t="shared" si="279"/>
        <v>#DIV/0!</v>
      </c>
      <c r="J977" s="212" t="str">
        <f t="shared" si="280"/>
        <v>#DIV/0!</v>
      </c>
      <c r="K977" s="213"/>
      <c r="L977" s="214"/>
      <c r="M977" s="214"/>
      <c r="N977" s="215"/>
      <c r="O977" s="216" t="str">
        <f t="shared" si="281"/>
        <v>#DIV/0!</v>
      </c>
      <c r="P977" s="217" t="str">
        <f t="shared" si="282"/>
        <v>#DIV/0!</v>
      </c>
      <c r="Q977" s="216" t="str">
        <f t="shared" si="283"/>
        <v>#DIV/0!</v>
      </c>
      <c r="R977" s="218" t="str">
        <f t="shared" si="284"/>
        <v>#DIV/0!</v>
      </c>
      <c r="S977" s="219"/>
      <c r="T977" s="220" t="str">
        <f t="shared" si="285"/>
        <v>#DIV/0!</v>
      </c>
      <c r="U977" s="221"/>
      <c r="V977" s="221"/>
      <c r="W977" s="221"/>
      <c r="X977" s="221"/>
      <c r="Y977" s="14"/>
      <c r="Z977" s="78"/>
      <c r="AA977" s="78"/>
    </row>
    <row r="978" hidden="1" outlineLevel="1">
      <c r="A978" s="222"/>
      <c r="B978" s="206"/>
      <c r="C978" s="207" t="s">
        <v>64</v>
      </c>
      <c r="D978" s="224"/>
      <c r="E978" s="209"/>
      <c r="F978" s="210"/>
      <c r="G978" s="210"/>
      <c r="H978" s="211" t="str">
        <f t="shared" si="278"/>
        <v>#DIV/0!</v>
      </c>
      <c r="I978" s="212" t="str">
        <f t="shared" si="279"/>
        <v>#DIV/0!</v>
      </c>
      <c r="J978" s="212" t="str">
        <f t="shared" si="280"/>
        <v>#DIV/0!</v>
      </c>
      <c r="K978" s="213"/>
      <c r="L978" s="214"/>
      <c r="M978" s="214"/>
      <c r="N978" s="225"/>
      <c r="O978" s="216" t="str">
        <f t="shared" si="281"/>
        <v>#DIV/0!</v>
      </c>
      <c r="P978" s="217" t="str">
        <f t="shared" si="282"/>
        <v>#DIV/0!</v>
      </c>
      <c r="Q978" s="216" t="str">
        <f t="shared" si="283"/>
        <v>#DIV/0!</v>
      </c>
      <c r="R978" s="218" t="str">
        <f t="shared" si="284"/>
        <v>#DIV/0!</v>
      </c>
      <c r="S978" s="219"/>
      <c r="T978" s="220" t="str">
        <f t="shared" si="285"/>
        <v>#DIV/0!</v>
      </c>
      <c r="U978" s="221"/>
      <c r="V978" s="221"/>
      <c r="W978" s="221"/>
      <c r="X978" s="221"/>
      <c r="Y978" s="14"/>
      <c r="Z978" s="78"/>
      <c r="AA978" s="78"/>
    </row>
    <row r="979" hidden="1" outlineLevel="1">
      <c r="A979" s="222"/>
      <c r="B979" s="206"/>
      <c r="C979" s="207" t="s">
        <v>36</v>
      </c>
      <c r="D979" s="226"/>
      <c r="E979" s="209"/>
      <c r="F979" s="210"/>
      <c r="G979" s="210"/>
      <c r="H979" s="211" t="str">
        <f t="shared" si="278"/>
        <v>#DIV/0!</v>
      </c>
      <c r="I979" s="212" t="str">
        <f t="shared" si="279"/>
        <v>#DIV/0!</v>
      </c>
      <c r="J979" s="212" t="str">
        <f t="shared" si="280"/>
        <v>#DIV/0!</v>
      </c>
      <c r="K979" s="213"/>
      <c r="L979" s="214"/>
      <c r="M979" s="214"/>
      <c r="N979" s="227"/>
      <c r="O979" s="216" t="str">
        <f t="shared" si="281"/>
        <v>#DIV/0!</v>
      </c>
      <c r="P979" s="217" t="str">
        <f t="shared" si="282"/>
        <v>#DIV/0!</v>
      </c>
      <c r="Q979" s="216" t="str">
        <f t="shared" si="283"/>
        <v>#DIV/0!</v>
      </c>
      <c r="R979" s="218" t="str">
        <f t="shared" si="284"/>
        <v>#DIV/0!</v>
      </c>
      <c r="S979" s="219"/>
      <c r="T979" s="220" t="str">
        <f t="shared" si="285"/>
        <v>#DIV/0!</v>
      </c>
      <c r="U979" s="221"/>
      <c r="V979" s="221"/>
      <c r="W979" s="221"/>
      <c r="X979" s="221"/>
      <c r="Y979" s="14"/>
      <c r="Z979" s="78"/>
      <c r="AA979" s="78"/>
    </row>
    <row r="980" hidden="1" outlineLevel="1">
      <c r="A980" s="222"/>
      <c r="B980" s="206"/>
      <c r="C980" s="207" t="s">
        <v>41</v>
      </c>
      <c r="D980" s="226"/>
      <c r="E980" s="209"/>
      <c r="F980" s="210"/>
      <c r="G980" s="210"/>
      <c r="H980" s="211" t="str">
        <f t="shared" si="278"/>
        <v>#DIV/0!</v>
      </c>
      <c r="I980" s="212" t="str">
        <f t="shared" si="279"/>
        <v>#DIV/0!</v>
      </c>
      <c r="J980" s="212" t="str">
        <f t="shared" si="280"/>
        <v>#DIV/0!</v>
      </c>
      <c r="K980" s="213"/>
      <c r="L980" s="214"/>
      <c r="M980" s="214"/>
      <c r="N980" s="227"/>
      <c r="O980" s="216" t="str">
        <f t="shared" si="281"/>
        <v>#DIV/0!</v>
      </c>
      <c r="P980" s="217" t="str">
        <f t="shared" si="282"/>
        <v>#DIV/0!</v>
      </c>
      <c r="Q980" s="216" t="str">
        <f t="shared" si="283"/>
        <v>#DIV/0!</v>
      </c>
      <c r="R980" s="218" t="str">
        <f t="shared" si="284"/>
        <v>#DIV/0!</v>
      </c>
      <c r="S980" s="219"/>
      <c r="T980" s="220" t="str">
        <f t="shared" si="285"/>
        <v>#DIV/0!</v>
      </c>
      <c r="U980" s="221"/>
      <c r="V980" s="221"/>
      <c r="W980" s="221"/>
      <c r="X980" s="221"/>
      <c r="Y980" s="14"/>
      <c r="Z980" s="78"/>
      <c r="AA980" s="78"/>
    </row>
    <row r="981" hidden="1" outlineLevel="1">
      <c r="A981" s="222"/>
      <c r="B981" s="206"/>
      <c r="C981" s="207" t="s">
        <v>65</v>
      </c>
      <c r="D981" s="228"/>
      <c r="E981" s="209"/>
      <c r="F981" s="210"/>
      <c r="G981" s="210"/>
      <c r="H981" s="211" t="str">
        <f t="shared" si="278"/>
        <v>#DIV/0!</v>
      </c>
      <c r="I981" s="212" t="str">
        <f t="shared" si="279"/>
        <v>#DIV/0!</v>
      </c>
      <c r="J981" s="212" t="str">
        <f t="shared" si="280"/>
        <v>#DIV/0!</v>
      </c>
      <c r="K981" s="213"/>
      <c r="L981" s="214"/>
      <c r="M981" s="214"/>
      <c r="N981" s="229"/>
      <c r="O981" s="216" t="str">
        <f t="shared" si="281"/>
        <v>#DIV/0!</v>
      </c>
      <c r="P981" s="217" t="str">
        <f t="shared" si="282"/>
        <v>#DIV/0!</v>
      </c>
      <c r="Q981" s="216" t="str">
        <f t="shared" si="283"/>
        <v>#DIV/0!</v>
      </c>
      <c r="R981" s="218" t="str">
        <f t="shared" si="284"/>
        <v>#DIV/0!</v>
      </c>
      <c r="S981" s="219"/>
      <c r="T981" s="220" t="str">
        <f t="shared" si="285"/>
        <v>#DIV/0!</v>
      </c>
      <c r="U981" s="221"/>
      <c r="V981" s="221"/>
      <c r="W981" s="221"/>
      <c r="X981" s="221"/>
      <c r="Y981" s="14"/>
      <c r="Z981" s="78"/>
      <c r="AA981" s="78"/>
    </row>
    <row r="982" hidden="1" outlineLevel="1">
      <c r="A982" s="205" t="str">
        <f>iferror(if(B982&gt;0,month(B982)&amp;"-"&amp;year(B982),B982),)</f>
        <v/>
      </c>
      <c r="B982" s="80"/>
      <c r="C982" s="81"/>
      <c r="D982" s="82">
        <f>SUM(D976:D981)</f>
        <v>0</v>
      </c>
      <c r="E982" s="230"/>
      <c r="F982" s="82">
        <f t="shared" ref="F982:N982" si="286">SUM(F976:F981)</f>
        <v>0</v>
      </c>
      <c r="G982" s="82">
        <f t="shared" si="286"/>
        <v>0</v>
      </c>
      <c r="H982" s="82" t="str">
        <f t="shared" si="286"/>
        <v>#DIV/0!</v>
      </c>
      <c r="I982" s="82" t="str">
        <f t="shared" si="286"/>
        <v>#DIV/0!</v>
      </c>
      <c r="J982" s="82" t="str">
        <f t="shared" si="286"/>
        <v>#DIV/0!</v>
      </c>
      <c r="K982" s="82">
        <f t="shared" si="286"/>
        <v>0</v>
      </c>
      <c r="L982" s="231">
        <f t="shared" si="286"/>
        <v>0</v>
      </c>
      <c r="M982" s="82">
        <f t="shared" si="286"/>
        <v>0</v>
      </c>
      <c r="N982" s="82">
        <f t="shared" si="286"/>
        <v>0</v>
      </c>
      <c r="O982" s="90" t="str">
        <f t="shared" si="281"/>
        <v>#DIV/0!</v>
      </c>
      <c r="P982" s="91" t="str">
        <f t="shared" si="282"/>
        <v>#DIV/0!</v>
      </c>
      <c r="Q982" s="90" t="str">
        <f t="shared" si="283"/>
        <v>#DIV/0!</v>
      </c>
      <c r="R982" s="232" t="str">
        <f t="shared" si="284"/>
        <v>#DIV/0!</v>
      </c>
      <c r="S982" s="233">
        <f>SUM(S976:S981)</f>
        <v>0</v>
      </c>
      <c r="T982" s="234" t="str">
        <f t="shared" si="285"/>
        <v>#DIV/0!</v>
      </c>
      <c r="U982" s="95" t="str">
        <f>IFERROR((D982-D245)/D982,)</f>
        <v/>
      </c>
      <c r="V982" s="95" t="str">
        <f>IFERROR((F982-F245)/F982,)</f>
        <v/>
      </c>
      <c r="W982" s="96" t="str">
        <f>IFERROR((D982-monthly_reporting_2021!E790)/D982, )</f>
        <v/>
      </c>
      <c r="X982" s="96" t="str">
        <f>IFERROR((F982-monthly_reporting_2021!F790)/F982, )</f>
        <v/>
      </c>
      <c r="Y982" s="97"/>
      <c r="Z982" s="78"/>
      <c r="AA982" s="78"/>
    </row>
    <row r="983" collapsed="1">
      <c r="A983" s="205"/>
      <c r="B983" s="235"/>
      <c r="C983" s="236"/>
      <c r="D983" s="237"/>
      <c r="E983" s="238"/>
      <c r="F983" s="235"/>
      <c r="G983" s="235"/>
      <c r="H983" s="239"/>
      <c r="I983" s="240"/>
      <c r="J983" s="240"/>
      <c r="K983" s="237"/>
      <c r="L983" s="241"/>
      <c r="M983" s="241"/>
      <c r="N983" s="237"/>
      <c r="O983" s="242"/>
      <c r="P983" s="243"/>
      <c r="Q983" s="244"/>
      <c r="R983" s="245"/>
      <c r="S983" s="246"/>
      <c r="T983" s="244"/>
      <c r="U983" s="247"/>
      <c r="V983" s="247"/>
      <c r="W983" s="244"/>
      <c r="X983" s="244"/>
      <c r="Y983" s="97"/>
      <c r="Z983" s="78"/>
      <c r="AA983" s="78"/>
    </row>
    <row r="984">
      <c r="A984" s="205"/>
      <c r="B984" s="235"/>
      <c r="C984" s="236"/>
      <c r="D984" s="237"/>
      <c r="E984" s="238"/>
      <c r="F984" s="235"/>
      <c r="G984" s="235"/>
      <c r="H984" s="239"/>
      <c r="I984" s="240"/>
      <c r="J984" s="240"/>
      <c r="K984" s="237"/>
      <c r="L984" s="241"/>
      <c r="M984" s="241"/>
      <c r="N984" s="237"/>
      <c r="O984" s="242"/>
      <c r="P984" s="243"/>
      <c r="Q984" s="244"/>
      <c r="R984" s="245"/>
      <c r="S984" s="246"/>
      <c r="T984" s="244"/>
      <c r="U984" s="247"/>
      <c r="V984" s="247"/>
      <c r="W984" s="244"/>
      <c r="X984" s="244"/>
      <c r="Y984" s="97"/>
      <c r="Z984" s="78"/>
      <c r="AA984" s="78"/>
    </row>
    <row r="985">
      <c r="A985" s="205"/>
      <c r="B985" s="235"/>
      <c r="C985" s="236"/>
      <c r="D985" s="237"/>
      <c r="E985" s="238"/>
      <c r="F985" s="235"/>
      <c r="G985" s="235"/>
      <c r="H985" s="239"/>
      <c r="I985" s="240"/>
      <c r="J985" s="240"/>
      <c r="K985" s="237"/>
      <c r="L985" s="241"/>
      <c r="M985" s="241"/>
      <c r="N985" s="237"/>
      <c r="O985" s="242"/>
      <c r="P985" s="243"/>
      <c r="Q985" s="244"/>
      <c r="R985" s="245"/>
      <c r="S985" s="246"/>
      <c r="T985" s="244"/>
      <c r="U985" s="247"/>
      <c r="V985" s="247"/>
      <c r="W985" s="244"/>
      <c r="X985" s="244"/>
      <c r="Y985" s="97"/>
      <c r="Z985" s="78"/>
      <c r="AA985" s="78"/>
    </row>
    <row r="986">
      <c r="A986" s="205"/>
      <c r="B986" s="235"/>
      <c r="C986" s="236"/>
      <c r="D986" s="237"/>
      <c r="E986" s="238"/>
      <c r="F986" s="235"/>
      <c r="G986" s="235"/>
      <c r="H986" s="239"/>
      <c r="I986" s="240"/>
      <c r="J986" s="240"/>
      <c r="K986" s="237"/>
      <c r="L986" s="241"/>
      <c r="M986" s="241"/>
      <c r="N986" s="237"/>
      <c r="O986" s="242"/>
      <c r="P986" s="243"/>
      <c r="Q986" s="244"/>
      <c r="R986" s="245"/>
      <c r="S986" s="246"/>
      <c r="T986" s="244"/>
      <c r="U986" s="247"/>
      <c r="V986" s="247"/>
      <c r="W986" s="244"/>
      <c r="X986" s="244"/>
      <c r="Y986" s="97"/>
      <c r="Z986" s="78"/>
      <c r="AA986" s="78"/>
    </row>
    <row r="987">
      <c r="A987" s="205"/>
      <c r="B987" s="235"/>
      <c r="C987" s="236"/>
      <c r="D987" s="237"/>
      <c r="E987" s="238"/>
      <c r="F987" s="235"/>
      <c r="G987" s="235"/>
      <c r="H987" s="239"/>
      <c r="I987" s="240"/>
      <c r="J987" s="78"/>
      <c r="K987" s="237"/>
      <c r="L987" s="241"/>
      <c r="M987" s="241"/>
      <c r="N987" s="237"/>
      <c r="O987" s="242"/>
      <c r="P987" s="243"/>
      <c r="Q987" s="244"/>
      <c r="R987" s="245"/>
      <c r="S987" s="246"/>
      <c r="T987" s="244"/>
      <c r="U987" s="247"/>
      <c r="V987" s="247"/>
      <c r="W987" s="244"/>
      <c r="X987" s="244"/>
      <c r="Y987" s="97"/>
      <c r="Z987" s="78"/>
      <c r="AA987" s="78"/>
    </row>
  </sheetData>
  <mergeCells count="19">
    <mergeCell ref="A1:B1"/>
    <mergeCell ref="A2:B2"/>
    <mergeCell ref="C2:X2"/>
    <mergeCell ref="G3:J3"/>
    <mergeCell ref="L3:O3"/>
    <mergeCell ref="G4:I4"/>
    <mergeCell ref="L4:N4"/>
    <mergeCell ref="G9:J9"/>
    <mergeCell ref="D10:J10"/>
    <mergeCell ref="M10:T10"/>
    <mergeCell ref="W10:X10"/>
    <mergeCell ref="Y10:Z10"/>
    <mergeCell ref="G5:J5"/>
    <mergeCell ref="L5:O5"/>
    <mergeCell ref="G7:J7"/>
    <mergeCell ref="L7:O7"/>
    <mergeCell ref="G8:I8"/>
    <mergeCell ref="L8:N8"/>
    <mergeCell ref="L9:O9"/>
  </mergeCells>
  <conditionalFormatting sqref="C5 G5:J5 L5:O5 C9">
    <cfRule type="cellIs" dxfId="0" priority="1" operator="greaterThanOrEqual">
      <formula>0</formula>
    </cfRule>
  </conditionalFormatting>
  <conditionalFormatting sqref="C5 G5:J5 L5:O5 C9">
    <cfRule type="cellIs" dxfId="1" priority="2" operator="lessThanOrEqual">
      <formula>0</formula>
    </cfRule>
  </conditionalFormatting>
  <conditionalFormatting sqref="G9:O9">
    <cfRule type="cellIs" dxfId="0" priority="3" operator="lessThanOrEqual">
      <formula>0</formula>
    </cfRule>
  </conditionalFormatting>
  <conditionalFormatting sqref="G9:O9">
    <cfRule type="cellIs" dxfId="1" priority="4" operator="greaterThanOrEqual">
      <formula>0</formula>
    </cfRule>
  </conditionalFormatting>
  <conditionalFormatting sqref="U12:Z987">
    <cfRule type="cellIs" dxfId="2" priority="5" operator="greaterThanOrEqual">
      <formula>0</formula>
    </cfRule>
  </conditionalFormatting>
  <conditionalFormatting sqref="U12:Z987">
    <cfRule type="cellIs" dxfId="3" priority="6" operator="lessThan">
      <formula>0</formula>
    </cfRule>
  </conditionalFormatting>
  <conditionalFormatting sqref="W12:X987">
    <cfRule type="cellIs" dxfId="0" priority="7" operator="greaterThanOrEqual">
      <formula>0</formula>
    </cfRule>
  </conditionalFormatting>
  <conditionalFormatting sqref="W12:X987">
    <cfRule type="cellIs" dxfId="4" priority="8" operator="lessThan">
      <formula>0</formula>
    </cfRule>
  </conditionalFormatting>
  <dataValidations>
    <dataValidation type="list" allowBlank="1" sqref="B12 B30 B48 B66 B84 B102 B120 B138 B156 B174 B192 B210 B228 B246 B264 B282 B300 B318 B336 B354 B372 B390 B408 B426 B444 B462 B480 B498 B516 B534 B552 B570 B588 B604 B620 B636 B652 B668 B684 B700 B716 B732 B748 B764 B780 B796 B812 B829 B847 B865 B883 B901 B919 B937 B955 B973 B982">
      <formula1>"Previous Week,Current Week"</formula1>
    </dataValidation>
  </dataValidations>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17.0"/>
  </cols>
  <sheetData>
    <row r="1" ht="93.75" customHeight="1">
      <c r="A1" s="1" t="s">
        <v>139</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248"/>
      <c r="B3" s="16"/>
      <c r="C3" s="17" t="s">
        <v>2</v>
      </c>
      <c r="D3" s="249"/>
      <c r="E3" s="250"/>
      <c r="F3" s="251" t="s">
        <v>3</v>
      </c>
      <c r="G3" s="11"/>
      <c r="H3" s="11"/>
      <c r="I3" s="9"/>
      <c r="J3" s="250"/>
      <c r="K3" s="21" t="s">
        <v>4</v>
      </c>
      <c r="L3" s="11"/>
      <c r="M3" s="11"/>
      <c r="N3" s="9"/>
      <c r="O3" s="22"/>
      <c r="P3" s="22"/>
      <c r="Q3" s="22"/>
      <c r="R3" s="22"/>
      <c r="S3" s="22"/>
      <c r="T3" s="23"/>
      <c r="U3" s="23"/>
      <c r="V3" s="22"/>
      <c r="W3" s="22"/>
      <c r="X3" s="22"/>
      <c r="Y3" s="22"/>
      <c r="Z3" s="22"/>
    </row>
    <row r="4" ht="21.0" customHeight="1">
      <c r="A4" s="252"/>
      <c r="B4" s="25"/>
      <c r="C4" s="26">
        <f>VLOOKUP("Current Week",$B$11:$X$847,match("SALES",$B$11:$X$11,0),FALSE)</f>
        <v>45850.88</v>
      </c>
      <c r="D4" s="253"/>
      <c r="E4" s="254"/>
      <c r="F4" s="255">
        <f>VLOOKUP("Current Week",$B$11:$X$847,match("Units Sold",$B$11:$X$11,0),FALSE)</f>
        <v>342</v>
      </c>
      <c r="G4" s="256"/>
      <c r="H4" s="2"/>
      <c r="I4" s="257"/>
      <c r="J4" s="254"/>
      <c r="K4" s="29">
        <f>VLOOKUP("Current Week",$B$11:$X$847,match("Ordered Items",$B$11:$X$11,0),FALSE)</f>
        <v>362</v>
      </c>
      <c r="L4" s="11"/>
      <c r="M4" s="9"/>
      <c r="N4" s="30"/>
      <c r="O4" s="30"/>
      <c r="P4" s="30"/>
      <c r="Q4" s="30"/>
      <c r="R4" s="30"/>
      <c r="S4" s="30"/>
      <c r="T4" s="31"/>
      <c r="U4" s="31"/>
      <c r="V4" s="30"/>
      <c r="W4" s="30"/>
      <c r="X4" s="30"/>
      <c r="Y4" s="30"/>
      <c r="Z4" s="30"/>
    </row>
    <row r="5">
      <c r="A5" s="258"/>
      <c r="B5" s="33"/>
      <c r="C5" s="259">
        <f>(C4-(VLOOKUP("Previous Week",$B$11:$X$852,match("SALES",$B$11:$X$11,0),FALSE)))/C4</f>
        <v>0.1914155192</v>
      </c>
      <c r="D5" s="260"/>
      <c r="E5" s="261"/>
      <c r="F5" s="262">
        <f>(F4-(VLOOKUP("Previous Week",$B$11:$X$852,match("Units Sold",$B$11:$X$11,0),FALSE)))/F4</f>
        <v>0.283625731</v>
      </c>
      <c r="G5" s="256"/>
      <c r="H5" s="256"/>
      <c r="I5" s="2"/>
      <c r="J5" s="261"/>
      <c r="K5" s="263">
        <f>(K4-(VLOOKUP("Previous Week",$B$11:$X$852,match("Ordered Items",$B$11:$X$11,0),FALSE)))/K4</f>
        <v>0.2651933702</v>
      </c>
      <c r="L5" s="11"/>
      <c r="M5" s="11"/>
      <c r="N5" s="9"/>
      <c r="O5" s="38"/>
      <c r="P5" s="38"/>
      <c r="Q5" s="38"/>
      <c r="R5" s="38"/>
      <c r="S5" s="38"/>
      <c r="T5" s="38"/>
      <c r="U5" s="38"/>
      <c r="V5" s="38"/>
      <c r="W5" s="38"/>
      <c r="X5" s="38"/>
      <c r="Y5" s="38"/>
      <c r="Z5" s="38"/>
    </row>
    <row r="6" ht="6.0" customHeight="1">
      <c r="A6" s="252"/>
      <c r="B6" s="25"/>
      <c r="C6" s="39"/>
      <c r="D6" s="253"/>
      <c r="E6" s="254"/>
      <c r="F6" s="257"/>
      <c r="G6" s="257"/>
      <c r="H6" s="257"/>
      <c r="I6" s="257"/>
      <c r="J6" s="254"/>
      <c r="K6" s="30"/>
      <c r="L6" s="30"/>
      <c r="M6" s="30"/>
      <c r="N6" s="30"/>
      <c r="O6" s="30"/>
      <c r="P6" s="30"/>
      <c r="Q6" s="30"/>
      <c r="R6" s="30"/>
      <c r="S6" s="30"/>
      <c r="T6" s="31"/>
      <c r="U6" s="31"/>
      <c r="V6" s="30"/>
      <c r="W6" s="30"/>
      <c r="X6" s="30"/>
      <c r="Y6" s="30"/>
      <c r="Z6" s="30"/>
    </row>
    <row r="7" ht="22.5" customHeight="1">
      <c r="A7" s="264"/>
      <c r="B7" s="16"/>
      <c r="C7" s="17" t="s">
        <v>5</v>
      </c>
      <c r="D7" s="265"/>
      <c r="E7" s="266"/>
      <c r="F7" s="267" t="s">
        <v>6</v>
      </c>
      <c r="G7" s="256"/>
      <c r="H7" s="256"/>
      <c r="I7" s="2"/>
      <c r="J7" s="266"/>
      <c r="K7" s="40" t="s">
        <v>7</v>
      </c>
      <c r="L7" s="11"/>
      <c r="M7" s="11"/>
      <c r="N7" s="9"/>
      <c r="O7" s="22"/>
      <c r="P7" s="22"/>
      <c r="Q7" s="22"/>
      <c r="R7" s="22"/>
      <c r="S7" s="22"/>
      <c r="T7" s="23"/>
      <c r="U7" s="23"/>
      <c r="V7" s="22"/>
      <c r="W7" s="22"/>
      <c r="X7" s="22"/>
      <c r="Y7" s="22"/>
      <c r="Z7" s="22"/>
    </row>
    <row r="8" ht="21.0" customHeight="1">
      <c r="A8" s="252"/>
      <c r="B8" s="25"/>
      <c r="C8" s="26">
        <f>VLOOKUP("Current Week",$B$11:$X$847,match("AD SALES",$B$11:$X$11,0),FALSE)</f>
        <v>32577.4</v>
      </c>
      <c r="D8" s="253"/>
      <c r="E8" s="254"/>
      <c r="F8" s="268">
        <f>VLOOKUP("Current Week",$B$11:$X$847,match("SP AD SPEND",$B$11:$X$11,0),FALSE)</f>
        <v>10686.6</v>
      </c>
      <c r="G8" s="256"/>
      <c r="H8" s="2"/>
      <c r="I8" s="257"/>
      <c r="J8" s="254"/>
      <c r="K8" s="42">
        <f>F8/C8</f>
        <v>0.3280372283</v>
      </c>
      <c r="L8" s="11"/>
      <c r="M8" s="9"/>
      <c r="N8" s="30"/>
      <c r="O8" s="30"/>
      <c r="P8" s="30"/>
      <c r="Q8" s="30"/>
      <c r="R8" s="30"/>
      <c r="S8" s="30"/>
      <c r="T8" s="31"/>
      <c r="U8" s="31"/>
      <c r="V8" s="30"/>
      <c r="W8" s="30"/>
      <c r="X8" s="30"/>
      <c r="Y8" s="30"/>
      <c r="Z8" s="30"/>
    </row>
    <row r="9" ht="19.5" customHeight="1">
      <c r="A9" s="269"/>
      <c r="B9" s="44"/>
      <c r="C9" s="270">
        <f>(C8-(VLOOKUP("Previous Week",$B$11:$X$852,match("AD SALES",$B$11:$X$11,0),FALSE)))/C8</f>
        <v>-0.05841411531</v>
      </c>
      <c r="D9" s="271"/>
      <c r="E9" s="272"/>
      <c r="F9" s="273">
        <f>(F8-(VLOOKUP("Previous Week",$B$11:$X$852,match("SP AD SPEND",$B$11:$X$11,0),FALSE)))/F8</f>
        <v>-0.09943667771</v>
      </c>
      <c r="I9" s="47"/>
      <c r="J9" s="274"/>
      <c r="K9" s="275">
        <f>(K8-(VLOOKUP("Previous Week",$B$11:$X$852,match("ACOS",$B$11:$X$11,0),FALSE)))/K8</f>
        <v>-0.03875851787</v>
      </c>
      <c r="N9" s="47"/>
      <c r="O9" s="49"/>
      <c r="P9" s="49"/>
      <c r="Q9" s="49"/>
      <c r="R9" s="49"/>
      <c r="S9" s="49"/>
      <c r="T9" s="50"/>
      <c r="U9" s="50"/>
      <c r="V9" s="49"/>
      <c r="W9" s="49"/>
      <c r="X9" s="49"/>
      <c r="Y9" s="49"/>
      <c r="Z9" s="51"/>
    </row>
    <row r="10" ht="15.0" customHeight="1">
      <c r="A10" s="276"/>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c r="Y11" s="78"/>
      <c r="Z11" s="78"/>
    </row>
    <row r="12">
      <c r="A12" s="79"/>
      <c r="B12" s="80"/>
      <c r="C12" s="81"/>
      <c r="D12" s="82"/>
      <c r="E12" s="84"/>
      <c r="F12" s="84"/>
      <c r="G12" s="85"/>
      <c r="H12" s="86"/>
      <c r="I12" s="87"/>
      <c r="J12" s="82"/>
      <c r="K12" s="88"/>
      <c r="L12" s="88"/>
      <c r="M12" s="89"/>
      <c r="N12" s="90"/>
      <c r="O12" s="91"/>
      <c r="P12" s="90"/>
      <c r="Q12" s="92"/>
      <c r="R12" s="93"/>
      <c r="S12" s="94"/>
      <c r="T12" s="95"/>
      <c r="U12" s="95"/>
      <c r="V12" s="96"/>
      <c r="W12" s="96"/>
      <c r="X12" s="97"/>
      <c r="Y12" s="78"/>
      <c r="Z12" s="78"/>
    </row>
    <row r="13" hidden="1" outlineLevel="1">
      <c r="A13" s="379"/>
      <c r="B13" s="99">
        <v>45711.0</v>
      </c>
      <c r="C13" s="294" t="s">
        <v>32</v>
      </c>
      <c r="D13" s="101">
        <v>1138.6</v>
      </c>
      <c r="E13" s="103">
        <v>9.0</v>
      </c>
      <c r="F13" s="103">
        <v>10.0</v>
      </c>
      <c r="G13" s="104">
        <f t="shared" ref="G13:G838" si="1">E13/F13</f>
        <v>0.9</v>
      </c>
      <c r="H13" s="105">
        <f t="shared" ref="H13:H838" si="2">D13/E13</f>
        <v>126.5111111</v>
      </c>
      <c r="I13" s="106">
        <f t="shared" ref="I13:I838" si="3">H13/G13</f>
        <v>140.5679012</v>
      </c>
      <c r="J13" s="107">
        <v>652.84</v>
      </c>
      <c r="K13" s="103">
        <v>91286.0</v>
      </c>
      <c r="L13" s="103">
        <v>5.0</v>
      </c>
      <c r="M13" s="108">
        <v>289.8</v>
      </c>
      <c r="N13" s="109">
        <f t="shared" ref="N13:N14" si="4">J13/M13</f>
        <v>2.252726018</v>
      </c>
      <c r="O13" s="110">
        <f t="shared" ref="O13:O838" si="5">M13/J13</f>
        <v>0.4439066234</v>
      </c>
      <c r="P13" s="109">
        <f t="shared" ref="P13:P838" si="6">J13/D13</f>
        <v>0.5733708063</v>
      </c>
      <c r="Q13" s="111">
        <f t="shared" ref="Q13:Q838" si="7">M13/D13</f>
        <v>0.2545230985</v>
      </c>
      <c r="R13" s="112">
        <f t="shared" ref="R13:R30" si="8">D13-M13</f>
        <v>848.8</v>
      </c>
      <c r="S13" s="113">
        <f t="shared" ref="S13:S838" si="9">J13/L13</f>
        <v>130.568</v>
      </c>
      <c r="T13" s="172"/>
      <c r="U13" s="172"/>
      <c r="V13" s="172"/>
      <c r="W13" s="172"/>
      <c r="X13" s="173"/>
      <c r="Y13" s="165"/>
      <c r="Z13" s="165"/>
    </row>
    <row r="14" hidden="1" outlineLevel="1">
      <c r="A14" s="379"/>
      <c r="B14" s="174"/>
      <c r="C14" s="294" t="s">
        <v>33</v>
      </c>
      <c r="D14" s="117">
        <v>7251.12</v>
      </c>
      <c r="E14" s="103">
        <v>45.0</v>
      </c>
      <c r="F14" s="103">
        <v>47.0</v>
      </c>
      <c r="G14" s="104">
        <f t="shared" si="1"/>
        <v>0.9574468085</v>
      </c>
      <c r="H14" s="105">
        <f t="shared" si="2"/>
        <v>161.136</v>
      </c>
      <c r="I14" s="106">
        <f t="shared" si="3"/>
        <v>168.2976</v>
      </c>
      <c r="J14" s="117">
        <v>325.06</v>
      </c>
      <c r="K14" s="103">
        <v>109626.0</v>
      </c>
      <c r="L14" s="103">
        <v>10.0</v>
      </c>
      <c r="M14" s="118">
        <v>1276.85</v>
      </c>
      <c r="N14" s="109">
        <f t="shared" si="4"/>
        <v>0.2545796296</v>
      </c>
      <c r="O14" s="110">
        <f t="shared" si="5"/>
        <v>3.928044053</v>
      </c>
      <c r="P14" s="109">
        <f t="shared" si="6"/>
        <v>0.04482893677</v>
      </c>
      <c r="Q14" s="111">
        <f t="shared" si="7"/>
        <v>0.1760900385</v>
      </c>
      <c r="R14" s="119">
        <f t="shared" si="8"/>
        <v>5974.27</v>
      </c>
      <c r="S14" s="113">
        <f t="shared" si="9"/>
        <v>32.506</v>
      </c>
      <c r="T14" s="172"/>
      <c r="U14" s="172"/>
      <c r="V14" s="172"/>
      <c r="W14" s="172"/>
      <c r="X14" s="173"/>
      <c r="Y14" s="165"/>
      <c r="Z14" s="165"/>
    </row>
    <row r="15" hidden="1" outlineLevel="1">
      <c r="A15" s="379"/>
      <c r="B15" s="174"/>
      <c r="C15" s="294" t="s">
        <v>34</v>
      </c>
      <c r="D15" s="120">
        <v>0.0</v>
      </c>
      <c r="E15" s="103">
        <v>0.0</v>
      </c>
      <c r="F15" s="103">
        <v>0.0</v>
      </c>
      <c r="G15" s="104" t="str">
        <f t="shared" si="1"/>
        <v>#DIV/0!</v>
      </c>
      <c r="H15" s="105" t="str">
        <f t="shared" si="2"/>
        <v>#DIV/0!</v>
      </c>
      <c r="I15" s="106" t="str">
        <f t="shared" si="3"/>
        <v>#DIV/0!</v>
      </c>
      <c r="J15" s="120">
        <v>17.22</v>
      </c>
      <c r="K15" s="103">
        <v>128.0</v>
      </c>
      <c r="L15" s="103">
        <v>0.0</v>
      </c>
      <c r="M15" s="121">
        <v>0.0</v>
      </c>
      <c r="N15" s="109" t="str">
        <f>(J15/M15)</f>
        <v>#DIV/0!</v>
      </c>
      <c r="O15" s="110">
        <f t="shared" si="5"/>
        <v>0</v>
      </c>
      <c r="P15" s="109" t="str">
        <f t="shared" si="6"/>
        <v>#DIV/0!</v>
      </c>
      <c r="Q15" s="111" t="str">
        <f t="shared" si="7"/>
        <v>#DIV/0!</v>
      </c>
      <c r="R15" s="122">
        <f t="shared" si="8"/>
        <v>0</v>
      </c>
      <c r="S15" s="113" t="str">
        <f t="shared" si="9"/>
        <v>#DIV/0!</v>
      </c>
      <c r="T15" s="172"/>
      <c r="U15" s="172"/>
      <c r="V15" s="172"/>
      <c r="W15" s="172"/>
      <c r="X15" s="173"/>
      <c r="Y15" s="165"/>
      <c r="Z15" s="165"/>
    </row>
    <row r="16" hidden="1" outlineLevel="1">
      <c r="A16" s="379"/>
      <c r="B16" s="174"/>
      <c r="C16" s="294" t="s">
        <v>35</v>
      </c>
      <c r="D16" s="120">
        <v>269.75</v>
      </c>
      <c r="E16" s="103">
        <v>5.0</v>
      </c>
      <c r="F16" s="103">
        <v>3.0</v>
      </c>
      <c r="G16" s="104">
        <f t="shared" si="1"/>
        <v>1.666666667</v>
      </c>
      <c r="H16" s="105">
        <f t="shared" si="2"/>
        <v>53.95</v>
      </c>
      <c r="I16" s="106">
        <f t="shared" si="3"/>
        <v>32.37</v>
      </c>
      <c r="J16" s="120">
        <v>163.92</v>
      </c>
      <c r="K16" s="103">
        <v>9083.0</v>
      </c>
      <c r="L16" s="103">
        <v>0.0</v>
      </c>
      <c r="M16" s="121">
        <v>0.0</v>
      </c>
      <c r="N16" s="109" t="str">
        <f t="shared" ref="N16:N33" si="10">J16/M16</f>
        <v>#DIV/0!</v>
      </c>
      <c r="O16" s="110">
        <f t="shared" si="5"/>
        <v>0</v>
      </c>
      <c r="P16" s="109">
        <f t="shared" si="6"/>
        <v>0.607673772</v>
      </c>
      <c r="Q16" s="111">
        <f t="shared" si="7"/>
        <v>0</v>
      </c>
      <c r="R16" s="122">
        <f t="shared" si="8"/>
        <v>269.75</v>
      </c>
      <c r="S16" s="113" t="str">
        <f t="shared" si="9"/>
        <v>#DIV/0!</v>
      </c>
      <c r="T16" s="172"/>
      <c r="U16" s="172"/>
      <c r="V16" s="172"/>
      <c r="W16" s="172"/>
      <c r="X16" s="173"/>
      <c r="Y16" s="165"/>
      <c r="Z16" s="165"/>
    </row>
    <row r="17" hidden="1" outlineLevel="1">
      <c r="A17" s="379"/>
      <c r="B17" s="174"/>
      <c r="C17" s="294" t="s">
        <v>65</v>
      </c>
      <c r="D17" s="300">
        <v>0.0</v>
      </c>
      <c r="E17" s="103">
        <v>0.0</v>
      </c>
      <c r="F17" s="103">
        <v>0.0</v>
      </c>
      <c r="G17" s="104" t="str">
        <f t="shared" si="1"/>
        <v>#DIV/0!</v>
      </c>
      <c r="H17" s="105" t="str">
        <f t="shared" si="2"/>
        <v>#DIV/0!</v>
      </c>
      <c r="I17" s="106" t="str">
        <f t="shared" si="3"/>
        <v>#DIV/0!</v>
      </c>
      <c r="J17" s="300">
        <v>0.0</v>
      </c>
      <c r="K17" s="103">
        <v>0.0</v>
      </c>
      <c r="L17" s="103">
        <v>0.0</v>
      </c>
      <c r="M17" s="300">
        <v>0.0</v>
      </c>
      <c r="N17" s="109" t="str">
        <f t="shared" si="10"/>
        <v>#DIV/0!</v>
      </c>
      <c r="O17" s="110" t="str">
        <f t="shared" si="5"/>
        <v>#DIV/0!</v>
      </c>
      <c r="P17" s="109" t="str">
        <f t="shared" si="6"/>
        <v>#DIV/0!</v>
      </c>
      <c r="Q17" s="111" t="str">
        <f t="shared" si="7"/>
        <v>#DIV/0!</v>
      </c>
      <c r="R17" s="122">
        <f t="shared" si="8"/>
        <v>0</v>
      </c>
      <c r="S17" s="113" t="str">
        <f t="shared" si="9"/>
        <v>#DIV/0!</v>
      </c>
      <c r="T17" s="172"/>
      <c r="U17" s="172"/>
      <c r="V17" s="172"/>
      <c r="W17" s="172"/>
      <c r="X17" s="173"/>
      <c r="Y17" s="165"/>
      <c r="Z17" s="165"/>
    </row>
    <row r="18" hidden="1" outlineLevel="1">
      <c r="A18" s="379"/>
      <c r="B18" s="174"/>
      <c r="C18" s="294" t="s">
        <v>85</v>
      </c>
      <c r="D18" s="302">
        <v>455.81</v>
      </c>
      <c r="E18" s="103">
        <v>7.0</v>
      </c>
      <c r="F18" s="103">
        <v>6.0</v>
      </c>
      <c r="G18" s="104">
        <f t="shared" si="1"/>
        <v>1.166666667</v>
      </c>
      <c r="H18" s="105">
        <f t="shared" si="2"/>
        <v>65.11571429</v>
      </c>
      <c r="I18" s="106">
        <f t="shared" si="3"/>
        <v>55.81346939</v>
      </c>
      <c r="J18" s="302">
        <v>49.89</v>
      </c>
      <c r="K18" s="103">
        <v>6245.0</v>
      </c>
      <c r="L18" s="103">
        <v>2.0</v>
      </c>
      <c r="M18" s="303">
        <v>124.94</v>
      </c>
      <c r="N18" s="109">
        <f t="shared" si="10"/>
        <v>0.3993116696</v>
      </c>
      <c r="O18" s="110">
        <f t="shared" si="5"/>
        <v>2.504309481</v>
      </c>
      <c r="P18" s="109">
        <f t="shared" si="6"/>
        <v>0.1094535004</v>
      </c>
      <c r="Q18" s="111">
        <f t="shared" si="7"/>
        <v>0.2741054387</v>
      </c>
      <c r="R18" s="304">
        <f t="shared" si="8"/>
        <v>330.87</v>
      </c>
      <c r="S18" s="113">
        <f t="shared" si="9"/>
        <v>24.945</v>
      </c>
      <c r="T18" s="172"/>
      <c r="U18" s="172"/>
      <c r="V18" s="172"/>
      <c r="W18" s="172"/>
      <c r="X18" s="173"/>
      <c r="Y18" s="165"/>
      <c r="Z18" s="165"/>
    </row>
    <row r="19" hidden="1" outlineLevel="1">
      <c r="A19" s="379"/>
      <c r="B19" s="174"/>
      <c r="C19" s="294" t="s">
        <v>36</v>
      </c>
      <c r="D19" s="120">
        <v>500.16</v>
      </c>
      <c r="E19" s="103">
        <v>8.0</v>
      </c>
      <c r="F19" s="103">
        <v>8.0</v>
      </c>
      <c r="G19" s="104">
        <f t="shared" si="1"/>
        <v>1</v>
      </c>
      <c r="H19" s="105">
        <f t="shared" si="2"/>
        <v>62.52</v>
      </c>
      <c r="I19" s="106">
        <f t="shared" si="3"/>
        <v>62.52</v>
      </c>
      <c r="J19" s="120">
        <v>67.81</v>
      </c>
      <c r="K19" s="103">
        <v>6402.0</v>
      </c>
      <c r="L19" s="103">
        <v>1.0</v>
      </c>
      <c r="M19" s="121">
        <v>59.95</v>
      </c>
      <c r="N19" s="109">
        <f t="shared" si="10"/>
        <v>1.131109258</v>
      </c>
      <c r="O19" s="110">
        <f t="shared" si="5"/>
        <v>0.8840878926</v>
      </c>
      <c r="P19" s="109">
        <f t="shared" si="6"/>
        <v>0.1355766155</v>
      </c>
      <c r="Q19" s="111">
        <f t="shared" si="7"/>
        <v>0.1198616443</v>
      </c>
      <c r="R19" s="122">
        <f t="shared" si="8"/>
        <v>440.21</v>
      </c>
      <c r="S19" s="113">
        <f t="shared" si="9"/>
        <v>67.81</v>
      </c>
      <c r="T19" s="172"/>
      <c r="U19" s="172"/>
      <c r="V19" s="172"/>
      <c r="W19" s="172"/>
      <c r="X19" s="173"/>
      <c r="Y19" s="165"/>
      <c r="Z19" s="165"/>
    </row>
    <row r="20" hidden="1" outlineLevel="1">
      <c r="A20" s="379"/>
      <c r="B20" s="99" t="s">
        <v>37</v>
      </c>
      <c r="C20" s="294" t="s">
        <v>38</v>
      </c>
      <c r="D20" s="123">
        <v>614.92</v>
      </c>
      <c r="E20" s="103">
        <v>13.0</v>
      </c>
      <c r="F20" s="103">
        <v>12.0</v>
      </c>
      <c r="G20" s="104">
        <f t="shared" si="1"/>
        <v>1.083333333</v>
      </c>
      <c r="H20" s="105">
        <f t="shared" si="2"/>
        <v>47.30153846</v>
      </c>
      <c r="I20" s="106">
        <f t="shared" si="3"/>
        <v>43.66295858</v>
      </c>
      <c r="J20" s="123">
        <v>123.69</v>
      </c>
      <c r="K20" s="103">
        <v>14424.0</v>
      </c>
      <c r="L20" s="103">
        <v>5.0</v>
      </c>
      <c r="M20" s="124">
        <v>107.8</v>
      </c>
      <c r="N20" s="109">
        <f t="shared" si="10"/>
        <v>1.147402597</v>
      </c>
      <c r="O20" s="110">
        <f t="shared" si="5"/>
        <v>0.8715336729</v>
      </c>
      <c r="P20" s="109">
        <f t="shared" si="6"/>
        <v>0.2011481168</v>
      </c>
      <c r="Q20" s="111">
        <f t="shared" si="7"/>
        <v>0.1753073571</v>
      </c>
      <c r="R20" s="125">
        <f t="shared" si="8"/>
        <v>507.12</v>
      </c>
      <c r="S20" s="113">
        <f t="shared" si="9"/>
        <v>24.738</v>
      </c>
      <c r="T20" s="172"/>
      <c r="U20" s="172"/>
      <c r="V20" s="172"/>
      <c r="W20" s="172"/>
      <c r="X20" s="173"/>
      <c r="Y20" s="165"/>
      <c r="Z20" s="165"/>
    </row>
    <row r="21" hidden="1" outlineLevel="1">
      <c r="A21" s="379"/>
      <c r="B21" s="174"/>
      <c r="C21" s="294" t="s">
        <v>39</v>
      </c>
      <c r="D21" s="126">
        <v>0.0</v>
      </c>
      <c r="E21" s="103">
        <v>0.0</v>
      </c>
      <c r="F21" s="103">
        <v>0.0</v>
      </c>
      <c r="G21" s="104" t="str">
        <f t="shared" si="1"/>
        <v>#DIV/0!</v>
      </c>
      <c r="H21" s="105" t="str">
        <f t="shared" si="2"/>
        <v>#DIV/0!</v>
      </c>
      <c r="I21" s="106" t="str">
        <f t="shared" si="3"/>
        <v>#DIV/0!</v>
      </c>
      <c r="J21" s="126">
        <v>61.54</v>
      </c>
      <c r="K21" s="103">
        <v>58340.0</v>
      </c>
      <c r="L21" s="103">
        <v>2.0</v>
      </c>
      <c r="M21" s="127">
        <v>199.9</v>
      </c>
      <c r="N21" s="109">
        <f t="shared" si="10"/>
        <v>0.307853927</v>
      </c>
      <c r="O21" s="110">
        <f t="shared" si="5"/>
        <v>3.248293793</v>
      </c>
      <c r="P21" s="109" t="str">
        <f t="shared" si="6"/>
        <v>#DIV/0!</v>
      </c>
      <c r="Q21" s="111" t="str">
        <f t="shared" si="7"/>
        <v>#DIV/0!</v>
      </c>
      <c r="R21" s="128">
        <f t="shared" si="8"/>
        <v>-199.9</v>
      </c>
      <c r="S21" s="113">
        <f t="shared" si="9"/>
        <v>30.77</v>
      </c>
      <c r="T21" s="172"/>
      <c r="U21" s="172"/>
      <c r="V21" s="172"/>
      <c r="W21" s="172"/>
      <c r="X21" s="173"/>
      <c r="Y21" s="165"/>
      <c r="Z21" s="165"/>
    </row>
    <row r="22" hidden="1" outlineLevel="1">
      <c r="A22" s="379"/>
      <c r="B22" s="174"/>
      <c r="C22" s="294" t="s">
        <v>40</v>
      </c>
      <c r="D22" s="129">
        <v>54.95</v>
      </c>
      <c r="E22" s="103">
        <v>1.0</v>
      </c>
      <c r="F22" s="103">
        <v>1.0</v>
      </c>
      <c r="G22" s="104">
        <f t="shared" si="1"/>
        <v>1</v>
      </c>
      <c r="H22" s="105">
        <f t="shared" si="2"/>
        <v>54.95</v>
      </c>
      <c r="I22" s="106">
        <f t="shared" si="3"/>
        <v>54.95</v>
      </c>
      <c r="J22" s="129">
        <v>0.0</v>
      </c>
      <c r="K22" s="103">
        <v>0.0</v>
      </c>
      <c r="L22" s="103">
        <v>0.0</v>
      </c>
      <c r="M22" s="130">
        <v>0.0</v>
      </c>
      <c r="N22" s="109" t="str">
        <f t="shared" si="10"/>
        <v>#DIV/0!</v>
      </c>
      <c r="O22" s="110" t="str">
        <f t="shared" si="5"/>
        <v>#DIV/0!</v>
      </c>
      <c r="P22" s="109">
        <f t="shared" si="6"/>
        <v>0</v>
      </c>
      <c r="Q22" s="111">
        <f t="shared" si="7"/>
        <v>0</v>
      </c>
      <c r="R22" s="131">
        <f t="shared" si="8"/>
        <v>54.95</v>
      </c>
      <c r="S22" s="113" t="str">
        <f t="shared" si="9"/>
        <v>#DIV/0!</v>
      </c>
      <c r="T22" s="172"/>
      <c r="U22" s="172"/>
      <c r="V22" s="172"/>
      <c r="W22" s="172"/>
      <c r="X22" s="173"/>
      <c r="Y22" s="165"/>
      <c r="Z22" s="165"/>
    </row>
    <row r="23" hidden="1" outlineLevel="1">
      <c r="A23" s="379"/>
      <c r="B23" s="174"/>
      <c r="C23" s="294" t="s">
        <v>41</v>
      </c>
      <c r="D23" s="132">
        <v>201.0</v>
      </c>
      <c r="E23" s="103">
        <v>3.0</v>
      </c>
      <c r="F23" s="103">
        <v>3.0</v>
      </c>
      <c r="G23" s="104">
        <f t="shared" si="1"/>
        <v>1</v>
      </c>
      <c r="H23" s="105">
        <f t="shared" si="2"/>
        <v>67</v>
      </c>
      <c r="I23" s="106">
        <f t="shared" si="3"/>
        <v>67</v>
      </c>
      <c r="J23" s="132">
        <v>52.07</v>
      </c>
      <c r="K23" s="103">
        <v>7101.0</v>
      </c>
      <c r="L23" s="103">
        <v>1.0</v>
      </c>
      <c r="M23" s="133">
        <v>67.0</v>
      </c>
      <c r="N23" s="109">
        <f t="shared" si="10"/>
        <v>0.7771641791</v>
      </c>
      <c r="O23" s="110">
        <f t="shared" si="5"/>
        <v>1.286729403</v>
      </c>
      <c r="P23" s="109">
        <f t="shared" si="6"/>
        <v>0.2590547264</v>
      </c>
      <c r="Q23" s="111">
        <f t="shared" si="7"/>
        <v>0.3333333333</v>
      </c>
      <c r="R23" s="134">
        <f t="shared" si="8"/>
        <v>134</v>
      </c>
      <c r="S23" s="113">
        <f t="shared" si="9"/>
        <v>52.07</v>
      </c>
      <c r="T23" s="172"/>
      <c r="U23" s="172"/>
      <c r="V23" s="172"/>
      <c r="W23" s="172"/>
      <c r="X23" s="173"/>
      <c r="Y23" s="165"/>
      <c r="Z23" s="165"/>
    </row>
    <row r="24" hidden="1" outlineLevel="1">
      <c r="A24" s="379"/>
      <c r="B24" s="174"/>
      <c r="C24" s="294" t="s">
        <v>42</v>
      </c>
      <c r="D24" s="120">
        <v>39.98</v>
      </c>
      <c r="E24" s="103">
        <v>2.0</v>
      </c>
      <c r="F24" s="103">
        <v>2.0</v>
      </c>
      <c r="G24" s="104">
        <f t="shared" si="1"/>
        <v>1</v>
      </c>
      <c r="H24" s="105">
        <f t="shared" si="2"/>
        <v>19.99</v>
      </c>
      <c r="I24" s="106">
        <f t="shared" si="3"/>
        <v>19.99</v>
      </c>
      <c r="J24" s="120">
        <v>7.73</v>
      </c>
      <c r="K24" s="103">
        <v>17629.0</v>
      </c>
      <c r="L24" s="103">
        <v>0.0</v>
      </c>
      <c r="M24" s="121">
        <v>0.0</v>
      </c>
      <c r="N24" s="109" t="str">
        <f t="shared" si="10"/>
        <v>#DIV/0!</v>
      </c>
      <c r="O24" s="110">
        <f t="shared" si="5"/>
        <v>0</v>
      </c>
      <c r="P24" s="109">
        <f t="shared" si="6"/>
        <v>0.1933466733</v>
      </c>
      <c r="Q24" s="111">
        <f t="shared" si="7"/>
        <v>0</v>
      </c>
      <c r="R24" s="122">
        <f t="shared" si="8"/>
        <v>39.98</v>
      </c>
      <c r="S24" s="113" t="str">
        <f t="shared" si="9"/>
        <v>#DIV/0!</v>
      </c>
      <c r="T24" s="172"/>
      <c r="U24" s="172"/>
      <c r="V24" s="172"/>
      <c r="W24" s="172"/>
      <c r="X24" s="173"/>
      <c r="Y24" s="165"/>
      <c r="Z24" s="165"/>
    </row>
    <row r="25" hidden="1" outlineLevel="1">
      <c r="A25" s="379"/>
      <c r="B25" s="174"/>
      <c r="C25" s="294" t="s">
        <v>43</v>
      </c>
      <c r="D25" s="135">
        <v>-195.0</v>
      </c>
      <c r="E25" s="103">
        <v>-1.0</v>
      </c>
      <c r="F25" s="103">
        <v>0.0</v>
      </c>
      <c r="G25" s="104" t="str">
        <f t="shared" si="1"/>
        <v>#DIV/0!</v>
      </c>
      <c r="H25" s="105">
        <f t="shared" si="2"/>
        <v>195</v>
      </c>
      <c r="I25" s="106" t="str">
        <f t="shared" si="3"/>
        <v>#DIV/0!</v>
      </c>
      <c r="J25" s="135">
        <v>27.44</v>
      </c>
      <c r="K25" s="103">
        <v>30342.0</v>
      </c>
      <c r="L25" s="103">
        <v>0.0</v>
      </c>
      <c r="M25" s="136">
        <v>0.0</v>
      </c>
      <c r="N25" s="109" t="str">
        <f t="shared" si="10"/>
        <v>#DIV/0!</v>
      </c>
      <c r="O25" s="110">
        <f t="shared" si="5"/>
        <v>0</v>
      </c>
      <c r="P25" s="109">
        <f t="shared" si="6"/>
        <v>-0.1407179487</v>
      </c>
      <c r="Q25" s="111">
        <f t="shared" si="7"/>
        <v>0</v>
      </c>
      <c r="R25" s="137">
        <f t="shared" si="8"/>
        <v>-195</v>
      </c>
      <c r="S25" s="113" t="str">
        <f t="shared" si="9"/>
        <v>#DIV/0!</v>
      </c>
      <c r="T25" s="172"/>
      <c r="U25" s="172"/>
      <c r="V25" s="172"/>
      <c r="W25" s="172"/>
      <c r="X25" s="173"/>
      <c r="Y25" s="165"/>
      <c r="Z25" s="165"/>
    </row>
    <row r="26" hidden="1" outlineLevel="1">
      <c r="A26" s="379"/>
      <c r="B26" s="174"/>
      <c r="C26" s="294" t="s">
        <v>44</v>
      </c>
      <c r="D26" s="138">
        <v>119.9</v>
      </c>
      <c r="E26" s="103">
        <v>2.0</v>
      </c>
      <c r="F26" s="103">
        <v>2.0</v>
      </c>
      <c r="G26" s="104">
        <f t="shared" si="1"/>
        <v>1</v>
      </c>
      <c r="H26" s="105">
        <f t="shared" si="2"/>
        <v>59.95</v>
      </c>
      <c r="I26" s="106">
        <f t="shared" si="3"/>
        <v>59.95</v>
      </c>
      <c r="J26" s="138">
        <v>46.2</v>
      </c>
      <c r="K26" s="103">
        <v>8233.0</v>
      </c>
      <c r="L26" s="103">
        <v>0.0</v>
      </c>
      <c r="M26" s="139">
        <v>0.0</v>
      </c>
      <c r="N26" s="109" t="str">
        <f t="shared" si="10"/>
        <v>#DIV/0!</v>
      </c>
      <c r="O26" s="110">
        <f t="shared" si="5"/>
        <v>0</v>
      </c>
      <c r="P26" s="109">
        <f t="shared" si="6"/>
        <v>0.3853211009</v>
      </c>
      <c r="Q26" s="111">
        <f t="shared" si="7"/>
        <v>0</v>
      </c>
      <c r="R26" s="140">
        <f t="shared" si="8"/>
        <v>119.9</v>
      </c>
      <c r="S26" s="113" t="str">
        <f t="shared" si="9"/>
        <v>#DIV/0!</v>
      </c>
      <c r="T26" s="172"/>
      <c r="U26" s="172"/>
      <c r="V26" s="172"/>
      <c r="W26" s="172"/>
      <c r="X26" s="173"/>
      <c r="Y26" s="165"/>
      <c r="Z26" s="165"/>
    </row>
    <row r="27" hidden="1" outlineLevel="1">
      <c r="A27" s="361"/>
      <c r="B27" s="174"/>
      <c r="C27" s="380" t="s">
        <v>45</v>
      </c>
      <c r="D27" s="101">
        <v>620.91</v>
      </c>
      <c r="E27" s="103">
        <v>11.0</v>
      </c>
      <c r="F27" s="103">
        <v>10.0</v>
      </c>
      <c r="G27" s="104">
        <f t="shared" si="1"/>
        <v>1.1</v>
      </c>
      <c r="H27" s="105">
        <f t="shared" si="2"/>
        <v>56.44636364</v>
      </c>
      <c r="I27" s="106">
        <f t="shared" si="3"/>
        <v>51.31487603</v>
      </c>
      <c r="J27" s="101">
        <v>0.0</v>
      </c>
      <c r="K27" s="103">
        <v>0.0</v>
      </c>
      <c r="L27" s="103">
        <v>0.0</v>
      </c>
      <c r="M27" s="108">
        <v>0.0</v>
      </c>
      <c r="N27" s="109" t="str">
        <f t="shared" si="10"/>
        <v>#DIV/0!</v>
      </c>
      <c r="O27" s="110" t="str">
        <f t="shared" si="5"/>
        <v>#DIV/0!</v>
      </c>
      <c r="P27" s="109">
        <f t="shared" si="6"/>
        <v>0</v>
      </c>
      <c r="Q27" s="111">
        <f t="shared" si="7"/>
        <v>0</v>
      </c>
      <c r="R27" s="112">
        <f t="shared" si="8"/>
        <v>620.91</v>
      </c>
      <c r="S27" s="113" t="str">
        <f t="shared" si="9"/>
        <v>#DIV/0!</v>
      </c>
      <c r="T27" s="193"/>
      <c r="U27" s="193"/>
      <c r="V27" s="193"/>
      <c r="W27" s="194"/>
      <c r="X27" s="195"/>
      <c r="Y27" s="165"/>
      <c r="Z27" s="165"/>
    </row>
    <row r="28" hidden="1" outlineLevel="1">
      <c r="A28" s="379"/>
      <c r="B28" s="174"/>
      <c r="C28" s="294" t="s">
        <v>46</v>
      </c>
      <c r="D28" s="146">
        <v>834.27</v>
      </c>
      <c r="E28" s="103">
        <v>23.0</v>
      </c>
      <c r="F28" s="103">
        <v>23.0</v>
      </c>
      <c r="G28" s="104">
        <f t="shared" si="1"/>
        <v>1</v>
      </c>
      <c r="H28" s="105">
        <f t="shared" si="2"/>
        <v>36.2726087</v>
      </c>
      <c r="I28" s="106">
        <f t="shared" si="3"/>
        <v>36.2726087</v>
      </c>
      <c r="J28" s="146">
        <v>88.12</v>
      </c>
      <c r="K28" s="103">
        <v>33459.0</v>
      </c>
      <c r="L28" s="103">
        <v>11.0</v>
      </c>
      <c r="M28" s="147">
        <v>395.56</v>
      </c>
      <c r="N28" s="109">
        <f t="shared" si="10"/>
        <v>0.2227727778</v>
      </c>
      <c r="O28" s="110">
        <f t="shared" si="5"/>
        <v>4.488878802</v>
      </c>
      <c r="P28" s="109">
        <f t="shared" si="6"/>
        <v>0.1056252772</v>
      </c>
      <c r="Q28" s="111">
        <f t="shared" si="7"/>
        <v>0.4741390677</v>
      </c>
      <c r="R28" s="112">
        <f t="shared" si="8"/>
        <v>438.71</v>
      </c>
      <c r="S28" s="113">
        <f t="shared" si="9"/>
        <v>8.010909091</v>
      </c>
      <c r="T28" s="172"/>
      <c r="U28" s="172"/>
      <c r="V28" s="172"/>
      <c r="W28" s="172"/>
      <c r="X28" s="173"/>
      <c r="Y28" s="165"/>
      <c r="Z28" s="165"/>
    </row>
    <row r="29" hidden="1" outlineLevel="1">
      <c r="A29" s="379"/>
      <c r="B29" s="174"/>
      <c r="C29" s="294" t="s">
        <v>49</v>
      </c>
      <c r="D29" s="146">
        <v>0.0</v>
      </c>
      <c r="E29" s="103">
        <v>0.0</v>
      </c>
      <c r="F29" s="103">
        <v>0.0</v>
      </c>
      <c r="G29" s="104" t="str">
        <f t="shared" si="1"/>
        <v>#DIV/0!</v>
      </c>
      <c r="H29" s="105" t="str">
        <f t="shared" si="2"/>
        <v>#DIV/0!</v>
      </c>
      <c r="I29" s="106" t="str">
        <f t="shared" si="3"/>
        <v>#DIV/0!</v>
      </c>
      <c r="J29" s="146">
        <v>3.31</v>
      </c>
      <c r="K29" s="103">
        <v>10850.0</v>
      </c>
      <c r="L29" s="103">
        <v>0.0</v>
      </c>
      <c r="M29" s="147">
        <v>0.0</v>
      </c>
      <c r="N29" s="109" t="str">
        <f t="shared" si="10"/>
        <v>#DIV/0!</v>
      </c>
      <c r="O29" s="110">
        <f t="shared" si="5"/>
        <v>0</v>
      </c>
      <c r="P29" s="109" t="str">
        <f t="shared" si="6"/>
        <v>#DIV/0!</v>
      </c>
      <c r="Q29" s="111" t="str">
        <f t="shared" si="7"/>
        <v>#DIV/0!</v>
      </c>
      <c r="R29" s="112">
        <f t="shared" si="8"/>
        <v>0</v>
      </c>
      <c r="S29" s="113" t="str">
        <f t="shared" si="9"/>
        <v>#DIV/0!</v>
      </c>
      <c r="T29" s="172"/>
      <c r="U29" s="172"/>
      <c r="V29" s="172"/>
      <c r="W29" s="172"/>
      <c r="X29" s="173"/>
      <c r="Y29" s="165"/>
      <c r="Z29" s="165"/>
    </row>
    <row r="30" hidden="1" outlineLevel="1">
      <c r="A30" s="310" t="str">
        <f t="shared" ref="A30:A31" si="11">iferror(if(B30&gt;0,month(B30)&amp;"-"&amp;year(B30),B30),)</f>
        <v>3-2025</v>
      </c>
      <c r="B30" s="99">
        <v>45717.0</v>
      </c>
      <c r="C30" s="279" t="s">
        <v>67</v>
      </c>
      <c r="D30" s="146">
        <v>0.0</v>
      </c>
      <c r="E30" s="103">
        <v>0.0</v>
      </c>
      <c r="F30" s="103">
        <v>0.0</v>
      </c>
      <c r="G30" s="104" t="str">
        <f t="shared" si="1"/>
        <v>#DIV/0!</v>
      </c>
      <c r="H30" s="105" t="str">
        <f t="shared" si="2"/>
        <v>#DIV/0!</v>
      </c>
      <c r="I30" s="106" t="str">
        <f t="shared" si="3"/>
        <v>#DIV/0!</v>
      </c>
      <c r="J30" s="175">
        <v>22.48</v>
      </c>
      <c r="K30" s="404">
        <v>3411.0</v>
      </c>
      <c r="L30" s="405">
        <v>0.0</v>
      </c>
      <c r="M30" s="176">
        <v>0.0</v>
      </c>
      <c r="N30" s="109" t="str">
        <f t="shared" si="10"/>
        <v>#DIV/0!</v>
      </c>
      <c r="O30" s="110">
        <f t="shared" si="5"/>
        <v>0</v>
      </c>
      <c r="P30" s="109" t="str">
        <f t="shared" si="6"/>
        <v>#DIV/0!</v>
      </c>
      <c r="Q30" s="111" t="str">
        <f t="shared" si="7"/>
        <v>#DIV/0!</v>
      </c>
      <c r="R30" s="112">
        <f t="shared" si="8"/>
        <v>0</v>
      </c>
      <c r="S30" s="113" t="str">
        <f t="shared" si="9"/>
        <v>#DIV/0!</v>
      </c>
      <c r="T30" s="172"/>
      <c r="U30" s="172"/>
      <c r="V30" s="172"/>
      <c r="W30" s="172"/>
      <c r="X30" s="173"/>
      <c r="Y30" s="165"/>
      <c r="Z30" s="165"/>
    </row>
    <row r="31" collapsed="1">
      <c r="A31" s="361" t="str">
        <f t="shared" si="11"/>
        <v/>
      </c>
      <c r="B31" s="362" t="s">
        <v>96</v>
      </c>
      <c r="C31" s="363"/>
      <c r="D31" s="364">
        <f t="shared" ref="D31:F31" si="12">SUM(D13:D30)</f>
        <v>11906.37</v>
      </c>
      <c r="E31" s="366">
        <f t="shared" si="12"/>
        <v>128</v>
      </c>
      <c r="F31" s="366">
        <f t="shared" si="12"/>
        <v>127</v>
      </c>
      <c r="G31" s="367">
        <f t="shared" si="1"/>
        <v>1.007874016</v>
      </c>
      <c r="H31" s="365">
        <f t="shared" si="2"/>
        <v>93.01851563</v>
      </c>
      <c r="I31" s="368">
        <f t="shared" si="3"/>
        <v>92.29180847</v>
      </c>
      <c r="J31" s="369">
        <f t="shared" ref="J31:M31" si="13">SUM(J13:J30)</f>
        <v>1709.32</v>
      </c>
      <c r="K31" s="366">
        <f t="shared" si="13"/>
        <v>406559</v>
      </c>
      <c r="L31" s="366">
        <f t="shared" si="13"/>
        <v>37</v>
      </c>
      <c r="M31" s="364">
        <f t="shared" si="13"/>
        <v>2521.8</v>
      </c>
      <c r="N31" s="371">
        <f t="shared" si="10"/>
        <v>0.677817432</v>
      </c>
      <c r="O31" s="372">
        <f t="shared" si="5"/>
        <v>1.47532352</v>
      </c>
      <c r="P31" s="371">
        <f t="shared" si="6"/>
        <v>0.1435634874</v>
      </c>
      <c r="Q31" s="373">
        <f t="shared" si="7"/>
        <v>0.2118025897</v>
      </c>
      <c r="R31" s="374">
        <f>SUM(R13:R30)</f>
        <v>9384.57</v>
      </c>
      <c r="S31" s="375">
        <f t="shared" si="9"/>
        <v>46.19783784</v>
      </c>
      <c r="T31" s="376" t="str">
        <f t="shared" ref="T31:U31" si="14">IFERROR((D31-#REF!)/D31,)</f>
        <v/>
      </c>
      <c r="U31" s="376" t="str">
        <f t="shared" si="14"/>
        <v/>
      </c>
      <c r="V31" s="377" t="str">
        <f t="shared" ref="V31:W31" si="15">IFERROR((D31-#REF!)/D31, )</f>
        <v/>
      </c>
      <c r="W31" s="378" t="str">
        <f t="shared" si="15"/>
        <v/>
      </c>
      <c r="X31" s="165"/>
      <c r="Y31" s="165"/>
      <c r="Z31" s="165"/>
    </row>
    <row r="32" hidden="1" outlineLevel="1">
      <c r="A32" s="205"/>
      <c r="B32" s="206">
        <v>45718.0</v>
      </c>
      <c r="C32" s="207" t="s">
        <v>32</v>
      </c>
      <c r="D32" s="208">
        <v>2124.65</v>
      </c>
      <c r="E32" s="210">
        <v>10.0</v>
      </c>
      <c r="F32" s="210">
        <v>12.0</v>
      </c>
      <c r="G32" s="211">
        <f t="shared" si="1"/>
        <v>0.8333333333</v>
      </c>
      <c r="H32" s="212">
        <f t="shared" si="2"/>
        <v>212.465</v>
      </c>
      <c r="I32" s="330">
        <f t="shared" si="3"/>
        <v>254.958</v>
      </c>
      <c r="J32" s="381">
        <v>305.72</v>
      </c>
      <c r="K32" s="214">
        <v>56518.0</v>
      </c>
      <c r="L32" s="214">
        <v>0.0</v>
      </c>
      <c r="M32" s="333">
        <v>0.0</v>
      </c>
      <c r="N32" s="216" t="str">
        <f t="shared" si="10"/>
        <v>#DIV/0!</v>
      </c>
      <c r="O32" s="217">
        <f t="shared" si="5"/>
        <v>0</v>
      </c>
      <c r="P32" s="216">
        <f t="shared" si="6"/>
        <v>0.1438919351</v>
      </c>
      <c r="Q32" s="315">
        <f t="shared" si="7"/>
        <v>0</v>
      </c>
      <c r="R32" s="316">
        <f t="shared" ref="R32:R49" si="16">D32-M32</f>
        <v>2124.65</v>
      </c>
      <c r="S32" s="317" t="str">
        <f t="shared" si="9"/>
        <v>#DIV/0!</v>
      </c>
      <c r="T32" s="221"/>
      <c r="U32" s="221"/>
      <c r="V32" s="221"/>
      <c r="W32" s="221"/>
      <c r="X32" s="14"/>
      <c r="Y32" s="78"/>
      <c r="Z32" s="78"/>
    </row>
    <row r="33" hidden="1" outlineLevel="1">
      <c r="A33" s="205"/>
      <c r="B33" s="206"/>
      <c r="C33" s="207" t="s">
        <v>33</v>
      </c>
      <c r="D33" s="223">
        <v>1062.04</v>
      </c>
      <c r="E33" s="210">
        <v>26.0</v>
      </c>
      <c r="F33" s="210">
        <v>31.0</v>
      </c>
      <c r="G33" s="211">
        <f t="shared" si="1"/>
        <v>0.8387096774</v>
      </c>
      <c r="H33" s="212">
        <f t="shared" si="2"/>
        <v>40.84769231</v>
      </c>
      <c r="I33" s="330">
        <f t="shared" si="3"/>
        <v>48.70301775</v>
      </c>
      <c r="J33" s="334">
        <v>321.68</v>
      </c>
      <c r="K33" s="214">
        <v>121286.0</v>
      </c>
      <c r="L33" s="214">
        <v>8.0</v>
      </c>
      <c r="M33" s="215">
        <v>313.65</v>
      </c>
      <c r="N33" s="216">
        <f t="shared" si="10"/>
        <v>1.025601785</v>
      </c>
      <c r="O33" s="217">
        <f t="shared" si="5"/>
        <v>0.9750373042</v>
      </c>
      <c r="P33" s="216">
        <f t="shared" si="6"/>
        <v>0.3028887801</v>
      </c>
      <c r="Q33" s="315">
        <f t="shared" si="7"/>
        <v>0.2953278596</v>
      </c>
      <c r="R33" s="318">
        <f t="shared" si="16"/>
        <v>748.39</v>
      </c>
      <c r="S33" s="317">
        <f t="shared" si="9"/>
        <v>40.21</v>
      </c>
      <c r="T33" s="221"/>
      <c r="U33" s="221"/>
      <c r="V33" s="221"/>
      <c r="W33" s="221"/>
      <c r="X33" s="14"/>
      <c r="Y33" s="78"/>
      <c r="Z33" s="78"/>
    </row>
    <row r="34" hidden="1" outlineLevel="1">
      <c r="A34" s="205"/>
      <c r="B34" s="206"/>
      <c r="C34" s="207" t="s">
        <v>34</v>
      </c>
      <c r="D34" s="335">
        <v>0.0</v>
      </c>
      <c r="E34" s="210">
        <v>0.0</v>
      </c>
      <c r="F34" s="210">
        <v>0.0</v>
      </c>
      <c r="G34" s="211" t="str">
        <f t="shared" si="1"/>
        <v>#DIV/0!</v>
      </c>
      <c r="H34" s="212" t="str">
        <f t="shared" si="2"/>
        <v>#DIV/0!</v>
      </c>
      <c r="I34" s="330" t="str">
        <f t="shared" si="3"/>
        <v>#DIV/0!</v>
      </c>
      <c r="J34" s="336">
        <v>12.86</v>
      </c>
      <c r="K34" s="214">
        <v>129.0</v>
      </c>
      <c r="L34" s="214">
        <v>0.0</v>
      </c>
      <c r="M34" s="337">
        <v>0.0</v>
      </c>
      <c r="N34" s="216" t="str">
        <f>(J34/M34)</f>
        <v>#DIV/0!</v>
      </c>
      <c r="O34" s="217">
        <f t="shared" si="5"/>
        <v>0</v>
      </c>
      <c r="P34" s="216" t="str">
        <f t="shared" si="6"/>
        <v>#DIV/0!</v>
      </c>
      <c r="Q34" s="315" t="str">
        <f t="shared" si="7"/>
        <v>#DIV/0!</v>
      </c>
      <c r="R34" s="319">
        <f t="shared" si="16"/>
        <v>0</v>
      </c>
      <c r="S34" s="317" t="str">
        <f t="shared" si="9"/>
        <v>#DIV/0!</v>
      </c>
      <c r="T34" s="221"/>
      <c r="U34" s="221"/>
      <c r="V34" s="221"/>
      <c r="W34" s="221"/>
      <c r="X34" s="14"/>
      <c r="Y34" s="78"/>
      <c r="Z34" s="78"/>
    </row>
    <row r="35" hidden="1" outlineLevel="1">
      <c r="A35" s="205"/>
      <c r="B35" s="206"/>
      <c r="C35" s="207" t="s">
        <v>35</v>
      </c>
      <c r="D35" s="335">
        <v>485.55</v>
      </c>
      <c r="E35" s="210">
        <v>9.0</v>
      </c>
      <c r="F35" s="210">
        <v>10.0</v>
      </c>
      <c r="G35" s="211">
        <f t="shared" si="1"/>
        <v>0.9</v>
      </c>
      <c r="H35" s="212">
        <f t="shared" si="2"/>
        <v>53.95</v>
      </c>
      <c r="I35" s="330">
        <f t="shared" si="3"/>
        <v>59.94444444</v>
      </c>
      <c r="J35" s="336">
        <v>97.44</v>
      </c>
      <c r="K35" s="214">
        <v>10370.0</v>
      </c>
      <c r="L35" s="214">
        <v>8.0</v>
      </c>
      <c r="M35" s="337">
        <v>431.6</v>
      </c>
      <c r="N35" s="216">
        <f t="shared" ref="N35:N52" si="17">J35/M35</f>
        <v>0.2257645968</v>
      </c>
      <c r="O35" s="217">
        <f t="shared" si="5"/>
        <v>4.429392447</v>
      </c>
      <c r="P35" s="216">
        <f t="shared" si="6"/>
        <v>0.2006796416</v>
      </c>
      <c r="Q35" s="315">
        <f t="shared" si="7"/>
        <v>0.8888888889</v>
      </c>
      <c r="R35" s="319">
        <f t="shared" si="16"/>
        <v>53.95</v>
      </c>
      <c r="S35" s="317">
        <f t="shared" si="9"/>
        <v>12.18</v>
      </c>
      <c r="T35" s="221"/>
      <c r="U35" s="221"/>
      <c r="V35" s="221"/>
      <c r="W35" s="221"/>
      <c r="X35" s="14"/>
      <c r="Y35" s="78"/>
      <c r="Z35" s="78"/>
    </row>
    <row r="36" hidden="1" outlineLevel="1">
      <c r="A36" s="205"/>
      <c r="B36" s="206"/>
      <c r="C36" s="207" t="s">
        <v>65</v>
      </c>
      <c r="D36" s="320">
        <v>312.0</v>
      </c>
      <c r="E36" s="210">
        <v>8.0</v>
      </c>
      <c r="F36" s="210">
        <v>4.0</v>
      </c>
      <c r="G36" s="211">
        <f t="shared" si="1"/>
        <v>2</v>
      </c>
      <c r="H36" s="212">
        <f t="shared" si="2"/>
        <v>39</v>
      </c>
      <c r="I36" s="330">
        <f t="shared" si="3"/>
        <v>19.5</v>
      </c>
      <c r="J36" s="320">
        <v>0.0</v>
      </c>
      <c r="K36" s="214">
        <v>0.0</v>
      </c>
      <c r="L36" s="214">
        <v>0.0</v>
      </c>
      <c r="M36" s="320">
        <v>0.0</v>
      </c>
      <c r="N36" s="216" t="str">
        <f t="shared" si="17"/>
        <v>#DIV/0!</v>
      </c>
      <c r="O36" s="217" t="str">
        <f t="shared" si="5"/>
        <v>#DIV/0!</v>
      </c>
      <c r="P36" s="216">
        <f t="shared" si="6"/>
        <v>0</v>
      </c>
      <c r="Q36" s="315">
        <f t="shared" si="7"/>
        <v>0</v>
      </c>
      <c r="R36" s="319">
        <f t="shared" si="16"/>
        <v>312</v>
      </c>
      <c r="S36" s="317" t="str">
        <f t="shared" si="9"/>
        <v>#DIV/0!</v>
      </c>
      <c r="T36" s="221"/>
      <c r="U36" s="221"/>
      <c r="V36" s="221"/>
      <c r="W36" s="221"/>
      <c r="X36" s="14"/>
      <c r="Y36" s="78"/>
      <c r="Z36" s="78"/>
    </row>
    <row r="37" hidden="1" outlineLevel="1">
      <c r="A37" s="205"/>
      <c r="B37" s="206"/>
      <c r="C37" s="207" t="s">
        <v>85</v>
      </c>
      <c r="D37" s="338">
        <v>844.35</v>
      </c>
      <c r="E37" s="210">
        <v>13.0</v>
      </c>
      <c r="F37" s="210">
        <v>8.0</v>
      </c>
      <c r="G37" s="211">
        <f t="shared" si="1"/>
        <v>1.625</v>
      </c>
      <c r="H37" s="212">
        <f t="shared" si="2"/>
        <v>64.95</v>
      </c>
      <c r="I37" s="330">
        <f t="shared" si="3"/>
        <v>39.96923077</v>
      </c>
      <c r="J37" s="339">
        <v>20.46</v>
      </c>
      <c r="K37" s="214">
        <v>1753.0</v>
      </c>
      <c r="L37" s="214">
        <v>8.0</v>
      </c>
      <c r="M37" s="340">
        <v>519.6</v>
      </c>
      <c r="N37" s="216">
        <f t="shared" si="17"/>
        <v>0.03937644342</v>
      </c>
      <c r="O37" s="217">
        <f t="shared" si="5"/>
        <v>25.39589443</v>
      </c>
      <c r="P37" s="216">
        <f t="shared" si="6"/>
        <v>0.02423165749</v>
      </c>
      <c r="Q37" s="315">
        <f t="shared" si="7"/>
        <v>0.6153846154</v>
      </c>
      <c r="R37" s="323">
        <f t="shared" si="16"/>
        <v>324.75</v>
      </c>
      <c r="S37" s="317">
        <f t="shared" si="9"/>
        <v>2.5575</v>
      </c>
      <c r="T37" s="221"/>
      <c r="U37" s="221"/>
      <c r="V37" s="221"/>
      <c r="W37" s="221"/>
      <c r="X37" s="14"/>
      <c r="Y37" s="78"/>
      <c r="Z37" s="78"/>
    </row>
    <row r="38" hidden="1" outlineLevel="1">
      <c r="A38" s="205"/>
      <c r="B38" s="206"/>
      <c r="C38" s="207" t="s">
        <v>36</v>
      </c>
      <c r="D38" s="335">
        <v>479.65</v>
      </c>
      <c r="E38" s="210">
        <v>7.0</v>
      </c>
      <c r="F38" s="210">
        <v>7.0</v>
      </c>
      <c r="G38" s="211">
        <f t="shared" si="1"/>
        <v>1</v>
      </c>
      <c r="H38" s="212">
        <f t="shared" si="2"/>
        <v>68.52142857</v>
      </c>
      <c r="I38" s="330">
        <f t="shared" si="3"/>
        <v>68.52142857</v>
      </c>
      <c r="J38" s="336">
        <v>74.83</v>
      </c>
      <c r="K38" s="214">
        <v>7026.0</v>
      </c>
      <c r="L38" s="214">
        <v>5.0</v>
      </c>
      <c r="M38" s="337">
        <v>349.75</v>
      </c>
      <c r="N38" s="216">
        <f t="shared" si="17"/>
        <v>0.2139528234</v>
      </c>
      <c r="O38" s="217">
        <f t="shared" si="5"/>
        <v>4.673927569</v>
      </c>
      <c r="P38" s="216">
        <f t="shared" si="6"/>
        <v>0.1560095903</v>
      </c>
      <c r="Q38" s="315">
        <f t="shared" si="7"/>
        <v>0.7291775253</v>
      </c>
      <c r="R38" s="319">
        <f t="shared" si="16"/>
        <v>129.9</v>
      </c>
      <c r="S38" s="317">
        <f t="shared" si="9"/>
        <v>14.966</v>
      </c>
      <c r="T38" s="221"/>
      <c r="U38" s="221"/>
      <c r="V38" s="221"/>
      <c r="W38" s="221"/>
      <c r="X38" s="14"/>
      <c r="Y38" s="78"/>
      <c r="Z38" s="78"/>
    </row>
    <row r="39" hidden="1" outlineLevel="1">
      <c r="A39" s="205"/>
      <c r="B39" s="324" t="s">
        <v>37</v>
      </c>
      <c r="C39" s="207" t="s">
        <v>38</v>
      </c>
      <c r="D39" s="341">
        <v>729.76</v>
      </c>
      <c r="E39" s="210">
        <v>14.0</v>
      </c>
      <c r="F39" s="210">
        <v>14.0</v>
      </c>
      <c r="G39" s="211">
        <f t="shared" si="1"/>
        <v>1</v>
      </c>
      <c r="H39" s="212">
        <f t="shared" si="2"/>
        <v>52.12571429</v>
      </c>
      <c r="I39" s="330">
        <f t="shared" si="3"/>
        <v>52.12571429</v>
      </c>
      <c r="J39" s="342">
        <v>180.09</v>
      </c>
      <c r="K39" s="214">
        <v>16568.0</v>
      </c>
      <c r="L39" s="214">
        <v>6.0</v>
      </c>
      <c r="M39" s="343">
        <v>194.01</v>
      </c>
      <c r="N39" s="216">
        <f t="shared" si="17"/>
        <v>0.9282511211</v>
      </c>
      <c r="O39" s="217">
        <f t="shared" si="5"/>
        <v>1.077294686</v>
      </c>
      <c r="P39" s="216">
        <f t="shared" si="6"/>
        <v>0.2467797632</v>
      </c>
      <c r="Q39" s="315">
        <f t="shared" si="7"/>
        <v>0.2658545275</v>
      </c>
      <c r="R39" s="325">
        <f t="shared" si="16"/>
        <v>535.75</v>
      </c>
      <c r="S39" s="317">
        <f t="shared" si="9"/>
        <v>30.015</v>
      </c>
      <c r="T39" s="221"/>
      <c r="U39" s="221"/>
      <c r="V39" s="221"/>
      <c r="W39" s="221"/>
      <c r="X39" s="14"/>
      <c r="Y39" s="78"/>
      <c r="Z39" s="78"/>
    </row>
    <row r="40" hidden="1" outlineLevel="1">
      <c r="A40" s="205"/>
      <c r="B40" s="206"/>
      <c r="C40" s="207" t="s">
        <v>39</v>
      </c>
      <c r="D40" s="344">
        <v>399.8</v>
      </c>
      <c r="E40" s="210">
        <v>4.0</v>
      </c>
      <c r="F40" s="210">
        <v>4.0</v>
      </c>
      <c r="G40" s="211">
        <f t="shared" si="1"/>
        <v>1</v>
      </c>
      <c r="H40" s="212">
        <f t="shared" si="2"/>
        <v>99.95</v>
      </c>
      <c r="I40" s="330">
        <f t="shared" si="3"/>
        <v>99.95</v>
      </c>
      <c r="J40" s="345">
        <v>109.23</v>
      </c>
      <c r="K40" s="214">
        <v>38575.0</v>
      </c>
      <c r="L40" s="214">
        <v>0.0</v>
      </c>
      <c r="M40" s="346">
        <v>0.0</v>
      </c>
      <c r="N40" s="216" t="str">
        <f t="shared" si="17"/>
        <v>#DIV/0!</v>
      </c>
      <c r="O40" s="217">
        <f t="shared" si="5"/>
        <v>0</v>
      </c>
      <c r="P40" s="216">
        <f t="shared" si="6"/>
        <v>0.2732116058</v>
      </c>
      <c r="Q40" s="315">
        <f t="shared" si="7"/>
        <v>0</v>
      </c>
      <c r="R40" s="326">
        <f t="shared" si="16"/>
        <v>399.8</v>
      </c>
      <c r="S40" s="317" t="str">
        <f t="shared" si="9"/>
        <v>#DIV/0!</v>
      </c>
      <c r="T40" s="221"/>
      <c r="U40" s="221"/>
      <c r="V40" s="221"/>
      <c r="W40" s="221"/>
      <c r="X40" s="14"/>
      <c r="Y40" s="78"/>
      <c r="Z40" s="78"/>
    </row>
    <row r="41" hidden="1" outlineLevel="1">
      <c r="A41" s="205"/>
      <c r="B41" s="206"/>
      <c r="C41" s="207" t="s">
        <v>40</v>
      </c>
      <c r="D41" s="347">
        <v>54.95</v>
      </c>
      <c r="E41" s="210">
        <v>1.0</v>
      </c>
      <c r="F41" s="210">
        <v>1.0</v>
      </c>
      <c r="G41" s="211">
        <f t="shared" si="1"/>
        <v>1</v>
      </c>
      <c r="H41" s="212">
        <f t="shared" si="2"/>
        <v>54.95</v>
      </c>
      <c r="I41" s="330">
        <f t="shared" si="3"/>
        <v>54.95</v>
      </c>
      <c r="J41" s="348">
        <v>0.0</v>
      </c>
      <c r="K41" s="214">
        <v>0.0</v>
      </c>
      <c r="L41" s="214">
        <v>0.0</v>
      </c>
      <c r="M41" s="349">
        <v>0.0</v>
      </c>
      <c r="N41" s="216" t="str">
        <f t="shared" si="17"/>
        <v>#DIV/0!</v>
      </c>
      <c r="O41" s="217" t="str">
        <f t="shared" si="5"/>
        <v>#DIV/0!</v>
      </c>
      <c r="P41" s="216">
        <f t="shared" si="6"/>
        <v>0</v>
      </c>
      <c r="Q41" s="315">
        <f t="shared" si="7"/>
        <v>0</v>
      </c>
      <c r="R41" s="327">
        <f t="shared" si="16"/>
        <v>54.95</v>
      </c>
      <c r="S41" s="317" t="str">
        <f t="shared" si="9"/>
        <v>#DIV/0!</v>
      </c>
      <c r="T41" s="221"/>
      <c r="U41" s="221"/>
      <c r="V41" s="221"/>
      <c r="W41" s="221"/>
      <c r="X41" s="14"/>
      <c r="Y41" s="78"/>
      <c r="Z41" s="78"/>
    </row>
    <row r="42" hidden="1" outlineLevel="1">
      <c r="A42" s="205"/>
      <c r="B42" s="206"/>
      <c r="C42" s="207" t="s">
        <v>41</v>
      </c>
      <c r="D42" s="224">
        <v>122.0</v>
      </c>
      <c r="E42" s="210">
        <v>2.0</v>
      </c>
      <c r="F42" s="210">
        <v>1.0</v>
      </c>
      <c r="G42" s="211">
        <f t="shared" si="1"/>
        <v>2</v>
      </c>
      <c r="H42" s="212">
        <f t="shared" si="2"/>
        <v>61</v>
      </c>
      <c r="I42" s="330">
        <f t="shared" si="3"/>
        <v>30.5</v>
      </c>
      <c r="J42" s="350">
        <v>8.81</v>
      </c>
      <c r="K42" s="214">
        <v>1185.0</v>
      </c>
      <c r="L42" s="214">
        <v>1.0</v>
      </c>
      <c r="M42" s="225">
        <v>67.0</v>
      </c>
      <c r="N42" s="216">
        <f t="shared" si="17"/>
        <v>0.1314925373</v>
      </c>
      <c r="O42" s="217">
        <f t="shared" si="5"/>
        <v>7.604994325</v>
      </c>
      <c r="P42" s="216">
        <f t="shared" si="6"/>
        <v>0.07221311475</v>
      </c>
      <c r="Q42" s="315">
        <f t="shared" si="7"/>
        <v>0.5491803279</v>
      </c>
      <c r="R42" s="351">
        <f t="shared" si="16"/>
        <v>55</v>
      </c>
      <c r="S42" s="317">
        <f t="shared" si="9"/>
        <v>8.81</v>
      </c>
      <c r="T42" s="221"/>
      <c r="U42" s="221"/>
      <c r="V42" s="221"/>
      <c r="W42" s="221"/>
      <c r="X42" s="14"/>
      <c r="Y42" s="78"/>
      <c r="Z42" s="78"/>
    </row>
    <row r="43" hidden="1" outlineLevel="1">
      <c r="A43" s="205"/>
      <c r="B43" s="206"/>
      <c r="C43" s="207" t="s">
        <v>42</v>
      </c>
      <c r="D43" s="335">
        <v>19.99</v>
      </c>
      <c r="E43" s="210">
        <v>1.0</v>
      </c>
      <c r="F43" s="210">
        <v>1.0</v>
      </c>
      <c r="G43" s="211">
        <f t="shared" si="1"/>
        <v>1</v>
      </c>
      <c r="H43" s="212">
        <f t="shared" si="2"/>
        <v>19.99</v>
      </c>
      <c r="I43" s="330">
        <f t="shared" si="3"/>
        <v>19.99</v>
      </c>
      <c r="J43" s="336">
        <v>9.5</v>
      </c>
      <c r="K43" s="214">
        <v>18007.0</v>
      </c>
      <c r="L43" s="214">
        <v>2.0</v>
      </c>
      <c r="M43" s="337">
        <v>39.98</v>
      </c>
      <c r="N43" s="216">
        <f t="shared" si="17"/>
        <v>0.2376188094</v>
      </c>
      <c r="O43" s="217">
        <f t="shared" si="5"/>
        <v>4.208421053</v>
      </c>
      <c r="P43" s="216">
        <f t="shared" si="6"/>
        <v>0.4752376188</v>
      </c>
      <c r="Q43" s="315">
        <f t="shared" si="7"/>
        <v>2</v>
      </c>
      <c r="R43" s="319">
        <f t="shared" si="16"/>
        <v>-19.99</v>
      </c>
      <c r="S43" s="317">
        <f t="shared" si="9"/>
        <v>4.75</v>
      </c>
      <c r="T43" s="221"/>
      <c r="U43" s="221"/>
      <c r="V43" s="221"/>
      <c r="W43" s="221"/>
      <c r="X43" s="14"/>
      <c r="Y43" s="78"/>
      <c r="Z43" s="78"/>
    </row>
    <row r="44" hidden="1" outlineLevel="1">
      <c r="A44" s="205"/>
      <c r="B44" s="206"/>
      <c r="C44" s="207" t="s">
        <v>43</v>
      </c>
      <c r="D44" s="226">
        <v>0.0</v>
      </c>
      <c r="E44" s="210">
        <v>0.0</v>
      </c>
      <c r="F44" s="210">
        <v>0.0</v>
      </c>
      <c r="G44" s="211" t="str">
        <f t="shared" si="1"/>
        <v>#DIV/0!</v>
      </c>
      <c r="H44" s="212" t="str">
        <f t="shared" si="2"/>
        <v>#DIV/0!</v>
      </c>
      <c r="I44" s="330" t="str">
        <f t="shared" si="3"/>
        <v>#DIV/0!</v>
      </c>
      <c r="J44" s="352">
        <v>22.1</v>
      </c>
      <c r="K44" s="214">
        <v>25445.0</v>
      </c>
      <c r="L44" s="214">
        <v>0.0</v>
      </c>
      <c r="M44" s="227">
        <v>0.0</v>
      </c>
      <c r="N44" s="216" t="str">
        <f t="shared" si="17"/>
        <v>#DIV/0!</v>
      </c>
      <c r="O44" s="217">
        <f t="shared" si="5"/>
        <v>0</v>
      </c>
      <c r="P44" s="216" t="str">
        <f t="shared" si="6"/>
        <v>#DIV/0!</v>
      </c>
      <c r="Q44" s="315" t="str">
        <f t="shared" si="7"/>
        <v>#DIV/0!</v>
      </c>
      <c r="R44" s="328">
        <f t="shared" si="16"/>
        <v>0</v>
      </c>
      <c r="S44" s="317" t="str">
        <f t="shared" si="9"/>
        <v>#DIV/0!</v>
      </c>
      <c r="T44" s="221"/>
      <c r="U44" s="221"/>
      <c r="V44" s="221"/>
      <c r="W44" s="221"/>
      <c r="X44" s="14"/>
      <c r="Y44" s="78"/>
      <c r="Z44" s="78"/>
    </row>
    <row r="45" hidden="1" outlineLevel="1">
      <c r="A45" s="205"/>
      <c r="B45" s="206"/>
      <c r="C45" s="207" t="s">
        <v>44</v>
      </c>
      <c r="D45" s="353">
        <v>59.95</v>
      </c>
      <c r="E45" s="210">
        <v>1.0</v>
      </c>
      <c r="F45" s="210">
        <v>1.0</v>
      </c>
      <c r="G45" s="211">
        <f t="shared" si="1"/>
        <v>1</v>
      </c>
      <c r="H45" s="212">
        <f t="shared" si="2"/>
        <v>59.95</v>
      </c>
      <c r="I45" s="330">
        <f t="shared" si="3"/>
        <v>59.95</v>
      </c>
      <c r="J45" s="354">
        <v>21.31</v>
      </c>
      <c r="K45" s="214">
        <v>8535.0</v>
      </c>
      <c r="L45" s="214">
        <v>0.0</v>
      </c>
      <c r="M45" s="355">
        <v>0.0</v>
      </c>
      <c r="N45" s="216" t="str">
        <f t="shared" si="17"/>
        <v>#DIV/0!</v>
      </c>
      <c r="O45" s="217">
        <f t="shared" si="5"/>
        <v>0</v>
      </c>
      <c r="P45" s="216">
        <f t="shared" si="6"/>
        <v>0.3554628857</v>
      </c>
      <c r="Q45" s="315">
        <f t="shared" si="7"/>
        <v>0</v>
      </c>
      <c r="R45" s="356">
        <f t="shared" si="16"/>
        <v>59.95</v>
      </c>
      <c r="S45" s="317" t="str">
        <f t="shared" si="9"/>
        <v>#DIV/0!</v>
      </c>
      <c r="T45" s="221"/>
      <c r="U45" s="221"/>
      <c r="V45" s="221"/>
      <c r="W45" s="221"/>
      <c r="X45" s="14"/>
      <c r="Y45" s="78"/>
      <c r="Z45" s="78"/>
    </row>
    <row r="46" hidden="1" outlineLevel="1">
      <c r="A46" s="357"/>
      <c r="B46" s="206"/>
      <c r="C46" s="358" t="s">
        <v>45</v>
      </c>
      <c r="D46" s="208">
        <v>19.95</v>
      </c>
      <c r="E46" s="210">
        <v>1.0</v>
      </c>
      <c r="F46" s="210">
        <v>1.0</v>
      </c>
      <c r="G46" s="104">
        <f t="shared" si="1"/>
        <v>1</v>
      </c>
      <c r="H46" s="105">
        <f t="shared" si="2"/>
        <v>19.95</v>
      </c>
      <c r="I46" s="106">
        <f t="shared" si="3"/>
        <v>19.95</v>
      </c>
      <c r="J46" s="331">
        <v>0.0</v>
      </c>
      <c r="K46" s="214">
        <v>0.0</v>
      </c>
      <c r="L46" s="214">
        <v>0.0</v>
      </c>
      <c r="M46" s="333">
        <v>0.0</v>
      </c>
      <c r="N46" s="109" t="str">
        <f t="shared" si="17"/>
        <v>#DIV/0!</v>
      </c>
      <c r="O46" s="110" t="str">
        <f t="shared" si="5"/>
        <v>#DIV/0!</v>
      </c>
      <c r="P46" s="109">
        <f t="shared" si="6"/>
        <v>0</v>
      </c>
      <c r="Q46" s="111">
        <f t="shared" si="7"/>
        <v>0</v>
      </c>
      <c r="R46" s="112">
        <f t="shared" si="16"/>
        <v>19.95</v>
      </c>
      <c r="S46" s="113" t="str">
        <f t="shared" si="9"/>
        <v>#DIV/0!</v>
      </c>
      <c r="T46" s="193"/>
      <c r="U46" s="193"/>
      <c r="V46" s="193"/>
      <c r="W46" s="194"/>
      <c r="X46" s="195"/>
      <c r="Y46" s="78"/>
      <c r="Z46" s="78"/>
    </row>
    <row r="47" hidden="1" outlineLevel="1">
      <c r="A47" s="310"/>
      <c r="B47" s="99"/>
      <c r="C47" s="294" t="s">
        <v>46</v>
      </c>
      <c r="D47" s="196">
        <v>655.86</v>
      </c>
      <c r="E47" s="169">
        <v>20.0</v>
      </c>
      <c r="F47" s="169">
        <v>20.0</v>
      </c>
      <c r="G47" s="104">
        <f t="shared" si="1"/>
        <v>1</v>
      </c>
      <c r="H47" s="105">
        <f t="shared" si="2"/>
        <v>32.793</v>
      </c>
      <c r="I47" s="106">
        <f t="shared" si="3"/>
        <v>32.793</v>
      </c>
      <c r="J47" s="196">
        <v>77.16</v>
      </c>
      <c r="K47" s="169">
        <v>34502.0</v>
      </c>
      <c r="L47" s="169">
        <v>7.0</v>
      </c>
      <c r="M47" s="197">
        <v>251.72</v>
      </c>
      <c r="N47" s="109">
        <f t="shared" si="17"/>
        <v>0.3065310663</v>
      </c>
      <c r="O47" s="110">
        <f t="shared" si="5"/>
        <v>3.262312079</v>
      </c>
      <c r="P47" s="109">
        <f t="shared" si="6"/>
        <v>0.1176470588</v>
      </c>
      <c r="Q47" s="111">
        <f t="shared" si="7"/>
        <v>0.383801421</v>
      </c>
      <c r="R47" s="112">
        <f t="shared" si="16"/>
        <v>404.14</v>
      </c>
      <c r="S47" s="113">
        <f t="shared" si="9"/>
        <v>11.02285714</v>
      </c>
      <c r="T47" s="172"/>
      <c r="U47" s="172"/>
      <c r="V47" s="172"/>
      <c r="W47" s="172"/>
      <c r="X47" s="173"/>
      <c r="Y47" s="165"/>
      <c r="Z47" s="165"/>
    </row>
    <row r="48" hidden="1" outlineLevel="1">
      <c r="A48" s="310"/>
      <c r="B48" s="99"/>
      <c r="C48" s="207" t="s">
        <v>49</v>
      </c>
      <c r="D48" s="329">
        <v>0.0</v>
      </c>
      <c r="E48" s="210">
        <v>0.0</v>
      </c>
      <c r="F48" s="210">
        <v>0.0</v>
      </c>
      <c r="G48" s="211" t="str">
        <f t="shared" si="1"/>
        <v>#DIV/0!</v>
      </c>
      <c r="H48" s="212" t="str">
        <f t="shared" si="2"/>
        <v>#DIV/0!</v>
      </c>
      <c r="I48" s="330" t="str">
        <f t="shared" si="3"/>
        <v>#DIV/0!</v>
      </c>
      <c r="J48" s="359">
        <v>3.67</v>
      </c>
      <c r="K48" s="214">
        <v>7711.0</v>
      </c>
      <c r="L48" s="214">
        <v>0.0</v>
      </c>
      <c r="M48" s="360">
        <v>0.0</v>
      </c>
      <c r="N48" s="216" t="str">
        <f t="shared" si="17"/>
        <v>#DIV/0!</v>
      </c>
      <c r="O48" s="217">
        <f t="shared" si="5"/>
        <v>0</v>
      </c>
      <c r="P48" s="216" t="str">
        <f t="shared" si="6"/>
        <v>#DIV/0!</v>
      </c>
      <c r="Q48" s="315" t="str">
        <f t="shared" si="7"/>
        <v>#DIV/0!</v>
      </c>
      <c r="R48" s="316">
        <f t="shared" si="16"/>
        <v>0</v>
      </c>
      <c r="S48" s="317" t="str">
        <f t="shared" si="9"/>
        <v>#DIV/0!</v>
      </c>
      <c r="T48" s="172"/>
      <c r="U48" s="172"/>
      <c r="V48" s="172"/>
      <c r="W48" s="172"/>
      <c r="X48" s="173"/>
      <c r="Y48" s="165"/>
      <c r="Z48" s="165"/>
    </row>
    <row r="49" hidden="1" outlineLevel="1">
      <c r="A49" s="205" t="str">
        <f t="shared" ref="A49:A50" si="18">iferror(if(B49&gt;0,month(B49)&amp;"-"&amp;year(B49),B49),)</f>
        <v>3-2025</v>
      </c>
      <c r="B49" s="206">
        <v>45724.0</v>
      </c>
      <c r="C49" s="279" t="s">
        <v>67</v>
      </c>
      <c r="D49" s="329">
        <v>0.0</v>
      </c>
      <c r="E49" s="210">
        <v>0.0</v>
      </c>
      <c r="F49" s="210">
        <v>0.0</v>
      </c>
      <c r="G49" s="211" t="str">
        <f t="shared" si="1"/>
        <v>#DIV/0!</v>
      </c>
      <c r="H49" s="212" t="str">
        <f t="shared" si="2"/>
        <v>#DIV/0!</v>
      </c>
      <c r="I49" s="330" t="str">
        <f t="shared" si="3"/>
        <v>#DIV/0!</v>
      </c>
      <c r="J49" s="334">
        <v>114.69</v>
      </c>
      <c r="K49" s="406">
        <v>16911.0</v>
      </c>
      <c r="L49" s="407"/>
      <c r="M49" s="215">
        <v>54.79</v>
      </c>
      <c r="N49" s="216">
        <f t="shared" si="17"/>
        <v>2.093265194</v>
      </c>
      <c r="O49" s="217">
        <f t="shared" si="5"/>
        <v>0.4777225565</v>
      </c>
      <c r="P49" s="216" t="str">
        <f t="shared" si="6"/>
        <v>#DIV/0!</v>
      </c>
      <c r="Q49" s="315" t="str">
        <f t="shared" si="7"/>
        <v>#DIV/0!</v>
      </c>
      <c r="R49" s="316">
        <f t="shared" si="16"/>
        <v>-54.79</v>
      </c>
      <c r="S49" s="317" t="str">
        <f t="shared" si="9"/>
        <v>#DIV/0!</v>
      </c>
      <c r="T49" s="221"/>
      <c r="U49" s="221"/>
      <c r="V49" s="221"/>
      <c r="W49" s="221"/>
      <c r="X49" s="14"/>
      <c r="Y49" s="78"/>
      <c r="Z49" s="78"/>
    </row>
    <row r="50" collapsed="1">
      <c r="A50" s="382" t="str">
        <f t="shared" si="18"/>
        <v/>
      </c>
      <c r="B50" s="383" t="s">
        <v>97</v>
      </c>
      <c r="C50" s="384"/>
      <c r="D50" s="385">
        <f t="shared" ref="D50:F50" si="19">SUM(D32:D49)</f>
        <v>7370.5</v>
      </c>
      <c r="E50" s="387">
        <f t="shared" si="19"/>
        <v>117</v>
      </c>
      <c r="F50" s="387">
        <f t="shared" si="19"/>
        <v>115</v>
      </c>
      <c r="G50" s="388">
        <f t="shared" si="1"/>
        <v>1.017391304</v>
      </c>
      <c r="H50" s="386">
        <f t="shared" si="2"/>
        <v>62.9957265</v>
      </c>
      <c r="I50" s="389">
        <f t="shared" si="3"/>
        <v>61.91887647</v>
      </c>
      <c r="J50" s="390">
        <f t="shared" ref="J50:M50" si="20">SUM(J32:J49)</f>
        <v>1379.55</v>
      </c>
      <c r="K50" s="387">
        <f t="shared" si="20"/>
        <v>364521</v>
      </c>
      <c r="L50" s="387">
        <f t="shared" si="20"/>
        <v>45</v>
      </c>
      <c r="M50" s="385">
        <f t="shared" si="20"/>
        <v>2222.1</v>
      </c>
      <c r="N50" s="391">
        <f t="shared" si="17"/>
        <v>0.6208316457</v>
      </c>
      <c r="O50" s="392">
        <f t="shared" si="5"/>
        <v>1.610742633</v>
      </c>
      <c r="P50" s="391">
        <f t="shared" si="6"/>
        <v>0.1871718337</v>
      </c>
      <c r="Q50" s="393">
        <f t="shared" si="7"/>
        <v>0.3014856523</v>
      </c>
      <c r="R50" s="394">
        <f>SUM(R32:R49)</f>
        <v>5148.4</v>
      </c>
      <c r="S50" s="395">
        <f t="shared" si="9"/>
        <v>30.65666667</v>
      </c>
      <c r="T50" s="396" t="str">
        <f t="shared" ref="T50:U50" si="21">IFERROR((D50-#REF!)/D50,)</f>
        <v/>
      </c>
      <c r="U50" s="396" t="str">
        <f t="shared" si="21"/>
        <v/>
      </c>
      <c r="V50" s="396" t="str">
        <f t="shared" ref="V50:W50" si="22">IFERROR((D50-#REF!)/D50, )</f>
        <v/>
      </c>
      <c r="W50" s="397" t="str">
        <f t="shared" si="22"/>
        <v/>
      </c>
      <c r="X50" s="97"/>
      <c r="Y50" s="78"/>
      <c r="Z50" s="78"/>
    </row>
    <row r="51" hidden="1" outlineLevel="1">
      <c r="A51" s="205"/>
      <c r="B51" s="206">
        <v>45725.0</v>
      </c>
      <c r="C51" s="207" t="s">
        <v>32</v>
      </c>
      <c r="D51" s="208">
        <v>1856.83</v>
      </c>
      <c r="E51" s="210">
        <v>7.0</v>
      </c>
      <c r="F51" s="210">
        <v>8.0</v>
      </c>
      <c r="G51" s="211">
        <f t="shared" si="1"/>
        <v>0.875</v>
      </c>
      <c r="H51" s="212">
        <f t="shared" si="2"/>
        <v>265.2614286</v>
      </c>
      <c r="I51" s="330">
        <f t="shared" si="3"/>
        <v>303.1559184</v>
      </c>
      <c r="J51" s="381">
        <v>251.1</v>
      </c>
      <c r="K51" s="214">
        <v>41312.0</v>
      </c>
      <c r="L51" s="214">
        <v>2.0</v>
      </c>
      <c r="M51" s="333">
        <v>968.95</v>
      </c>
      <c r="N51" s="216">
        <f t="shared" si="17"/>
        <v>0.2591464988</v>
      </c>
      <c r="O51" s="217">
        <f t="shared" si="5"/>
        <v>3.858821187</v>
      </c>
      <c r="P51" s="216">
        <f t="shared" si="6"/>
        <v>0.1352304734</v>
      </c>
      <c r="Q51" s="315">
        <f t="shared" si="7"/>
        <v>0.521830216</v>
      </c>
      <c r="R51" s="316">
        <f t="shared" ref="R51:R68" si="23">D51-M51</f>
        <v>887.88</v>
      </c>
      <c r="S51" s="317">
        <f t="shared" si="9"/>
        <v>125.55</v>
      </c>
      <c r="T51" s="221"/>
      <c r="U51" s="221"/>
      <c r="V51" s="221"/>
      <c r="W51" s="221"/>
      <c r="X51" s="14"/>
      <c r="Y51" s="78"/>
      <c r="Z51" s="78"/>
    </row>
    <row r="52" hidden="1" outlineLevel="1">
      <c r="A52" s="205"/>
      <c r="B52" s="206"/>
      <c r="C52" s="207" t="s">
        <v>33</v>
      </c>
      <c r="D52" s="223">
        <v>3258.7</v>
      </c>
      <c r="E52" s="210">
        <v>35.0</v>
      </c>
      <c r="F52" s="210">
        <v>35.0</v>
      </c>
      <c r="G52" s="211">
        <f t="shared" si="1"/>
        <v>1</v>
      </c>
      <c r="H52" s="212">
        <f t="shared" si="2"/>
        <v>93.10571429</v>
      </c>
      <c r="I52" s="330">
        <f t="shared" si="3"/>
        <v>93.10571429</v>
      </c>
      <c r="J52" s="334">
        <v>326.98</v>
      </c>
      <c r="K52" s="214">
        <v>112697.0</v>
      </c>
      <c r="L52" s="214">
        <v>14.0</v>
      </c>
      <c r="M52" s="215">
        <v>804.55</v>
      </c>
      <c r="N52" s="216">
        <f t="shared" si="17"/>
        <v>0.4064135231</v>
      </c>
      <c r="O52" s="217">
        <f t="shared" si="5"/>
        <v>2.460548046</v>
      </c>
      <c r="P52" s="216">
        <f t="shared" si="6"/>
        <v>0.1003406266</v>
      </c>
      <c r="Q52" s="315">
        <f t="shared" si="7"/>
        <v>0.2468929328</v>
      </c>
      <c r="R52" s="318">
        <f t="shared" si="23"/>
        <v>2454.15</v>
      </c>
      <c r="S52" s="317">
        <f t="shared" si="9"/>
        <v>23.35571429</v>
      </c>
      <c r="T52" s="221"/>
      <c r="U52" s="221"/>
      <c r="V52" s="221"/>
      <c r="W52" s="221"/>
      <c r="X52" s="14"/>
      <c r="Y52" s="78"/>
      <c r="Z52" s="78"/>
    </row>
    <row r="53" hidden="1" outlineLevel="1">
      <c r="A53" s="205"/>
      <c r="B53" s="206"/>
      <c r="C53" s="207" t="s">
        <v>34</v>
      </c>
      <c r="D53" s="335">
        <v>0.0</v>
      </c>
      <c r="E53" s="210">
        <v>0.0</v>
      </c>
      <c r="F53" s="210">
        <v>0.0</v>
      </c>
      <c r="G53" s="211" t="str">
        <f t="shared" si="1"/>
        <v>#DIV/0!</v>
      </c>
      <c r="H53" s="212" t="str">
        <f t="shared" si="2"/>
        <v>#DIV/0!</v>
      </c>
      <c r="I53" s="330" t="str">
        <f t="shared" si="3"/>
        <v>#DIV/0!</v>
      </c>
      <c r="J53" s="336">
        <v>24.27</v>
      </c>
      <c r="K53" s="214">
        <v>151.0</v>
      </c>
      <c r="L53" s="214">
        <v>0.0</v>
      </c>
      <c r="M53" s="337">
        <v>0.0</v>
      </c>
      <c r="N53" s="216" t="str">
        <f>(J53/M53)</f>
        <v>#DIV/0!</v>
      </c>
      <c r="O53" s="217">
        <f t="shared" si="5"/>
        <v>0</v>
      </c>
      <c r="P53" s="216" t="str">
        <f t="shared" si="6"/>
        <v>#DIV/0!</v>
      </c>
      <c r="Q53" s="315" t="str">
        <f t="shared" si="7"/>
        <v>#DIV/0!</v>
      </c>
      <c r="R53" s="319">
        <f t="shared" si="23"/>
        <v>0</v>
      </c>
      <c r="S53" s="317" t="str">
        <f t="shared" si="9"/>
        <v>#DIV/0!</v>
      </c>
      <c r="T53" s="221"/>
      <c r="U53" s="221"/>
      <c r="V53" s="221"/>
      <c r="W53" s="221"/>
      <c r="X53" s="14"/>
      <c r="Y53" s="78"/>
      <c r="Z53" s="78"/>
    </row>
    <row r="54" hidden="1" outlineLevel="1">
      <c r="A54" s="205"/>
      <c r="B54" s="206"/>
      <c r="C54" s="207" t="s">
        <v>35</v>
      </c>
      <c r="D54" s="335">
        <v>506.55</v>
      </c>
      <c r="E54" s="210">
        <v>9.0</v>
      </c>
      <c r="F54" s="210">
        <v>8.0</v>
      </c>
      <c r="G54" s="211">
        <f t="shared" si="1"/>
        <v>1.125</v>
      </c>
      <c r="H54" s="212">
        <f t="shared" si="2"/>
        <v>56.28333333</v>
      </c>
      <c r="I54" s="330">
        <f t="shared" si="3"/>
        <v>50.02962963</v>
      </c>
      <c r="J54" s="336">
        <v>102.35</v>
      </c>
      <c r="K54" s="214">
        <v>9361.0</v>
      </c>
      <c r="L54" s="214">
        <v>3.0</v>
      </c>
      <c r="M54" s="337">
        <v>161.85</v>
      </c>
      <c r="N54" s="216">
        <f t="shared" ref="N54:N71" si="24">J54/M54</f>
        <v>0.6323756565</v>
      </c>
      <c r="O54" s="217">
        <f t="shared" si="5"/>
        <v>1.581338544</v>
      </c>
      <c r="P54" s="216">
        <f t="shared" si="6"/>
        <v>0.2020531043</v>
      </c>
      <c r="Q54" s="315">
        <f t="shared" si="7"/>
        <v>0.3195143619</v>
      </c>
      <c r="R54" s="319">
        <f t="shared" si="23"/>
        <v>344.7</v>
      </c>
      <c r="S54" s="317">
        <f t="shared" si="9"/>
        <v>34.11666667</v>
      </c>
      <c r="T54" s="221"/>
      <c r="U54" s="221"/>
      <c r="V54" s="221"/>
      <c r="W54" s="221"/>
      <c r="X54" s="14"/>
      <c r="Y54" s="78"/>
      <c r="Z54" s="78"/>
    </row>
    <row r="55" hidden="1" outlineLevel="1">
      <c r="A55" s="205"/>
      <c r="B55" s="206"/>
      <c r="C55" s="207" t="s">
        <v>65</v>
      </c>
      <c r="D55" s="320">
        <v>78.0</v>
      </c>
      <c r="E55" s="210">
        <v>2.0</v>
      </c>
      <c r="F55" s="210">
        <v>1.0</v>
      </c>
      <c r="G55" s="211">
        <f t="shared" si="1"/>
        <v>2</v>
      </c>
      <c r="H55" s="212">
        <f t="shared" si="2"/>
        <v>39</v>
      </c>
      <c r="I55" s="330">
        <f t="shared" si="3"/>
        <v>19.5</v>
      </c>
      <c r="J55" s="320">
        <v>0.0</v>
      </c>
      <c r="K55" s="214">
        <v>0.0</v>
      </c>
      <c r="L55" s="214">
        <v>0.0</v>
      </c>
      <c r="M55" s="320">
        <v>0.0</v>
      </c>
      <c r="N55" s="216" t="str">
        <f t="shared" si="24"/>
        <v>#DIV/0!</v>
      </c>
      <c r="O55" s="217" t="str">
        <f t="shared" si="5"/>
        <v>#DIV/0!</v>
      </c>
      <c r="P55" s="216">
        <f t="shared" si="6"/>
        <v>0</v>
      </c>
      <c r="Q55" s="315">
        <f t="shared" si="7"/>
        <v>0</v>
      </c>
      <c r="R55" s="319">
        <f t="shared" si="23"/>
        <v>78</v>
      </c>
      <c r="S55" s="317" t="str">
        <f t="shared" si="9"/>
        <v>#DIV/0!</v>
      </c>
      <c r="T55" s="221"/>
      <c r="U55" s="221"/>
      <c r="V55" s="221"/>
      <c r="W55" s="221"/>
      <c r="X55" s="14"/>
      <c r="Y55" s="78"/>
      <c r="Z55" s="78"/>
    </row>
    <row r="56" hidden="1" outlineLevel="1">
      <c r="A56" s="205"/>
      <c r="B56" s="206"/>
      <c r="C56" s="207" t="s">
        <v>85</v>
      </c>
      <c r="D56" s="338">
        <v>0.0</v>
      </c>
      <c r="E56" s="210">
        <v>0.0</v>
      </c>
      <c r="F56" s="210">
        <v>0.0</v>
      </c>
      <c r="G56" s="211" t="str">
        <f t="shared" si="1"/>
        <v>#DIV/0!</v>
      </c>
      <c r="H56" s="212" t="str">
        <f t="shared" si="2"/>
        <v>#DIV/0!</v>
      </c>
      <c r="I56" s="330" t="str">
        <f t="shared" si="3"/>
        <v>#DIV/0!</v>
      </c>
      <c r="J56" s="339">
        <v>0.0</v>
      </c>
      <c r="K56" s="214">
        <v>0.0</v>
      </c>
      <c r="L56" s="214">
        <v>0.0</v>
      </c>
      <c r="M56" s="340">
        <v>0.0</v>
      </c>
      <c r="N56" s="216" t="str">
        <f t="shared" si="24"/>
        <v>#DIV/0!</v>
      </c>
      <c r="O56" s="217" t="str">
        <f t="shared" si="5"/>
        <v>#DIV/0!</v>
      </c>
      <c r="P56" s="216" t="str">
        <f t="shared" si="6"/>
        <v>#DIV/0!</v>
      </c>
      <c r="Q56" s="315" t="str">
        <f t="shared" si="7"/>
        <v>#DIV/0!</v>
      </c>
      <c r="R56" s="323">
        <f t="shared" si="23"/>
        <v>0</v>
      </c>
      <c r="S56" s="317" t="str">
        <f t="shared" si="9"/>
        <v>#DIV/0!</v>
      </c>
      <c r="T56" s="221"/>
      <c r="U56" s="221"/>
      <c r="V56" s="221"/>
      <c r="W56" s="221"/>
      <c r="X56" s="14"/>
      <c r="Y56" s="78"/>
      <c r="Z56" s="78"/>
    </row>
    <row r="57" hidden="1" outlineLevel="1">
      <c r="A57" s="205"/>
      <c r="B57" s="206"/>
      <c r="C57" s="207" t="s">
        <v>36</v>
      </c>
      <c r="D57" s="335">
        <v>399.7</v>
      </c>
      <c r="E57" s="210">
        <v>6.0</v>
      </c>
      <c r="F57" s="210">
        <v>6.0</v>
      </c>
      <c r="G57" s="211">
        <f t="shared" si="1"/>
        <v>1</v>
      </c>
      <c r="H57" s="212">
        <f t="shared" si="2"/>
        <v>66.61666667</v>
      </c>
      <c r="I57" s="330">
        <f t="shared" si="3"/>
        <v>66.61666667</v>
      </c>
      <c r="J57" s="336">
        <v>75.5</v>
      </c>
      <c r="K57" s="214">
        <v>10703.0</v>
      </c>
      <c r="L57" s="214">
        <v>3.0</v>
      </c>
      <c r="M57" s="337">
        <v>209.85</v>
      </c>
      <c r="N57" s="216">
        <f t="shared" si="24"/>
        <v>0.3597807958</v>
      </c>
      <c r="O57" s="217">
        <f t="shared" si="5"/>
        <v>2.779470199</v>
      </c>
      <c r="P57" s="216">
        <f t="shared" si="6"/>
        <v>0.1888916688</v>
      </c>
      <c r="Q57" s="315">
        <f t="shared" si="7"/>
        <v>0.5250187641</v>
      </c>
      <c r="R57" s="319">
        <f t="shared" si="23"/>
        <v>189.85</v>
      </c>
      <c r="S57" s="317">
        <f t="shared" si="9"/>
        <v>25.16666667</v>
      </c>
      <c r="T57" s="221"/>
      <c r="U57" s="221"/>
      <c r="V57" s="221"/>
      <c r="W57" s="221"/>
      <c r="X57" s="14"/>
      <c r="Y57" s="78"/>
      <c r="Z57" s="78"/>
    </row>
    <row r="58" hidden="1" outlineLevel="1">
      <c r="A58" s="205"/>
      <c r="B58" s="324" t="s">
        <v>37</v>
      </c>
      <c r="C58" s="207" t="s">
        <v>38</v>
      </c>
      <c r="D58" s="341">
        <v>851.99</v>
      </c>
      <c r="E58" s="210">
        <v>15.0</v>
      </c>
      <c r="F58" s="210">
        <v>16.0</v>
      </c>
      <c r="G58" s="211">
        <f t="shared" si="1"/>
        <v>0.9375</v>
      </c>
      <c r="H58" s="212">
        <f t="shared" si="2"/>
        <v>56.79933333</v>
      </c>
      <c r="I58" s="330">
        <f t="shared" si="3"/>
        <v>60.58595556</v>
      </c>
      <c r="J58" s="342">
        <v>111.82</v>
      </c>
      <c r="K58" s="214">
        <v>18230.0</v>
      </c>
      <c r="L58" s="214">
        <v>3.0</v>
      </c>
      <c r="M58" s="343">
        <v>193.98</v>
      </c>
      <c r="N58" s="216">
        <f t="shared" si="24"/>
        <v>0.5764511805</v>
      </c>
      <c r="O58" s="217">
        <f t="shared" si="5"/>
        <v>1.73475228</v>
      </c>
      <c r="P58" s="216">
        <f t="shared" si="6"/>
        <v>0.1312456719</v>
      </c>
      <c r="Q58" s="315">
        <f t="shared" si="7"/>
        <v>0.2276787286</v>
      </c>
      <c r="R58" s="325">
        <f t="shared" si="23"/>
        <v>658.01</v>
      </c>
      <c r="S58" s="317">
        <f t="shared" si="9"/>
        <v>37.27333333</v>
      </c>
      <c r="T58" s="221"/>
      <c r="U58" s="221"/>
      <c r="V58" s="221"/>
      <c r="W58" s="221"/>
      <c r="X58" s="14"/>
      <c r="Y58" s="78"/>
      <c r="Z58" s="78"/>
    </row>
    <row r="59" hidden="1" outlineLevel="1">
      <c r="A59" s="205"/>
      <c r="B59" s="206"/>
      <c r="C59" s="207" t="s">
        <v>39</v>
      </c>
      <c r="D59" s="344">
        <v>-299.85</v>
      </c>
      <c r="E59" s="210">
        <v>-3.0</v>
      </c>
      <c r="F59" s="210">
        <v>0.0</v>
      </c>
      <c r="G59" s="211" t="str">
        <f t="shared" si="1"/>
        <v>#DIV/0!</v>
      </c>
      <c r="H59" s="212">
        <f t="shared" si="2"/>
        <v>99.95</v>
      </c>
      <c r="I59" s="330" t="str">
        <f t="shared" si="3"/>
        <v>#DIV/0!</v>
      </c>
      <c r="J59" s="345">
        <v>132.53</v>
      </c>
      <c r="K59" s="214">
        <v>23977.0</v>
      </c>
      <c r="L59" s="214">
        <v>1.0</v>
      </c>
      <c r="M59" s="346">
        <v>0.0</v>
      </c>
      <c r="N59" s="216" t="str">
        <f t="shared" si="24"/>
        <v>#DIV/0!</v>
      </c>
      <c r="O59" s="217">
        <f t="shared" si="5"/>
        <v>0</v>
      </c>
      <c r="P59" s="216">
        <f t="shared" si="6"/>
        <v>-0.4419876605</v>
      </c>
      <c r="Q59" s="315">
        <f t="shared" si="7"/>
        <v>0</v>
      </c>
      <c r="R59" s="326">
        <f t="shared" si="23"/>
        <v>-299.85</v>
      </c>
      <c r="S59" s="317">
        <f t="shared" si="9"/>
        <v>132.53</v>
      </c>
      <c r="T59" s="221"/>
      <c r="U59" s="221"/>
      <c r="V59" s="221"/>
      <c r="W59" s="221"/>
      <c r="X59" s="14"/>
      <c r="Y59" s="78"/>
      <c r="Z59" s="78"/>
    </row>
    <row r="60" hidden="1" outlineLevel="1">
      <c r="A60" s="205"/>
      <c r="B60" s="206"/>
      <c r="C60" s="207" t="s">
        <v>40</v>
      </c>
      <c r="D60" s="347">
        <v>439.6</v>
      </c>
      <c r="E60" s="210">
        <v>8.0</v>
      </c>
      <c r="F60" s="210">
        <v>6.0</v>
      </c>
      <c r="G60" s="211">
        <f t="shared" si="1"/>
        <v>1.333333333</v>
      </c>
      <c r="H60" s="212">
        <f t="shared" si="2"/>
        <v>54.95</v>
      </c>
      <c r="I60" s="330">
        <f t="shared" si="3"/>
        <v>41.2125</v>
      </c>
      <c r="J60" s="348">
        <v>0.0</v>
      </c>
      <c r="K60" s="214">
        <v>0.0</v>
      </c>
      <c r="L60" s="214">
        <v>0.0</v>
      </c>
      <c r="M60" s="349">
        <v>0.0</v>
      </c>
      <c r="N60" s="216" t="str">
        <f t="shared" si="24"/>
        <v>#DIV/0!</v>
      </c>
      <c r="O60" s="217" t="str">
        <f t="shared" si="5"/>
        <v>#DIV/0!</v>
      </c>
      <c r="P60" s="216">
        <f t="shared" si="6"/>
        <v>0</v>
      </c>
      <c r="Q60" s="315">
        <f t="shared" si="7"/>
        <v>0</v>
      </c>
      <c r="R60" s="327">
        <f t="shared" si="23"/>
        <v>439.6</v>
      </c>
      <c r="S60" s="317" t="str">
        <f t="shared" si="9"/>
        <v>#DIV/0!</v>
      </c>
      <c r="T60" s="221"/>
      <c r="U60" s="221"/>
      <c r="V60" s="221"/>
      <c r="W60" s="221"/>
      <c r="X60" s="14"/>
      <c r="Y60" s="78"/>
      <c r="Z60" s="78"/>
    </row>
    <row r="61" hidden="1" outlineLevel="1">
      <c r="A61" s="205"/>
      <c r="B61" s="206"/>
      <c r="C61" s="207" t="s">
        <v>41</v>
      </c>
      <c r="D61" s="224">
        <v>109.98</v>
      </c>
      <c r="E61" s="210">
        <v>2.0</v>
      </c>
      <c r="F61" s="210">
        <v>1.0</v>
      </c>
      <c r="G61" s="211">
        <f t="shared" si="1"/>
        <v>2</v>
      </c>
      <c r="H61" s="212">
        <f t="shared" si="2"/>
        <v>54.99</v>
      </c>
      <c r="I61" s="330">
        <f t="shared" si="3"/>
        <v>27.495</v>
      </c>
      <c r="J61" s="350">
        <v>0.0</v>
      </c>
      <c r="K61" s="214">
        <v>0.0</v>
      </c>
      <c r="L61" s="214">
        <v>0.0</v>
      </c>
      <c r="M61" s="225">
        <v>0.0</v>
      </c>
      <c r="N61" s="216" t="str">
        <f t="shared" si="24"/>
        <v>#DIV/0!</v>
      </c>
      <c r="O61" s="217" t="str">
        <f t="shared" si="5"/>
        <v>#DIV/0!</v>
      </c>
      <c r="P61" s="216">
        <f t="shared" si="6"/>
        <v>0</v>
      </c>
      <c r="Q61" s="315">
        <f t="shared" si="7"/>
        <v>0</v>
      </c>
      <c r="R61" s="351">
        <f t="shared" si="23"/>
        <v>109.98</v>
      </c>
      <c r="S61" s="317" t="str">
        <f t="shared" si="9"/>
        <v>#DIV/0!</v>
      </c>
      <c r="T61" s="221"/>
      <c r="U61" s="221"/>
      <c r="V61" s="221"/>
      <c r="W61" s="221"/>
      <c r="X61" s="14"/>
      <c r="Y61" s="78"/>
      <c r="Z61" s="78"/>
    </row>
    <row r="62" hidden="1" outlineLevel="1">
      <c r="A62" s="205"/>
      <c r="B62" s="206"/>
      <c r="C62" s="207" t="s">
        <v>42</v>
      </c>
      <c r="D62" s="335">
        <v>-38.89</v>
      </c>
      <c r="E62" s="210">
        <v>2.0</v>
      </c>
      <c r="F62" s="210">
        <v>3.0</v>
      </c>
      <c r="G62" s="211">
        <f t="shared" si="1"/>
        <v>0.6666666667</v>
      </c>
      <c r="H62" s="212">
        <f t="shared" si="2"/>
        <v>-19.445</v>
      </c>
      <c r="I62" s="330">
        <f t="shared" si="3"/>
        <v>-29.1675</v>
      </c>
      <c r="J62" s="336">
        <v>5.88</v>
      </c>
      <c r="K62" s="214">
        <v>10967.0</v>
      </c>
      <c r="L62" s="214">
        <v>2.0</v>
      </c>
      <c r="M62" s="337">
        <v>39.98</v>
      </c>
      <c r="N62" s="216">
        <f t="shared" si="24"/>
        <v>0.1470735368</v>
      </c>
      <c r="O62" s="217">
        <f t="shared" si="5"/>
        <v>6.799319728</v>
      </c>
      <c r="P62" s="216">
        <f t="shared" si="6"/>
        <v>-0.1511956801</v>
      </c>
      <c r="Q62" s="315">
        <f t="shared" si="7"/>
        <v>-1.028027771</v>
      </c>
      <c r="R62" s="319">
        <f t="shared" si="23"/>
        <v>-78.87</v>
      </c>
      <c r="S62" s="317">
        <f t="shared" si="9"/>
        <v>2.94</v>
      </c>
      <c r="T62" s="221"/>
      <c r="U62" s="221"/>
      <c r="V62" s="221"/>
      <c r="W62" s="221"/>
      <c r="X62" s="14"/>
      <c r="Y62" s="78"/>
      <c r="Z62" s="78"/>
    </row>
    <row r="63" hidden="1" outlineLevel="1">
      <c r="A63" s="205"/>
      <c r="B63" s="206"/>
      <c r="C63" s="207" t="s">
        <v>43</v>
      </c>
      <c r="D63" s="226">
        <v>0.0</v>
      </c>
      <c r="E63" s="210">
        <v>0.0</v>
      </c>
      <c r="F63" s="210">
        <v>0.0</v>
      </c>
      <c r="G63" s="211" t="str">
        <f t="shared" si="1"/>
        <v>#DIV/0!</v>
      </c>
      <c r="H63" s="212" t="str">
        <f t="shared" si="2"/>
        <v>#DIV/0!</v>
      </c>
      <c r="I63" s="330" t="str">
        <f t="shared" si="3"/>
        <v>#DIV/0!</v>
      </c>
      <c r="J63" s="352">
        <v>14.6</v>
      </c>
      <c r="K63" s="214">
        <v>23765.0</v>
      </c>
      <c r="L63" s="214">
        <v>0.0</v>
      </c>
      <c r="M63" s="227">
        <v>0.0</v>
      </c>
      <c r="N63" s="216" t="str">
        <f t="shared" si="24"/>
        <v>#DIV/0!</v>
      </c>
      <c r="O63" s="217">
        <f t="shared" si="5"/>
        <v>0</v>
      </c>
      <c r="P63" s="216" t="str">
        <f t="shared" si="6"/>
        <v>#DIV/0!</v>
      </c>
      <c r="Q63" s="315" t="str">
        <f t="shared" si="7"/>
        <v>#DIV/0!</v>
      </c>
      <c r="R63" s="328">
        <f t="shared" si="23"/>
        <v>0</v>
      </c>
      <c r="S63" s="317" t="str">
        <f t="shared" si="9"/>
        <v>#DIV/0!</v>
      </c>
      <c r="T63" s="221"/>
      <c r="U63" s="221"/>
      <c r="V63" s="221"/>
      <c r="W63" s="221"/>
      <c r="X63" s="14"/>
      <c r="Y63" s="78"/>
      <c r="Z63" s="78"/>
    </row>
    <row r="64" hidden="1" outlineLevel="1">
      <c r="A64" s="205"/>
      <c r="B64" s="206"/>
      <c r="C64" s="207" t="s">
        <v>44</v>
      </c>
      <c r="D64" s="353">
        <v>119.9</v>
      </c>
      <c r="E64" s="210">
        <v>2.0</v>
      </c>
      <c r="F64" s="210">
        <v>2.0</v>
      </c>
      <c r="G64" s="211">
        <f t="shared" si="1"/>
        <v>1</v>
      </c>
      <c r="H64" s="212">
        <f t="shared" si="2"/>
        <v>59.95</v>
      </c>
      <c r="I64" s="330">
        <f t="shared" si="3"/>
        <v>59.95</v>
      </c>
      <c r="J64" s="354">
        <v>11.24</v>
      </c>
      <c r="K64" s="214">
        <v>7724.0</v>
      </c>
      <c r="L64" s="214">
        <v>1.0</v>
      </c>
      <c r="M64" s="355">
        <v>59.95</v>
      </c>
      <c r="N64" s="216">
        <f t="shared" si="24"/>
        <v>0.1874895746</v>
      </c>
      <c r="O64" s="217">
        <f t="shared" si="5"/>
        <v>5.333629893</v>
      </c>
      <c r="P64" s="216">
        <f t="shared" si="6"/>
        <v>0.09374478732</v>
      </c>
      <c r="Q64" s="315">
        <f t="shared" si="7"/>
        <v>0.5</v>
      </c>
      <c r="R64" s="356">
        <f t="shared" si="23"/>
        <v>59.95</v>
      </c>
      <c r="S64" s="317">
        <f t="shared" si="9"/>
        <v>11.24</v>
      </c>
      <c r="T64" s="221"/>
      <c r="U64" s="221"/>
      <c r="V64" s="221"/>
      <c r="W64" s="221"/>
      <c r="X64" s="14"/>
      <c r="Y64" s="78"/>
      <c r="Z64" s="78"/>
    </row>
    <row r="65" hidden="1" outlineLevel="1">
      <c r="A65" s="357"/>
      <c r="B65" s="206"/>
      <c r="C65" s="358" t="s">
        <v>45</v>
      </c>
      <c r="D65" s="208">
        <v>39.9</v>
      </c>
      <c r="E65" s="210">
        <v>2.0</v>
      </c>
      <c r="F65" s="210">
        <v>1.0</v>
      </c>
      <c r="G65" s="104">
        <f t="shared" si="1"/>
        <v>2</v>
      </c>
      <c r="H65" s="105">
        <f t="shared" si="2"/>
        <v>19.95</v>
      </c>
      <c r="I65" s="106">
        <f t="shared" si="3"/>
        <v>9.975</v>
      </c>
      <c r="J65" s="331">
        <v>0.0</v>
      </c>
      <c r="K65" s="214">
        <v>0.0</v>
      </c>
      <c r="L65" s="214">
        <v>0.0</v>
      </c>
      <c r="M65" s="333">
        <v>0.0</v>
      </c>
      <c r="N65" s="109" t="str">
        <f t="shared" si="24"/>
        <v>#DIV/0!</v>
      </c>
      <c r="O65" s="110" t="str">
        <f t="shared" si="5"/>
        <v>#DIV/0!</v>
      </c>
      <c r="P65" s="109">
        <f t="shared" si="6"/>
        <v>0</v>
      </c>
      <c r="Q65" s="111">
        <f t="shared" si="7"/>
        <v>0</v>
      </c>
      <c r="R65" s="112">
        <f t="shared" si="23"/>
        <v>39.9</v>
      </c>
      <c r="S65" s="113" t="str">
        <f t="shared" si="9"/>
        <v>#DIV/0!</v>
      </c>
      <c r="T65" s="193"/>
      <c r="U65" s="193"/>
      <c r="V65" s="193"/>
      <c r="W65" s="194"/>
      <c r="X65" s="195"/>
      <c r="Y65" s="78"/>
      <c r="Z65" s="78"/>
    </row>
    <row r="66" hidden="1" outlineLevel="1">
      <c r="A66" s="310"/>
      <c r="B66" s="99"/>
      <c r="C66" s="294" t="s">
        <v>46</v>
      </c>
      <c r="D66" s="196">
        <v>258.91</v>
      </c>
      <c r="E66" s="169">
        <v>7.0</v>
      </c>
      <c r="F66" s="169">
        <v>8.0</v>
      </c>
      <c r="G66" s="104">
        <f t="shared" si="1"/>
        <v>0.875</v>
      </c>
      <c r="H66" s="105">
        <f t="shared" si="2"/>
        <v>36.98714286</v>
      </c>
      <c r="I66" s="106">
        <f t="shared" si="3"/>
        <v>42.27102041</v>
      </c>
      <c r="J66" s="196">
        <v>72.21</v>
      </c>
      <c r="K66" s="169">
        <v>29832.0</v>
      </c>
      <c r="L66" s="169">
        <v>1.0</v>
      </c>
      <c r="M66" s="197">
        <v>35.96</v>
      </c>
      <c r="N66" s="109">
        <f t="shared" si="24"/>
        <v>2.008064516</v>
      </c>
      <c r="O66" s="110">
        <f t="shared" si="5"/>
        <v>0.4979919679</v>
      </c>
      <c r="P66" s="109">
        <f t="shared" si="6"/>
        <v>0.2789000039</v>
      </c>
      <c r="Q66" s="111">
        <f t="shared" si="7"/>
        <v>0.1388899618</v>
      </c>
      <c r="R66" s="112">
        <f t="shared" si="23"/>
        <v>222.95</v>
      </c>
      <c r="S66" s="113">
        <f t="shared" si="9"/>
        <v>72.21</v>
      </c>
      <c r="T66" s="172"/>
      <c r="U66" s="172"/>
      <c r="V66" s="172"/>
      <c r="W66" s="172"/>
      <c r="X66" s="173"/>
      <c r="Y66" s="165"/>
      <c r="Z66" s="165"/>
    </row>
    <row r="67" hidden="1" outlineLevel="1">
      <c r="A67" s="310"/>
      <c r="B67" s="99"/>
      <c r="C67" s="207" t="s">
        <v>49</v>
      </c>
      <c r="D67" s="329">
        <v>0.0</v>
      </c>
      <c r="E67" s="210">
        <v>0.0</v>
      </c>
      <c r="F67" s="210">
        <v>0.0</v>
      </c>
      <c r="G67" s="211" t="str">
        <f t="shared" si="1"/>
        <v>#DIV/0!</v>
      </c>
      <c r="H67" s="212" t="str">
        <f t="shared" si="2"/>
        <v>#DIV/0!</v>
      </c>
      <c r="I67" s="330" t="str">
        <f t="shared" si="3"/>
        <v>#DIV/0!</v>
      </c>
      <c r="J67" s="359">
        <v>2.24</v>
      </c>
      <c r="K67" s="214">
        <v>7193.0</v>
      </c>
      <c r="L67" s="214">
        <v>0.0</v>
      </c>
      <c r="M67" s="360">
        <v>0.0</v>
      </c>
      <c r="N67" s="216" t="str">
        <f t="shared" si="24"/>
        <v>#DIV/0!</v>
      </c>
      <c r="O67" s="217">
        <f t="shared" si="5"/>
        <v>0</v>
      </c>
      <c r="P67" s="216" t="str">
        <f t="shared" si="6"/>
        <v>#DIV/0!</v>
      </c>
      <c r="Q67" s="315" t="str">
        <f t="shared" si="7"/>
        <v>#DIV/0!</v>
      </c>
      <c r="R67" s="316">
        <f t="shared" si="23"/>
        <v>0</v>
      </c>
      <c r="S67" s="317" t="str">
        <f t="shared" si="9"/>
        <v>#DIV/0!</v>
      </c>
      <c r="T67" s="172"/>
      <c r="U67" s="172"/>
      <c r="V67" s="172"/>
      <c r="W67" s="172"/>
      <c r="X67" s="173"/>
      <c r="Y67" s="165"/>
      <c r="Z67" s="165"/>
    </row>
    <row r="68" hidden="1" outlineLevel="1">
      <c r="A68" s="205" t="str">
        <f t="shared" ref="A68:A69" si="25">iferror(if(B68&gt;0,month(B68)&amp;"-"&amp;year(B68),B68),)</f>
        <v>3-2025</v>
      </c>
      <c r="B68" s="206">
        <v>45731.0</v>
      </c>
      <c r="C68" s="279" t="s">
        <v>67</v>
      </c>
      <c r="D68" s="329">
        <v>0.0</v>
      </c>
      <c r="E68" s="210">
        <v>0.0</v>
      </c>
      <c r="F68" s="210">
        <v>0.0</v>
      </c>
      <c r="G68" s="211" t="str">
        <f t="shared" si="1"/>
        <v>#DIV/0!</v>
      </c>
      <c r="H68" s="212" t="str">
        <f t="shared" si="2"/>
        <v>#DIV/0!</v>
      </c>
      <c r="I68" s="330" t="str">
        <f t="shared" si="3"/>
        <v>#DIV/0!</v>
      </c>
      <c r="J68" s="334">
        <v>92.74</v>
      </c>
      <c r="K68" s="406">
        <v>14061.0</v>
      </c>
      <c r="L68" s="407"/>
      <c r="M68" s="215">
        <v>1018.9</v>
      </c>
      <c r="N68" s="216">
        <f t="shared" si="24"/>
        <v>0.09101972716</v>
      </c>
      <c r="O68" s="217">
        <f t="shared" si="5"/>
        <v>10.98662929</v>
      </c>
      <c r="P68" s="216" t="str">
        <f t="shared" si="6"/>
        <v>#DIV/0!</v>
      </c>
      <c r="Q68" s="315" t="str">
        <f t="shared" si="7"/>
        <v>#DIV/0!</v>
      </c>
      <c r="R68" s="316">
        <f t="shared" si="23"/>
        <v>-1018.9</v>
      </c>
      <c r="S68" s="317" t="str">
        <f t="shared" si="9"/>
        <v>#DIV/0!</v>
      </c>
      <c r="T68" s="221"/>
      <c r="U68" s="221"/>
      <c r="V68" s="221"/>
      <c r="W68" s="221"/>
      <c r="X68" s="14"/>
      <c r="Y68" s="78"/>
      <c r="Z68" s="78"/>
    </row>
    <row r="69" collapsed="1">
      <c r="A69" s="205" t="str">
        <f t="shared" si="25"/>
        <v/>
      </c>
      <c r="B69" s="80" t="s">
        <v>98</v>
      </c>
      <c r="C69" s="81"/>
      <c r="D69" s="82">
        <f t="shared" ref="D69:F69" si="26">SUM(D51:D68)</f>
        <v>7581.32</v>
      </c>
      <c r="E69" s="84">
        <f t="shared" si="26"/>
        <v>94</v>
      </c>
      <c r="F69" s="84">
        <f t="shared" si="26"/>
        <v>95</v>
      </c>
      <c r="G69" s="85">
        <f t="shared" si="1"/>
        <v>0.9894736842</v>
      </c>
      <c r="H69" s="86">
        <f t="shared" si="2"/>
        <v>80.65234043</v>
      </c>
      <c r="I69" s="87">
        <f t="shared" si="3"/>
        <v>81.51034405</v>
      </c>
      <c r="J69" s="82">
        <f t="shared" ref="J69:M69" si="27">SUM(J51:J68)</f>
        <v>1223.46</v>
      </c>
      <c r="K69" s="88">
        <f t="shared" si="27"/>
        <v>309973</v>
      </c>
      <c r="L69" s="88">
        <f t="shared" si="27"/>
        <v>30</v>
      </c>
      <c r="M69" s="89">
        <f t="shared" si="27"/>
        <v>3493.97</v>
      </c>
      <c r="N69" s="90">
        <f t="shared" si="24"/>
        <v>0.3501632813</v>
      </c>
      <c r="O69" s="91">
        <f t="shared" si="5"/>
        <v>2.85581057</v>
      </c>
      <c r="P69" s="90">
        <f t="shared" si="6"/>
        <v>0.1613782296</v>
      </c>
      <c r="Q69" s="92">
        <f t="shared" si="7"/>
        <v>0.460865654</v>
      </c>
      <c r="R69" s="233">
        <f>SUM(R51:R68)</f>
        <v>4087.35</v>
      </c>
      <c r="S69" s="94">
        <f t="shared" si="9"/>
        <v>40.782</v>
      </c>
      <c r="T69" s="95">
        <f t="shared" ref="T69:U69" si="28">IFERROR((D69-D50)/D69,)</f>
        <v>0.02780782238</v>
      </c>
      <c r="U69" s="95">
        <f t="shared" si="28"/>
        <v>-0.2446808511</v>
      </c>
      <c r="V69" s="96" t="str">
        <f t="shared" ref="V69:W69" si="29">IFERROR((D69-#REF!)/D69, )</f>
        <v/>
      </c>
      <c r="W69" s="96" t="str">
        <f t="shared" si="29"/>
        <v/>
      </c>
      <c r="X69" s="97"/>
      <c r="Y69" s="78"/>
      <c r="Z69" s="78"/>
    </row>
    <row r="70" hidden="1" outlineLevel="1">
      <c r="A70" s="165"/>
      <c r="B70" s="99">
        <v>45732.0</v>
      </c>
      <c r="C70" s="100" t="s">
        <v>32</v>
      </c>
      <c r="D70" s="101">
        <v>2285.01</v>
      </c>
      <c r="E70" s="280">
        <v>10.0</v>
      </c>
      <c r="F70" s="280">
        <v>9.0</v>
      </c>
      <c r="G70" s="104">
        <f t="shared" si="1"/>
        <v>1.111111111</v>
      </c>
      <c r="H70" s="105">
        <f t="shared" si="2"/>
        <v>228.501</v>
      </c>
      <c r="I70" s="106">
        <f t="shared" si="3"/>
        <v>205.6509</v>
      </c>
      <c r="J70" s="107">
        <v>367.43</v>
      </c>
      <c r="K70" s="280">
        <v>88929.0</v>
      </c>
      <c r="L70" s="280">
        <v>5.0</v>
      </c>
      <c r="M70" s="108">
        <v>1609.38</v>
      </c>
      <c r="N70" s="109">
        <f t="shared" si="24"/>
        <v>0.2283053101</v>
      </c>
      <c r="O70" s="110">
        <f t="shared" si="5"/>
        <v>4.380099611</v>
      </c>
      <c r="P70" s="109">
        <f t="shared" si="6"/>
        <v>0.1608001716</v>
      </c>
      <c r="Q70" s="111">
        <f t="shared" si="7"/>
        <v>0.7043207688</v>
      </c>
      <c r="R70" s="112">
        <f t="shared" ref="R70:R87" si="30">D70-M70</f>
        <v>675.63</v>
      </c>
      <c r="S70" s="113">
        <f t="shared" si="9"/>
        <v>73.486</v>
      </c>
      <c r="T70" s="172"/>
      <c r="U70" s="172"/>
      <c r="V70" s="172"/>
      <c r="W70" s="172"/>
      <c r="X70" s="173"/>
      <c r="Y70" s="165"/>
      <c r="Z70" s="165"/>
    </row>
    <row r="71" hidden="1" outlineLevel="1">
      <c r="A71" s="165"/>
      <c r="B71" s="174"/>
      <c r="C71" s="100" t="s">
        <v>33</v>
      </c>
      <c r="D71" s="117">
        <v>4824.6</v>
      </c>
      <c r="E71" s="280">
        <v>37.0</v>
      </c>
      <c r="F71" s="280">
        <v>41.0</v>
      </c>
      <c r="G71" s="104">
        <f t="shared" si="1"/>
        <v>0.9024390244</v>
      </c>
      <c r="H71" s="105">
        <f t="shared" si="2"/>
        <v>130.3945946</v>
      </c>
      <c r="I71" s="106">
        <f t="shared" si="3"/>
        <v>144.4913075</v>
      </c>
      <c r="J71" s="117">
        <v>273.04</v>
      </c>
      <c r="K71" s="280">
        <v>85647.0</v>
      </c>
      <c r="L71" s="280">
        <v>9.0</v>
      </c>
      <c r="M71" s="118">
        <v>624.7</v>
      </c>
      <c r="N71" s="109">
        <f t="shared" si="24"/>
        <v>0.4370737954</v>
      </c>
      <c r="O71" s="110">
        <f t="shared" si="5"/>
        <v>2.287943159</v>
      </c>
      <c r="P71" s="109">
        <f t="shared" si="6"/>
        <v>0.05659329271</v>
      </c>
      <c r="Q71" s="111">
        <f t="shared" si="7"/>
        <v>0.1294822369</v>
      </c>
      <c r="R71" s="119">
        <f t="shared" si="30"/>
        <v>4199.9</v>
      </c>
      <c r="S71" s="113">
        <f t="shared" si="9"/>
        <v>30.33777778</v>
      </c>
      <c r="T71" s="172"/>
      <c r="U71" s="172"/>
      <c r="V71" s="172"/>
      <c r="W71" s="172"/>
      <c r="X71" s="173"/>
      <c r="Y71" s="165"/>
      <c r="Z71" s="165"/>
    </row>
    <row r="72" hidden="1" outlineLevel="1">
      <c r="A72" s="165"/>
      <c r="B72" s="174"/>
      <c r="C72" s="100" t="s">
        <v>34</v>
      </c>
      <c r="D72" s="120">
        <v>0.0</v>
      </c>
      <c r="E72" s="280">
        <v>0.0</v>
      </c>
      <c r="F72" s="280">
        <v>0.0</v>
      </c>
      <c r="G72" s="104" t="str">
        <f t="shared" si="1"/>
        <v>#DIV/0!</v>
      </c>
      <c r="H72" s="105" t="str">
        <f t="shared" si="2"/>
        <v>#DIV/0!</v>
      </c>
      <c r="I72" s="106" t="str">
        <f t="shared" si="3"/>
        <v>#DIV/0!</v>
      </c>
      <c r="J72" s="120">
        <v>0.0</v>
      </c>
      <c r="K72" s="280">
        <v>85.0</v>
      </c>
      <c r="L72" s="280">
        <v>0.0</v>
      </c>
      <c r="M72" s="121">
        <v>0.0</v>
      </c>
      <c r="N72" s="109" t="str">
        <f>(J72/M72)</f>
        <v>#DIV/0!</v>
      </c>
      <c r="O72" s="110" t="str">
        <f t="shared" si="5"/>
        <v>#DIV/0!</v>
      </c>
      <c r="P72" s="109" t="str">
        <f t="shared" si="6"/>
        <v>#DIV/0!</v>
      </c>
      <c r="Q72" s="111" t="str">
        <f t="shared" si="7"/>
        <v>#DIV/0!</v>
      </c>
      <c r="R72" s="122">
        <f t="shared" si="30"/>
        <v>0</v>
      </c>
      <c r="S72" s="113" t="str">
        <f t="shared" si="9"/>
        <v>#DIV/0!</v>
      </c>
      <c r="T72" s="172"/>
      <c r="U72" s="172"/>
      <c r="V72" s="172"/>
      <c r="W72" s="172"/>
      <c r="X72" s="173"/>
      <c r="Y72" s="165"/>
      <c r="Z72" s="165"/>
    </row>
    <row r="73" hidden="1" outlineLevel="1">
      <c r="A73" s="165"/>
      <c r="B73" s="174"/>
      <c r="C73" s="100" t="s">
        <v>35</v>
      </c>
      <c r="D73" s="120">
        <v>659.45</v>
      </c>
      <c r="E73" s="280">
        <v>11.0</v>
      </c>
      <c r="F73" s="280">
        <v>6.0</v>
      </c>
      <c r="G73" s="104">
        <f t="shared" si="1"/>
        <v>1.833333333</v>
      </c>
      <c r="H73" s="105">
        <f t="shared" si="2"/>
        <v>59.95</v>
      </c>
      <c r="I73" s="106">
        <f t="shared" si="3"/>
        <v>32.7</v>
      </c>
      <c r="J73" s="120">
        <v>104.48</v>
      </c>
      <c r="K73" s="280">
        <v>7437.0</v>
      </c>
      <c r="L73" s="280">
        <v>6.0</v>
      </c>
      <c r="M73" s="121">
        <v>359.7</v>
      </c>
      <c r="N73" s="109">
        <f t="shared" ref="N73:N90" si="31">J73/M73</f>
        <v>0.2904642758</v>
      </c>
      <c r="O73" s="110">
        <f t="shared" si="5"/>
        <v>3.442764165</v>
      </c>
      <c r="P73" s="109">
        <f t="shared" si="6"/>
        <v>0.1584350595</v>
      </c>
      <c r="Q73" s="111">
        <f t="shared" si="7"/>
        <v>0.5454545455</v>
      </c>
      <c r="R73" s="122">
        <f t="shared" si="30"/>
        <v>299.75</v>
      </c>
      <c r="S73" s="113">
        <f t="shared" si="9"/>
        <v>17.41333333</v>
      </c>
      <c r="T73" s="172"/>
      <c r="U73" s="172"/>
      <c r="V73" s="172"/>
      <c r="W73" s="172"/>
      <c r="X73" s="173"/>
      <c r="Y73" s="165"/>
      <c r="Z73" s="165"/>
    </row>
    <row r="74" hidden="1" outlineLevel="1">
      <c r="A74" s="165"/>
      <c r="B74" s="174"/>
      <c r="C74" s="100" t="s">
        <v>65</v>
      </c>
      <c r="D74" s="300">
        <v>117.0</v>
      </c>
      <c r="E74" s="280">
        <v>3.0</v>
      </c>
      <c r="F74" s="280">
        <v>2.0</v>
      </c>
      <c r="G74" s="104">
        <f t="shared" si="1"/>
        <v>1.5</v>
      </c>
      <c r="H74" s="105">
        <f t="shared" si="2"/>
        <v>39</v>
      </c>
      <c r="I74" s="106">
        <f t="shared" si="3"/>
        <v>26</v>
      </c>
      <c r="J74" s="300">
        <v>0.0</v>
      </c>
      <c r="K74" s="280">
        <v>0.0</v>
      </c>
      <c r="L74" s="280">
        <v>0.0</v>
      </c>
      <c r="M74" s="300">
        <v>0.0</v>
      </c>
      <c r="N74" s="109" t="str">
        <f t="shared" si="31"/>
        <v>#DIV/0!</v>
      </c>
      <c r="O74" s="110" t="str">
        <f t="shared" si="5"/>
        <v>#DIV/0!</v>
      </c>
      <c r="P74" s="109">
        <f t="shared" si="6"/>
        <v>0</v>
      </c>
      <c r="Q74" s="111">
        <f t="shared" si="7"/>
        <v>0</v>
      </c>
      <c r="R74" s="122">
        <f t="shared" si="30"/>
        <v>117</v>
      </c>
      <c r="S74" s="113" t="str">
        <f t="shared" si="9"/>
        <v>#DIV/0!</v>
      </c>
      <c r="T74" s="172"/>
      <c r="U74" s="172"/>
      <c r="V74" s="172"/>
      <c r="W74" s="172"/>
      <c r="X74" s="173"/>
      <c r="Y74" s="165"/>
      <c r="Z74" s="165"/>
    </row>
    <row r="75" hidden="1" outlineLevel="1">
      <c r="A75" s="165"/>
      <c r="B75" s="174"/>
      <c r="C75" s="100" t="s">
        <v>85</v>
      </c>
      <c r="D75" s="302">
        <v>-64.95</v>
      </c>
      <c r="E75" s="280">
        <v>-1.0</v>
      </c>
      <c r="F75" s="280">
        <v>1.0</v>
      </c>
      <c r="G75" s="104">
        <f t="shared" si="1"/>
        <v>-1</v>
      </c>
      <c r="H75" s="105">
        <f t="shared" si="2"/>
        <v>64.95</v>
      </c>
      <c r="I75" s="106">
        <f t="shared" si="3"/>
        <v>-64.95</v>
      </c>
      <c r="J75" s="302">
        <v>42.1</v>
      </c>
      <c r="K75" s="280">
        <v>1937.0</v>
      </c>
      <c r="L75" s="280">
        <v>0.0</v>
      </c>
      <c r="M75" s="303">
        <v>0.0</v>
      </c>
      <c r="N75" s="109" t="str">
        <f t="shared" si="31"/>
        <v>#DIV/0!</v>
      </c>
      <c r="O75" s="110">
        <f t="shared" si="5"/>
        <v>0</v>
      </c>
      <c r="P75" s="109">
        <f t="shared" si="6"/>
        <v>-0.6481909161</v>
      </c>
      <c r="Q75" s="111">
        <f t="shared" si="7"/>
        <v>0</v>
      </c>
      <c r="R75" s="304">
        <f t="shared" si="30"/>
        <v>-64.95</v>
      </c>
      <c r="S75" s="113" t="str">
        <f t="shared" si="9"/>
        <v>#DIV/0!</v>
      </c>
      <c r="T75" s="172"/>
      <c r="U75" s="172"/>
      <c r="V75" s="172"/>
      <c r="W75" s="172"/>
      <c r="X75" s="173"/>
      <c r="Y75" s="165"/>
      <c r="Z75" s="165"/>
    </row>
    <row r="76" hidden="1" outlineLevel="1">
      <c r="A76" s="165"/>
      <c r="B76" s="174"/>
      <c r="C76" s="100" t="s">
        <v>36</v>
      </c>
      <c r="D76" s="120">
        <v>319.75</v>
      </c>
      <c r="E76" s="280">
        <v>5.0</v>
      </c>
      <c r="F76" s="280">
        <v>6.0</v>
      </c>
      <c r="G76" s="104">
        <f t="shared" si="1"/>
        <v>0.8333333333</v>
      </c>
      <c r="H76" s="105">
        <f t="shared" si="2"/>
        <v>63.95</v>
      </c>
      <c r="I76" s="106">
        <f t="shared" si="3"/>
        <v>76.74</v>
      </c>
      <c r="J76" s="120">
        <v>54.36</v>
      </c>
      <c r="K76" s="280">
        <v>9417.0</v>
      </c>
      <c r="L76" s="280">
        <v>2.0</v>
      </c>
      <c r="M76" s="121">
        <v>119.9</v>
      </c>
      <c r="N76" s="109">
        <f t="shared" si="31"/>
        <v>0.4533778148</v>
      </c>
      <c r="O76" s="110">
        <f t="shared" si="5"/>
        <v>2.205665931</v>
      </c>
      <c r="P76" s="109">
        <f t="shared" si="6"/>
        <v>0.1700078186</v>
      </c>
      <c r="Q76" s="111">
        <f t="shared" si="7"/>
        <v>0.3749804535</v>
      </c>
      <c r="R76" s="122">
        <f t="shared" si="30"/>
        <v>199.85</v>
      </c>
      <c r="S76" s="113">
        <f t="shared" si="9"/>
        <v>27.18</v>
      </c>
      <c r="T76" s="172"/>
      <c r="U76" s="172"/>
      <c r="V76" s="172"/>
      <c r="W76" s="172"/>
      <c r="X76" s="173"/>
      <c r="Y76" s="165"/>
      <c r="Z76" s="165"/>
    </row>
    <row r="77" hidden="1" outlineLevel="1">
      <c r="A77" s="165"/>
      <c r="B77" s="99" t="s">
        <v>37</v>
      </c>
      <c r="C77" s="100" t="s">
        <v>38</v>
      </c>
      <c r="D77" s="123">
        <v>640.36</v>
      </c>
      <c r="E77" s="280">
        <v>12.0</v>
      </c>
      <c r="F77" s="280">
        <v>13.0</v>
      </c>
      <c r="G77" s="104">
        <f t="shared" si="1"/>
        <v>0.9230769231</v>
      </c>
      <c r="H77" s="105">
        <f t="shared" si="2"/>
        <v>53.36333333</v>
      </c>
      <c r="I77" s="106">
        <f t="shared" si="3"/>
        <v>57.81027778</v>
      </c>
      <c r="J77" s="123">
        <v>116.03</v>
      </c>
      <c r="K77" s="280">
        <v>14400.0</v>
      </c>
      <c r="L77" s="280">
        <v>2.0</v>
      </c>
      <c r="M77" s="124">
        <v>101.51</v>
      </c>
      <c r="N77" s="109">
        <f t="shared" si="31"/>
        <v>1.143040095</v>
      </c>
      <c r="O77" s="110">
        <f t="shared" si="5"/>
        <v>0.87485995</v>
      </c>
      <c r="P77" s="109">
        <f t="shared" si="6"/>
        <v>0.1811949528</v>
      </c>
      <c r="Q77" s="111">
        <f t="shared" si="7"/>
        <v>0.1585202074</v>
      </c>
      <c r="R77" s="125">
        <f t="shared" si="30"/>
        <v>538.85</v>
      </c>
      <c r="S77" s="113">
        <f t="shared" si="9"/>
        <v>58.015</v>
      </c>
      <c r="T77" s="172"/>
      <c r="U77" s="172"/>
      <c r="V77" s="172"/>
      <c r="W77" s="172"/>
      <c r="X77" s="173"/>
      <c r="Y77" s="165"/>
      <c r="Z77" s="165"/>
    </row>
    <row r="78" hidden="1" outlineLevel="1">
      <c r="A78" s="165"/>
      <c r="B78" s="174"/>
      <c r="C78" s="100" t="s">
        <v>39</v>
      </c>
      <c r="D78" s="126">
        <v>99.95</v>
      </c>
      <c r="E78" s="280">
        <v>1.0</v>
      </c>
      <c r="F78" s="280">
        <v>1.0</v>
      </c>
      <c r="G78" s="104">
        <f t="shared" si="1"/>
        <v>1</v>
      </c>
      <c r="H78" s="105">
        <f t="shared" si="2"/>
        <v>99.95</v>
      </c>
      <c r="I78" s="106">
        <f t="shared" si="3"/>
        <v>99.95</v>
      </c>
      <c r="J78" s="126">
        <v>0.0</v>
      </c>
      <c r="K78" s="280">
        <v>0.0</v>
      </c>
      <c r="L78" s="280">
        <v>0.0</v>
      </c>
      <c r="M78" s="127">
        <v>0.0</v>
      </c>
      <c r="N78" s="109" t="str">
        <f t="shared" si="31"/>
        <v>#DIV/0!</v>
      </c>
      <c r="O78" s="110" t="str">
        <f t="shared" si="5"/>
        <v>#DIV/0!</v>
      </c>
      <c r="P78" s="109">
        <f t="shared" si="6"/>
        <v>0</v>
      </c>
      <c r="Q78" s="111">
        <f t="shared" si="7"/>
        <v>0</v>
      </c>
      <c r="R78" s="128">
        <f t="shared" si="30"/>
        <v>99.95</v>
      </c>
      <c r="S78" s="113" t="str">
        <f t="shared" si="9"/>
        <v>#DIV/0!</v>
      </c>
      <c r="T78" s="172"/>
      <c r="U78" s="172"/>
      <c r="V78" s="172"/>
      <c r="W78" s="172"/>
      <c r="X78" s="173"/>
      <c r="Y78" s="165"/>
      <c r="Z78" s="165"/>
    </row>
    <row r="79" hidden="1" outlineLevel="1">
      <c r="A79" s="165"/>
      <c r="B79" s="174"/>
      <c r="C79" s="100" t="s">
        <v>40</v>
      </c>
      <c r="D79" s="129">
        <v>265.71</v>
      </c>
      <c r="E79" s="280">
        <v>5.0</v>
      </c>
      <c r="F79" s="280">
        <v>4.0</v>
      </c>
      <c r="G79" s="104">
        <f t="shared" si="1"/>
        <v>1.25</v>
      </c>
      <c r="H79" s="105">
        <f t="shared" si="2"/>
        <v>53.142</v>
      </c>
      <c r="I79" s="106">
        <f t="shared" si="3"/>
        <v>42.5136</v>
      </c>
      <c r="J79" s="129">
        <v>0.0</v>
      </c>
      <c r="K79" s="280">
        <v>0.0</v>
      </c>
      <c r="L79" s="280">
        <v>0.0</v>
      </c>
      <c r="M79" s="130">
        <v>0.0</v>
      </c>
      <c r="N79" s="109" t="str">
        <f t="shared" si="31"/>
        <v>#DIV/0!</v>
      </c>
      <c r="O79" s="110" t="str">
        <f t="shared" si="5"/>
        <v>#DIV/0!</v>
      </c>
      <c r="P79" s="109">
        <f t="shared" si="6"/>
        <v>0</v>
      </c>
      <c r="Q79" s="111">
        <f t="shared" si="7"/>
        <v>0</v>
      </c>
      <c r="R79" s="131">
        <f t="shared" si="30"/>
        <v>265.71</v>
      </c>
      <c r="S79" s="113" t="str">
        <f t="shared" si="9"/>
        <v>#DIV/0!</v>
      </c>
      <c r="T79" s="172"/>
      <c r="U79" s="172"/>
      <c r="V79" s="172"/>
      <c r="W79" s="172"/>
      <c r="X79" s="173"/>
      <c r="Y79" s="165"/>
      <c r="Z79" s="165"/>
    </row>
    <row r="80" hidden="1" outlineLevel="1">
      <c r="A80" s="165"/>
      <c r="B80" s="174"/>
      <c r="C80" s="100" t="s">
        <v>41</v>
      </c>
      <c r="D80" s="132">
        <v>66.99</v>
      </c>
      <c r="E80" s="280">
        <v>1.0</v>
      </c>
      <c r="F80" s="280">
        <v>1.0</v>
      </c>
      <c r="G80" s="104">
        <f t="shared" si="1"/>
        <v>1</v>
      </c>
      <c r="H80" s="105">
        <f t="shared" si="2"/>
        <v>66.99</v>
      </c>
      <c r="I80" s="106">
        <f t="shared" si="3"/>
        <v>66.99</v>
      </c>
      <c r="J80" s="132">
        <v>0.0</v>
      </c>
      <c r="K80" s="280">
        <v>6.0</v>
      </c>
      <c r="L80" s="280">
        <v>0.0</v>
      </c>
      <c r="M80" s="133">
        <v>0.0</v>
      </c>
      <c r="N80" s="109" t="str">
        <f t="shared" si="31"/>
        <v>#DIV/0!</v>
      </c>
      <c r="O80" s="110" t="str">
        <f t="shared" si="5"/>
        <v>#DIV/0!</v>
      </c>
      <c r="P80" s="109">
        <f t="shared" si="6"/>
        <v>0</v>
      </c>
      <c r="Q80" s="111">
        <f t="shared" si="7"/>
        <v>0</v>
      </c>
      <c r="R80" s="134">
        <f t="shared" si="30"/>
        <v>66.99</v>
      </c>
      <c r="S80" s="113" t="str">
        <f t="shared" si="9"/>
        <v>#DIV/0!</v>
      </c>
      <c r="T80" s="172"/>
      <c r="U80" s="172"/>
      <c r="V80" s="172"/>
      <c r="W80" s="172"/>
      <c r="X80" s="173"/>
      <c r="Y80" s="165"/>
      <c r="Z80" s="165"/>
    </row>
    <row r="81" hidden="1" outlineLevel="1">
      <c r="A81" s="165"/>
      <c r="B81" s="174"/>
      <c r="C81" s="100" t="s">
        <v>42</v>
      </c>
      <c r="D81" s="120">
        <v>139.93</v>
      </c>
      <c r="E81" s="280">
        <v>7.0</v>
      </c>
      <c r="F81" s="280">
        <v>6.0</v>
      </c>
      <c r="G81" s="104">
        <f t="shared" si="1"/>
        <v>1.166666667</v>
      </c>
      <c r="H81" s="105">
        <f t="shared" si="2"/>
        <v>19.99</v>
      </c>
      <c r="I81" s="106">
        <f t="shared" si="3"/>
        <v>17.13428571</v>
      </c>
      <c r="J81" s="120">
        <v>3.0</v>
      </c>
      <c r="K81" s="280">
        <v>10710.0</v>
      </c>
      <c r="L81" s="280">
        <v>0.0</v>
      </c>
      <c r="M81" s="121">
        <v>0.0</v>
      </c>
      <c r="N81" s="109" t="str">
        <f t="shared" si="31"/>
        <v>#DIV/0!</v>
      </c>
      <c r="O81" s="110">
        <f t="shared" si="5"/>
        <v>0</v>
      </c>
      <c r="P81" s="109">
        <f t="shared" si="6"/>
        <v>0.02143929107</v>
      </c>
      <c r="Q81" s="111">
        <f t="shared" si="7"/>
        <v>0</v>
      </c>
      <c r="R81" s="122">
        <f t="shared" si="30"/>
        <v>139.93</v>
      </c>
      <c r="S81" s="113" t="str">
        <f t="shared" si="9"/>
        <v>#DIV/0!</v>
      </c>
      <c r="T81" s="172"/>
      <c r="U81" s="172"/>
      <c r="V81" s="172"/>
      <c r="W81" s="172"/>
      <c r="X81" s="173"/>
      <c r="Y81" s="165"/>
      <c r="Z81" s="165"/>
    </row>
    <row r="82" hidden="1" outlineLevel="1">
      <c r="A82" s="165"/>
      <c r="B82" s="174"/>
      <c r="C82" s="100" t="s">
        <v>43</v>
      </c>
      <c r="D82" s="135">
        <v>0.0</v>
      </c>
      <c r="E82" s="280">
        <v>0.0</v>
      </c>
      <c r="F82" s="280">
        <v>0.0</v>
      </c>
      <c r="G82" s="104" t="str">
        <f t="shared" si="1"/>
        <v>#DIV/0!</v>
      </c>
      <c r="H82" s="105" t="str">
        <f t="shared" si="2"/>
        <v>#DIV/0!</v>
      </c>
      <c r="I82" s="106" t="str">
        <f t="shared" si="3"/>
        <v>#DIV/0!</v>
      </c>
      <c r="J82" s="135">
        <v>19.95</v>
      </c>
      <c r="K82" s="280">
        <v>20397.0</v>
      </c>
      <c r="L82" s="280">
        <v>0.0</v>
      </c>
      <c r="M82" s="136">
        <v>0.0</v>
      </c>
      <c r="N82" s="109" t="str">
        <f t="shared" si="31"/>
        <v>#DIV/0!</v>
      </c>
      <c r="O82" s="110">
        <f t="shared" si="5"/>
        <v>0</v>
      </c>
      <c r="P82" s="109" t="str">
        <f t="shared" si="6"/>
        <v>#DIV/0!</v>
      </c>
      <c r="Q82" s="111" t="str">
        <f t="shared" si="7"/>
        <v>#DIV/0!</v>
      </c>
      <c r="R82" s="137">
        <f t="shared" si="30"/>
        <v>0</v>
      </c>
      <c r="S82" s="113" t="str">
        <f t="shared" si="9"/>
        <v>#DIV/0!</v>
      </c>
      <c r="T82" s="172"/>
      <c r="U82" s="172"/>
      <c r="V82" s="172"/>
      <c r="W82" s="172"/>
      <c r="X82" s="173"/>
      <c r="Y82" s="165"/>
      <c r="Z82" s="165"/>
    </row>
    <row r="83" hidden="1" outlineLevel="1">
      <c r="A83" s="165"/>
      <c r="B83" s="174"/>
      <c r="C83" s="100" t="s">
        <v>44</v>
      </c>
      <c r="D83" s="138">
        <v>59.95</v>
      </c>
      <c r="E83" s="280">
        <v>1.0</v>
      </c>
      <c r="F83" s="280">
        <v>1.0</v>
      </c>
      <c r="G83" s="104">
        <f t="shared" si="1"/>
        <v>1</v>
      </c>
      <c r="H83" s="105">
        <f t="shared" si="2"/>
        <v>59.95</v>
      </c>
      <c r="I83" s="106">
        <f t="shared" si="3"/>
        <v>59.95</v>
      </c>
      <c r="J83" s="138">
        <v>19.46</v>
      </c>
      <c r="K83" s="280">
        <v>7147.0</v>
      </c>
      <c r="L83" s="280">
        <v>0.0</v>
      </c>
      <c r="M83" s="139">
        <v>0.0</v>
      </c>
      <c r="N83" s="109" t="str">
        <f t="shared" si="31"/>
        <v>#DIV/0!</v>
      </c>
      <c r="O83" s="110">
        <f t="shared" si="5"/>
        <v>0</v>
      </c>
      <c r="P83" s="109">
        <f t="shared" si="6"/>
        <v>0.3246038365</v>
      </c>
      <c r="Q83" s="111">
        <f t="shared" si="7"/>
        <v>0</v>
      </c>
      <c r="R83" s="140">
        <f t="shared" si="30"/>
        <v>59.95</v>
      </c>
      <c r="S83" s="113" t="str">
        <f t="shared" si="9"/>
        <v>#DIV/0!</v>
      </c>
      <c r="T83" s="172"/>
      <c r="U83" s="172"/>
      <c r="V83" s="172"/>
      <c r="W83" s="172"/>
      <c r="X83" s="173"/>
      <c r="Y83" s="165"/>
      <c r="Z83" s="165"/>
    </row>
    <row r="84" hidden="1" outlineLevel="1">
      <c r="A84" s="192"/>
      <c r="B84" s="174"/>
      <c r="C84" s="142" t="s">
        <v>45</v>
      </c>
      <c r="D84" s="101">
        <v>0.0</v>
      </c>
      <c r="E84" s="280">
        <v>0.0</v>
      </c>
      <c r="F84" s="280">
        <v>0.0</v>
      </c>
      <c r="G84" s="104" t="str">
        <f t="shared" si="1"/>
        <v>#DIV/0!</v>
      </c>
      <c r="H84" s="105" t="str">
        <f t="shared" si="2"/>
        <v>#DIV/0!</v>
      </c>
      <c r="I84" s="106" t="str">
        <f t="shared" si="3"/>
        <v>#DIV/0!</v>
      </c>
      <c r="J84" s="101">
        <v>0.0</v>
      </c>
      <c r="K84" s="280">
        <v>0.0</v>
      </c>
      <c r="L84" s="280">
        <v>0.0</v>
      </c>
      <c r="M84" s="108">
        <v>0.0</v>
      </c>
      <c r="N84" s="109" t="str">
        <f t="shared" si="31"/>
        <v>#DIV/0!</v>
      </c>
      <c r="O84" s="110" t="str">
        <f t="shared" si="5"/>
        <v>#DIV/0!</v>
      </c>
      <c r="P84" s="109" t="str">
        <f t="shared" si="6"/>
        <v>#DIV/0!</v>
      </c>
      <c r="Q84" s="111" t="str">
        <f t="shared" si="7"/>
        <v>#DIV/0!</v>
      </c>
      <c r="R84" s="112">
        <f t="shared" si="30"/>
        <v>0</v>
      </c>
      <c r="S84" s="113" t="str">
        <f t="shared" si="9"/>
        <v>#DIV/0!</v>
      </c>
      <c r="T84" s="193"/>
      <c r="U84" s="193"/>
      <c r="V84" s="193"/>
      <c r="W84" s="194"/>
      <c r="X84" s="195"/>
      <c r="Y84" s="165"/>
      <c r="Z84" s="165"/>
    </row>
    <row r="85" hidden="1" outlineLevel="1">
      <c r="A85" s="165"/>
      <c r="B85" s="174"/>
      <c r="C85" s="100" t="s">
        <v>46</v>
      </c>
      <c r="D85" s="146">
        <v>318.24</v>
      </c>
      <c r="E85" s="280">
        <v>9.0</v>
      </c>
      <c r="F85" s="280">
        <v>11.0</v>
      </c>
      <c r="G85" s="104">
        <f t="shared" si="1"/>
        <v>0.8181818182</v>
      </c>
      <c r="H85" s="105">
        <f t="shared" si="2"/>
        <v>35.36</v>
      </c>
      <c r="I85" s="106">
        <f t="shared" si="3"/>
        <v>43.21777778</v>
      </c>
      <c r="J85" s="146">
        <v>75.23</v>
      </c>
      <c r="K85" s="280">
        <v>22887.0</v>
      </c>
      <c r="L85" s="280">
        <v>4.0</v>
      </c>
      <c r="M85" s="147">
        <v>142.04</v>
      </c>
      <c r="N85" s="109">
        <f t="shared" si="31"/>
        <v>0.5296395382</v>
      </c>
      <c r="O85" s="110">
        <f t="shared" si="5"/>
        <v>1.888076565</v>
      </c>
      <c r="P85" s="109">
        <f t="shared" si="6"/>
        <v>0.2363939165</v>
      </c>
      <c r="Q85" s="111">
        <f t="shared" si="7"/>
        <v>0.446329814</v>
      </c>
      <c r="R85" s="112">
        <f t="shared" si="30"/>
        <v>176.2</v>
      </c>
      <c r="S85" s="113">
        <f t="shared" si="9"/>
        <v>18.8075</v>
      </c>
      <c r="T85" s="172"/>
      <c r="U85" s="172"/>
      <c r="V85" s="172"/>
      <c r="W85" s="172"/>
      <c r="X85" s="173"/>
      <c r="Y85" s="165"/>
      <c r="Z85" s="165"/>
    </row>
    <row r="86" hidden="1" outlineLevel="1">
      <c r="A86" s="165"/>
      <c r="B86" s="174"/>
      <c r="C86" s="100" t="s">
        <v>49</v>
      </c>
      <c r="D86" s="146">
        <v>0.0</v>
      </c>
      <c r="E86" s="280">
        <v>0.0</v>
      </c>
      <c r="F86" s="280">
        <v>0.0</v>
      </c>
      <c r="G86" s="104" t="str">
        <f t="shared" si="1"/>
        <v>#DIV/0!</v>
      </c>
      <c r="H86" s="105" t="str">
        <f t="shared" si="2"/>
        <v>#DIV/0!</v>
      </c>
      <c r="I86" s="106" t="str">
        <f t="shared" si="3"/>
        <v>#DIV/0!</v>
      </c>
      <c r="J86" s="146">
        <v>5.99</v>
      </c>
      <c r="K86" s="280">
        <v>6262.0</v>
      </c>
      <c r="L86" s="280">
        <v>0.0</v>
      </c>
      <c r="M86" s="147">
        <v>0.0</v>
      </c>
      <c r="N86" s="109" t="str">
        <f t="shared" si="31"/>
        <v>#DIV/0!</v>
      </c>
      <c r="O86" s="110">
        <f t="shared" si="5"/>
        <v>0</v>
      </c>
      <c r="P86" s="109" t="str">
        <f t="shared" si="6"/>
        <v>#DIV/0!</v>
      </c>
      <c r="Q86" s="111" t="str">
        <f t="shared" si="7"/>
        <v>#DIV/0!</v>
      </c>
      <c r="R86" s="112">
        <f t="shared" si="30"/>
        <v>0</v>
      </c>
      <c r="S86" s="113" t="str">
        <f t="shared" si="9"/>
        <v>#DIV/0!</v>
      </c>
      <c r="T86" s="172"/>
      <c r="U86" s="172"/>
      <c r="V86" s="172"/>
      <c r="W86" s="172"/>
      <c r="X86" s="173"/>
      <c r="Y86" s="165"/>
      <c r="Z86" s="165"/>
    </row>
    <row r="87" hidden="1" outlineLevel="1">
      <c r="A87" s="148" t="str">
        <f t="shared" ref="A87:A88" si="32">iferror(if(B87&gt;0,month(B87)&amp;"-"&amp;year(B87),B87),)</f>
        <v>3-2025</v>
      </c>
      <c r="B87" s="99">
        <v>45738.0</v>
      </c>
      <c r="C87" s="279" t="s">
        <v>67</v>
      </c>
      <c r="D87" s="146">
        <v>0.0</v>
      </c>
      <c r="E87" s="280">
        <v>0.0</v>
      </c>
      <c r="F87" s="280">
        <v>0.0</v>
      </c>
      <c r="G87" s="104" t="str">
        <f t="shared" si="1"/>
        <v>#DIV/0!</v>
      </c>
      <c r="H87" s="105" t="str">
        <f t="shared" si="2"/>
        <v>#DIV/0!</v>
      </c>
      <c r="I87" s="106" t="str">
        <f t="shared" si="3"/>
        <v>#DIV/0!</v>
      </c>
      <c r="J87" s="175">
        <v>128.25</v>
      </c>
      <c r="K87" s="404">
        <v>20661.0</v>
      </c>
      <c r="L87" s="408"/>
      <c r="M87" s="176">
        <v>64.01</v>
      </c>
      <c r="N87" s="109">
        <f t="shared" si="31"/>
        <v>2.003593189</v>
      </c>
      <c r="O87" s="110">
        <f t="shared" si="5"/>
        <v>0.4991033138</v>
      </c>
      <c r="P87" s="109" t="str">
        <f t="shared" si="6"/>
        <v>#DIV/0!</v>
      </c>
      <c r="Q87" s="111" t="str">
        <f t="shared" si="7"/>
        <v>#DIV/0!</v>
      </c>
      <c r="R87" s="112">
        <f t="shared" si="30"/>
        <v>-64.01</v>
      </c>
      <c r="S87" s="113" t="str">
        <f t="shared" si="9"/>
        <v>#DIV/0!</v>
      </c>
      <c r="T87" s="172"/>
      <c r="U87" s="172"/>
      <c r="V87" s="172"/>
      <c r="W87" s="172"/>
      <c r="X87" s="173"/>
      <c r="Y87" s="165"/>
      <c r="Z87" s="165"/>
    </row>
    <row r="88" collapsed="1">
      <c r="A88" s="165" t="str">
        <f t="shared" si="32"/>
        <v/>
      </c>
      <c r="B88" s="80" t="s">
        <v>99</v>
      </c>
      <c r="C88" s="201"/>
      <c r="D88" s="151">
        <f t="shared" ref="D88:F88" si="33">SUM(D70:D87)</f>
        <v>9731.99</v>
      </c>
      <c r="E88" s="202">
        <f t="shared" si="33"/>
        <v>101</v>
      </c>
      <c r="F88" s="202">
        <f t="shared" si="33"/>
        <v>102</v>
      </c>
      <c r="G88" s="154">
        <f t="shared" si="1"/>
        <v>0.9901960784</v>
      </c>
      <c r="H88" s="155">
        <f t="shared" si="2"/>
        <v>96.35633663</v>
      </c>
      <c r="I88" s="156">
        <f t="shared" si="3"/>
        <v>97.31035977</v>
      </c>
      <c r="J88" s="151">
        <f t="shared" ref="J88:M88" si="34">SUM(J70:J87)</f>
        <v>1209.32</v>
      </c>
      <c r="K88" s="202">
        <f t="shared" si="34"/>
        <v>295922</v>
      </c>
      <c r="L88" s="202">
        <f t="shared" si="34"/>
        <v>28</v>
      </c>
      <c r="M88" s="157">
        <f t="shared" si="34"/>
        <v>3021.24</v>
      </c>
      <c r="N88" s="158">
        <f t="shared" si="31"/>
        <v>0.4002727357</v>
      </c>
      <c r="O88" s="159">
        <f t="shared" si="5"/>
        <v>2.498296563</v>
      </c>
      <c r="P88" s="158">
        <f t="shared" si="6"/>
        <v>0.1242623554</v>
      </c>
      <c r="Q88" s="160">
        <f t="shared" si="7"/>
        <v>0.3104442154</v>
      </c>
      <c r="R88" s="161">
        <f>SUM(R70:R87)</f>
        <v>6710.75</v>
      </c>
      <c r="S88" s="162">
        <f t="shared" si="9"/>
        <v>43.19</v>
      </c>
      <c r="T88" s="163">
        <f t="shared" ref="T88:U88" si="35">IFERROR((D88-D69)/D88,)</f>
        <v>0.2209897462</v>
      </c>
      <c r="U88" s="163">
        <f t="shared" si="35"/>
        <v>0.06930693069</v>
      </c>
      <c r="V88" s="398" t="str">
        <f t="shared" ref="V88:W88" si="36">IFERROR((D88-#REF!)/D88, )</f>
        <v/>
      </c>
      <c r="W88" s="398" t="str">
        <f t="shared" si="36"/>
        <v/>
      </c>
      <c r="X88" s="165"/>
      <c r="Y88" s="165"/>
      <c r="Z88" s="165"/>
    </row>
    <row r="89" hidden="1" outlineLevel="1">
      <c r="A89" s="165"/>
      <c r="B89" s="99">
        <v>45739.0</v>
      </c>
      <c r="C89" s="100" t="s">
        <v>32</v>
      </c>
      <c r="D89" s="101">
        <v>8096.74</v>
      </c>
      <c r="E89" s="280">
        <v>23.0</v>
      </c>
      <c r="F89" s="280">
        <v>25.0</v>
      </c>
      <c r="G89" s="104">
        <f t="shared" si="1"/>
        <v>0.92</v>
      </c>
      <c r="H89" s="105">
        <f t="shared" si="2"/>
        <v>352.0321739</v>
      </c>
      <c r="I89" s="106">
        <f t="shared" si="3"/>
        <v>382.6436673</v>
      </c>
      <c r="J89" s="107">
        <v>508.84</v>
      </c>
      <c r="K89" s="280">
        <v>99126.0</v>
      </c>
      <c r="L89" s="280">
        <v>5.0</v>
      </c>
      <c r="M89" s="108">
        <v>900.33</v>
      </c>
      <c r="N89" s="109">
        <f t="shared" si="31"/>
        <v>0.5651705486</v>
      </c>
      <c r="O89" s="110">
        <f t="shared" si="5"/>
        <v>1.769377407</v>
      </c>
      <c r="P89" s="109">
        <f t="shared" si="6"/>
        <v>0.06284504628</v>
      </c>
      <c r="Q89" s="111">
        <f t="shared" si="7"/>
        <v>0.1111966051</v>
      </c>
      <c r="R89" s="112">
        <f t="shared" ref="R89:R106" si="37">D89-M89</f>
        <v>7196.41</v>
      </c>
      <c r="S89" s="113">
        <f t="shared" si="9"/>
        <v>101.768</v>
      </c>
      <c r="T89" s="172"/>
      <c r="U89" s="172"/>
      <c r="V89" s="172"/>
      <c r="W89" s="172"/>
      <c r="X89" s="173"/>
      <c r="Y89" s="165"/>
      <c r="Z89" s="165"/>
    </row>
    <row r="90" hidden="1" outlineLevel="1">
      <c r="A90" s="165"/>
      <c r="B90" s="174"/>
      <c r="C90" s="100" t="s">
        <v>33</v>
      </c>
      <c r="D90" s="117">
        <v>9235.01</v>
      </c>
      <c r="E90" s="280">
        <v>47.0</v>
      </c>
      <c r="F90" s="280">
        <v>46.0</v>
      </c>
      <c r="G90" s="104">
        <f t="shared" si="1"/>
        <v>1.02173913</v>
      </c>
      <c r="H90" s="105">
        <f t="shared" si="2"/>
        <v>196.4895745</v>
      </c>
      <c r="I90" s="106">
        <f t="shared" si="3"/>
        <v>192.3089452</v>
      </c>
      <c r="J90" s="117">
        <v>217.32</v>
      </c>
      <c r="K90" s="280">
        <v>91243.0</v>
      </c>
      <c r="L90" s="280">
        <v>7.0</v>
      </c>
      <c r="M90" s="118">
        <v>1471.02</v>
      </c>
      <c r="N90" s="109">
        <f t="shared" si="31"/>
        <v>0.1477342252</v>
      </c>
      <c r="O90" s="110">
        <f t="shared" si="5"/>
        <v>6.768912203</v>
      </c>
      <c r="P90" s="109">
        <f t="shared" si="6"/>
        <v>0.02353218892</v>
      </c>
      <c r="Q90" s="111">
        <f t="shared" si="7"/>
        <v>0.1592873208</v>
      </c>
      <c r="R90" s="119">
        <f t="shared" si="37"/>
        <v>7763.99</v>
      </c>
      <c r="S90" s="113">
        <f t="shared" si="9"/>
        <v>31.04571429</v>
      </c>
      <c r="T90" s="172"/>
      <c r="U90" s="172"/>
      <c r="V90" s="172"/>
      <c r="W90" s="172"/>
      <c r="X90" s="173"/>
      <c r="Y90" s="165"/>
      <c r="Z90" s="165"/>
    </row>
    <row r="91" hidden="1" outlineLevel="1">
      <c r="A91" s="165"/>
      <c r="B91" s="174"/>
      <c r="C91" s="100" t="s">
        <v>34</v>
      </c>
      <c r="D91" s="120">
        <v>139.9</v>
      </c>
      <c r="E91" s="280">
        <v>2.0</v>
      </c>
      <c r="F91" s="280">
        <v>1.0</v>
      </c>
      <c r="G91" s="104">
        <f t="shared" si="1"/>
        <v>2</v>
      </c>
      <c r="H91" s="105">
        <f t="shared" si="2"/>
        <v>69.95</v>
      </c>
      <c r="I91" s="106">
        <f t="shared" si="3"/>
        <v>34.975</v>
      </c>
      <c r="J91" s="120">
        <v>0.0</v>
      </c>
      <c r="K91" s="280">
        <v>0.0</v>
      </c>
      <c r="L91" s="280">
        <v>0.0</v>
      </c>
      <c r="M91" s="121">
        <v>0.0</v>
      </c>
      <c r="N91" s="109" t="str">
        <f>(J91/M91)</f>
        <v>#DIV/0!</v>
      </c>
      <c r="O91" s="110" t="str">
        <f t="shared" si="5"/>
        <v>#DIV/0!</v>
      </c>
      <c r="P91" s="109">
        <f t="shared" si="6"/>
        <v>0</v>
      </c>
      <c r="Q91" s="111">
        <f t="shared" si="7"/>
        <v>0</v>
      </c>
      <c r="R91" s="122">
        <f t="shared" si="37"/>
        <v>139.9</v>
      </c>
      <c r="S91" s="113" t="str">
        <f t="shared" si="9"/>
        <v>#DIV/0!</v>
      </c>
      <c r="T91" s="172"/>
      <c r="U91" s="172"/>
      <c r="V91" s="172"/>
      <c r="W91" s="172"/>
      <c r="X91" s="173"/>
      <c r="Y91" s="165"/>
      <c r="Z91" s="165"/>
    </row>
    <row r="92" hidden="1" outlineLevel="1">
      <c r="A92" s="165"/>
      <c r="B92" s="174"/>
      <c r="C92" s="100" t="s">
        <v>35</v>
      </c>
      <c r="D92" s="120">
        <v>530.55</v>
      </c>
      <c r="E92" s="280">
        <v>9.0</v>
      </c>
      <c r="F92" s="280">
        <v>6.0</v>
      </c>
      <c r="G92" s="104">
        <f t="shared" si="1"/>
        <v>1.5</v>
      </c>
      <c r="H92" s="105">
        <f t="shared" si="2"/>
        <v>58.95</v>
      </c>
      <c r="I92" s="106">
        <f t="shared" si="3"/>
        <v>39.3</v>
      </c>
      <c r="J92" s="120">
        <v>88.02</v>
      </c>
      <c r="K92" s="280">
        <v>7631.0</v>
      </c>
      <c r="L92" s="280">
        <v>2.0</v>
      </c>
      <c r="M92" s="121">
        <v>119.9</v>
      </c>
      <c r="N92" s="109">
        <f t="shared" ref="N92:N109" si="38">J92/M92</f>
        <v>0.7341117598</v>
      </c>
      <c r="O92" s="110">
        <f t="shared" si="5"/>
        <v>1.362190411</v>
      </c>
      <c r="P92" s="109">
        <f t="shared" si="6"/>
        <v>0.1659033079</v>
      </c>
      <c r="Q92" s="111">
        <f t="shared" si="7"/>
        <v>0.2259918952</v>
      </c>
      <c r="R92" s="122">
        <f t="shared" si="37"/>
        <v>410.65</v>
      </c>
      <c r="S92" s="113">
        <f t="shared" si="9"/>
        <v>44.01</v>
      </c>
      <c r="T92" s="172"/>
      <c r="U92" s="172"/>
      <c r="V92" s="172"/>
      <c r="W92" s="172"/>
      <c r="X92" s="173"/>
      <c r="Y92" s="165"/>
      <c r="Z92" s="165"/>
    </row>
    <row r="93" hidden="1" outlineLevel="1">
      <c r="A93" s="165"/>
      <c r="B93" s="174"/>
      <c r="C93" s="100" t="s">
        <v>65</v>
      </c>
      <c r="D93" s="300">
        <v>456.0</v>
      </c>
      <c r="E93" s="280">
        <v>12.0</v>
      </c>
      <c r="F93" s="280">
        <v>8.0</v>
      </c>
      <c r="G93" s="104">
        <f t="shared" si="1"/>
        <v>1.5</v>
      </c>
      <c r="H93" s="105">
        <f t="shared" si="2"/>
        <v>38</v>
      </c>
      <c r="I93" s="106">
        <f t="shared" si="3"/>
        <v>25.33333333</v>
      </c>
      <c r="J93" s="300">
        <v>0.0</v>
      </c>
      <c r="K93" s="280">
        <v>0.0</v>
      </c>
      <c r="L93" s="280">
        <v>0.0</v>
      </c>
      <c r="M93" s="300">
        <v>0.0</v>
      </c>
      <c r="N93" s="109" t="str">
        <f t="shared" si="38"/>
        <v>#DIV/0!</v>
      </c>
      <c r="O93" s="110" t="str">
        <f t="shared" si="5"/>
        <v>#DIV/0!</v>
      </c>
      <c r="P93" s="109">
        <f t="shared" si="6"/>
        <v>0</v>
      </c>
      <c r="Q93" s="111">
        <f t="shared" si="7"/>
        <v>0</v>
      </c>
      <c r="R93" s="122">
        <f t="shared" si="37"/>
        <v>456</v>
      </c>
      <c r="S93" s="113" t="str">
        <f t="shared" si="9"/>
        <v>#DIV/0!</v>
      </c>
      <c r="T93" s="172"/>
      <c r="U93" s="172"/>
      <c r="V93" s="172"/>
      <c r="W93" s="172"/>
      <c r="X93" s="173"/>
      <c r="Y93" s="165"/>
      <c r="Z93" s="165"/>
    </row>
    <row r="94" hidden="1" outlineLevel="1">
      <c r="A94" s="165"/>
      <c r="B94" s="174"/>
      <c r="C94" s="100" t="s">
        <v>85</v>
      </c>
      <c r="D94" s="302">
        <v>-64.95</v>
      </c>
      <c r="E94" s="280">
        <v>-1.0</v>
      </c>
      <c r="F94" s="280">
        <v>1.0</v>
      </c>
      <c r="G94" s="104">
        <f t="shared" si="1"/>
        <v>-1</v>
      </c>
      <c r="H94" s="105">
        <f t="shared" si="2"/>
        <v>64.95</v>
      </c>
      <c r="I94" s="106">
        <f t="shared" si="3"/>
        <v>-64.95</v>
      </c>
      <c r="J94" s="302">
        <v>3.3</v>
      </c>
      <c r="K94" s="280">
        <v>128.0</v>
      </c>
      <c r="L94" s="280">
        <v>0.0</v>
      </c>
      <c r="M94" s="303">
        <v>0.0</v>
      </c>
      <c r="N94" s="109" t="str">
        <f t="shared" si="38"/>
        <v>#DIV/0!</v>
      </c>
      <c r="O94" s="110">
        <f t="shared" si="5"/>
        <v>0</v>
      </c>
      <c r="P94" s="109">
        <f t="shared" si="6"/>
        <v>-0.05080831409</v>
      </c>
      <c r="Q94" s="111">
        <f t="shared" si="7"/>
        <v>0</v>
      </c>
      <c r="R94" s="304">
        <f t="shared" si="37"/>
        <v>-64.95</v>
      </c>
      <c r="S94" s="113" t="str">
        <f t="shared" si="9"/>
        <v>#DIV/0!</v>
      </c>
      <c r="T94" s="172"/>
      <c r="U94" s="172"/>
      <c r="V94" s="172"/>
      <c r="W94" s="172"/>
      <c r="X94" s="173"/>
      <c r="Y94" s="165"/>
      <c r="Z94" s="165"/>
    </row>
    <row r="95" hidden="1" outlineLevel="1">
      <c r="A95" s="165"/>
      <c r="B95" s="174"/>
      <c r="C95" s="100" t="s">
        <v>36</v>
      </c>
      <c r="D95" s="120">
        <v>419.7</v>
      </c>
      <c r="E95" s="280">
        <v>6.0</v>
      </c>
      <c r="F95" s="280">
        <v>6.0</v>
      </c>
      <c r="G95" s="104">
        <f t="shared" si="1"/>
        <v>1</v>
      </c>
      <c r="H95" s="105">
        <f t="shared" si="2"/>
        <v>69.95</v>
      </c>
      <c r="I95" s="106">
        <f t="shared" si="3"/>
        <v>69.95</v>
      </c>
      <c r="J95" s="120">
        <v>38.65</v>
      </c>
      <c r="K95" s="280">
        <v>4191.0</v>
      </c>
      <c r="L95" s="280">
        <v>3.0</v>
      </c>
      <c r="M95" s="121">
        <v>209.85</v>
      </c>
      <c r="N95" s="109">
        <f t="shared" si="38"/>
        <v>0.1841791756</v>
      </c>
      <c r="O95" s="110">
        <f t="shared" si="5"/>
        <v>5.429495472</v>
      </c>
      <c r="P95" s="109">
        <f t="shared" si="6"/>
        <v>0.0920895878</v>
      </c>
      <c r="Q95" s="111">
        <f t="shared" si="7"/>
        <v>0.5</v>
      </c>
      <c r="R95" s="122">
        <f t="shared" si="37"/>
        <v>209.85</v>
      </c>
      <c r="S95" s="113">
        <f t="shared" si="9"/>
        <v>12.88333333</v>
      </c>
      <c r="T95" s="172"/>
      <c r="U95" s="172"/>
      <c r="V95" s="172"/>
      <c r="W95" s="172"/>
      <c r="X95" s="173"/>
      <c r="Y95" s="165"/>
      <c r="Z95" s="165"/>
    </row>
    <row r="96" hidden="1" outlineLevel="1">
      <c r="A96" s="165"/>
      <c r="B96" s="99" t="s">
        <v>37</v>
      </c>
      <c r="C96" s="100" t="s">
        <v>38</v>
      </c>
      <c r="D96" s="123">
        <v>21.59</v>
      </c>
      <c r="E96" s="280">
        <v>4.0</v>
      </c>
      <c r="F96" s="280">
        <v>4.0</v>
      </c>
      <c r="G96" s="104">
        <f t="shared" si="1"/>
        <v>1</v>
      </c>
      <c r="H96" s="105">
        <f t="shared" si="2"/>
        <v>5.3975</v>
      </c>
      <c r="I96" s="106">
        <f t="shared" si="3"/>
        <v>5.3975</v>
      </c>
      <c r="J96" s="123">
        <v>119.39</v>
      </c>
      <c r="K96" s="280">
        <v>10084.0</v>
      </c>
      <c r="L96" s="280">
        <v>4.0</v>
      </c>
      <c r="M96" s="124">
        <v>86.24</v>
      </c>
      <c r="N96" s="109">
        <f t="shared" si="38"/>
        <v>1.384392393</v>
      </c>
      <c r="O96" s="110">
        <f t="shared" si="5"/>
        <v>0.7223385543</v>
      </c>
      <c r="P96" s="109">
        <f t="shared" si="6"/>
        <v>5.529874942</v>
      </c>
      <c r="Q96" s="111">
        <f t="shared" si="7"/>
        <v>3.994441871</v>
      </c>
      <c r="R96" s="125">
        <f t="shared" si="37"/>
        <v>-64.65</v>
      </c>
      <c r="S96" s="113">
        <f t="shared" si="9"/>
        <v>29.8475</v>
      </c>
      <c r="T96" s="172"/>
      <c r="U96" s="172"/>
      <c r="V96" s="172"/>
      <c r="W96" s="172"/>
      <c r="X96" s="173"/>
      <c r="Y96" s="165"/>
      <c r="Z96" s="165"/>
    </row>
    <row r="97" hidden="1" outlineLevel="1">
      <c r="A97" s="165"/>
      <c r="B97" s="174"/>
      <c r="C97" s="100" t="s">
        <v>39</v>
      </c>
      <c r="D97" s="126">
        <v>359.89</v>
      </c>
      <c r="E97" s="280">
        <v>3.0</v>
      </c>
      <c r="F97" s="280">
        <v>3.0</v>
      </c>
      <c r="G97" s="104">
        <f t="shared" si="1"/>
        <v>1</v>
      </c>
      <c r="H97" s="105">
        <f t="shared" si="2"/>
        <v>119.9633333</v>
      </c>
      <c r="I97" s="106">
        <f t="shared" si="3"/>
        <v>119.9633333</v>
      </c>
      <c r="J97" s="126">
        <v>0.0</v>
      </c>
      <c r="K97" s="280">
        <v>0.0</v>
      </c>
      <c r="L97" s="280">
        <v>0.0</v>
      </c>
      <c r="M97" s="127">
        <v>0.0</v>
      </c>
      <c r="N97" s="109" t="str">
        <f t="shared" si="38"/>
        <v>#DIV/0!</v>
      </c>
      <c r="O97" s="110" t="str">
        <f t="shared" si="5"/>
        <v>#DIV/0!</v>
      </c>
      <c r="P97" s="109">
        <f t="shared" si="6"/>
        <v>0</v>
      </c>
      <c r="Q97" s="111">
        <f t="shared" si="7"/>
        <v>0</v>
      </c>
      <c r="R97" s="128">
        <f t="shared" si="37"/>
        <v>359.89</v>
      </c>
      <c r="S97" s="113" t="str">
        <f t="shared" si="9"/>
        <v>#DIV/0!</v>
      </c>
      <c r="T97" s="172"/>
      <c r="U97" s="172"/>
      <c r="V97" s="172"/>
      <c r="W97" s="172"/>
      <c r="X97" s="173"/>
      <c r="Y97" s="165"/>
      <c r="Z97" s="165"/>
    </row>
    <row r="98" hidden="1" outlineLevel="1">
      <c r="A98" s="165"/>
      <c r="B98" s="174"/>
      <c r="C98" s="100" t="s">
        <v>40</v>
      </c>
      <c r="D98" s="129">
        <v>1327.09</v>
      </c>
      <c r="E98" s="280">
        <v>27.0</v>
      </c>
      <c r="F98" s="280">
        <v>13.0</v>
      </c>
      <c r="G98" s="104">
        <f t="shared" si="1"/>
        <v>2.076923077</v>
      </c>
      <c r="H98" s="105">
        <f t="shared" si="2"/>
        <v>49.15148148</v>
      </c>
      <c r="I98" s="106">
        <f t="shared" si="3"/>
        <v>23.66552812</v>
      </c>
      <c r="J98" s="129">
        <v>0.0</v>
      </c>
      <c r="K98" s="280">
        <v>0.0</v>
      </c>
      <c r="L98" s="280">
        <v>0.0</v>
      </c>
      <c r="M98" s="130">
        <v>0.0</v>
      </c>
      <c r="N98" s="109" t="str">
        <f t="shared" si="38"/>
        <v>#DIV/0!</v>
      </c>
      <c r="O98" s="110" t="str">
        <f t="shared" si="5"/>
        <v>#DIV/0!</v>
      </c>
      <c r="P98" s="109">
        <f t="shared" si="6"/>
        <v>0</v>
      </c>
      <c r="Q98" s="111">
        <f t="shared" si="7"/>
        <v>0</v>
      </c>
      <c r="R98" s="131">
        <f t="shared" si="37"/>
        <v>1327.09</v>
      </c>
      <c r="S98" s="113" t="str">
        <f t="shared" si="9"/>
        <v>#DIV/0!</v>
      </c>
      <c r="T98" s="172"/>
      <c r="U98" s="172"/>
      <c r="V98" s="172"/>
      <c r="W98" s="172"/>
      <c r="X98" s="173"/>
      <c r="Y98" s="165"/>
      <c r="Z98" s="165"/>
    </row>
    <row r="99" hidden="1" outlineLevel="1">
      <c r="A99" s="165"/>
      <c r="B99" s="174"/>
      <c r="C99" s="100" t="s">
        <v>41</v>
      </c>
      <c r="D99" s="132">
        <v>66.99</v>
      </c>
      <c r="E99" s="280">
        <v>1.0</v>
      </c>
      <c r="F99" s="280">
        <v>1.0</v>
      </c>
      <c r="G99" s="104">
        <f t="shared" si="1"/>
        <v>1</v>
      </c>
      <c r="H99" s="105">
        <f t="shared" si="2"/>
        <v>66.99</v>
      </c>
      <c r="I99" s="106">
        <f t="shared" si="3"/>
        <v>66.99</v>
      </c>
      <c r="J99" s="132">
        <v>0.0</v>
      </c>
      <c r="K99" s="280">
        <v>0.0</v>
      </c>
      <c r="L99" s="280">
        <v>0.0</v>
      </c>
      <c r="M99" s="133">
        <v>0.0</v>
      </c>
      <c r="N99" s="109" t="str">
        <f t="shared" si="38"/>
        <v>#DIV/0!</v>
      </c>
      <c r="O99" s="110" t="str">
        <f t="shared" si="5"/>
        <v>#DIV/0!</v>
      </c>
      <c r="P99" s="109">
        <f t="shared" si="6"/>
        <v>0</v>
      </c>
      <c r="Q99" s="111">
        <f t="shared" si="7"/>
        <v>0</v>
      </c>
      <c r="R99" s="134">
        <f t="shared" si="37"/>
        <v>66.99</v>
      </c>
      <c r="S99" s="113" t="str">
        <f t="shared" si="9"/>
        <v>#DIV/0!</v>
      </c>
      <c r="T99" s="172"/>
      <c r="U99" s="172"/>
      <c r="V99" s="172"/>
      <c r="W99" s="172"/>
      <c r="X99" s="173"/>
      <c r="Y99" s="165"/>
      <c r="Z99" s="165"/>
    </row>
    <row r="100" hidden="1" outlineLevel="1">
      <c r="A100" s="165"/>
      <c r="B100" s="174"/>
      <c r="C100" s="100" t="s">
        <v>42</v>
      </c>
      <c r="D100" s="120">
        <v>159.92</v>
      </c>
      <c r="E100" s="280">
        <v>8.0</v>
      </c>
      <c r="F100" s="280">
        <v>6.0</v>
      </c>
      <c r="G100" s="104">
        <f t="shared" si="1"/>
        <v>1.333333333</v>
      </c>
      <c r="H100" s="105">
        <f t="shared" si="2"/>
        <v>19.99</v>
      </c>
      <c r="I100" s="106">
        <f t="shared" si="3"/>
        <v>14.9925</v>
      </c>
      <c r="J100" s="120">
        <v>3.0</v>
      </c>
      <c r="K100" s="280">
        <v>10792.0</v>
      </c>
      <c r="L100" s="280">
        <v>1.0</v>
      </c>
      <c r="M100" s="121">
        <v>19.99</v>
      </c>
      <c r="N100" s="109">
        <f t="shared" si="38"/>
        <v>0.1500750375</v>
      </c>
      <c r="O100" s="110">
        <f t="shared" si="5"/>
        <v>6.663333333</v>
      </c>
      <c r="P100" s="109">
        <f t="shared" si="6"/>
        <v>0.01875937969</v>
      </c>
      <c r="Q100" s="111">
        <f t="shared" si="7"/>
        <v>0.125</v>
      </c>
      <c r="R100" s="122">
        <f t="shared" si="37"/>
        <v>139.93</v>
      </c>
      <c r="S100" s="113">
        <f t="shared" si="9"/>
        <v>3</v>
      </c>
      <c r="T100" s="172"/>
      <c r="U100" s="172"/>
      <c r="V100" s="172"/>
      <c r="W100" s="172"/>
      <c r="X100" s="173"/>
      <c r="Y100" s="165"/>
      <c r="Z100" s="165"/>
    </row>
    <row r="101" hidden="1" outlineLevel="1">
      <c r="A101" s="165"/>
      <c r="B101" s="174"/>
      <c r="C101" s="100" t="s">
        <v>43</v>
      </c>
      <c r="D101" s="135">
        <v>344.0</v>
      </c>
      <c r="E101" s="280">
        <v>2.0</v>
      </c>
      <c r="F101" s="280">
        <v>2.0</v>
      </c>
      <c r="G101" s="104">
        <f t="shared" si="1"/>
        <v>1</v>
      </c>
      <c r="H101" s="105">
        <f t="shared" si="2"/>
        <v>172</v>
      </c>
      <c r="I101" s="106">
        <f t="shared" si="3"/>
        <v>172</v>
      </c>
      <c r="J101" s="135">
        <v>8.25</v>
      </c>
      <c r="K101" s="280">
        <v>18913.0</v>
      </c>
      <c r="L101" s="280">
        <v>0.0</v>
      </c>
      <c r="M101" s="136">
        <v>0.0</v>
      </c>
      <c r="N101" s="109" t="str">
        <f t="shared" si="38"/>
        <v>#DIV/0!</v>
      </c>
      <c r="O101" s="110">
        <f t="shared" si="5"/>
        <v>0</v>
      </c>
      <c r="P101" s="109">
        <f t="shared" si="6"/>
        <v>0.02398255814</v>
      </c>
      <c r="Q101" s="111">
        <f t="shared" si="7"/>
        <v>0</v>
      </c>
      <c r="R101" s="137">
        <f t="shared" si="37"/>
        <v>344</v>
      </c>
      <c r="S101" s="113" t="str">
        <f t="shared" si="9"/>
        <v>#DIV/0!</v>
      </c>
      <c r="T101" s="172"/>
      <c r="U101" s="172"/>
      <c r="V101" s="172"/>
      <c r="W101" s="172"/>
      <c r="X101" s="173"/>
      <c r="Y101" s="165"/>
      <c r="Z101" s="165"/>
    </row>
    <row r="102" hidden="1" outlineLevel="1">
      <c r="A102" s="165"/>
      <c r="B102" s="174"/>
      <c r="C102" s="100" t="s">
        <v>44</v>
      </c>
      <c r="D102" s="138">
        <v>50.96</v>
      </c>
      <c r="E102" s="280">
        <v>1.0</v>
      </c>
      <c r="F102" s="280">
        <v>1.0</v>
      </c>
      <c r="G102" s="104">
        <f t="shared" si="1"/>
        <v>1</v>
      </c>
      <c r="H102" s="105">
        <f t="shared" si="2"/>
        <v>50.96</v>
      </c>
      <c r="I102" s="106">
        <f t="shared" si="3"/>
        <v>50.96</v>
      </c>
      <c r="J102" s="138">
        <v>26.57</v>
      </c>
      <c r="K102" s="280">
        <v>7414.0</v>
      </c>
      <c r="L102" s="280">
        <v>0.0</v>
      </c>
      <c r="M102" s="139">
        <v>0.0</v>
      </c>
      <c r="N102" s="109" t="str">
        <f t="shared" si="38"/>
        <v>#DIV/0!</v>
      </c>
      <c r="O102" s="110">
        <f t="shared" si="5"/>
        <v>0</v>
      </c>
      <c r="P102" s="109">
        <f t="shared" si="6"/>
        <v>0.521389325</v>
      </c>
      <c r="Q102" s="111">
        <f t="shared" si="7"/>
        <v>0</v>
      </c>
      <c r="R102" s="140">
        <f t="shared" si="37"/>
        <v>50.96</v>
      </c>
      <c r="S102" s="113" t="str">
        <f t="shared" si="9"/>
        <v>#DIV/0!</v>
      </c>
      <c r="T102" s="172"/>
      <c r="U102" s="172"/>
      <c r="V102" s="172"/>
      <c r="W102" s="172"/>
      <c r="X102" s="173"/>
      <c r="Y102" s="165"/>
      <c r="Z102" s="165"/>
    </row>
    <row r="103" hidden="1" outlineLevel="1">
      <c r="A103" s="192"/>
      <c r="B103" s="174"/>
      <c r="C103" s="142" t="s">
        <v>45</v>
      </c>
      <c r="D103" s="101">
        <v>79.8</v>
      </c>
      <c r="E103" s="280">
        <v>4.0</v>
      </c>
      <c r="F103" s="280">
        <v>3.0</v>
      </c>
      <c r="G103" s="104">
        <f t="shared" si="1"/>
        <v>1.333333333</v>
      </c>
      <c r="H103" s="105">
        <f t="shared" si="2"/>
        <v>19.95</v>
      </c>
      <c r="I103" s="106">
        <f t="shared" si="3"/>
        <v>14.9625</v>
      </c>
      <c r="J103" s="101">
        <v>0.0</v>
      </c>
      <c r="K103" s="280">
        <v>0.0</v>
      </c>
      <c r="L103" s="280">
        <v>0.0</v>
      </c>
      <c r="M103" s="108">
        <v>0.0</v>
      </c>
      <c r="N103" s="109" t="str">
        <f t="shared" si="38"/>
        <v>#DIV/0!</v>
      </c>
      <c r="O103" s="110" t="str">
        <f t="shared" si="5"/>
        <v>#DIV/0!</v>
      </c>
      <c r="P103" s="109">
        <f t="shared" si="6"/>
        <v>0</v>
      </c>
      <c r="Q103" s="111">
        <f t="shared" si="7"/>
        <v>0</v>
      </c>
      <c r="R103" s="112">
        <f t="shared" si="37"/>
        <v>79.8</v>
      </c>
      <c r="S103" s="113" t="str">
        <f t="shared" si="9"/>
        <v>#DIV/0!</v>
      </c>
      <c r="T103" s="193"/>
      <c r="U103" s="193"/>
      <c r="V103" s="193"/>
      <c r="W103" s="194"/>
      <c r="X103" s="195"/>
      <c r="Y103" s="165"/>
      <c r="Z103" s="165"/>
    </row>
    <row r="104" hidden="1" outlineLevel="1">
      <c r="A104" s="165"/>
      <c r="B104" s="174"/>
      <c r="C104" s="100" t="s">
        <v>46</v>
      </c>
      <c r="D104" s="146">
        <v>203.16</v>
      </c>
      <c r="E104" s="280">
        <v>6.0</v>
      </c>
      <c r="F104" s="280">
        <v>7.0</v>
      </c>
      <c r="G104" s="104">
        <f t="shared" si="1"/>
        <v>0.8571428571</v>
      </c>
      <c r="H104" s="105">
        <f t="shared" si="2"/>
        <v>33.86</v>
      </c>
      <c r="I104" s="106">
        <f t="shared" si="3"/>
        <v>39.50333333</v>
      </c>
      <c r="J104" s="146">
        <v>65.79</v>
      </c>
      <c r="K104" s="280">
        <v>21355.0</v>
      </c>
      <c r="L104" s="280">
        <v>3.0</v>
      </c>
      <c r="M104" s="147">
        <v>102.48</v>
      </c>
      <c r="N104" s="109">
        <f t="shared" si="38"/>
        <v>0.6419789227</v>
      </c>
      <c r="O104" s="110">
        <f t="shared" si="5"/>
        <v>1.557683539</v>
      </c>
      <c r="P104" s="109">
        <f t="shared" si="6"/>
        <v>0.3238334318</v>
      </c>
      <c r="Q104" s="111">
        <f t="shared" si="7"/>
        <v>0.5044300059</v>
      </c>
      <c r="R104" s="112">
        <f t="shared" si="37"/>
        <v>100.68</v>
      </c>
      <c r="S104" s="113">
        <f t="shared" si="9"/>
        <v>21.93</v>
      </c>
      <c r="T104" s="172"/>
      <c r="U104" s="172"/>
      <c r="V104" s="172"/>
      <c r="W104" s="172"/>
      <c r="X104" s="173"/>
      <c r="Y104" s="165"/>
      <c r="Z104" s="165"/>
    </row>
    <row r="105" hidden="1" outlineLevel="1">
      <c r="A105" s="165"/>
      <c r="B105" s="174"/>
      <c r="C105" s="100" t="s">
        <v>49</v>
      </c>
      <c r="D105" s="146">
        <v>0.0</v>
      </c>
      <c r="E105" s="280">
        <v>0.0</v>
      </c>
      <c r="F105" s="280">
        <v>0.0</v>
      </c>
      <c r="G105" s="104" t="str">
        <f t="shared" si="1"/>
        <v>#DIV/0!</v>
      </c>
      <c r="H105" s="105" t="str">
        <f t="shared" si="2"/>
        <v>#DIV/0!</v>
      </c>
      <c r="I105" s="106" t="str">
        <f t="shared" si="3"/>
        <v>#DIV/0!</v>
      </c>
      <c r="J105" s="146">
        <v>9.27</v>
      </c>
      <c r="K105" s="280">
        <v>5256.0</v>
      </c>
      <c r="L105" s="280">
        <v>0.0</v>
      </c>
      <c r="M105" s="147">
        <v>0.0</v>
      </c>
      <c r="N105" s="109" t="str">
        <f t="shared" si="38"/>
        <v>#DIV/0!</v>
      </c>
      <c r="O105" s="110">
        <f t="shared" si="5"/>
        <v>0</v>
      </c>
      <c r="P105" s="109" t="str">
        <f t="shared" si="6"/>
        <v>#DIV/0!</v>
      </c>
      <c r="Q105" s="111" t="str">
        <f t="shared" si="7"/>
        <v>#DIV/0!</v>
      </c>
      <c r="R105" s="112">
        <f t="shared" si="37"/>
        <v>0</v>
      </c>
      <c r="S105" s="113" t="str">
        <f t="shared" si="9"/>
        <v>#DIV/0!</v>
      </c>
      <c r="T105" s="172"/>
      <c r="U105" s="172"/>
      <c r="V105" s="172"/>
      <c r="W105" s="172"/>
      <c r="X105" s="173"/>
      <c r="Y105" s="165"/>
      <c r="Z105" s="165"/>
    </row>
    <row r="106" hidden="1" outlineLevel="1">
      <c r="A106" s="148" t="str">
        <f t="shared" ref="A106:A107" si="39">iferror(if(B106&gt;0,month(B106)&amp;"-"&amp;year(B106),B106),)</f>
        <v>3-2025</v>
      </c>
      <c r="B106" s="99">
        <v>45745.0</v>
      </c>
      <c r="C106" s="277" t="s">
        <v>67</v>
      </c>
      <c r="D106" s="146">
        <v>0.0</v>
      </c>
      <c r="E106" s="280">
        <v>0.0</v>
      </c>
      <c r="F106" s="280">
        <v>0.0</v>
      </c>
      <c r="G106" s="104" t="str">
        <f t="shared" si="1"/>
        <v>#DIV/0!</v>
      </c>
      <c r="H106" s="105" t="str">
        <f t="shared" si="2"/>
        <v>#DIV/0!</v>
      </c>
      <c r="I106" s="106" t="str">
        <f t="shared" si="3"/>
        <v>#DIV/0!</v>
      </c>
      <c r="J106" s="117">
        <v>233.19</v>
      </c>
      <c r="K106" s="409">
        <v>44379.0</v>
      </c>
      <c r="L106" s="410"/>
      <c r="M106" s="118">
        <v>821.14</v>
      </c>
      <c r="N106" s="109">
        <f t="shared" si="38"/>
        <v>0.2839832428</v>
      </c>
      <c r="O106" s="110">
        <f t="shared" si="5"/>
        <v>3.521334534</v>
      </c>
      <c r="P106" s="109" t="str">
        <f t="shared" si="6"/>
        <v>#DIV/0!</v>
      </c>
      <c r="Q106" s="111" t="str">
        <f t="shared" si="7"/>
        <v>#DIV/0!</v>
      </c>
      <c r="R106" s="112">
        <f t="shared" si="37"/>
        <v>-821.14</v>
      </c>
      <c r="S106" s="113" t="str">
        <f t="shared" si="9"/>
        <v>#DIV/0!</v>
      </c>
      <c r="T106" s="172"/>
      <c r="U106" s="172"/>
      <c r="V106" s="172"/>
      <c r="W106" s="172"/>
      <c r="X106" s="173"/>
      <c r="Y106" s="165"/>
      <c r="Z106" s="165"/>
    </row>
    <row r="107" collapsed="1">
      <c r="A107" s="165" t="str">
        <f t="shared" si="39"/>
        <v/>
      </c>
      <c r="B107" s="80" t="s">
        <v>100</v>
      </c>
      <c r="C107" s="201"/>
      <c r="D107" s="151">
        <f t="shared" ref="D107:F107" si="40">SUM(D89:D106)</f>
        <v>21426.35</v>
      </c>
      <c r="E107" s="202">
        <f t="shared" si="40"/>
        <v>154</v>
      </c>
      <c r="F107" s="202">
        <f t="shared" si="40"/>
        <v>133</v>
      </c>
      <c r="G107" s="154">
        <f t="shared" si="1"/>
        <v>1.157894737</v>
      </c>
      <c r="H107" s="155">
        <f t="shared" si="2"/>
        <v>139.1321429</v>
      </c>
      <c r="I107" s="156">
        <f t="shared" si="3"/>
        <v>120.1595779</v>
      </c>
      <c r="J107" s="151">
        <f t="shared" ref="J107:M107" si="41">SUM(J89:J106)</f>
        <v>1321.59</v>
      </c>
      <c r="K107" s="202">
        <f t="shared" si="41"/>
        <v>320512</v>
      </c>
      <c r="L107" s="202">
        <f t="shared" si="41"/>
        <v>25</v>
      </c>
      <c r="M107" s="157">
        <f t="shared" si="41"/>
        <v>3730.95</v>
      </c>
      <c r="N107" s="158">
        <f t="shared" si="38"/>
        <v>0.3542234552</v>
      </c>
      <c r="O107" s="159">
        <f t="shared" si="5"/>
        <v>2.823076748</v>
      </c>
      <c r="P107" s="158">
        <f t="shared" si="6"/>
        <v>0.06168059422</v>
      </c>
      <c r="Q107" s="160">
        <f t="shared" si="7"/>
        <v>0.1741290514</v>
      </c>
      <c r="R107" s="161">
        <f>SUM(R89:R106)</f>
        <v>17695.4</v>
      </c>
      <c r="S107" s="162">
        <f t="shared" si="9"/>
        <v>52.8636</v>
      </c>
      <c r="T107" s="163">
        <f t="shared" ref="T107:U107" si="42">IFERROR((D107-D69)/D107,)</f>
        <v>0.6461683861</v>
      </c>
      <c r="U107" s="163">
        <f t="shared" si="42"/>
        <v>0.3896103896</v>
      </c>
      <c r="V107" s="398" t="str">
        <f t="shared" ref="V107:W107" si="43">IFERROR((D107-#REF!)/D107, )</f>
        <v/>
      </c>
      <c r="W107" s="398" t="str">
        <f t="shared" si="43"/>
        <v/>
      </c>
      <c r="X107" s="165"/>
      <c r="Y107" s="165"/>
      <c r="Z107" s="165"/>
    </row>
    <row r="108" hidden="1" outlineLevel="1">
      <c r="A108" s="165"/>
      <c r="B108" s="99">
        <v>45746.0</v>
      </c>
      <c r="C108" s="100" t="s">
        <v>32</v>
      </c>
      <c r="D108" s="101">
        <v>1172.95</v>
      </c>
      <c r="E108" s="103">
        <v>6.0</v>
      </c>
      <c r="F108" s="103">
        <v>7.0</v>
      </c>
      <c r="G108" s="104">
        <f t="shared" si="1"/>
        <v>0.8571428571</v>
      </c>
      <c r="H108" s="105">
        <f t="shared" si="2"/>
        <v>195.4916667</v>
      </c>
      <c r="I108" s="106">
        <f t="shared" si="3"/>
        <v>228.0736111</v>
      </c>
      <c r="J108" s="107">
        <v>571.66</v>
      </c>
      <c r="K108" s="103">
        <v>92147.0</v>
      </c>
      <c r="L108" s="103">
        <v>1.0</v>
      </c>
      <c r="M108" s="108">
        <v>24.95</v>
      </c>
      <c r="N108" s="109">
        <f t="shared" si="38"/>
        <v>22.91222445</v>
      </c>
      <c r="O108" s="110">
        <f t="shared" si="5"/>
        <v>0.04364482385</v>
      </c>
      <c r="P108" s="109">
        <f t="shared" si="6"/>
        <v>0.4873694531</v>
      </c>
      <c r="Q108" s="111">
        <f t="shared" si="7"/>
        <v>0.02127115393</v>
      </c>
      <c r="R108" s="112">
        <f t="shared" ref="R108:R125" si="44">D108-M108</f>
        <v>1148</v>
      </c>
      <c r="S108" s="113">
        <f t="shared" si="9"/>
        <v>571.66</v>
      </c>
      <c r="T108" s="172"/>
      <c r="U108" s="172"/>
      <c r="V108" s="172"/>
      <c r="W108" s="172"/>
      <c r="X108" s="173"/>
      <c r="Y108" s="165"/>
      <c r="Z108" s="165"/>
    </row>
    <row r="109" hidden="1" outlineLevel="1">
      <c r="A109" s="165"/>
      <c r="B109" s="174"/>
      <c r="C109" s="100" t="s">
        <v>33</v>
      </c>
      <c r="D109" s="117">
        <v>10100.64</v>
      </c>
      <c r="E109" s="103">
        <v>65.0</v>
      </c>
      <c r="F109" s="103">
        <v>57.0</v>
      </c>
      <c r="G109" s="104">
        <f t="shared" si="1"/>
        <v>1.140350877</v>
      </c>
      <c r="H109" s="105">
        <f t="shared" si="2"/>
        <v>155.3944615</v>
      </c>
      <c r="I109" s="106">
        <f t="shared" si="3"/>
        <v>136.2689893</v>
      </c>
      <c r="J109" s="117">
        <v>275.57</v>
      </c>
      <c r="K109" s="103">
        <v>103714.0</v>
      </c>
      <c r="L109" s="103">
        <v>3.0</v>
      </c>
      <c r="M109" s="118">
        <v>718.38</v>
      </c>
      <c r="N109" s="109">
        <f t="shared" si="38"/>
        <v>0.3835992093</v>
      </c>
      <c r="O109" s="110">
        <f t="shared" si="5"/>
        <v>2.606887542</v>
      </c>
      <c r="P109" s="109">
        <f t="shared" si="6"/>
        <v>0.02728242963</v>
      </c>
      <c r="Q109" s="111">
        <f t="shared" si="7"/>
        <v>0.07112222592</v>
      </c>
      <c r="R109" s="119">
        <f t="shared" si="44"/>
        <v>9382.26</v>
      </c>
      <c r="S109" s="113">
        <f t="shared" si="9"/>
        <v>91.85666667</v>
      </c>
      <c r="T109" s="172"/>
      <c r="U109" s="172"/>
      <c r="V109" s="172"/>
      <c r="W109" s="172"/>
      <c r="X109" s="173"/>
      <c r="Y109" s="165"/>
      <c r="Z109" s="165"/>
    </row>
    <row r="110" hidden="1" outlineLevel="1">
      <c r="A110" s="165"/>
      <c r="B110" s="174"/>
      <c r="C110" s="100" t="s">
        <v>34</v>
      </c>
      <c r="D110" s="120">
        <v>0.0</v>
      </c>
      <c r="E110" s="103">
        <v>0.0</v>
      </c>
      <c r="F110" s="103">
        <v>0.0</v>
      </c>
      <c r="G110" s="104" t="str">
        <f t="shared" si="1"/>
        <v>#DIV/0!</v>
      </c>
      <c r="H110" s="105" t="str">
        <f t="shared" si="2"/>
        <v>#DIV/0!</v>
      </c>
      <c r="I110" s="106" t="str">
        <f t="shared" si="3"/>
        <v>#DIV/0!</v>
      </c>
      <c r="J110" s="120">
        <v>0.0</v>
      </c>
      <c r="K110" s="103">
        <v>1.0</v>
      </c>
      <c r="L110" s="103">
        <v>0.0</v>
      </c>
      <c r="M110" s="121">
        <v>0.0</v>
      </c>
      <c r="N110" s="109" t="str">
        <f>(J110/M110)</f>
        <v>#DIV/0!</v>
      </c>
      <c r="O110" s="110" t="str">
        <f t="shared" si="5"/>
        <v>#DIV/0!</v>
      </c>
      <c r="P110" s="109" t="str">
        <f t="shared" si="6"/>
        <v>#DIV/0!</v>
      </c>
      <c r="Q110" s="111" t="str">
        <f t="shared" si="7"/>
        <v>#DIV/0!</v>
      </c>
      <c r="R110" s="122">
        <f t="shared" si="44"/>
        <v>0</v>
      </c>
      <c r="S110" s="113" t="str">
        <f t="shared" si="9"/>
        <v>#DIV/0!</v>
      </c>
      <c r="T110" s="172"/>
      <c r="U110" s="172"/>
      <c r="V110" s="172"/>
      <c r="W110" s="172"/>
      <c r="X110" s="173"/>
      <c r="Y110" s="165"/>
      <c r="Z110" s="165"/>
    </row>
    <row r="111" hidden="1" outlineLevel="1">
      <c r="A111" s="165"/>
      <c r="B111" s="174"/>
      <c r="C111" s="100" t="s">
        <v>35</v>
      </c>
      <c r="D111" s="120">
        <v>359.7</v>
      </c>
      <c r="E111" s="103">
        <v>6.0</v>
      </c>
      <c r="F111" s="103">
        <v>5.0</v>
      </c>
      <c r="G111" s="104">
        <f t="shared" si="1"/>
        <v>1.2</v>
      </c>
      <c r="H111" s="105">
        <f t="shared" si="2"/>
        <v>59.95</v>
      </c>
      <c r="I111" s="106">
        <f t="shared" si="3"/>
        <v>49.95833333</v>
      </c>
      <c r="J111" s="120">
        <v>119.65</v>
      </c>
      <c r="K111" s="103">
        <v>7267.0</v>
      </c>
      <c r="L111" s="103">
        <v>4.0</v>
      </c>
      <c r="M111" s="121">
        <v>239.8</v>
      </c>
      <c r="N111" s="109">
        <f t="shared" ref="N111:N128" si="45">J111/M111</f>
        <v>0.4989574646</v>
      </c>
      <c r="O111" s="110">
        <f t="shared" si="5"/>
        <v>2.004178855</v>
      </c>
      <c r="P111" s="109">
        <f t="shared" si="6"/>
        <v>0.3326383097</v>
      </c>
      <c r="Q111" s="111">
        <f t="shared" si="7"/>
        <v>0.6666666667</v>
      </c>
      <c r="R111" s="122">
        <f t="shared" si="44"/>
        <v>119.9</v>
      </c>
      <c r="S111" s="113">
        <f t="shared" si="9"/>
        <v>29.9125</v>
      </c>
      <c r="T111" s="172"/>
      <c r="U111" s="172"/>
      <c r="V111" s="172"/>
      <c r="W111" s="172"/>
      <c r="X111" s="173"/>
      <c r="Y111" s="165"/>
      <c r="Z111" s="165"/>
    </row>
    <row r="112" hidden="1" outlineLevel="1">
      <c r="A112" s="165"/>
      <c r="B112" s="174"/>
      <c r="C112" s="100" t="s">
        <v>65</v>
      </c>
      <c r="D112" s="300">
        <v>594.0</v>
      </c>
      <c r="E112" s="103">
        <v>16.0</v>
      </c>
      <c r="F112" s="103">
        <v>10.0</v>
      </c>
      <c r="G112" s="104">
        <f t="shared" si="1"/>
        <v>1.6</v>
      </c>
      <c r="H112" s="105">
        <f t="shared" si="2"/>
        <v>37.125</v>
      </c>
      <c r="I112" s="106">
        <f t="shared" si="3"/>
        <v>23.203125</v>
      </c>
      <c r="J112" s="300">
        <v>0.0</v>
      </c>
      <c r="K112" s="103">
        <v>0.0</v>
      </c>
      <c r="L112" s="103">
        <v>0.0</v>
      </c>
      <c r="M112" s="300">
        <v>0.0</v>
      </c>
      <c r="N112" s="109" t="str">
        <f t="shared" si="45"/>
        <v>#DIV/0!</v>
      </c>
      <c r="O112" s="110" t="str">
        <f t="shared" si="5"/>
        <v>#DIV/0!</v>
      </c>
      <c r="P112" s="109">
        <f t="shared" si="6"/>
        <v>0</v>
      </c>
      <c r="Q112" s="111">
        <f t="shared" si="7"/>
        <v>0</v>
      </c>
      <c r="R112" s="122">
        <f t="shared" si="44"/>
        <v>594</v>
      </c>
      <c r="S112" s="113" t="str">
        <f t="shared" si="9"/>
        <v>#DIV/0!</v>
      </c>
      <c r="T112" s="172"/>
      <c r="U112" s="172"/>
      <c r="V112" s="172"/>
      <c r="W112" s="172"/>
      <c r="X112" s="173"/>
      <c r="Y112" s="165"/>
      <c r="Z112" s="165"/>
    </row>
    <row r="113" hidden="1" outlineLevel="1">
      <c r="A113" s="165"/>
      <c r="B113" s="174"/>
      <c r="C113" s="100" t="s">
        <v>85</v>
      </c>
      <c r="D113" s="302">
        <v>0.0</v>
      </c>
      <c r="E113" s="103">
        <v>0.0</v>
      </c>
      <c r="F113" s="103">
        <v>0.0</v>
      </c>
      <c r="G113" s="104" t="str">
        <f t="shared" si="1"/>
        <v>#DIV/0!</v>
      </c>
      <c r="H113" s="105" t="str">
        <f t="shared" si="2"/>
        <v>#DIV/0!</v>
      </c>
      <c r="I113" s="106" t="str">
        <f t="shared" si="3"/>
        <v>#DIV/0!</v>
      </c>
      <c r="J113" s="302">
        <v>0.0</v>
      </c>
      <c r="K113" s="103">
        <v>0.0</v>
      </c>
      <c r="L113" s="103">
        <v>0.0</v>
      </c>
      <c r="M113" s="303">
        <v>0.0</v>
      </c>
      <c r="N113" s="109" t="str">
        <f t="shared" si="45"/>
        <v>#DIV/0!</v>
      </c>
      <c r="O113" s="110" t="str">
        <f t="shared" si="5"/>
        <v>#DIV/0!</v>
      </c>
      <c r="P113" s="109" t="str">
        <f t="shared" si="6"/>
        <v>#DIV/0!</v>
      </c>
      <c r="Q113" s="111" t="str">
        <f t="shared" si="7"/>
        <v>#DIV/0!</v>
      </c>
      <c r="R113" s="304">
        <f t="shared" si="44"/>
        <v>0</v>
      </c>
      <c r="S113" s="113" t="str">
        <f t="shared" si="9"/>
        <v>#DIV/0!</v>
      </c>
      <c r="T113" s="172"/>
      <c r="U113" s="172"/>
      <c r="V113" s="172"/>
      <c r="W113" s="172"/>
      <c r="X113" s="173"/>
      <c r="Y113" s="165"/>
      <c r="Z113" s="165"/>
    </row>
    <row r="114" hidden="1" outlineLevel="1">
      <c r="A114" s="165"/>
      <c r="B114" s="174"/>
      <c r="C114" s="100" t="s">
        <v>36</v>
      </c>
      <c r="D114" s="120">
        <v>69.95</v>
      </c>
      <c r="E114" s="103">
        <v>1.0</v>
      </c>
      <c r="F114" s="103">
        <v>1.0</v>
      </c>
      <c r="G114" s="104">
        <f t="shared" si="1"/>
        <v>1</v>
      </c>
      <c r="H114" s="105">
        <f t="shared" si="2"/>
        <v>69.95</v>
      </c>
      <c r="I114" s="106">
        <f t="shared" si="3"/>
        <v>69.95</v>
      </c>
      <c r="J114" s="120">
        <v>51.89</v>
      </c>
      <c r="K114" s="103">
        <v>7739.0</v>
      </c>
      <c r="L114" s="103">
        <v>0.0</v>
      </c>
      <c r="M114" s="121">
        <v>0.0</v>
      </c>
      <c r="N114" s="109" t="str">
        <f t="shared" si="45"/>
        <v>#DIV/0!</v>
      </c>
      <c r="O114" s="110">
        <f t="shared" si="5"/>
        <v>0</v>
      </c>
      <c r="P114" s="109">
        <f t="shared" si="6"/>
        <v>0.7418155826</v>
      </c>
      <c r="Q114" s="111">
        <f t="shared" si="7"/>
        <v>0</v>
      </c>
      <c r="R114" s="122">
        <f t="shared" si="44"/>
        <v>69.95</v>
      </c>
      <c r="S114" s="113" t="str">
        <f t="shared" si="9"/>
        <v>#DIV/0!</v>
      </c>
      <c r="T114" s="172"/>
      <c r="U114" s="172"/>
      <c r="V114" s="172"/>
      <c r="W114" s="172"/>
      <c r="X114" s="173"/>
      <c r="Y114" s="165"/>
      <c r="Z114" s="165"/>
    </row>
    <row r="115" hidden="1" outlineLevel="1">
      <c r="A115" s="165"/>
      <c r="B115" s="99" t="s">
        <v>37</v>
      </c>
      <c r="C115" s="100" t="s">
        <v>38</v>
      </c>
      <c r="D115" s="123">
        <v>150.92</v>
      </c>
      <c r="E115" s="103">
        <v>7.0</v>
      </c>
      <c r="F115" s="103">
        <v>7.0</v>
      </c>
      <c r="G115" s="104">
        <f t="shared" si="1"/>
        <v>1</v>
      </c>
      <c r="H115" s="105">
        <f t="shared" si="2"/>
        <v>21.56</v>
      </c>
      <c r="I115" s="106">
        <f t="shared" si="3"/>
        <v>21.56</v>
      </c>
      <c r="J115" s="123">
        <v>168.17</v>
      </c>
      <c r="K115" s="103">
        <v>11725.0</v>
      </c>
      <c r="L115" s="103">
        <v>5.0</v>
      </c>
      <c r="M115" s="124">
        <v>107.8</v>
      </c>
      <c r="N115" s="109">
        <f t="shared" si="45"/>
        <v>1.560018553</v>
      </c>
      <c r="O115" s="110">
        <f t="shared" si="5"/>
        <v>0.6410180175</v>
      </c>
      <c r="P115" s="109">
        <f t="shared" si="6"/>
        <v>1.114298966</v>
      </c>
      <c r="Q115" s="111">
        <f t="shared" si="7"/>
        <v>0.7142857143</v>
      </c>
      <c r="R115" s="125">
        <f t="shared" si="44"/>
        <v>43.12</v>
      </c>
      <c r="S115" s="113">
        <f t="shared" si="9"/>
        <v>33.634</v>
      </c>
      <c r="T115" s="172"/>
      <c r="U115" s="172"/>
      <c r="V115" s="172"/>
      <c r="W115" s="172"/>
      <c r="X115" s="173"/>
      <c r="Y115" s="165"/>
      <c r="Z115" s="165"/>
    </row>
    <row r="116" hidden="1" outlineLevel="1">
      <c r="A116" s="165"/>
      <c r="B116" s="174"/>
      <c r="C116" s="100" t="s">
        <v>39</v>
      </c>
      <c r="D116" s="126">
        <v>0.0</v>
      </c>
      <c r="E116" s="103">
        <v>0.0</v>
      </c>
      <c r="F116" s="103">
        <v>0.0</v>
      </c>
      <c r="G116" s="104" t="str">
        <f t="shared" si="1"/>
        <v>#DIV/0!</v>
      </c>
      <c r="H116" s="105" t="str">
        <f t="shared" si="2"/>
        <v>#DIV/0!</v>
      </c>
      <c r="I116" s="106" t="str">
        <f t="shared" si="3"/>
        <v>#DIV/0!</v>
      </c>
      <c r="J116" s="126">
        <v>0.0</v>
      </c>
      <c r="K116" s="103">
        <v>0.0</v>
      </c>
      <c r="L116" s="103">
        <v>0.0</v>
      </c>
      <c r="M116" s="127">
        <v>0.0</v>
      </c>
      <c r="N116" s="109" t="str">
        <f t="shared" si="45"/>
        <v>#DIV/0!</v>
      </c>
      <c r="O116" s="110" t="str">
        <f t="shared" si="5"/>
        <v>#DIV/0!</v>
      </c>
      <c r="P116" s="109" t="str">
        <f t="shared" si="6"/>
        <v>#DIV/0!</v>
      </c>
      <c r="Q116" s="111" t="str">
        <f t="shared" si="7"/>
        <v>#DIV/0!</v>
      </c>
      <c r="R116" s="128">
        <f t="shared" si="44"/>
        <v>0</v>
      </c>
      <c r="S116" s="113" t="str">
        <f t="shared" si="9"/>
        <v>#DIV/0!</v>
      </c>
      <c r="T116" s="172"/>
      <c r="U116" s="172"/>
      <c r="V116" s="172"/>
      <c r="W116" s="172"/>
      <c r="X116" s="173"/>
      <c r="Y116" s="165"/>
      <c r="Z116" s="165"/>
    </row>
    <row r="117" hidden="1" outlineLevel="1">
      <c r="A117" s="165"/>
      <c r="B117" s="174"/>
      <c r="C117" s="100" t="s">
        <v>40</v>
      </c>
      <c r="D117" s="129">
        <v>1027.62</v>
      </c>
      <c r="E117" s="103">
        <v>22.0</v>
      </c>
      <c r="F117" s="103">
        <v>15.0</v>
      </c>
      <c r="G117" s="104">
        <f t="shared" si="1"/>
        <v>1.466666667</v>
      </c>
      <c r="H117" s="105">
        <f t="shared" si="2"/>
        <v>46.71</v>
      </c>
      <c r="I117" s="106">
        <f t="shared" si="3"/>
        <v>31.84772727</v>
      </c>
      <c r="J117" s="129">
        <v>0.0</v>
      </c>
      <c r="K117" s="103">
        <v>0.0</v>
      </c>
      <c r="L117" s="103">
        <v>0.0</v>
      </c>
      <c r="M117" s="130">
        <v>0.0</v>
      </c>
      <c r="N117" s="109" t="str">
        <f t="shared" si="45"/>
        <v>#DIV/0!</v>
      </c>
      <c r="O117" s="110" t="str">
        <f t="shared" si="5"/>
        <v>#DIV/0!</v>
      </c>
      <c r="P117" s="109">
        <f t="shared" si="6"/>
        <v>0</v>
      </c>
      <c r="Q117" s="111">
        <f t="shared" si="7"/>
        <v>0</v>
      </c>
      <c r="R117" s="131">
        <f t="shared" si="44"/>
        <v>1027.62</v>
      </c>
      <c r="S117" s="113" t="str">
        <f t="shared" si="9"/>
        <v>#DIV/0!</v>
      </c>
      <c r="T117" s="172"/>
      <c r="U117" s="172"/>
      <c r="V117" s="172"/>
      <c r="W117" s="172"/>
      <c r="X117" s="173"/>
      <c r="Y117" s="165"/>
      <c r="Z117" s="165"/>
    </row>
    <row r="118" hidden="1" outlineLevel="1">
      <c r="A118" s="165"/>
      <c r="B118" s="174"/>
      <c r="C118" s="100" t="s">
        <v>41</v>
      </c>
      <c r="D118" s="132">
        <v>349.97</v>
      </c>
      <c r="E118" s="103">
        <v>4.0</v>
      </c>
      <c r="F118" s="103">
        <v>4.0</v>
      </c>
      <c r="G118" s="104">
        <f t="shared" si="1"/>
        <v>1</v>
      </c>
      <c r="H118" s="105">
        <f t="shared" si="2"/>
        <v>87.4925</v>
      </c>
      <c r="I118" s="106">
        <f t="shared" si="3"/>
        <v>87.4925</v>
      </c>
      <c r="J118" s="132">
        <v>0.0</v>
      </c>
      <c r="K118" s="103">
        <v>0.0</v>
      </c>
      <c r="L118" s="103">
        <v>0.0</v>
      </c>
      <c r="M118" s="133">
        <v>0.0</v>
      </c>
      <c r="N118" s="109" t="str">
        <f t="shared" si="45"/>
        <v>#DIV/0!</v>
      </c>
      <c r="O118" s="110" t="str">
        <f t="shared" si="5"/>
        <v>#DIV/0!</v>
      </c>
      <c r="P118" s="109">
        <f t="shared" si="6"/>
        <v>0</v>
      </c>
      <c r="Q118" s="111">
        <f t="shared" si="7"/>
        <v>0</v>
      </c>
      <c r="R118" s="134">
        <f t="shared" si="44"/>
        <v>349.97</v>
      </c>
      <c r="S118" s="113" t="str">
        <f t="shared" si="9"/>
        <v>#DIV/0!</v>
      </c>
      <c r="T118" s="172"/>
      <c r="U118" s="172"/>
      <c r="V118" s="172"/>
      <c r="W118" s="172"/>
      <c r="X118" s="173"/>
      <c r="Y118" s="165"/>
      <c r="Z118" s="165"/>
    </row>
    <row r="119" hidden="1" outlineLevel="1">
      <c r="A119" s="165"/>
      <c r="B119" s="174"/>
      <c r="C119" s="100" t="s">
        <v>42</v>
      </c>
      <c r="D119" s="120">
        <v>59.97</v>
      </c>
      <c r="E119" s="103">
        <v>3.0</v>
      </c>
      <c r="F119" s="103">
        <v>4.0</v>
      </c>
      <c r="G119" s="104">
        <f t="shared" si="1"/>
        <v>0.75</v>
      </c>
      <c r="H119" s="105">
        <f t="shared" si="2"/>
        <v>19.99</v>
      </c>
      <c r="I119" s="106">
        <f t="shared" si="3"/>
        <v>26.65333333</v>
      </c>
      <c r="J119" s="120">
        <v>5.72</v>
      </c>
      <c r="K119" s="103">
        <v>15442.0</v>
      </c>
      <c r="L119" s="103">
        <v>1.0</v>
      </c>
      <c r="M119" s="121">
        <v>19.99</v>
      </c>
      <c r="N119" s="109">
        <f t="shared" si="45"/>
        <v>0.2861430715</v>
      </c>
      <c r="O119" s="110">
        <f t="shared" si="5"/>
        <v>3.494755245</v>
      </c>
      <c r="P119" s="109">
        <f t="shared" si="6"/>
        <v>0.09538102385</v>
      </c>
      <c r="Q119" s="111">
        <f t="shared" si="7"/>
        <v>0.3333333333</v>
      </c>
      <c r="R119" s="122">
        <f t="shared" si="44"/>
        <v>39.98</v>
      </c>
      <c r="S119" s="113">
        <f t="shared" si="9"/>
        <v>5.72</v>
      </c>
      <c r="T119" s="172"/>
      <c r="U119" s="172"/>
      <c r="V119" s="172"/>
      <c r="W119" s="172"/>
      <c r="X119" s="173"/>
      <c r="Y119" s="165"/>
      <c r="Z119" s="165"/>
    </row>
    <row r="120" hidden="1" outlineLevel="1">
      <c r="A120" s="165"/>
      <c r="B120" s="174"/>
      <c r="C120" s="100" t="s">
        <v>43</v>
      </c>
      <c r="D120" s="135">
        <v>447.95</v>
      </c>
      <c r="E120" s="103">
        <v>3.0</v>
      </c>
      <c r="F120" s="103">
        <v>3.0</v>
      </c>
      <c r="G120" s="104">
        <f t="shared" si="1"/>
        <v>1</v>
      </c>
      <c r="H120" s="105">
        <f t="shared" si="2"/>
        <v>149.3166667</v>
      </c>
      <c r="I120" s="106">
        <f t="shared" si="3"/>
        <v>149.3166667</v>
      </c>
      <c r="J120" s="135">
        <v>14.28</v>
      </c>
      <c r="K120" s="103">
        <v>20226.0</v>
      </c>
      <c r="L120" s="103">
        <v>0.0</v>
      </c>
      <c r="M120" s="136">
        <v>0.0</v>
      </c>
      <c r="N120" s="109" t="str">
        <f t="shared" si="45"/>
        <v>#DIV/0!</v>
      </c>
      <c r="O120" s="110">
        <f t="shared" si="5"/>
        <v>0</v>
      </c>
      <c r="P120" s="109">
        <f t="shared" si="6"/>
        <v>0.03187855787</v>
      </c>
      <c r="Q120" s="111">
        <f t="shared" si="7"/>
        <v>0</v>
      </c>
      <c r="R120" s="137">
        <f t="shared" si="44"/>
        <v>447.95</v>
      </c>
      <c r="S120" s="113" t="str">
        <f t="shared" si="9"/>
        <v>#DIV/0!</v>
      </c>
      <c r="T120" s="172"/>
      <c r="U120" s="172"/>
      <c r="V120" s="172"/>
      <c r="W120" s="172"/>
      <c r="X120" s="173"/>
      <c r="Y120" s="165"/>
      <c r="Z120" s="165"/>
    </row>
    <row r="121" hidden="1" outlineLevel="1">
      <c r="A121" s="165"/>
      <c r="B121" s="174"/>
      <c r="C121" s="100" t="s">
        <v>44</v>
      </c>
      <c r="D121" s="138">
        <v>230.81</v>
      </c>
      <c r="E121" s="103">
        <v>4.0</v>
      </c>
      <c r="F121" s="103">
        <v>4.0</v>
      </c>
      <c r="G121" s="104">
        <f t="shared" si="1"/>
        <v>1</v>
      </c>
      <c r="H121" s="105">
        <f t="shared" si="2"/>
        <v>57.7025</v>
      </c>
      <c r="I121" s="106">
        <f t="shared" si="3"/>
        <v>57.7025</v>
      </c>
      <c r="J121" s="138">
        <v>38.37</v>
      </c>
      <c r="K121" s="103">
        <v>10457.0</v>
      </c>
      <c r="L121" s="103">
        <v>2.0</v>
      </c>
      <c r="M121" s="139">
        <v>119.9</v>
      </c>
      <c r="N121" s="109">
        <f t="shared" si="45"/>
        <v>0.3200166806</v>
      </c>
      <c r="O121" s="110">
        <f t="shared" si="5"/>
        <v>3.124837112</v>
      </c>
      <c r="P121" s="109">
        <f t="shared" si="6"/>
        <v>0.1662406308</v>
      </c>
      <c r="Q121" s="111">
        <f t="shared" si="7"/>
        <v>0.5194748928</v>
      </c>
      <c r="R121" s="140">
        <f t="shared" si="44"/>
        <v>110.91</v>
      </c>
      <c r="S121" s="113">
        <f t="shared" si="9"/>
        <v>19.185</v>
      </c>
      <c r="T121" s="172"/>
      <c r="U121" s="172"/>
      <c r="V121" s="172"/>
      <c r="W121" s="172"/>
      <c r="X121" s="173"/>
      <c r="Y121" s="165"/>
      <c r="Z121" s="165"/>
    </row>
    <row r="122" hidden="1" outlineLevel="1">
      <c r="A122" s="192"/>
      <c r="B122" s="174"/>
      <c r="C122" s="142" t="s">
        <v>45</v>
      </c>
      <c r="D122" s="101">
        <v>39.9</v>
      </c>
      <c r="E122" s="103">
        <v>2.0</v>
      </c>
      <c r="F122" s="103">
        <v>1.0</v>
      </c>
      <c r="G122" s="104">
        <f t="shared" si="1"/>
        <v>2</v>
      </c>
      <c r="H122" s="105">
        <f t="shared" si="2"/>
        <v>19.95</v>
      </c>
      <c r="I122" s="106">
        <f t="shared" si="3"/>
        <v>9.975</v>
      </c>
      <c r="J122" s="101">
        <v>0.0</v>
      </c>
      <c r="K122" s="103">
        <v>0.0</v>
      </c>
      <c r="L122" s="103">
        <v>0.0</v>
      </c>
      <c r="M122" s="108">
        <v>0.0</v>
      </c>
      <c r="N122" s="109" t="str">
        <f t="shared" si="45"/>
        <v>#DIV/0!</v>
      </c>
      <c r="O122" s="110" t="str">
        <f t="shared" si="5"/>
        <v>#DIV/0!</v>
      </c>
      <c r="P122" s="109">
        <f t="shared" si="6"/>
        <v>0</v>
      </c>
      <c r="Q122" s="111">
        <f t="shared" si="7"/>
        <v>0</v>
      </c>
      <c r="R122" s="112">
        <f t="shared" si="44"/>
        <v>39.9</v>
      </c>
      <c r="S122" s="113" t="str">
        <f t="shared" si="9"/>
        <v>#DIV/0!</v>
      </c>
      <c r="T122" s="193"/>
      <c r="U122" s="193"/>
      <c r="V122" s="193"/>
      <c r="W122" s="194"/>
      <c r="X122" s="195"/>
      <c r="Y122" s="165"/>
      <c r="Z122" s="165"/>
    </row>
    <row r="123" hidden="1" outlineLevel="1">
      <c r="A123" s="165"/>
      <c r="B123" s="174"/>
      <c r="C123" s="100" t="s">
        <v>46</v>
      </c>
      <c r="D123" s="146">
        <v>654.23</v>
      </c>
      <c r="E123" s="103">
        <v>19.0</v>
      </c>
      <c r="F123" s="103">
        <v>21.0</v>
      </c>
      <c r="G123" s="104">
        <f t="shared" si="1"/>
        <v>0.9047619048</v>
      </c>
      <c r="H123" s="105">
        <f t="shared" si="2"/>
        <v>34.43315789</v>
      </c>
      <c r="I123" s="106">
        <f t="shared" si="3"/>
        <v>38.05770083</v>
      </c>
      <c r="J123" s="146">
        <v>101.78</v>
      </c>
      <c r="K123" s="103">
        <v>25729.0</v>
      </c>
      <c r="L123" s="103">
        <v>8.0</v>
      </c>
      <c r="M123" s="147">
        <v>273.28</v>
      </c>
      <c r="N123" s="109">
        <f t="shared" si="45"/>
        <v>0.3724385246</v>
      </c>
      <c r="O123" s="110">
        <f t="shared" si="5"/>
        <v>2.685006878</v>
      </c>
      <c r="P123" s="109">
        <f t="shared" si="6"/>
        <v>0.1555721994</v>
      </c>
      <c r="Q123" s="111">
        <f t="shared" si="7"/>
        <v>0.4177124253</v>
      </c>
      <c r="R123" s="112">
        <f t="shared" si="44"/>
        <v>380.95</v>
      </c>
      <c r="S123" s="113">
        <f t="shared" si="9"/>
        <v>12.7225</v>
      </c>
      <c r="T123" s="172"/>
      <c r="U123" s="172"/>
      <c r="V123" s="172"/>
      <c r="W123" s="172"/>
      <c r="X123" s="173"/>
      <c r="Y123" s="165"/>
      <c r="Z123" s="165"/>
    </row>
    <row r="124" hidden="1" outlineLevel="1">
      <c r="A124" s="165"/>
      <c r="B124" s="174"/>
      <c r="C124" s="100" t="s">
        <v>49</v>
      </c>
      <c r="D124" s="146">
        <v>0.0</v>
      </c>
      <c r="E124" s="103">
        <v>0.0</v>
      </c>
      <c r="F124" s="103">
        <v>0.0</v>
      </c>
      <c r="G124" s="104" t="str">
        <f t="shared" si="1"/>
        <v>#DIV/0!</v>
      </c>
      <c r="H124" s="105" t="str">
        <f t="shared" si="2"/>
        <v>#DIV/0!</v>
      </c>
      <c r="I124" s="106" t="str">
        <f t="shared" si="3"/>
        <v>#DIV/0!</v>
      </c>
      <c r="J124" s="146">
        <v>8.8</v>
      </c>
      <c r="K124" s="103">
        <v>6264.0</v>
      </c>
      <c r="L124" s="103">
        <v>0.0</v>
      </c>
      <c r="M124" s="147">
        <v>0.0</v>
      </c>
      <c r="N124" s="109" t="str">
        <f t="shared" si="45"/>
        <v>#DIV/0!</v>
      </c>
      <c r="O124" s="110">
        <f t="shared" si="5"/>
        <v>0</v>
      </c>
      <c r="P124" s="109" t="str">
        <f t="shared" si="6"/>
        <v>#DIV/0!</v>
      </c>
      <c r="Q124" s="111" t="str">
        <f t="shared" si="7"/>
        <v>#DIV/0!</v>
      </c>
      <c r="R124" s="112">
        <f t="shared" si="44"/>
        <v>0</v>
      </c>
      <c r="S124" s="113" t="str">
        <f t="shared" si="9"/>
        <v>#DIV/0!</v>
      </c>
      <c r="T124" s="172"/>
      <c r="U124" s="172"/>
      <c r="V124" s="172"/>
      <c r="W124" s="172"/>
      <c r="X124" s="173"/>
      <c r="Y124" s="165"/>
      <c r="Z124" s="165"/>
    </row>
    <row r="125" hidden="1" outlineLevel="1">
      <c r="A125" s="148" t="str">
        <f t="shared" ref="A125:A126" si="46">iferror(if(B125&gt;0,month(B125)&amp;"-"&amp;year(B125),B125),)</f>
        <v>4-2025</v>
      </c>
      <c r="B125" s="99">
        <v>45752.0</v>
      </c>
      <c r="C125" s="277" t="s">
        <v>67</v>
      </c>
      <c r="D125" s="146">
        <v>0.0</v>
      </c>
      <c r="E125" s="103">
        <v>0.0</v>
      </c>
      <c r="F125" s="103">
        <v>0.0</v>
      </c>
      <c r="G125" s="104" t="str">
        <f t="shared" si="1"/>
        <v>#DIV/0!</v>
      </c>
      <c r="H125" s="105" t="str">
        <f t="shared" si="2"/>
        <v>#DIV/0!</v>
      </c>
      <c r="I125" s="106" t="str">
        <f t="shared" si="3"/>
        <v>#DIV/0!</v>
      </c>
      <c r="J125" s="117">
        <v>299.25</v>
      </c>
      <c r="K125" s="409">
        <v>74513.0</v>
      </c>
      <c r="L125" s="411"/>
      <c r="M125" s="118">
        <v>1286.28</v>
      </c>
      <c r="N125" s="109">
        <f t="shared" si="45"/>
        <v>0.232647635</v>
      </c>
      <c r="O125" s="110">
        <f t="shared" si="5"/>
        <v>4.298345865</v>
      </c>
      <c r="P125" s="109" t="str">
        <f t="shared" si="6"/>
        <v>#DIV/0!</v>
      </c>
      <c r="Q125" s="111" t="str">
        <f t="shared" si="7"/>
        <v>#DIV/0!</v>
      </c>
      <c r="R125" s="112">
        <f t="shared" si="44"/>
        <v>-1286.28</v>
      </c>
      <c r="S125" s="113" t="str">
        <f t="shared" si="9"/>
        <v>#DIV/0!</v>
      </c>
      <c r="T125" s="172"/>
      <c r="U125" s="172"/>
      <c r="V125" s="172"/>
      <c r="W125" s="172"/>
      <c r="X125" s="173"/>
      <c r="Y125" s="165"/>
      <c r="Z125" s="165"/>
    </row>
    <row r="126" collapsed="1">
      <c r="A126" s="165" t="str">
        <f t="shared" si="46"/>
        <v/>
      </c>
      <c r="B126" s="80" t="s">
        <v>101</v>
      </c>
      <c r="C126" s="201"/>
      <c r="D126" s="151">
        <f t="shared" ref="D126:F126" si="47">SUM(D108:D125)</f>
        <v>15258.61</v>
      </c>
      <c r="E126" s="153">
        <f t="shared" si="47"/>
        <v>158</v>
      </c>
      <c r="F126" s="153">
        <f t="shared" si="47"/>
        <v>139</v>
      </c>
      <c r="G126" s="154">
        <f t="shared" si="1"/>
        <v>1.136690647</v>
      </c>
      <c r="H126" s="155">
        <f t="shared" si="2"/>
        <v>96.57348101</v>
      </c>
      <c r="I126" s="156">
        <f t="shared" si="3"/>
        <v>84.96021431</v>
      </c>
      <c r="J126" s="151">
        <f t="shared" ref="J126:M126" si="48">SUM(J108:J125)</f>
        <v>1655.14</v>
      </c>
      <c r="K126" s="153">
        <f t="shared" si="48"/>
        <v>375224</v>
      </c>
      <c r="L126" s="153">
        <f t="shared" si="48"/>
        <v>24</v>
      </c>
      <c r="M126" s="157">
        <f t="shared" si="48"/>
        <v>2790.38</v>
      </c>
      <c r="N126" s="158">
        <f t="shared" si="45"/>
        <v>0.5931593546</v>
      </c>
      <c r="O126" s="159">
        <f t="shared" si="5"/>
        <v>1.685887599</v>
      </c>
      <c r="P126" s="158">
        <f t="shared" si="6"/>
        <v>0.108472528</v>
      </c>
      <c r="Q126" s="160">
        <f t="shared" si="7"/>
        <v>0.1828724897</v>
      </c>
      <c r="R126" s="161">
        <f>SUM(R108:R125)</f>
        <v>12468.23</v>
      </c>
      <c r="S126" s="162">
        <f t="shared" si="9"/>
        <v>68.96416667</v>
      </c>
      <c r="T126" s="163">
        <f t="shared" ref="T126:U126" si="49">IFERROR((D126-D69)/D126,)</f>
        <v>0.5031447819</v>
      </c>
      <c r="U126" s="163">
        <f t="shared" si="49"/>
        <v>0.4050632911</v>
      </c>
      <c r="V126" s="398" t="str">
        <f t="shared" ref="V126:W126" si="50">IFERROR((D126-#REF!)/D126, )</f>
        <v/>
      </c>
      <c r="W126" s="398" t="str">
        <f t="shared" si="50"/>
        <v/>
      </c>
      <c r="X126" s="165"/>
      <c r="Y126" s="165"/>
      <c r="Z126" s="165"/>
    </row>
    <row r="127" hidden="1" outlineLevel="1">
      <c r="A127" s="165"/>
      <c r="B127" s="99">
        <v>45753.0</v>
      </c>
      <c r="C127" s="100" t="s">
        <v>32</v>
      </c>
      <c r="D127" s="101">
        <v>4611.56</v>
      </c>
      <c r="E127" s="103">
        <v>12.0</v>
      </c>
      <c r="F127" s="103">
        <v>13.0</v>
      </c>
      <c r="G127" s="104">
        <f t="shared" si="1"/>
        <v>0.9230769231</v>
      </c>
      <c r="H127" s="105">
        <f t="shared" si="2"/>
        <v>384.2966667</v>
      </c>
      <c r="I127" s="106">
        <f t="shared" si="3"/>
        <v>416.3213889</v>
      </c>
      <c r="J127" s="107">
        <v>449.95</v>
      </c>
      <c r="K127" s="103">
        <v>96209.0</v>
      </c>
      <c r="L127" s="103">
        <v>4.0</v>
      </c>
      <c r="M127" s="108">
        <v>2151.95</v>
      </c>
      <c r="N127" s="109">
        <f t="shared" si="45"/>
        <v>0.2090894305</v>
      </c>
      <c r="O127" s="110">
        <f t="shared" si="5"/>
        <v>4.782642516</v>
      </c>
      <c r="P127" s="109">
        <f t="shared" si="6"/>
        <v>0.09757001969</v>
      </c>
      <c r="Q127" s="111">
        <f t="shared" si="7"/>
        <v>0.4666425244</v>
      </c>
      <c r="R127" s="112">
        <f t="shared" ref="R127:R144" si="51">D127-M127</f>
        <v>2459.61</v>
      </c>
      <c r="S127" s="113">
        <f t="shared" si="9"/>
        <v>112.4875</v>
      </c>
      <c r="T127" s="172"/>
      <c r="U127" s="172"/>
      <c r="V127" s="172"/>
      <c r="W127" s="172"/>
      <c r="X127" s="173"/>
      <c r="Y127" s="165"/>
      <c r="Z127" s="165"/>
    </row>
    <row r="128" hidden="1" outlineLevel="1">
      <c r="A128" s="165"/>
      <c r="B128" s="174"/>
      <c r="C128" s="100" t="s">
        <v>33</v>
      </c>
      <c r="D128" s="117">
        <v>3422.82</v>
      </c>
      <c r="E128" s="103">
        <v>47.0</v>
      </c>
      <c r="F128" s="103">
        <v>40.0</v>
      </c>
      <c r="G128" s="104">
        <f t="shared" si="1"/>
        <v>1.175</v>
      </c>
      <c r="H128" s="105">
        <f t="shared" si="2"/>
        <v>72.82595745</v>
      </c>
      <c r="I128" s="106">
        <f t="shared" si="3"/>
        <v>61.97953825</v>
      </c>
      <c r="J128" s="117">
        <v>265.33</v>
      </c>
      <c r="K128" s="103">
        <v>104909.0</v>
      </c>
      <c r="L128" s="103">
        <v>4.0</v>
      </c>
      <c r="M128" s="118">
        <v>219.85</v>
      </c>
      <c r="N128" s="109">
        <f t="shared" si="45"/>
        <v>1.206868319</v>
      </c>
      <c r="O128" s="110">
        <f t="shared" si="5"/>
        <v>0.8285908114</v>
      </c>
      <c r="P128" s="109">
        <f t="shared" si="6"/>
        <v>0.07751795303</v>
      </c>
      <c r="Q128" s="111">
        <f t="shared" si="7"/>
        <v>0.0642306636</v>
      </c>
      <c r="R128" s="119">
        <f t="shared" si="51"/>
        <v>3202.97</v>
      </c>
      <c r="S128" s="113">
        <f t="shared" si="9"/>
        <v>66.3325</v>
      </c>
      <c r="T128" s="172"/>
      <c r="U128" s="172"/>
      <c r="V128" s="172"/>
      <c r="W128" s="172"/>
      <c r="X128" s="173"/>
      <c r="Y128" s="165"/>
      <c r="Z128" s="165"/>
    </row>
    <row r="129" hidden="1" outlineLevel="1">
      <c r="A129" s="165"/>
      <c r="B129" s="174"/>
      <c r="C129" s="100" t="s">
        <v>34</v>
      </c>
      <c r="D129" s="120">
        <v>0.0</v>
      </c>
      <c r="E129" s="103">
        <v>0.0</v>
      </c>
      <c r="F129" s="103">
        <v>0.0</v>
      </c>
      <c r="G129" s="104" t="str">
        <f t="shared" si="1"/>
        <v>#DIV/0!</v>
      </c>
      <c r="H129" s="105" t="str">
        <f t="shared" si="2"/>
        <v>#DIV/0!</v>
      </c>
      <c r="I129" s="106" t="str">
        <f t="shared" si="3"/>
        <v>#DIV/0!</v>
      </c>
      <c r="J129" s="120">
        <v>0.0</v>
      </c>
      <c r="K129" s="103">
        <v>1.0</v>
      </c>
      <c r="L129" s="103">
        <v>0.0</v>
      </c>
      <c r="M129" s="121">
        <v>0.0</v>
      </c>
      <c r="N129" s="109" t="str">
        <f>(J129/M129)</f>
        <v>#DIV/0!</v>
      </c>
      <c r="O129" s="110" t="str">
        <f t="shared" si="5"/>
        <v>#DIV/0!</v>
      </c>
      <c r="P129" s="109" t="str">
        <f t="shared" si="6"/>
        <v>#DIV/0!</v>
      </c>
      <c r="Q129" s="111" t="str">
        <f t="shared" si="7"/>
        <v>#DIV/0!</v>
      </c>
      <c r="R129" s="122">
        <f t="shared" si="51"/>
        <v>0</v>
      </c>
      <c r="S129" s="113" t="str">
        <f t="shared" si="9"/>
        <v>#DIV/0!</v>
      </c>
      <c r="T129" s="172"/>
      <c r="U129" s="172"/>
      <c r="V129" s="172"/>
      <c r="W129" s="172"/>
      <c r="X129" s="173"/>
      <c r="Y129" s="165"/>
      <c r="Z129" s="165"/>
    </row>
    <row r="130" hidden="1" outlineLevel="1">
      <c r="A130" s="165"/>
      <c r="B130" s="174"/>
      <c r="C130" s="100" t="s">
        <v>35</v>
      </c>
      <c r="D130" s="120">
        <v>239.8</v>
      </c>
      <c r="E130" s="103">
        <v>4.0</v>
      </c>
      <c r="F130" s="103">
        <v>3.0</v>
      </c>
      <c r="G130" s="104">
        <f t="shared" si="1"/>
        <v>1.333333333</v>
      </c>
      <c r="H130" s="105">
        <f t="shared" si="2"/>
        <v>59.95</v>
      </c>
      <c r="I130" s="106">
        <f t="shared" si="3"/>
        <v>44.9625</v>
      </c>
      <c r="J130" s="120">
        <v>115.54</v>
      </c>
      <c r="K130" s="103">
        <v>8991.0</v>
      </c>
      <c r="L130" s="103">
        <v>1.0</v>
      </c>
      <c r="M130" s="121">
        <v>59.95</v>
      </c>
      <c r="N130" s="109">
        <f t="shared" ref="N130:N147" si="52">J130/M130</f>
        <v>1.927272727</v>
      </c>
      <c r="O130" s="110">
        <f t="shared" si="5"/>
        <v>0.5188679245</v>
      </c>
      <c r="P130" s="109">
        <f t="shared" si="6"/>
        <v>0.4818181818</v>
      </c>
      <c r="Q130" s="111">
        <f t="shared" si="7"/>
        <v>0.25</v>
      </c>
      <c r="R130" s="122">
        <f t="shared" si="51"/>
        <v>179.85</v>
      </c>
      <c r="S130" s="113">
        <f t="shared" si="9"/>
        <v>115.54</v>
      </c>
      <c r="T130" s="172"/>
      <c r="U130" s="172"/>
      <c r="V130" s="172"/>
      <c r="W130" s="172"/>
      <c r="X130" s="173"/>
      <c r="Y130" s="165"/>
      <c r="Z130" s="165"/>
    </row>
    <row r="131" hidden="1" outlineLevel="1">
      <c r="A131" s="165"/>
      <c r="B131" s="174"/>
      <c r="C131" s="100" t="s">
        <v>65</v>
      </c>
      <c r="D131" s="300">
        <v>180.0</v>
      </c>
      <c r="E131" s="103">
        <v>5.0</v>
      </c>
      <c r="F131" s="103">
        <v>4.0</v>
      </c>
      <c r="G131" s="104">
        <f t="shared" si="1"/>
        <v>1.25</v>
      </c>
      <c r="H131" s="105">
        <f t="shared" si="2"/>
        <v>36</v>
      </c>
      <c r="I131" s="106">
        <f t="shared" si="3"/>
        <v>28.8</v>
      </c>
      <c r="J131" s="300">
        <v>0.0</v>
      </c>
      <c r="K131" s="103">
        <v>0.0</v>
      </c>
      <c r="L131" s="103">
        <v>0.0</v>
      </c>
      <c r="M131" s="300">
        <v>0.0</v>
      </c>
      <c r="N131" s="109" t="str">
        <f t="shared" si="52"/>
        <v>#DIV/0!</v>
      </c>
      <c r="O131" s="110" t="str">
        <f t="shared" si="5"/>
        <v>#DIV/0!</v>
      </c>
      <c r="P131" s="109">
        <f t="shared" si="6"/>
        <v>0</v>
      </c>
      <c r="Q131" s="111">
        <f t="shared" si="7"/>
        <v>0</v>
      </c>
      <c r="R131" s="122">
        <f t="shared" si="51"/>
        <v>180</v>
      </c>
      <c r="S131" s="113" t="str">
        <f t="shared" si="9"/>
        <v>#DIV/0!</v>
      </c>
      <c r="T131" s="172"/>
      <c r="U131" s="172"/>
      <c r="V131" s="172"/>
      <c r="W131" s="172"/>
      <c r="X131" s="173"/>
      <c r="Y131" s="165"/>
      <c r="Z131" s="165"/>
    </row>
    <row r="132" hidden="1" outlineLevel="1">
      <c r="A132" s="165"/>
      <c r="B132" s="174"/>
      <c r="C132" s="100" t="s">
        <v>85</v>
      </c>
      <c r="D132" s="302">
        <v>0.0</v>
      </c>
      <c r="E132" s="103">
        <v>0.0</v>
      </c>
      <c r="F132" s="103">
        <v>0.0</v>
      </c>
      <c r="G132" s="104" t="str">
        <f t="shared" si="1"/>
        <v>#DIV/0!</v>
      </c>
      <c r="H132" s="105" t="str">
        <f t="shared" si="2"/>
        <v>#DIV/0!</v>
      </c>
      <c r="I132" s="106" t="str">
        <f t="shared" si="3"/>
        <v>#DIV/0!</v>
      </c>
      <c r="J132" s="302">
        <v>32.55</v>
      </c>
      <c r="K132" s="103">
        <v>683.0</v>
      </c>
      <c r="L132" s="103">
        <v>0.0</v>
      </c>
      <c r="M132" s="303">
        <v>0.0</v>
      </c>
      <c r="N132" s="109" t="str">
        <f t="shared" si="52"/>
        <v>#DIV/0!</v>
      </c>
      <c r="O132" s="110">
        <f t="shared" si="5"/>
        <v>0</v>
      </c>
      <c r="P132" s="109" t="str">
        <f t="shared" si="6"/>
        <v>#DIV/0!</v>
      </c>
      <c r="Q132" s="111" t="str">
        <f t="shared" si="7"/>
        <v>#DIV/0!</v>
      </c>
      <c r="R132" s="304">
        <f t="shared" si="51"/>
        <v>0</v>
      </c>
      <c r="S132" s="113" t="str">
        <f t="shared" si="9"/>
        <v>#DIV/0!</v>
      </c>
      <c r="T132" s="172"/>
      <c r="U132" s="172"/>
      <c r="V132" s="172"/>
      <c r="W132" s="172"/>
      <c r="X132" s="173"/>
      <c r="Y132" s="165"/>
      <c r="Z132" s="165"/>
    </row>
    <row r="133" hidden="1" outlineLevel="1">
      <c r="A133" s="165"/>
      <c r="B133" s="174"/>
      <c r="C133" s="100" t="s">
        <v>36</v>
      </c>
      <c r="D133" s="120">
        <v>519.6</v>
      </c>
      <c r="E133" s="103">
        <v>8.0</v>
      </c>
      <c r="F133" s="103">
        <v>6.0</v>
      </c>
      <c r="G133" s="104">
        <f t="shared" si="1"/>
        <v>1.333333333</v>
      </c>
      <c r="H133" s="105">
        <f t="shared" si="2"/>
        <v>64.95</v>
      </c>
      <c r="I133" s="106">
        <f t="shared" si="3"/>
        <v>48.7125</v>
      </c>
      <c r="J133" s="120">
        <v>16.13</v>
      </c>
      <c r="K133" s="103">
        <v>2628.0</v>
      </c>
      <c r="L133" s="103">
        <v>2.0</v>
      </c>
      <c r="M133" s="121">
        <v>139.9</v>
      </c>
      <c r="N133" s="109">
        <f t="shared" si="52"/>
        <v>0.1152966405</v>
      </c>
      <c r="O133" s="110">
        <f t="shared" si="5"/>
        <v>8.673279603</v>
      </c>
      <c r="P133" s="109">
        <f t="shared" si="6"/>
        <v>0.03104311008</v>
      </c>
      <c r="Q133" s="111">
        <f t="shared" si="7"/>
        <v>0.2692455735</v>
      </c>
      <c r="R133" s="122">
        <f t="shared" si="51"/>
        <v>379.7</v>
      </c>
      <c r="S133" s="113">
        <f t="shared" si="9"/>
        <v>8.065</v>
      </c>
      <c r="T133" s="172"/>
      <c r="U133" s="172"/>
      <c r="V133" s="172"/>
      <c r="W133" s="172"/>
      <c r="X133" s="173"/>
      <c r="Y133" s="165"/>
      <c r="Z133" s="165"/>
    </row>
    <row r="134" hidden="1" outlineLevel="1">
      <c r="A134" s="165"/>
      <c r="B134" s="99" t="s">
        <v>37</v>
      </c>
      <c r="C134" s="100" t="s">
        <v>38</v>
      </c>
      <c r="D134" s="123">
        <v>119.23</v>
      </c>
      <c r="E134" s="103">
        <v>5.0</v>
      </c>
      <c r="F134" s="103">
        <v>6.0</v>
      </c>
      <c r="G134" s="104">
        <f t="shared" si="1"/>
        <v>0.8333333333</v>
      </c>
      <c r="H134" s="105">
        <f t="shared" si="2"/>
        <v>23.846</v>
      </c>
      <c r="I134" s="106">
        <f t="shared" si="3"/>
        <v>28.6152</v>
      </c>
      <c r="J134" s="123">
        <v>0.0</v>
      </c>
      <c r="K134" s="103">
        <v>0.0</v>
      </c>
      <c r="L134" s="103">
        <v>0.0</v>
      </c>
      <c r="M134" s="124">
        <v>0.0</v>
      </c>
      <c r="N134" s="109" t="str">
        <f t="shared" si="52"/>
        <v>#DIV/0!</v>
      </c>
      <c r="O134" s="110" t="str">
        <f t="shared" si="5"/>
        <v>#DIV/0!</v>
      </c>
      <c r="P134" s="109">
        <f t="shared" si="6"/>
        <v>0</v>
      </c>
      <c r="Q134" s="111">
        <f t="shared" si="7"/>
        <v>0</v>
      </c>
      <c r="R134" s="125">
        <f t="shared" si="51"/>
        <v>119.23</v>
      </c>
      <c r="S134" s="113" t="str">
        <f t="shared" si="9"/>
        <v>#DIV/0!</v>
      </c>
      <c r="T134" s="172"/>
      <c r="U134" s="172"/>
      <c r="V134" s="172"/>
      <c r="W134" s="172"/>
      <c r="X134" s="173"/>
      <c r="Y134" s="165"/>
      <c r="Z134" s="165"/>
    </row>
    <row r="135" hidden="1" outlineLevel="1">
      <c r="A135" s="165"/>
      <c r="B135" s="174"/>
      <c r="C135" s="100" t="s">
        <v>39</v>
      </c>
      <c r="D135" s="126">
        <v>359.89</v>
      </c>
      <c r="E135" s="103">
        <v>3.0</v>
      </c>
      <c r="F135" s="103">
        <v>3.0</v>
      </c>
      <c r="G135" s="104">
        <f t="shared" si="1"/>
        <v>1</v>
      </c>
      <c r="H135" s="105">
        <f t="shared" si="2"/>
        <v>119.9633333</v>
      </c>
      <c r="I135" s="106">
        <f t="shared" si="3"/>
        <v>119.9633333</v>
      </c>
      <c r="J135" s="126">
        <v>0.0</v>
      </c>
      <c r="K135" s="103">
        <v>0.0</v>
      </c>
      <c r="L135" s="103">
        <v>0.0</v>
      </c>
      <c r="M135" s="127">
        <v>0.0</v>
      </c>
      <c r="N135" s="109" t="str">
        <f t="shared" si="52"/>
        <v>#DIV/0!</v>
      </c>
      <c r="O135" s="110" t="str">
        <f t="shared" si="5"/>
        <v>#DIV/0!</v>
      </c>
      <c r="P135" s="109">
        <f t="shared" si="6"/>
        <v>0</v>
      </c>
      <c r="Q135" s="111">
        <f t="shared" si="7"/>
        <v>0</v>
      </c>
      <c r="R135" s="128">
        <f t="shared" si="51"/>
        <v>359.89</v>
      </c>
      <c r="S135" s="113" t="str">
        <f t="shared" si="9"/>
        <v>#DIV/0!</v>
      </c>
      <c r="T135" s="172"/>
      <c r="U135" s="172"/>
      <c r="V135" s="172"/>
      <c r="W135" s="172"/>
      <c r="X135" s="173"/>
      <c r="Y135" s="165"/>
      <c r="Z135" s="165"/>
    </row>
    <row r="136" hidden="1" outlineLevel="1">
      <c r="A136" s="165"/>
      <c r="B136" s="174"/>
      <c r="C136" s="100" t="s">
        <v>40</v>
      </c>
      <c r="D136" s="129">
        <v>461.59</v>
      </c>
      <c r="E136" s="103">
        <v>9.0</v>
      </c>
      <c r="F136" s="103">
        <v>6.0</v>
      </c>
      <c r="G136" s="104">
        <f t="shared" si="1"/>
        <v>1.5</v>
      </c>
      <c r="H136" s="105">
        <f t="shared" si="2"/>
        <v>51.28777778</v>
      </c>
      <c r="I136" s="106">
        <f t="shared" si="3"/>
        <v>34.19185185</v>
      </c>
      <c r="J136" s="129">
        <v>0.0</v>
      </c>
      <c r="K136" s="103">
        <v>0.0</v>
      </c>
      <c r="L136" s="103">
        <v>0.0</v>
      </c>
      <c r="M136" s="130">
        <v>0.0</v>
      </c>
      <c r="N136" s="109" t="str">
        <f t="shared" si="52"/>
        <v>#DIV/0!</v>
      </c>
      <c r="O136" s="110" t="str">
        <f t="shared" si="5"/>
        <v>#DIV/0!</v>
      </c>
      <c r="P136" s="109">
        <f t="shared" si="6"/>
        <v>0</v>
      </c>
      <c r="Q136" s="111">
        <f t="shared" si="7"/>
        <v>0</v>
      </c>
      <c r="R136" s="131">
        <f t="shared" si="51"/>
        <v>461.59</v>
      </c>
      <c r="S136" s="113" t="str">
        <f t="shared" si="9"/>
        <v>#DIV/0!</v>
      </c>
      <c r="T136" s="172"/>
      <c r="U136" s="172"/>
      <c r="V136" s="172"/>
      <c r="W136" s="172"/>
      <c r="X136" s="173"/>
      <c r="Y136" s="165"/>
      <c r="Z136" s="165"/>
    </row>
    <row r="137" hidden="1" outlineLevel="1">
      <c r="A137" s="165"/>
      <c r="B137" s="174"/>
      <c r="C137" s="100" t="s">
        <v>41</v>
      </c>
      <c r="D137" s="132">
        <v>0.0</v>
      </c>
      <c r="E137" s="103">
        <v>0.0</v>
      </c>
      <c r="F137" s="103">
        <v>0.0</v>
      </c>
      <c r="G137" s="104" t="str">
        <f t="shared" si="1"/>
        <v>#DIV/0!</v>
      </c>
      <c r="H137" s="105" t="str">
        <f t="shared" si="2"/>
        <v>#DIV/0!</v>
      </c>
      <c r="I137" s="106" t="str">
        <f t="shared" si="3"/>
        <v>#DIV/0!</v>
      </c>
      <c r="J137" s="132">
        <v>5.36</v>
      </c>
      <c r="K137" s="103">
        <v>708.0</v>
      </c>
      <c r="L137" s="103">
        <v>0.0</v>
      </c>
      <c r="M137" s="133">
        <v>0.0</v>
      </c>
      <c r="N137" s="109" t="str">
        <f t="shared" si="52"/>
        <v>#DIV/0!</v>
      </c>
      <c r="O137" s="110">
        <f t="shared" si="5"/>
        <v>0</v>
      </c>
      <c r="P137" s="109" t="str">
        <f t="shared" si="6"/>
        <v>#DIV/0!</v>
      </c>
      <c r="Q137" s="111" t="str">
        <f t="shared" si="7"/>
        <v>#DIV/0!</v>
      </c>
      <c r="R137" s="134">
        <f t="shared" si="51"/>
        <v>0</v>
      </c>
      <c r="S137" s="113" t="str">
        <f t="shared" si="9"/>
        <v>#DIV/0!</v>
      </c>
      <c r="T137" s="172"/>
      <c r="U137" s="172"/>
      <c r="V137" s="172"/>
      <c r="W137" s="172"/>
      <c r="X137" s="173"/>
      <c r="Y137" s="165"/>
      <c r="Z137" s="165"/>
    </row>
    <row r="138" hidden="1" outlineLevel="1">
      <c r="A138" s="165"/>
      <c r="B138" s="174"/>
      <c r="C138" s="100" t="s">
        <v>42</v>
      </c>
      <c r="D138" s="120">
        <v>79.96</v>
      </c>
      <c r="E138" s="103">
        <v>4.0</v>
      </c>
      <c r="F138" s="103">
        <v>0.0</v>
      </c>
      <c r="G138" s="104" t="str">
        <f t="shared" si="1"/>
        <v>#DIV/0!</v>
      </c>
      <c r="H138" s="105">
        <f t="shared" si="2"/>
        <v>19.99</v>
      </c>
      <c r="I138" s="106" t="str">
        <f t="shared" si="3"/>
        <v>#DIV/0!</v>
      </c>
      <c r="J138" s="120">
        <v>5.9</v>
      </c>
      <c r="K138" s="103">
        <v>15360.0</v>
      </c>
      <c r="L138" s="103">
        <v>1.0</v>
      </c>
      <c r="M138" s="121">
        <v>19.99</v>
      </c>
      <c r="N138" s="109">
        <f t="shared" si="52"/>
        <v>0.2951475738</v>
      </c>
      <c r="O138" s="110">
        <f t="shared" si="5"/>
        <v>3.388135593</v>
      </c>
      <c r="P138" s="109">
        <f t="shared" si="6"/>
        <v>0.07378689345</v>
      </c>
      <c r="Q138" s="111">
        <f t="shared" si="7"/>
        <v>0.25</v>
      </c>
      <c r="R138" s="122">
        <f t="shared" si="51"/>
        <v>59.97</v>
      </c>
      <c r="S138" s="113">
        <f t="shared" si="9"/>
        <v>5.9</v>
      </c>
      <c r="T138" s="172"/>
      <c r="U138" s="172"/>
      <c r="V138" s="172"/>
      <c r="W138" s="172"/>
      <c r="X138" s="173"/>
      <c r="Y138" s="165"/>
      <c r="Z138" s="165"/>
    </row>
    <row r="139" hidden="1" outlineLevel="1">
      <c r="A139" s="165"/>
      <c r="B139" s="174"/>
      <c r="C139" s="100" t="s">
        <v>43</v>
      </c>
      <c r="D139" s="135">
        <v>195.0</v>
      </c>
      <c r="E139" s="103">
        <v>1.0</v>
      </c>
      <c r="F139" s="103">
        <v>1.0</v>
      </c>
      <c r="G139" s="104">
        <f t="shared" si="1"/>
        <v>1</v>
      </c>
      <c r="H139" s="105">
        <f t="shared" si="2"/>
        <v>195</v>
      </c>
      <c r="I139" s="106">
        <f t="shared" si="3"/>
        <v>195</v>
      </c>
      <c r="J139" s="135">
        <v>97.03</v>
      </c>
      <c r="K139" s="103">
        <v>31817.0</v>
      </c>
      <c r="L139" s="103">
        <v>2.0</v>
      </c>
      <c r="M139" s="136">
        <v>119.9</v>
      </c>
      <c r="N139" s="109">
        <f t="shared" si="52"/>
        <v>0.8092577148</v>
      </c>
      <c r="O139" s="110">
        <f t="shared" si="5"/>
        <v>1.235700299</v>
      </c>
      <c r="P139" s="109">
        <f t="shared" si="6"/>
        <v>0.4975897436</v>
      </c>
      <c r="Q139" s="111">
        <f t="shared" si="7"/>
        <v>0.6148717949</v>
      </c>
      <c r="R139" s="137">
        <f t="shared" si="51"/>
        <v>75.1</v>
      </c>
      <c r="S139" s="113">
        <f t="shared" si="9"/>
        <v>48.515</v>
      </c>
      <c r="T139" s="172"/>
      <c r="U139" s="172"/>
      <c r="V139" s="172"/>
      <c r="W139" s="172"/>
      <c r="X139" s="173"/>
      <c r="Y139" s="165"/>
      <c r="Z139" s="165"/>
    </row>
    <row r="140" hidden="1" outlineLevel="1">
      <c r="A140" s="165"/>
      <c r="B140" s="174"/>
      <c r="C140" s="100" t="s">
        <v>44</v>
      </c>
      <c r="D140" s="138">
        <v>90.91</v>
      </c>
      <c r="E140" s="103">
        <v>2.0</v>
      </c>
      <c r="F140" s="103">
        <v>2.0</v>
      </c>
      <c r="G140" s="104">
        <f t="shared" si="1"/>
        <v>1</v>
      </c>
      <c r="H140" s="105">
        <f t="shared" si="2"/>
        <v>45.455</v>
      </c>
      <c r="I140" s="106">
        <f t="shared" si="3"/>
        <v>45.455</v>
      </c>
      <c r="J140" s="138">
        <v>125.48</v>
      </c>
      <c r="K140" s="103">
        <v>24053.0</v>
      </c>
      <c r="L140" s="103">
        <v>4.0</v>
      </c>
      <c r="M140" s="139">
        <v>64.68</v>
      </c>
      <c r="N140" s="109">
        <f t="shared" si="52"/>
        <v>1.940012369</v>
      </c>
      <c r="O140" s="110">
        <f t="shared" si="5"/>
        <v>0.5154606312</v>
      </c>
      <c r="P140" s="109">
        <f t="shared" si="6"/>
        <v>1.380266197</v>
      </c>
      <c r="Q140" s="111">
        <f t="shared" si="7"/>
        <v>0.7114728853</v>
      </c>
      <c r="R140" s="140">
        <f t="shared" si="51"/>
        <v>26.23</v>
      </c>
      <c r="S140" s="113">
        <f t="shared" si="9"/>
        <v>31.37</v>
      </c>
      <c r="T140" s="172"/>
      <c r="U140" s="172"/>
      <c r="V140" s="172"/>
      <c r="W140" s="172"/>
      <c r="X140" s="173"/>
      <c r="Y140" s="165"/>
      <c r="Z140" s="165"/>
    </row>
    <row r="141" hidden="1" outlineLevel="1">
      <c r="A141" s="192"/>
      <c r="B141" s="174"/>
      <c r="C141" s="142" t="s">
        <v>45</v>
      </c>
      <c r="D141" s="101">
        <v>0.0</v>
      </c>
      <c r="E141" s="103">
        <v>0.0</v>
      </c>
      <c r="F141" s="103">
        <v>0.0</v>
      </c>
      <c r="G141" s="104" t="str">
        <f t="shared" si="1"/>
        <v>#DIV/0!</v>
      </c>
      <c r="H141" s="105" t="str">
        <f t="shared" si="2"/>
        <v>#DIV/0!</v>
      </c>
      <c r="I141" s="106" t="str">
        <f t="shared" si="3"/>
        <v>#DIV/0!</v>
      </c>
      <c r="J141" s="101">
        <v>0.0</v>
      </c>
      <c r="K141" s="103">
        <v>0.0</v>
      </c>
      <c r="L141" s="103">
        <v>0.0</v>
      </c>
      <c r="M141" s="108">
        <v>0.0</v>
      </c>
      <c r="N141" s="109" t="str">
        <f t="shared" si="52"/>
        <v>#DIV/0!</v>
      </c>
      <c r="O141" s="110" t="str">
        <f t="shared" si="5"/>
        <v>#DIV/0!</v>
      </c>
      <c r="P141" s="109" t="str">
        <f t="shared" si="6"/>
        <v>#DIV/0!</v>
      </c>
      <c r="Q141" s="111" t="str">
        <f t="shared" si="7"/>
        <v>#DIV/0!</v>
      </c>
      <c r="R141" s="112">
        <f t="shared" si="51"/>
        <v>0</v>
      </c>
      <c r="S141" s="113" t="str">
        <f t="shared" si="9"/>
        <v>#DIV/0!</v>
      </c>
      <c r="T141" s="193"/>
      <c r="U141" s="193"/>
      <c r="V141" s="193"/>
      <c r="W141" s="194"/>
      <c r="X141" s="195"/>
      <c r="Y141" s="165"/>
      <c r="Z141" s="165"/>
    </row>
    <row r="142" hidden="1" outlineLevel="1">
      <c r="A142" s="165"/>
      <c r="B142" s="174"/>
      <c r="C142" s="100" t="s">
        <v>46</v>
      </c>
      <c r="D142" s="146">
        <v>563.92</v>
      </c>
      <c r="E142" s="103">
        <v>15.0</v>
      </c>
      <c r="F142" s="103">
        <v>16.0</v>
      </c>
      <c r="G142" s="104">
        <f t="shared" si="1"/>
        <v>0.9375</v>
      </c>
      <c r="H142" s="105">
        <f t="shared" si="2"/>
        <v>37.59466667</v>
      </c>
      <c r="I142" s="106">
        <f t="shared" si="3"/>
        <v>40.10097778</v>
      </c>
      <c r="J142" s="146">
        <v>148.76</v>
      </c>
      <c r="K142" s="103">
        <v>37784.0</v>
      </c>
      <c r="L142" s="103">
        <v>10.0</v>
      </c>
      <c r="M142" s="147">
        <v>341.6</v>
      </c>
      <c r="N142" s="109">
        <f t="shared" si="52"/>
        <v>0.4354800937</v>
      </c>
      <c r="O142" s="110">
        <f t="shared" si="5"/>
        <v>2.296316214</v>
      </c>
      <c r="P142" s="109">
        <f t="shared" si="6"/>
        <v>0.2637962832</v>
      </c>
      <c r="Q142" s="111">
        <f t="shared" si="7"/>
        <v>0.6057596822</v>
      </c>
      <c r="R142" s="112">
        <f t="shared" si="51"/>
        <v>222.32</v>
      </c>
      <c r="S142" s="113">
        <f t="shared" si="9"/>
        <v>14.876</v>
      </c>
      <c r="T142" s="172"/>
      <c r="U142" s="172"/>
      <c r="V142" s="172"/>
      <c r="W142" s="172"/>
      <c r="X142" s="173"/>
      <c r="Y142" s="165"/>
      <c r="Z142" s="165"/>
    </row>
    <row r="143" hidden="1" outlineLevel="1">
      <c r="A143" s="165"/>
      <c r="B143" s="174"/>
      <c r="C143" s="100" t="s">
        <v>49</v>
      </c>
      <c r="D143" s="146">
        <v>0.0</v>
      </c>
      <c r="E143" s="103">
        <v>0.0</v>
      </c>
      <c r="F143" s="103">
        <v>0.0</v>
      </c>
      <c r="G143" s="104" t="str">
        <f t="shared" si="1"/>
        <v>#DIV/0!</v>
      </c>
      <c r="H143" s="105" t="str">
        <f t="shared" si="2"/>
        <v>#DIV/0!</v>
      </c>
      <c r="I143" s="106" t="str">
        <f t="shared" si="3"/>
        <v>#DIV/0!</v>
      </c>
      <c r="J143" s="146">
        <v>3.16</v>
      </c>
      <c r="K143" s="103">
        <v>7285.0</v>
      </c>
      <c r="L143" s="103">
        <v>0.0</v>
      </c>
      <c r="M143" s="147">
        <v>0.0</v>
      </c>
      <c r="N143" s="109" t="str">
        <f t="shared" si="52"/>
        <v>#DIV/0!</v>
      </c>
      <c r="O143" s="110">
        <f t="shared" si="5"/>
        <v>0</v>
      </c>
      <c r="P143" s="109" t="str">
        <f t="shared" si="6"/>
        <v>#DIV/0!</v>
      </c>
      <c r="Q143" s="111" t="str">
        <f t="shared" si="7"/>
        <v>#DIV/0!</v>
      </c>
      <c r="R143" s="112">
        <f t="shared" si="51"/>
        <v>0</v>
      </c>
      <c r="S143" s="113" t="str">
        <f t="shared" si="9"/>
        <v>#DIV/0!</v>
      </c>
      <c r="T143" s="172"/>
      <c r="U143" s="172"/>
      <c r="V143" s="172"/>
      <c r="W143" s="172"/>
      <c r="X143" s="173"/>
      <c r="Y143" s="165"/>
      <c r="Z143" s="165"/>
    </row>
    <row r="144" hidden="1" outlineLevel="1">
      <c r="A144" s="148" t="str">
        <f t="shared" ref="A144:A145" si="53">iferror(if(B144&gt;0,month(B144)&amp;"-"&amp;year(B144),B144),)</f>
        <v>4-2025</v>
      </c>
      <c r="B144" s="99">
        <v>45759.0</v>
      </c>
      <c r="C144" s="277" t="s">
        <v>67</v>
      </c>
      <c r="D144" s="146">
        <v>0.0</v>
      </c>
      <c r="E144" s="103">
        <v>0.0</v>
      </c>
      <c r="F144" s="103">
        <v>0.0</v>
      </c>
      <c r="G144" s="104" t="str">
        <f t="shared" si="1"/>
        <v>#DIV/0!</v>
      </c>
      <c r="H144" s="105" t="str">
        <f t="shared" si="2"/>
        <v>#DIV/0!</v>
      </c>
      <c r="I144" s="106" t="str">
        <f t="shared" si="3"/>
        <v>#DIV/0!</v>
      </c>
      <c r="J144" s="117">
        <v>330.89000000000004</v>
      </c>
      <c r="K144" s="409">
        <v>90272.0</v>
      </c>
      <c r="L144" s="412">
        <v>0.0</v>
      </c>
      <c r="M144" s="118">
        <v>472.69</v>
      </c>
      <c r="N144" s="109">
        <f t="shared" si="52"/>
        <v>0.7000148089</v>
      </c>
      <c r="O144" s="110">
        <f t="shared" si="5"/>
        <v>1.428541207</v>
      </c>
      <c r="P144" s="109" t="str">
        <f t="shared" si="6"/>
        <v>#DIV/0!</v>
      </c>
      <c r="Q144" s="111" t="str">
        <f t="shared" si="7"/>
        <v>#DIV/0!</v>
      </c>
      <c r="R144" s="112">
        <f t="shared" si="51"/>
        <v>-472.69</v>
      </c>
      <c r="S144" s="113" t="str">
        <f t="shared" si="9"/>
        <v>#DIV/0!</v>
      </c>
      <c r="T144" s="172"/>
      <c r="U144" s="172"/>
      <c r="V144" s="172"/>
      <c r="W144" s="172"/>
      <c r="X144" s="173"/>
      <c r="Y144" s="165"/>
      <c r="Z144" s="165"/>
    </row>
    <row r="145" collapsed="1">
      <c r="A145" s="165" t="str">
        <f t="shared" si="53"/>
        <v/>
      </c>
      <c r="B145" s="80" t="s">
        <v>102</v>
      </c>
      <c r="C145" s="201"/>
      <c r="D145" s="151">
        <f t="shared" ref="D145:F145" si="54">SUM(D127:D144)</f>
        <v>10844.28</v>
      </c>
      <c r="E145" s="153">
        <f t="shared" si="54"/>
        <v>115</v>
      </c>
      <c r="F145" s="153">
        <f t="shared" si="54"/>
        <v>100</v>
      </c>
      <c r="G145" s="154">
        <f t="shared" si="1"/>
        <v>1.15</v>
      </c>
      <c r="H145" s="155">
        <f t="shared" si="2"/>
        <v>94.29808696</v>
      </c>
      <c r="I145" s="156">
        <f t="shared" si="3"/>
        <v>81.99833648</v>
      </c>
      <c r="J145" s="151">
        <f t="shared" ref="J145:M145" si="55">SUM(J127:J144)</f>
        <v>1596.08</v>
      </c>
      <c r="K145" s="153">
        <f t="shared" si="55"/>
        <v>420700</v>
      </c>
      <c r="L145" s="153">
        <f t="shared" si="55"/>
        <v>28</v>
      </c>
      <c r="M145" s="157">
        <f t="shared" si="55"/>
        <v>3590.51</v>
      </c>
      <c r="N145" s="158">
        <f t="shared" si="52"/>
        <v>0.4445273791</v>
      </c>
      <c r="O145" s="159">
        <f t="shared" si="5"/>
        <v>2.249580222</v>
      </c>
      <c r="P145" s="158">
        <f t="shared" si="6"/>
        <v>0.1471817401</v>
      </c>
      <c r="Q145" s="160">
        <f t="shared" si="7"/>
        <v>0.3310971314</v>
      </c>
      <c r="R145" s="161">
        <f>SUM(R127:R144)</f>
        <v>7253.77</v>
      </c>
      <c r="S145" s="162">
        <f t="shared" si="9"/>
        <v>57.00285714</v>
      </c>
      <c r="T145" s="163">
        <f t="shared" ref="T145:U145" si="56">IFERROR((D145-D69)/D145,)</f>
        <v>0.3008922676</v>
      </c>
      <c r="U145" s="163">
        <f t="shared" si="56"/>
        <v>0.1826086957</v>
      </c>
      <c r="V145" s="398" t="str">
        <f t="shared" ref="V145:W145" si="57">IFERROR((D145-#REF!)/D145, )</f>
        <v/>
      </c>
      <c r="W145" s="398" t="str">
        <f t="shared" si="57"/>
        <v/>
      </c>
      <c r="X145" s="165"/>
      <c r="Y145" s="165"/>
      <c r="Z145" s="165"/>
    </row>
    <row r="146" hidden="1" outlineLevel="1">
      <c r="A146" s="165"/>
      <c r="B146" s="99">
        <v>45760.0</v>
      </c>
      <c r="C146" s="100" t="s">
        <v>32</v>
      </c>
      <c r="D146" s="101">
        <v>4694.88</v>
      </c>
      <c r="E146" s="103">
        <v>19.0</v>
      </c>
      <c r="F146" s="103">
        <v>17.0</v>
      </c>
      <c r="G146" s="104">
        <f t="shared" si="1"/>
        <v>1.117647059</v>
      </c>
      <c r="H146" s="105">
        <f t="shared" si="2"/>
        <v>247.0989474</v>
      </c>
      <c r="I146" s="106">
        <f t="shared" si="3"/>
        <v>221.0885319</v>
      </c>
      <c r="J146" s="107">
        <v>421.79</v>
      </c>
      <c r="K146" s="103">
        <v>69532.0</v>
      </c>
      <c r="L146" s="103">
        <v>8.0</v>
      </c>
      <c r="M146" s="108">
        <v>2757.39</v>
      </c>
      <c r="N146" s="109">
        <f t="shared" si="52"/>
        <v>0.1529671175</v>
      </c>
      <c r="O146" s="110">
        <f t="shared" si="5"/>
        <v>6.537352711</v>
      </c>
      <c r="P146" s="109">
        <f t="shared" si="6"/>
        <v>0.08984042191</v>
      </c>
      <c r="Q146" s="111">
        <f t="shared" si="7"/>
        <v>0.5873185257</v>
      </c>
      <c r="R146" s="112">
        <f t="shared" ref="R146:R163" si="58">D146-M146</f>
        <v>1937.49</v>
      </c>
      <c r="S146" s="113">
        <f t="shared" si="9"/>
        <v>52.72375</v>
      </c>
      <c r="T146" s="172"/>
      <c r="U146" s="172"/>
      <c r="V146" s="172"/>
      <c r="W146" s="172"/>
      <c r="X146" s="173"/>
      <c r="Y146" s="165"/>
      <c r="Z146" s="165"/>
    </row>
    <row r="147" hidden="1" outlineLevel="1">
      <c r="A147" s="165"/>
      <c r="B147" s="174"/>
      <c r="C147" s="100" t="s">
        <v>33</v>
      </c>
      <c r="D147" s="117">
        <v>2464.65</v>
      </c>
      <c r="E147" s="103">
        <v>26.0</v>
      </c>
      <c r="F147" s="103">
        <v>23.0</v>
      </c>
      <c r="G147" s="104">
        <f t="shared" si="1"/>
        <v>1.130434783</v>
      </c>
      <c r="H147" s="105">
        <f t="shared" si="2"/>
        <v>94.79423077</v>
      </c>
      <c r="I147" s="106">
        <f t="shared" si="3"/>
        <v>83.85643491</v>
      </c>
      <c r="J147" s="117">
        <v>223.07</v>
      </c>
      <c r="K147" s="103">
        <v>85387.0</v>
      </c>
      <c r="L147" s="103">
        <v>3.0</v>
      </c>
      <c r="M147" s="118">
        <v>113.9</v>
      </c>
      <c r="N147" s="109">
        <f t="shared" si="52"/>
        <v>1.958472344</v>
      </c>
      <c r="O147" s="110">
        <f t="shared" si="5"/>
        <v>0.5106020532</v>
      </c>
      <c r="P147" s="109">
        <f t="shared" si="6"/>
        <v>0.09050778001</v>
      </c>
      <c r="Q147" s="111">
        <f t="shared" si="7"/>
        <v>0.0462134583</v>
      </c>
      <c r="R147" s="119">
        <f t="shared" si="58"/>
        <v>2350.75</v>
      </c>
      <c r="S147" s="113">
        <f t="shared" si="9"/>
        <v>74.35666667</v>
      </c>
      <c r="T147" s="172"/>
      <c r="U147" s="172"/>
      <c r="V147" s="172"/>
      <c r="W147" s="172"/>
      <c r="X147" s="173"/>
      <c r="Y147" s="165"/>
      <c r="Z147" s="165"/>
    </row>
    <row r="148" hidden="1" outlineLevel="1">
      <c r="A148" s="165"/>
      <c r="B148" s="174"/>
      <c r="C148" s="100" t="s">
        <v>34</v>
      </c>
      <c r="D148" s="120">
        <v>0.0</v>
      </c>
      <c r="E148" s="103">
        <v>0.0</v>
      </c>
      <c r="F148" s="103">
        <v>0.0</v>
      </c>
      <c r="G148" s="104" t="str">
        <f t="shared" si="1"/>
        <v>#DIV/0!</v>
      </c>
      <c r="H148" s="105" t="str">
        <f t="shared" si="2"/>
        <v>#DIV/0!</v>
      </c>
      <c r="I148" s="106" t="str">
        <f t="shared" si="3"/>
        <v>#DIV/0!</v>
      </c>
      <c r="J148" s="120">
        <v>0.0</v>
      </c>
      <c r="K148" s="103">
        <v>0.0</v>
      </c>
      <c r="L148" s="103">
        <v>0.0</v>
      </c>
      <c r="M148" s="121">
        <v>0.0</v>
      </c>
      <c r="N148" s="109" t="str">
        <f>(J148/M148)</f>
        <v>#DIV/0!</v>
      </c>
      <c r="O148" s="110" t="str">
        <f t="shared" si="5"/>
        <v>#DIV/0!</v>
      </c>
      <c r="P148" s="109" t="str">
        <f t="shared" si="6"/>
        <v>#DIV/0!</v>
      </c>
      <c r="Q148" s="111" t="str">
        <f t="shared" si="7"/>
        <v>#DIV/0!</v>
      </c>
      <c r="R148" s="122">
        <f t="shared" si="58"/>
        <v>0</v>
      </c>
      <c r="S148" s="113" t="str">
        <f t="shared" si="9"/>
        <v>#DIV/0!</v>
      </c>
      <c r="T148" s="172"/>
      <c r="U148" s="172"/>
      <c r="V148" s="172"/>
      <c r="W148" s="172"/>
      <c r="X148" s="173"/>
      <c r="Y148" s="165"/>
      <c r="Z148" s="165"/>
    </row>
    <row r="149" hidden="1" outlineLevel="1">
      <c r="A149" s="165"/>
      <c r="B149" s="174"/>
      <c r="C149" s="100" t="s">
        <v>35</v>
      </c>
      <c r="D149" s="120">
        <v>305.75</v>
      </c>
      <c r="E149" s="103">
        <v>5.0</v>
      </c>
      <c r="F149" s="103">
        <v>4.0</v>
      </c>
      <c r="G149" s="104">
        <f t="shared" si="1"/>
        <v>1.25</v>
      </c>
      <c r="H149" s="105">
        <f t="shared" si="2"/>
        <v>61.15</v>
      </c>
      <c r="I149" s="106">
        <f t="shared" si="3"/>
        <v>48.92</v>
      </c>
      <c r="J149" s="120">
        <v>59.97</v>
      </c>
      <c r="K149" s="103">
        <v>6063.0</v>
      </c>
      <c r="L149" s="103">
        <v>2.0</v>
      </c>
      <c r="M149" s="121">
        <v>119.9</v>
      </c>
      <c r="N149" s="109">
        <f t="shared" ref="N149:N166" si="59">J149/M149</f>
        <v>0.5001668057</v>
      </c>
      <c r="O149" s="110">
        <f t="shared" si="5"/>
        <v>1.999333</v>
      </c>
      <c r="P149" s="109">
        <f t="shared" si="6"/>
        <v>0.1961406378</v>
      </c>
      <c r="Q149" s="111">
        <f t="shared" si="7"/>
        <v>0.3921504497</v>
      </c>
      <c r="R149" s="122">
        <f t="shared" si="58"/>
        <v>185.85</v>
      </c>
      <c r="S149" s="113">
        <f t="shared" si="9"/>
        <v>29.985</v>
      </c>
      <c r="T149" s="172"/>
      <c r="U149" s="172"/>
      <c r="V149" s="172"/>
      <c r="W149" s="172"/>
      <c r="X149" s="173"/>
      <c r="Y149" s="165"/>
      <c r="Z149" s="165"/>
    </row>
    <row r="150" hidden="1" outlineLevel="1">
      <c r="A150" s="165"/>
      <c r="B150" s="174"/>
      <c r="C150" s="100" t="s">
        <v>65</v>
      </c>
      <c r="D150" s="300">
        <v>288.0</v>
      </c>
      <c r="E150" s="103">
        <v>8.0</v>
      </c>
      <c r="F150" s="103">
        <v>5.0</v>
      </c>
      <c r="G150" s="104">
        <f t="shared" si="1"/>
        <v>1.6</v>
      </c>
      <c r="H150" s="105">
        <f t="shared" si="2"/>
        <v>36</v>
      </c>
      <c r="I150" s="106">
        <f t="shared" si="3"/>
        <v>22.5</v>
      </c>
      <c r="J150" s="300">
        <v>0.0</v>
      </c>
      <c r="K150" s="103">
        <v>0.0</v>
      </c>
      <c r="L150" s="103">
        <v>0.0</v>
      </c>
      <c r="M150" s="300">
        <v>0.0</v>
      </c>
      <c r="N150" s="109" t="str">
        <f t="shared" si="59"/>
        <v>#DIV/0!</v>
      </c>
      <c r="O150" s="110" t="str">
        <f t="shared" si="5"/>
        <v>#DIV/0!</v>
      </c>
      <c r="P150" s="109">
        <f t="shared" si="6"/>
        <v>0</v>
      </c>
      <c r="Q150" s="111">
        <f t="shared" si="7"/>
        <v>0</v>
      </c>
      <c r="R150" s="122">
        <f t="shared" si="58"/>
        <v>288</v>
      </c>
      <c r="S150" s="113" t="str">
        <f t="shared" si="9"/>
        <v>#DIV/0!</v>
      </c>
      <c r="T150" s="172"/>
      <c r="U150" s="172"/>
      <c r="V150" s="172"/>
      <c r="W150" s="172"/>
      <c r="X150" s="173"/>
      <c r="Y150" s="165"/>
      <c r="Z150" s="165"/>
    </row>
    <row r="151" hidden="1" outlineLevel="1">
      <c r="A151" s="165"/>
      <c r="B151" s="174"/>
      <c r="C151" s="100" t="s">
        <v>85</v>
      </c>
      <c r="D151" s="302">
        <v>0.0</v>
      </c>
      <c r="E151" s="103">
        <v>0.0</v>
      </c>
      <c r="F151" s="103">
        <v>0.0</v>
      </c>
      <c r="G151" s="104" t="str">
        <f t="shared" si="1"/>
        <v>#DIV/0!</v>
      </c>
      <c r="H151" s="105" t="str">
        <f t="shared" si="2"/>
        <v>#DIV/0!</v>
      </c>
      <c r="I151" s="106" t="str">
        <f t="shared" si="3"/>
        <v>#DIV/0!</v>
      </c>
      <c r="J151" s="302">
        <v>0.0</v>
      </c>
      <c r="K151" s="103">
        <v>0.0</v>
      </c>
      <c r="L151" s="103">
        <v>0.0</v>
      </c>
      <c r="M151" s="303">
        <v>0.0</v>
      </c>
      <c r="N151" s="109" t="str">
        <f t="shared" si="59"/>
        <v>#DIV/0!</v>
      </c>
      <c r="O151" s="110" t="str">
        <f t="shared" si="5"/>
        <v>#DIV/0!</v>
      </c>
      <c r="P151" s="109" t="str">
        <f t="shared" si="6"/>
        <v>#DIV/0!</v>
      </c>
      <c r="Q151" s="111" t="str">
        <f t="shared" si="7"/>
        <v>#DIV/0!</v>
      </c>
      <c r="R151" s="304">
        <f t="shared" si="58"/>
        <v>0</v>
      </c>
      <c r="S151" s="113" t="str">
        <f t="shared" si="9"/>
        <v>#DIV/0!</v>
      </c>
      <c r="T151" s="172"/>
      <c r="U151" s="172"/>
      <c r="V151" s="172"/>
      <c r="W151" s="172"/>
      <c r="X151" s="173"/>
      <c r="Y151" s="165"/>
      <c r="Z151" s="165"/>
    </row>
    <row r="152" hidden="1" outlineLevel="1">
      <c r="A152" s="165"/>
      <c r="B152" s="174"/>
      <c r="C152" s="100" t="s">
        <v>36</v>
      </c>
      <c r="D152" s="120">
        <v>339.75</v>
      </c>
      <c r="E152" s="103">
        <v>5.0</v>
      </c>
      <c r="F152" s="103">
        <v>5.0</v>
      </c>
      <c r="G152" s="104">
        <f t="shared" si="1"/>
        <v>1</v>
      </c>
      <c r="H152" s="105">
        <f t="shared" si="2"/>
        <v>67.95</v>
      </c>
      <c r="I152" s="106">
        <f t="shared" si="3"/>
        <v>67.95</v>
      </c>
      <c r="J152" s="120">
        <v>73.21</v>
      </c>
      <c r="K152" s="103">
        <v>13658.0</v>
      </c>
      <c r="L152" s="103">
        <v>2.0</v>
      </c>
      <c r="M152" s="121">
        <v>129.9</v>
      </c>
      <c r="N152" s="109">
        <f t="shared" si="59"/>
        <v>0.5635873749</v>
      </c>
      <c r="O152" s="110">
        <f t="shared" si="5"/>
        <v>1.774347767</v>
      </c>
      <c r="P152" s="109">
        <f t="shared" si="6"/>
        <v>0.215481972</v>
      </c>
      <c r="Q152" s="111">
        <f t="shared" si="7"/>
        <v>0.3823399558</v>
      </c>
      <c r="R152" s="122">
        <f t="shared" si="58"/>
        <v>209.85</v>
      </c>
      <c r="S152" s="113">
        <f t="shared" si="9"/>
        <v>36.605</v>
      </c>
      <c r="T152" s="172"/>
      <c r="U152" s="172"/>
      <c r="V152" s="172"/>
      <c r="W152" s="172"/>
      <c r="X152" s="173"/>
      <c r="Y152" s="165"/>
      <c r="Z152" s="165"/>
    </row>
    <row r="153" hidden="1" outlineLevel="1">
      <c r="A153" s="165"/>
      <c r="B153" s="99" t="s">
        <v>37</v>
      </c>
      <c r="C153" s="100" t="s">
        <v>38</v>
      </c>
      <c r="D153" s="123">
        <v>164.32</v>
      </c>
      <c r="E153" s="103">
        <v>3.0</v>
      </c>
      <c r="F153" s="103">
        <v>4.0</v>
      </c>
      <c r="G153" s="104">
        <f t="shared" si="1"/>
        <v>0.75</v>
      </c>
      <c r="H153" s="105">
        <f t="shared" si="2"/>
        <v>54.77333333</v>
      </c>
      <c r="I153" s="106">
        <f t="shared" si="3"/>
        <v>73.03111111</v>
      </c>
      <c r="J153" s="123">
        <v>117.82</v>
      </c>
      <c r="K153" s="103">
        <v>14122.0</v>
      </c>
      <c r="L153" s="103">
        <v>0.0</v>
      </c>
      <c r="M153" s="124">
        <v>0.0</v>
      </c>
      <c r="N153" s="109" t="str">
        <f t="shared" si="59"/>
        <v>#DIV/0!</v>
      </c>
      <c r="O153" s="110">
        <f t="shared" si="5"/>
        <v>0</v>
      </c>
      <c r="P153" s="109">
        <f t="shared" si="6"/>
        <v>0.7170155794</v>
      </c>
      <c r="Q153" s="111">
        <f t="shared" si="7"/>
        <v>0</v>
      </c>
      <c r="R153" s="125">
        <f t="shared" si="58"/>
        <v>164.32</v>
      </c>
      <c r="S153" s="113" t="str">
        <f t="shared" si="9"/>
        <v>#DIV/0!</v>
      </c>
      <c r="T153" s="172"/>
      <c r="U153" s="172"/>
      <c r="V153" s="172"/>
      <c r="W153" s="172"/>
      <c r="X153" s="173"/>
      <c r="Y153" s="165"/>
      <c r="Z153" s="165"/>
    </row>
    <row r="154" hidden="1" outlineLevel="1">
      <c r="A154" s="165"/>
      <c r="B154" s="174"/>
      <c r="C154" s="100" t="s">
        <v>39</v>
      </c>
      <c r="D154" s="126">
        <v>1059.89</v>
      </c>
      <c r="E154" s="103">
        <v>7.0</v>
      </c>
      <c r="F154" s="103">
        <v>2.0</v>
      </c>
      <c r="G154" s="104">
        <f t="shared" si="1"/>
        <v>3.5</v>
      </c>
      <c r="H154" s="105">
        <f t="shared" si="2"/>
        <v>151.4128571</v>
      </c>
      <c r="I154" s="106">
        <f t="shared" si="3"/>
        <v>43.26081633</v>
      </c>
      <c r="J154" s="126">
        <v>0.0</v>
      </c>
      <c r="K154" s="103">
        <v>0.0</v>
      </c>
      <c r="L154" s="103">
        <v>0.0</v>
      </c>
      <c r="M154" s="127">
        <v>0.0</v>
      </c>
      <c r="N154" s="109" t="str">
        <f t="shared" si="59"/>
        <v>#DIV/0!</v>
      </c>
      <c r="O154" s="110" t="str">
        <f t="shared" si="5"/>
        <v>#DIV/0!</v>
      </c>
      <c r="P154" s="109">
        <f t="shared" si="6"/>
        <v>0</v>
      </c>
      <c r="Q154" s="111">
        <f t="shared" si="7"/>
        <v>0</v>
      </c>
      <c r="R154" s="128">
        <f t="shared" si="58"/>
        <v>1059.89</v>
      </c>
      <c r="S154" s="113" t="str">
        <f t="shared" si="9"/>
        <v>#DIV/0!</v>
      </c>
      <c r="T154" s="172"/>
      <c r="U154" s="172"/>
      <c r="V154" s="172"/>
      <c r="W154" s="172"/>
      <c r="X154" s="173"/>
      <c r="Y154" s="165"/>
      <c r="Z154" s="165"/>
    </row>
    <row r="155" hidden="1" outlineLevel="1">
      <c r="A155" s="165"/>
      <c r="B155" s="174"/>
      <c r="C155" s="100" t="s">
        <v>40</v>
      </c>
      <c r="D155" s="129">
        <v>549.5</v>
      </c>
      <c r="E155" s="103">
        <v>10.0</v>
      </c>
      <c r="F155" s="103">
        <v>6.0</v>
      </c>
      <c r="G155" s="104">
        <f t="shared" si="1"/>
        <v>1.666666667</v>
      </c>
      <c r="H155" s="105">
        <f t="shared" si="2"/>
        <v>54.95</v>
      </c>
      <c r="I155" s="106">
        <f t="shared" si="3"/>
        <v>32.97</v>
      </c>
      <c r="J155" s="129">
        <v>0.0</v>
      </c>
      <c r="K155" s="103">
        <v>0.0</v>
      </c>
      <c r="L155" s="103">
        <v>0.0</v>
      </c>
      <c r="M155" s="130">
        <v>0.0</v>
      </c>
      <c r="N155" s="109" t="str">
        <f t="shared" si="59"/>
        <v>#DIV/0!</v>
      </c>
      <c r="O155" s="110" t="str">
        <f t="shared" si="5"/>
        <v>#DIV/0!</v>
      </c>
      <c r="P155" s="109">
        <f t="shared" si="6"/>
        <v>0</v>
      </c>
      <c r="Q155" s="111">
        <f t="shared" si="7"/>
        <v>0</v>
      </c>
      <c r="R155" s="131">
        <f t="shared" si="58"/>
        <v>549.5</v>
      </c>
      <c r="S155" s="113" t="str">
        <f t="shared" si="9"/>
        <v>#DIV/0!</v>
      </c>
      <c r="T155" s="172"/>
      <c r="U155" s="172"/>
      <c r="V155" s="172"/>
      <c r="W155" s="172"/>
      <c r="X155" s="173"/>
      <c r="Y155" s="165"/>
      <c r="Z155" s="165"/>
    </row>
    <row r="156" hidden="1" outlineLevel="1">
      <c r="A156" s="165"/>
      <c r="B156" s="174"/>
      <c r="C156" s="100" t="s">
        <v>41</v>
      </c>
      <c r="D156" s="132">
        <v>0.0</v>
      </c>
      <c r="E156" s="103">
        <v>0.0</v>
      </c>
      <c r="F156" s="103">
        <v>0.0</v>
      </c>
      <c r="G156" s="104" t="str">
        <f t="shared" si="1"/>
        <v>#DIV/0!</v>
      </c>
      <c r="H156" s="105" t="str">
        <f t="shared" si="2"/>
        <v>#DIV/0!</v>
      </c>
      <c r="I156" s="106" t="str">
        <f t="shared" si="3"/>
        <v>#DIV/0!</v>
      </c>
      <c r="J156" s="132">
        <v>0.0</v>
      </c>
      <c r="K156" s="103">
        <v>0.0</v>
      </c>
      <c r="L156" s="103">
        <v>0.0</v>
      </c>
      <c r="M156" s="133">
        <v>0.0</v>
      </c>
      <c r="N156" s="109" t="str">
        <f t="shared" si="59"/>
        <v>#DIV/0!</v>
      </c>
      <c r="O156" s="110" t="str">
        <f t="shared" si="5"/>
        <v>#DIV/0!</v>
      </c>
      <c r="P156" s="109" t="str">
        <f t="shared" si="6"/>
        <v>#DIV/0!</v>
      </c>
      <c r="Q156" s="111" t="str">
        <f t="shared" si="7"/>
        <v>#DIV/0!</v>
      </c>
      <c r="R156" s="134">
        <f t="shared" si="58"/>
        <v>0</v>
      </c>
      <c r="S156" s="113" t="str">
        <f t="shared" si="9"/>
        <v>#DIV/0!</v>
      </c>
      <c r="T156" s="172"/>
      <c r="U156" s="172"/>
      <c r="V156" s="172"/>
      <c r="W156" s="172"/>
      <c r="X156" s="173"/>
      <c r="Y156" s="165"/>
      <c r="Z156" s="165"/>
    </row>
    <row r="157" hidden="1" outlineLevel="1">
      <c r="A157" s="165"/>
      <c r="B157" s="174"/>
      <c r="C157" s="100" t="s">
        <v>42</v>
      </c>
      <c r="D157" s="120">
        <v>139.93</v>
      </c>
      <c r="E157" s="103">
        <v>7.0</v>
      </c>
      <c r="F157" s="103">
        <v>7.0</v>
      </c>
      <c r="G157" s="104">
        <f t="shared" si="1"/>
        <v>1</v>
      </c>
      <c r="H157" s="105">
        <f t="shared" si="2"/>
        <v>19.99</v>
      </c>
      <c r="I157" s="106">
        <f t="shared" si="3"/>
        <v>19.99</v>
      </c>
      <c r="J157" s="120">
        <v>6.4</v>
      </c>
      <c r="K157" s="103">
        <v>15801.0</v>
      </c>
      <c r="L157" s="103">
        <v>8.0</v>
      </c>
      <c r="M157" s="121">
        <v>159.92</v>
      </c>
      <c r="N157" s="109">
        <f t="shared" si="59"/>
        <v>0.04002001001</v>
      </c>
      <c r="O157" s="110">
        <f t="shared" si="5"/>
        <v>24.9875</v>
      </c>
      <c r="P157" s="109">
        <f t="shared" si="6"/>
        <v>0.04573715429</v>
      </c>
      <c r="Q157" s="111">
        <f t="shared" si="7"/>
        <v>1.142857143</v>
      </c>
      <c r="R157" s="122">
        <f t="shared" si="58"/>
        <v>-19.99</v>
      </c>
      <c r="S157" s="113">
        <f t="shared" si="9"/>
        <v>0.8</v>
      </c>
      <c r="T157" s="172"/>
      <c r="U157" s="172"/>
      <c r="V157" s="172"/>
      <c r="W157" s="172"/>
      <c r="X157" s="173"/>
      <c r="Y157" s="165"/>
      <c r="Z157" s="165"/>
    </row>
    <row r="158" hidden="1" outlineLevel="1">
      <c r="A158" s="165"/>
      <c r="B158" s="174"/>
      <c r="C158" s="100" t="s">
        <v>43</v>
      </c>
      <c r="D158" s="135">
        <v>344.0</v>
      </c>
      <c r="E158" s="103">
        <v>2.0</v>
      </c>
      <c r="F158" s="103">
        <v>2.0</v>
      </c>
      <c r="G158" s="104">
        <f t="shared" si="1"/>
        <v>1</v>
      </c>
      <c r="H158" s="105">
        <f t="shared" si="2"/>
        <v>172</v>
      </c>
      <c r="I158" s="106">
        <f t="shared" si="3"/>
        <v>172</v>
      </c>
      <c r="J158" s="135">
        <v>12.67</v>
      </c>
      <c r="K158" s="103">
        <v>23602.0</v>
      </c>
      <c r="L158" s="103">
        <v>1.0</v>
      </c>
      <c r="M158" s="136">
        <v>195.0</v>
      </c>
      <c r="N158" s="109">
        <f t="shared" si="59"/>
        <v>0.06497435897</v>
      </c>
      <c r="O158" s="110">
        <f t="shared" si="5"/>
        <v>15.39068666</v>
      </c>
      <c r="P158" s="109">
        <f t="shared" si="6"/>
        <v>0.03683139535</v>
      </c>
      <c r="Q158" s="111">
        <f t="shared" si="7"/>
        <v>0.5668604651</v>
      </c>
      <c r="R158" s="137">
        <f t="shared" si="58"/>
        <v>149</v>
      </c>
      <c r="S158" s="113">
        <f t="shared" si="9"/>
        <v>12.67</v>
      </c>
      <c r="T158" s="172"/>
      <c r="U158" s="172"/>
      <c r="V158" s="172"/>
      <c r="W158" s="172"/>
      <c r="X158" s="173"/>
      <c r="Y158" s="165"/>
      <c r="Z158" s="165"/>
    </row>
    <row r="159" hidden="1" outlineLevel="1">
      <c r="A159" s="165"/>
      <c r="B159" s="174"/>
      <c r="C159" s="100" t="s">
        <v>44</v>
      </c>
      <c r="D159" s="138">
        <v>159.8</v>
      </c>
      <c r="E159" s="103">
        <v>4.0</v>
      </c>
      <c r="F159" s="103">
        <v>4.0</v>
      </c>
      <c r="G159" s="104">
        <f t="shared" si="1"/>
        <v>1</v>
      </c>
      <c r="H159" s="105">
        <f t="shared" si="2"/>
        <v>39.95</v>
      </c>
      <c r="I159" s="106">
        <f t="shared" si="3"/>
        <v>39.95</v>
      </c>
      <c r="J159" s="138">
        <v>49.37</v>
      </c>
      <c r="K159" s="103">
        <v>13331.0</v>
      </c>
      <c r="L159" s="103">
        <v>1.0</v>
      </c>
      <c r="M159" s="139">
        <v>39.95</v>
      </c>
      <c r="N159" s="109">
        <f t="shared" si="59"/>
        <v>1.235794743</v>
      </c>
      <c r="O159" s="110">
        <f t="shared" si="5"/>
        <v>0.8091958679</v>
      </c>
      <c r="P159" s="109">
        <f t="shared" si="6"/>
        <v>0.3089486859</v>
      </c>
      <c r="Q159" s="111">
        <f t="shared" si="7"/>
        <v>0.25</v>
      </c>
      <c r="R159" s="140">
        <f t="shared" si="58"/>
        <v>119.85</v>
      </c>
      <c r="S159" s="113">
        <f t="shared" si="9"/>
        <v>49.37</v>
      </c>
      <c r="T159" s="172"/>
      <c r="U159" s="172"/>
      <c r="V159" s="172"/>
      <c r="W159" s="172"/>
      <c r="X159" s="173"/>
      <c r="Y159" s="165"/>
      <c r="Z159" s="165"/>
    </row>
    <row r="160" hidden="1" outlineLevel="1">
      <c r="A160" s="192"/>
      <c r="B160" s="174"/>
      <c r="C160" s="142" t="s">
        <v>45</v>
      </c>
      <c r="D160" s="101">
        <v>0.0</v>
      </c>
      <c r="E160" s="103">
        <v>0.0</v>
      </c>
      <c r="F160" s="103">
        <v>0.0</v>
      </c>
      <c r="G160" s="104" t="str">
        <f t="shared" si="1"/>
        <v>#DIV/0!</v>
      </c>
      <c r="H160" s="105" t="str">
        <f t="shared" si="2"/>
        <v>#DIV/0!</v>
      </c>
      <c r="I160" s="106" t="str">
        <f t="shared" si="3"/>
        <v>#DIV/0!</v>
      </c>
      <c r="J160" s="101">
        <v>0.0</v>
      </c>
      <c r="K160" s="103">
        <v>0.0</v>
      </c>
      <c r="L160" s="103">
        <v>0.0</v>
      </c>
      <c r="M160" s="108">
        <v>0.0</v>
      </c>
      <c r="N160" s="109" t="str">
        <f t="shared" si="59"/>
        <v>#DIV/0!</v>
      </c>
      <c r="O160" s="110" t="str">
        <f t="shared" si="5"/>
        <v>#DIV/0!</v>
      </c>
      <c r="P160" s="109" t="str">
        <f t="shared" si="6"/>
        <v>#DIV/0!</v>
      </c>
      <c r="Q160" s="111" t="str">
        <f t="shared" si="7"/>
        <v>#DIV/0!</v>
      </c>
      <c r="R160" s="112">
        <f t="shared" si="58"/>
        <v>0</v>
      </c>
      <c r="S160" s="113" t="str">
        <f t="shared" si="9"/>
        <v>#DIV/0!</v>
      </c>
      <c r="T160" s="193"/>
      <c r="U160" s="193"/>
      <c r="V160" s="193"/>
      <c r="W160" s="194"/>
      <c r="X160" s="195"/>
      <c r="Y160" s="165"/>
      <c r="Z160" s="165"/>
    </row>
    <row r="161" hidden="1" outlineLevel="1">
      <c r="A161" s="165"/>
      <c r="B161" s="174"/>
      <c r="C161" s="100" t="s">
        <v>46</v>
      </c>
      <c r="D161" s="146">
        <v>581.27</v>
      </c>
      <c r="E161" s="103">
        <v>14.0</v>
      </c>
      <c r="F161" s="103">
        <v>16.0</v>
      </c>
      <c r="G161" s="104">
        <f t="shared" si="1"/>
        <v>0.875</v>
      </c>
      <c r="H161" s="105">
        <f t="shared" si="2"/>
        <v>41.51928571</v>
      </c>
      <c r="I161" s="106">
        <f t="shared" si="3"/>
        <v>47.45061224</v>
      </c>
      <c r="J161" s="146">
        <v>104.02</v>
      </c>
      <c r="K161" s="103">
        <v>38358.0</v>
      </c>
      <c r="L161" s="103">
        <v>4.0</v>
      </c>
      <c r="M161" s="147">
        <v>159.8</v>
      </c>
      <c r="N161" s="109">
        <f t="shared" si="59"/>
        <v>0.6509386733</v>
      </c>
      <c r="O161" s="110">
        <f t="shared" si="5"/>
        <v>1.53624303</v>
      </c>
      <c r="P161" s="109">
        <f t="shared" si="6"/>
        <v>0.1789529823</v>
      </c>
      <c r="Q161" s="111">
        <f t="shared" si="7"/>
        <v>0.2749152717</v>
      </c>
      <c r="R161" s="112">
        <f t="shared" si="58"/>
        <v>421.47</v>
      </c>
      <c r="S161" s="113">
        <f t="shared" si="9"/>
        <v>26.005</v>
      </c>
      <c r="T161" s="172"/>
      <c r="U161" s="172"/>
      <c r="V161" s="172"/>
      <c r="W161" s="172"/>
      <c r="X161" s="173"/>
      <c r="Y161" s="165"/>
      <c r="Z161" s="165"/>
    </row>
    <row r="162" hidden="1" outlineLevel="1">
      <c r="A162" s="165"/>
      <c r="B162" s="174"/>
      <c r="C162" s="100" t="s">
        <v>49</v>
      </c>
      <c r="D162" s="146">
        <v>0.0</v>
      </c>
      <c r="E162" s="103">
        <v>0.0</v>
      </c>
      <c r="F162" s="103">
        <v>0.0</v>
      </c>
      <c r="G162" s="104" t="str">
        <f t="shared" si="1"/>
        <v>#DIV/0!</v>
      </c>
      <c r="H162" s="105" t="str">
        <f t="shared" si="2"/>
        <v>#DIV/0!</v>
      </c>
      <c r="I162" s="106" t="str">
        <f t="shared" si="3"/>
        <v>#DIV/0!</v>
      </c>
      <c r="J162" s="146">
        <v>4.55</v>
      </c>
      <c r="K162" s="103">
        <v>6332.0</v>
      </c>
      <c r="L162" s="103">
        <v>0.0</v>
      </c>
      <c r="M162" s="147">
        <v>0.0</v>
      </c>
      <c r="N162" s="109" t="str">
        <f t="shared" si="59"/>
        <v>#DIV/0!</v>
      </c>
      <c r="O162" s="110">
        <f t="shared" si="5"/>
        <v>0</v>
      </c>
      <c r="P162" s="109" t="str">
        <f t="shared" si="6"/>
        <v>#DIV/0!</v>
      </c>
      <c r="Q162" s="111" t="str">
        <f t="shared" si="7"/>
        <v>#DIV/0!</v>
      </c>
      <c r="R162" s="112">
        <f t="shared" si="58"/>
        <v>0</v>
      </c>
      <c r="S162" s="113" t="str">
        <f t="shared" si="9"/>
        <v>#DIV/0!</v>
      </c>
      <c r="T162" s="172"/>
      <c r="U162" s="172"/>
      <c r="V162" s="172"/>
      <c r="W162" s="172"/>
      <c r="X162" s="173"/>
      <c r="Y162" s="165"/>
      <c r="Z162" s="165"/>
    </row>
    <row r="163" hidden="1" outlineLevel="1">
      <c r="A163" s="148" t="str">
        <f t="shared" ref="A163:A164" si="60">iferror(if(B163&gt;0,month(B163)&amp;"-"&amp;year(B163),B163),)</f>
        <v>4-2025</v>
      </c>
      <c r="B163" s="99">
        <v>45766.0</v>
      </c>
      <c r="C163" s="277" t="s">
        <v>67</v>
      </c>
      <c r="D163" s="146">
        <v>0.0</v>
      </c>
      <c r="E163" s="103">
        <v>0.0</v>
      </c>
      <c r="F163" s="103">
        <v>0.0</v>
      </c>
      <c r="G163" s="104" t="str">
        <f t="shared" si="1"/>
        <v>#DIV/0!</v>
      </c>
      <c r="H163" s="105" t="str">
        <f t="shared" si="2"/>
        <v>#DIV/0!</v>
      </c>
      <c r="I163" s="106" t="str">
        <f t="shared" si="3"/>
        <v>#DIV/0!</v>
      </c>
      <c r="J163" s="117">
        <v>356.58000000000004</v>
      </c>
      <c r="K163" s="409">
        <v>74458.0</v>
      </c>
      <c r="L163" s="412">
        <v>0.0</v>
      </c>
      <c r="M163" s="118">
        <v>411.28</v>
      </c>
      <c r="N163" s="109">
        <f t="shared" si="59"/>
        <v>0.8670005835</v>
      </c>
      <c r="O163" s="110">
        <f t="shared" si="5"/>
        <v>1.153401761</v>
      </c>
      <c r="P163" s="109" t="str">
        <f t="shared" si="6"/>
        <v>#DIV/0!</v>
      </c>
      <c r="Q163" s="111" t="str">
        <f t="shared" si="7"/>
        <v>#DIV/0!</v>
      </c>
      <c r="R163" s="112">
        <f t="shared" si="58"/>
        <v>-411.28</v>
      </c>
      <c r="S163" s="113" t="str">
        <f t="shared" si="9"/>
        <v>#DIV/0!</v>
      </c>
      <c r="T163" s="172"/>
      <c r="U163" s="172"/>
      <c r="V163" s="172"/>
      <c r="W163" s="172"/>
      <c r="X163" s="173"/>
      <c r="Y163" s="165"/>
      <c r="Z163" s="165"/>
    </row>
    <row r="164" collapsed="1">
      <c r="A164" s="165" t="str">
        <f t="shared" si="60"/>
        <v/>
      </c>
      <c r="B164" s="80" t="s">
        <v>103</v>
      </c>
      <c r="C164" s="201"/>
      <c r="D164" s="151">
        <f t="shared" ref="D164:F164" si="61">SUM(D146:D163)</f>
        <v>11091.74</v>
      </c>
      <c r="E164" s="153">
        <f t="shared" si="61"/>
        <v>110</v>
      </c>
      <c r="F164" s="153">
        <f t="shared" si="61"/>
        <v>95</v>
      </c>
      <c r="G164" s="154">
        <f t="shared" si="1"/>
        <v>1.157894737</v>
      </c>
      <c r="H164" s="155">
        <f t="shared" si="2"/>
        <v>100.834</v>
      </c>
      <c r="I164" s="156">
        <f t="shared" si="3"/>
        <v>87.08390909</v>
      </c>
      <c r="J164" s="151">
        <f t="shared" ref="J164:M164" si="62">SUM(J146:J163)</f>
        <v>1429.45</v>
      </c>
      <c r="K164" s="153">
        <f t="shared" si="62"/>
        <v>360644</v>
      </c>
      <c r="L164" s="153">
        <f t="shared" si="62"/>
        <v>29</v>
      </c>
      <c r="M164" s="157">
        <f t="shared" si="62"/>
        <v>4087.04</v>
      </c>
      <c r="N164" s="158">
        <f t="shared" si="59"/>
        <v>0.3497518987</v>
      </c>
      <c r="O164" s="159">
        <f t="shared" si="5"/>
        <v>2.859169611</v>
      </c>
      <c r="P164" s="158">
        <f t="shared" si="6"/>
        <v>0.128875181</v>
      </c>
      <c r="Q164" s="160">
        <f t="shared" si="7"/>
        <v>0.3684760011</v>
      </c>
      <c r="R164" s="161">
        <f>SUM(R146:R163)</f>
        <v>7004.7</v>
      </c>
      <c r="S164" s="162">
        <f t="shared" si="9"/>
        <v>49.29137931</v>
      </c>
      <c r="T164" s="163">
        <f t="shared" ref="T164:U164" si="63">IFERROR((D164-D69)/D164,)</f>
        <v>0.3164895679</v>
      </c>
      <c r="U164" s="163">
        <f t="shared" si="63"/>
        <v>0.1454545455</v>
      </c>
      <c r="V164" s="398" t="str">
        <f t="shared" ref="V164:W164" si="64">IFERROR((D164-#REF!)/D164, )</f>
        <v/>
      </c>
      <c r="W164" s="398" t="str">
        <f t="shared" si="64"/>
        <v/>
      </c>
      <c r="X164" s="165"/>
      <c r="Y164" s="165"/>
      <c r="Z164" s="165"/>
    </row>
    <row r="165" hidden="1" outlineLevel="1">
      <c r="A165" s="165"/>
      <c r="B165" s="99">
        <v>45767.0</v>
      </c>
      <c r="C165" s="100" t="s">
        <v>32</v>
      </c>
      <c r="D165" s="101">
        <v>1342.64</v>
      </c>
      <c r="E165" s="103">
        <v>9.0</v>
      </c>
      <c r="F165" s="103">
        <v>11.0</v>
      </c>
      <c r="G165" s="104">
        <f t="shared" si="1"/>
        <v>0.8181818182</v>
      </c>
      <c r="H165" s="105">
        <f t="shared" si="2"/>
        <v>149.1822222</v>
      </c>
      <c r="I165" s="106">
        <f t="shared" si="3"/>
        <v>182.3338272</v>
      </c>
      <c r="J165" s="107">
        <v>269.19</v>
      </c>
      <c r="K165" s="103">
        <v>73735.0</v>
      </c>
      <c r="L165" s="103">
        <v>4.0</v>
      </c>
      <c r="M165" s="108">
        <v>124.95</v>
      </c>
      <c r="N165" s="109">
        <f t="shared" si="59"/>
        <v>2.154381753</v>
      </c>
      <c r="O165" s="110">
        <f t="shared" si="5"/>
        <v>0.4641702886</v>
      </c>
      <c r="P165" s="109">
        <f t="shared" si="6"/>
        <v>0.2004930585</v>
      </c>
      <c r="Q165" s="111">
        <f t="shared" si="7"/>
        <v>0.09306292081</v>
      </c>
      <c r="R165" s="112">
        <f t="shared" ref="R165:R182" si="65">D165-M165</f>
        <v>1217.69</v>
      </c>
      <c r="S165" s="113">
        <f t="shared" si="9"/>
        <v>67.2975</v>
      </c>
      <c r="T165" s="172"/>
      <c r="U165" s="172"/>
      <c r="V165" s="172"/>
      <c r="W165" s="172"/>
      <c r="X165" s="173"/>
      <c r="Y165" s="165"/>
      <c r="Z165" s="165"/>
    </row>
    <row r="166" hidden="1" outlineLevel="1">
      <c r="A166" s="165"/>
      <c r="B166" s="174"/>
      <c r="C166" s="100" t="s">
        <v>33</v>
      </c>
      <c r="D166" s="117">
        <v>3154.67</v>
      </c>
      <c r="E166" s="103">
        <v>16.0</v>
      </c>
      <c r="F166" s="103">
        <v>18.0</v>
      </c>
      <c r="G166" s="104">
        <f t="shared" si="1"/>
        <v>0.8888888889</v>
      </c>
      <c r="H166" s="105">
        <f t="shared" si="2"/>
        <v>197.166875</v>
      </c>
      <c r="I166" s="106">
        <f t="shared" si="3"/>
        <v>221.8127344</v>
      </c>
      <c r="J166" s="117">
        <v>323.88</v>
      </c>
      <c r="K166" s="103">
        <v>85355.0</v>
      </c>
      <c r="L166" s="103">
        <v>4.0</v>
      </c>
      <c r="M166" s="118">
        <v>937.9</v>
      </c>
      <c r="N166" s="109">
        <f t="shared" si="59"/>
        <v>0.3453246615</v>
      </c>
      <c r="O166" s="110">
        <f t="shared" si="5"/>
        <v>2.895825614</v>
      </c>
      <c r="P166" s="109">
        <f t="shared" si="6"/>
        <v>0.10266684</v>
      </c>
      <c r="Q166" s="111">
        <f t="shared" si="7"/>
        <v>0.2973052649</v>
      </c>
      <c r="R166" s="119">
        <f t="shared" si="65"/>
        <v>2216.77</v>
      </c>
      <c r="S166" s="113">
        <f t="shared" si="9"/>
        <v>80.97</v>
      </c>
      <c r="T166" s="172"/>
      <c r="U166" s="172"/>
      <c r="V166" s="172"/>
      <c r="W166" s="172"/>
      <c r="X166" s="173"/>
      <c r="Y166" s="165"/>
      <c r="Z166" s="165"/>
    </row>
    <row r="167" hidden="1" outlineLevel="1">
      <c r="A167" s="165"/>
      <c r="B167" s="174"/>
      <c r="C167" s="100" t="s">
        <v>34</v>
      </c>
      <c r="D167" s="120">
        <v>69.95</v>
      </c>
      <c r="E167" s="103">
        <v>1.0</v>
      </c>
      <c r="F167" s="103">
        <v>1.0</v>
      </c>
      <c r="G167" s="104">
        <f t="shared" si="1"/>
        <v>1</v>
      </c>
      <c r="H167" s="105">
        <f t="shared" si="2"/>
        <v>69.95</v>
      </c>
      <c r="I167" s="106">
        <f t="shared" si="3"/>
        <v>69.95</v>
      </c>
      <c r="J167" s="120">
        <v>0.0</v>
      </c>
      <c r="K167" s="103">
        <v>0.0</v>
      </c>
      <c r="L167" s="103">
        <v>0.0</v>
      </c>
      <c r="M167" s="121">
        <v>0.0</v>
      </c>
      <c r="N167" s="109" t="str">
        <f>(J167/M167)</f>
        <v>#DIV/0!</v>
      </c>
      <c r="O167" s="110" t="str">
        <f t="shared" si="5"/>
        <v>#DIV/0!</v>
      </c>
      <c r="P167" s="109">
        <f t="shared" si="6"/>
        <v>0</v>
      </c>
      <c r="Q167" s="111">
        <f t="shared" si="7"/>
        <v>0</v>
      </c>
      <c r="R167" s="122">
        <f t="shared" si="65"/>
        <v>69.95</v>
      </c>
      <c r="S167" s="113" t="str">
        <f t="shared" si="9"/>
        <v>#DIV/0!</v>
      </c>
      <c r="T167" s="172"/>
      <c r="U167" s="172"/>
      <c r="V167" s="172"/>
      <c r="W167" s="172"/>
      <c r="X167" s="173"/>
      <c r="Y167" s="165"/>
      <c r="Z167" s="165"/>
    </row>
    <row r="168" hidden="1" outlineLevel="1">
      <c r="A168" s="165"/>
      <c r="B168" s="174"/>
      <c r="C168" s="100" t="s">
        <v>35</v>
      </c>
      <c r="D168" s="120">
        <v>188.85</v>
      </c>
      <c r="E168" s="103">
        <v>3.0</v>
      </c>
      <c r="F168" s="103">
        <v>3.0</v>
      </c>
      <c r="G168" s="104">
        <f t="shared" si="1"/>
        <v>1</v>
      </c>
      <c r="H168" s="105">
        <f t="shared" si="2"/>
        <v>62.95</v>
      </c>
      <c r="I168" s="106">
        <f t="shared" si="3"/>
        <v>62.95</v>
      </c>
      <c r="J168" s="120">
        <v>0.0</v>
      </c>
      <c r="K168" s="103">
        <v>0.0</v>
      </c>
      <c r="L168" s="103">
        <v>0.0</v>
      </c>
      <c r="M168" s="121">
        <v>0.0</v>
      </c>
      <c r="N168" s="109" t="str">
        <f t="shared" ref="N168:N185" si="66">J168/M168</f>
        <v>#DIV/0!</v>
      </c>
      <c r="O168" s="110" t="str">
        <f t="shared" si="5"/>
        <v>#DIV/0!</v>
      </c>
      <c r="P168" s="109">
        <f t="shared" si="6"/>
        <v>0</v>
      </c>
      <c r="Q168" s="111">
        <f t="shared" si="7"/>
        <v>0</v>
      </c>
      <c r="R168" s="122">
        <f t="shared" si="65"/>
        <v>188.85</v>
      </c>
      <c r="S168" s="113" t="str">
        <f t="shared" si="9"/>
        <v>#DIV/0!</v>
      </c>
      <c r="T168" s="172"/>
      <c r="U168" s="172"/>
      <c r="V168" s="172"/>
      <c r="W168" s="172"/>
      <c r="X168" s="173"/>
      <c r="Y168" s="165"/>
      <c r="Z168" s="165"/>
    </row>
    <row r="169" hidden="1" outlineLevel="1">
      <c r="A169" s="165"/>
      <c r="B169" s="174"/>
      <c r="C169" s="100" t="s">
        <v>65</v>
      </c>
      <c r="D169" s="300">
        <v>540.0</v>
      </c>
      <c r="E169" s="103">
        <v>15.0</v>
      </c>
      <c r="F169" s="103">
        <v>9.0</v>
      </c>
      <c r="G169" s="104">
        <f t="shared" si="1"/>
        <v>1.666666667</v>
      </c>
      <c r="H169" s="105">
        <f t="shared" si="2"/>
        <v>36</v>
      </c>
      <c r="I169" s="106">
        <f t="shared" si="3"/>
        <v>21.6</v>
      </c>
      <c r="J169" s="300">
        <v>0.0</v>
      </c>
      <c r="K169" s="103">
        <v>0.0</v>
      </c>
      <c r="L169" s="103">
        <v>0.0</v>
      </c>
      <c r="M169" s="300">
        <v>0.0</v>
      </c>
      <c r="N169" s="109" t="str">
        <f t="shared" si="66"/>
        <v>#DIV/0!</v>
      </c>
      <c r="O169" s="110" t="str">
        <f t="shared" si="5"/>
        <v>#DIV/0!</v>
      </c>
      <c r="P169" s="109">
        <f t="shared" si="6"/>
        <v>0</v>
      </c>
      <c r="Q169" s="111">
        <f t="shared" si="7"/>
        <v>0</v>
      </c>
      <c r="R169" s="122">
        <f t="shared" si="65"/>
        <v>540</v>
      </c>
      <c r="S169" s="113" t="str">
        <f t="shared" si="9"/>
        <v>#DIV/0!</v>
      </c>
      <c r="T169" s="172"/>
      <c r="U169" s="172"/>
      <c r="V169" s="172"/>
      <c r="W169" s="172"/>
      <c r="X169" s="173"/>
      <c r="Y169" s="165"/>
      <c r="Z169" s="165"/>
    </row>
    <row r="170" hidden="1" outlineLevel="1">
      <c r="A170" s="165"/>
      <c r="B170" s="174"/>
      <c r="C170" s="100" t="s">
        <v>85</v>
      </c>
      <c r="D170" s="302">
        <v>0.0</v>
      </c>
      <c r="E170" s="103">
        <v>0.0</v>
      </c>
      <c r="F170" s="103">
        <v>0.0</v>
      </c>
      <c r="G170" s="104" t="str">
        <f t="shared" si="1"/>
        <v>#DIV/0!</v>
      </c>
      <c r="H170" s="105" t="str">
        <f t="shared" si="2"/>
        <v>#DIV/0!</v>
      </c>
      <c r="I170" s="106" t="str">
        <f t="shared" si="3"/>
        <v>#DIV/0!</v>
      </c>
      <c r="J170" s="302">
        <v>0.0</v>
      </c>
      <c r="K170" s="103">
        <v>0.0</v>
      </c>
      <c r="L170" s="103">
        <v>0.0</v>
      </c>
      <c r="M170" s="303">
        <v>0.0</v>
      </c>
      <c r="N170" s="109" t="str">
        <f t="shared" si="66"/>
        <v>#DIV/0!</v>
      </c>
      <c r="O170" s="110" t="str">
        <f t="shared" si="5"/>
        <v>#DIV/0!</v>
      </c>
      <c r="P170" s="109" t="str">
        <f t="shared" si="6"/>
        <v>#DIV/0!</v>
      </c>
      <c r="Q170" s="111" t="str">
        <f t="shared" si="7"/>
        <v>#DIV/0!</v>
      </c>
      <c r="R170" s="304">
        <f t="shared" si="65"/>
        <v>0</v>
      </c>
      <c r="S170" s="113" t="str">
        <f t="shared" si="9"/>
        <v>#DIV/0!</v>
      </c>
      <c r="T170" s="172"/>
      <c r="U170" s="172"/>
      <c r="V170" s="172"/>
      <c r="W170" s="172"/>
      <c r="X170" s="173"/>
      <c r="Y170" s="165"/>
      <c r="Z170" s="165"/>
    </row>
    <row r="171" hidden="1" outlineLevel="1">
      <c r="A171" s="165"/>
      <c r="B171" s="174"/>
      <c r="C171" s="100" t="s">
        <v>36</v>
      </c>
      <c r="D171" s="120">
        <v>69.95</v>
      </c>
      <c r="E171" s="103">
        <v>1.0</v>
      </c>
      <c r="F171" s="103">
        <v>1.0</v>
      </c>
      <c r="G171" s="104">
        <f t="shared" si="1"/>
        <v>1</v>
      </c>
      <c r="H171" s="105">
        <f t="shared" si="2"/>
        <v>69.95</v>
      </c>
      <c r="I171" s="106">
        <f t="shared" si="3"/>
        <v>69.95</v>
      </c>
      <c r="J171" s="120">
        <v>37.91</v>
      </c>
      <c r="K171" s="103">
        <v>5071.0</v>
      </c>
      <c r="L171" s="103">
        <v>0.0</v>
      </c>
      <c r="M171" s="121">
        <v>0.0</v>
      </c>
      <c r="N171" s="109" t="str">
        <f t="shared" si="66"/>
        <v>#DIV/0!</v>
      </c>
      <c r="O171" s="110">
        <f t="shared" si="5"/>
        <v>0</v>
      </c>
      <c r="P171" s="109">
        <f t="shared" si="6"/>
        <v>0.5419585418</v>
      </c>
      <c r="Q171" s="111">
        <f t="shared" si="7"/>
        <v>0</v>
      </c>
      <c r="R171" s="122">
        <f t="shared" si="65"/>
        <v>69.95</v>
      </c>
      <c r="S171" s="113" t="str">
        <f t="shared" si="9"/>
        <v>#DIV/0!</v>
      </c>
      <c r="T171" s="172"/>
      <c r="U171" s="172"/>
      <c r="V171" s="172"/>
      <c r="W171" s="172"/>
      <c r="X171" s="173"/>
      <c r="Y171" s="165"/>
      <c r="Z171" s="165"/>
    </row>
    <row r="172" hidden="1" outlineLevel="1">
      <c r="A172" s="165"/>
      <c r="B172" s="99" t="s">
        <v>37</v>
      </c>
      <c r="C172" s="100" t="s">
        <v>38</v>
      </c>
      <c r="D172" s="123">
        <v>214.75</v>
      </c>
      <c r="E172" s="103">
        <v>5.0</v>
      </c>
      <c r="F172" s="103">
        <v>6.0</v>
      </c>
      <c r="G172" s="104">
        <f t="shared" si="1"/>
        <v>0.8333333333</v>
      </c>
      <c r="H172" s="105">
        <f t="shared" si="2"/>
        <v>42.95</v>
      </c>
      <c r="I172" s="106">
        <f t="shared" si="3"/>
        <v>51.54</v>
      </c>
      <c r="J172" s="123">
        <v>90.03</v>
      </c>
      <c r="K172" s="103">
        <v>12745.0</v>
      </c>
      <c r="L172" s="103">
        <v>0.0</v>
      </c>
      <c r="M172" s="124">
        <v>0.0</v>
      </c>
      <c r="N172" s="109" t="str">
        <f t="shared" si="66"/>
        <v>#DIV/0!</v>
      </c>
      <c r="O172" s="110">
        <f t="shared" si="5"/>
        <v>0</v>
      </c>
      <c r="P172" s="109">
        <f t="shared" si="6"/>
        <v>0.4192316647</v>
      </c>
      <c r="Q172" s="111">
        <f t="shared" si="7"/>
        <v>0</v>
      </c>
      <c r="R172" s="125">
        <f t="shared" si="65"/>
        <v>214.75</v>
      </c>
      <c r="S172" s="113" t="str">
        <f t="shared" si="9"/>
        <v>#DIV/0!</v>
      </c>
      <c r="T172" s="172"/>
      <c r="U172" s="172"/>
      <c r="V172" s="172"/>
      <c r="W172" s="172"/>
      <c r="X172" s="173"/>
      <c r="Y172" s="165"/>
      <c r="Z172" s="165"/>
    </row>
    <row r="173" hidden="1" outlineLevel="1">
      <c r="A173" s="165"/>
      <c r="B173" s="174"/>
      <c r="C173" s="100" t="s">
        <v>39</v>
      </c>
      <c r="D173" s="126">
        <v>199.9</v>
      </c>
      <c r="E173" s="103">
        <v>2.0</v>
      </c>
      <c r="F173" s="103">
        <v>2.0</v>
      </c>
      <c r="G173" s="104">
        <f t="shared" si="1"/>
        <v>1</v>
      </c>
      <c r="H173" s="105">
        <f t="shared" si="2"/>
        <v>99.95</v>
      </c>
      <c r="I173" s="106">
        <f t="shared" si="3"/>
        <v>99.95</v>
      </c>
      <c r="J173" s="126">
        <v>0.0</v>
      </c>
      <c r="K173" s="103">
        <v>0.0</v>
      </c>
      <c r="L173" s="103">
        <v>0.0</v>
      </c>
      <c r="M173" s="127">
        <v>0.0</v>
      </c>
      <c r="N173" s="109" t="str">
        <f t="shared" si="66"/>
        <v>#DIV/0!</v>
      </c>
      <c r="O173" s="110" t="str">
        <f t="shared" si="5"/>
        <v>#DIV/0!</v>
      </c>
      <c r="P173" s="109">
        <f t="shared" si="6"/>
        <v>0</v>
      </c>
      <c r="Q173" s="111">
        <f t="shared" si="7"/>
        <v>0</v>
      </c>
      <c r="R173" s="128">
        <f t="shared" si="65"/>
        <v>199.9</v>
      </c>
      <c r="S173" s="113" t="str">
        <f t="shared" si="9"/>
        <v>#DIV/0!</v>
      </c>
      <c r="T173" s="172"/>
      <c r="U173" s="172"/>
      <c r="V173" s="172"/>
      <c r="W173" s="172"/>
      <c r="X173" s="173"/>
      <c r="Y173" s="165"/>
      <c r="Z173" s="165"/>
    </row>
    <row r="174" hidden="1" outlineLevel="1">
      <c r="A174" s="165"/>
      <c r="B174" s="174"/>
      <c r="C174" s="100" t="s">
        <v>40</v>
      </c>
      <c r="D174" s="129">
        <v>659.4</v>
      </c>
      <c r="E174" s="103">
        <v>12.0</v>
      </c>
      <c r="F174" s="103">
        <v>3.0</v>
      </c>
      <c r="G174" s="104">
        <f t="shared" si="1"/>
        <v>4</v>
      </c>
      <c r="H174" s="105">
        <f t="shared" si="2"/>
        <v>54.95</v>
      </c>
      <c r="I174" s="106">
        <f t="shared" si="3"/>
        <v>13.7375</v>
      </c>
      <c r="J174" s="129">
        <v>0.0</v>
      </c>
      <c r="K174" s="103">
        <v>0.0</v>
      </c>
      <c r="L174" s="103">
        <v>0.0</v>
      </c>
      <c r="M174" s="130">
        <v>0.0</v>
      </c>
      <c r="N174" s="109" t="str">
        <f t="shared" si="66"/>
        <v>#DIV/0!</v>
      </c>
      <c r="O174" s="110" t="str">
        <f t="shared" si="5"/>
        <v>#DIV/0!</v>
      </c>
      <c r="P174" s="109">
        <f t="shared" si="6"/>
        <v>0</v>
      </c>
      <c r="Q174" s="111">
        <f t="shared" si="7"/>
        <v>0</v>
      </c>
      <c r="R174" s="131">
        <f t="shared" si="65"/>
        <v>659.4</v>
      </c>
      <c r="S174" s="113" t="str">
        <f t="shared" si="9"/>
        <v>#DIV/0!</v>
      </c>
      <c r="T174" s="172"/>
      <c r="U174" s="172"/>
      <c r="V174" s="172"/>
      <c r="W174" s="172"/>
      <c r="X174" s="173"/>
      <c r="Y174" s="165"/>
      <c r="Z174" s="165"/>
    </row>
    <row r="175" hidden="1" outlineLevel="1">
      <c r="A175" s="165"/>
      <c r="B175" s="174"/>
      <c r="C175" s="100" t="s">
        <v>41</v>
      </c>
      <c r="D175" s="132">
        <v>0.0</v>
      </c>
      <c r="E175" s="103">
        <v>0.0</v>
      </c>
      <c r="F175" s="103">
        <v>0.0</v>
      </c>
      <c r="G175" s="104" t="str">
        <f t="shared" si="1"/>
        <v>#DIV/0!</v>
      </c>
      <c r="H175" s="105" t="str">
        <f t="shared" si="2"/>
        <v>#DIV/0!</v>
      </c>
      <c r="I175" s="106" t="str">
        <f t="shared" si="3"/>
        <v>#DIV/0!</v>
      </c>
      <c r="J175" s="132">
        <v>0.0</v>
      </c>
      <c r="K175" s="103">
        <v>14.0</v>
      </c>
      <c r="L175" s="103">
        <v>0.0</v>
      </c>
      <c r="M175" s="133">
        <v>0.0</v>
      </c>
      <c r="N175" s="109" t="str">
        <f t="shared" si="66"/>
        <v>#DIV/0!</v>
      </c>
      <c r="O175" s="110" t="str">
        <f t="shared" si="5"/>
        <v>#DIV/0!</v>
      </c>
      <c r="P175" s="109" t="str">
        <f t="shared" si="6"/>
        <v>#DIV/0!</v>
      </c>
      <c r="Q175" s="111" t="str">
        <f t="shared" si="7"/>
        <v>#DIV/0!</v>
      </c>
      <c r="R175" s="134">
        <f t="shared" si="65"/>
        <v>0</v>
      </c>
      <c r="S175" s="113" t="str">
        <f t="shared" si="9"/>
        <v>#DIV/0!</v>
      </c>
      <c r="T175" s="172"/>
      <c r="U175" s="172"/>
      <c r="V175" s="172"/>
      <c r="W175" s="172"/>
      <c r="X175" s="173"/>
      <c r="Y175" s="165"/>
      <c r="Z175" s="165"/>
    </row>
    <row r="176" hidden="1" outlineLevel="1">
      <c r="A176" s="165"/>
      <c r="B176" s="174"/>
      <c r="C176" s="100" t="s">
        <v>42</v>
      </c>
      <c r="D176" s="120">
        <v>79.96</v>
      </c>
      <c r="E176" s="103">
        <v>4.0</v>
      </c>
      <c r="F176" s="103">
        <v>2.0</v>
      </c>
      <c r="G176" s="104">
        <f t="shared" si="1"/>
        <v>2</v>
      </c>
      <c r="H176" s="105">
        <f t="shared" si="2"/>
        <v>19.99</v>
      </c>
      <c r="I176" s="106">
        <f t="shared" si="3"/>
        <v>9.995</v>
      </c>
      <c r="J176" s="120">
        <v>6.0</v>
      </c>
      <c r="K176" s="103">
        <v>14379.0</v>
      </c>
      <c r="L176" s="103">
        <v>0.0</v>
      </c>
      <c r="M176" s="121">
        <v>0.0</v>
      </c>
      <c r="N176" s="109" t="str">
        <f t="shared" si="66"/>
        <v>#DIV/0!</v>
      </c>
      <c r="O176" s="110">
        <f t="shared" si="5"/>
        <v>0</v>
      </c>
      <c r="P176" s="109">
        <f t="shared" si="6"/>
        <v>0.07503751876</v>
      </c>
      <c r="Q176" s="111">
        <f t="shared" si="7"/>
        <v>0</v>
      </c>
      <c r="R176" s="122">
        <f t="shared" si="65"/>
        <v>79.96</v>
      </c>
      <c r="S176" s="113" t="str">
        <f t="shared" si="9"/>
        <v>#DIV/0!</v>
      </c>
      <c r="T176" s="172"/>
      <c r="U176" s="172"/>
      <c r="V176" s="172"/>
      <c r="W176" s="172"/>
      <c r="X176" s="173"/>
      <c r="Y176" s="165"/>
      <c r="Z176" s="165"/>
    </row>
    <row r="177" hidden="1" outlineLevel="1">
      <c r="A177" s="165"/>
      <c r="B177" s="174"/>
      <c r="C177" s="100" t="s">
        <v>43</v>
      </c>
      <c r="D177" s="135">
        <v>0.0</v>
      </c>
      <c r="E177" s="103">
        <v>0.0</v>
      </c>
      <c r="F177" s="103">
        <v>0.0</v>
      </c>
      <c r="G177" s="104" t="str">
        <f t="shared" si="1"/>
        <v>#DIV/0!</v>
      </c>
      <c r="H177" s="105" t="str">
        <f t="shared" si="2"/>
        <v>#DIV/0!</v>
      </c>
      <c r="I177" s="106" t="str">
        <f t="shared" si="3"/>
        <v>#DIV/0!</v>
      </c>
      <c r="J177" s="135">
        <v>14.56</v>
      </c>
      <c r="K177" s="103">
        <v>21997.0</v>
      </c>
      <c r="L177" s="103">
        <v>0.0</v>
      </c>
      <c r="M177" s="136">
        <v>0.0</v>
      </c>
      <c r="N177" s="109" t="str">
        <f t="shared" si="66"/>
        <v>#DIV/0!</v>
      </c>
      <c r="O177" s="110">
        <f t="shared" si="5"/>
        <v>0</v>
      </c>
      <c r="P177" s="109" t="str">
        <f t="shared" si="6"/>
        <v>#DIV/0!</v>
      </c>
      <c r="Q177" s="111" t="str">
        <f t="shared" si="7"/>
        <v>#DIV/0!</v>
      </c>
      <c r="R177" s="137">
        <f t="shared" si="65"/>
        <v>0</v>
      </c>
      <c r="S177" s="113" t="str">
        <f t="shared" si="9"/>
        <v>#DIV/0!</v>
      </c>
      <c r="T177" s="172"/>
      <c r="U177" s="172"/>
      <c r="V177" s="172"/>
      <c r="W177" s="172"/>
      <c r="X177" s="173"/>
      <c r="Y177" s="165"/>
      <c r="Z177" s="165"/>
    </row>
    <row r="178" hidden="1" outlineLevel="1">
      <c r="A178" s="165"/>
      <c r="B178" s="174"/>
      <c r="C178" s="100" t="s">
        <v>44</v>
      </c>
      <c r="D178" s="138">
        <v>159.8</v>
      </c>
      <c r="E178" s="103">
        <v>4.0</v>
      </c>
      <c r="F178" s="103">
        <v>4.0</v>
      </c>
      <c r="G178" s="104">
        <f t="shared" si="1"/>
        <v>1</v>
      </c>
      <c r="H178" s="105">
        <f t="shared" si="2"/>
        <v>39.95</v>
      </c>
      <c r="I178" s="106">
        <f t="shared" si="3"/>
        <v>39.95</v>
      </c>
      <c r="J178" s="138">
        <v>54.38</v>
      </c>
      <c r="K178" s="103">
        <v>11920.0</v>
      </c>
      <c r="L178" s="103">
        <v>2.0</v>
      </c>
      <c r="M178" s="139">
        <v>79.9</v>
      </c>
      <c r="N178" s="109">
        <f t="shared" si="66"/>
        <v>0.6806007509</v>
      </c>
      <c r="O178" s="110">
        <f t="shared" si="5"/>
        <v>1.46929018</v>
      </c>
      <c r="P178" s="109">
        <f t="shared" si="6"/>
        <v>0.3403003755</v>
      </c>
      <c r="Q178" s="111">
        <f t="shared" si="7"/>
        <v>0.5</v>
      </c>
      <c r="R178" s="140">
        <f t="shared" si="65"/>
        <v>79.9</v>
      </c>
      <c r="S178" s="113">
        <f t="shared" si="9"/>
        <v>27.19</v>
      </c>
      <c r="T178" s="172"/>
      <c r="U178" s="172"/>
      <c r="V178" s="172"/>
      <c r="W178" s="172"/>
      <c r="X178" s="173"/>
      <c r="Y178" s="165"/>
      <c r="Z178" s="165"/>
    </row>
    <row r="179" hidden="1" outlineLevel="1">
      <c r="A179" s="192"/>
      <c r="B179" s="174"/>
      <c r="C179" s="142" t="s">
        <v>45</v>
      </c>
      <c r="D179" s="101">
        <v>0.0</v>
      </c>
      <c r="E179" s="103">
        <v>0.0</v>
      </c>
      <c r="F179" s="103">
        <v>0.0</v>
      </c>
      <c r="G179" s="104" t="str">
        <f t="shared" si="1"/>
        <v>#DIV/0!</v>
      </c>
      <c r="H179" s="105" t="str">
        <f t="shared" si="2"/>
        <v>#DIV/0!</v>
      </c>
      <c r="I179" s="106" t="str">
        <f t="shared" si="3"/>
        <v>#DIV/0!</v>
      </c>
      <c r="J179" s="101">
        <v>0.0</v>
      </c>
      <c r="K179" s="103">
        <v>0.0</v>
      </c>
      <c r="L179" s="103">
        <v>0.0</v>
      </c>
      <c r="M179" s="108">
        <v>0.0</v>
      </c>
      <c r="N179" s="109" t="str">
        <f t="shared" si="66"/>
        <v>#DIV/0!</v>
      </c>
      <c r="O179" s="110" t="str">
        <f t="shared" si="5"/>
        <v>#DIV/0!</v>
      </c>
      <c r="P179" s="109" t="str">
        <f t="shared" si="6"/>
        <v>#DIV/0!</v>
      </c>
      <c r="Q179" s="111" t="str">
        <f t="shared" si="7"/>
        <v>#DIV/0!</v>
      </c>
      <c r="R179" s="112">
        <f t="shared" si="65"/>
        <v>0</v>
      </c>
      <c r="S179" s="113" t="str">
        <f t="shared" si="9"/>
        <v>#DIV/0!</v>
      </c>
      <c r="T179" s="193"/>
      <c r="U179" s="193"/>
      <c r="V179" s="193"/>
      <c r="W179" s="194"/>
      <c r="X179" s="195"/>
      <c r="Y179" s="165"/>
      <c r="Z179" s="165"/>
    </row>
    <row r="180" hidden="1" outlineLevel="1">
      <c r="A180" s="165"/>
      <c r="B180" s="174"/>
      <c r="C180" s="100" t="s">
        <v>46</v>
      </c>
      <c r="D180" s="146">
        <v>755.16</v>
      </c>
      <c r="E180" s="103">
        <v>17.0</v>
      </c>
      <c r="F180" s="103">
        <v>17.0</v>
      </c>
      <c r="G180" s="104">
        <f t="shared" si="1"/>
        <v>1</v>
      </c>
      <c r="H180" s="105">
        <f t="shared" si="2"/>
        <v>44.42117647</v>
      </c>
      <c r="I180" s="106">
        <f t="shared" si="3"/>
        <v>44.42117647</v>
      </c>
      <c r="J180" s="146">
        <v>85.03</v>
      </c>
      <c r="K180" s="103">
        <v>29388.0</v>
      </c>
      <c r="L180" s="103">
        <v>7.0</v>
      </c>
      <c r="M180" s="147">
        <v>314.65</v>
      </c>
      <c r="N180" s="109">
        <f t="shared" si="66"/>
        <v>0.270236771</v>
      </c>
      <c r="O180" s="110">
        <f t="shared" si="5"/>
        <v>3.700458662</v>
      </c>
      <c r="P180" s="109">
        <f t="shared" si="6"/>
        <v>0.1125986546</v>
      </c>
      <c r="Q180" s="111">
        <f t="shared" si="7"/>
        <v>0.4166666667</v>
      </c>
      <c r="R180" s="112">
        <f t="shared" si="65"/>
        <v>440.51</v>
      </c>
      <c r="S180" s="113">
        <f t="shared" si="9"/>
        <v>12.14714286</v>
      </c>
      <c r="T180" s="172"/>
      <c r="U180" s="172"/>
      <c r="V180" s="172"/>
      <c r="W180" s="172"/>
      <c r="X180" s="173"/>
      <c r="Y180" s="165"/>
      <c r="Z180" s="165"/>
    </row>
    <row r="181" hidden="1" outlineLevel="1">
      <c r="A181" s="165"/>
      <c r="B181" s="174"/>
      <c r="C181" s="100" t="s">
        <v>49</v>
      </c>
      <c r="D181" s="146">
        <v>0.0</v>
      </c>
      <c r="E181" s="103">
        <v>0.0</v>
      </c>
      <c r="F181" s="103">
        <v>0.0</v>
      </c>
      <c r="G181" s="104" t="str">
        <f t="shared" si="1"/>
        <v>#DIV/0!</v>
      </c>
      <c r="H181" s="105" t="str">
        <f t="shared" si="2"/>
        <v>#DIV/0!</v>
      </c>
      <c r="I181" s="106" t="str">
        <f t="shared" si="3"/>
        <v>#DIV/0!</v>
      </c>
      <c r="J181" s="146">
        <v>4.28</v>
      </c>
      <c r="K181" s="103">
        <v>8057.0</v>
      </c>
      <c r="L181" s="103">
        <v>0.0</v>
      </c>
      <c r="M181" s="147">
        <v>0.0</v>
      </c>
      <c r="N181" s="109" t="str">
        <f t="shared" si="66"/>
        <v>#DIV/0!</v>
      </c>
      <c r="O181" s="110">
        <f t="shared" si="5"/>
        <v>0</v>
      </c>
      <c r="P181" s="109" t="str">
        <f t="shared" si="6"/>
        <v>#DIV/0!</v>
      </c>
      <c r="Q181" s="111" t="str">
        <f t="shared" si="7"/>
        <v>#DIV/0!</v>
      </c>
      <c r="R181" s="112">
        <f t="shared" si="65"/>
        <v>0</v>
      </c>
      <c r="S181" s="113" t="str">
        <f t="shared" si="9"/>
        <v>#DIV/0!</v>
      </c>
      <c r="T181" s="172"/>
      <c r="U181" s="172"/>
      <c r="V181" s="172"/>
      <c r="W181" s="172"/>
      <c r="X181" s="173"/>
      <c r="Y181" s="165"/>
      <c r="Z181" s="165"/>
    </row>
    <row r="182" hidden="1" outlineLevel="1">
      <c r="A182" s="148" t="str">
        <f t="shared" ref="A182:A183" si="67">iferror(if(B182&gt;0,month(B182)&amp;"-"&amp;year(B182),B182),)</f>
        <v>4-2025</v>
      </c>
      <c r="B182" s="99">
        <v>45773.0</v>
      </c>
      <c r="C182" s="277" t="s">
        <v>67</v>
      </c>
      <c r="D182" s="146">
        <v>0.0</v>
      </c>
      <c r="E182" s="103">
        <v>0.0</v>
      </c>
      <c r="F182" s="103">
        <v>0.0</v>
      </c>
      <c r="G182" s="104" t="str">
        <f t="shared" si="1"/>
        <v>#DIV/0!</v>
      </c>
      <c r="H182" s="105" t="str">
        <f t="shared" si="2"/>
        <v>#DIV/0!</v>
      </c>
      <c r="I182" s="106" t="str">
        <f t="shared" si="3"/>
        <v>#DIV/0!</v>
      </c>
      <c r="J182" s="117">
        <v>275.54</v>
      </c>
      <c r="K182" s="409">
        <v>51956.0</v>
      </c>
      <c r="L182" s="412">
        <v>0.0</v>
      </c>
      <c r="M182" s="118">
        <v>315.92</v>
      </c>
      <c r="N182" s="109">
        <f t="shared" si="66"/>
        <v>0.8721828311</v>
      </c>
      <c r="O182" s="110">
        <f t="shared" si="5"/>
        <v>1.146548595</v>
      </c>
      <c r="P182" s="109" t="str">
        <f t="shared" si="6"/>
        <v>#DIV/0!</v>
      </c>
      <c r="Q182" s="111" t="str">
        <f t="shared" si="7"/>
        <v>#DIV/0!</v>
      </c>
      <c r="R182" s="112">
        <f t="shared" si="65"/>
        <v>-315.92</v>
      </c>
      <c r="S182" s="113" t="str">
        <f t="shared" si="9"/>
        <v>#DIV/0!</v>
      </c>
      <c r="T182" s="172"/>
      <c r="U182" s="172"/>
      <c r="V182" s="172"/>
      <c r="W182" s="172"/>
      <c r="X182" s="173"/>
      <c r="Y182" s="165"/>
      <c r="Z182" s="165"/>
    </row>
    <row r="183" collapsed="1">
      <c r="A183" s="165" t="str">
        <f t="shared" si="67"/>
        <v/>
      </c>
      <c r="B183" s="80" t="s">
        <v>104</v>
      </c>
      <c r="C183" s="201"/>
      <c r="D183" s="151">
        <f t="shared" ref="D183:F183" si="68">SUM(D165:D182)</f>
        <v>7435.03</v>
      </c>
      <c r="E183" s="153">
        <f t="shared" si="68"/>
        <v>89</v>
      </c>
      <c r="F183" s="153">
        <f t="shared" si="68"/>
        <v>77</v>
      </c>
      <c r="G183" s="154">
        <f t="shared" si="1"/>
        <v>1.155844156</v>
      </c>
      <c r="H183" s="155">
        <f t="shared" si="2"/>
        <v>83.53966292</v>
      </c>
      <c r="I183" s="156">
        <f t="shared" si="3"/>
        <v>72.27588815</v>
      </c>
      <c r="J183" s="151">
        <f t="shared" ref="J183:M183" si="69">SUM(J165:J182)</f>
        <v>1160.8</v>
      </c>
      <c r="K183" s="153">
        <f t="shared" si="69"/>
        <v>314617</v>
      </c>
      <c r="L183" s="153">
        <f t="shared" si="69"/>
        <v>17</v>
      </c>
      <c r="M183" s="157">
        <f t="shared" si="69"/>
        <v>1773.32</v>
      </c>
      <c r="N183" s="158">
        <f t="shared" si="66"/>
        <v>0.6545913879</v>
      </c>
      <c r="O183" s="159">
        <f t="shared" si="5"/>
        <v>1.527670572</v>
      </c>
      <c r="P183" s="158">
        <f t="shared" si="6"/>
        <v>0.1561257991</v>
      </c>
      <c r="Q183" s="160">
        <f t="shared" si="7"/>
        <v>0.2385087888</v>
      </c>
      <c r="R183" s="161">
        <f>SUM(R165:R182)</f>
        <v>5661.71</v>
      </c>
      <c r="S183" s="162">
        <f t="shared" si="9"/>
        <v>68.28235294</v>
      </c>
      <c r="T183" s="399">
        <f t="shared" ref="T183:U183" si="70">IFERROR((D183-D69)/D183,)</f>
        <v>-0.01967577804</v>
      </c>
      <c r="U183" s="399">
        <f t="shared" si="70"/>
        <v>-0.05617977528</v>
      </c>
      <c r="V183" s="398" t="str">
        <f t="shared" ref="V183:W183" si="71">IFERROR((D183-#REF!)/D183, )</f>
        <v/>
      </c>
      <c r="W183" s="398" t="str">
        <f t="shared" si="71"/>
        <v/>
      </c>
      <c r="X183" s="165"/>
      <c r="Y183" s="165"/>
      <c r="Z183" s="165"/>
    </row>
    <row r="184" hidden="1" outlineLevel="1">
      <c r="A184" s="165"/>
      <c r="B184" s="99">
        <v>45774.0</v>
      </c>
      <c r="C184" s="100" t="s">
        <v>32</v>
      </c>
      <c r="D184" s="101">
        <v>1667.12</v>
      </c>
      <c r="E184" s="103">
        <v>16.0</v>
      </c>
      <c r="F184" s="103">
        <v>17.0</v>
      </c>
      <c r="G184" s="104">
        <f t="shared" si="1"/>
        <v>0.9411764706</v>
      </c>
      <c r="H184" s="105">
        <f t="shared" si="2"/>
        <v>104.195</v>
      </c>
      <c r="I184" s="106">
        <f t="shared" si="3"/>
        <v>110.7071875</v>
      </c>
      <c r="J184" s="107">
        <v>259.54</v>
      </c>
      <c r="K184" s="103">
        <v>83285.0</v>
      </c>
      <c r="L184" s="103">
        <v>9.0</v>
      </c>
      <c r="M184" s="108">
        <v>578.8</v>
      </c>
      <c r="N184" s="109">
        <f t="shared" si="66"/>
        <v>0.4484105045</v>
      </c>
      <c r="O184" s="110">
        <f t="shared" si="5"/>
        <v>2.230099407</v>
      </c>
      <c r="P184" s="109">
        <f t="shared" si="6"/>
        <v>0.1556816546</v>
      </c>
      <c r="Q184" s="111">
        <f t="shared" si="7"/>
        <v>0.3471855655</v>
      </c>
      <c r="R184" s="112">
        <f t="shared" ref="R184:R201" si="72">D184-M184</f>
        <v>1088.32</v>
      </c>
      <c r="S184" s="113">
        <f t="shared" si="9"/>
        <v>28.83777778</v>
      </c>
      <c r="T184" s="172"/>
      <c r="U184" s="172"/>
      <c r="V184" s="172"/>
      <c r="W184" s="172"/>
      <c r="X184" s="173"/>
      <c r="Y184" s="165"/>
      <c r="Z184" s="165"/>
    </row>
    <row r="185" hidden="1" outlineLevel="1">
      <c r="A185" s="165"/>
      <c r="B185" s="174"/>
      <c r="C185" s="100" t="s">
        <v>33</v>
      </c>
      <c r="D185" s="117">
        <v>3548.15</v>
      </c>
      <c r="E185" s="103">
        <v>31.0</v>
      </c>
      <c r="F185" s="103">
        <v>32.0</v>
      </c>
      <c r="G185" s="104">
        <f t="shared" si="1"/>
        <v>0.96875</v>
      </c>
      <c r="H185" s="105">
        <f t="shared" si="2"/>
        <v>114.4564516</v>
      </c>
      <c r="I185" s="106">
        <f t="shared" si="3"/>
        <v>118.1485952</v>
      </c>
      <c r="J185" s="117">
        <v>184.46</v>
      </c>
      <c r="K185" s="103">
        <v>71041.0</v>
      </c>
      <c r="L185" s="103">
        <v>2.0</v>
      </c>
      <c r="M185" s="118">
        <v>59.95</v>
      </c>
      <c r="N185" s="109">
        <f t="shared" si="66"/>
        <v>3.076897415</v>
      </c>
      <c r="O185" s="110">
        <f t="shared" si="5"/>
        <v>0.3250027106</v>
      </c>
      <c r="P185" s="109">
        <f t="shared" si="6"/>
        <v>0.05198765554</v>
      </c>
      <c r="Q185" s="111">
        <f t="shared" si="7"/>
        <v>0.01689612897</v>
      </c>
      <c r="R185" s="119">
        <f t="shared" si="72"/>
        <v>3488.2</v>
      </c>
      <c r="S185" s="113">
        <f t="shared" si="9"/>
        <v>92.23</v>
      </c>
      <c r="T185" s="172"/>
      <c r="U185" s="172"/>
      <c r="V185" s="172"/>
      <c r="W185" s="172"/>
      <c r="X185" s="173"/>
      <c r="Y185" s="165"/>
      <c r="Z185" s="165"/>
    </row>
    <row r="186" hidden="1" outlineLevel="1">
      <c r="A186" s="165"/>
      <c r="B186" s="174"/>
      <c r="C186" s="100" t="s">
        <v>34</v>
      </c>
      <c r="D186" s="120">
        <v>0.0</v>
      </c>
      <c r="E186" s="103">
        <v>0.0</v>
      </c>
      <c r="F186" s="103">
        <v>0.0</v>
      </c>
      <c r="G186" s="104" t="str">
        <f t="shared" si="1"/>
        <v>#DIV/0!</v>
      </c>
      <c r="H186" s="105" t="str">
        <f t="shared" si="2"/>
        <v>#DIV/0!</v>
      </c>
      <c r="I186" s="106" t="str">
        <f t="shared" si="3"/>
        <v>#DIV/0!</v>
      </c>
      <c r="J186" s="120">
        <v>0.0</v>
      </c>
      <c r="K186" s="103">
        <v>0.0</v>
      </c>
      <c r="L186" s="103">
        <v>0.0</v>
      </c>
      <c r="M186" s="121">
        <v>0.0</v>
      </c>
      <c r="N186" s="109" t="str">
        <f>(J186/M186)</f>
        <v>#DIV/0!</v>
      </c>
      <c r="O186" s="110" t="str">
        <f t="shared" si="5"/>
        <v>#DIV/0!</v>
      </c>
      <c r="P186" s="109" t="str">
        <f t="shared" si="6"/>
        <v>#DIV/0!</v>
      </c>
      <c r="Q186" s="111" t="str">
        <f t="shared" si="7"/>
        <v>#DIV/0!</v>
      </c>
      <c r="R186" s="122">
        <f t="shared" si="72"/>
        <v>0</v>
      </c>
      <c r="S186" s="113" t="str">
        <f t="shared" si="9"/>
        <v>#DIV/0!</v>
      </c>
      <c r="T186" s="172"/>
      <c r="U186" s="172"/>
      <c r="V186" s="172"/>
      <c r="W186" s="172"/>
      <c r="X186" s="173"/>
      <c r="Y186" s="165"/>
      <c r="Z186" s="165"/>
    </row>
    <row r="187" hidden="1" outlineLevel="1">
      <c r="A187" s="165"/>
      <c r="B187" s="174"/>
      <c r="C187" s="100" t="s">
        <v>35</v>
      </c>
      <c r="D187" s="120">
        <v>0.0</v>
      </c>
      <c r="E187" s="103">
        <v>0.0</v>
      </c>
      <c r="F187" s="103">
        <v>0.0</v>
      </c>
      <c r="G187" s="104" t="str">
        <f t="shared" si="1"/>
        <v>#DIV/0!</v>
      </c>
      <c r="H187" s="105" t="str">
        <f t="shared" si="2"/>
        <v>#DIV/0!</v>
      </c>
      <c r="I187" s="106" t="str">
        <f t="shared" si="3"/>
        <v>#DIV/0!</v>
      </c>
      <c r="J187" s="120">
        <v>0.0</v>
      </c>
      <c r="K187" s="103">
        <v>0.0</v>
      </c>
      <c r="L187" s="103">
        <v>0.0</v>
      </c>
      <c r="M187" s="121">
        <v>0.0</v>
      </c>
      <c r="N187" s="109" t="str">
        <f t="shared" ref="N187:N204" si="73">J187/M187</f>
        <v>#DIV/0!</v>
      </c>
      <c r="O187" s="110" t="str">
        <f t="shared" si="5"/>
        <v>#DIV/0!</v>
      </c>
      <c r="P187" s="109" t="str">
        <f t="shared" si="6"/>
        <v>#DIV/0!</v>
      </c>
      <c r="Q187" s="111" t="str">
        <f t="shared" si="7"/>
        <v>#DIV/0!</v>
      </c>
      <c r="R187" s="122">
        <f t="shared" si="72"/>
        <v>0</v>
      </c>
      <c r="S187" s="113" t="str">
        <f t="shared" si="9"/>
        <v>#DIV/0!</v>
      </c>
      <c r="T187" s="172"/>
      <c r="U187" s="172"/>
      <c r="V187" s="172"/>
      <c r="W187" s="172"/>
      <c r="X187" s="173"/>
      <c r="Y187" s="165"/>
      <c r="Z187" s="165"/>
    </row>
    <row r="188" hidden="1" outlineLevel="1">
      <c r="A188" s="165"/>
      <c r="B188" s="174"/>
      <c r="C188" s="100" t="s">
        <v>65</v>
      </c>
      <c r="D188" s="300">
        <v>0.0</v>
      </c>
      <c r="E188" s="103">
        <v>0.0</v>
      </c>
      <c r="F188" s="103">
        <v>0.0</v>
      </c>
      <c r="G188" s="104" t="str">
        <f t="shared" si="1"/>
        <v>#DIV/0!</v>
      </c>
      <c r="H188" s="105" t="str">
        <f t="shared" si="2"/>
        <v>#DIV/0!</v>
      </c>
      <c r="I188" s="106" t="str">
        <f t="shared" si="3"/>
        <v>#DIV/0!</v>
      </c>
      <c r="J188" s="300">
        <v>0.0</v>
      </c>
      <c r="K188" s="103">
        <v>0.0</v>
      </c>
      <c r="L188" s="103">
        <v>0.0</v>
      </c>
      <c r="M188" s="300">
        <v>0.0</v>
      </c>
      <c r="N188" s="109" t="str">
        <f t="shared" si="73"/>
        <v>#DIV/0!</v>
      </c>
      <c r="O188" s="110" t="str">
        <f t="shared" si="5"/>
        <v>#DIV/0!</v>
      </c>
      <c r="P188" s="109" t="str">
        <f t="shared" si="6"/>
        <v>#DIV/0!</v>
      </c>
      <c r="Q188" s="111" t="str">
        <f t="shared" si="7"/>
        <v>#DIV/0!</v>
      </c>
      <c r="R188" s="122">
        <f t="shared" si="72"/>
        <v>0</v>
      </c>
      <c r="S188" s="113" t="str">
        <f t="shared" si="9"/>
        <v>#DIV/0!</v>
      </c>
      <c r="T188" s="172"/>
      <c r="U188" s="172"/>
      <c r="V188" s="172"/>
      <c r="W188" s="172"/>
      <c r="X188" s="173"/>
      <c r="Y188" s="165"/>
      <c r="Z188" s="165"/>
    </row>
    <row r="189" hidden="1" outlineLevel="1">
      <c r="A189" s="165"/>
      <c r="B189" s="174"/>
      <c r="C189" s="100" t="s">
        <v>85</v>
      </c>
      <c r="D189" s="302">
        <v>0.0</v>
      </c>
      <c r="E189" s="103">
        <v>0.0</v>
      </c>
      <c r="F189" s="103">
        <v>0.0</v>
      </c>
      <c r="G189" s="104" t="str">
        <f t="shared" si="1"/>
        <v>#DIV/0!</v>
      </c>
      <c r="H189" s="105" t="str">
        <f t="shared" si="2"/>
        <v>#DIV/0!</v>
      </c>
      <c r="I189" s="106" t="str">
        <f t="shared" si="3"/>
        <v>#DIV/0!</v>
      </c>
      <c r="J189" s="302">
        <v>0.0</v>
      </c>
      <c r="K189" s="103">
        <v>0.0</v>
      </c>
      <c r="L189" s="103">
        <v>0.0</v>
      </c>
      <c r="M189" s="303">
        <v>0.0</v>
      </c>
      <c r="N189" s="109" t="str">
        <f t="shared" si="73"/>
        <v>#DIV/0!</v>
      </c>
      <c r="O189" s="110" t="str">
        <f t="shared" si="5"/>
        <v>#DIV/0!</v>
      </c>
      <c r="P189" s="109" t="str">
        <f t="shared" si="6"/>
        <v>#DIV/0!</v>
      </c>
      <c r="Q189" s="111" t="str">
        <f t="shared" si="7"/>
        <v>#DIV/0!</v>
      </c>
      <c r="R189" s="304">
        <f t="shared" si="72"/>
        <v>0</v>
      </c>
      <c r="S189" s="113" t="str">
        <f t="shared" si="9"/>
        <v>#DIV/0!</v>
      </c>
      <c r="T189" s="172"/>
      <c r="U189" s="172"/>
      <c r="V189" s="172"/>
      <c r="W189" s="172"/>
      <c r="X189" s="173"/>
      <c r="Y189" s="165"/>
      <c r="Z189" s="165"/>
    </row>
    <row r="190" hidden="1" outlineLevel="1">
      <c r="A190" s="165"/>
      <c r="B190" s="174"/>
      <c r="C190" s="100" t="s">
        <v>36</v>
      </c>
      <c r="D190" s="120">
        <v>209.85</v>
      </c>
      <c r="E190" s="103">
        <v>3.0</v>
      </c>
      <c r="F190" s="103">
        <v>3.0</v>
      </c>
      <c r="G190" s="104">
        <f t="shared" si="1"/>
        <v>1</v>
      </c>
      <c r="H190" s="105">
        <f t="shared" si="2"/>
        <v>69.95</v>
      </c>
      <c r="I190" s="106">
        <f t="shared" si="3"/>
        <v>69.95</v>
      </c>
      <c r="J190" s="120">
        <v>31.45</v>
      </c>
      <c r="K190" s="103">
        <v>5187.0</v>
      </c>
      <c r="L190" s="103">
        <v>1.0</v>
      </c>
      <c r="M190" s="121">
        <v>69.95</v>
      </c>
      <c r="N190" s="109">
        <f t="shared" si="73"/>
        <v>0.449606862</v>
      </c>
      <c r="O190" s="110">
        <f t="shared" si="5"/>
        <v>2.224165342</v>
      </c>
      <c r="P190" s="109">
        <f t="shared" si="6"/>
        <v>0.149868954</v>
      </c>
      <c r="Q190" s="111">
        <f t="shared" si="7"/>
        <v>0.3333333333</v>
      </c>
      <c r="R190" s="122">
        <f t="shared" si="72"/>
        <v>139.9</v>
      </c>
      <c r="S190" s="113">
        <f t="shared" si="9"/>
        <v>31.45</v>
      </c>
      <c r="T190" s="172"/>
      <c r="U190" s="172"/>
      <c r="V190" s="172"/>
      <c r="W190" s="172"/>
      <c r="X190" s="173"/>
      <c r="Y190" s="165"/>
      <c r="Z190" s="165"/>
    </row>
    <row r="191" hidden="1" outlineLevel="1">
      <c r="A191" s="165"/>
      <c r="B191" s="99" t="s">
        <v>37</v>
      </c>
      <c r="C191" s="100" t="s">
        <v>38</v>
      </c>
      <c r="D191" s="123">
        <v>-50.22</v>
      </c>
      <c r="E191" s="103">
        <v>0.0</v>
      </c>
      <c r="F191" s="103">
        <v>1.0</v>
      </c>
      <c r="G191" s="104">
        <f t="shared" si="1"/>
        <v>0</v>
      </c>
      <c r="H191" s="105" t="str">
        <f t="shared" si="2"/>
        <v>#DIV/0!</v>
      </c>
      <c r="I191" s="106" t="str">
        <f t="shared" si="3"/>
        <v>#DIV/0!</v>
      </c>
      <c r="J191" s="123">
        <v>83.6</v>
      </c>
      <c r="K191" s="103">
        <v>10037.0</v>
      </c>
      <c r="L191" s="103">
        <v>1.0</v>
      </c>
      <c r="M191" s="124">
        <v>35.99</v>
      </c>
      <c r="N191" s="109">
        <f t="shared" si="73"/>
        <v>2.322867463</v>
      </c>
      <c r="O191" s="110">
        <f t="shared" si="5"/>
        <v>0.4305023923</v>
      </c>
      <c r="P191" s="109">
        <f t="shared" si="6"/>
        <v>-1.664675428</v>
      </c>
      <c r="Q191" s="111">
        <f t="shared" si="7"/>
        <v>-0.7166467543</v>
      </c>
      <c r="R191" s="125">
        <f t="shared" si="72"/>
        <v>-86.21</v>
      </c>
      <c r="S191" s="113">
        <f t="shared" si="9"/>
        <v>83.6</v>
      </c>
      <c r="T191" s="172"/>
      <c r="U191" s="172"/>
      <c r="V191" s="172"/>
      <c r="W191" s="172"/>
      <c r="X191" s="173"/>
      <c r="Y191" s="165"/>
      <c r="Z191" s="165"/>
    </row>
    <row r="192" hidden="1" outlineLevel="1">
      <c r="A192" s="165"/>
      <c r="B192" s="174"/>
      <c r="C192" s="100" t="s">
        <v>39</v>
      </c>
      <c r="D192" s="126">
        <v>-99.95</v>
      </c>
      <c r="E192" s="103">
        <v>-1.0</v>
      </c>
      <c r="F192" s="103">
        <v>0.0</v>
      </c>
      <c r="G192" s="104" t="str">
        <f t="shared" si="1"/>
        <v>#DIV/0!</v>
      </c>
      <c r="H192" s="105">
        <f t="shared" si="2"/>
        <v>99.95</v>
      </c>
      <c r="I192" s="106" t="str">
        <f t="shared" si="3"/>
        <v>#DIV/0!</v>
      </c>
      <c r="J192" s="126">
        <v>0.0</v>
      </c>
      <c r="K192" s="103">
        <v>0.0</v>
      </c>
      <c r="L192" s="103">
        <v>0.0</v>
      </c>
      <c r="M192" s="127">
        <v>0.0</v>
      </c>
      <c r="N192" s="109" t="str">
        <f t="shared" si="73"/>
        <v>#DIV/0!</v>
      </c>
      <c r="O192" s="110" t="str">
        <f t="shared" si="5"/>
        <v>#DIV/0!</v>
      </c>
      <c r="P192" s="109">
        <f t="shared" si="6"/>
        <v>0</v>
      </c>
      <c r="Q192" s="111">
        <f t="shared" si="7"/>
        <v>0</v>
      </c>
      <c r="R192" s="128">
        <f t="shared" si="72"/>
        <v>-99.95</v>
      </c>
      <c r="S192" s="113" t="str">
        <f t="shared" si="9"/>
        <v>#DIV/0!</v>
      </c>
      <c r="T192" s="172"/>
      <c r="U192" s="172"/>
      <c r="V192" s="172"/>
      <c r="W192" s="172"/>
      <c r="X192" s="173"/>
      <c r="Y192" s="165"/>
      <c r="Z192" s="165"/>
    </row>
    <row r="193" hidden="1" outlineLevel="1">
      <c r="A193" s="165"/>
      <c r="B193" s="174"/>
      <c r="C193" s="100" t="s">
        <v>40</v>
      </c>
      <c r="D193" s="129">
        <v>0.0</v>
      </c>
      <c r="E193" s="103">
        <v>0.0</v>
      </c>
      <c r="F193" s="103">
        <v>0.0</v>
      </c>
      <c r="G193" s="104" t="str">
        <f t="shared" si="1"/>
        <v>#DIV/0!</v>
      </c>
      <c r="H193" s="105" t="str">
        <f t="shared" si="2"/>
        <v>#DIV/0!</v>
      </c>
      <c r="I193" s="106" t="str">
        <f t="shared" si="3"/>
        <v>#DIV/0!</v>
      </c>
      <c r="J193" s="129">
        <v>0.0</v>
      </c>
      <c r="K193" s="103">
        <v>0.0</v>
      </c>
      <c r="L193" s="103">
        <v>0.0</v>
      </c>
      <c r="M193" s="130">
        <v>0.0</v>
      </c>
      <c r="N193" s="109" t="str">
        <f t="shared" si="73"/>
        <v>#DIV/0!</v>
      </c>
      <c r="O193" s="110" t="str">
        <f t="shared" si="5"/>
        <v>#DIV/0!</v>
      </c>
      <c r="P193" s="109" t="str">
        <f t="shared" si="6"/>
        <v>#DIV/0!</v>
      </c>
      <c r="Q193" s="111" t="str">
        <f t="shared" si="7"/>
        <v>#DIV/0!</v>
      </c>
      <c r="R193" s="131">
        <f t="shared" si="72"/>
        <v>0</v>
      </c>
      <c r="S193" s="113" t="str">
        <f t="shared" si="9"/>
        <v>#DIV/0!</v>
      </c>
      <c r="T193" s="172"/>
      <c r="U193" s="172"/>
      <c r="V193" s="172"/>
      <c r="W193" s="172"/>
      <c r="X193" s="173"/>
      <c r="Y193" s="165"/>
      <c r="Z193" s="165"/>
    </row>
    <row r="194" hidden="1" outlineLevel="1">
      <c r="A194" s="165"/>
      <c r="B194" s="174"/>
      <c r="C194" s="100" t="s">
        <v>41</v>
      </c>
      <c r="D194" s="132">
        <v>0.0</v>
      </c>
      <c r="E194" s="103">
        <v>0.0</v>
      </c>
      <c r="F194" s="103">
        <v>0.0</v>
      </c>
      <c r="G194" s="104" t="str">
        <f t="shared" si="1"/>
        <v>#DIV/0!</v>
      </c>
      <c r="H194" s="105" t="str">
        <f t="shared" si="2"/>
        <v>#DIV/0!</v>
      </c>
      <c r="I194" s="106" t="str">
        <f t="shared" si="3"/>
        <v>#DIV/0!</v>
      </c>
      <c r="J194" s="132">
        <v>0.0</v>
      </c>
      <c r="K194" s="103">
        <v>0.0</v>
      </c>
      <c r="L194" s="103">
        <v>0.0</v>
      </c>
      <c r="M194" s="133">
        <v>0.0</v>
      </c>
      <c r="N194" s="109" t="str">
        <f t="shared" si="73"/>
        <v>#DIV/0!</v>
      </c>
      <c r="O194" s="110" t="str">
        <f t="shared" si="5"/>
        <v>#DIV/0!</v>
      </c>
      <c r="P194" s="109" t="str">
        <f t="shared" si="6"/>
        <v>#DIV/0!</v>
      </c>
      <c r="Q194" s="111" t="str">
        <f t="shared" si="7"/>
        <v>#DIV/0!</v>
      </c>
      <c r="R194" s="134">
        <f t="shared" si="72"/>
        <v>0</v>
      </c>
      <c r="S194" s="113" t="str">
        <f t="shared" si="9"/>
        <v>#DIV/0!</v>
      </c>
      <c r="T194" s="172"/>
      <c r="U194" s="172"/>
      <c r="V194" s="172"/>
      <c r="W194" s="172"/>
      <c r="X194" s="173"/>
      <c r="Y194" s="165"/>
      <c r="Z194" s="165"/>
    </row>
    <row r="195" hidden="1" outlineLevel="1">
      <c r="A195" s="165"/>
      <c r="B195" s="174"/>
      <c r="C195" s="100" t="s">
        <v>42</v>
      </c>
      <c r="D195" s="120">
        <v>0.0</v>
      </c>
      <c r="E195" s="103">
        <v>0.0</v>
      </c>
      <c r="F195" s="103">
        <v>0.0</v>
      </c>
      <c r="G195" s="104" t="str">
        <f t="shared" si="1"/>
        <v>#DIV/0!</v>
      </c>
      <c r="H195" s="105" t="str">
        <f t="shared" si="2"/>
        <v>#DIV/0!</v>
      </c>
      <c r="I195" s="106" t="str">
        <f t="shared" si="3"/>
        <v>#DIV/0!</v>
      </c>
      <c r="J195" s="120">
        <v>8.47</v>
      </c>
      <c r="K195" s="103">
        <v>15222.0</v>
      </c>
      <c r="L195" s="103">
        <v>0.0</v>
      </c>
      <c r="M195" s="121">
        <v>0.0</v>
      </c>
      <c r="N195" s="109" t="str">
        <f t="shared" si="73"/>
        <v>#DIV/0!</v>
      </c>
      <c r="O195" s="110">
        <f t="shared" si="5"/>
        <v>0</v>
      </c>
      <c r="P195" s="109" t="str">
        <f t="shared" si="6"/>
        <v>#DIV/0!</v>
      </c>
      <c r="Q195" s="111" t="str">
        <f t="shared" si="7"/>
        <v>#DIV/0!</v>
      </c>
      <c r="R195" s="122">
        <f t="shared" si="72"/>
        <v>0</v>
      </c>
      <c r="S195" s="113" t="str">
        <f t="shared" si="9"/>
        <v>#DIV/0!</v>
      </c>
      <c r="T195" s="172"/>
      <c r="U195" s="172"/>
      <c r="V195" s="172"/>
      <c r="W195" s="172"/>
      <c r="X195" s="173"/>
      <c r="Y195" s="165"/>
      <c r="Z195" s="165"/>
    </row>
    <row r="196" hidden="1" outlineLevel="1">
      <c r="A196" s="165"/>
      <c r="B196" s="174"/>
      <c r="C196" s="100" t="s">
        <v>43</v>
      </c>
      <c r="D196" s="135">
        <v>154.95</v>
      </c>
      <c r="E196" s="103">
        <v>1.0</v>
      </c>
      <c r="F196" s="103">
        <v>2.0</v>
      </c>
      <c r="G196" s="104">
        <f t="shared" si="1"/>
        <v>0.5</v>
      </c>
      <c r="H196" s="105">
        <f t="shared" si="2"/>
        <v>154.95</v>
      </c>
      <c r="I196" s="106">
        <f t="shared" si="3"/>
        <v>309.9</v>
      </c>
      <c r="J196" s="135">
        <v>17.46</v>
      </c>
      <c r="K196" s="103">
        <v>22425.0</v>
      </c>
      <c r="L196" s="103">
        <v>1.0</v>
      </c>
      <c r="M196" s="136">
        <v>0.0</v>
      </c>
      <c r="N196" s="109" t="str">
        <f t="shared" si="73"/>
        <v>#DIV/0!</v>
      </c>
      <c r="O196" s="110">
        <f t="shared" si="5"/>
        <v>0</v>
      </c>
      <c r="P196" s="109">
        <f t="shared" si="6"/>
        <v>0.1126815102</v>
      </c>
      <c r="Q196" s="111">
        <f t="shared" si="7"/>
        <v>0</v>
      </c>
      <c r="R196" s="137">
        <f t="shared" si="72"/>
        <v>154.95</v>
      </c>
      <c r="S196" s="113">
        <f t="shared" si="9"/>
        <v>17.46</v>
      </c>
      <c r="T196" s="172"/>
      <c r="U196" s="172"/>
      <c r="V196" s="172"/>
      <c r="W196" s="172"/>
      <c r="X196" s="173"/>
      <c r="Y196" s="165"/>
      <c r="Z196" s="165"/>
    </row>
    <row r="197" hidden="1" outlineLevel="1">
      <c r="A197" s="165"/>
      <c r="B197" s="174"/>
      <c r="C197" s="100" t="s">
        <v>44</v>
      </c>
      <c r="D197" s="138">
        <v>281.64</v>
      </c>
      <c r="E197" s="103">
        <v>7.0</v>
      </c>
      <c r="F197" s="103">
        <v>9.0</v>
      </c>
      <c r="G197" s="104">
        <f t="shared" si="1"/>
        <v>0.7777777778</v>
      </c>
      <c r="H197" s="105">
        <f t="shared" si="2"/>
        <v>40.23428571</v>
      </c>
      <c r="I197" s="106">
        <f t="shared" si="3"/>
        <v>51.72979592</v>
      </c>
      <c r="J197" s="138">
        <v>29.75</v>
      </c>
      <c r="K197" s="103">
        <v>11811.0</v>
      </c>
      <c r="L197" s="103">
        <v>5.0</v>
      </c>
      <c r="M197" s="139">
        <v>199.75</v>
      </c>
      <c r="N197" s="109">
        <f t="shared" si="73"/>
        <v>0.1489361702</v>
      </c>
      <c r="O197" s="110">
        <f t="shared" si="5"/>
        <v>6.714285714</v>
      </c>
      <c r="P197" s="109">
        <f t="shared" si="6"/>
        <v>0.1056313024</v>
      </c>
      <c r="Q197" s="111">
        <f t="shared" si="7"/>
        <v>0.7092387445</v>
      </c>
      <c r="R197" s="140">
        <f t="shared" si="72"/>
        <v>81.89</v>
      </c>
      <c r="S197" s="113">
        <f t="shared" si="9"/>
        <v>5.95</v>
      </c>
      <c r="T197" s="172"/>
      <c r="U197" s="172"/>
      <c r="V197" s="172"/>
      <c r="W197" s="172"/>
      <c r="X197" s="173"/>
      <c r="Y197" s="165"/>
      <c r="Z197" s="165"/>
    </row>
    <row r="198" hidden="1" outlineLevel="1">
      <c r="A198" s="192"/>
      <c r="B198" s="174"/>
      <c r="C198" s="142" t="s">
        <v>45</v>
      </c>
      <c r="D198" s="101">
        <v>0.0</v>
      </c>
      <c r="E198" s="103">
        <v>0.0</v>
      </c>
      <c r="F198" s="103">
        <v>0.0</v>
      </c>
      <c r="G198" s="104" t="str">
        <f t="shared" si="1"/>
        <v>#DIV/0!</v>
      </c>
      <c r="H198" s="105" t="str">
        <f t="shared" si="2"/>
        <v>#DIV/0!</v>
      </c>
      <c r="I198" s="106" t="str">
        <f t="shared" si="3"/>
        <v>#DIV/0!</v>
      </c>
      <c r="J198" s="101">
        <v>0.0</v>
      </c>
      <c r="K198" s="103">
        <v>0.0</v>
      </c>
      <c r="L198" s="103">
        <v>0.0</v>
      </c>
      <c r="M198" s="108">
        <v>0.0</v>
      </c>
      <c r="N198" s="109" t="str">
        <f t="shared" si="73"/>
        <v>#DIV/0!</v>
      </c>
      <c r="O198" s="110" t="str">
        <f t="shared" si="5"/>
        <v>#DIV/0!</v>
      </c>
      <c r="P198" s="109" t="str">
        <f t="shared" si="6"/>
        <v>#DIV/0!</v>
      </c>
      <c r="Q198" s="111" t="str">
        <f t="shared" si="7"/>
        <v>#DIV/0!</v>
      </c>
      <c r="R198" s="112">
        <f t="shared" si="72"/>
        <v>0</v>
      </c>
      <c r="S198" s="113" t="str">
        <f t="shared" si="9"/>
        <v>#DIV/0!</v>
      </c>
      <c r="T198" s="193"/>
      <c r="U198" s="193"/>
      <c r="V198" s="193"/>
      <c r="W198" s="194"/>
      <c r="X198" s="195"/>
      <c r="Y198" s="165"/>
      <c r="Z198" s="165"/>
    </row>
    <row r="199" hidden="1" outlineLevel="1">
      <c r="A199" s="165"/>
      <c r="B199" s="174"/>
      <c r="C199" s="100" t="s">
        <v>46</v>
      </c>
      <c r="D199" s="146">
        <v>404.55</v>
      </c>
      <c r="E199" s="103">
        <v>9.0</v>
      </c>
      <c r="F199" s="103">
        <v>10.0</v>
      </c>
      <c r="G199" s="104">
        <f t="shared" si="1"/>
        <v>0.9</v>
      </c>
      <c r="H199" s="105">
        <f t="shared" si="2"/>
        <v>44.95</v>
      </c>
      <c r="I199" s="106">
        <f t="shared" si="3"/>
        <v>49.94444444</v>
      </c>
      <c r="J199" s="146">
        <v>75.45</v>
      </c>
      <c r="K199" s="103">
        <v>33347.0</v>
      </c>
      <c r="L199" s="103">
        <v>2.0</v>
      </c>
      <c r="M199" s="147">
        <v>89.9</v>
      </c>
      <c r="N199" s="109">
        <f t="shared" si="73"/>
        <v>0.8392658509</v>
      </c>
      <c r="O199" s="110">
        <f t="shared" si="5"/>
        <v>1.191517561</v>
      </c>
      <c r="P199" s="109">
        <f t="shared" si="6"/>
        <v>0.1865035224</v>
      </c>
      <c r="Q199" s="111">
        <f t="shared" si="7"/>
        <v>0.2222222222</v>
      </c>
      <c r="R199" s="112">
        <f t="shared" si="72"/>
        <v>314.65</v>
      </c>
      <c r="S199" s="113">
        <f t="shared" si="9"/>
        <v>37.725</v>
      </c>
      <c r="T199" s="172"/>
      <c r="U199" s="172"/>
      <c r="V199" s="172"/>
      <c r="W199" s="172"/>
      <c r="X199" s="173"/>
      <c r="Y199" s="165"/>
      <c r="Z199" s="165"/>
    </row>
    <row r="200" hidden="1" outlineLevel="1">
      <c r="A200" s="165"/>
      <c r="B200" s="174"/>
      <c r="C200" s="100" t="s">
        <v>49</v>
      </c>
      <c r="D200" s="146">
        <v>0.0</v>
      </c>
      <c r="E200" s="103">
        <v>0.0</v>
      </c>
      <c r="F200" s="103">
        <v>0.0</v>
      </c>
      <c r="G200" s="104" t="str">
        <f t="shared" si="1"/>
        <v>#DIV/0!</v>
      </c>
      <c r="H200" s="105" t="str">
        <f t="shared" si="2"/>
        <v>#DIV/0!</v>
      </c>
      <c r="I200" s="106" t="str">
        <f t="shared" si="3"/>
        <v>#DIV/0!</v>
      </c>
      <c r="J200" s="146">
        <v>10.06</v>
      </c>
      <c r="K200" s="103">
        <v>8353.0</v>
      </c>
      <c r="L200" s="103">
        <v>0.0</v>
      </c>
      <c r="M200" s="147">
        <v>0.0</v>
      </c>
      <c r="N200" s="109" t="str">
        <f t="shared" si="73"/>
        <v>#DIV/0!</v>
      </c>
      <c r="O200" s="110">
        <f t="shared" si="5"/>
        <v>0</v>
      </c>
      <c r="P200" s="109" t="str">
        <f t="shared" si="6"/>
        <v>#DIV/0!</v>
      </c>
      <c r="Q200" s="111" t="str">
        <f t="shared" si="7"/>
        <v>#DIV/0!</v>
      </c>
      <c r="R200" s="112">
        <f t="shared" si="72"/>
        <v>0</v>
      </c>
      <c r="S200" s="113" t="str">
        <f t="shared" si="9"/>
        <v>#DIV/0!</v>
      </c>
      <c r="T200" s="172"/>
      <c r="U200" s="172"/>
      <c r="V200" s="172"/>
      <c r="W200" s="172"/>
      <c r="X200" s="173"/>
      <c r="Y200" s="165"/>
      <c r="Z200" s="165"/>
    </row>
    <row r="201" hidden="1" outlineLevel="1">
      <c r="A201" s="148" t="str">
        <f t="shared" ref="A201:A202" si="74">iferror(if(B201&gt;0,month(B201)&amp;"-"&amp;year(B201),B201),)</f>
        <v>5-2025</v>
      </c>
      <c r="B201" s="99">
        <v>45780.0</v>
      </c>
      <c r="C201" s="277" t="s">
        <v>67</v>
      </c>
      <c r="D201" s="146">
        <v>0.0</v>
      </c>
      <c r="E201" s="103">
        <v>0.0</v>
      </c>
      <c r="F201" s="103">
        <v>0.0</v>
      </c>
      <c r="G201" s="104" t="str">
        <f t="shared" si="1"/>
        <v>#DIV/0!</v>
      </c>
      <c r="H201" s="105" t="str">
        <f t="shared" si="2"/>
        <v>#DIV/0!</v>
      </c>
      <c r="I201" s="106" t="str">
        <f t="shared" si="3"/>
        <v>#DIV/0!</v>
      </c>
      <c r="J201" s="117">
        <v>136.23</v>
      </c>
      <c r="K201" s="409">
        <v>30732.0</v>
      </c>
      <c r="L201" s="412">
        <v>0.0</v>
      </c>
      <c r="M201" s="118">
        <v>334.84999999999997</v>
      </c>
      <c r="N201" s="109">
        <f t="shared" si="73"/>
        <v>0.4068388831</v>
      </c>
      <c r="O201" s="110">
        <f t="shared" si="5"/>
        <v>2.457975483</v>
      </c>
      <c r="P201" s="109" t="str">
        <f t="shared" si="6"/>
        <v>#DIV/0!</v>
      </c>
      <c r="Q201" s="111" t="str">
        <f t="shared" si="7"/>
        <v>#DIV/0!</v>
      </c>
      <c r="R201" s="112">
        <f t="shared" si="72"/>
        <v>-334.85</v>
      </c>
      <c r="S201" s="113" t="str">
        <f t="shared" si="9"/>
        <v>#DIV/0!</v>
      </c>
      <c r="T201" s="172"/>
      <c r="U201" s="172"/>
      <c r="V201" s="172"/>
      <c r="W201" s="172"/>
      <c r="X201" s="173"/>
      <c r="Y201" s="165"/>
      <c r="Z201" s="165"/>
    </row>
    <row r="202" collapsed="1">
      <c r="A202" s="165" t="str">
        <f t="shared" si="74"/>
        <v/>
      </c>
      <c r="B202" s="80" t="s">
        <v>105</v>
      </c>
      <c r="C202" s="201"/>
      <c r="D202" s="151">
        <f t="shared" ref="D202:F202" si="75">SUM(D184:D201)</f>
        <v>6116.09</v>
      </c>
      <c r="E202" s="153">
        <f t="shared" si="75"/>
        <v>66</v>
      </c>
      <c r="F202" s="153">
        <f t="shared" si="75"/>
        <v>74</v>
      </c>
      <c r="G202" s="154">
        <f t="shared" si="1"/>
        <v>0.8918918919</v>
      </c>
      <c r="H202" s="155">
        <f t="shared" si="2"/>
        <v>92.6680303</v>
      </c>
      <c r="I202" s="156">
        <f t="shared" si="3"/>
        <v>103.9005188</v>
      </c>
      <c r="J202" s="151">
        <f t="shared" ref="J202:M202" si="76">SUM(J184:J201)</f>
        <v>836.47</v>
      </c>
      <c r="K202" s="153">
        <f t="shared" si="76"/>
        <v>291440</v>
      </c>
      <c r="L202" s="153">
        <f t="shared" si="76"/>
        <v>21</v>
      </c>
      <c r="M202" s="157">
        <f t="shared" si="76"/>
        <v>1369.19</v>
      </c>
      <c r="N202" s="158">
        <f t="shared" si="73"/>
        <v>0.6109232466</v>
      </c>
      <c r="O202" s="159">
        <f t="shared" si="5"/>
        <v>1.636866833</v>
      </c>
      <c r="P202" s="158">
        <f t="shared" si="6"/>
        <v>0.1367654825</v>
      </c>
      <c r="Q202" s="160">
        <f t="shared" si="7"/>
        <v>0.2238668823</v>
      </c>
      <c r="R202" s="161">
        <f>SUM(R184:R201)</f>
        <v>4746.9</v>
      </c>
      <c r="S202" s="162">
        <f t="shared" si="9"/>
        <v>39.83190476</v>
      </c>
      <c r="T202" s="399">
        <f t="shared" ref="T202:U202" si="77">IFERROR((D202-D69)/D202,)</f>
        <v>-0.2395697251</v>
      </c>
      <c r="U202" s="399">
        <f t="shared" si="77"/>
        <v>-0.4242424242</v>
      </c>
      <c r="V202" s="398" t="str">
        <f t="shared" ref="V202:W202" si="78">IFERROR((D202-#REF!)/D202, )</f>
        <v/>
      </c>
      <c r="W202" s="398" t="str">
        <f t="shared" si="78"/>
        <v/>
      </c>
      <c r="X202" s="165"/>
      <c r="Y202" s="165"/>
      <c r="Z202" s="165"/>
    </row>
    <row r="203" hidden="1" outlineLevel="1">
      <c r="A203" s="165"/>
      <c r="B203" s="99">
        <v>45781.0</v>
      </c>
      <c r="C203" s="100" t="s">
        <v>32</v>
      </c>
      <c r="D203" s="101">
        <v>342.79</v>
      </c>
      <c r="E203" s="103">
        <v>3.0</v>
      </c>
      <c r="F203" s="103">
        <v>9.0</v>
      </c>
      <c r="G203" s="104">
        <f t="shared" si="1"/>
        <v>0.3333333333</v>
      </c>
      <c r="H203" s="105">
        <f t="shared" si="2"/>
        <v>114.2633333</v>
      </c>
      <c r="I203" s="106">
        <f t="shared" si="3"/>
        <v>342.79</v>
      </c>
      <c r="J203" s="107">
        <v>242.37</v>
      </c>
      <c r="K203" s="103">
        <v>71806.0</v>
      </c>
      <c r="L203" s="103">
        <v>2.0</v>
      </c>
      <c r="M203" s="108">
        <v>194.9</v>
      </c>
      <c r="N203" s="109">
        <f t="shared" si="73"/>
        <v>1.2435608</v>
      </c>
      <c r="O203" s="110">
        <f t="shared" si="5"/>
        <v>0.8041424269</v>
      </c>
      <c r="P203" s="109">
        <f t="shared" si="6"/>
        <v>0.7070509641</v>
      </c>
      <c r="Q203" s="111">
        <f t="shared" si="7"/>
        <v>0.5685696782</v>
      </c>
      <c r="R203" s="112">
        <f t="shared" ref="R203:R220" si="79">D203-M203</f>
        <v>147.89</v>
      </c>
      <c r="S203" s="113">
        <f t="shared" si="9"/>
        <v>121.185</v>
      </c>
      <c r="T203" s="172"/>
      <c r="U203" s="172"/>
      <c r="V203" s="172"/>
      <c r="W203" s="172"/>
      <c r="X203" s="173"/>
      <c r="Y203" s="165"/>
      <c r="Z203" s="165"/>
    </row>
    <row r="204" hidden="1" outlineLevel="1">
      <c r="A204" s="165"/>
      <c r="B204" s="174"/>
      <c r="C204" s="100" t="s">
        <v>33</v>
      </c>
      <c r="D204" s="117">
        <v>384.65</v>
      </c>
      <c r="E204" s="103">
        <v>7.0</v>
      </c>
      <c r="F204" s="103">
        <v>9.0</v>
      </c>
      <c r="G204" s="104">
        <f t="shared" si="1"/>
        <v>0.7777777778</v>
      </c>
      <c r="H204" s="105">
        <f t="shared" si="2"/>
        <v>54.95</v>
      </c>
      <c r="I204" s="106">
        <f t="shared" si="3"/>
        <v>70.65</v>
      </c>
      <c r="J204" s="117">
        <v>227.73</v>
      </c>
      <c r="K204" s="103">
        <v>80914.0</v>
      </c>
      <c r="L204" s="103">
        <v>3.0</v>
      </c>
      <c r="M204" s="118">
        <v>99.9</v>
      </c>
      <c r="N204" s="109">
        <f t="shared" si="73"/>
        <v>2.27957958</v>
      </c>
      <c r="O204" s="110">
        <f t="shared" si="5"/>
        <v>0.4386773811</v>
      </c>
      <c r="P204" s="109">
        <f t="shared" si="6"/>
        <v>0.592044716</v>
      </c>
      <c r="Q204" s="111">
        <f t="shared" si="7"/>
        <v>0.2597166255</v>
      </c>
      <c r="R204" s="119">
        <f t="shared" si="79"/>
        <v>284.75</v>
      </c>
      <c r="S204" s="113">
        <f t="shared" si="9"/>
        <v>75.91</v>
      </c>
      <c r="T204" s="172"/>
      <c r="U204" s="172"/>
      <c r="V204" s="172"/>
      <c r="W204" s="172"/>
      <c r="X204" s="173"/>
      <c r="Y204" s="165"/>
      <c r="Z204" s="165"/>
    </row>
    <row r="205" hidden="1" outlineLevel="1">
      <c r="A205" s="165"/>
      <c r="B205" s="174"/>
      <c r="C205" s="100" t="s">
        <v>34</v>
      </c>
      <c r="D205" s="120">
        <v>0.0</v>
      </c>
      <c r="E205" s="103">
        <v>0.0</v>
      </c>
      <c r="F205" s="103">
        <v>0.0</v>
      </c>
      <c r="G205" s="104" t="str">
        <f t="shared" si="1"/>
        <v>#DIV/0!</v>
      </c>
      <c r="H205" s="105" t="str">
        <f t="shared" si="2"/>
        <v>#DIV/0!</v>
      </c>
      <c r="I205" s="106" t="str">
        <f t="shared" si="3"/>
        <v>#DIV/0!</v>
      </c>
      <c r="J205" s="120">
        <v>0.0</v>
      </c>
      <c r="K205" s="103">
        <v>0.0</v>
      </c>
      <c r="L205" s="103">
        <v>0.0</v>
      </c>
      <c r="M205" s="121">
        <v>0.0</v>
      </c>
      <c r="N205" s="109" t="str">
        <f>(J205/M205)</f>
        <v>#DIV/0!</v>
      </c>
      <c r="O205" s="110" t="str">
        <f t="shared" si="5"/>
        <v>#DIV/0!</v>
      </c>
      <c r="P205" s="109" t="str">
        <f t="shared" si="6"/>
        <v>#DIV/0!</v>
      </c>
      <c r="Q205" s="111" t="str">
        <f t="shared" si="7"/>
        <v>#DIV/0!</v>
      </c>
      <c r="R205" s="122">
        <f t="shared" si="79"/>
        <v>0</v>
      </c>
      <c r="S205" s="113" t="str">
        <f t="shared" si="9"/>
        <v>#DIV/0!</v>
      </c>
      <c r="T205" s="172"/>
      <c r="U205" s="172"/>
      <c r="V205" s="172"/>
      <c r="W205" s="172"/>
      <c r="X205" s="173"/>
      <c r="Y205" s="165"/>
      <c r="Z205" s="165"/>
    </row>
    <row r="206" hidden="1" outlineLevel="1">
      <c r="A206" s="165"/>
      <c r="B206" s="174"/>
      <c r="C206" s="100" t="s">
        <v>35</v>
      </c>
      <c r="D206" s="120">
        <v>188.85</v>
      </c>
      <c r="E206" s="103">
        <v>3.0</v>
      </c>
      <c r="F206" s="103">
        <v>3.0</v>
      </c>
      <c r="G206" s="104">
        <f t="shared" si="1"/>
        <v>1</v>
      </c>
      <c r="H206" s="105">
        <f t="shared" si="2"/>
        <v>62.95</v>
      </c>
      <c r="I206" s="106">
        <f t="shared" si="3"/>
        <v>62.95</v>
      </c>
      <c r="J206" s="120">
        <v>0.0</v>
      </c>
      <c r="K206" s="103">
        <v>0.0</v>
      </c>
      <c r="L206" s="103">
        <v>0.0</v>
      </c>
      <c r="M206" s="121">
        <v>0.0</v>
      </c>
      <c r="N206" s="109" t="str">
        <f t="shared" ref="N206:N223" si="80">J206/M206</f>
        <v>#DIV/0!</v>
      </c>
      <c r="O206" s="110" t="str">
        <f t="shared" si="5"/>
        <v>#DIV/0!</v>
      </c>
      <c r="P206" s="109">
        <f t="shared" si="6"/>
        <v>0</v>
      </c>
      <c r="Q206" s="111">
        <f t="shared" si="7"/>
        <v>0</v>
      </c>
      <c r="R206" s="122">
        <f t="shared" si="79"/>
        <v>188.85</v>
      </c>
      <c r="S206" s="113" t="str">
        <f t="shared" si="9"/>
        <v>#DIV/0!</v>
      </c>
      <c r="T206" s="172"/>
      <c r="U206" s="172"/>
      <c r="V206" s="172"/>
      <c r="W206" s="172"/>
      <c r="X206" s="173"/>
      <c r="Y206" s="165"/>
      <c r="Z206" s="165"/>
    </row>
    <row r="207" hidden="1" outlineLevel="1">
      <c r="A207" s="165"/>
      <c r="B207" s="174"/>
      <c r="C207" s="100" t="s">
        <v>65</v>
      </c>
      <c r="D207" s="300">
        <v>0.0</v>
      </c>
      <c r="E207" s="103">
        <v>0.0</v>
      </c>
      <c r="F207" s="103">
        <v>0.0</v>
      </c>
      <c r="G207" s="104" t="str">
        <f t="shared" si="1"/>
        <v>#DIV/0!</v>
      </c>
      <c r="H207" s="105" t="str">
        <f t="shared" si="2"/>
        <v>#DIV/0!</v>
      </c>
      <c r="I207" s="106" t="str">
        <f t="shared" si="3"/>
        <v>#DIV/0!</v>
      </c>
      <c r="J207" s="300">
        <v>0.0</v>
      </c>
      <c r="K207" s="103">
        <v>0.0</v>
      </c>
      <c r="L207" s="103">
        <v>0.0</v>
      </c>
      <c r="M207" s="300">
        <v>0.0</v>
      </c>
      <c r="N207" s="109" t="str">
        <f t="shared" si="80"/>
        <v>#DIV/0!</v>
      </c>
      <c r="O207" s="110" t="str">
        <f t="shared" si="5"/>
        <v>#DIV/0!</v>
      </c>
      <c r="P207" s="109" t="str">
        <f t="shared" si="6"/>
        <v>#DIV/0!</v>
      </c>
      <c r="Q207" s="111" t="str">
        <f t="shared" si="7"/>
        <v>#DIV/0!</v>
      </c>
      <c r="R207" s="122">
        <f t="shared" si="79"/>
        <v>0</v>
      </c>
      <c r="S207" s="113" t="str">
        <f t="shared" si="9"/>
        <v>#DIV/0!</v>
      </c>
      <c r="T207" s="172"/>
      <c r="U207" s="172"/>
      <c r="V207" s="172"/>
      <c r="W207" s="172"/>
      <c r="X207" s="173"/>
      <c r="Y207" s="165"/>
      <c r="Z207" s="165"/>
    </row>
    <row r="208" hidden="1" outlineLevel="1">
      <c r="A208" s="165"/>
      <c r="B208" s="174"/>
      <c r="C208" s="100" t="s">
        <v>85</v>
      </c>
      <c r="D208" s="302">
        <v>0.0</v>
      </c>
      <c r="E208" s="103">
        <v>0.0</v>
      </c>
      <c r="F208" s="103">
        <v>0.0</v>
      </c>
      <c r="G208" s="104" t="str">
        <f t="shared" si="1"/>
        <v>#DIV/0!</v>
      </c>
      <c r="H208" s="105" t="str">
        <f t="shared" si="2"/>
        <v>#DIV/0!</v>
      </c>
      <c r="I208" s="106" t="str">
        <f t="shared" si="3"/>
        <v>#DIV/0!</v>
      </c>
      <c r="J208" s="302">
        <v>0.0</v>
      </c>
      <c r="K208" s="103">
        <v>0.0</v>
      </c>
      <c r="L208" s="103">
        <v>0.0</v>
      </c>
      <c r="M208" s="303">
        <v>0.0</v>
      </c>
      <c r="N208" s="109" t="str">
        <f t="shared" si="80"/>
        <v>#DIV/0!</v>
      </c>
      <c r="O208" s="110" t="str">
        <f t="shared" si="5"/>
        <v>#DIV/0!</v>
      </c>
      <c r="P208" s="109" t="str">
        <f t="shared" si="6"/>
        <v>#DIV/0!</v>
      </c>
      <c r="Q208" s="111" t="str">
        <f t="shared" si="7"/>
        <v>#DIV/0!</v>
      </c>
      <c r="R208" s="304">
        <f t="shared" si="79"/>
        <v>0</v>
      </c>
      <c r="S208" s="113" t="str">
        <f t="shared" si="9"/>
        <v>#DIV/0!</v>
      </c>
      <c r="T208" s="172"/>
      <c r="U208" s="172"/>
      <c r="V208" s="172"/>
      <c r="W208" s="172"/>
      <c r="X208" s="173"/>
      <c r="Y208" s="165"/>
      <c r="Z208" s="165"/>
    </row>
    <row r="209" hidden="1" outlineLevel="1">
      <c r="A209" s="165"/>
      <c r="B209" s="174"/>
      <c r="C209" s="100" t="s">
        <v>36</v>
      </c>
      <c r="D209" s="120">
        <v>139.9</v>
      </c>
      <c r="E209" s="103">
        <v>2.0</v>
      </c>
      <c r="F209" s="103">
        <v>2.0</v>
      </c>
      <c r="G209" s="104">
        <f t="shared" si="1"/>
        <v>1</v>
      </c>
      <c r="H209" s="105">
        <f t="shared" si="2"/>
        <v>69.95</v>
      </c>
      <c r="I209" s="106">
        <f t="shared" si="3"/>
        <v>69.95</v>
      </c>
      <c r="J209" s="120">
        <v>20.34</v>
      </c>
      <c r="K209" s="103">
        <v>4695.0</v>
      </c>
      <c r="L209" s="103">
        <v>0.0</v>
      </c>
      <c r="M209" s="121">
        <v>0.0</v>
      </c>
      <c r="N209" s="109" t="str">
        <f t="shared" si="80"/>
        <v>#DIV/0!</v>
      </c>
      <c r="O209" s="110">
        <f t="shared" si="5"/>
        <v>0</v>
      </c>
      <c r="P209" s="109">
        <f t="shared" si="6"/>
        <v>0.145389564</v>
      </c>
      <c r="Q209" s="111">
        <f t="shared" si="7"/>
        <v>0</v>
      </c>
      <c r="R209" s="122">
        <f t="shared" si="79"/>
        <v>139.9</v>
      </c>
      <c r="S209" s="113" t="str">
        <f t="shared" si="9"/>
        <v>#DIV/0!</v>
      </c>
      <c r="T209" s="172"/>
      <c r="U209" s="172"/>
      <c r="V209" s="172"/>
      <c r="W209" s="172"/>
      <c r="X209" s="173"/>
      <c r="Y209" s="165"/>
      <c r="Z209" s="165"/>
    </row>
    <row r="210" hidden="1" outlineLevel="1">
      <c r="A210" s="165"/>
      <c r="B210" s="99" t="s">
        <v>37</v>
      </c>
      <c r="C210" s="100" t="s">
        <v>38</v>
      </c>
      <c r="D210" s="123">
        <v>144.85</v>
      </c>
      <c r="E210" s="103">
        <v>3.0</v>
      </c>
      <c r="F210" s="103">
        <v>2.0</v>
      </c>
      <c r="G210" s="104">
        <f t="shared" si="1"/>
        <v>1.5</v>
      </c>
      <c r="H210" s="105">
        <f t="shared" si="2"/>
        <v>48.28333333</v>
      </c>
      <c r="I210" s="106">
        <f t="shared" si="3"/>
        <v>32.18888889</v>
      </c>
      <c r="J210" s="123">
        <v>45.33</v>
      </c>
      <c r="K210" s="103">
        <v>9084.0</v>
      </c>
      <c r="L210" s="103">
        <v>2.0</v>
      </c>
      <c r="M210" s="124">
        <v>59.9</v>
      </c>
      <c r="N210" s="109">
        <f t="shared" si="80"/>
        <v>0.7567612688</v>
      </c>
      <c r="O210" s="110">
        <f t="shared" si="5"/>
        <v>1.321420693</v>
      </c>
      <c r="P210" s="109">
        <f t="shared" si="6"/>
        <v>0.3129444253</v>
      </c>
      <c r="Q210" s="111">
        <f t="shared" si="7"/>
        <v>0.4135312392</v>
      </c>
      <c r="R210" s="125">
        <f t="shared" si="79"/>
        <v>84.95</v>
      </c>
      <c r="S210" s="113">
        <f t="shared" si="9"/>
        <v>22.665</v>
      </c>
      <c r="T210" s="172"/>
      <c r="U210" s="172"/>
      <c r="V210" s="172"/>
      <c r="W210" s="172"/>
      <c r="X210" s="173"/>
      <c r="Y210" s="165"/>
      <c r="Z210" s="165"/>
    </row>
    <row r="211" hidden="1" outlineLevel="1">
      <c r="A211" s="165"/>
      <c r="B211" s="174"/>
      <c r="C211" s="100" t="s">
        <v>39</v>
      </c>
      <c r="D211" s="126">
        <v>284.89</v>
      </c>
      <c r="E211" s="103">
        <v>3.0</v>
      </c>
      <c r="F211" s="103">
        <v>3.0</v>
      </c>
      <c r="G211" s="104">
        <f t="shared" si="1"/>
        <v>1</v>
      </c>
      <c r="H211" s="105">
        <f t="shared" si="2"/>
        <v>94.96333333</v>
      </c>
      <c r="I211" s="106">
        <f t="shared" si="3"/>
        <v>94.96333333</v>
      </c>
      <c r="J211" s="126">
        <v>0.0</v>
      </c>
      <c r="K211" s="103">
        <v>0.0</v>
      </c>
      <c r="L211" s="103">
        <v>0.0</v>
      </c>
      <c r="M211" s="127">
        <v>0.0</v>
      </c>
      <c r="N211" s="109" t="str">
        <f t="shared" si="80"/>
        <v>#DIV/0!</v>
      </c>
      <c r="O211" s="110" t="str">
        <f t="shared" si="5"/>
        <v>#DIV/0!</v>
      </c>
      <c r="P211" s="109">
        <f t="shared" si="6"/>
        <v>0</v>
      </c>
      <c r="Q211" s="111">
        <f t="shared" si="7"/>
        <v>0</v>
      </c>
      <c r="R211" s="128">
        <f t="shared" si="79"/>
        <v>284.89</v>
      </c>
      <c r="S211" s="113" t="str">
        <f t="shared" si="9"/>
        <v>#DIV/0!</v>
      </c>
      <c r="T211" s="172"/>
      <c r="U211" s="172"/>
      <c r="V211" s="172"/>
      <c r="W211" s="172"/>
      <c r="X211" s="173"/>
      <c r="Y211" s="165"/>
      <c r="Z211" s="165"/>
    </row>
    <row r="212" hidden="1" outlineLevel="1">
      <c r="A212" s="165"/>
      <c r="B212" s="174"/>
      <c r="C212" s="100" t="s">
        <v>40</v>
      </c>
      <c r="D212" s="129">
        <v>0.0</v>
      </c>
      <c r="E212" s="103">
        <v>0.0</v>
      </c>
      <c r="F212" s="103">
        <v>0.0</v>
      </c>
      <c r="G212" s="104" t="str">
        <f t="shared" si="1"/>
        <v>#DIV/0!</v>
      </c>
      <c r="H212" s="105" t="str">
        <f t="shared" si="2"/>
        <v>#DIV/0!</v>
      </c>
      <c r="I212" s="106" t="str">
        <f t="shared" si="3"/>
        <v>#DIV/0!</v>
      </c>
      <c r="J212" s="129">
        <v>0.0</v>
      </c>
      <c r="K212" s="103">
        <v>0.0</v>
      </c>
      <c r="L212" s="103">
        <v>0.0</v>
      </c>
      <c r="M212" s="130">
        <v>0.0</v>
      </c>
      <c r="N212" s="109" t="str">
        <f t="shared" si="80"/>
        <v>#DIV/0!</v>
      </c>
      <c r="O212" s="110" t="str">
        <f t="shared" si="5"/>
        <v>#DIV/0!</v>
      </c>
      <c r="P212" s="109" t="str">
        <f t="shared" si="6"/>
        <v>#DIV/0!</v>
      </c>
      <c r="Q212" s="111" t="str">
        <f t="shared" si="7"/>
        <v>#DIV/0!</v>
      </c>
      <c r="R212" s="131">
        <f t="shared" si="79"/>
        <v>0</v>
      </c>
      <c r="S212" s="113" t="str">
        <f t="shared" si="9"/>
        <v>#DIV/0!</v>
      </c>
      <c r="T212" s="172"/>
      <c r="U212" s="172"/>
      <c r="V212" s="172"/>
      <c r="W212" s="172"/>
      <c r="X212" s="173"/>
      <c r="Y212" s="165"/>
      <c r="Z212" s="165"/>
    </row>
    <row r="213" hidden="1" outlineLevel="1">
      <c r="A213" s="165"/>
      <c r="B213" s="174"/>
      <c r="C213" s="100" t="s">
        <v>41</v>
      </c>
      <c r="D213" s="132">
        <v>0.0</v>
      </c>
      <c r="E213" s="103">
        <v>0.0</v>
      </c>
      <c r="F213" s="103">
        <v>0.0</v>
      </c>
      <c r="G213" s="104" t="str">
        <f t="shared" si="1"/>
        <v>#DIV/0!</v>
      </c>
      <c r="H213" s="105" t="str">
        <f t="shared" si="2"/>
        <v>#DIV/0!</v>
      </c>
      <c r="I213" s="106" t="str">
        <f t="shared" si="3"/>
        <v>#DIV/0!</v>
      </c>
      <c r="J213" s="132">
        <v>0.0</v>
      </c>
      <c r="K213" s="103">
        <v>0.0</v>
      </c>
      <c r="L213" s="103">
        <v>0.0</v>
      </c>
      <c r="M213" s="133">
        <v>0.0</v>
      </c>
      <c r="N213" s="109" t="str">
        <f t="shared" si="80"/>
        <v>#DIV/0!</v>
      </c>
      <c r="O213" s="110" t="str">
        <f t="shared" si="5"/>
        <v>#DIV/0!</v>
      </c>
      <c r="P213" s="109" t="str">
        <f t="shared" si="6"/>
        <v>#DIV/0!</v>
      </c>
      <c r="Q213" s="111" t="str">
        <f t="shared" si="7"/>
        <v>#DIV/0!</v>
      </c>
      <c r="R213" s="134">
        <f t="shared" si="79"/>
        <v>0</v>
      </c>
      <c r="S213" s="113" t="str">
        <f t="shared" si="9"/>
        <v>#DIV/0!</v>
      </c>
      <c r="T213" s="172"/>
      <c r="U213" s="172"/>
      <c r="V213" s="172"/>
      <c r="W213" s="172"/>
      <c r="X213" s="173"/>
      <c r="Y213" s="165"/>
      <c r="Z213" s="165"/>
    </row>
    <row r="214" hidden="1" outlineLevel="1">
      <c r="A214" s="165"/>
      <c r="B214" s="174"/>
      <c r="C214" s="100" t="s">
        <v>42</v>
      </c>
      <c r="D214" s="120">
        <v>0.0</v>
      </c>
      <c r="E214" s="103">
        <v>0.0</v>
      </c>
      <c r="F214" s="103">
        <v>0.0</v>
      </c>
      <c r="G214" s="104" t="str">
        <f t="shared" si="1"/>
        <v>#DIV/0!</v>
      </c>
      <c r="H214" s="105" t="str">
        <f t="shared" si="2"/>
        <v>#DIV/0!</v>
      </c>
      <c r="I214" s="106" t="str">
        <f t="shared" si="3"/>
        <v>#DIV/0!</v>
      </c>
      <c r="J214" s="120">
        <v>4.5</v>
      </c>
      <c r="K214" s="103">
        <v>13522.0</v>
      </c>
      <c r="L214" s="103">
        <v>0.0</v>
      </c>
      <c r="M214" s="121">
        <v>0.0</v>
      </c>
      <c r="N214" s="109" t="str">
        <f t="shared" si="80"/>
        <v>#DIV/0!</v>
      </c>
      <c r="O214" s="110">
        <f t="shared" si="5"/>
        <v>0</v>
      </c>
      <c r="P214" s="109" t="str">
        <f t="shared" si="6"/>
        <v>#DIV/0!</v>
      </c>
      <c r="Q214" s="111" t="str">
        <f t="shared" si="7"/>
        <v>#DIV/0!</v>
      </c>
      <c r="R214" s="122">
        <f t="shared" si="79"/>
        <v>0</v>
      </c>
      <c r="S214" s="113" t="str">
        <f t="shared" si="9"/>
        <v>#DIV/0!</v>
      </c>
      <c r="T214" s="172"/>
      <c r="U214" s="172"/>
      <c r="V214" s="172"/>
      <c r="W214" s="172"/>
      <c r="X214" s="173"/>
      <c r="Y214" s="165"/>
      <c r="Z214" s="165"/>
    </row>
    <row r="215" hidden="1" outlineLevel="1">
      <c r="A215" s="165"/>
      <c r="B215" s="174"/>
      <c r="C215" s="100" t="s">
        <v>43</v>
      </c>
      <c r="D215" s="135">
        <v>154.95</v>
      </c>
      <c r="E215" s="103">
        <v>1.0</v>
      </c>
      <c r="F215" s="103">
        <v>1.0</v>
      </c>
      <c r="G215" s="104">
        <f t="shared" si="1"/>
        <v>1</v>
      </c>
      <c r="H215" s="105">
        <f t="shared" si="2"/>
        <v>154.95</v>
      </c>
      <c r="I215" s="106">
        <f t="shared" si="3"/>
        <v>154.95</v>
      </c>
      <c r="J215" s="135">
        <v>11.4</v>
      </c>
      <c r="K215" s="103">
        <v>21520.0</v>
      </c>
      <c r="L215" s="103">
        <v>0.0</v>
      </c>
      <c r="M215" s="136">
        <v>0.0</v>
      </c>
      <c r="N215" s="109" t="str">
        <f t="shared" si="80"/>
        <v>#DIV/0!</v>
      </c>
      <c r="O215" s="110">
        <f t="shared" si="5"/>
        <v>0</v>
      </c>
      <c r="P215" s="109">
        <f t="shared" si="6"/>
        <v>0.07357212004</v>
      </c>
      <c r="Q215" s="111">
        <f t="shared" si="7"/>
        <v>0</v>
      </c>
      <c r="R215" s="137">
        <f t="shared" si="79"/>
        <v>154.95</v>
      </c>
      <c r="S215" s="113" t="str">
        <f t="shared" si="9"/>
        <v>#DIV/0!</v>
      </c>
      <c r="T215" s="172"/>
      <c r="U215" s="172"/>
      <c r="V215" s="172"/>
      <c r="W215" s="172"/>
      <c r="X215" s="173"/>
      <c r="Y215" s="165"/>
      <c r="Z215" s="165"/>
    </row>
    <row r="216" hidden="1" outlineLevel="1">
      <c r="A216" s="165"/>
      <c r="B216" s="174"/>
      <c r="C216" s="100" t="s">
        <v>44</v>
      </c>
      <c r="D216" s="138">
        <v>279.65</v>
      </c>
      <c r="E216" s="103">
        <v>7.0</v>
      </c>
      <c r="F216" s="103">
        <v>8.0</v>
      </c>
      <c r="G216" s="104">
        <f t="shared" si="1"/>
        <v>0.875</v>
      </c>
      <c r="H216" s="105">
        <f t="shared" si="2"/>
        <v>39.95</v>
      </c>
      <c r="I216" s="106">
        <f t="shared" si="3"/>
        <v>45.65714286</v>
      </c>
      <c r="J216" s="138">
        <v>26.9</v>
      </c>
      <c r="K216" s="103">
        <v>10786.0</v>
      </c>
      <c r="L216" s="103">
        <v>5.0</v>
      </c>
      <c r="M216" s="139">
        <v>199.75</v>
      </c>
      <c r="N216" s="109">
        <f t="shared" si="80"/>
        <v>0.1346683354</v>
      </c>
      <c r="O216" s="110">
        <f t="shared" si="5"/>
        <v>7.425650558</v>
      </c>
      <c r="P216" s="109">
        <f t="shared" si="6"/>
        <v>0.09619166816</v>
      </c>
      <c r="Q216" s="111">
        <f t="shared" si="7"/>
        <v>0.7142857143</v>
      </c>
      <c r="R216" s="140">
        <f t="shared" si="79"/>
        <v>79.9</v>
      </c>
      <c r="S216" s="113">
        <f t="shared" si="9"/>
        <v>5.38</v>
      </c>
      <c r="T216" s="172"/>
      <c r="U216" s="172"/>
      <c r="V216" s="172"/>
      <c r="W216" s="172"/>
      <c r="X216" s="173"/>
      <c r="Y216" s="165"/>
      <c r="Z216" s="165"/>
    </row>
    <row r="217" hidden="1" outlineLevel="1">
      <c r="A217" s="192"/>
      <c r="B217" s="174"/>
      <c r="C217" s="142" t="s">
        <v>45</v>
      </c>
      <c r="D217" s="101">
        <v>0.0</v>
      </c>
      <c r="E217" s="103">
        <v>0.0</v>
      </c>
      <c r="F217" s="103">
        <v>0.0</v>
      </c>
      <c r="G217" s="104" t="str">
        <f t="shared" si="1"/>
        <v>#DIV/0!</v>
      </c>
      <c r="H217" s="105" t="str">
        <f t="shared" si="2"/>
        <v>#DIV/0!</v>
      </c>
      <c r="I217" s="106" t="str">
        <f t="shared" si="3"/>
        <v>#DIV/0!</v>
      </c>
      <c r="J217" s="101">
        <v>0.0</v>
      </c>
      <c r="K217" s="103">
        <v>0.0</v>
      </c>
      <c r="L217" s="103">
        <v>0.0</v>
      </c>
      <c r="M217" s="108">
        <v>0.0</v>
      </c>
      <c r="N217" s="109" t="str">
        <f t="shared" si="80"/>
        <v>#DIV/0!</v>
      </c>
      <c r="O217" s="110" t="str">
        <f t="shared" si="5"/>
        <v>#DIV/0!</v>
      </c>
      <c r="P217" s="109" t="str">
        <f t="shared" si="6"/>
        <v>#DIV/0!</v>
      </c>
      <c r="Q217" s="111" t="str">
        <f t="shared" si="7"/>
        <v>#DIV/0!</v>
      </c>
      <c r="R217" s="112">
        <f t="shared" si="79"/>
        <v>0</v>
      </c>
      <c r="S217" s="113" t="str">
        <f t="shared" si="9"/>
        <v>#DIV/0!</v>
      </c>
      <c r="T217" s="193"/>
      <c r="U217" s="193"/>
      <c r="V217" s="193"/>
      <c r="W217" s="194"/>
      <c r="X217" s="195"/>
      <c r="Y217" s="165"/>
      <c r="Z217" s="165"/>
    </row>
    <row r="218" hidden="1" outlineLevel="1">
      <c r="A218" s="165"/>
      <c r="B218" s="174"/>
      <c r="C218" s="100" t="s">
        <v>46</v>
      </c>
      <c r="D218" s="146">
        <v>544.4</v>
      </c>
      <c r="E218" s="103">
        <v>12.0</v>
      </c>
      <c r="F218" s="103">
        <v>12.0</v>
      </c>
      <c r="G218" s="104">
        <f t="shared" si="1"/>
        <v>1</v>
      </c>
      <c r="H218" s="105">
        <f t="shared" si="2"/>
        <v>45.36666667</v>
      </c>
      <c r="I218" s="106">
        <f t="shared" si="3"/>
        <v>45.36666667</v>
      </c>
      <c r="J218" s="146">
        <v>87.2</v>
      </c>
      <c r="K218" s="103">
        <v>30155.0</v>
      </c>
      <c r="L218" s="103">
        <v>5.0</v>
      </c>
      <c r="M218" s="147">
        <v>224.75</v>
      </c>
      <c r="N218" s="109">
        <f t="shared" si="80"/>
        <v>0.3879866518</v>
      </c>
      <c r="O218" s="110">
        <f t="shared" si="5"/>
        <v>2.577408257</v>
      </c>
      <c r="P218" s="109">
        <f t="shared" si="6"/>
        <v>0.1601763409</v>
      </c>
      <c r="Q218" s="111">
        <f t="shared" si="7"/>
        <v>0.4128398237</v>
      </c>
      <c r="R218" s="112">
        <f t="shared" si="79"/>
        <v>319.65</v>
      </c>
      <c r="S218" s="113">
        <f t="shared" si="9"/>
        <v>17.44</v>
      </c>
      <c r="T218" s="172"/>
      <c r="U218" s="172"/>
      <c r="V218" s="172"/>
      <c r="W218" s="172"/>
      <c r="X218" s="173"/>
      <c r="Y218" s="165"/>
      <c r="Z218" s="165"/>
    </row>
    <row r="219" hidden="1" outlineLevel="1">
      <c r="A219" s="165"/>
      <c r="B219" s="174"/>
      <c r="C219" s="100" t="s">
        <v>49</v>
      </c>
      <c r="D219" s="146">
        <v>0.0</v>
      </c>
      <c r="E219" s="103">
        <v>0.0</v>
      </c>
      <c r="F219" s="103">
        <v>0.0</v>
      </c>
      <c r="G219" s="104" t="str">
        <f t="shared" si="1"/>
        <v>#DIV/0!</v>
      </c>
      <c r="H219" s="105" t="str">
        <f t="shared" si="2"/>
        <v>#DIV/0!</v>
      </c>
      <c r="I219" s="106" t="str">
        <f t="shared" si="3"/>
        <v>#DIV/0!</v>
      </c>
      <c r="J219" s="146">
        <v>1.37</v>
      </c>
      <c r="K219" s="103">
        <v>7445.0</v>
      </c>
      <c r="L219" s="103">
        <v>0.0</v>
      </c>
      <c r="M219" s="147">
        <v>0.0</v>
      </c>
      <c r="N219" s="109" t="str">
        <f t="shared" si="80"/>
        <v>#DIV/0!</v>
      </c>
      <c r="O219" s="110">
        <f t="shared" si="5"/>
        <v>0</v>
      </c>
      <c r="P219" s="109" t="str">
        <f t="shared" si="6"/>
        <v>#DIV/0!</v>
      </c>
      <c r="Q219" s="111" t="str">
        <f t="shared" si="7"/>
        <v>#DIV/0!</v>
      </c>
      <c r="R219" s="112">
        <f t="shared" si="79"/>
        <v>0</v>
      </c>
      <c r="S219" s="113" t="str">
        <f t="shared" si="9"/>
        <v>#DIV/0!</v>
      </c>
      <c r="T219" s="172"/>
      <c r="U219" s="172"/>
      <c r="V219" s="172"/>
      <c r="W219" s="172"/>
      <c r="X219" s="173"/>
      <c r="Y219" s="165"/>
      <c r="Z219" s="165"/>
    </row>
    <row r="220" hidden="1" outlineLevel="1">
      <c r="A220" s="148" t="str">
        <f t="shared" ref="A220:A221" si="81">iferror(if(B220&gt;0,month(B220)&amp;"-"&amp;year(B220),B220),)</f>
        <v>5-2025</v>
      </c>
      <c r="B220" s="99">
        <v>45787.0</v>
      </c>
      <c r="C220" s="277" t="s">
        <v>67</v>
      </c>
      <c r="D220" s="146">
        <v>0.0</v>
      </c>
      <c r="E220" s="103">
        <v>0.0</v>
      </c>
      <c r="F220" s="103">
        <v>0.0</v>
      </c>
      <c r="G220" s="104" t="str">
        <f t="shared" si="1"/>
        <v>#DIV/0!</v>
      </c>
      <c r="H220" s="105" t="str">
        <f t="shared" si="2"/>
        <v>#DIV/0!</v>
      </c>
      <c r="I220" s="106" t="str">
        <f t="shared" si="3"/>
        <v>#DIV/0!</v>
      </c>
      <c r="J220" s="117">
        <v>69.97</v>
      </c>
      <c r="K220" s="409">
        <v>18060.0</v>
      </c>
      <c r="L220" s="412">
        <v>0.0</v>
      </c>
      <c r="M220" s="118">
        <v>598.75</v>
      </c>
      <c r="N220" s="109">
        <f t="shared" si="80"/>
        <v>0.1168601253</v>
      </c>
      <c r="O220" s="110">
        <f t="shared" si="5"/>
        <v>8.557238817</v>
      </c>
      <c r="P220" s="109" t="str">
        <f t="shared" si="6"/>
        <v>#DIV/0!</v>
      </c>
      <c r="Q220" s="111" t="str">
        <f t="shared" si="7"/>
        <v>#DIV/0!</v>
      </c>
      <c r="R220" s="112">
        <f t="shared" si="79"/>
        <v>-598.75</v>
      </c>
      <c r="S220" s="113" t="str">
        <f t="shared" si="9"/>
        <v>#DIV/0!</v>
      </c>
      <c r="T220" s="172"/>
      <c r="U220" s="172"/>
      <c r="V220" s="172"/>
      <c r="W220" s="172"/>
      <c r="X220" s="173"/>
      <c r="Y220" s="165"/>
      <c r="Z220" s="165"/>
    </row>
    <row r="221" collapsed="1">
      <c r="A221" s="165" t="str">
        <f t="shared" si="81"/>
        <v/>
      </c>
      <c r="B221" s="80" t="s">
        <v>106</v>
      </c>
      <c r="C221" s="201"/>
      <c r="D221" s="151">
        <f t="shared" ref="D221:F221" si="82">SUM(D203:D220)</f>
        <v>2464.93</v>
      </c>
      <c r="E221" s="153">
        <f t="shared" si="82"/>
        <v>41</v>
      </c>
      <c r="F221" s="153">
        <f t="shared" si="82"/>
        <v>49</v>
      </c>
      <c r="G221" s="154">
        <f t="shared" si="1"/>
        <v>0.8367346939</v>
      </c>
      <c r="H221" s="155">
        <f t="shared" si="2"/>
        <v>60.1202439</v>
      </c>
      <c r="I221" s="156">
        <f t="shared" si="3"/>
        <v>71.8510232</v>
      </c>
      <c r="J221" s="151">
        <f t="shared" ref="J221:M221" si="83">SUM(J203:J220)</f>
        <v>737.11</v>
      </c>
      <c r="K221" s="153">
        <f t="shared" si="83"/>
        <v>267987</v>
      </c>
      <c r="L221" s="153">
        <f t="shared" si="83"/>
        <v>17</v>
      </c>
      <c r="M221" s="157">
        <f t="shared" si="83"/>
        <v>1377.95</v>
      </c>
      <c r="N221" s="158">
        <f t="shared" si="80"/>
        <v>0.534932327</v>
      </c>
      <c r="O221" s="159">
        <f t="shared" si="5"/>
        <v>1.869395341</v>
      </c>
      <c r="P221" s="158">
        <f t="shared" si="6"/>
        <v>0.2990389179</v>
      </c>
      <c r="Q221" s="160">
        <f t="shared" si="7"/>
        <v>0.5590219601</v>
      </c>
      <c r="R221" s="161">
        <f>SUM(R203:R220)</f>
        <v>1086.98</v>
      </c>
      <c r="S221" s="162">
        <f t="shared" si="9"/>
        <v>43.35941176</v>
      </c>
      <c r="T221" s="399">
        <f t="shared" ref="T221:U221" si="84">IFERROR((D221-D69)/D221,)</f>
        <v>-2.075673549</v>
      </c>
      <c r="U221" s="399">
        <f t="shared" si="84"/>
        <v>-1.292682927</v>
      </c>
      <c r="V221" s="398" t="str">
        <f t="shared" ref="V221:W221" si="85">IFERROR((D221-monthly_reporting_2021!D12)/D221, )</f>
        <v/>
      </c>
      <c r="W221" s="398" t="str">
        <f t="shared" si="85"/>
        <v/>
      </c>
      <c r="X221" s="165"/>
      <c r="Y221" s="165"/>
      <c r="Z221" s="165"/>
    </row>
    <row r="222" hidden="1" outlineLevel="1">
      <c r="A222" s="165"/>
      <c r="B222" s="99">
        <v>45788.0</v>
      </c>
      <c r="C222" s="100" t="s">
        <v>32</v>
      </c>
      <c r="D222" s="101">
        <v>953.0</v>
      </c>
      <c r="E222" s="103">
        <v>2.0</v>
      </c>
      <c r="F222" s="103">
        <v>7.0</v>
      </c>
      <c r="G222" s="104">
        <f t="shared" si="1"/>
        <v>0.2857142857</v>
      </c>
      <c r="H222" s="105">
        <f t="shared" si="2"/>
        <v>476.5</v>
      </c>
      <c r="I222" s="106">
        <f t="shared" si="3"/>
        <v>1667.75</v>
      </c>
      <c r="J222" s="107">
        <v>225.0</v>
      </c>
      <c r="K222" s="103">
        <v>75399.0</v>
      </c>
      <c r="L222" s="103">
        <v>3.0</v>
      </c>
      <c r="M222" s="108">
        <v>543.9</v>
      </c>
      <c r="N222" s="109">
        <f t="shared" si="80"/>
        <v>0.4136789851</v>
      </c>
      <c r="O222" s="110">
        <f t="shared" si="5"/>
        <v>2.417333333</v>
      </c>
      <c r="P222" s="109">
        <f t="shared" si="6"/>
        <v>0.2360965373</v>
      </c>
      <c r="Q222" s="111">
        <f t="shared" si="7"/>
        <v>0.5707240294</v>
      </c>
      <c r="R222" s="112">
        <f t="shared" ref="R222:R239" si="86">D222-M222</f>
        <v>409.1</v>
      </c>
      <c r="S222" s="113">
        <f t="shared" si="9"/>
        <v>75</v>
      </c>
      <c r="T222" s="172"/>
      <c r="U222" s="172"/>
      <c r="V222" s="172"/>
      <c r="W222" s="172"/>
      <c r="X222" s="173"/>
      <c r="Y222" s="165"/>
      <c r="Z222" s="165"/>
    </row>
    <row r="223" hidden="1" outlineLevel="1">
      <c r="A223" s="165"/>
      <c r="B223" s="174"/>
      <c r="C223" s="100" t="s">
        <v>33</v>
      </c>
      <c r="D223" s="117">
        <v>1383.61</v>
      </c>
      <c r="E223" s="103">
        <v>8.0</v>
      </c>
      <c r="F223" s="103">
        <v>11.0</v>
      </c>
      <c r="G223" s="104">
        <f t="shared" si="1"/>
        <v>0.7272727273</v>
      </c>
      <c r="H223" s="105">
        <f t="shared" si="2"/>
        <v>172.95125</v>
      </c>
      <c r="I223" s="106">
        <f t="shared" si="3"/>
        <v>237.8079688</v>
      </c>
      <c r="J223" s="117">
        <v>169.45</v>
      </c>
      <c r="K223" s="103">
        <v>87225.0</v>
      </c>
      <c r="L223" s="103">
        <v>1.0</v>
      </c>
      <c r="M223" s="118">
        <v>495.0</v>
      </c>
      <c r="N223" s="109">
        <f t="shared" si="80"/>
        <v>0.3423232323</v>
      </c>
      <c r="O223" s="110">
        <f t="shared" si="5"/>
        <v>2.921215698</v>
      </c>
      <c r="P223" s="109">
        <f t="shared" si="6"/>
        <v>0.122469482</v>
      </c>
      <c r="Q223" s="111">
        <f t="shared" si="7"/>
        <v>0.3577597733</v>
      </c>
      <c r="R223" s="119">
        <f t="shared" si="86"/>
        <v>888.61</v>
      </c>
      <c r="S223" s="113">
        <f t="shared" si="9"/>
        <v>169.45</v>
      </c>
      <c r="T223" s="172"/>
      <c r="U223" s="172"/>
      <c r="V223" s="172"/>
      <c r="W223" s="172"/>
      <c r="X223" s="173"/>
      <c r="Y223" s="165"/>
      <c r="Z223" s="165"/>
    </row>
    <row r="224" hidden="1" outlineLevel="1">
      <c r="A224" s="165"/>
      <c r="B224" s="174"/>
      <c r="C224" s="100" t="s">
        <v>34</v>
      </c>
      <c r="D224" s="120">
        <v>0.0</v>
      </c>
      <c r="E224" s="103">
        <v>0.0</v>
      </c>
      <c r="F224" s="103">
        <v>0.0</v>
      </c>
      <c r="G224" s="104" t="str">
        <f t="shared" si="1"/>
        <v>#DIV/0!</v>
      </c>
      <c r="H224" s="105" t="str">
        <f t="shared" si="2"/>
        <v>#DIV/0!</v>
      </c>
      <c r="I224" s="106" t="str">
        <f t="shared" si="3"/>
        <v>#DIV/0!</v>
      </c>
      <c r="J224" s="120">
        <v>0.0</v>
      </c>
      <c r="K224" s="103">
        <v>0.0</v>
      </c>
      <c r="L224" s="103">
        <v>0.0</v>
      </c>
      <c r="M224" s="121">
        <v>0.0</v>
      </c>
      <c r="N224" s="109" t="str">
        <f>(J224/M224)</f>
        <v>#DIV/0!</v>
      </c>
      <c r="O224" s="110" t="str">
        <f t="shared" si="5"/>
        <v>#DIV/0!</v>
      </c>
      <c r="P224" s="109" t="str">
        <f t="shared" si="6"/>
        <v>#DIV/0!</v>
      </c>
      <c r="Q224" s="111" t="str">
        <f t="shared" si="7"/>
        <v>#DIV/0!</v>
      </c>
      <c r="R224" s="122">
        <f t="shared" si="86"/>
        <v>0</v>
      </c>
      <c r="S224" s="113" t="str">
        <f t="shared" si="9"/>
        <v>#DIV/0!</v>
      </c>
      <c r="T224" s="172"/>
      <c r="U224" s="172"/>
      <c r="V224" s="172"/>
      <c r="W224" s="172"/>
      <c r="X224" s="173"/>
      <c r="Y224" s="165"/>
      <c r="Z224" s="165"/>
    </row>
    <row r="225" hidden="1" outlineLevel="1">
      <c r="A225" s="165"/>
      <c r="B225" s="174"/>
      <c r="C225" s="100" t="s">
        <v>35</v>
      </c>
      <c r="D225" s="120">
        <v>188.85</v>
      </c>
      <c r="E225" s="103">
        <v>3.0</v>
      </c>
      <c r="F225" s="103">
        <v>4.0</v>
      </c>
      <c r="G225" s="104">
        <f t="shared" si="1"/>
        <v>0.75</v>
      </c>
      <c r="H225" s="105">
        <f t="shared" si="2"/>
        <v>62.95</v>
      </c>
      <c r="I225" s="106">
        <f t="shared" si="3"/>
        <v>83.93333333</v>
      </c>
      <c r="J225" s="120">
        <v>0.0</v>
      </c>
      <c r="K225" s="103">
        <v>0.0</v>
      </c>
      <c r="L225" s="103">
        <v>0.0</v>
      </c>
      <c r="M225" s="121">
        <v>0.0</v>
      </c>
      <c r="N225" s="109" t="str">
        <f t="shared" ref="N225:N242" si="87">J225/M225</f>
        <v>#DIV/0!</v>
      </c>
      <c r="O225" s="110" t="str">
        <f t="shared" si="5"/>
        <v>#DIV/0!</v>
      </c>
      <c r="P225" s="109">
        <f t="shared" si="6"/>
        <v>0</v>
      </c>
      <c r="Q225" s="111">
        <f t="shared" si="7"/>
        <v>0</v>
      </c>
      <c r="R225" s="122">
        <f t="shared" si="86"/>
        <v>188.85</v>
      </c>
      <c r="S225" s="113" t="str">
        <f t="shared" si="9"/>
        <v>#DIV/0!</v>
      </c>
      <c r="T225" s="172"/>
      <c r="U225" s="172"/>
      <c r="V225" s="172"/>
      <c r="W225" s="172"/>
      <c r="X225" s="173"/>
      <c r="Y225" s="165"/>
      <c r="Z225" s="165"/>
    </row>
    <row r="226" hidden="1" outlineLevel="1">
      <c r="A226" s="165"/>
      <c r="B226" s="174"/>
      <c r="C226" s="100" t="s">
        <v>65</v>
      </c>
      <c r="D226" s="300">
        <v>0.0</v>
      </c>
      <c r="E226" s="103">
        <v>0.0</v>
      </c>
      <c r="F226" s="103">
        <v>0.0</v>
      </c>
      <c r="G226" s="104" t="str">
        <f t="shared" si="1"/>
        <v>#DIV/0!</v>
      </c>
      <c r="H226" s="105" t="str">
        <f t="shared" si="2"/>
        <v>#DIV/0!</v>
      </c>
      <c r="I226" s="106" t="str">
        <f t="shared" si="3"/>
        <v>#DIV/0!</v>
      </c>
      <c r="J226" s="300">
        <v>0.0</v>
      </c>
      <c r="K226" s="103">
        <v>0.0</v>
      </c>
      <c r="L226" s="103">
        <v>0.0</v>
      </c>
      <c r="M226" s="300">
        <v>0.0</v>
      </c>
      <c r="N226" s="109" t="str">
        <f t="shared" si="87"/>
        <v>#DIV/0!</v>
      </c>
      <c r="O226" s="110" t="str">
        <f t="shared" si="5"/>
        <v>#DIV/0!</v>
      </c>
      <c r="P226" s="109" t="str">
        <f t="shared" si="6"/>
        <v>#DIV/0!</v>
      </c>
      <c r="Q226" s="111" t="str">
        <f t="shared" si="7"/>
        <v>#DIV/0!</v>
      </c>
      <c r="R226" s="122">
        <f t="shared" si="86"/>
        <v>0</v>
      </c>
      <c r="S226" s="113" t="str">
        <f t="shared" si="9"/>
        <v>#DIV/0!</v>
      </c>
      <c r="T226" s="172"/>
      <c r="U226" s="172"/>
      <c r="V226" s="172"/>
      <c r="W226" s="172"/>
      <c r="X226" s="173"/>
      <c r="Y226" s="165"/>
      <c r="Z226" s="165"/>
    </row>
    <row r="227" hidden="1" outlineLevel="1">
      <c r="A227" s="165"/>
      <c r="B227" s="174"/>
      <c r="C227" s="100" t="s">
        <v>85</v>
      </c>
      <c r="D227" s="302">
        <v>0.0</v>
      </c>
      <c r="E227" s="103">
        <v>0.0</v>
      </c>
      <c r="F227" s="103">
        <v>0.0</v>
      </c>
      <c r="G227" s="104" t="str">
        <f t="shared" si="1"/>
        <v>#DIV/0!</v>
      </c>
      <c r="H227" s="105" t="str">
        <f t="shared" si="2"/>
        <v>#DIV/0!</v>
      </c>
      <c r="I227" s="106" t="str">
        <f t="shared" si="3"/>
        <v>#DIV/0!</v>
      </c>
      <c r="J227" s="302">
        <v>0.0</v>
      </c>
      <c r="K227" s="103">
        <v>0.0</v>
      </c>
      <c r="L227" s="103">
        <v>0.0</v>
      </c>
      <c r="M227" s="303">
        <v>0.0</v>
      </c>
      <c r="N227" s="109" t="str">
        <f t="shared" si="87"/>
        <v>#DIV/0!</v>
      </c>
      <c r="O227" s="110" t="str">
        <f t="shared" si="5"/>
        <v>#DIV/0!</v>
      </c>
      <c r="P227" s="109" t="str">
        <f t="shared" si="6"/>
        <v>#DIV/0!</v>
      </c>
      <c r="Q227" s="111" t="str">
        <f t="shared" si="7"/>
        <v>#DIV/0!</v>
      </c>
      <c r="R227" s="304">
        <f t="shared" si="86"/>
        <v>0</v>
      </c>
      <c r="S227" s="113" t="str">
        <f t="shared" si="9"/>
        <v>#DIV/0!</v>
      </c>
      <c r="T227" s="172"/>
      <c r="U227" s="172"/>
      <c r="V227" s="172"/>
      <c r="W227" s="172"/>
      <c r="X227" s="173"/>
      <c r="Y227" s="165"/>
      <c r="Z227" s="165"/>
    </row>
    <row r="228" hidden="1" outlineLevel="1">
      <c r="A228" s="165"/>
      <c r="B228" s="174"/>
      <c r="C228" s="100" t="s">
        <v>36</v>
      </c>
      <c r="D228" s="120">
        <v>69.95</v>
      </c>
      <c r="E228" s="103">
        <v>1.0</v>
      </c>
      <c r="F228" s="103">
        <v>1.0</v>
      </c>
      <c r="G228" s="104">
        <f t="shared" si="1"/>
        <v>1</v>
      </c>
      <c r="H228" s="105">
        <f t="shared" si="2"/>
        <v>69.95</v>
      </c>
      <c r="I228" s="106">
        <f t="shared" si="3"/>
        <v>69.95</v>
      </c>
      <c r="J228" s="120">
        <v>16.19</v>
      </c>
      <c r="K228" s="103">
        <v>3961.0</v>
      </c>
      <c r="L228" s="103">
        <v>0.0</v>
      </c>
      <c r="M228" s="121">
        <v>0.0</v>
      </c>
      <c r="N228" s="109" t="str">
        <f t="shared" si="87"/>
        <v>#DIV/0!</v>
      </c>
      <c r="O228" s="110">
        <f t="shared" si="5"/>
        <v>0</v>
      </c>
      <c r="P228" s="109">
        <f t="shared" si="6"/>
        <v>0.2314510365</v>
      </c>
      <c r="Q228" s="111">
        <f t="shared" si="7"/>
        <v>0</v>
      </c>
      <c r="R228" s="122">
        <f t="shared" si="86"/>
        <v>69.95</v>
      </c>
      <c r="S228" s="113" t="str">
        <f t="shared" si="9"/>
        <v>#DIV/0!</v>
      </c>
      <c r="T228" s="172"/>
      <c r="U228" s="172"/>
      <c r="V228" s="172"/>
      <c r="W228" s="172"/>
      <c r="X228" s="173"/>
      <c r="Y228" s="165"/>
      <c r="Z228" s="165"/>
    </row>
    <row r="229" hidden="1" outlineLevel="1">
      <c r="A229" s="165"/>
      <c r="B229" s="99" t="s">
        <v>37</v>
      </c>
      <c r="C229" s="100" t="s">
        <v>38</v>
      </c>
      <c r="D229" s="123">
        <v>94.85</v>
      </c>
      <c r="E229" s="103">
        <v>3.0</v>
      </c>
      <c r="F229" s="103">
        <v>3.0</v>
      </c>
      <c r="G229" s="104">
        <f t="shared" si="1"/>
        <v>1</v>
      </c>
      <c r="H229" s="105">
        <f t="shared" si="2"/>
        <v>31.61666667</v>
      </c>
      <c r="I229" s="106">
        <f t="shared" si="3"/>
        <v>31.61666667</v>
      </c>
      <c r="J229" s="123">
        <v>32.71</v>
      </c>
      <c r="K229" s="103">
        <v>7853.0</v>
      </c>
      <c r="L229" s="103">
        <v>2.0</v>
      </c>
      <c r="M229" s="124">
        <v>59.9</v>
      </c>
      <c r="N229" s="109">
        <f t="shared" si="87"/>
        <v>0.5460767947</v>
      </c>
      <c r="O229" s="110">
        <f t="shared" si="5"/>
        <v>1.831244268</v>
      </c>
      <c r="P229" s="109">
        <f t="shared" si="6"/>
        <v>0.3448603057</v>
      </c>
      <c r="Q229" s="111">
        <f t="shared" si="7"/>
        <v>0.6315234581</v>
      </c>
      <c r="R229" s="125">
        <f t="shared" si="86"/>
        <v>34.95</v>
      </c>
      <c r="S229" s="113">
        <f t="shared" si="9"/>
        <v>16.355</v>
      </c>
      <c r="T229" s="172"/>
      <c r="U229" s="172"/>
      <c r="V229" s="172"/>
      <c r="W229" s="172"/>
      <c r="X229" s="173"/>
      <c r="Y229" s="165"/>
      <c r="Z229" s="165"/>
    </row>
    <row r="230" hidden="1" outlineLevel="1">
      <c r="A230" s="165"/>
      <c r="B230" s="174"/>
      <c r="C230" s="100" t="s">
        <v>39</v>
      </c>
      <c r="D230" s="126">
        <v>99.95</v>
      </c>
      <c r="E230" s="103">
        <v>1.0</v>
      </c>
      <c r="F230" s="103">
        <v>1.0</v>
      </c>
      <c r="G230" s="104">
        <f t="shared" si="1"/>
        <v>1</v>
      </c>
      <c r="H230" s="105">
        <f t="shared" si="2"/>
        <v>99.95</v>
      </c>
      <c r="I230" s="106">
        <f t="shared" si="3"/>
        <v>99.95</v>
      </c>
      <c r="J230" s="126">
        <v>0.0</v>
      </c>
      <c r="K230" s="103">
        <v>0.0</v>
      </c>
      <c r="L230" s="103">
        <v>0.0</v>
      </c>
      <c r="M230" s="127">
        <v>0.0</v>
      </c>
      <c r="N230" s="109" t="str">
        <f t="shared" si="87"/>
        <v>#DIV/0!</v>
      </c>
      <c r="O230" s="110" t="str">
        <f t="shared" si="5"/>
        <v>#DIV/0!</v>
      </c>
      <c r="P230" s="109">
        <f t="shared" si="6"/>
        <v>0</v>
      </c>
      <c r="Q230" s="111">
        <f t="shared" si="7"/>
        <v>0</v>
      </c>
      <c r="R230" s="128">
        <f t="shared" si="86"/>
        <v>99.95</v>
      </c>
      <c r="S230" s="113" t="str">
        <f t="shared" si="9"/>
        <v>#DIV/0!</v>
      </c>
      <c r="T230" s="172"/>
      <c r="U230" s="172"/>
      <c r="V230" s="172"/>
      <c r="W230" s="172"/>
      <c r="X230" s="173"/>
      <c r="Y230" s="165"/>
      <c r="Z230" s="165"/>
    </row>
    <row r="231" hidden="1" outlineLevel="1">
      <c r="A231" s="165"/>
      <c r="B231" s="174"/>
      <c r="C231" s="100" t="s">
        <v>40</v>
      </c>
      <c r="D231" s="129">
        <v>0.0</v>
      </c>
      <c r="E231" s="103">
        <v>0.0</v>
      </c>
      <c r="F231" s="103">
        <v>0.0</v>
      </c>
      <c r="G231" s="104" t="str">
        <f t="shared" si="1"/>
        <v>#DIV/0!</v>
      </c>
      <c r="H231" s="105" t="str">
        <f t="shared" si="2"/>
        <v>#DIV/0!</v>
      </c>
      <c r="I231" s="106" t="str">
        <f t="shared" si="3"/>
        <v>#DIV/0!</v>
      </c>
      <c r="J231" s="129">
        <v>0.0</v>
      </c>
      <c r="K231" s="103">
        <v>0.0</v>
      </c>
      <c r="L231" s="103">
        <v>0.0</v>
      </c>
      <c r="M231" s="130">
        <v>0.0</v>
      </c>
      <c r="N231" s="109" t="str">
        <f t="shared" si="87"/>
        <v>#DIV/0!</v>
      </c>
      <c r="O231" s="110" t="str">
        <f t="shared" si="5"/>
        <v>#DIV/0!</v>
      </c>
      <c r="P231" s="109" t="str">
        <f t="shared" si="6"/>
        <v>#DIV/0!</v>
      </c>
      <c r="Q231" s="111" t="str">
        <f t="shared" si="7"/>
        <v>#DIV/0!</v>
      </c>
      <c r="R231" s="131">
        <f t="shared" si="86"/>
        <v>0</v>
      </c>
      <c r="S231" s="113" t="str">
        <f t="shared" si="9"/>
        <v>#DIV/0!</v>
      </c>
      <c r="T231" s="172"/>
      <c r="U231" s="172"/>
      <c r="V231" s="172"/>
      <c r="W231" s="172"/>
      <c r="X231" s="173"/>
      <c r="Y231" s="165"/>
      <c r="Z231" s="165"/>
    </row>
    <row r="232" hidden="1" outlineLevel="1">
      <c r="A232" s="165"/>
      <c r="B232" s="174"/>
      <c r="C232" s="100" t="s">
        <v>41</v>
      </c>
      <c r="D232" s="132">
        <v>0.0</v>
      </c>
      <c r="E232" s="103">
        <v>0.0</v>
      </c>
      <c r="F232" s="103">
        <v>0.0</v>
      </c>
      <c r="G232" s="104" t="str">
        <f t="shared" si="1"/>
        <v>#DIV/0!</v>
      </c>
      <c r="H232" s="105" t="str">
        <f t="shared" si="2"/>
        <v>#DIV/0!</v>
      </c>
      <c r="I232" s="106" t="str">
        <f t="shared" si="3"/>
        <v>#DIV/0!</v>
      </c>
      <c r="J232" s="132">
        <v>0.0</v>
      </c>
      <c r="K232" s="103">
        <v>0.0</v>
      </c>
      <c r="L232" s="103">
        <v>0.0</v>
      </c>
      <c r="M232" s="133">
        <v>0.0</v>
      </c>
      <c r="N232" s="109" t="str">
        <f t="shared" si="87"/>
        <v>#DIV/0!</v>
      </c>
      <c r="O232" s="110" t="str">
        <f t="shared" si="5"/>
        <v>#DIV/0!</v>
      </c>
      <c r="P232" s="109" t="str">
        <f t="shared" si="6"/>
        <v>#DIV/0!</v>
      </c>
      <c r="Q232" s="111" t="str">
        <f t="shared" si="7"/>
        <v>#DIV/0!</v>
      </c>
      <c r="R232" s="134">
        <f t="shared" si="86"/>
        <v>0</v>
      </c>
      <c r="S232" s="113" t="str">
        <f t="shared" si="9"/>
        <v>#DIV/0!</v>
      </c>
      <c r="T232" s="172"/>
      <c r="U232" s="172"/>
      <c r="V232" s="172"/>
      <c r="W232" s="172"/>
      <c r="X232" s="173"/>
      <c r="Y232" s="165"/>
      <c r="Z232" s="165"/>
    </row>
    <row r="233" hidden="1" outlineLevel="1">
      <c r="A233" s="165"/>
      <c r="B233" s="174"/>
      <c r="C233" s="100" t="s">
        <v>42</v>
      </c>
      <c r="D233" s="120">
        <v>89.95</v>
      </c>
      <c r="E233" s="103">
        <v>5.0</v>
      </c>
      <c r="F233" s="103">
        <v>6.0</v>
      </c>
      <c r="G233" s="104">
        <f t="shared" si="1"/>
        <v>0.8333333333</v>
      </c>
      <c r="H233" s="105">
        <f t="shared" si="2"/>
        <v>17.99</v>
      </c>
      <c r="I233" s="106">
        <f t="shared" si="3"/>
        <v>21.588</v>
      </c>
      <c r="J233" s="120">
        <v>2.2</v>
      </c>
      <c r="K233" s="103">
        <v>10936.0</v>
      </c>
      <c r="L233" s="103">
        <v>1.0</v>
      </c>
      <c r="M233" s="121">
        <v>19.99</v>
      </c>
      <c r="N233" s="109">
        <f t="shared" si="87"/>
        <v>0.1100550275</v>
      </c>
      <c r="O233" s="110">
        <f t="shared" si="5"/>
        <v>9.086363636</v>
      </c>
      <c r="P233" s="109">
        <f t="shared" si="6"/>
        <v>0.02445803224</v>
      </c>
      <c r="Q233" s="111">
        <f t="shared" si="7"/>
        <v>0.2222345748</v>
      </c>
      <c r="R233" s="122">
        <f t="shared" si="86"/>
        <v>69.96</v>
      </c>
      <c r="S233" s="113">
        <f t="shared" si="9"/>
        <v>2.2</v>
      </c>
      <c r="T233" s="172"/>
      <c r="U233" s="172"/>
      <c r="V233" s="172"/>
      <c r="W233" s="172"/>
      <c r="X233" s="173"/>
      <c r="Y233" s="165"/>
      <c r="Z233" s="165"/>
    </row>
    <row r="234" hidden="1" outlineLevel="1">
      <c r="A234" s="165"/>
      <c r="B234" s="174"/>
      <c r="C234" s="100" t="s">
        <v>43</v>
      </c>
      <c r="D234" s="135">
        <v>503.95</v>
      </c>
      <c r="E234" s="103">
        <v>3.0</v>
      </c>
      <c r="F234" s="103">
        <v>3.0</v>
      </c>
      <c r="G234" s="104">
        <f t="shared" si="1"/>
        <v>1</v>
      </c>
      <c r="H234" s="105">
        <f t="shared" si="2"/>
        <v>167.9833333</v>
      </c>
      <c r="I234" s="106">
        <f t="shared" si="3"/>
        <v>167.9833333</v>
      </c>
      <c r="J234" s="135">
        <v>16.27</v>
      </c>
      <c r="K234" s="103">
        <v>21623.0</v>
      </c>
      <c r="L234" s="103">
        <v>0.0</v>
      </c>
      <c r="M234" s="136">
        <v>0.0</v>
      </c>
      <c r="N234" s="109" t="str">
        <f t="shared" si="87"/>
        <v>#DIV/0!</v>
      </c>
      <c r="O234" s="110">
        <f t="shared" si="5"/>
        <v>0</v>
      </c>
      <c r="P234" s="109">
        <f t="shared" si="6"/>
        <v>0.0322849489</v>
      </c>
      <c r="Q234" s="111">
        <f t="shared" si="7"/>
        <v>0</v>
      </c>
      <c r="R234" s="137">
        <f t="shared" si="86"/>
        <v>503.95</v>
      </c>
      <c r="S234" s="113" t="str">
        <f t="shared" si="9"/>
        <v>#DIV/0!</v>
      </c>
      <c r="T234" s="172"/>
      <c r="U234" s="172"/>
      <c r="V234" s="172"/>
      <c r="W234" s="172"/>
      <c r="X234" s="173"/>
      <c r="Y234" s="165"/>
      <c r="Z234" s="165"/>
    </row>
    <row r="235" hidden="1" outlineLevel="1">
      <c r="A235" s="165"/>
      <c r="B235" s="174"/>
      <c r="C235" s="100" t="s">
        <v>44</v>
      </c>
      <c r="D235" s="138">
        <v>234.75</v>
      </c>
      <c r="E235" s="103">
        <v>5.0</v>
      </c>
      <c r="F235" s="103">
        <v>6.0</v>
      </c>
      <c r="G235" s="104">
        <f t="shared" si="1"/>
        <v>0.8333333333</v>
      </c>
      <c r="H235" s="105">
        <f t="shared" si="2"/>
        <v>46.95</v>
      </c>
      <c r="I235" s="106">
        <f t="shared" si="3"/>
        <v>56.34</v>
      </c>
      <c r="J235" s="138">
        <v>35.75</v>
      </c>
      <c r="K235" s="103">
        <v>10309.0</v>
      </c>
      <c r="L235" s="103">
        <v>5.0</v>
      </c>
      <c r="M235" s="139">
        <v>234.75</v>
      </c>
      <c r="N235" s="109">
        <f t="shared" si="87"/>
        <v>0.1522896699</v>
      </c>
      <c r="O235" s="110">
        <f t="shared" si="5"/>
        <v>6.566433566</v>
      </c>
      <c r="P235" s="109">
        <f t="shared" si="6"/>
        <v>0.1522896699</v>
      </c>
      <c r="Q235" s="111">
        <f t="shared" si="7"/>
        <v>1</v>
      </c>
      <c r="R235" s="140">
        <f t="shared" si="86"/>
        <v>0</v>
      </c>
      <c r="S235" s="113">
        <f t="shared" si="9"/>
        <v>7.15</v>
      </c>
      <c r="T235" s="172"/>
      <c r="U235" s="172"/>
      <c r="V235" s="172"/>
      <c r="W235" s="172"/>
      <c r="X235" s="173"/>
      <c r="Y235" s="165"/>
      <c r="Z235" s="165"/>
    </row>
    <row r="236" hidden="1" outlineLevel="1">
      <c r="A236" s="192"/>
      <c r="B236" s="174"/>
      <c r="C236" s="142" t="s">
        <v>45</v>
      </c>
      <c r="D236" s="101">
        <v>0.0</v>
      </c>
      <c r="E236" s="103">
        <v>0.0</v>
      </c>
      <c r="F236" s="103">
        <v>0.0</v>
      </c>
      <c r="G236" s="104" t="str">
        <f t="shared" si="1"/>
        <v>#DIV/0!</v>
      </c>
      <c r="H236" s="105" t="str">
        <f t="shared" si="2"/>
        <v>#DIV/0!</v>
      </c>
      <c r="I236" s="106" t="str">
        <f t="shared" si="3"/>
        <v>#DIV/0!</v>
      </c>
      <c r="J236" s="101">
        <v>0.0</v>
      </c>
      <c r="K236" s="103">
        <v>0.0</v>
      </c>
      <c r="L236" s="103">
        <v>0.0</v>
      </c>
      <c r="M236" s="108">
        <v>0.0</v>
      </c>
      <c r="N236" s="109" t="str">
        <f t="shared" si="87"/>
        <v>#DIV/0!</v>
      </c>
      <c r="O236" s="110" t="str">
        <f t="shared" si="5"/>
        <v>#DIV/0!</v>
      </c>
      <c r="P236" s="109" t="str">
        <f t="shared" si="6"/>
        <v>#DIV/0!</v>
      </c>
      <c r="Q236" s="111" t="str">
        <f t="shared" si="7"/>
        <v>#DIV/0!</v>
      </c>
      <c r="R236" s="112">
        <f t="shared" si="86"/>
        <v>0</v>
      </c>
      <c r="S236" s="113" t="str">
        <f t="shared" si="9"/>
        <v>#DIV/0!</v>
      </c>
      <c r="T236" s="193"/>
      <c r="U236" s="193"/>
      <c r="V236" s="193"/>
      <c r="W236" s="194"/>
      <c r="X236" s="195"/>
      <c r="Y236" s="165"/>
      <c r="Z236" s="165"/>
    </row>
    <row r="237" hidden="1" outlineLevel="1">
      <c r="A237" s="165"/>
      <c r="B237" s="174"/>
      <c r="C237" s="100" t="s">
        <v>46</v>
      </c>
      <c r="D237" s="146">
        <v>539.4</v>
      </c>
      <c r="E237" s="103">
        <v>12.0</v>
      </c>
      <c r="F237" s="103">
        <v>11.0</v>
      </c>
      <c r="G237" s="104">
        <f t="shared" si="1"/>
        <v>1.090909091</v>
      </c>
      <c r="H237" s="105">
        <f t="shared" si="2"/>
        <v>44.95</v>
      </c>
      <c r="I237" s="106">
        <f t="shared" si="3"/>
        <v>41.20416667</v>
      </c>
      <c r="J237" s="146">
        <v>72.54</v>
      </c>
      <c r="K237" s="103">
        <v>29062.0</v>
      </c>
      <c r="L237" s="103">
        <v>11.0</v>
      </c>
      <c r="M237" s="147">
        <v>494.45</v>
      </c>
      <c r="N237" s="109">
        <f t="shared" si="87"/>
        <v>0.1467084639</v>
      </c>
      <c r="O237" s="110">
        <f t="shared" si="5"/>
        <v>6.816239316</v>
      </c>
      <c r="P237" s="109">
        <f t="shared" si="6"/>
        <v>0.1344827586</v>
      </c>
      <c r="Q237" s="111">
        <f t="shared" si="7"/>
        <v>0.9166666667</v>
      </c>
      <c r="R237" s="112">
        <f t="shared" si="86"/>
        <v>44.95</v>
      </c>
      <c r="S237" s="113">
        <f t="shared" si="9"/>
        <v>6.594545455</v>
      </c>
      <c r="T237" s="172"/>
      <c r="U237" s="172"/>
      <c r="V237" s="172"/>
      <c r="W237" s="172"/>
      <c r="X237" s="173"/>
      <c r="Y237" s="165"/>
      <c r="Z237" s="165"/>
    </row>
    <row r="238" hidden="1" outlineLevel="1">
      <c r="A238" s="165"/>
      <c r="B238" s="174"/>
      <c r="C238" s="100" t="s">
        <v>49</v>
      </c>
      <c r="D238" s="146">
        <v>0.0</v>
      </c>
      <c r="E238" s="103">
        <v>0.0</v>
      </c>
      <c r="F238" s="103">
        <v>0.0</v>
      </c>
      <c r="G238" s="104" t="str">
        <f t="shared" si="1"/>
        <v>#DIV/0!</v>
      </c>
      <c r="H238" s="105" t="str">
        <f t="shared" si="2"/>
        <v>#DIV/0!</v>
      </c>
      <c r="I238" s="106" t="str">
        <f t="shared" si="3"/>
        <v>#DIV/0!</v>
      </c>
      <c r="J238" s="146">
        <v>1.14</v>
      </c>
      <c r="K238" s="103">
        <v>5553.0</v>
      </c>
      <c r="L238" s="103">
        <v>0.0</v>
      </c>
      <c r="M238" s="147">
        <v>0.0</v>
      </c>
      <c r="N238" s="109" t="str">
        <f t="shared" si="87"/>
        <v>#DIV/0!</v>
      </c>
      <c r="O238" s="110">
        <f t="shared" si="5"/>
        <v>0</v>
      </c>
      <c r="P238" s="109" t="str">
        <f t="shared" si="6"/>
        <v>#DIV/0!</v>
      </c>
      <c r="Q238" s="111" t="str">
        <f t="shared" si="7"/>
        <v>#DIV/0!</v>
      </c>
      <c r="R238" s="112">
        <f t="shared" si="86"/>
        <v>0</v>
      </c>
      <c r="S238" s="113" t="str">
        <f t="shared" si="9"/>
        <v>#DIV/0!</v>
      </c>
      <c r="T238" s="172"/>
      <c r="U238" s="172"/>
      <c r="V238" s="172"/>
      <c r="W238" s="172"/>
      <c r="X238" s="173"/>
      <c r="Y238" s="165"/>
      <c r="Z238" s="165"/>
    </row>
    <row r="239" hidden="1" outlineLevel="1">
      <c r="A239" s="148" t="str">
        <f t="shared" ref="A239:A240" si="88">iferror(if(B239&gt;0,month(B239)&amp;"-"&amp;year(B239),B239),)</f>
        <v>5-2025</v>
      </c>
      <c r="B239" s="99">
        <v>45794.0</v>
      </c>
      <c r="C239" s="277" t="s">
        <v>67</v>
      </c>
      <c r="D239" s="146">
        <v>0.0</v>
      </c>
      <c r="E239" s="103">
        <v>0.0</v>
      </c>
      <c r="F239" s="103">
        <v>0.0</v>
      </c>
      <c r="G239" s="104" t="str">
        <f t="shared" si="1"/>
        <v>#DIV/0!</v>
      </c>
      <c r="H239" s="105" t="str">
        <f t="shared" si="2"/>
        <v>#DIV/0!</v>
      </c>
      <c r="I239" s="106" t="str">
        <f t="shared" si="3"/>
        <v>#DIV/0!</v>
      </c>
      <c r="J239" s="117">
        <v>53.78</v>
      </c>
      <c r="K239" s="409">
        <v>13367.0</v>
      </c>
      <c r="L239" s="412">
        <v>0.0</v>
      </c>
      <c r="M239" s="118">
        <v>264.8</v>
      </c>
      <c r="N239" s="109">
        <f t="shared" si="87"/>
        <v>0.2030966767</v>
      </c>
      <c r="O239" s="110">
        <f t="shared" si="5"/>
        <v>4.923763481</v>
      </c>
      <c r="P239" s="109" t="str">
        <f t="shared" si="6"/>
        <v>#DIV/0!</v>
      </c>
      <c r="Q239" s="111" t="str">
        <f t="shared" si="7"/>
        <v>#DIV/0!</v>
      </c>
      <c r="R239" s="112">
        <f t="shared" si="86"/>
        <v>-264.8</v>
      </c>
      <c r="S239" s="113" t="str">
        <f t="shared" si="9"/>
        <v>#DIV/0!</v>
      </c>
      <c r="T239" s="172"/>
      <c r="U239" s="172"/>
      <c r="V239" s="172"/>
      <c r="W239" s="172"/>
      <c r="X239" s="173"/>
      <c r="Y239" s="165"/>
      <c r="Z239" s="165"/>
    </row>
    <row r="240" collapsed="1">
      <c r="A240" s="165" t="str">
        <f t="shared" si="88"/>
        <v/>
      </c>
      <c r="B240" s="80" t="s">
        <v>107</v>
      </c>
      <c r="C240" s="201"/>
      <c r="D240" s="151">
        <f t="shared" ref="D240:F240" si="89">SUM(D222:D239)</f>
        <v>4158.26</v>
      </c>
      <c r="E240" s="153">
        <f t="shared" si="89"/>
        <v>43</v>
      </c>
      <c r="F240" s="153">
        <f t="shared" si="89"/>
        <v>53</v>
      </c>
      <c r="G240" s="154">
        <f t="shared" si="1"/>
        <v>0.8113207547</v>
      </c>
      <c r="H240" s="155">
        <f t="shared" si="2"/>
        <v>96.70372093</v>
      </c>
      <c r="I240" s="156">
        <f t="shared" si="3"/>
        <v>119.1929584</v>
      </c>
      <c r="J240" s="151">
        <f t="shared" ref="J240:M240" si="90">SUM(J222:J239)</f>
        <v>625.03</v>
      </c>
      <c r="K240" s="153">
        <f t="shared" si="90"/>
        <v>265288</v>
      </c>
      <c r="L240" s="153">
        <f t="shared" si="90"/>
        <v>23</v>
      </c>
      <c r="M240" s="157">
        <f t="shared" si="90"/>
        <v>2112.79</v>
      </c>
      <c r="N240" s="158">
        <f t="shared" si="87"/>
        <v>0.2958315782</v>
      </c>
      <c r="O240" s="159">
        <f t="shared" si="5"/>
        <v>3.380301746</v>
      </c>
      <c r="P240" s="158">
        <f t="shared" si="6"/>
        <v>0.1503104664</v>
      </c>
      <c r="Q240" s="160">
        <f t="shared" si="7"/>
        <v>0.5080947319</v>
      </c>
      <c r="R240" s="161">
        <f>SUM(R222:R239)</f>
        <v>2045.47</v>
      </c>
      <c r="S240" s="162">
        <f t="shared" si="9"/>
        <v>27.17521739</v>
      </c>
      <c r="T240" s="399">
        <f t="shared" ref="T240:U240" si="91">IFERROR((D240-D69)/D240,)</f>
        <v>-0.8231952788</v>
      </c>
      <c r="U240" s="399">
        <f t="shared" si="91"/>
        <v>-1.186046512</v>
      </c>
      <c r="V240" s="398" t="str">
        <f t="shared" ref="V240:W240" si="92">IFERROR((D240-monthly_reporting_2021!D31)/D240, )</f>
        <v/>
      </c>
      <c r="W240" s="398" t="str">
        <f t="shared" si="92"/>
        <v/>
      </c>
      <c r="X240" s="165"/>
      <c r="Y240" s="165"/>
      <c r="Z240" s="165"/>
    </row>
    <row r="241" hidden="1" outlineLevel="1">
      <c r="A241" s="165"/>
      <c r="B241" s="99">
        <v>45795.0</v>
      </c>
      <c r="C241" s="100" t="s">
        <v>32</v>
      </c>
      <c r="D241" s="101">
        <v>2645.88</v>
      </c>
      <c r="E241" s="103">
        <v>13.0</v>
      </c>
      <c r="F241" s="103">
        <v>15.0</v>
      </c>
      <c r="G241" s="104">
        <f t="shared" si="1"/>
        <v>0.8666666667</v>
      </c>
      <c r="H241" s="105">
        <f t="shared" si="2"/>
        <v>203.5292308</v>
      </c>
      <c r="I241" s="106">
        <f t="shared" si="3"/>
        <v>234.8414201</v>
      </c>
      <c r="J241" s="107">
        <v>245.75</v>
      </c>
      <c r="K241" s="103">
        <v>84992.0</v>
      </c>
      <c r="L241" s="103">
        <v>6.0</v>
      </c>
      <c r="M241" s="108">
        <v>2178.85</v>
      </c>
      <c r="N241" s="109">
        <f t="shared" si="87"/>
        <v>0.1127888565</v>
      </c>
      <c r="O241" s="110">
        <f t="shared" si="5"/>
        <v>8.86612411</v>
      </c>
      <c r="P241" s="109">
        <f t="shared" si="6"/>
        <v>0.09288025156</v>
      </c>
      <c r="Q241" s="111">
        <f t="shared" si="7"/>
        <v>0.8234878377</v>
      </c>
      <c r="R241" s="112">
        <f t="shared" ref="R241:R258" si="93">D241-M241</f>
        <v>467.03</v>
      </c>
      <c r="S241" s="113">
        <f t="shared" si="9"/>
        <v>40.95833333</v>
      </c>
      <c r="T241" s="172"/>
      <c r="U241" s="172"/>
      <c r="V241" s="172"/>
      <c r="W241" s="172"/>
      <c r="X241" s="173"/>
      <c r="Y241" s="165"/>
      <c r="Z241" s="165"/>
    </row>
    <row r="242" hidden="1" outlineLevel="1">
      <c r="A242" s="165"/>
      <c r="B242" s="174"/>
      <c r="C242" s="100" t="s">
        <v>33</v>
      </c>
      <c r="D242" s="117">
        <v>2429.4</v>
      </c>
      <c r="E242" s="103">
        <v>22.0</v>
      </c>
      <c r="F242" s="103">
        <v>19.0</v>
      </c>
      <c r="G242" s="104">
        <f t="shared" si="1"/>
        <v>1.157894737</v>
      </c>
      <c r="H242" s="105">
        <f t="shared" si="2"/>
        <v>110.4272727</v>
      </c>
      <c r="I242" s="106">
        <f t="shared" si="3"/>
        <v>95.36900826</v>
      </c>
      <c r="J242" s="117">
        <v>225.91</v>
      </c>
      <c r="K242" s="103">
        <v>82622.0</v>
      </c>
      <c r="L242" s="103">
        <v>3.0</v>
      </c>
      <c r="M242" s="118">
        <v>770.0</v>
      </c>
      <c r="N242" s="109">
        <f t="shared" si="87"/>
        <v>0.2933896104</v>
      </c>
      <c r="O242" s="110">
        <f t="shared" si="5"/>
        <v>3.408436988</v>
      </c>
      <c r="P242" s="109">
        <f t="shared" si="6"/>
        <v>0.09299003869</v>
      </c>
      <c r="Q242" s="111">
        <f t="shared" si="7"/>
        <v>0.3169506874</v>
      </c>
      <c r="R242" s="119">
        <f t="shared" si="93"/>
        <v>1659.4</v>
      </c>
      <c r="S242" s="113">
        <f t="shared" si="9"/>
        <v>75.30333333</v>
      </c>
      <c r="T242" s="172"/>
      <c r="U242" s="172"/>
      <c r="V242" s="172"/>
      <c r="W242" s="172"/>
      <c r="X242" s="173"/>
      <c r="Y242" s="165"/>
      <c r="Z242" s="165"/>
    </row>
    <row r="243" hidden="1" outlineLevel="1">
      <c r="A243" s="165"/>
      <c r="B243" s="174"/>
      <c r="C243" s="100" t="s">
        <v>34</v>
      </c>
      <c r="D243" s="120">
        <v>0.0</v>
      </c>
      <c r="E243" s="103">
        <v>0.0</v>
      </c>
      <c r="F243" s="103">
        <v>0.0</v>
      </c>
      <c r="G243" s="104" t="str">
        <f t="shared" si="1"/>
        <v>#DIV/0!</v>
      </c>
      <c r="H243" s="105" t="str">
        <f t="shared" si="2"/>
        <v>#DIV/0!</v>
      </c>
      <c r="I243" s="106" t="str">
        <f t="shared" si="3"/>
        <v>#DIV/0!</v>
      </c>
      <c r="J243" s="120">
        <v>0.0</v>
      </c>
      <c r="K243" s="103">
        <v>0.0</v>
      </c>
      <c r="L243" s="103">
        <v>0.0</v>
      </c>
      <c r="M243" s="121">
        <v>0.0</v>
      </c>
      <c r="N243" s="109" t="str">
        <f>(J243/M243)</f>
        <v>#DIV/0!</v>
      </c>
      <c r="O243" s="110" t="str">
        <f t="shared" si="5"/>
        <v>#DIV/0!</v>
      </c>
      <c r="P243" s="109" t="str">
        <f t="shared" si="6"/>
        <v>#DIV/0!</v>
      </c>
      <c r="Q243" s="111" t="str">
        <f t="shared" si="7"/>
        <v>#DIV/0!</v>
      </c>
      <c r="R243" s="122">
        <f t="shared" si="93"/>
        <v>0</v>
      </c>
      <c r="S243" s="113" t="str">
        <f t="shared" si="9"/>
        <v>#DIV/0!</v>
      </c>
      <c r="T243" s="172"/>
      <c r="U243" s="172"/>
      <c r="V243" s="172"/>
      <c r="W243" s="172"/>
      <c r="X243" s="173"/>
      <c r="Y243" s="165"/>
      <c r="Z243" s="165"/>
    </row>
    <row r="244" hidden="1" outlineLevel="1">
      <c r="A244" s="165"/>
      <c r="B244" s="174"/>
      <c r="C244" s="100" t="s">
        <v>35</v>
      </c>
      <c r="D244" s="120">
        <v>0.0</v>
      </c>
      <c r="E244" s="103">
        <v>0.0</v>
      </c>
      <c r="F244" s="103">
        <v>0.0</v>
      </c>
      <c r="G244" s="104" t="str">
        <f t="shared" si="1"/>
        <v>#DIV/0!</v>
      </c>
      <c r="H244" s="105" t="str">
        <f t="shared" si="2"/>
        <v>#DIV/0!</v>
      </c>
      <c r="I244" s="106" t="str">
        <f t="shared" si="3"/>
        <v>#DIV/0!</v>
      </c>
      <c r="J244" s="120">
        <v>0.0</v>
      </c>
      <c r="K244" s="103">
        <v>0.0</v>
      </c>
      <c r="L244" s="103">
        <v>0.0</v>
      </c>
      <c r="M244" s="121">
        <v>0.0</v>
      </c>
      <c r="N244" s="109" t="str">
        <f t="shared" ref="N244:N261" si="94">J244/M244</f>
        <v>#DIV/0!</v>
      </c>
      <c r="O244" s="110" t="str">
        <f t="shared" si="5"/>
        <v>#DIV/0!</v>
      </c>
      <c r="P244" s="109" t="str">
        <f t="shared" si="6"/>
        <v>#DIV/0!</v>
      </c>
      <c r="Q244" s="111" t="str">
        <f t="shared" si="7"/>
        <v>#DIV/0!</v>
      </c>
      <c r="R244" s="122">
        <f t="shared" si="93"/>
        <v>0</v>
      </c>
      <c r="S244" s="113" t="str">
        <f t="shared" si="9"/>
        <v>#DIV/0!</v>
      </c>
      <c r="T244" s="172"/>
      <c r="U244" s="172"/>
      <c r="V244" s="172"/>
      <c r="W244" s="172"/>
      <c r="X244" s="173"/>
      <c r="Y244" s="165"/>
      <c r="Z244" s="165"/>
    </row>
    <row r="245" hidden="1" outlineLevel="1">
      <c r="A245" s="165"/>
      <c r="B245" s="174"/>
      <c r="C245" s="100" t="s">
        <v>65</v>
      </c>
      <c r="D245" s="300">
        <v>0.0</v>
      </c>
      <c r="E245" s="103">
        <v>0.0</v>
      </c>
      <c r="F245" s="103">
        <v>0.0</v>
      </c>
      <c r="G245" s="104" t="str">
        <f t="shared" si="1"/>
        <v>#DIV/0!</v>
      </c>
      <c r="H245" s="105" t="str">
        <f t="shared" si="2"/>
        <v>#DIV/0!</v>
      </c>
      <c r="I245" s="106" t="str">
        <f t="shared" si="3"/>
        <v>#DIV/0!</v>
      </c>
      <c r="J245" s="300">
        <v>0.0</v>
      </c>
      <c r="K245" s="103">
        <v>0.0</v>
      </c>
      <c r="L245" s="103">
        <v>0.0</v>
      </c>
      <c r="M245" s="300">
        <v>0.0</v>
      </c>
      <c r="N245" s="109" t="str">
        <f t="shared" si="94"/>
        <v>#DIV/0!</v>
      </c>
      <c r="O245" s="110" t="str">
        <f t="shared" si="5"/>
        <v>#DIV/0!</v>
      </c>
      <c r="P245" s="109" t="str">
        <f t="shared" si="6"/>
        <v>#DIV/0!</v>
      </c>
      <c r="Q245" s="111" t="str">
        <f t="shared" si="7"/>
        <v>#DIV/0!</v>
      </c>
      <c r="R245" s="122">
        <f t="shared" si="93"/>
        <v>0</v>
      </c>
      <c r="S245" s="113" t="str">
        <f t="shared" si="9"/>
        <v>#DIV/0!</v>
      </c>
      <c r="T245" s="172"/>
      <c r="U245" s="172"/>
      <c r="V245" s="172"/>
      <c r="W245" s="172"/>
      <c r="X245" s="173"/>
      <c r="Y245" s="165"/>
      <c r="Z245" s="165"/>
    </row>
    <row r="246" hidden="1" outlineLevel="1">
      <c r="A246" s="165"/>
      <c r="B246" s="174"/>
      <c r="C246" s="100" t="s">
        <v>85</v>
      </c>
      <c r="D246" s="302">
        <v>0.0</v>
      </c>
      <c r="E246" s="103">
        <v>0.0</v>
      </c>
      <c r="F246" s="103">
        <v>0.0</v>
      </c>
      <c r="G246" s="104" t="str">
        <f t="shared" si="1"/>
        <v>#DIV/0!</v>
      </c>
      <c r="H246" s="105" t="str">
        <f t="shared" si="2"/>
        <v>#DIV/0!</v>
      </c>
      <c r="I246" s="106" t="str">
        <f t="shared" si="3"/>
        <v>#DIV/0!</v>
      </c>
      <c r="J246" s="302">
        <v>0.0</v>
      </c>
      <c r="K246" s="103">
        <v>0.0</v>
      </c>
      <c r="L246" s="103">
        <v>0.0</v>
      </c>
      <c r="M246" s="303">
        <v>0.0</v>
      </c>
      <c r="N246" s="109" t="str">
        <f t="shared" si="94"/>
        <v>#DIV/0!</v>
      </c>
      <c r="O246" s="110" t="str">
        <f t="shared" si="5"/>
        <v>#DIV/0!</v>
      </c>
      <c r="P246" s="109" t="str">
        <f t="shared" si="6"/>
        <v>#DIV/0!</v>
      </c>
      <c r="Q246" s="111" t="str">
        <f t="shared" si="7"/>
        <v>#DIV/0!</v>
      </c>
      <c r="R246" s="304">
        <f t="shared" si="93"/>
        <v>0</v>
      </c>
      <c r="S246" s="113" t="str">
        <f t="shared" si="9"/>
        <v>#DIV/0!</v>
      </c>
      <c r="T246" s="172"/>
      <c r="U246" s="172"/>
      <c r="V246" s="172"/>
      <c r="W246" s="172"/>
      <c r="X246" s="173"/>
      <c r="Y246" s="165"/>
      <c r="Z246" s="165"/>
    </row>
    <row r="247" hidden="1" outlineLevel="1">
      <c r="A247" s="165"/>
      <c r="B247" s="174"/>
      <c r="C247" s="100" t="s">
        <v>36</v>
      </c>
      <c r="D247" s="120">
        <v>279.8</v>
      </c>
      <c r="E247" s="103">
        <v>4.0</v>
      </c>
      <c r="F247" s="103">
        <v>5.0</v>
      </c>
      <c r="G247" s="104">
        <f t="shared" si="1"/>
        <v>0.8</v>
      </c>
      <c r="H247" s="105">
        <f t="shared" si="2"/>
        <v>69.95</v>
      </c>
      <c r="I247" s="106">
        <f t="shared" si="3"/>
        <v>87.4375</v>
      </c>
      <c r="J247" s="120">
        <v>14.08</v>
      </c>
      <c r="K247" s="103">
        <v>1814.0</v>
      </c>
      <c r="L247" s="103">
        <v>1.0</v>
      </c>
      <c r="M247" s="121">
        <v>69.95</v>
      </c>
      <c r="N247" s="109">
        <f t="shared" si="94"/>
        <v>0.2012866333</v>
      </c>
      <c r="O247" s="110">
        <f t="shared" si="5"/>
        <v>4.968039773</v>
      </c>
      <c r="P247" s="109">
        <f t="shared" si="6"/>
        <v>0.05032165833</v>
      </c>
      <c r="Q247" s="111">
        <f t="shared" si="7"/>
        <v>0.25</v>
      </c>
      <c r="R247" s="122">
        <f t="shared" si="93"/>
        <v>209.85</v>
      </c>
      <c r="S247" s="113">
        <f t="shared" si="9"/>
        <v>14.08</v>
      </c>
      <c r="T247" s="172"/>
      <c r="U247" s="172"/>
      <c r="V247" s="172"/>
      <c r="W247" s="172"/>
      <c r="X247" s="173"/>
      <c r="Y247" s="165"/>
      <c r="Z247" s="165"/>
    </row>
    <row r="248" hidden="1" outlineLevel="1">
      <c r="A248" s="165"/>
      <c r="B248" s="99" t="s">
        <v>37</v>
      </c>
      <c r="C248" s="100" t="s">
        <v>38</v>
      </c>
      <c r="D248" s="123">
        <v>29.95</v>
      </c>
      <c r="E248" s="103">
        <v>1.0</v>
      </c>
      <c r="F248" s="103">
        <v>1.0</v>
      </c>
      <c r="G248" s="104">
        <f t="shared" si="1"/>
        <v>1</v>
      </c>
      <c r="H248" s="105">
        <f t="shared" si="2"/>
        <v>29.95</v>
      </c>
      <c r="I248" s="106">
        <f t="shared" si="3"/>
        <v>29.95</v>
      </c>
      <c r="J248" s="123">
        <v>40.41</v>
      </c>
      <c r="K248" s="103">
        <v>15078.0</v>
      </c>
      <c r="L248" s="103">
        <v>1.0</v>
      </c>
      <c r="M248" s="124">
        <v>29.95</v>
      </c>
      <c r="N248" s="109">
        <f t="shared" si="94"/>
        <v>1.349248748</v>
      </c>
      <c r="O248" s="110">
        <f t="shared" si="5"/>
        <v>0.7411531799</v>
      </c>
      <c r="P248" s="109">
        <f t="shared" si="6"/>
        <v>1.349248748</v>
      </c>
      <c r="Q248" s="111">
        <f t="shared" si="7"/>
        <v>1</v>
      </c>
      <c r="R248" s="125">
        <f t="shared" si="93"/>
        <v>0</v>
      </c>
      <c r="S248" s="113">
        <f t="shared" si="9"/>
        <v>40.41</v>
      </c>
      <c r="T248" s="172"/>
      <c r="U248" s="172"/>
      <c r="V248" s="172"/>
      <c r="W248" s="172"/>
      <c r="X248" s="173"/>
      <c r="Y248" s="165"/>
      <c r="Z248" s="165"/>
    </row>
    <row r="249" hidden="1" outlineLevel="1">
      <c r="A249" s="165"/>
      <c r="B249" s="174"/>
      <c r="C249" s="100" t="s">
        <v>39</v>
      </c>
      <c r="D249" s="126">
        <v>24.95</v>
      </c>
      <c r="E249" s="103">
        <v>1.0</v>
      </c>
      <c r="F249" s="103">
        <v>1.0</v>
      </c>
      <c r="G249" s="104">
        <f t="shared" si="1"/>
        <v>1</v>
      </c>
      <c r="H249" s="105">
        <f t="shared" si="2"/>
        <v>24.95</v>
      </c>
      <c r="I249" s="106">
        <f t="shared" si="3"/>
        <v>24.95</v>
      </c>
      <c r="J249" s="126">
        <v>0.0</v>
      </c>
      <c r="K249" s="103">
        <v>0.0</v>
      </c>
      <c r="L249" s="103">
        <v>0.0</v>
      </c>
      <c r="M249" s="127">
        <v>0.0</v>
      </c>
      <c r="N249" s="109" t="str">
        <f t="shared" si="94"/>
        <v>#DIV/0!</v>
      </c>
      <c r="O249" s="110" t="str">
        <f t="shared" si="5"/>
        <v>#DIV/0!</v>
      </c>
      <c r="P249" s="109">
        <f t="shared" si="6"/>
        <v>0</v>
      </c>
      <c r="Q249" s="111">
        <f t="shared" si="7"/>
        <v>0</v>
      </c>
      <c r="R249" s="128">
        <f t="shared" si="93"/>
        <v>24.95</v>
      </c>
      <c r="S249" s="113" t="str">
        <f t="shared" si="9"/>
        <v>#DIV/0!</v>
      </c>
      <c r="T249" s="172"/>
      <c r="U249" s="172"/>
      <c r="V249" s="172"/>
      <c r="W249" s="172"/>
      <c r="X249" s="173"/>
      <c r="Y249" s="165"/>
      <c r="Z249" s="165"/>
    </row>
    <row r="250" hidden="1" outlineLevel="1">
      <c r="A250" s="165"/>
      <c r="B250" s="174"/>
      <c r="C250" s="100" t="s">
        <v>40</v>
      </c>
      <c r="D250" s="129">
        <v>0.0</v>
      </c>
      <c r="E250" s="103">
        <v>0.0</v>
      </c>
      <c r="F250" s="103">
        <v>0.0</v>
      </c>
      <c r="G250" s="104" t="str">
        <f t="shared" si="1"/>
        <v>#DIV/0!</v>
      </c>
      <c r="H250" s="105" t="str">
        <f t="shared" si="2"/>
        <v>#DIV/0!</v>
      </c>
      <c r="I250" s="106" t="str">
        <f t="shared" si="3"/>
        <v>#DIV/0!</v>
      </c>
      <c r="J250" s="129">
        <v>0.0</v>
      </c>
      <c r="K250" s="103">
        <v>0.0</v>
      </c>
      <c r="L250" s="103">
        <v>0.0</v>
      </c>
      <c r="M250" s="130">
        <v>0.0</v>
      </c>
      <c r="N250" s="109" t="str">
        <f t="shared" si="94"/>
        <v>#DIV/0!</v>
      </c>
      <c r="O250" s="110" t="str">
        <f t="shared" si="5"/>
        <v>#DIV/0!</v>
      </c>
      <c r="P250" s="109" t="str">
        <f t="shared" si="6"/>
        <v>#DIV/0!</v>
      </c>
      <c r="Q250" s="111" t="str">
        <f t="shared" si="7"/>
        <v>#DIV/0!</v>
      </c>
      <c r="R250" s="131">
        <f t="shared" si="93"/>
        <v>0</v>
      </c>
      <c r="S250" s="113" t="str">
        <f t="shared" si="9"/>
        <v>#DIV/0!</v>
      </c>
      <c r="T250" s="172"/>
      <c r="U250" s="172"/>
      <c r="V250" s="172"/>
      <c r="W250" s="172"/>
      <c r="X250" s="173"/>
      <c r="Y250" s="165"/>
      <c r="Z250" s="165"/>
    </row>
    <row r="251" hidden="1" outlineLevel="1">
      <c r="A251" s="165"/>
      <c r="B251" s="174"/>
      <c r="C251" s="100" t="s">
        <v>41</v>
      </c>
      <c r="D251" s="132">
        <v>0.0</v>
      </c>
      <c r="E251" s="103">
        <v>0.0</v>
      </c>
      <c r="F251" s="103">
        <v>0.0</v>
      </c>
      <c r="G251" s="104" t="str">
        <f t="shared" si="1"/>
        <v>#DIV/0!</v>
      </c>
      <c r="H251" s="105" t="str">
        <f t="shared" si="2"/>
        <v>#DIV/0!</v>
      </c>
      <c r="I251" s="106" t="str">
        <f t="shared" si="3"/>
        <v>#DIV/0!</v>
      </c>
      <c r="J251" s="132">
        <v>0.0</v>
      </c>
      <c r="K251" s="103">
        <v>0.0</v>
      </c>
      <c r="L251" s="103">
        <v>0.0</v>
      </c>
      <c r="M251" s="133">
        <v>0.0</v>
      </c>
      <c r="N251" s="109" t="str">
        <f t="shared" si="94"/>
        <v>#DIV/0!</v>
      </c>
      <c r="O251" s="110" t="str">
        <f t="shared" si="5"/>
        <v>#DIV/0!</v>
      </c>
      <c r="P251" s="109" t="str">
        <f t="shared" si="6"/>
        <v>#DIV/0!</v>
      </c>
      <c r="Q251" s="111" t="str">
        <f t="shared" si="7"/>
        <v>#DIV/0!</v>
      </c>
      <c r="R251" s="134">
        <f t="shared" si="93"/>
        <v>0</v>
      </c>
      <c r="S251" s="113" t="str">
        <f t="shared" si="9"/>
        <v>#DIV/0!</v>
      </c>
      <c r="T251" s="172"/>
      <c r="U251" s="172"/>
      <c r="V251" s="172"/>
      <c r="W251" s="172"/>
      <c r="X251" s="173"/>
      <c r="Y251" s="165"/>
      <c r="Z251" s="165"/>
    </row>
    <row r="252" hidden="1" outlineLevel="1">
      <c r="A252" s="165"/>
      <c r="B252" s="174"/>
      <c r="C252" s="100" t="s">
        <v>42</v>
      </c>
      <c r="D252" s="120">
        <v>0.0</v>
      </c>
      <c r="E252" s="103">
        <v>0.0</v>
      </c>
      <c r="F252" s="103">
        <v>0.0</v>
      </c>
      <c r="G252" s="104" t="str">
        <f t="shared" si="1"/>
        <v>#DIV/0!</v>
      </c>
      <c r="H252" s="105" t="str">
        <f t="shared" si="2"/>
        <v>#DIV/0!</v>
      </c>
      <c r="I252" s="106" t="str">
        <f t="shared" si="3"/>
        <v>#DIV/0!</v>
      </c>
      <c r="J252" s="120">
        <v>3.2</v>
      </c>
      <c r="K252" s="103">
        <v>13667.0</v>
      </c>
      <c r="L252" s="103">
        <v>0.0</v>
      </c>
      <c r="M252" s="121">
        <v>0.0</v>
      </c>
      <c r="N252" s="109" t="str">
        <f t="shared" si="94"/>
        <v>#DIV/0!</v>
      </c>
      <c r="O252" s="110">
        <f t="shared" si="5"/>
        <v>0</v>
      </c>
      <c r="P252" s="109" t="str">
        <f t="shared" si="6"/>
        <v>#DIV/0!</v>
      </c>
      <c r="Q252" s="111" t="str">
        <f t="shared" si="7"/>
        <v>#DIV/0!</v>
      </c>
      <c r="R252" s="122">
        <f t="shared" si="93"/>
        <v>0</v>
      </c>
      <c r="S252" s="113" t="str">
        <f t="shared" si="9"/>
        <v>#DIV/0!</v>
      </c>
      <c r="T252" s="172"/>
      <c r="U252" s="172"/>
      <c r="V252" s="172"/>
      <c r="W252" s="172"/>
      <c r="X252" s="173"/>
      <c r="Y252" s="165"/>
      <c r="Z252" s="165"/>
    </row>
    <row r="253" hidden="1" outlineLevel="1">
      <c r="A253" s="165"/>
      <c r="B253" s="174"/>
      <c r="C253" s="100" t="s">
        <v>43</v>
      </c>
      <c r="D253" s="135">
        <v>0.0</v>
      </c>
      <c r="E253" s="103">
        <v>0.0</v>
      </c>
      <c r="F253" s="103">
        <v>0.0</v>
      </c>
      <c r="G253" s="104" t="str">
        <f t="shared" si="1"/>
        <v>#DIV/0!</v>
      </c>
      <c r="H253" s="105" t="str">
        <f t="shared" si="2"/>
        <v>#DIV/0!</v>
      </c>
      <c r="I253" s="106" t="str">
        <f t="shared" si="3"/>
        <v>#DIV/0!</v>
      </c>
      <c r="J253" s="135">
        <v>10.17</v>
      </c>
      <c r="K253" s="103">
        <v>24031.0</v>
      </c>
      <c r="L253" s="103">
        <v>0.0</v>
      </c>
      <c r="M253" s="136">
        <v>0.0</v>
      </c>
      <c r="N253" s="109" t="str">
        <f t="shared" si="94"/>
        <v>#DIV/0!</v>
      </c>
      <c r="O253" s="110">
        <f t="shared" si="5"/>
        <v>0</v>
      </c>
      <c r="P253" s="109" t="str">
        <f t="shared" si="6"/>
        <v>#DIV/0!</v>
      </c>
      <c r="Q253" s="111" t="str">
        <f t="shared" si="7"/>
        <v>#DIV/0!</v>
      </c>
      <c r="R253" s="137">
        <f t="shared" si="93"/>
        <v>0</v>
      </c>
      <c r="S253" s="113" t="str">
        <f t="shared" si="9"/>
        <v>#DIV/0!</v>
      </c>
      <c r="T253" s="172"/>
      <c r="U253" s="172"/>
      <c r="V253" s="172"/>
      <c r="W253" s="172"/>
      <c r="X253" s="173"/>
      <c r="Y253" s="165"/>
      <c r="Z253" s="165"/>
    </row>
    <row r="254" hidden="1" outlineLevel="1">
      <c r="A254" s="165"/>
      <c r="B254" s="174"/>
      <c r="C254" s="100" t="s">
        <v>44</v>
      </c>
      <c r="D254" s="138">
        <v>44.95</v>
      </c>
      <c r="E254" s="103">
        <v>1.0</v>
      </c>
      <c r="F254" s="103">
        <v>1.0</v>
      </c>
      <c r="G254" s="104">
        <f t="shared" si="1"/>
        <v>1</v>
      </c>
      <c r="H254" s="105">
        <f t="shared" si="2"/>
        <v>44.95</v>
      </c>
      <c r="I254" s="106">
        <f t="shared" si="3"/>
        <v>44.95</v>
      </c>
      <c r="J254" s="138">
        <v>31.07</v>
      </c>
      <c r="K254" s="103">
        <v>10216.0</v>
      </c>
      <c r="L254" s="103">
        <v>0.0</v>
      </c>
      <c r="M254" s="139">
        <v>0.0</v>
      </c>
      <c r="N254" s="109" t="str">
        <f t="shared" si="94"/>
        <v>#DIV/0!</v>
      </c>
      <c r="O254" s="110">
        <f t="shared" si="5"/>
        <v>0</v>
      </c>
      <c r="P254" s="109">
        <f t="shared" si="6"/>
        <v>0.6912124583</v>
      </c>
      <c r="Q254" s="111">
        <f t="shared" si="7"/>
        <v>0</v>
      </c>
      <c r="R254" s="140">
        <f t="shared" si="93"/>
        <v>44.95</v>
      </c>
      <c r="S254" s="113" t="str">
        <f t="shared" si="9"/>
        <v>#DIV/0!</v>
      </c>
      <c r="T254" s="172"/>
      <c r="U254" s="172"/>
      <c r="V254" s="172"/>
      <c r="W254" s="172"/>
      <c r="X254" s="173"/>
      <c r="Y254" s="165"/>
      <c r="Z254" s="165"/>
    </row>
    <row r="255" hidden="1" outlineLevel="1">
      <c r="A255" s="192"/>
      <c r="B255" s="174"/>
      <c r="C255" s="142" t="s">
        <v>45</v>
      </c>
      <c r="D255" s="101">
        <v>0.0</v>
      </c>
      <c r="E255" s="103">
        <v>0.0</v>
      </c>
      <c r="F255" s="103">
        <v>0.0</v>
      </c>
      <c r="G255" s="104" t="str">
        <f t="shared" si="1"/>
        <v>#DIV/0!</v>
      </c>
      <c r="H255" s="105" t="str">
        <f t="shared" si="2"/>
        <v>#DIV/0!</v>
      </c>
      <c r="I255" s="106" t="str">
        <f t="shared" si="3"/>
        <v>#DIV/0!</v>
      </c>
      <c r="J255" s="101">
        <v>0.0</v>
      </c>
      <c r="K255" s="103">
        <v>0.0</v>
      </c>
      <c r="L255" s="103">
        <v>0.0</v>
      </c>
      <c r="M255" s="108">
        <v>0.0</v>
      </c>
      <c r="N255" s="109" t="str">
        <f t="shared" si="94"/>
        <v>#DIV/0!</v>
      </c>
      <c r="O255" s="110" t="str">
        <f t="shared" si="5"/>
        <v>#DIV/0!</v>
      </c>
      <c r="P255" s="109" t="str">
        <f t="shared" si="6"/>
        <v>#DIV/0!</v>
      </c>
      <c r="Q255" s="111" t="str">
        <f t="shared" si="7"/>
        <v>#DIV/0!</v>
      </c>
      <c r="R255" s="112">
        <f t="shared" si="93"/>
        <v>0</v>
      </c>
      <c r="S255" s="113" t="str">
        <f t="shared" si="9"/>
        <v>#DIV/0!</v>
      </c>
      <c r="T255" s="193"/>
      <c r="U255" s="193"/>
      <c r="V255" s="193"/>
      <c r="W255" s="194"/>
      <c r="X255" s="195"/>
      <c r="Y255" s="165"/>
      <c r="Z255" s="165"/>
    </row>
    <row r="256" hidden="1" outlineLevel="1">
      <c r="A256" s="165"/>
      <c r="B256" s="174"/>
      <c r="C256" s="100" t="s">
        <v>46</v>
      </c>
      <c r="D256" s="146">
        <v>539.4</v>
      </c>
      <c r="E256" s="103">
        <v>12.0</v>
      </c>
      <c r="F256" s="103">
        <v>13.0</v>
      </c>
      <c r="G256" s="104">
        <f t="shared" si="1"/>
        <v>0.9230769231</v>
      </c>
      <c r="H256" s="105">
        <f t="shared" si="2"/>
        <v>44.95</v>
      </c>
      <c r="I256" s="106">
        <f t="shared" si="3"/>
        <v>48.69583333</v>
      </c>
      <c r="J256" s="146">
        <v>89.44</v>
      </c>
      <c r="K256" s="103">
        <v>31575.0</v>
      </c>
      <c r="L256" s="103">
        <v>4.0</v>
      </c>
      <c r="M256" s="147">
        <v>179.8</v>
      </c>
      <c r="N256" s="109">
        <f t="shared" si="94"/>
        <v>0.4974416018</v>
      </c>
      <c r="O256" s="110">
        <f t="shared" si="5"/>
        <v>2.010286225</v>
      </c>
      <c r="P256" s="109">
        <f t="shared" si="6"/>
        <v>0.1658138673</v>
      </c>
      <c r="Q256" s="111">
        <f t="shared" si="7"/>
        <v>0.3333333333</v>
      </c>
      <c r="R256" s="112">
        <f t="shared" si="93"/>
        <v>359.6</v>
      </c>
      <c r="S256" s="113">
        <f t="shared" si="9"/>
        <v>22.36</v>
      </c>
      <c r="T256" s="172"/>
      <c r="U256" s="172"/>
      <c r="V256" s="172"/>
      <c r="W256" s="172"/>
      <c r="X256" s="173"/>
      <c r="Y256" s="165"/>
      <c r="Z256" s="165"/>
    </row>
    <row r="257" hidden="1" outlineLevel="1">
      <c r="A257" s="165"/>
      <c r="B257" s="174"/>
      <c r="C257" s="100" t="s">
        <v>49</v>
      </c>
      <c r="D257" s="146">
        <v>0.0</v>
      </c>
      <c r="E257" s="103">
        <v>0.0</v>
      </c>
      <c r="F257" s="103">
        <v>0.0</v>
      </c>
      <c r="G257" s="104" t="str">
        <f t="shared" si="1"/>
        <v>#DIV/0!</v>
      </c>
      <c r="H257" s="105" t="str">
        <f t="shared" si="2"/>
        <v>#DIV/0!</v>
      </c>
      <c r="I257" s="106" t="str">
        <f t="shared" si="3"/>
        <v>#DIV/0!</v>
      </c>
      <c r="J257" s="146">
        <v>1.92</v>
      </c>
      <c r="K257" s="103">
        <v>4938.0</v>
      </c>
      <c r="L257" s="103">
        <v>0.0</v>
      </c>
      <c r="M257" s="147">
        <v>0.0</v>
      </c>
      <c r="N257" s="109" t="str">
        <f t="shared" si="94"/>
        <v>#DIV/0!</v>
      </c>
      <c r="O257" s="110">
        <f t="shared" si="5"/>
        <v>0</v>
      </c>
      <c r="P257" s="109" t="str">
        <f t="shared" si="6"/>
        <v>#DIV/0!</v>
      </c>
      <c r="Q257" s="111" t="str">
        <f t="shared" si="7"/>
        <v>#DIV/0!</v>
      </c>
      <c r="R257" s="112">
        <f t="shared" si="93"/>
        <v>0</v>
      </c>
      <c r="S257" s="113" t="str">
        <f t="shared" si="9"/>
        <v>#DIV/0!</v>
      </c>
      <c r="T257" s="172"/>
      <c r="U257" s="172"/>
      <c r="V257" s="172"/>
      <c r="W257" s="172"/>
      <c r="X257" s="173"/>
      <c r="Y257" s="165"/>
      <c r="Z257" s="165"/>
    </row>
    <row r="258" hidden="1" outlineLevel="1">
      <c r="A258" s="148" t="str">
        <f t="shared" ref="A258:A259" si="95">iferror(if(B258&gt;0,month(B258)&amp;"-"&amp;year(B258),B258),)</f>
        <v>5-2025</v>
      </c>
      <c r="B258" s="99">
        <v>45801.0</v>
      </c>
      <c r="C258" s="277" t="s">
        <v>67</v>
      </c>
      <c r="D258" s="146">
        <v>0.0</v>
      </c>
      <c r="E258" s="103">
        <v>0.0</v>
      </c>
      <c r="F258" s="103">
        <v>0.0</v>
      </c>
      <c r="G258" s="104" t="str">
        <f t="shared" si="1"/>
        <v>#DIV/0!</v>
      </c>
      <c r="H258" s="105" t="str">
        <f t="shared" si="2"/>
        <v>#DIV/0!</v>
      </c>
      <c r="I258" s="106" t="str">
        <f t="shared" si="3"/>
        <v>#DIV/0!</v>
      </c>
      <c r="J258" s="117">
        <v>81.88999999999999</v>
      </c>
      <c r="K258" s="409">
        <v>20270.0</v>
      </c>
      <c r="L258" s="412">
        <v>0.0</v>
      </c>
      <c r="M258" s="118">
        <v>329.84999999999997</v>
      </c>
      <c r="N258" s="109">
        <f t="shared" si="94"/>
        <v>0.2482643626</v>
      </c>
      <c r="O258" s="110">
        <f t="shared" si="5"/>
        <v>4.027964342</v>
      </c>
      <c r="P258" s="109" t="str">
        <f t="shared" si="6"/>
        <v>#DIV/0!</v>
      </c>
      <c r="Q258" s="111" t="str">
        <f t="shared" si="7"/>
        <v>#DIV/0!</v>
      </c>
      <c r="R258" s="112">
        <f t="shared" si="93"/>
        <v>-329.85</v>
      </c>
      <c r="S258" s="113" t="str">
        <f t="shared" si="9"/>
        <v>#DIV/0!</v>
      </c>
      <c r="T258" s="172"/>
      <c r="U258" s="172"/>
      <c r="V258" s="172"/>
      <c r="W258" s="172"/>
      <c r="X258" s="173"/>
      <c r="Y258" s="165"/>
      <c r="Z258" s="165"/>
    </row>
    <row r="259" collapsed="1">
      <c r="A259" s="165" t="str">
        <f t="shared" si="95"/>
        <v/>
      </c>
      <c r="B259" s="80" t="s">
        <v>108</v>
      </c>
      <c r="C259" s="201"/>
      <c r="D259" s="151">
        <f t="shared" ref="D259:F259" si="96">SUM(D241:D258)</f>
        <v>5994.33</v>
      </c>
      <c r="E259" s="153">
        <f t="shared" si="96"/>
        <v>54</v>
      </c>
      <c r="F259" s="153">
        <f t="shared" si="96"/>
        <v>55</v>
      </c>
      <c r="G259" s="154">
        <f t="shared" si="1"/>
        <v>0.9818181818</v>
      </c>
      <c r="H259" s="155">
        <f t="shared" si="2"/>
        <v>111.0061111</v>
      </c>
      <c r="I259" s="156">
        <f t="shared" si="3"/>
        <v>113.0617798</v>
      </c>
      <c r="J259" s="151">
        <f t="shared" ref="J259:M259" si="97">SUM(J241:J258)</f>
        <v>743.84</v>
      </c>
      <c r="K259" s="153">
        <f t="shared" si="97"/>
        <v>289203</v>
      </c>
      <c r="L259" s="153">
        <f t="shared" si="97"/>
        <v>15</v>
      </c>
      <c r="M259" s="157">
        <f t="shared" si="97"/>
        <v>3558.4</v>
      </c>
      <c r="N259" s="158">
        <f t="shared" si="94"/>
        <v>0.2090377698</v>
      </c>
      <c r="O259" s="159">
        <f t="shared" si="5"/>
        <v>4.783824478</v>
      </c>
      <c r="P259" s="158">
        <f t="shared" si="6"/>
        <v>0.1240905989</v>
      </c>
      <c r="Q259" s="160">
        <f t="shared" si="7"/>
        <v>0.5936276448</v>
      </c>
      <c r="R259" s="161">
        <f>SUM(R241:R258)</f>
        <v>2435.93</v>
      </c>
      <c r="S259" s="162">
        <f t="shared" si="9"/>
        <v>49.58933333</v>
      </c>
      <c r="T259" s="399">
        <f t="shared" ref="T259:U259" si="98">IFERROR((D259-D69)/D259,)</f>
        <v>-0.2647485207</v>
      </c>
      <c r="U259" s="399">
        <f t="shared" si="98"/>
        <v>-0.7407407407</v>
      </c>
      <c r="V259" s="398" t="str">
        <f t="shared" ref="V259:W259" si="99">IFERROR((D259-monthly_reporting_2021!D50)/D259, )</f>
        <v/>
      </c>
      <c r="W259" s="398" t="str">
        <f t="shared" si="99"/>
        <v/>
      </c>
      <c r="X259" s="165"/>
      <c r="Y259" s="165"/>
      <c r="Z259" s="165"/>
    </row>
    <row r="260" hidden="1" outlineLevel="1">
      <c r="A260" s="165"/>
      <c r="B260" s="99">
        <v>45802.0</v>
      </c>
      <c r="C260" s="100" t="s">
        <v>32</v>
      </c>
      <c r="D260" s="101">
        <v>3901.4</v>
      </c>
      <c r="E260" s="103">
        <v>25.0</v>
      </c>
      <c r="F260" s="103">
        <v>22.0</v>
      </c>
      <c r="G260" s="104">
        <f t="shared" si="1"/>
        <v>1.136363636</v>
      </c>
      <c r="H260" s="105">
        <f t="shared" si="2"/>
        <v>156.056</v>
      </c>
      <c r="I260" s="106">
        <f t="shared" si="3"/>
        <v>137.32928</v>
      </c>
      <c r="J260" s="107">
        <v>313.7</v>
      </c>
      <c r="K260" s="103">
        <v>92402.0</v>
      </c>
      <c r="L260" s="103">
        <v>10.0</v>
      </c>
      <c r="M260" s="108">
        <v>1774.15</v>
      </c>
      <c r="N260" s="109">
        <f t="shared" si="94"/>
        <v>0.1768170673</v>
      </c>
      <c r="O260" s="110">
        <f t="shared" si="5"/>
        <v>5.655562639</v>
      </c>
      <c r="P260" s="109">
        <f t="shared" si="6"/>
        <v>0.08040703337</v>
      </c>
      <c r="Q260" s="111">
        <f t="shared" si="7"/>
        <v>0.4547470139</v>
      </c>
      <c r="R260" s="112">
        <f t="shared" ref="R260:R277" si="100">D260-M260</f>
        <v>2127.25</v>
      </c>
      <c r="S260" s="113">
        <f t="shared" si="9"/>
        <v>31.37</v>
      </c>
      <c r="T260" s="172"/>
      <c r="U260" s="172"/>
      <c r="V260" s="172"/>
      <c r="W260" s="172"/>
      <c r="X260" s="173"/>
      <c r="Y260" s="165"/>
      <c r="Z260" s="165"/>
    </row>
    <row r="261" hidden="1" outlineLevel="1">
      <c r="A261" s="165"/>
      <c r="B261" s="174"/>
      <c r="C261" s="100" t="s">
        <v>33</v>
      </c>
      <c r="D261" s="117">
        <v>2261.8</v>
      </c>
      <c r="E261" s="103">
        <v>10.0</v>
      </c>
      <c r="F261" s="103">
        <v>12.0</v>
      </c>
      <c r="G261" s="104">
        <f t="shared" si="1"/>
        <v>0.8333333333</v>
      </c>
      <c r="H261" s="105">
        <f t="shared" si="2"/>
        <v>226.18</v>
      </c>
      <c r="I261" s="106">
        <f t="shared" si="3"/>
        <v>271.416</v>
      </c>
      <c r="J261" s="117">
        <v>158.74</v>
      </c>
      <c r="K261" s="103">
        <v>77568.0</v>
      </c>
      <c r="L261" s="103">
        <v>2.0</v>
      </c>
      <c r="M261" s="118">
        <v>59.95</v>
      </c>
      <c r="N261" s="109">
        <f t="shared" si="94"/>
        <v>2.647873228</v>
      </c>
      <c r="O261" s="110">
        <f t="shared" si="5"/>
        <v>0.377661585</v>
      </c>
      <c r="P261" s="109">
        <f t="shared" si="6"/>
        <v>0.07018304006</v>
      </c>
      <c r="Q261" s="111">
        <f t="shared" si="7"/>
        <v>0.02650543815</v>
      </c>
      <c r="R261" s="119">
        <f t="shared" si="100"/>
        <v>2201.85</v>
      </c>
      <c r="S261" s="113">
        <f t="shared" si="9"/>
        <v>79.37</v>
      </c>
      <c r="T261" s="172"/>
      <c r="U261" s="172"/>
      <c r="V261" s="172"/>
      <c r="W261" s="172"/>
      <c r="X261" s="173"/>
      <c r="Y261" s="165"/>
      <c r="Z261" s="165"/>
    </row>
    <row r="262" hidden="1" outlineLevel="1">
      <c r="A262" s="165"/>
      <c r="B262" s="174"/>
      <c r="C262" s="100" t="s">
        <v>34</v>
      </c>
      <c r="D262" s="120">
        <v>0.0</v>
      </c>
      <c r="E262" s="103">
        <v>0.0</v>
      </c>
      <c r="F262" s="103">
        <v>0.0</v>
      </c>
      <c r="G262" s="104" t="str">
        <f t="shared" si="1"/>
        <v>#DIV/0!</v>
      </c>
      <c r="H262" s="105" t="str">
        <f t="shared" si="2"/>
        <v>#DIV/0!</v>
      </c>
      <c r="I262" s="106" t="str">
        <f t="shared" si="3"/>
        <v>#DIV/0!</v>
      </c>
      <c r="J262" s="120">
        <v>0.0</v>
      </c>
      <c r="K262" s="103">
        <v>0.0</v>
      </c>
      <c r="L262" s="103">
        <v>0.0</v>
      </c>
      <c r="M262" s="121">
        <v>0.0</v>
      </c>
      <c r="N262" s="109" t="str">
        <f>(J262/M262)</f>
        <v>#DIV/0!</v>
      </c>
      <c r="O262" s="110" t="str">
        <f t="shared" si="5"/>
        <v>#DIV/0!</v>
      </c>
      <c r="P262" s="109" t="str">
        <f t="shared" si="6"/>
        <v>#DIV/0!</v>
      </c>
      <c r="Q262" s="111" t="str">
        <f t="shared" si="7"/>
        <v>#DIV/0!</v>
      </c>
      <c r="R262" s="122">
        <f t="shared" si="100"/>
        <v>0</v>
      </c>
      <c r="S262" s="113" t="str">
        <f t="shared" si="9"/>
        <v>#DIV/0!</v>
      </c>
      <c r="T262" s="172"/>
      <c r="U262" s="172"/>
      <c r="V262" s="172"/>
      <c r="W262" s="172"/>
      <c r="X262" s="173"/>
      <c r="Y262" s="165"/>
      <c r="Z262" s="165"/>
    </row>
    <row r="263" hidden="1" outlineLevel="1">
      <c r="A263" s="165"/>
      <c r="B263" s="174"/>
      <c r="C263" s="100" t="s">
        <v>35</v>
      </c>
      <c r="D263" s="120">
        <v>377.7</v>
      </c>
      <c r="E263" s="103">
        <v>6.0</v>
      </c>
      <c r="F263" s="103">
        <v>5.0</v>
      </c>
      <c r="G263" s="104">
        <f t="shared" si="1"/>
        <v>1.2</v>
      </c>
      <c r="H263" s="105">
        <f t="shared" si="2"/>
        <v>62.95</v>
      </c>
      <c r="I263" s="106">
        <f t="shared" si="3"/>
        <v>52.45833333</v>
      </c>
      <c r="J263" s="120">
        <v>0.0</v>
      </c>
      <c r="K263" s="103">
        <v>0.0</v>
      </c>
      <c r="L263" s="103">
        <v>0.0</v>
      </c>
      <c r="M263" s="121">
        <v>0.0</v>
      </c>
      <c r="N263" s="109" t="str">
        <f t="shared" ref="N263:N280" si="101">J263/M263</f>
        <v>#DIV/0!</v>
      </c>
      <c r="O263" s="110" t="str">
        <f t="shared" si="5"/>
        <v>#DIV/0!</v>
      </c>
      <c r="P263" s="109">
        <f t="shared" si="6"/>
        <v>0</v>
      </c>
      <c r="Q263" s="111">
        <f t="shared" si="7"/>
        <v>0</v>
      </c>
      <c r="R263" s="122">
        <f t="shared" si="100"/>
        <v>377.7</v>
      </c>
      <c r="S263" s="113" t="str">
        <f t="shared" si="9"/>
        <v>#DIV/0!</v>
      </c>
      <c r="T263" s="172"/>
      <c r="U263" s="172"/>
      <c r="V263" s="172"/>
      <c r="W263" s="172"/>
      <c r="X263" s="173"/>
      <c r="Y263" s="165"/>
      <c r="Z263" s="165"/>
    </row>
    <row r="264" hidden="1" outlineLevel="1">
      <c r="A264" s="165"/>
      <c r="B264" s="174"/>
      <c r="C264" s="100" t="s">
        <v>65</v>
      </c>
      <c r="D264" s="300">
        <v>0.0</v>
      </c>
      <c r="E264" s="103">
        <v>0.0</v>
      </c>
      <c r="F264" s="103">
        <v>0.0</v>
      </c>
      <c r="G264" s="104" t="str">
        <f t="shared" si="1"/>
        <v>#DIV/0!</v>
      </c>
      <c r="H264" s="105" t="str">
        <f t="shared" si="2"/>
        <v>#DIV/0!</v>
      </c>
      <c r="I264" s="106" t="str">
        <f t="shared" si="3"/>
        <v>#DIV/0!</v>
      </c>
      <c r="J264" s="300">
        <v>0.0</v>
      </c>
      <c r="K264" s="103">
        <v>0.0</v>
      </c>
      <c r="L264" s="103">
        <v>0.0</v>
      </c>
      <c r="M264" s="300">
        <v>0.0</v>
      </c>
      <c r="N264" s="109" t="str">
        <f t="shared" si="101"/>
        <v>#DIV/0!</v>
      </c>
      <c r="O264" s="110" t="str">
        <f t="shared" si="5"/>
        <v>#DIV/0!</v>
      </c>
      <c r="P264" s="109" t="str">
        <f t="shared" si="6"/>
        <v>#DIV/0!</v>
      </c>
      <c r="Q264" s="111" t="str">
        <f t="shared" si="7"/>
        <v>#DIV/0!</v>
      </c>
      <c r="R264" s="122">
        <f t="shared" si="100"/>
        <v>0</v>
      </c>
      <c r="S264" s="113" t="str">
        <f t="shared" si="9"/>
        <v>#DIV/0!</v>
      </c>
      <c r="T264" s="172"/>
      <c r="U264" s="172"/>
      <c r="V264" s="172"/>
      <c r="W264" s="172"/>
      <c r="X264" s="173"/>
      <c r="Y264" s="165"/>
      <c r="Z264" s="165"/>
    </row>
    <row r="265" hidden="1" outlineLevel="1">
      <c r="A265" s="165"/>
      <c r="B265" s="174"/>
      <c r="C265" s="100" t="s">
        <v>85</v>
      </c>
      <c r="D265" s="302">
        <v>0.0</v>
      </c>
      <c r="E265" s="103">
        <v>0.0</v>
      </c>
      <c r="F265" s="103">
        <v>0.0</v>
      </c>
      <c r="G265" s="104" t="str">
        <f t="shared" si="1"/>
        <v>#DIV/0!</v>
      </c>
      <c r="H265" s="105" t="str">
        <f t="shared" si="2"/>
        <v>#DIV/0!</v>
      </c>
      <c r="I265" s="106" t="str">
        <f t="shared" si="3"/>
        <v>#DIV/0!</v>
      </c>
      <c r="J265" s="302">
        <v>0.0</v>
      </c>
      <c r="K265" s="103">
        <v>0.0</v>
      </c>
      <c r="L265" s="103">
        <v>0.0</v>
      </c>
      <c r="M265" s="303">
        <v>0.0</v>
      </c>
      <c r="N265" s="109" t="str">
        <f t="shared" si="101"/>
        <v>#DIV/0!</v>
      </c>
      <c r="O265" s="110" t="str">
        <f t="shared" si="5"/>
        <v>#DIV/0!</v>
      </c>
      <c r="P265" s="109" t="str">
        <f t="shared" si="6"/>
        <v>#DIV/0!</v>
      </c>
      <c r="Q265" s="111" t="str">
        <f t="shared" si="7"/>
        <v>#DIV/0!</v>
      </c>
      <c r="R265" s="304">
        <f t="shared" si="100"/>
        <v>0</v>
      </c>
      <c r="S265" s="113" t="str">
        <f t="shared" si="9"/>
        <v>#DIV/0!</v>
      </c>
      <c r="T265" s="172"/>
      <c r="U265" s="172"/>
      <c r="V265" s="172"/>
      <c r="W265" s="172"/>
      <c r="X265" s="173"/>
      <c r="Y265" s="165"/>
      <c r="Z265" s="165"/>
    </row>
    <row r="266" hidden="1" outlineLevel="1">
      <c r="A266" s="165"/>
      <c r="B266" s="174"/>
      <c r="C266" s="100" t="s">
        <v>36</v>
      </c>
      <c r="D266" s="120">
        <v>0.0</v>
      </c>
      <c r="E266" s="103">
        <v>0.0</v>
      </c>
      <c r="F266" s="103">
        <v>0.0</v>
      </c>
      <c r="G266" s="104" t="str">
        <f t="shared" si="1"/>
        <v>#DIV/0!</v>
      </c>
      <c r="H266" s="105" t="str">
        <f t="shared" si="2"/>
        <v>#DIV/0!</v>
      </c>
      <c r="I266" s="106" t="str">
        <f t="shared" si="3"/>
        <v>#DIV/0!</v>
      </c>
      <c r="J266" s="120">
        <v>0.0</v>
      </c>
      <c r="K266" s="103">
        <v>0.0</v>
      </c>
      <c r="L266" s="103">
        <v>0.0</v>
      </c>
      <c r="M266" s="121">
        <v>0.0</v>
      </c>
      <c r="N266" s="109" t="str">
        <f t="shared" si="101"/>
        <v>#DIV/0!</v>
      </c>
      <c r="O266" s="110" t="str">
        <f t="shared" si="5"/>
        <v>#DIV/0!</v>
      </c>
      <c r="P266" s="109" t="str">
        <f t="shared" si="6"/>
        <v>#DIV/0!</v>
      </c>
      <c r="Q266" s="111" t="str">
        <f t="shared" si="7"/>
        <v>#DIV/0!</v>
      </c>
      <c r="R266" s="122">
        <f t="shared" si="100"/>
        <v>0</v>
      </c>
      <c r="S266" s="113" t="str">
        <f t="shared" si="9"/>
        <v>#DIV/0!</v>
      </c>
      <c r="T266" s="172"/>
      <c r="U266" s="172"/>
      <c r="V266" s="172"/>
      <c r="W266" s="172"/>
      <c r="X266" s="173"/>
      <c r="Y266" s="165"/>
      <c r="Z266" s="165"/>
    </row>
    <row r="267" hidden="1" outlineLevel="1">
      <c r="A267" s="165"/>
      <c r="B267" s="99" t="s">
        <v>37</v>
      </c>
      <c r="C267" s="100" t="s">
        <v>38</v>
      </c>
      <c r="D267" s="123">
        <v>135.84</v>
      </c>
      <c r="E267" s="103">
        <v>4.0</v>
      </c>
      <c r="F267" s="103">
        <v>4.0</v>
      </c>
      <c r="G267" s="104">
        <f t="shared" si="1"/>
        <v>1</v>
      </c>
      <c r="H267" s="105">
        <f t="shared" si="2"/>
        <v>33.96</v>
      </c>
      <c r="I267" s="106">
        <f t="shared" si="3"/>
        <v>33.96</v>
      </c>
      <c r="J267" s="123">
        <v>51.1</v>
      </c>
      <c r="K267" s="103">
        <v>16493.0</v>
      </c>
      <c r="L267" s="103">
        <v>0.0</v>
      </c>
      <c r="M267" s="124">
        <v>0.0</v>
      </c>
      <c r="N267" s="109" t="str">
        <f t="shared" si="101"/>
        <v>#DIV/0!</v>
      </c>
      <c r="O267" s="110">
        <f t="shared" si="5"/>
        <v>0</v>
      </c>
      <c r="P267" s="109">
        <f t="shared" si="6"/>
        <v>0.3761778563</v>
      </c>
      <c r="Q267" s="111">
        <f t="shared" si="7"/>
        <v>0</v>
      </c>
      <c r="R267" s="125">
        <f t="shared" si="100"/>
        <v>135.84</v>
      </c>
      <c r="S267" s="113" t="str">
        <f t="shared" si="9"/>
        <v>#DIV/0!</v>
      </c>
      <c r="T267" s="172"/>
      <c r="U267" s="172"/>
      <c r="V267" s="172"/>
      <c r="W267" s="172"/>
      <c r="X267" s="173"/>
      <c r="Y267" s="165"/>
      <c r="Z267" s="165"/>
    </row>
    <row r="268" hidden="1" outlineLevel="1">
      <c r="A268" s="165"/>
      <c r="B268" s="174"/>
      <c r="C268" s="100" t="s">
        <v>39</v>
      </c>
      <c r="D268" s="126">
        <v>0.0</v>
      </c>
      <c r="E268" s="103">
        <v>0.0</v>
      </c>
      <c r="F268" s="103">
        <v>0.0</v>
      </c>
      <c r="G268" s="104" t="str">
        <f t="shared" si="1"/>
        <v>#DIV/0!</v>
      </c>
      <c r="H268" s="105" t="str">
        <f t="shared" si="2"/>
        <v>#DIV/0!</v>
      </c>
      <c r="I268" s="106" t="str">
        <f t="shared" si="3"/>
        <v>#DIV/0!</v>
      </c>
      <c r="J268" s="126">
        <v>0.0</v>
      </c>
      <c r="K268" s="103">
        <v>0.0</v>
      </c>
      <c r="L268" s="103">
        <v>0.0</v>
      </c>
      <c r="M268" s="127">
        <v>0.0</v>
      </c>
      <c r="N268" s="109" t="str">
        <f t="shared" si="101"/>
        <v>#DIV/0!</v>
      </c>
      <c r="O268" s="110" t="str">
        <f t="shared" si="5"/>
        <v>#DIV/0!</v>
      </c>
      <c r="P268" s="109" t="str">
        <f t="shared" si="6"/>
        <v>#DIV/0!</v>
      </c>
      <c r="Q268" s="111" t="str">
        <f t="shared" si="7"/>
        <v>#DIV/0!</v>
      </c>
      <c r="R268" s="128">
        <f t="shared" si="100"/>
        <v>0</v>
      </c>
      <c r="S268" s="113" t="str">
        <f t="shared" si="9"/>
        <v>#DIV/0!</v>
      </c>
      <c r="T268" s="172"/>
      <c r="U268" s="172"/>
      <c r="V268" s="172"/>
      <c r="W268" s="172"/>
      <c r="X268" s="173"/>
      <c r="Y268" s="165"/>
      <c r="Z268" s="165"/>
    </row>
    <row r="269" hidden="1" outlineLevel="1">
      <c r="A269" s="165"/>
      <c r="B269" s="174"/>
      <c r="C269" s="100" t="s">
        <v>40</v>
      </c>
      <c r="D269" s="129">
        <v>0.0</v>
      </c>
      <c r="E269" s="103">
        <v>0.0</v>
      </c>
      <c r="F269" s="103">
        <v>0.0</v>
      </c>
      <c r="G269" s="104" t="str">
        <f t="shared" si="1"/>
        <v>#DIV/0!</v>
      </c>
      <c r="H269" s="105" t="str">
        <f t="shared" si="2"/>
        <v>#DIV/0!</v>
      </c>
      <c r="I269" s="106" t="str">
        <f t="shared" si="3"/>
        <v>#DIV/0!</v>
      </c>
      <c r="J269" s="129">
        <v>0.0</v>
      </c>
      <c r="K269" s="103">
        <v>0.0</v>
      </c>
      <c r="L269" s="103">
        <v>0.0</v>
      </c>
      <c r="M269" s="130">
        <v>0.0</v>
      </c>
      <c r="N269" s="109" t="str">
        <f t="shared" si="101"/>
        <v>#DIV/0!</v>
      </c>
      <c r="O269" s="110" t="str">
        <f t="shared" si="5"/>
        <v>#DIV/0!</v>
      </c>
      <c r="P269" s="109" t="str">
        <f t="shared" si="6"/>
        <v>#DIV/0!</v>
      </c>
      <c r="Q269" s="111" t="str">
        <f t="shared" si="7"/>
        <v>#DIV/0!</v>
      </c>
      <c r="R269" s="131">
        <f t="shared" si="100"/>
        <v>0</v>
      </c>
      <c r="S269" s="113" t="str">
        <f t="shared" si="9"/>
        <v>#DIV/0!</v>
      </c>
      <c r="T269" s="172"/>
      <c r="U269" s="172"/>
      <c r="V269" s="172"/>
      <c r="W269" s="172"/>
      <c r="X269" s="173"/>
      <c r="Y269" s="165"/>
      <c r="Z269" s="165"/>
    </row>
    <row r="270" hidden="1" outlineLevel="1">
      <c r="A270" s="165"/>
      <c r="B270" s="174"/>
      <c r="C270" s="100" t="s">
        <v>41</v>
      </c>
      <c r="D270" s="132">
        <v>0.0</v>
      </c>
      <c r="E270" s="103">
        <v>0.0</v>
      </c>
      <c r="F270" s="103">
        <v>0.0</v>
      </c>
      <c r="G270" s="104" t="str">
        <f t="shared" si="1"/>
        <v>#DIV/0!</v>
      </c>
      <c r="H270" s="105" t="str">
        <f t="shared" si="2"/>
        <v>#DIV/0!</v>
      </c>
      <c r="I270" s="106" t="str">
        <f t="shared" si="3"/>
        <v>#DIV/0!</v>
      </c>
      <c r="J270" s="132">
        <v>0.0</v>
      </c>
      <c r="K270" s="103">
        <v>0.0</v>
      </c>
      <c r="L270" s="103">
        <v>0.0</v>
      </c>
      <c r="M270" s="133">
        <v>0.0</v>
      </c>
      <c r="N270" s="109" t="str">
        <f t="shared" si="101"/>
        <v>#DIV/0!</v>
      </c>
      <c r="O270" s="110" t="str">
        <f t="shared" si="5"/>
        <v>#DIV/0!</v>
      </c>
      <c r="P270" s="109" t="str">
        <f t="shared" si="6"/>
        <v>#DIV/0!</v>
      </c>
      <c r="Q270" s="111" t="str">
        <f t="shared" si="7"/>
        <v>#DIV/0!</v>
      </c>
      <c r="R270" s="134">
        <f t="shared" si="100"/>
        <v>0</v>
      </c>
      <c r="S270" s="113" t="str">
        <f t="shared" si="9"/>
        <v>#DIV/0!</v>
      </c>
      <c r="T270" s="172"/>
      <c r="U270" s="172"/>
      <c r="V270" s="172"/>
      <c r="W270" s="172"/>
      <c r="X270" s="173"/>
      <c r="Y270" s="165"/>
      <c r="Z270" s="165"/>
    </row>
    <row r="271" hidden="1" outlineLevel="1">
      <c r="A271" s="165"/>
      <c r="B271" s="174"/>
      <c r="C271" s="100" t="s">
        <v>42</v>
      </c>
      <c r="D271" s="120">
        <v>19.99</v>
      </c>
      <c r="E271" s="103">
        <v>1.0</v>
      </c>
      <c r="F271" s="103">
        <v>1.0</v>
      </c>
      <c r="G271" s="104">
        <f t="shared" si="1"/>
        <v>1</v>
      </c>
      <c r="H271" s="105">
        <f t="shared" si="2"/>
        <v>19.99</v>
      </c>
      <c r="I271" s="106">
        <f t="shared" si="3"/>
        <v>19.99</v>
      </c>
      <c r="J271" s="120">
        <v>5.52</v>
      </c>
      <c r="K271" s="103">
        <v>14092.0</v>
      </c>
      <c r="L271" s="103">
        <v>1.0</v>
      </c>
      <c r="M271" s="121">
        <v>19.99</v>
      </c>
      <c r="N271" s="109">
        <f t="shared" si="101"/>
        <v>0.276138069</v>
      </c>
      <c r="O271" s="110">
        <f t="shared" si="5"/>
        <v>3.621376812</v>
      </c>
      <c r="P271" s="109">
        <f t="shared" si="6"/>
        <v>0.276138069</v>
      </c>
      <c r="Q271" s="111">
        <f t="shared" si="7"/>
        <v>1</v>
      </c>
      <c r="R271" s="122">
        <f t="shared" si="100"/>
        <v>0</v>
      </c>
      <c r="S271" s="113">
        <f t="shared" si="9"/>
        <v>5.52</v>
      </c>
      <c r="T271" s="172"/>
      <c r="U271" s="172"/>
      <c r="V271" s="172"/>
      <c r="W271" s="172"/>
      <c r="X271" s="173"/>
      <c r="Y271" s="165"/>
      <c r="Z271" s="165"/>
    </row>
    <row r="272" hidden="1" outlineLevel="1">
      <c r="A272" s="165"/>
      <c r="B272" s="174"/>
      <c r="C272" s="100" t="s">
        <v>43</v>
      </c>
      <c r="D272" s="135">
        <v>159.95</v>
      </c>
      <c r="E272" s="103">
        <v>1.0</v>
      </c>
      <c r="F272" s="103">
        <v>1.0</v>
      </c>
      <c r="G272" s="104">
        <f t="shared" si="1"/>
        <v>1</v>
      </c>
      <c r="H272" s="105">
        <f t="shared" si="2"/>
        <v>159.95</v>
      </c>
      <c r="I272" s="106">
        <f t="shared" si="3"/>
        <v>159.95</v>
      </c>
      <c r="J272" s="135">
        <v>11.55</v>
      </c>
      <c r="K272" s="103">
        <v>22100.0</v>
      </c>
      <c r="L272" s="103">
        <v>0.0</v>
      </c>
      <c r="M272" s="136">
        <v>0.0</v>
      </c>
      <c r="N272" s="109" t="str">
        <f t="shared" si="101"/>
        <v>#DIV/0!</v>
      </c>
      <c r="O272" s="110">
        <f t="shared" si="5"/>
        <v>0</v>
      </c>
      <c r="P272" s="109">
        <f t="shared" si="6"/>
        <v>0.07221006565</v>
      </c>
      <c r="Q272" s="111">
        <f t="shared" si="7"/>
        <v>0</v>
      </c>
      <c r="R272" s="137">
        <f t="shared" si="100"/>
        <v>159.95</v>
      </c>
      <c r="S272" s="113" t="str">
        <f t="shared" si="9"/>
        <v>#DIV/0!</v>
      </c>
      <c r="T272" s="172"/>
      <c r="U272" s="172"/>
      <c r="V272" s="172"/>
      <c r="W272" s="172"/>
      <c r="X272" s="173"/>
      <c r="Y272" s="165"/>
      <c r="Z272" s="165"/>
    </row>
    <row r="273" hidden="1" outlineLevel="1">
      <c r="A273" s="165"/>
      <c r="B273" s="174"/>
      <c r="C273" s="100" t="s">
        <v>44</v>
      </c>
      <c r="D273" s="138">
        <v>134.85</v>
      </c>
      <c r="E273" s="103">
        <v>3.0</v>
      </c>
      <c r="F273" s="103">
        <v>3.0</v>
      </c>
      <c r="G273" s="104">
        <f t="shared" si="1"/>
        <v>1</v>
      </c>
      <c r="H273" s="105">
        <f t="shared" si="2"/>
        <v>44.95</v>
      </c>
      <c r="I273" s="106">
        <f t="shared" si="3"/>
        <v>44.95</v>
      </c>
      <c r="J273" s="138">
        <v>28.89</v>
      </c>
      <c r="K273" s="103">
        <v>11058.0</v>
      </c>
      <c r="L273" s="103">
        <v>1.0</v>
      </c>
      <c r="M273" s="139">
        <v>44.95</v>
      </c>
      <c r="N273" s="109">
        <f t="shared" si="101"/>
        <v>0.6427141268</v>
      </c>
      <c r="O273" s="110">
        <f t="shared" si="5"/>
        <v>1.555901696</v>
      </c>
      <c r="P273" s="109">
        <f t="shared" si="6"/>
        <v>0.2142380423</v>
      </c>
      <c r="Q273" s="111">
        <f t="shared" si="7"/>
        <v>0.3333333333</v>
      </c>
      <c r="R273" s="140">
        <f t="shared" si="100"/>
        <v>89.9</v>
      </c>
      <c r="S273" s="113">
        <f t="shared" si="9"/>
        <v>28.89</v>
      </c>
      <c r="T273" s="172"/>
      <c r="U273" s="172"/>
      <c r="V273" s="172"/>
      <c r="W273" s="172"/>
      <c r="X273" s="173"/>
      <c r="Y273" s="165"/>
      <c r="Z273" s="165"/>
    </row>
    <row r="274" hidden="1" outlineLevel="1">
      <c r="A274" s="192"/>
      <c r="B274" s="174"/>
      <c r="C274" s="142" t="s">
        <v>45</v>
      </c>
      <c r="D274" s="101">
        <v>0.0</v>
      </c>
      <c r="E274" s="103">
        <v>0.0</v>
      </c>
      <c r="F274" s="103">
        <v>0.0</v>
      </c>
      <c r="G274" s="104" t="str">
        <f t="shared" si="1"/>
        <v>#DIV/0!</v>
      </c>
      <c r="H274" s="105" t="str">
        <f t="shared" si="2"/>
        <v>#DIV/0!</v>
      </c>
      <c r="I274" s="106" t="str">
        <f t="shared" si="3"/>
        <v>#DIV/0!</v>
      </c>
      <c r="J274" s="101">
        <v>0.0</v>
      </c>
      <c r="K274" s="103">
        <v>0.0</v>
      </c>
      <c r="L274" s="103">
        <v>0.0</v>
      </c>
      <c r="M274" s="108">
        <v>0.0</v>
      </c>
      <c r="N274" s="109" t="str">
        <f t="shared" si="101"/>
        <v>#DIV/0!</v>
      </c>
      <c r="O274" s="110" t="str">
        <f t="shared" si="5"/>
        <v>#DIV/0!</v>
      </c>
      <c r="P274" s="109" t="str">
        <f t="shared" si="6"/>
        <v>#DIV/0!</v>
      </c>
      <c r="Q274" s="111" t="str">
        <f t="shared" si="7"/>
        <v>#DIV/0!</v>
      </c>
      <c r="R274" s="112">
        <f t="shared" si="100"/>
        <v>0</v>
      </c>
      <c r="S274" s="113" t="str">
        <f t="shared" si="9"/>
        <v>#DIV/0!</v>
      </c>
      <c r="T274" s="193"/>
      <c r="U274" s="193"/>
      <c r="V274" s="193"/>
      <c r="W274" s="194"/>
      <c r="X274" s="195"/>
      <c r="Y274" s="165"/>
      <c r="Z274" s="165"/>
    </row>
    <row r="275" hidden="1" outlineLevel="1">
      <c r="A275" s="165"/>
      <c r="B275" s="174"/>
      <c r="C275" s="100" t="s">
        <v>46</v>
      </c>
      <c r="D275" s="146">
        <v>224.75</v>
      </c>
      <c r="E275" s="103">
        <v>5.0</v>
      </c>
      <c r="F275" s="103">
        <v>5.0</v>
      </c>
      <c r="G275" s="104">
        <f t="shared" si="1"/>
        <v>1</v>
      </c>
      <c r="H275" s="105">
        <f t="shared" si="2"/>
        <v>44.95</v>
      </c>
      <c r="I275" s="106">
        <f t="shared" si="3"/>
        <v>44.95</v>
      </c>
      <c r="J275" s="146">
        <v>97.89</v>
      </c>
      <c r="K275" s="103">
        <v>25599.0</v>
      </c>
      <c r="L275" s="103">
        <v>4.0</v>
      </c>
      <c r="M275" s="147">
        <v>179.8</v>
      </c>
      <c r="N275" s="109">
        <f t="shared" si="101"/>
        <v>0.5444382647</v>
      </c>
      <c r="O275" s="110">
        <f t="shared" si="5"/>
        <v>1.836755542</v>
      </c>
      <c r="P275" s="109">
        <f t="shared" si="6"/>
        <v>0.4355506118</v>
      </c>
      <c r="Q275" s="111">
        <f t="shared" si="7"/>
        <v>0.8</v>
      </c>
      <c r="R275" s="112">
        <f t="shared" si="100"/>
        <v>44.95</v>
      </c>
      <c r="S275" s="113">
        <f t="shared" si="9"/>
        <v>24.4725</v>
      </c>
      <c r="T275" s="172"/>
      <c r="U275" s="172"/>
      <c r="V275" s="172"/>
      <c r="W275" s="172"/>
      <c r="X275" s="173"/>
      <c r="Y275" s="165"/>
      <c r="Z275" s="165"/>
    </row>
    <row r="276" hidden="1" outlineLevel="1">
      <c r="A276" s="165"/>
      <c r="B276" s="174"/>
      <c r="C276" s="100" t="s">
        <v>49</v>
      </c>
      <c r="D276" s="146">
        <v>192.0</v>
      </c>
      <c r="E276" s="103">
        <v>2.0</v>
      </c>
      <c r="F276" s="103">
        <v>1.0</v>
      </c>
      <c r="G276" s="104">
        <f t="shared" si="1"/>
        <v>2</v>
      </c>
      <c r="H276" s="105">
        <f t="shared" si="2"/>
        <v>96</v>
      </c>
      <c r="I276" s="106">
        <f t="shared" si="3"/>
        <v>48</v>
      </c>
      <c r="J276" s="146">
        <v>4.47</v>
      </c>
      <c r="K276" s="103">
        <v>5564.0</v>
      </c>
      <c r="L276" s="103">
        <v>0.0</v>
      </c>
      <c r="M276" s="147">
        <v>0.0</v>
      </c>
      <c r="N276" s="109" t="str">
        <f t="shared" si="101"/>
        <v>#DIV/0!</v>
      </c>
      <c r="O276" s="110">
        <f t="shared" si="5"/>
        <v>0</v>
      </c>
      <c r="P276" s="109">
        <f t="shared" si="6"/>
        <v>0.02328125</v>
      </c>
      <c r="Q276" s="111">
        <f t="shared" si="7"/>
        <v>0</v>
      </c>
      <c r="R276" s="112">
        <f t="shared" si="100"/>
        <v>192</v>
      </c>
      <c r="S276" s="113" t="str">
        <f t="shared" si="9"/>
        <v>#DIV/0!</v>
      </c>
      <c r="T276" s="172"/>
      <c r="U276" s="172"/>
      <c r="V276" s="172"/>
      <c r="W276" s="172"/>
      <c r="X276" s="173"/>
      <c r="Y276" s="165"/>
      <c r="Z276" s="165"/>
    </row>
    <row r="277" hidden="1" outlineLevel="1">
      <c r="A277" s="148" t="str">
        <f t="shared" ref="A277:A278" si="102">iferror(if(B277&gt;0,month(B277)&amp;"-"&amp;year(B277),B277),)</f>
        <v>5-2025</v>
      </c>
      <c r="B277" s="99">
        <v>45808.0</v>
      </c>
      <c r="C277" s="277" t="s">
        <v>67</v>
      </c>
      <c r="D277" s="146">
        <v>0.0</v>
      </c>
      <c r="E277" s="103">
        <v>0.0</v>
      </c>
      <c r="F277" s="103">
        <v>0.0</v>
      </c>
      <c r="G277" s="104" t="str">
        <f t="shared" si="1"/>
        <v>#DIV/0!</v>
      </c>
      <c r="H277" s="105" t="str">
        <f t="shared" si="2"/>
        <v>#DIV/0!</v>
      </c>
      <c r="I277" s="106" t="str">
        <f t="shared" si="3"/>
        <v>#DIV/0!</v>
      </c>
      <c r="J277" s="117">
        <v>107.07000000000001</v>
      </c>
      <c r="K277" s="278">
        <v>34786.0</v>
      </c>
      <c r="L277" s="103">
        <v>0.0</v>
      </c>
      <c r="M277" s="118">
        <v>596.85</v>
      </c>
      <c r="N277" s="109">
        <f t="shared" si="101"/>
        <v>0.179391807</v>
      </c>
      <c r="O277" s="110">
        <f t="shared" si="5"/>
        <v>5.574390586</v>
      </c>
      <c r="P277" s="109" t="str">
        <f t="shared" si="6"/>
        <v>#DIV/0!</v>
      </c>
      <c r="Q277" s="111" t="str">
        <f t="shared" si="7"/>
        <v>#DIV/0!</v>
      </c>
      <c r="R277" s="112">
        <f t="shared" si="100"/>
        <v>-596.85</v>
      </c>
      <c r="S277" s="113" t="str">
        <f t="shared" si="9"/>
        <v>#DIV/0!</v>
      </c>
      <c r="T277" s="172"/>
      <c r="U277" s="172"/>
      <c r="V277" s="172"/>
      <c r="W277" s="172"/>
      <c r="X277" s="173"/>
      <c r="Y277" s="165"/>
      <c r="Z277" s="165"/>
    </row>
    <row r="278" collapsed="1">
      <c r="A278" s="165" t="str">
        <f t="shared" si="102"/>
        <v/>
      </c>
      <c r="B278" s="80" t="s">
        <v>109</v>
      </c>
      <c r="C278" s="201"/>
      <c r="D278" s="151">
        <f t="shared" ref="D278:F278" si="103">SUM(D260:D277)</f>
        <v>7408.28</v>
      </c>
      <c r="E278" s="153">
        <f t="shared" si="103"/>
        <v>57</v>
      </c>
      <c r="F278" s="153">
        <f t="shared" si="103"/>
        <v>54</v>
      </c>
      <c r="G278" s="154">
        <f t="shared" si="1"/>
        <v>1.055555556</v>
      </c>
      <c r="H278" s="155">
        <f t="shared" si="2"/>
        <v>129.9698246</v>
      </c>
      <c r="I278" s="156">
        <f t="shared" si="3"/>
        <v>123.1293075</v>
      </c>
      <c r="J278" s="151">
        <f t="shared" ref="J278:M278" si="104">SUM(J260:J277)</f>
        <v>778.93</v>
      </c>
      <c r="K278" s="153">
        <f t="shared" si="104"/>
        <v>299662</v>
      </c>
      <c r="L278" s="153">
        <f t="shared" si="104"/>
        <v>18</v>
      </c>
      <c r="M278" s="157">
        <f t="shared" si="104"/>
        <v>2675.69</v>
      </c>
      <c r="N278" s="158">
        <f t="shared" si="101"/>
        <v>0.291113694</v>
      </c>
      <c r="O278" s="159">
        <f t="shared" si="5"/>
        <v>3.435084026</v>
      </c>
      <c r="P278" s="158">
        <f t="shared" si="6"/>
        <v>0.1051431641</v>
      </c>
      <c r="Q278" s="160">
        <f t="shared" si="7"/>
        <v>0.3611756035</v>
      </c>
      <c r="R278" s="161">
        <f>SUM(R260:R277)</f>
        <v>4732.59</v>
      </c>
      <c r="S278" s="162">
        <f t="shared" si="9"/>
        <v>43.27388889</v>
      </c>
      <c r="T278" s="399">
        <f t="shared" ref="T278:U278" si="105">IFERROR((D278-D69)/D278,)</f>
        <v>-0.02335764847</v>
      </c>
      <c r="U278" s="399">
        <f t="shared" si="105"/>
        <v>-0.649122807</v>
      </c>
      <c r="V278" s="398" t="str">
        <f t="shared" ref="V278:W278" si="106">IFERROR((D278-monthly_reporting_2021!D69)/D278, )</f>
        <v/>
      </c>
      <c r="W278" s="398" t="str">
        <f t="shared" si="106"/>
        <v/>
      </c>
      <c r="X278" s="165"/>
      <c r="Y278" s="165"/>
      <c r="Z278" s="165"/>
    </row>
    <row r="279" hidden="1" outlineLevel="1">
      <c r="A279" s="165"/>
      <c r="B279" s="99">
        <v>45809.0</v>
      </c>
      <c r="C279" s="100" t="s">
        <v>32</v>
      </c>
      <c r="D279" s="101">
        <v>4636.71</v>
      </c>
      <c r="E279" s="103">
        <v>14.0</v>
      </c>
      <c r="F279" s="103">
        <v>17.0</v>
      </c>
      <c r="G279" s="104">
        <f t="shared" si="1"/>
        <v>0.8235294118</v>
      </c>
      <c r="H279" s="105">
        <f t="shared" si="2"/>
        <v>331.1935714</v>
      </c>
      <c r="I279" s="106">
        <f t="shared" si="3"/>
        <v>402.1636224</v>
      </c>
      <c r="J279" s="107">
        <v>388.85</v>
      </c>
      <c r="K279" s="103">
        <v>109811.0</v>
      </c>
      <c r="L279" s="103">
        <v>3.0</v>
      </c>
      <c r="M279" s="108">
        <v>1407.0</v>
      </c>
      <c r="N279" s="109">
        <f t="shared" si="101"/>
        <v>0.2763681592</v>
      </c>
      <c r="O279" s="110">
        <f t="shared" si="5"/>
        <v>3.618361836</v>
      </c>
      <c r="P279" s="109">
        <f t="shared" si="6"/>
        <v>0.08386334276</v>
      </c>
      <c r="Q279" s="111">
        <f t="shared" si="7"/>
        <v>0.3034479189</v>
      </c>
      <c r="R279" s="112">
        <f t="shared" ref="R279:R296" si="107">D279-M279</f>
        <v>3229.71</v>
      </c>
      <c r="S279" s="113">
        <f t="shared" si="9"/>
        <v>129.6166667</v>
      </c>
      <c r="T279" s="172"/>
      <c r="U279" s="172"/>
      <c r="V279" s="172"/>
      <c r="W279" s="172"/>
      <c r="X279" s="173"/>
      <c r="Y279" s="165"/>
      <c r="Z279" s="165"/>
    </row>
    <row r="280" hidden="1" outlineLevel="1">
      <c r="A280" s="165"/>
      <c r="B280" s="174"/>
      <c r="C280" s="100" t="s">
        <v>33</v>
      </c>
      <c r="D280" s="117">
        <v>3950.14</v>
      </c>
      <c r="E280" s="103">
        <v>25.0</v>
      </c>
      <c r="F280" s="103">
        <v>27.0</v>
      </c>
      <c r="G280" s="104">
        <f t="shared" si="1"/>
        <v>0.9259259259</v>
      </c>
      <c r="H280" s="105">
        <f t="shared" si="2"/>
        <v>158.0056</v>
      </c>
      <c r="I280" s="106">
        <f t="shared" si="3"/>
        <v>170.646048</v>
      </c>
      <c r="J280" s="117">
        <v>219.82</v>
      </c>
      <c r="K280" s="103">
        <v>82468.0</v>
      </c>
      <c r="L280" s="103">
        <v>11.0</v>
      </c>
      <c r="M280" s="118">
        <v>1263.7</v>
      </c>
      <c r="N280" s="109">
        <f t="shared" si="101"/>
        <v>0.1739495133</v>
      </c>
      <c r="O280" s="110">
        <f t="shared" si="5"/>
        <v>5.748794468</v>
      </c>
      <c r="P280" s="109">
        <f t="shared" si="6"/>
        <v>0.05564866055</v>
      </c>
      <c r="Q280" s="111">
        <f t="shared" si="7"/>
        <v>0.319912712</v>
      </c>
      <c r="R280" s="119">
        <f t="shared" si="107"/>
        <v>2686.44</v>
      </c>
      <c r="S280" s="113">
        <f t="shared" si="9"/>
        <v>19.98363636</v>
      </c>
      <c r="T280" s="172"/>
      <c r="U280" s="172"/>
      <c r="V280" s="172"/>
      <c r="W280" s="172"/>
      <c r="X280" s="173"/>
      <c r="Y280" s="165"/>
      <c r="Z280" s="165"/>
    </row>
    <row r="281" hidden="1" outlineLevel="1">
      <c r="A281" s="165"/>
      <c r="B281" s="174"/>
      <c r="C281" s="100" t="s">
        <v>34</v>
      </c>
      <c r="D281" s="120">
        <v>69.95</v>
      </c>
      <c r="E281" s="103">
        <v>1.0</v>
      </c>
      <c r="F281" s="103">
        <v>1.0</v>
      </c>
      <c r="G281" s="104">
        <f t="shared" si="1"/>
        <v>1</v>
      </c>
      <c r="H281" s="105">
        <f t="shared" si="2"/>
        <v>69.95</v>
      </c>
      <c r="I281" s="106">
        <f t="shared" si="3"/>
        <v>69.95</v>
      </c>
      <c r="J281" s="120">
        <v>0.0</v>
      </c>
      <c r="K281" s="103">
        <v>0.0</v>
      </c>
      <c r="L281" s="103">
        <v>0.0</v>
      </c>
      <c r="M281" s="121">
        <v>0.0</v>
      </c>
      <c r="N281" s="109" t="str">
        <f>(J281/M281)</f>
        <v>#DIV/0!</v>
      </c>
      <c r="O281" s="110" t="str">
        <f t="shared" si="5"/>
        <v>#DIV/0!</v>
      </c>
      <c r="P281" s="109">
        <f t="shared" si="6"/>
        <v>0</v>
      </c>
      <c r="Q281" s="111">
        <f t="shared" si="7"/>
        <v>0</v>
      </c>
      <c r="R281" s="122">
        <f t="shared" si="107"/>
        <v>69.95</v>
      </c>
      <c r="S281" s="113" t="str">
        <f t="shared" si="9"/>
        <v>#DIV/0!</v>
      </c>
      <c r="T281" s="172"/>
      <c r="U281" s="172"/>
      <c r="V281" s="172"/>
      <c r="W281" s="172"/>
      <c r="X281" s="173"/>
      <c r="Y281" s="165"/>
      <c r="Z281" s="165"/>
    </row>
    <row r="282" hidden="1" outlineLevel="1">
      <c r="A282" s="165"/>
      <c r="B282" s="174"/>
      <c r="C282" s="100" t="s">
        <v>35</v>
      </c>
      <c r="D282" s="120">
        <v>242.8</v>
      </c>
      <c r="E282" s="103">
        <v>4.0</v>
      </c>
      <c r="F282" s="103">
        <v>4.0</v>
      </c>
      <c r="G282" s="104">
        <f t="shared" si="1"/>
        <v>1</v>
      </c>
      <c r="H282" s="105">
        <f t="shared" si="2"/>
        <v>60.7</v>
      </c>
      <c r="I282" s="106">
        <f t="shared" si="3"/>
        <v>60.7</v>
      </c>
      <c r="J282" s="120">
        <v>56.6</v>
      </c>
      <c r="K282" s="103">
        <v>3246.0</v>
      </c>
      <c r="L282" s="103">
        <v>3.0</v>
      </c>
      <c r="M282" s="121">
        <v>179.85</v>
      </c>
      <c r="N282" s="109">
        <f t="shared" ref="N282:N299" si="108">J282/M282</f>
        <v>0.3147067</v>
      </c>
      <c r="O282" s="110">
        <f t="shared" si="5"/>
        <v>3.177561837</v>
      </c>
      <c r="P282" s="109">
        <f t="shared" si="6"/>
        <v>0.2331136738</v>
      </c>
      <c r="Q282" s="111">
        <f t="shared" si="7"/>
        <v>0.7407331137</v>
      </c>
      <c r="R282" s="122">
        <f t="shared" si="107"/>
        <v>62.95</v>
      </c>
      <c r="S282" s="113">
        <f t="shared" si="9"/>
        <v>18.86666667</v>
      </c>
      <c r="T282" s="172"/>
      <c r="U282" s="172"/>
      <c r="V282" s="172"/>
      <c r="W282" s="172"/>
      <c r="X282" s="173"/>
      <c r="Y282" s="165"/>
      <c r="Z282" s="165"/>
    </row>
    <row r="283" hidden="1" outlineLevel="1">
      <c r="A283" s="165"/>
      <c r="B283" s="174"/>
      <c r="C283" s="100" t="s">
        <v>65</v>
      </c>
      <c r="D283" s="300">
        <v>0.0</v>
      </c>
      <c r="E283" s="103">
        <v>0.0</v>
      </c>
      <c r="F283" s="103">
        <v>0.0</v>
      </c>
      <c r="G283" s="104" t="str">
        <f t="shared" si="1"/>
        <v>#DIV/0!</v>
      </c>
      <c r="H283" s="105" t="str">
        <f t="shared" si="2"/>
        <v>#DIV/0!</v>
      </c>
      <c r="I283" s="106" t="str">
        <f t="shared" si="3"/>
        <v>#DIV/0!</v>
      </c>
      <c r="J283" s="300">
        <v>0.0</v>
      </c>
      <c r="K283" s="103">
        <v>0.0</v>
      </c>
      <c r="L283" s="103">
        <v>0.0</v>
      </c>
      <c r="M283" s="300">
        <v>0.0</v>
      </c>
      <c r="N283" s="109" t="str">
        <f t="shared" si="108"/>
        <v>#DIV/0!</v>
      </c>
      <c r="O283" s="110" t="str">
        <f t="shared" si="5"/>
        <v>#DIV/0!</v>
      </c>
      <c r="P283" s="109" t="str">
        <f t="shared" si="6"/>
        <v>#DIV/0!</v>
      </c>
      <c r="Q283" s="111" t="str">
        <f t="shared" si="7"/>
        <v>#DIV/0!</v>
      </c>
      <c r="R283" s="122">
        <f t="shared" si="107"/>
        <v>0</v>
      </c>
      <c r="S283" s="113" t="str">
        <f t="shared" si="9"/>
        <v>#DIV/0!</v>
      </c>
      <c r="T283" s="172"/>
      <c r="U283" s="172"/>
      <c r="V283" s="172"/>
      <c r="W283" s="172"/>
      <c r="X283" s="173"/>
      <c r="Y283" s="165"/>
      <c r="Z283" s="165"/>
    </row>
    <row r="284" hidden="1" outlineLevel="1">
      <c r="A284" s="165"/>
      <c r="B284" s="174"/>
      <c r="C284" s="100" t="s">
        <v>85</v>
      </c>
      <c r="D284" s="302">
        <v>0.0</v>
      </c>
      <c r="E284" s="103">
        <v>0.0</v>
      </c>
      <c r="F284" s="103">
        <v>0.0</v>
      </c>
      <c r="G284" s="104" t="str">
        <f t="shared" si="1"/>
        <v>#DIV/0!</v>
      </c>
      <c r="H284" s="105" t="str">
        <f t="shared" si="2"/>
        <v>#DIV/0!</v>
      </c>
      <c r="I284" s="106" t="str">
        <f t="shared" si="3"/>
        <v>#DIV/0!</v>
      </c>
      <c r="J284" s="302">
        <v>0.0</v>
      </c>
      <c r="K284" s="103">
        <v>0.0</v>
      </c>
      <c r="L284" s="103">
        <v>0.0</v>
      </c>
      <c r="M284" s="303">
        <v>0.0</v>
      </c>
      <c r="N284" s="109" t="str">
        <f t="shared" si="108"/>
        <v>#DIV/0!</v>
      </c>
      <c r="O284" s="110" t="str">
        <f t="shared" si="5"/>
        <v>#DIV/0!</v>
      </c>
      <c r="P284" s="109" t="str">
        <f t="shared" si="6"/>
        <v>#DIV/0!</v>
      </c>
      <c r="Q284" s="111" t="str">
        <f t="shared" si="7"/>
        <v>#DIV/0!</v>
      </c>
      <c r="R284" s="304">
        <f t="shared" si="107"/>
        <v>0</v>
      </c>
      <c r="S284" s="113" t="str">
        <f t="shared" si="9"/>
        <v>#DIV/0!</v>
      </c>
      <c r="T284" s="172"/>
      <c r="U284" s="172"/>
      <c r="V284" s="172"/>
      <c r="W284" s="172"/>
      <c r="X284" s="173"/>
      <c r="Y284" s="165"/>
      <c r="Z284" s="165"/>
    </row>
    <row r="285" hidden="1" outlineLevel="1">
      <c r="A285" s="165"/>
      <c r="B285" s="174"/>
      <c r="C285" s="100" t="s">
        <v>36</v>
      </c>
      <c r="D285" s="120">
        <v>0.0</v>
      </c>
      <c r="E285" s="103">
        <v>0.0</v>
      </c>
      <c r="F285" s="103">
        <v>0.0</v>
      </c>
      <c r="G285" s="104" t="str">
        <f t="shared" si="1"/>
        <v>#DIV/0!</v>
      </c>
      <c r="H285" s="105" t="str">
        <f t="shared" si="2"/>
        <v>#DIV/0!</v>
      </c>
      <c r="I285" s="106" t="str">
        <f t="shared" si="3"/>
        <v>#DIV/0!</v>
      </c>
      <c r="J285" s="120">
        <v>8.31</v>
      </c>
      <c r="K285" s="103">
        <v>1217.0</v>
      </c>
      <c r="L285" s="103">
        <v>0.0</v>
      </c>
      <c r="M285" s="121">
        <v>0.0</v>
      </c>
      <c r="N285" s="109" t="str">
        <f t="shared" si="108"/>
        <v>#DIV/0!</v>
      </c>
      <c r="O285" s="110">
        <f t="shared" si="5"/>
        <v>0</v>
      </c>
      <c r="P285" s="109" t="str">
        <f t="shared" si="6"/>
        <v>#DIV/0!</v>
      </c>
      <c r="Q285" s="111" t="str">
        <f t="shared" si="7"/>
        <v>#DIV/0!</v>
      </c>
      <c r="R285" s="122">
        <f t="shared" si="107"/>
        <v>0</v>
      </c>
      <c r="S285" s="113" t="str">
        <f t="shared" si="9"/>
        <v>#DIV/0!</v>
      </c>
      <c r="T285" s="172"/>
      <c r="U285" s="172"/>
      <c r="V285" s="172"/>
      <c r="W285" s="172"/>
      <c r="X285" s="173"/>
      <c r="Y285" s="165"/>
      <c r="Z285" s="165"/>
    </row>
    <row r="286" hidden="1" outlineLevel="1">
      <c r="A286" s="165"/>
      <c r="B286" s="99" t="s">
        <v>37</v>
      </c>
      <c r="C286" s="100" t="s">
        <v>38</v>
      </c>
      <c r="D286" s="123">
        <v>89.85</v>
      </c>
      <c r="E286" s="103">
        <v>3.0</v>
      </c>
      <c r="F286" s="103">
        <v>3.0</v>
      </c>
      <c r="G286" s="104">
        <f t="shared" si="1"/>
        <v>1</v>
      </c>
      <c r="H286" s="105">
        <f t="shared" si="2"/>
        <v>29.95</v>
      </c>
      <c r="I286" s="106">
        <f t="shared" si="3"/>
        <v>29.95</v>
      </c>
      <c r="J286" s="123">
        <v>53.65</v>
      </c>
      <c r="K286" s="103">
        <v>15664.0</v>
      </c>
      <c r="L286" s="103">
        <v>2.0</v>
      </c>
      <c r="M286" s="124">
        <v>59.9</v>
      </c>
      <c r="N286" s="109">
        <f t="shared" si="108"/>
        <v>0.8956594324</v>
      </c>
      <c r="O286" s="110">
        <f t="shared" si="5"/>
        <v>1.116495806</v>
      </c>
      <c r="P286" s="109">
        <f t="shared" si="6"/>
        <v>0.5971062883</v>
      </c>
      <c r="Q286" s="111">
        <f t="shared" si="7"/>
        <v>0.6666666667</v>
      </c>
      <c r="R286" s="125">
        <f t="shared" si="107"/>
        <v>29.95</v>
      </c>
      <c r="S286" s="113">
        <f t="shared" si="9"/>
        <v>26.825</v>
      </c>
      <c r="T286" s="172"/>
      <c r="U286" s="172"/>
      <c r="V286" s="172"/>
      <c r="W286" s="172"/>
      <c r="X286" s="173"/>
      <c r="Y286" s="165"/>
      <c r="Z286" s="165"/>
    </row>
    <row r="287" hidden="1" outlineLevel="1">
      <c r="A287" s="165"/>
      <c r="B287" s="174"/>
      <c r="C287" s="100" t="s">
        <v>39</v>
      </c>
      <c r="D287" s="126">
        <v>0.0</v>
      </c>
      <c r="E287" s="103">
        <v>0.0</v>
      </c>
      <c r="F287" s="103">
        <v>0.0</v>
      </c>
      <c r="G287" s="104" t="str">
        <f t="shared" si="1"/>
        <v>#DIV/0!</v>
      </c>
      <c r="H287" s="105" t="str">
        <f t="shared" si="2"/>
        <v>#DIV/0!</v>
      </c>
      <c r="I287" s="106" t="str">
        <f t="shared" si="3"/>
        <v>#DIV/0!</v>
      </c>
      <c r="J287" s="126">
        <v>0.0</v>
      </c>
      <c r="K287" s="103">
        <v>0.0</v>
      </c>
      <c r="L287" s="103">
        <v>0.0</v>
      </c>
      <c r="M287" s="127">
        <v>0.0</v>
      </c>
      <c r="N287" s="109" t="str">
        <f t="shared" si="108"/>
        <v>#DIV/0!</v>
      </c>
      <c r="O287" s="110" t="str">
        <f t="shared" si="5"/>
        <v>#DIV/0!</v>
      </c>
      <c r="P287" s="109" t="str">
        <f t="shared" si="6"/>
        <v>#DIV/0!</v>
      </c>
      <c r="Q287" s="111" t="str">
        <f t="shared" si="7"/>
        <v>#DIV/0!</v>
      </c>
      <c r="R287" s="128">
        <f t="shared" si="107"/>
        <v>0</v>
      </c>
      <c r="S287" s="113" t="str">
        <f t="shared" si="9"/>
        <v>#DIV/0!</v>
      </c>
      <c r="T287" s="172"/>
      <c r="U287" s="172"/>
      <c r="V287" s="172"/>
      <c r="W287" s="172"/>
      <c r="X287" s="173"/>
      <c r="Y287" s="165"/>
      <c r="Z287" s="165"/>
    </row>
    <row r="288" hidden="1" outlineLevel="1">
      <c r="A288" s="165"/>
      <c r="B288" s="174"/>
      <c r="C288" s="100" t="s">
        <v>40</v>
      </c>
      <c r="D288" s="129">
        <v>0.0</v>
      </c>
      <c r="E288" s="103">
        <v>0.0</v>
      </c>
      <c r="F288" s="103">
        <v>0.0</v>
      </c>
      <c r="G288" s="104" t="str">
        <f t="shared" si="1"/>
        <v>#DIV/0!</v>
      </c>
      <c r="H288" s="105" t="str">
        <f t="shared" si="2"/>
        <v>#DIV/0!</v>
      </c>
      <c r="I288" s="106" t="str">
        <f t="shared" si="3"/>
        <v>#DIV/0!</v>
      </c>
      <c r="J288" s="129">
        <v>0.0</v>
      </c>
      <c r="K288" s="103">
        <v>0.0</v>
      </c>
      <c r="L288" s="103">
        <v>0.0</v>
      </c>
      <c r="M288" s="130">
        <v>0.0</v>
      </c>
      <c r="N288" s="109" t="str">
        <f t="shared" si="108"/>
        <v>#DIV/0!</v>
      </c>
      <c r="O288" s="110" t="str">
        <f t="shared" si="5"/>
        <v>#DIV/0!</v>
      </c>
      <c r="P288" s="109" t="str">
        <f t="shared" si="6"/>
        <v>#DIV/0!</v>
      </c>
      <c r="Q288" s="111" t="str">
        <f t="shared" si="7"/>
        <v>#DIV/0!</v>
      </c>
      <c r="R288" s="131">
        <f t="shared" si="107"/>
        <v>0</v>
      </c>
      <c r="S288" s="113" t="str">
        <f t="shared" si="9"/>
        <v>#DIV/0!</v>
      </c>
      <c r="T288" s="172"/>
      <c r="U288" s="172"/>
      <c r="V288" s="172"/>
      <c r="W288" s="172"/>
      <c r="X288" s="173"/>
      <c r="Y288" s="165"/>
      <c r="Z288" s="165"/>
    </row>
    <row r="289" hidden="1" outlineLevel="1">
      <c r="A289" s="165"/>
      <c r="B289" s="174"/>
      <c r="C289" s="100" t="s">
        <v>41</v>
      </c>
      <c r="D289" s="132">
        <v>109.98</v>
      </c>
      <c r="E289" s="103">
        <v>2.0</v>
      </c>
      <c r="F289" s="103">
        <v>2.0</v>
      </c>
      <c r="G289" s="104">
        <f t="shared" si="1"/>
        <v>1</v>
      </c>
      <c r="H289" s="105">
        <f t="shared" si="2"/>
        <v>54.99</v>
      </c>
      <c r="I289" s="106">
        <f t="shared" si="3"/>
        <v>54.99</v>
      </c>
      <c r="J289" s="132">
        <v>55.42</v>
      </c>
      <c r="K289" s="103">
        <v>6823.0</v>
      </c>
      <c r="L289" s="103">
        <v>0.0</v>
      </c>
      <c r="M289" s="133">
        <v>0.0</v>
      </c>
      <c r="N289" s="109" t="str">
        <f t="shared" si="108"/>
        <v>#DIV/0!</v>
      </c>
      <c r="O289" s="110">
        <f t="shared" si="5"/>
        <v>0</v>
      </c>
      <c r="P289" s="109">
        <f t="shared" si="6"/>
        <v>0.5039098018</v>
      </c>
      <c r="Q289" s="111">
        <f t="shared" si="7"/>
        <v>0</v>
      </c>
      <c r="R289" s="134">
        <f t="shared" si="107"/>
        <v>109.98</v>
      </c>
      <c r="S289" s="113" t="str">
        <f t="shared" si="9"/>
        <v>#DIV/0!</v>
      </c>
      <c r="T289" s="172"/>
      <c r="U289" s="172"/>
      <c r="V289" s="172"/>
      <c r="W289" s="172"/>
      <c r="X289" s="173"/>
      <c r="Y289" s="165"/>
      <c r="Z289" s="165"/>
    </row>
    <row r="290" hidden="1" outlineLevel="1">
      <c r="A290" s="165"/>
      <c r="B290" s="174"/>
      <c r="C290" s="100" t="s">
        <v>42</v>
      </c>
      <c r="D290" s="120">
        <v>39.98</v>
      </c>
      <c r="E290" s="103">
        <v>2.0</v>
      </c>
      <c r="F290" s="103">
        <v>1.0</v>
      </c>
      <c r="G290" s="104">
        <f t="shared" si="1"/>
        <v>2</v>
      </c>
      <c r="H290" s="105">
        <f t="shared" si="2"/>
        <v>19.99</v>
      </c>
      <c r="I290" s="106">
        <f t="shared" si="3"/>
        <v>9.995</v>
      </c>
      <c r="J290" s="120">
        <v>3.0</v>
      </c>
      <c r="K290" s="103">
        <v>12079.0</v>
      </c>
      <c r="L290" s="103">
        <v>0.0</v>
      </c>
      <c r="M290" s="121">
        <v>0.0</v>
      </c>
      <c r="N290" s="109" t="str">
        <f t="shared" si="108"/>
        <v>#DIV/0!</v>
      </c>
      <c r="O290" s="110">
        <f t="shared" si="5"/>
        <v>0</v>
      </c>
      <c r="P290" s="109">
        <f t="shared" si="6"/>
        <v>0.07503751876</v>
      </c>
      <c r="Q290" s="111">
        <f t="shared" si="7"/>
        <v>0</v>
      </c>
      <c r="R290" s="122">
        <f t="shared" si="107"/>
        <v>39.98</v>
      </c>
      <c r="S290" s="113" t="str">
        <f t="shared" si="9"/>
        <v>#DIV/0!</v>
      </c>
      <c r="T290" s="172"/>
      <c r="U290" s="172"/>
      <c r="V290" s="172"/>
      <c r="W290" s="172"/>
      <c r="X290" s="173"/>
      <c r="Y290" s="165"/>
      <c r="Z290" s="165"/>
    </row>
    <row r="291" hidden="1" outlineLevel="1">
      <c r="A291" s="165"/>
      <c r="B291" s="174"/>
      <c r="C291" s="100" t="s">
        <v>43</v>
      </c>
      <c r="D291" s="135">
        <v>205.95</v>
      </c>
      <c r="E291" s="103">
        <v>1.0</v>
      </c>
      <c r="F291" s="103">
        <v>1.0</v>
      </c>
      <c r="G291" s="104">
        <f t="shared" si="1"/>
        <v>1</v>
      </c>
      <c r="H291" s="105">
        <f t="shared" si="2"/>
        <v>205.95</v>
      </c>
      <c r="I291" s="106">
        <f t="shared" si="3"/>
        <v>205.95</v>
      </c>
      <c r="J291" s="135">
        <v>15.29</v>
      </c>
      <c r="K291" s="103">
        <v>24325.0</v>
      </c>
      <c r="L291" s="103">
        <v>1.0</v>
      </c>
      <c r="M291" s="136">
        <v>205.95</v>
      </c>
      <c r="N291" s="109">
        <f t="shared" si="108"/>
        <v>0.07424132071</v>
      </c>
      <c r="O291" s="110">
        <f t="shared" si="5"/>
        <v>13.46958797</v>
      </c>
      <c r="P291" s="109">
        <f t="shared" si="6"/>
        <v>0.07424132071</v>
      </c>
      <c r="Q291" s="111">
        <f t="shared" si="7"/>
        <v>1</v>
      </c>
      <c r="R291" s="137">
        <f t="shared" si="107"/>
        <v>0</v>
      </c>
      <c r="S291" s="113">
        <f t="shared" si="9"/>
        <v>15.29</v>
      </c>
      <c r="T291" s="172"/>
      <c r="U291" s="172"/>
      <c r="V291" s="172"/>
      <c r="W291" s="172"/>
      <c r="X291" s="173"/>
      <c r="Y291" s="165"/>
      <c r="Z291" s="165"/>
    </row>
    <row r="292" hidden="1" outlineLevel="1">
      <c r="A292" s="165"/>
      <c r="B292" s="174"/>
      <c r="C292" s="100" t="s">
        <v>44</v>
      </c>
      <c r="D292" s="138">
        <v>44.95</v>
      </c>
      <c r="E292" s="103">
        <v>1.0</v>
      </c>
      <c r="F292" s="103">
        <v>2.0</v>
      </c>
      <c r="G292" s="104">
        <f t="shared" si="1"/>
        <v>0.5</v>
      </c>
      <c r="H292" s="105">
        <f t="shared" si="2"/>
        <v>44.95</v>
      </c>
      <c r="I292" s="106">
        <f t="shared" si="3"/>
        <v>89.9</v>
      </c>
      <c r="J292" s="138">
        <v>18.23</v>
      </c>
      <c r="K292" s="103">
        <v>10368.0</v>
      </c>
      <c r="L292" s="103">
        <v>2.0</v>
      </c>
      <c r="M292" s="139">
        <v>89.9</v>
      </c>
      <c r="N292" s="109">
        <f t="shared" si="108"/>
        <v>0.2027808676</v>
      </c>
      <c r="O292" s="110">
        <f t="shared" si="5"/>
        <v>4.931431706</v>
      </c>
      <c r="P292" s="109">
        <f t="shared" si="6"/>
        <v>0.4055617353</v>
      </c>
      <c r="Q292" s="111">
        <f t="shared" si="7"/>
        <v>2</v>
      </c>
      <c r="R292" s="140">
        <f t="shared" si="107"/>
        <v>-44.95</v>
      </c>
      <c r="S292" s="113">
        <f t="shared" si="9"/>
        <v>9.115</v>
      </c>
      <c r="T292" s="172"/>
      <c r="U292" s="172"/>
      <c r="V292" s="172"/>
      <c r="W292" s="172"/>
      <c r="X292" s="173"/>
      <c r="Y292" s="165"/>
      <c r="Z292" s="165"/>
    </row>
    <row r="293" hidden="1" outlineLevel="1">
      <c r="A293" s="192"/>
      <c r="B293" s="174"/>
      <c r="C293" s="142" t="s">
        <v>45</v>
      </c>
      <c r="D293" s="101">
        <v>69.8</v>
      </c>
      <c r="E293" s="103">
        <v>4.0</v>
      </c>
      <c r="F293" s="103">
        <v>2.0</v>
      </c>
      <c r="G293" s="104">
        <f t="shared" si="1"/>
        <v>2</v>
      </c>
      <c r="H293" s="105">
        <f t="shared" si="2"/>
        <v>17.45</v>
      </c>
      <c r="I293" s="106">
        <f t="shared" si="3"/>
        <v>8.725</v>
      </c>
      <c r="J293" s="101">
        <v>0.0</v>
      </c>
      <c r="K293" s="103">
        <v>0.0</v>
      </c>
      <c r="L293" s="103">
        <v>0.0</v>
      </c>
      <c r="M293" s="108">
        <v>0.0</v>
      </c>
      <c r="N293" s="109" t="str">
        <f t="shared" si="108"/>
        <v>#DIV/0!</v>
      </c>
      <c r="O293" s="110" t="str">
        <f t="shared" si="5"/>
        <v>#DIV/0!</v>
      </c>
      <c r="P293" s="109">
        <f t="shared" si="6"/>
        <v>0</v>
      </c>
      <c r="Q293" s="111">
        <f t="shared" si="7"/>
        <v>0</v>
      </c>
      <c r="R293" s="112">
        <f t="shared" si="107"/>
        <v>69.8</v>
      </c>
      <c r="S293" s="113" t="str">
        <f t="shared" si="9"/>
        <v>#DIV/0!</v>
      </c>
      <c r="T293" s="193"/>
      <c r="U293" s="193"/>
      <c r="V293" s="193"/>
      <c r="W293" s="194"/>
      <c r="X293" s="195"/>
      <c r="Y293" s="165"/>
      <c r="Z293" s="165"/>
    </row>
    <row r="294" hidden="1" outlineLevel="1">
      <c r="A294" s="165"/>
      <c r="B294" s="174"/>
      <c r="C294" s="100" t="s">
        <v>46</v>
      </c>
      <c r="D294" s="146">
        <v>310.16</v>
      </c>
      <c r="E294" s="103">
        <v>7.0</v>
      </c>
      <c r="F294" s="103">
        <v>8.0</v>
      </c>
      <c r="G294" s="104">
        <f t="shared" si="1"/>
        <v>0.875</v>
      </c>
      <c r="H294" s="105">
        <f t="shared" si="2"/>
        <v>44.30857143</v>
      </c>
      <c r="I294" s="106">
        <f t="shared" si="3"/>
        <v>50.63836735</v>
      </c>
      <c r="J294" s="146">
        <v>66.59</v>
      </c>
      <c r="K294" s="103">
        <v>26183.0</v>
      </c>
      <c r="L294" s="103">
        <v>3.0</v>
      </c>
      <c r="M294" s="147">
        <v>134.85</v>
      </c>
      <c r="N294" s="109">
        <f t="shared" si="108"/>
        <v>0.4938079347</v>
      </c>
      <c r="O294" s="110">
        <f t="shared" si="5"/>
        <v>2.025078841</v>
      </c>
      <c r="P294" s="109">
        <f t="shared" si="6"/>
        <v>0.214695641</v>
      </c>
      <c r="Q294" s="111">
        <f t="shared" si="7"/>
        <v>0.4347755997</v>
      </c>
      <c r="R294" s="112">
        <f t="shared" si="107"/>
        <v>175.31</v>
      </c>
      <c r="S294" s="113">
        <f t="shared" si="9"/>
        <v>22.19666667</v>
      </c>
      <c r="T294" s="172"/>
      <c r="U294" s="172"/>
      <c r="V294" s="172"/>
      <c r="W294" s="172"/>
      <c r="X294" s="173"/>
      <c r="Y294" s="165"/>
      <c r="Z294" s="165"/>
    </row>
    <row r="295" hidden="1" outlineLevel="1">
      <c r="A295" s="165"/>
      <c r="B295" s="174"/>
      <c r="C295" s="100" t="s">
        <v>49</v>
      </c>
      <c r="D295" s="146">
        <v>0.0</v>
      </c>
      <c r="E295" s="103">
        <v>0.0</v>
      </c>
      <c r="F295" s="103">
        <v>0.0</v>
      </c>
      <c r="G295" s="104" t="str">
        <f t="shared" si="1"/>
        <v>#DIV/0!</v>
      </c>
      <c r="H295" s="105" t="str">
        <f t="shared" si="2"/>
        <v>#DIV/0!</v>
      </c>
      <c r="I295" s="106" t="str">
        <f t="shared" si="3"/>
        <v>#DIV/0!</v>
      </c>
      <c r="J295" s="146">
        <v>3.79</v>
      </c>
      <c r="K295" s="103">
        <v>6277.0</v>
      </c>
      <c r="L295" s="103">
        <v>0.0</v>
      </c>
      <c r="M295" s="147">
        <v>0.0</v>
      </c>
      <c r="N295" s="109" t="str">
        <f t="shared" si="108"/>
        <v>#DIV/0!</v>
      </c>
      <c r="O295" s="110">
        <f t="shared" si="5"/>
        <v>0</v>
      </c>
      <c r="P295" s="109" t="str">
        <f t="shared" si="6"/>
        <v>#DIV/0!</v>
      </c>
      <c r="Q295" s="111" t="str">
        <f t="shared" si="7"/>
        <v>#DIV/0!</v>
      </c>
      <c r="R295" s="112">
        <f t="shared" si="107"/>
        <v>0</v>
      </c>
      <c r="S295" s="113" t="str">
        <f t="shared" si="9"/>
        <v>#DIV/0!</v>
      </c>
      <c r="T295" s="172"/>
      <c r="U295" s="172"/>
      <c r="V295" s="172"/>
      <c r="W295" s="172"/>
      <c r="X295" s="173"/>
      <c r="Y295" s="165"/>
      <c r="Z295" s="165"/>
    </row>
    <row r="296" hidden="1" outlineLevel="1">
      <c r="A296" s="148" t="str">
        <f t="shared" ref="A296:A297" si="109">iferror(if(B296&gt;0,month(B296)&amp;"-"&amp;year(B296),B296),)</f>
        <v>6-2025</v>
      </c>
      <c r="B296" s="99">
        <v>45815.0</v>
      </c>
      <c r="C296" s="277" t="s">
        <v>67</v>
      </c>
      <c r="D296" s="146">
        <v>0.0</v>
      </c>
      <c r="E296" s="103">
        <v>0.0</v>
      </c>
      <c r="F296" s="103">
        <v>0.0</v>
      </c>
      <c r="G296" s="104" t="str">
        <f t="shared" si="1"/>
        <v>#DIV/0!</v>
      </c>
      <c r="H296" s="105" t="str">
        <f t="shared" si="2"/>
        <v>#DIV/0!</v>
      </c>
      <c r="I296" s="106" t="str">
        <f t="shared" si="3"/>
        <v>#DIV/0!</v>
      </c>
      <c r="J296" s="117">
        <v>326.91999999999996</v>
      </c>
      <c r="K296" s="278">
        <v>65846.0</v>
      </c>
      <c r="L296" s="103">
        <v>0.0</v>
      </c>
      <c r="M296" s="118">
        <v>419.88</v>
      </c>
      <c r="N296" s="109">
        <f t="shared" si="108"/>
        <v>0.7786034105</v>
      </c>
      <c r="O296" s="110">
        <f t="shared" si="5"/>
        <v>1.284350912</v>
      </c>
      <c r="P296" s="109" t="str">
        <f t="shared" si="6"/>
        <v>#DIV/0!</v>
      </c>
      <c r="Q296" s="111" t="str">
        <f t="shared" si="7"/>
        <v>#DIV/0!</v>
      </c>
      <c r="R296" s="112">
        <f t="shared" si="107"/>
        <v>-419.88</v>
      </c>
      <c r="S296" s="113" t="str">
        <f t="shared" si="9"/>
        <v>#DIV/0!</v>
      </c>
      <c r="T296" s="172"/>
      <c r="U296" s="172"/>
      <c r="V296" s="172"/>
      <c r="W296" s="172"/>
      <c r="X296" s="173"/>
      <c r="Y296" s="165"/>
      <c r="Z296" s="165"/>
    </row>
    <row r="297" collapsed="1">
      <c r="A297" s="165" t="str">
        <f t="shared" si="109"/>
        <v/>
      </c>
      <c r="B297" s="80" t="s">
        <v>110</v>
      </c>
      <c r="C297" s="201"/>
      <c r="D297" s="151">
        <f t="shared" ref="D297:F297" si="110">SUM(D279:D296)</f>
        <v>9770.27</v>
      </c>
      <c r="E297" s="153">
        <f t="shared" si="110"/>
        <v>64</v>
      </c>
      <c r="F297" s="153">
        <f t="shared" si="110"/>
        <v>68</v>
      </c>
      <c r="G297" s="154">
        <f t="shared" si="1"/>
        <v>0.9411764706</v>
      </c>
      <c r="H297" s="155">
        <f t="shared" si="2"/>
        <v>152.6604688</v>
      </c>
      <c r="I297" s="156">
        <f t="shared" si="3"/>
        <v>162.201748</v>
      </c>
      <c r="J297" s="151">
        <f t="shared" ref="J297:M297" si="111">SUM(J279:J296)</f>
        <v>1216.47</v>
      </c>
      <c r="K297" s="153">
        <f t="shared" si="111"/>
        <v>364307</v>
      </c>
      <c r="L297" s="153">
        <f t="shared" si="111"/>
        <v>25</v>
      </c>
      <c r="M297" s="157">
        <f t="shared" si="111"/>
        <v>3761.03</v>
      </c>
      <c r="N297" s="158">
        <f t="shared" si="108"/>
        <v>0.3234406532</v>
      </c>
      <c r="O297" s="159">
        <f t="shared" si="5"/>
        <v>3.091757298</v>
      </c>
      <c r="P297" s="158">
        <f t="shared" si="6"/>
        <v>0.1245073063</v>
      </c>
      <c r="Q297" s="160">
        <f t="shared" si="7"/>
        <v>0.384946373</v>
      </c>
      <c r="R297" s="161">
        <f>SUM(R279:R296)</f>
        <v>6009.24</v>
      </c>
      <c r="S297" s="162">
        <f t="shared" si="9"/>
        <v>48.6588</v>
      </c>
      <c r="T297" s="163">
        <f t="shared" ref="T297:U297" si="112">IFERROR((D297-D69)/D297,)</f>
        <v>0.2240419149</v>
      </c>
      <c r="U297" s="399">
        <f t="shared" si="112"/>
        <v>-0.46875</v>
      </c>
      <c r="V297" s="398" t="str">
        <f t="shared" ref="V297:W297" si="113">IFERROR((D297-monthly_reporting_2021!D88)/D297, )</f>
        <v/>
      </c>
      <c r="W297" s="398" t="str">
        <f t="shared" si="113"/>
        <v/>
      </c>
      <c r="X297" s="165"/>
      <c r="Y297" s="165"/>
      <c r="Z297" s="165"/>
    </row>
    <row r="298" hidden="1" outlineLevel="1">
      <c r="A298" s="165"/>
      <c r="B298" s="99">
        <v>45816.0</v>
      </c>
      <c r="C298" s="100" t="s">
        <v>32</v>
      </c>
      <c r="D298" s="101">
        <v>-1273.15</v>
      </c>
      <c r="E298" s="103">
        <v>1.0</v>
      </c>
      <c r="F298" s="103">
        <v>5.0</v>
      </c>
      <c r="G298" s="104">
        <f t="shared" si="1"/>
        <v>0.2</v>
      </c>
      <c r="H298" s="105">
        <f t="shared" si="2"/>
        <v>-1273.15</v>
      </c>
      <c r="I298" s="106">
        <f t="shared" si="3"/>
        <v>-6365.75</v>
      </c>
      <c r="J298" s="107">
        <v>325.78</v>
      </c>
      <c r="K298" s="103">
        <v>92597.0</v>
      </c>
      <c r="L298" s="103">
        <v>2.0</v>
      </c>
      <c r="M298" s="108">
        <v>628.95</v>
      </c>
      <c r="N298" s="109">
        <f t="shared" si="108"/>
        <v>0.5179744018</v>
      </c>
      <c r="O298" s="110">
        <f t="shared" si="5"/>
        <v>1.930597336</v>
      </c>
      <c r="P298" s="109">
        <f t="shared" si="6"/>
        <v>-0.2558850096</v>
      </c>
      <c r="Q298" s="111">
        <f t="shared" si="7"/>
        <v>-0.4940109178</v>
      </c>
      <c r="R298" s="112">
        <f t="shared" ref="R298:R315" si="114">D298-M298</f>
        <v>-1902.1</v>
      </c>
      <c r="S298" s="113">
        <f t="shared" si="9"/>
        <v>162.89</v>
      </c>
      <c r="T298" s="172"/>
      <c r="U298" s="172"/>
      <c r="V298" s="172"/>
      <c r="W298" s="172"/>
      <c r="X298" s="173"/>
      <c r="Y298" s="165"/>
      <c r="Z298" s="165"/>
    </row>
    <row r="299" hidden="1" outlineLevel="1">
      <c r="A299" s="165"/>
      <c r="B299" s="174"/>
      <c r="C299" s="100" t="s">
        <v>33</v>
      </c>
      <c r="D299" s="117">
        <v>4078.34</v>
      </c>
      <c r="E299" s="103">
        <v>36.0</v>
      </c>
      <c r="F299" s="103">
        <v>40.0</v>
      </c>
      <c r="G299" s="104">
        <f t="shared" si="1"/>
        <v>0.9</v>
      </c>
      <c r="H299" s="105">
        <f t="shared" si="2"/>
        <v>113.2872222</v>
      </c>
      <c r="I299" s="106">
        <f t="shared" si="3"/>
        <v>125.8746914</v>
      </c>
      <c r="J299" s="117">
        <v>245.4</v>
      </c>
      <c r="K299" s="103">
        <v>91425.0</v>
      </c>
      <c r="L299" s="103">
        <v>17.0</v>
      </c>
      <c r="M299" s="118">
        <v>1016.4</v>
      </c>
      <c r="N299" s="109">
        <f t="shared" si="108"/>
        <v>0.2414403778</v>
      </c>
      <c r="O299" s="110">
        <f t="shared" si="5"/>
        <v>4.141809291</v>
      </c>
      <c r="P299" s="109">
        <f t="shared" si="6"/>
        <v>0.06017154038</v>
      </c>
      <c r="Q299" s="111">
        <f t="shared" si="7"/>
        <v>0.249219045</v>
      </c>
      <c r="R299" s="119">
        <f t="shared" si="114"/>
        <v>3061.94</v>
      </c>
      <c r="S299" s="113">
        <f t="shared" si="9"/>
        <v>14.43529412</v>
      </c>
      <c r="T299" s="172"/>
      <c r="U299" s="172"/>
      <c r="V299" s="172"/>
      <c r="W299" s="172"/>
      <c r="X299" s="173"/>
      <c r="Y299" s="165"/>
      <c r="Z299" s="165"/>
    </row>
    <row r="300" hidden="1" outlineLevel="1">
      <c r="A300" s="165"/>
      <c r="B300" s="174"/>
      <c r="C300" s="100" t="s">
        <v>34</v>
      </c>
      <c r="D300" s="120">
        <v>0.0</v>
      </c>
      <c r="E300" s="103">
        <v>0.0</v>
      </c>
      <c r="F300" s="103">
        <v>0.0</v>
      </c>
      <c r="G300" s="104" t="str">
        <f t="shared" si="1"/>
        <v>#DIV/0!</v>
      </c>
      <c r="H300" s="105" t="str">
        <f t="shared" si="2"/>
        <v>#DIV/0!</v>
      </c>
      <c r="I300" s="106" t="str">
        <f t="shared" si="3"/>
        <v>#DIV/0!</v>
      </c>
      <c r="J300" s="120">
        <v>0.0</v>
      </c>
      <c r="K300" s="103">
        <v>1.0</v>
      </c>
      <c r="L300" s="103">
        <v>0.0</v>
      </c>
      <c r="M300" s="121">
        <v>0.0</v>
      </c>
      <c r="N300" s="109" t="str">
        <f>(J300/M300)</f>
        <v>#DIV/0!</v>
      </c>
      <c r="O300" s="110" t="str">
        <f t="shared" si="5"/>
        <v>#DIV/0!</v>
      </c>
      <c r="P300" s="109" t="str">
        <f t="shared" si="6"/>
        <v>#DIV/0!</v>
      </c>
      <c r="Q300" s="111" t="str">
        <f t="shared" si="7"/>
        <v>#DIV/0!</v>
      </c>
      <c r="R300" s="122">
        <f t="shared" si="114"/>
        <v>0</v>
      </c>
      <c r="S300" s="113" t="str">
        <f t="shared" si="9"/>
        <v>#DIV/0!</v>
      </c>
      <c r="T300" s="172"/>
      <c r="U300" s="172"/>
      <c r="V300" s="172"/>
      <c r="W300" s="172"/>
      <c r="X300" s="173"/>
      <c r="Y300" s="165"/>
      <c r="Z300" s="165"/>
    </row>
    <row r="301" hidden="1" outlineLevel="1">
      <c r="A301" s="165"/>
      <c r="B301" s="174"/>
      <c r="C301" s="100" t="s">
        <v>35</v>
      </c>
      <c r="D301" s="120">
        <v>905.25</v>
      </c>
      <c r="E301" s="103">
        <v>15.0</v>
      </c>
      <c r="F301" s="103">
        <v>13.0</v>
      </c>
      <c r="G301" s="104">
        <f t="shared" si="1"/>
        <v>1.153846154</v>
      </c>
      <c r="H301" s="105">
        <f t="shared" si="2"/>
        <v>60.35</v>
      </c>
      <c r="I301" s="106">
        <f t="shared" si="3"/>
        <v>52.30333333</v>
      </c>
      <c r="J301" s="120">
        <v>59.65</v>
      </c>
      <c r="K301" s="103">
        <v>4492.0</v>
      </c>
      <c r="L301" s="103">
        <v>6.0</v>
      </c>
      <c r="M301" s="121">
        <v>359.7</v>
      </c>
      <c r="N301" s="109">
        <f t="shared" ref="N301:N318" si="115">J301/M301</f>
        <v>0.1658326383</v>
      </c>
      <c r="O301" s="110">
        <f t="shared" si="5"/>
        <v>6.030176027</v>
      </c>
      <c r="P301" s="109">
        <f t="shared" si="6"/>
        <v>0.06589339961</v>
      </c>
      <c r="Q301" s="111">
        <f t="shared" si="7"/>
        <v>0.3973487987</v>
      </c>
      <c r="R301" s="122">
        <f t="shared" si="114"/>
        <v>545.55</v>
      </c>
      <c r="S301" s="113">
        <f t="shared" si="9"/>
        <v>9.941666667</v>
      </c>
      <c r="T301" s="172"/>
      <c r="U301" s="172"/>
      <c r="V301" s="172"/>
      <c r="W301" s="172"/>
      <c r="X301" s="173"/>
      <c r="Y301" s="165"/>
      <c r="Z301" s="165"/>
    </row>
    <row r="302" hidden="1" outlineLevel="1">
      <c r="A302" s="165"/>
      <c r="B302" s="174"/>
      <c r="C302" s="100" t="s">
        <v>65</v>
      </c>
      <c r="D302" s="300">
        <v>0.0</v>
      </c>
      <c r="E302" s="103">
        <v>0.0</v>
      </c>
      <c r="F302" s="103">
        <v>0.0</v>
      </c>
      <c r="G302" s="104" t="str">
        <f t="shared" si="1"/>
        <v>#DIV/0!</v>
      </c>
      <c r="H302" s="105" t="str">
        <f t="shared" si="2"/>
        <v>#DIV/0!</v>
      </c>
      <c r="I302" s="106" t="str">
        <f t="shared" si="3"/>
        <v>#DIV/0!</v>
      </c>
      <c r="J302" s="300">
        <v>0.0</v>
      </c>
      <c r="K302" s="103">
        <v>0.0</v>
      </c>
      <c r="L302" s="103">
        <v>0.0</v>
      </c>
      <c r="M302" s="300">
        <v>0.0</v>
      </c>
      <c r="N302" s="109" t="str">
        <f t="shared" si="115"/>
        <v>#DIV/0!</v>
      </c>
      <c r="O302" s="110" t="str">
        <f t="shared" si="5"/>
        <v>#DIV/0!</v>
      </c>
      <c r="P302" s="109" t="str">
        <f t="shared" si="6"/>
        <v>#DIV/0!</v>
      </c>
      <c r="Q302" s="111" t="str">
        <f t="shared" si="7"/>
        <v>#DIV/0!</v>
      </c>
      <c r="R302" s="122">
        <f t="shared" si="114"/>
        <v>0</v>
      </c>
      <c r="S302" s="113" t="str">
        <f t="shared" si="9"/>
        <v>#DIV/0!</v>
      </c>
      <c r="T302" s="172"/>
      <c r="U302" s="172"/>
      <c r="V302" s="172"/>
      <c r="W302" s="172"/>
      <c r="X302" s="173"/>
      <c r="Y302" s="165"/>
      <c r="Z302" s="165"/>
    </row>
    <row r="303" hidden="1" outlineLevel="1">
      <c r="A303" s="165"/>
      <c r="B303" s="174"/>
      <c r="C303" s="100" t="s">
        <v>85</v>
      </c>
      <c r="D303" s="302">
        <v>0.0</v>
      </c>
      <c r="E303" s="103">
        <v>0.0</v>
      </c>
      <c r="F303" s="103">
        <v>0.0</v>
      </c>
      <c r="G303" s="104" t="str">
        <f t="shared" si="1"/>
        <v>#DIV/0!</v>
      </c>
      <c r="H303" s="105" t="str">
        <f t="shared" si="2"/>
        <v>#DIV/0!</v>
      </c>
      <c r="I303" s="106" t="str">
        <f t="shared" si="3"/>
        <v>#DIV/0!</v>
      </c>
      <c r="J303" s="302">
        <v>0.0</v>
      </c>
      <c r="K303" s="103">
        <v>0.0</v>
      </c>
      <c r="L303" s="103">
        <v>0.0</v>
      </c>
      <c r="M303" s="303">
        <v>0.0</v>
      </c>
      <c r="N303" s="109" t="str">
        <f t="shared" si="115"/>
        <v>#DIV/0!</v>
      </c>
      <c r="O303" s="110" t="str">
        <f t="shared" si="5"/>
        <v>#DIV/0!</v>
      </c>
      <c r="P303" s="109" t="str">
        <f t="shared" si="6"/>
        <v>#DIV/0!</v>
      </c>
      <c r="Q303" s="111" t="str">
        <f t="shared" si="7"/>
        <v>#DIV/0!</v>
      </c>
      <c r="R303" s="304">
        <f t="shared" si="114"/>
        <v>0</v>
      </c>
      <c r="S303" s="113" t="str">
        <f t="shared" si="9"/>
        <v>#DIV/0!</v>
      </c>
      <c r="T303" s="172"/>
      <c r="U303" s="172"/>
      <c r="V303" s="172"/>
      <c r="W303" s="172"/>
      <c r="X303" s="173"/>
      <c r="Y303" s="165"/>
      <c r="Z303" s="165"/>
    </row>
    <row r="304" hidden="1" outlineLevel="1">
      <c r="A304" s="165"/>
      <c r="B304" s="174"/>
      <c r="C304" s="100" t="s">
        <v>36</v>
      </c>
      <c r="D304" s="120">
        <v>719.4</v>
      </c>
      <c r="E304" s="103">
        <v>12.0</v>
      </c>
      <c r="F304" s="103">
        <v>8.0</v>
      </c>
      <c r="G304" s="104">
        <f t="shared" si="1"/>
        <v>1.5</v>
      </c>
      <c r="H304" s="105">
        <f t="shared" si="2"/>
        <v>59.95</v>
      </c>
      <c r="I304" s="106">
        <f t="shared" si="3"/>
        <v>39.96666667</v>
      </c>
      <c r="J304" s="120">
        <v>55.14</v>
      </c>
      <c r="K304" s="103">
        <v>14476.0</v>
      </c>
      <c r="L304" s="103">
        <v>3.0</v>
      </c>
      <c r="M304" s="121">
        <v>119.9</v>
      </c>
      <c r="N304" s="109">
        <f t="shared" si="115"/>
        <v>0.459883236</v>
      </c>
      <c r="O304" s="110">
        <f t="shared" si="5"/>
        <v>2.174464998</v>
      </c>
      <c r="P304" s="109">
        <f t="shared" si="6"/>
        <v>0.07664720601</v>
      </c>
      <c r="Q304" s="111">
        <f t="shared" si="7"/>
        <v>0.1666666667</v>
      </c>
      <c r="R304" s="122">
        <f t="shared" si="114"/>
        <v>599.5</v>
      </c>
      <c r="S304" s="113">
        <f t="shared" si="9"/>
        <v>18.38</v>
      </c>
      <c r="T304" s="172"/>
      <c r="U304" s="172"/>
      <c r="V304" s="172"/>
      <c r="W304" s="172"/>
      <c r="X304" s="173"/>
      <c r="Y304" s="165"/>
      <c r="Z304" s="165"/>
    </row>
    <row r="305" hidden="1" outlineLevel="1">
      <c r="A305" s="165"/>
      <c r="B305" s="99" t="s">
        <v>37</v>
      </c>
      <c r="C305" s="100" t="s">
        <v>38</v>
      </c>
      <c r="D305" s="123">
        <v>5.0</v>
      </c>
      <c r="E305" s="103">
        <v>0.0</v>
      </c>
      <c r="F305" s="103">
        <v>1.0</v>
      </c>
      <c r="G305" s="104">
        <f t="shared" si="1"/>
        <v>0</v>
      </c>
      <c r="H305" s="105" t="str">
        <f t="shared" si="2"/>
        <v>#DIV/0!</v>
      </c>
      <c r="I305" s="106" t="str">
        <f t="shared" si="3"/>
        <v>#DIV/0!</v>
      </c>
      <c r="J305" s="123">
        <v>45.64</v>
      </c>
      <c r="K305" s="103">
        <v>17257.0</v>
      </c>
      <c r="L305" s="103">
        <v>0.0</v>
      </c>
      <c r="M305" s="124">
        <v>0.0</v>
      </c>
      <c r="N305" s="109" t="str">
        <f t="shared" si="115"/>
        <v>#DIV/0!</v>
      </c>
      <c r="O305" s="110">
        <f t="shared" si="5"/>
        <v>0</v>
      </c>
      <c r="P305" s="109">
        <f t="shared" si="6"/>
        <v>9.128</v>
      </c>
      <c r="Q305" s="111">
        <f t="shared" si="7"/>
        <v>0</v>
      </c>
      <c r="R305" s="125">
        <f t="shared" si="114"/>
        <v>5</v>
      </c>
      <c r="S305" s="113" t="str">
        <f t="shared" si="9"/>
        <v>#DIV/0!</v>
      </c>
      <c r="T305" s="172"/>
      <c r="U305" s="172"/>
      <c r="V305" s="172"/>
      <c r="W305" s="172"/>
      <c r="X305" s="173"/>
      <c r="Y305" s="165"/>
      <c r="Z305" s="165"/>
    </row>
    <row r="306" hidden="1" outlineLevel="1">
      <c r="A306" s="165"/>
      <c r="B306" s="174"/>
      <c r="C306" s="100" t="s">
        <v>39</v>
      </c>
      <c r="D306" s="126">
        <v>0.0</v>
      </c>
      <c r="E306" s="103">
        <v>0.0</v>
      </c>
      <c r="F306" s="103">
        <v>0.0</v>
      </c>
      <c r="G306" s="104" t="str">
        <f t="shared" si="1"/>
        <v>#DIV/0!</v>
      </c>
      <c r="H306" s="105" t="str">
        <f t="shared" si="2"/>
        <v>#DIV/0!</v>
      </c>
      <c r="I306" s="106" t="str">
        <f t="shared" si="3"/>
        <v>#DIV/0!</v>
      </c>
      <c r="J306" s="126">
        <v>0.0</v>
      </c>
      <c r="K306" s="103">
        <v>0.0</v>
      </c>
      <c r="L306" s="103">
        <v>0.0</v>
      </c>
      <c r="M306" s="127">
        <v>0.0</v>
      </c>
      <c r="N306" s="109" t="str">
        <f t="shared" si="115"/>
        <v>#DIV/0!</v>
      </c>
      <c r="O306" s="110" t="str">
        <f t="shared" si="5"/>
        <v>#DIV/0!</v>
      </c>
      <c r="P306" s="109" t="str">
        <f t="shared" si="6"/>
        <v>#DIV/0!</v>
      </c>
      <c r="Q306" s="111" t="str">
        <f t="shared" si="7"/>
        <v>#DIV/0!</v>
      </c>
      <c r="R306" s="128">
        <f t="shared" si="114"/>
        <v>0</v>
      </c>
      <c r="S306" s="113" t="str">
        <f t="shared" si="9"/>
        <v>#DIV/0!</v>
      </c>
      <c r="T306" s="172"/>
      <c r="U306" s="172"/>
      <c r="V306" s="172"/>
      <c r="W306" s="172"/>
      <c r="X306" s="173"/>
      <c r="Y306" s="165"/>
      <c r="Z306" s="165"/>
    </row>
    <row r="307" hidden="1" outlineLevel="1">
      <c r="A307" s="165"/>
      <c r="B307" s="174"/>
      <c r="C307" s="100" t="s">
        <v>40</v>
      </c>
      <c r="D307" s="129">
        <v>0.0</v>
      </c>
      <c r="E307" s="103">
        <v>0.0</v>
      </c>
      <c r="F307" s="103">
        <v>0.0</v>
      </c>
      <c r="G307" s="104" t="str">
        <f t="shared" si="1"/>
        <v>#DIV/0!</v>
      </c>
      <c r="H307" s="105" t="str">
        <f t="shared" si="2"/>
        <v>#DIV/0!</v>
      </c>
      <c r="I307" s="106" t="str">
        <f t="shared" si="3"/>
        <v>#DIV/0!</v>
      </c>
      <c r="J307" s="129">
        <v>0.0</v>
      </c>
      <c r="K307" s="103">
        <v>0.0</v>
      </c>
      <c r="L307" s="103">
        <v>0.0</v>
      </c>
      <c r="M307" s="130">
        <v>0.0</v>
      </c>
      <c r="N307" s="109" t="str">
        <f t="shared" si="115"/>
        <v>#DIV/0!</v>
      </c>
      <c r="O307" s="110" t="str">
        <f t="shared" si="5"/>
        <v>#DIV/0!</v>
      </c>
      <c r="P307" s="109" t="str">
        <f t="shared" si="6"/>
        <v>#DIV/0!</v>
      </c>
      <c r="Q307" s="111" t="str">
        <f t="shared" si="7"/>
        <v>#DIV/0!</v>
      </c>
      <c r="R307" s="131">
        <f t="shared" si="114"/>
        <v>0</v>
      </c>
      <c r="S307" s="113" t="str">
        <f t="shared" si="9"/>
        <v>#DIV/0!</v>
      </c>
      <c r="T307" s="172"/>
      <c r="U307" s="172"/>
      <c r="V307" s="172"/>
      <c r="W307" s="172"/>
      <c r="X307" s="173"/>
      <c r="Y307" s="165"/>
      <c r="Z307" s="165"/>
    </row>
    <row r="308" hidden="1" outlineLevel="1">
      <c r="A308" s="165"/>
      <c r="B308" s="174"/>
      <c r="C308" s="100" t="s">
        <v>41</v>
      </c>
      <c r="D308" s="132">
        <v>494.91</v>
      </c>
      <c r="E308" s="103">
        <v>9.0</v>
      </c>
      <c r="F308" s="103">
        <v>9.0</v>
      </c>
      <c r="G308" s="104">
        <f t="shared" si="1"/>
        <v>1</v>
      </c>
      <c r="H308" s="105">
        <f t="shared" si="2"/>
        <v>54.99</v>
      </c>
      <c r="I308" s="106">
        <f t="shared" si="3"/>
        <v>54.99</v>
      </c>
      <c r="J308" s="132">
        <v>93.9</v>
      </c>
      <c r="K308" s="103">
        <v>14200.0</v>
      </c>
      <c r="L308" s="103">
        <v>2.0</v>
      </c>
      <c r="M308" s="133">
        <v>109.98</v>
      </c>
      <c r="N308" s="109">
        <f t="shared" si="115"/>
        <v>0.8537915985</v>
      </c>
      <c r="O308" s="110">
        <f t="shared" si="5"/>
        <v>1.171246006</v>
      </c>
      <c r="P308" s="109">
        <f t="shared" si="6"/>
        <v>0.1897314663</v>
      </c>
      <c r="Q308" s="111">
        <f t="shared" si="7"/>
        <v>0.2222222222</v>
      </c>
      <c r="R308" s="134">
        <f t="shared" si="114"/>
        <v>384.93</v>
      </c>
      <c r="S308" s="113">
        <f t="shared" si="9"/>
        <v>46.95</v>
      </c>
      <c r="T308" s="172"/>
      <c r="U308" s="172"/>
      <c r="V308" s="172"/>
      <c r="W308" s="172"/>
      <c r="X308" s="173"/>
      <c r="Y308" s="165"/>
      <c r="Z308" s="165"/>
    </row>
    <row r="309" hidden="1" outlineLevel="1">
      <c r="A309" s="165"/>
      <c r="B309" s="174"/>
      <c r="C309" s="100" t="s">
        <v>42</v>
      </c>
      <c r="D309" s="120">
        <v>159.92</v>
      </c>
      <c r="E309" s="103">
        <v>8.0</v>
      </c>
      <c r="F309" s="103">
        <v>7.0</v>
      </c>
      <c r="G309" s="104">
        <f t="shared" si="1"/>
        <v>1.142857143</v>
      </c>
      <c r="H309" s="105">
        <f t="shared" si="2"/>
        <v>19.99</v>
      </c>
      <c r="I309" s="106">
        <f t="shared" si="3"/>
        <v>17.49125</v>
      </c>
      <c r="J309" s="120">
        <v>4.14</v>
      </c>
      <c r="K309" s="103">
        <v>9150.0</v>
      </c>
      <c r="L309" s="103">
        <v>4.0</v>
      </c>
      <c r="M309" s="121">
        <v>79.96</v>
      </c>
      <c r="N309" s="109">
        <f t="shared" si="115"/>
        <v>0.05177588794</v>
      </c>
      <c r="O309" s="110">
        <f t="shared" si="5"/>
        <v>19.31400966</v>
      </c>
      <c r="P309" s="109">
        <f t="shared" si="6"/>
        <v>0.02588794397</v>
      </c>
      <c r="Q309" s="111">
        <f t="shared" si="7"/>
        <v>0.5</v>
      </c>
      <c r="R309" s="122">
        <f t="shared" si="114"/>
        <v>79.96</v>
      </c>
      <c r="S309" s="113">
        <f t="shared" si="9"/>
        <v>1.035</v>
      </c>
      <c r="T309" s="172"/>
      <c r="U309" s="172"/>
      <c r="V309" s="172"/>
      <c r="W309" s="172"/>
      <c r="X309" s="173"/>
      <c r="Y309" s="165"/>
      <c r="Z309" s="165"/>
    </row>
    <row r="310" hidden="1" outlineLevel="1">
      <c r="A310" s="165"/>
      <c r="B310" s="174"/>
      <c r="C310" s="100" t="s">
        <v>43</v>
      </c>
      <c r="D310" s="135">
        <v>1317.8</v>
      </c>
      <c r="E310" s="103">
        <v>8.0</v>
      </c>
      <c r="F310" s="103">
        <v>10.0</v>
      </c>
      <c r="G310" s="104">
        <f t="shared" si="1"/>
        <v>0.8</v>
      </c>
      <c r="H310" s="105">
        <f t="shared" si="2"/>
        <v>164.725</v>
      </c>
      <c r="I310" s="106">
        <f t="shared" si="3"/>
        <v>205.90625</v>
      </c>
      <c r="J310" s="135">
        <v>18.51</v>
      </c>
      <c r="K310" s="103">
        <v>23677.0</v>
      </c>
      <c r="L310" s="103">
        <v>1.0</v>
      </c>
      <c r="M310" s="136">
        <v>205.95</v>
      </c>
      <c r="N310" s="109">
        <f t="shared" si="115"/>
        <v>0.08987618354</v>
      </c>
      <c r="O310" s="110">
        <f t="shared" si="5"/>
        <v>11.12641815</v>
      </c>
      <c r="P310" s="109">
        <f t="shared" si="6"/>
        <v>0.0140461375</v>
      </c>
      <c r="Q310" s="111">
        <f t="shared" si="7"/>
        <v>0.1562831993</v>
      </c>
      <c r="R310" s="137">
        <f t="shared" si="114"/>
        <v>1111.85</v>
      </c>
      <c r="S310" s="113">
        <f t="shared" si="9"/>
        <v>18.51</v>
      </c>
      <c r="T310" s="172"/>
      <c r="U310" s="172"/>
      <c r="V310" s="172"/>
      <c r="W310" s="172"/>
      <c r="X310" s="173"/>
      <c r="Y310" s="165"/>
      <c r="Z310" s="165"/>
    </row>
    <row r="311" hidden="1" outlineLevel="1">
      <c r="A311" s="165"/>
      <c r="B311" s="174"/>
      <c r="C311" s="100" t="s">
        <v>44</v>
      </c>
      <c r="D311" s="138">
        <v>144.85</v>
      </c>
      <c r="E311" s="103">
        <v>3.0</v>
      </c>
      <c r="F311" s="103">
        <v>4.0</v>
      </c>
      <c r="G311" s="104">
        <f t="shared" si="1"/>
        <v>0.75</v>
      </c>
      <c r="H311" s="105">
        <f t="shared" si="2"/>
        <v>48.28333333</v>
      </c>
      <c r="I311" s="106">
        <f t="shared" si="3"/>
        <v>64.37777778</v>
      </c>
      <c r="J311" s="138">
        <v>21.63</v>
      </c>
      <c r="K311" s="103">
        <v>11095.0</v>
      </c>
      <c r="L311" s="103">
        <v>1.0</v>
      </c>
      <c r="M311" s="139">
        <v>44.95</v>
      </c>
      <c r="N311" s="109">
        <f t="shared" si="115"/>
        <v>0.4812013348</v>
      </c>
      <c r="O311" s="110">
        <f t="shared" si="5"/>
        <v>2.078132224</v>
      </c>
      <c r="P311" s="109">
        <f t="shared" si="6"/>
        <v>0.1493268899</v>
      </c>
      <c r="Q311" s="111">
        <f t="shared" si="7"/>
        <v>0.3103210217</v>
      </c>
      <c r="R311" s="140">
        <f t="shared" si="114"/>
        <v>99.9</v>
      </c>
      <c r="S311" s="113">
        <f t="shared" si="9"/>
        <v>21.63</v>
      </c>
      <c r="T311" s="172"/>
      <c r="U311" s="172"/>
      <c r="V311" s="172"/>
      <c r="W311" s="172"/>
      <c r="X311" s="173"/>
      <c r="Y311" s="165"/>
      <c r="Z311" s="165"/>
    </row>
    <row r="312" hidden="1" outlineLevel="1">
      <c r="A312" s="192"/>
      <c r="B312" s="174"/>
      <c r="C312" s="142" t="s">
        <v>45</v>
      </c>
      <c r="D312" s="101">
        <v>0.0</v>
      </c>
      <c r="E312" s="103">
        <v>0.0</v>
      </c>
      <c r="F312" s="103">
        <v>0.0</v>
      </c>
      <c r="G312" s="104" t="str">
        <f t="shared" si="1"/>
        <v>#DIV/0!</v>
      </c>
      <c r="H312" s="105" t="str">
        <f t="shared" si="2"/>
        <v>#DIV/0!</v>
      </c>
      <c r="I312" s="106" t="str">
        <f t="shared" si="3"/>
        <v>#DIV/0!</v>
      </c>
      <c r="J312" s="101">
        <v>0.0</v>
      </c>
      <c r="K312" s="103">
        <v>0.0</v>
      </c>
      <c r="L312" s="103">
        <v>0.0</v>
      </c>
      <c r="M312" s="108">
        <v>0.0</v>
      </c>
      <c r="N312" s="109" t="str">
        <f t="shared" si="115"/>
        <v>#DIV/0!</v>
      </c>
      <c r="O312" s="110" t="str">
        <f t="shared" si="5"/>
        <v>#DIV/0!</v>
      </c>
      <c r="P312" s="109" t="str">
        <f t="shared" si="6"/>
        <v>#DIV/0!</v>
      </c>
      <c r="Q312" s="111" t="str">
        <f t="shared" si="7"/>
        <v>#DIV/0!</v>
      </c>
      <c r="R312" s="112">
        <f t="shared" si="114"/>
        <v>0</v>
      </c>
      <c r="S312" s="113" t="str">
        <f t="shared" si="9"/>
        <v>#DIV/0!</v>
      </c>
      <c r="T312" s="193"/>
      <c r="U312" s="193"/>
      <c r="V312" s="193"/>
      <c r="W312" s="194"/>
      <c r="X312" s="195"/>
      <c r="Y312" s="165"/>
      <c r="Z312" s="165"/>
    </row>
    <row r="313" hidden="1" outlineLevel="1">
      <c r="A313" s="165"/>
      <c r="B313" s="174"/>
      <c r="C313" s="100" t="s">
        <v>46</v>
      </c>
      <c r="D313" s="146">
        <v>505.97</v>
      </c>
      <c r="E313" s="103">
        <v>12.0</v>
      </c>
      <c r="F313" s="103">
        <v>12.0</v>
      </c>
      <c r="G313" s="104">
        <f t="shared" si="1"/>
        <v>1</v>
      </c>
      <c r="H313" s="105">
        <f t="shared" si="2"/>
        <v>42.16416667</v>
      </c>
      <c r="I313" s="106">
        <f t="shared" si="3"/>
        <v>42.16416667</v>
      </c>
      <c r="J313" s="146">
        <v>62.76</v>
      </c>
      <c r="K313" s="103">
        <v>30586.0</v>
      </c>
      <c r="L313" s="103">
        <v>5.0</v>
      </c>
      <c r="M313" s="147">
        <v>218.26</v>
      </c>
      <c r="N313" s="109">
        <f t="shared" si="115"/>
        <v>0.2875469623</v>
      </c>
      <c r="O313" s="110">
        <f t="shared" si="5"/>
        <v>3.477692798</v>
      </c>
      <c r="P313" s="109">
        <f t="shared" si="6"/>
        <v>0.1240389746</v>
      </c>
      <c r="Q313" s="111">
        <f t="shared" si="7"/>
        <v>0.4313694488</v>
      </c>
      <c r="R313" s="112">
        <f t="shared" si="114"/>
        <v>287.71</v>
      </c>
      <c r="S313" s="113">
        <f t="shared" si="9"/>
        <v>12.552</v>
      </c>
      <c r="T313" s="172"/>
      <c r="U313" s="172"/>
      <c r="V313" s="172"/>
      <c r="W313" s="172"/>
      <c r="X313" s="173"/>
      <c r="Y313" s="165"/>
      <c r="Z313" s="165"/>
    </row>
    <row r="314" hidden="1" outlineLevel="1">
      <c r="A314" s="165"/>
      <c r="B314" s="174"/>
      <c r="C314" s="100" t="s">
        <v>49</v>
      </c>
      <c r="D314" s="146">
        <v>0.0</v>
      </c>
      <c r="E314" s="103">
        <v>0.0</v>
      </c>
      <c r="F314" s="103">
        <v>0.0</v>
      </c>
      <c r="G314" s="104" t="str">
        <f t="shared" si="1"/>
        <v>#DIV/0!</v>
      </c>
      <c r="H314" s="105" t="str">
        <f t="shared" si="2"/>
        <v>#DIV/0!</v>
      </c>
      <c r="I314" s="106" t="str">
        <f t="shared" si="3"/>
        <v>#DIV/0!</v>
      </c>
      <c r="J314" s="146">
        <v>8.3</v>
      </c>
      <c r="K314" s="103">
        <v>8145.0</v>
      </c>
      <c r="L314" s="103">
        <v>0.0</v>
      </c>
      <c r="M314" s="147">
        <v>0.0</v>
      </c>
      <c r="N314" s="109" t="str">
        <f t="shared" si="115"/>
        <v>#DIV/0!</v>
      </c>
      <c r="O314" s="110">
        <f t="shared" si="5"/>
        <v>0</v>
      </c>
      <c r="P314" s="109" t="str">
        <f t="shared" si="6"/>
        <v>#DIV/0!</v>
      </c>
      <c r="Q314" s="111" t="str">
        <f t="shared" si="7"/>
        <v>#DIV/0!</v>
      </c>
      <c r="R314" s="112">
        <f t="shared" si="114"/>
        <v>0</v>
      </c>
      <c r="S314" s="113" t="str">
        <f t="shared" si="9"/>
        <v>#DIV/0!</v>
      </c>
      <c r="T314" s="172"/>
      <c r="U314" s="172"/>
      <c r="V314" s="172"/>
      <c r="W314" s="172"/>
      <c r="X314" s="173"/>
      <c r="Y314" s="165"/>
      <c r="Z314" s="165"/>
    </row>
    <row r="315" hidden="1" outlineLevel="1">
      <c r="A315" s="148" t="str">
        <f t="shared" ref="A315:A316" si="116">iferror(if(B315&gt;0,month(B315)&amp;"-"&amp;year(B315),B315),)</f>
        <v>6-2025</v>
      </c>
      <c r="B315" s="99">
        <v>45822.0</v>
      </c>
      <c r="C315" s="277" t="s">
        <v>67</v>
      </c>
      <c r="D315" s="146">
        <v>0.0</v>
      </c>
      <c r="E315" s="103">
        <v>0.0</v>
      </c>
      <c r="F315" s="103">
        <v>0.0</v>
      </c>
      <c r="G315" s="104" t="str">
        <f t="shared" si="1"/>
        <v>#DIV/0!</v>
      </c>
      <c r="H315" s="105" t="str">
        <f t="shared" si="2"/>
        <v>#DIV/0!</v>
      </c>
      <c r="I315" s="106" t="str">
        <f t="shared" si="3"/>
        <v>#DIV/0!</v>
      </c>
      <c r="J315" s="117">
        <v>395.81000000000006</v>
      </c>
      <c r="K315" s="278">
        <v>74963.0</v>
      </c>
      <c r="L315" s="103">
        <v>0.0</v>
      </c>
      <c r="M315" s="118">
        <v>1165.94</v>
      </c>
      <c r="N315" s="109">
        <f t="shared" si="115"/>
        <v>0.3394771601</v>
      </c>
      <c r="O315" s="110">
        <f t="shared" si="5"/>
        <v>2.945706273</v>
      </c>
      <c r="P315" s="109" t="str">
        <f t="shared" si="6"/>
        <v>#DIV/0!</v>
      </c>
      <c r="Q315" s="111" t="str">
        <f t="shared" si="7"/>
        <v>#DIV/0!</v>
      </c>
      <c r="R315" s="112">
        <f t="shared" si="114"/>
        <v>-1165.94</v>
      </c>
      <c r="S315" s="113" t="str">
        <f t="shared" si="9"/>
        <v>#DIV/0!</v>
      </c>
      <c r="T315" s="172"/>
      <c r="U315" s="172"/>
      <c r="V315" s="172"/>
      <c r="W315" s="172"/>
      <c r="X315" s="173"/>
      <c r="Y315" s="165"/>
      <c r="Z315" s="165"/>
    </row>
    <row r="316" collapsed="1">
      <c r="A316" s="165" t="str">
        <f t="shared" si="116"/>
        <v/>
      </c>
      <c r="B316" s="80" t="s">
        <v>111</v>
      </c>
      <c r="C316" s="201"/>
      <c r="D316" s="151">
        <f t="shared" ref="D316:F316" si="117">SUM(D298:D315)</f>
        <v>7058.29</v>
      </c>
      <c r="E316" s="153">
        <f t="shared" si="117"/>
        <v>104</v>
      </c>
      <c r="F316" s="153">
        <f t="shared" si="117"/>
        <v>109</v>
      </c>
      <c r="G316" s="154">
        <f t="shared" si="1"/>
        <v>0.9541284404</v>
      </c>
      <c r="H316" s="155">
        <f t="shared" si="2"/>
        <v>67.86817308</v>
      </c>
      <c r="I316" s="156">
        <f t="shared" si="3"/>
        <v>71.13106601</v>
      </c>
      <c r="J316" s="151">
        <f t="shared" ref="J316:M316" si="118">SUM(J298:J315)</f>
        <v>1336.66</v>
      </c>
      <c r="K316" s="153">
        <f t="shared" si="118"/>
        <v>392064</v>
      </c>
      <c r="L316" s="153">
        <f t="shared" si="118"/>
        <v>41</v>
      </c>
      <c r="M316" s="157">
        <f t="shared" si="118"/>
        <v>3949.99</v>
      </c>
      <c r="N316" s="158">
        <f t="shared" si="115"/>
        <v>0.3383957934</v>
      </c>
      <c r="O316" s="159">
        <f t="shared" si="5"/>
        <v>2.955119477</v>
      </c>
      <c r="P316" s="158">
        <f t="shared" si="6"/>
        <v>0.1893744802</v>
      </c>
      <c r="Q316" s="160">
        <f t="shared" si="7"/>
        <v>0.5596242149</v>
      </c>
      <c r="R316" s="161">
        <f>SUM(R298:R315)</f>
        <v>3108.3</v>
      </c>
      <c r="S316" s="162">
        <f t="shared" si="9"/>
        <v>32.60146341</v>
      </c>
      <c r="T316" s="399">
        <f t="shared" ref="T316:U316" si="119">IFERROR((D316-D69)/D316,)</f>
        <v>-0.07410151751</v>
      </c>
      <c r="U316" s="163">
        <f t="shared" si="119"/>
        <v>0.09615384615</v>
      </c>
      <c r="V316" s="398" t="str">
        <f t="shared" ref="V316:W316" si="120">IFERROR((D316-monthly_reporting_2021!D107)/D316, )</f>
        <v/>
      </c>
      <c r="W316" s="398" t="str">
        <f t="shared" si="120"/>
        <v/>
      </c>
      <c r="X316" s="165"/>
      <c r="Y316" s="165"/>
      <c r="Z316" s="165"/>
    </row>
    <row r="317" hidden="1" outlineLevel="1">
      <c r="A317" s="165"/>
      <c r="B317" s="99">
        <v>45823.0</v>
      </c>
      <c r="C317" s="100" t="s">
        <v>32</v>
      </c>
      <c r="D317" s="101">
        <v>2337.5</v>
      </c>
      <c r="E317" s="103">
        <v>14.0</v>
      </c>
      <c r="F317" s="103">
        <v>12.0</v>
      </c>
      <c r="G317" s="104">
        <f t="shared" si="1"/>
        <v>1.166666667</v>
      </c>
      <c r="H317" s="105">
        <f t="shared" si="2"/>
        <v>166.9642857</v>
      </c>
      <c r="I317" s="106">
        <f t="shared" si="3"/>
        <v>143.1122449</v>
      </c>
      <c r="J317" s="107">
        <v>471.04</v>
      </c>
      <c r="K317" s="103">
        <v>106839.0</v>
      </c>
      <c r="L317" s="103">
        <v>4.0</v>
      </c>
      <c r="M317" s="108">
        <v>628.95</v>
      </c>
      <c r="N317" s="109">
        <f t="shared" si="115"/>
        <v>0.7489307576</v>
      </c>
      <c r="O317" s="110">
        <f t="shared" si="5"/>
        <v>1.335236923</v>
      </c>
      <c r="P317" s="109">
        <f t="shared" si="6"/>
        <v>0.2015144385</v>
      </c>
      <c r="Q317" s="111">
        <f t="shared" si="7"/>
        <v>0.2690695187</v>
      </c>
      <c r="R317" s="112">
        <f t="shared" ref="R317:R334" si="121">D317-M317</f>
        <v>1708.55</v>
      </c>
      <c r="S317" s="113">
        <f t="shared" si="9"/>
        <v>117.76</v>
      </c>
      <c r="T317" s="172"/>
      <c r="U317" s="172"/>
      <c r="V317" s="172"/>
      <c r="W317" s="172"/>
      <c r="X317" s="173"/>
      <c r="Y317" s="165"/>
      <c r="Z317" s="165"/>
    </row>
    <row r="318" hidden="1" outlineLevel="1">
      <c r="A318" s="165"/>
      <c r="B318" s="174"/>
      <c r="C318" s="100" t="s">
        <v>33</v>
      </c>
      <c r="D318" s="117">
        <v>3124.5</v>
      </c>
      <c r="E318" s="103">
        <v>40.0</v>
      </c>
      <c r="F318" s="103">
        <v>47.0</v>
      </c>
      <c r="G318" s="104">
        <f t="shared" si="1"/>
        <v>0.8510638298</v>
      </c>
      <c r="H318" s="105">
        <f t="shared" si="2"/>
        <v>78.1125</v>
      </c>
      <c r="I318" s="106">
        <f t="shared" si="3"/>
        <v>91.7821875</v>
      </c>
      <c r="J318" s="117">
        <v>247.73</v>
      </c>
      <c r="K318" s="103">
        <v>94889.0</v>
      </c>
      <c r="L318" s="103">
        <v>10.0</v>
      </c>
      <c r="M318" s="118">
        <v>539.8</v>
      </c>
      <c r="N318" s="109">
        <f t="shared" si="115"/>
        <v>0.458929233</v>
      </c>
      <c r="O318" s="110">
        <f t="shared" si="5"/>
        <v>2.178985185</v>
      </c>
      <c r="P318" s="109">
        <f t="shared" si="6"/>
        <v>0.07928628581</v>
      </c>
      <c r="Q318" s="111">
        <f t="shared" si="7"/>
        <v>0.1727636422</v>
      </c>
      <c r="R318" s="119">
        <f t="shared" si="121"/>
        <v>2584.7</v>
      </c>
      <c r="S318" s="113">
        <f t="shared" si="9"/>
        <v>24.773</v>
      </c>
      <c r="T318" s="172"/>
      <c r="U318" s="172"/>
      <c r="V318" s="172"/>
      <c r="W318" s="172"/>
      <c r="X318" s="173"/>
      <c r="Y318" s="165"/>
      <c r="Z318" s="165"/>
    </row>
    <row r="319" hidden="1" outlineLevel="1">
      <c r="A319" s="165"/>
      <c r="B319" s="174"/>
      <c r="C319" s="100" t="s">
        <v>34</v>
      </c>
      <c r="D319" s="120">
        <v>0.0</v>
      </c>
      <c r="E319" s="103">
        <v>0.0</v>
      </c>
      <c r="F319" s="103">
        <v>0.0</v>
      </c>
      <c r="G319" s="104" t="str">
        <f t="shared" si="1"/>
        <v>#DIV/0!</v>
      </c>
      <c r="H319" s="105" t="str">
        <f t="shared" si="2"/>
        <v>#DIV/0!</v>
      </c>
      <c r="I319" s="106" t="str">
        <f t="shared" si="3"/>
        <v>#DIV/0!</v>
      </c>
      <c r="J319" s="120">
        <v>0.0</v>
      </c>
      <c r="K319" s="103">
        <v>1.0</v>
      </c>
      <c r="L319" s="103">
        <v>0.0</v>
      </c>
      <c r="M319" s="121">
        <v>0.0</v>
      </c>
      <c r="N319" s="109" t="str">
        <f>(J319/M319)</f>
        <v>#DIV/0!</v>
      </c>
      <c r="O319" s="110" t="str">
        <f t="shared" si="5"/>
        <v>#DIV/0!</v>
      </c>
      <c r="P319" s="109" t="str">
        <f t="shared" si="6"/>
        <v>#DIV/0!</v>
      </c>
      <c r="Q319" s="111" t="str">
        <f t="shared" si="7"/>
        <v>#DIV/0!</v>
      </c>
      <c r="R319" s="122">
        <f t="shared" si="121"/>
        <v>0</v>
      </c>
      <c r="S319" s="113" t="str">
        <f t="shared" si="9"/>
        <v>#DIV/0!</v>
      </c>
      <c r="T319" s="172"/>
      <c r="U319" s="172"/>
      <c r="V319" s="172"/>
      <c r="W319" s="172"/>
      <c r="X319" s="173"/>
      <c r="Y319" s="165"/>
      <c r="Z319" s="165"/>
    </row>
    <row r="320" hidden="1" outlineLevel="1">
      <c r="A320" s="165"/>
      <c r="B320" s="174"/>
      <c r="C320" s="100" t="s">
        <v>35</v>
      </c>
      <c r="D320" s="120">
        <v>359.7</v>
      </c>
      <c r="E320" s="103">
        <v>6.0</v>
      </c>
      <c r="F320" s="103">
        <v>4.0</v>
      </c>
      <c r="G320" s="104">
        <f t="shared" si="1"/>
        <v>1.5</v>
      </c>
      <c r="H320" s="105">
        <f t="shared" si="2"/>
        <v>59.95</v>
      </c>
      <c r="I320" s="106">
        <f t="shared" si="3"/>
        <v>39.96666667</v>
      </c>
      <c r="J320" s="120">
        <v>0.0</v>
      </c>
      <c r="K320" s="103">
        <v>0.0</v>
      </c>
      <c r="L320" s="103">
        <v>0.0</v>
      </c>
      <c r="M320" s="121">
        <v>0.0</v>
      </c>
      <c r="N320" s="109" t="str">
        <f t="shared" ref="N320:N337" si="122">J320/M320</f>
        <v>#DIV/0!</v>
      </c>
      <c r="O320" s="110" t="str">
        <f t="shared" si="5"/>
        <v>#DIV/0!</v>
      </c>
      <c r="P320" s="109">
        <f t="shared" si="6"/>
        <v>0</v>
      </c>
      <c r="Q320" s="111">
        <f t="shared" si="7"/>
        <v>0</v>
      </c>
      <c r="R320" s="122">
        <f t="shared" si="121"/>
        <v>359.7</v>
      </c>
      <c r="S320" s="113" t="str">
        <f t="shared" si="9"/>
        <v>#DIV/0!</v>
      </c>
      <c r="T320" s="172"/>
      <c r="U320" s="172"/>
      <c r="V320" s="172"/>
      <c r="W320" s="172"/>
      <c r="X320" s="173"/>
      <c r="Y320" s="165"/>
      <c r="Z320" s="165"/>
    </row>
    <row r="321" hidden="1" outlineLevel="1">
      <c r="A321" s="165"/>
      <c r="B321" s="174"/>
      <c r="C321" s="100" t="s">
        <v>65</v>
      </c>
      <c r="D321" s="300">
        <v>0.0</v>
      </c>
      <c r="E321" s="103">
        <v>0.0</v>
      </c>
      <c r="F321" s="103">
        <v>0.0</v>
      </c>
      <c r="G321" s="104" t="str">
        <f t="shared" si="1"/>
        <v>#DIV/0!</v>
      </c>
      <c r="H321" s="105" t="str">
        <f t="shared" si="2"/>
        <v>#DIV/0!</v>
      </c>
      <c r="I321" s="106" t="str">
        <f t="shared" si="3"/>
        <v>#DIV/0!</v>
      </c>
      <c r="J321" s="300">
        <v>0.0</v>
      </c>
      <c r="K321" s="103">
        <v>0.0</v>
      </c>
      <c r="L321" s="103">
        <v>0.0</v>
      </c>
      <c r="M321" s="300">
        <v>0.0</v>
      </c>
      <c r="N321" s="109" t="str">
        <f t="shared" si="122"/>
        <v>#DIV/0!</v>
      </c>
      <c r="O321" s="110" t="str">
        <f t="shared" si="5"/>
        <v>#DIV/0!</v>
      </c>
      <c r="P321" s="109" t="str">
        <f t="shared" si="6"/>
        <v>#DIV/0!</v>
      </c>
      <c r="Q321" s="111" t="str">
        <f t="shared" si="7"/>
        <v>#DIV/0!</v>
      </c>
      <c r="R321" s="122">
        <f t="shared" si="121"/>
        <v>0</v>
      </c>
      <c r="S321" s="113" t="str">
        <f t="shared" si="9"/>
        <v>#DIV/0!</v>
      </c>
      <c r="T321" s="172"/>
      <c r="U321" s="172"/>
      <c r="V321" s="172"/>
      <c r="W321" s="172"/>
      <c r="X321" s="173"/>
      <c r="Y321" s="165"/>
      <c r="Z321" s="165"/>
    </row>
    <row r="322" hidden="1" outlineLevel="1">
      <c r="A322" s="165"/>
      <c r="B322" s="174"/>
      <c r="C322" s="100" t="s">
        <v>85</v>
      </c>
      <c r="D322" s="302">
        <v>0.0</v>
      </c>
      <c r="E322" s="103">
        <v>0.0</v>
      </c>
      <c r="F322" s="103">
        <v>0.0</v>
      </c>
      <c r="G322" s="104" t="str">
        <f t="shared" si="1"/>
        <v>#DIV/0!</v>
      </c>
      <c r="H322" s="105" t="str">
        <f t="shared" si="2"/>
        <v>#DIV/0!</v>
      </c>
      <c r="I322" s="106" t="str">
        <f t="shared" si="3"/>
        <v>#DIV/0!</v>
      </c>
      <c r="J322" s="302">
        <v>0.0</v>
      </c>
      <c r="K322" s="103">
        <v>0.0</v>
      </c>
      <c r="L322" s="103">
        <v>0.0</v>
      </c>
      <c r="M322" s="303">
        <v>0.0</v>
      </c>
      <c r="N322" s="109" t="str">
        <f t="shared" si="122"/>
        <v>#DIV/0!</v>
      </c>
      <c r="O322" s="110" t="str">
        <f t="shared" si="5"/>
        <v>#DIV/0!</v>
      </c>
      <c r="P322" s="109" t="str">
        <f t="shared" si="6"/>
        <v>#DIV/0!</v>
      </c>
      <c r="Q322" s="111" t="str">
        <f t="shared" si="7"/>
        <v>#DIV/0!</v>
      </c>
      <c r="R322" s="304">
        <f t="shared" si="121"/>
        <v>0</v>
      </c>
      <c r="S322" s="113" t="str">
        <f t="shared" si="9"/>
        <v>#DIV/0!</v>
      </c>
      <c r="T322" s="172"/>
      <c r="U322" s="172"/>
      <c r="V322" s="172"/>
      <c r="W322" s="172"/>
      <c r="X322" s="173"/>
      <c r="Y322" s="165"/>
      <c r="Z322" s="165"/>
    </row>
    <row r="323" hidden="1" outlineLevel="1">
      <c r="A323" s="165"/>
      <c r="B323" s="174"/>
      <c r="C323" s="100" t="s">
        <v>36</v>
      </c>
      <c r="D323" s="120">
        <v>239.8</v>
      </c>
      <c r="E323" s="103">
        <v>4.0</v>
      </c>
      <c r="F323" s="103">
        <v>4.0</v>
      </c>
      <c r="G323" s="104">
        <f t="shared" si="1"/>
        <v>1</v>
      </c>
      <c r="H323" s="105">
        <f t="shared" si="2"/>
        <v>59.95</v>
      </c>
      <c r="I323" s="106">
        <f t="shared" si="3"/>
        <v>59.95</v>
      </c>
      <c r="J323" s="120">
        <v>72.53</v>
      </c>
      <c r="K323" s="103">
        <v>15478.0</v>
      </c>
      <c r="L323" s="103">
        <v>3.0</v>
      </c>
      <c r="M323" s="121">
        <v>179.85</v>
      </c>
      <c r="N323" s="109">
        <f t="shared" si="122"/>
        <v>0.4032805115</v>
      </c>
      <c r="O323" s="110">
        <f t="shared" si="5"/>
        <v>2.479663587</v>
      </c>
      <c r="P323" s="109">
        <f t="shared" si="6"/>
        <v>0.3024603837</v>
      </c>
      <c r="Q323" s="111">
        <f t="shared" si="7"/>
        <v>0.75</v>
      </c>
      <c r="R323" s="122">
        <f t="shared" si="121"/>
        <v>59.95</v>
      </c>
      <c r="S323" s="113">
        <f t="shared" si="9"/>
        <v>24.17666667</v>
      </c>
      <c r="T323" s="172"/>
      <c r="U323" s="172"/>
      <c r="V323" s="172"/>
      <c r="W323" s="172"/>
      <c r="X323" s="173"/>
      <c r="Y323" s="165"/>
      <c r="Z323" s="165"/>
    </row>
    <row r="324" hidden="1" outlineLevel="1">
      <c r="A324" s="165"/>
      <c r="B324" s="99" t="s">
        <v>37</v>
      </c>
      <c r="C324" s="100" t="s">
        <v>38</v>
      </c>
      <c r="D324" s="123">
        <v>64.9</v>
      </c>
      <c r="E324" s="103">
        <v>2.0</v>
      </c>
      <c r="F324" s="103">
        <v>2.0</v>
      </c>
      <c r="G324" s="104">
        <f t="shared" si="1"/>
        <v>1</v>
      </c>
      <c r="H324" s="105">
        <f t="shared" si="2"/>
        <v>32.45</v>
      </c>
      <c r="I324" s="106">
        <f t="shared" si="3"/>
        <v>32.45</v>
      </c>
      <c r="J324" s="123">
        <v>49.27</v>
      </c>
      <c r="K324" s="103">
        <v>12961.0</v>
      </c>
      <c r="L324" s="103">
        <v>1.0</v>
      </c>
      <c r="M324" s="124">
        <v>34.95</v>
      </c>
      <c r="N324" s="109">
        <f t="shared" si="122"/>
        <v>1.409728183</v>
      </c>
      <c r="O324" s="110">
        <f t="shared" si="5"/>
        <v>0.7093566065</v>
      </c>
      <c r="P324" s="109">
        <f t="shared" si="6"/>
        <v>0.7591679507</v>
      </c>
      <c r="Q324" s="111">
        <f t="shared" si="7"/>
        <v>0.5385208012</v>
      </c>
      <c r="R324" s="125">
        <f t="shared" si="121"/>
        <v>29.95</v>
      </c>
      <c r="S324" s="113">
        <f t="shared" si="9"/>
        <v>49.27</v>
      </c>
      <c r="T324" s="172"/>
      <c r="U324" s="172"/>
      <c r="V324" s="172"/>
      <c r="W324" s="172"/>
      <c r="X324" s="173"/>
      <c r="Y324" s="165"/>
      <c r="Z324" s="165"/>
    </row>
    <row r="325" hidden="1" outlineLevel="1">
      <c r="A325" s="165"/>
      <c r="B325" s="174"/>
      <c r="C325" s="100" t="s">
        <v>39</v>
      </c>
      <c r="D325" s="126">
        <v>0.0</v>
      </c>
      <c r="E325" s="103">
        <v>0.0</v>
      </c>
      <c r="F325" s="103">
        <v>0.0</v>
      </c>
      <c r="G325" s="104" t="str">
        <f t="shared" si="1"/>
        <v>#DIV/0!</v>
      </c>
      <c r="H325" s="105" t="str">
        <f t="shared" si="2"/>
        <v>#DIV/0!</v>
      </c>
      <c r="I325" s="106" t="str">
        <f t="shared" si="3"/>
        <v>#DIV/0!</v>
      </c>
      <c r="J325" s="126">
        <v>0.0</v>
      </c>
      <c r="K325" s="103">
        <v>0.0</v>
      </c>
      <c r="L325" s="103">
        <v>0.0</v>
      </c>
      <c r="M325" s="127">
        <v>0.0</v>
      </c>
      <c r="N325" s="109" t="str">
        <f t="shared" si="122"/>
        <v>#DIV/0!</v>
      </c>
      <c r="O325" s="110" t="str">
        <f t="shared" si="5"/>
        <v>#DIV/0!</v>
      </c>
      <c r="P325" s="109" t="str">
        <f t="shared" si="6"/>
        <v>#DIV/0!</v>
      </c>
      <c r="Q325" s="111" t="str">
        <f t="shared" si="7"/>
        <v>#DIV/0!</v>
      </c>
      <c r="R325" s="128">
        <f t="shared" si="121"/>
        <v>0</v>
      </c>
      <c r="S325" s="113" t="str">
        <f t="shared" si="9"/>
        <v>#DIV/0!</v>
      </c>
      <c r="T325" s="172"/>
      <c r="U325" s="172"/>
      <c r="V325" s="172"/>
      <c r="W325" s="172"/>
      <c r="X325" s="173"/>
      <c r="Y325" s="165"/>
      <c r="Z325" s="165"/>
    </row>
    <row r="326" hidden="1" outlineLevel="1">
      <c r="A326" s="165"/>
      <c r="B326" s="174"/>
      <c r="C326" s="100" t="s">
        <v>40</v>
      </c>
      <c r="D326" s="129">
        <v>0.0</v>
      </c>
      <c r="E326" s="103">
        <v>0.0</v>
      </c>
      <c r="F326" s="103">
        <v>0.0</v>
      </c>
      <c r="G326" s="104" t="str">
        <f t="shared" si="1"/>
        <v>#DIV/0!</v>
      </c>
      <c r="H326" s="105" t="str">
        <f t="shared" si="2"/>
        <v>#DIV/0!</v>
      </c>
      <c r="I326" s="106" t="str">
        <f t="shared" si="3"/>
        <v>#DIV/0!</v>
      </c>
      <c r="J326" s="129">
        <v>0.0</v>
      </c>
      <c r="K326" s="103">
        <v>0.0</v>
      </c>
      <c r="L326" s="103">
        <v>0.0</v>
      </c>
      <c r="M326" s="130">
        <v>0.0</v>
      </c>
      <c r="N326" s="109" t="str">
        <f t="shared" si="122"/>
        <v>#DIV/0!</v>
      </c>
      <c r="O326" s="110" t="str">
        <f t="shared" si="5"/>
        <v>#DIV/0!</v>
      </c>
      <c r="P326" s="109" t="str">
        <f t="shared" si="6"/>
        <v>#DIV/0!</v>
      </c>
      <c r="Q326" s="111" t="str">
        <f t="shared" si="7"/>
        <v>#DIV/0!</v>
      </c>
      <c r="R326" s="131">
        <f t="shared" si="121"/>
        <v>0</v>
      </c>
      <c r="S326" s="113" t="str">
        <f t="shared" si="9"/>
        <v>#DIV/0!</v>
      </c>
      <c r="T326" s="172"/>
      <c r="U326" s="172"/>
      <c r="V326" s="172"/>
      <c r="W326" s="172"/>
      <c r="X326" s="173"/>
      <c r="Y326" s="165"/>
      <c r="Z326" s="165"/>
    </row>
    <row r="327" hidden="1" outlineLevel="1">
      <c r="A327" s="165"/>
      <c r="B327" s="174"/>
      <c r="C327" s="100" t="s">
        <v>41</v>
      </c>
      <c r="D327" s="132">
        <v>146.72</v>
      </c>
      <c r="E327" s="103">
        <v>-1.0</v>
      </c>
      <c r="F327" s="103">
        <v>3.0</v>
      </c>
      <c r="G327" s="104">
        <f t="shared" si="1"/>
        <v>-0.3333333333</v>
      </c>
      <c r="H327" s="105">
        <f t="shared" si="2"/>
        <v>-146.72</v>
      </c>
      <c r="I327" s="106">
        <f t="shared" si="3"/>
        <v>440.16</v>
      </c>
      <c r="J327" s="132">
        <v>63.44</v>
      </c>
      <c r="K327" s="103">
        <v>6572.0</v>
      </c>
      <c r="L327" s="103">
        <v>0.0</v>
      </c>
      <c r="M327" s="133">
        <v>0.0</v>
      </c>
      <c r="N327" s="109" t="str">
        <f t="shared" si="122"/>
        <v>#DIV/0!</v>
      </c>
      <c r="O327" s="110">
        <f t="shared" si="5"/>
        <v>0</v>
      </c>
      <c r="P327" s="109">
        <f t="shared" si="6"/>
        <v>0.4323882225</v>
      </c>
      <c r="Q327" s="111">
        <f t="shared" si="7"/>
        <v>0</v>
      </c>
      <c r="R327" s="134">
        <f t="shared" si="121"/>
        <v>146.72</v>
      </c>
      <c r="S327" s="113" t="str">
        <f t="shared" si="9"/>
        <v>#DIV/0!</v>
      </c>
      <c r="T327" s="172"/>
      <c r="U327" s="172"/>
      <c r="V327" s="172"/>
      <c r="W327" s="172"/>
      <c r="X327" s="173"/>
      <c r="Y327" s="165"/>
      <c r="Z327" s="165"/>
    </row>
    <row r="328" hidden="1" outlineLevel="1">
      <c r="A328" s="165"/>
      <c r="B328" s="174"/>
      <c r="C328" s="100" t="s">
        <v>42</v>
      </c>
      <c r="D328" s="120">
        <v>59.97</v>
      </c>
      <c r="E328" s="103">
        <v>3.0</v>
      </c>
      <c r="F328" s="103">
        <v>3.0</v>
      </c>
      <c r="G328" s="104">
        <f t="shared" si="1"/>
        <v>1</v>
      </c>
      <c r="H328" s="105">
        <f t="shared" si="2"/>
        <v>19.99</v>
      </c>
      <c r="I328" s="106">
        <f t="shared" si="3"/>
        <v>19.99</v>
      </c>
      <c r="J328" s="120">
        <v>5.19</v>
      </c>
      <c r="K328" s="103">
        <v>13441.0</v>
      </c>
      <c r="L328" s="103">
        <v>16.0</v>
      </c>
      <c r="M328" s="121">
        <v>319.84</v>
      </c>
      <c r="N328" s="109">
        <f t="shared" si="122"/>
        <v>0.01622686343</v>
      </c>
      <c r="O328" s="110">
        <f t="shared" si="5"/>
        <v>61.62620424</v>
      </c>
      <c r="P328" s="109">
        <f t="shared" si="6"/>
        <v>0.08654327164</v>
      </c>
      <c r="Q328" s="111">
        <f t="shared" si="7"/>
        <v>5.333333333</v>
      </c>
      <c r="R328" s="122">
        <f t="shared" si="121"/>
        <v>-259.87</v>
      </c>
      <c r="S328" s="113">
        <f t="shared" si="9"/>
        <v>0.324375</v>
      </c>
      <c r="T328" s="172"/>
      <c r="U328" s="172"/>
      <c r="V328" s="172"/>
      <c r="W328" s="172"/>
      <c r="X328" s="173"/>
      <c r="Y328" s="165"/>
      <c r="Z328" s="165"/>
    </row>
    <row r="329" hidden="1" outlineLevel="1">
      <c r="A329" s="165"/>
      <c r="B329" s="174"/>
      <c r="C329" s="100" t="s">
        <v>43</v>
      </c>
      <c r="D329" s="135">
        <v>375.9</v>
      </c>
      <c r="E329" s="103">
        <v>2.0</v>
      </c>
      <c r="F329" s="103">
        <v>2.0</v>
      </c>
      <c r="G329" s="104">
        <f t="shared" si="1"/>
        <v>1</v>
      </c>
      <c r="H329" s="105">
        <f t="shared" si="2"/>
        <v>187.95</v>
      </c>
      <c r="I329" s="106">
        <f t="shared" si="3"/>
        <v>187.95</v>
      </c>
      <c r="J329" s="135">
        <v>6.58</v>
      </c>
      <c r="K329" s="103">
        <v>19780.0</v>
      </c>
      <c r="L329" s="103">
        <v>0.0</v>
      </c>
      <c r="M329" s="136">
        <v>0.0</v>
      </c>
      <c r="N329" s="109" t="str">
        <f t="shared" si="122"/>
        <v>#DIV/0!</v>
      </c>
      <c r="O329" s="110">
        <f t="shared" si="5"/>
        <v>0</v>
      </c>
      <c r="P329" s="109">
        <f t="shared" si="6"/>
        <v>0.01750465549</v>
      </c>
      <c r="Q329" s="111">
        <f t="shared" si="7"/>
        <v>0</v>
      </c>
      <c r="R329" s="137">
        <f t="shared" si="121"/>
        <v>375.9</v>
      </c>
      <c r="S329" s="113" t="str">
        <f t="shared" si="9"/>
        <v>#DIV/0!</v>
      </c>
      <c r="T329" s="172"/>
      <c r="U329" s="172"/>
      <c r="V329" s="172"/>
      <c r="W329" s="172"/>
      <c r="X329" s="173"/>
      <c r="Y329" s="165"/>
      <c r="Z329" s="165"/>
    </row>
    <row r="330" hidden="1" outlineLevel="1">
      <c r="A330" s="165"/>
      <c r="B330" s="174"/>
      <c r="C330" s="100" t="s">
        <v>44</v>
      </c>
      <c r="D330" s="138">
        <v>89.9</v>
      </c>
      <c r="E330" s="103">
        <v>2.0</v>
      </c>
      <c r="F330" s="103">
        <v>2.0</v>
      </c>
      <c r="G330" s="104">
        <f t="shared" si="1"/>
        <v>1</v>
      </c>
      <c r="H330" s="105">
        <f t="shared" si="2"/>
        <v>44.95</v>
      </c>
      <c r="I330" s="106">
        <f t="shared" si="3"/>
        <v>44.95</v>
      </c>
      <c r="J330" s="138">
        <v>15.92</v>
      </c>
      <c r="K330" s="103">
        <v>8541.0</v>
      </c>
      <c r="L330" s="103">
        <v>0.0</v>
      </c>
      <c r="M330" s="139">
        <v>0.0</v>
      </c>
      <c r="N330" s="109" t="str">
        <f t="shared" si="122"/>
        <v>#DIV/0!</v>
      </c>
      <c r="O330" s="110">
        <f t="shared" si="5"/>
        <v>0</v>
      </c>
      <c r="P330" s="109">
        <f t="shared" si="6"/>
        <v>0.1770856507</v>
      </c>
      <c r="Q330" s="111">
        <f t="shared" si="7"/>
        <v>0</v>
      </c>
      <c r="R330" s="140">
        <f t="shared" si="121"/>
        <v>89.9</v>
      </c>
      <c r="S330" s="113" t="str">
        <f t="shared" si="9"/>
        <v>#DIV/0!</v>
      </c>
      <c r="T330" s="172"/>
      <c r="U330" s="172"/>
      <c r="V330" s="172"/>
      <c r="W330" s="172"/>
      <c r="X330" s="173"/>
      <c r="Y330" s="165"/>
      <c r="Z330" s="165"/>
    </row>
    <row r="331" hidden="1" outlineLevel="1">
      <c r="A331" s="192"/>
      <c r="B331" s="174"/>
      <c r="C331" s="142" t="s">
        <v>45</v>
      </c>
      <c r="D331" s="101">
        <v>39.9</v>
      </c>
      <c r="E331" s="103">
        <v>2.0</v>
      </c>
      <c r="F331" s="103">
        <v>1.0</v>
      </c>
      <c r="G331" s="104">
        <f t="shared" si="1"/>
        <v>2</v>
      </c>
      <c r="H331" s="105">
        <f t="shared" si="2"/>
        <v>19.95</v>
      </c>
      <c r="I331" s="106">
        <f t="shared" si="3"/>
        <v>9.975</v>
      </c>
      <c r="J331" s="101">
        <v>0.0</v>
      </c>
      <c r="K331" s="103">
        <v>0.0</v>
      </c>
      <c r="L331" s="103">
        <v>0.0</v>
      </c>
      <c r="M331" s="108">
        <v>0.0</v>
      </c>
      <c r="N331" s="109" t="str">
        <f t="shared" si="122"/>
        <v>#DIV/0!</v>
      </c>
      <c r="O331" s="110" t="str">
        <f t="shared" si="5"/>
        <v>#DIV/0!</v>
      </c>
      <c r="P331" s="109">
        <f t="shared" si="6"/>
        <v>0</v>
      </c>
      <c r="Q331" s="111">
        <f t="shared" si="7"/>
        <v>0</v>
      </c>
      <c r="R331" s="112">
        <f t="shared" si="121"/>
        <v>39.9</v>
      </c>
      <c r="S331" s="113" t="str">
        <f t="shared" si="9"/>
        <v>#DIV/0!</v>
      </c>
      <c r="T331" s="193"/>
      <c r="U331" s="193"/>
      <c r="V331" s="193"/>
      <c r="W331" s="194"/>
      <c r="X331" s="195"/>
      <c r="Y331" s="165"/>
      <c r="Z331" s="165"/>
    </row>
    <row r="332" hidden="1" outlineLevel="1">
      <c r="A332" s="165"/>
      <c r="B332" s="174"/>
      <c r="C332" s="100" t="s">
        <v>46</v>
      </c>
      <c r="D332" s="146">
        <v>709.2</v>
      </c>
      <c r="E332" s="103">
        <v>16.0</v>
      </c>
      <c r="F332" s="103">
        <v>15.0</v>
      </c>
      <c r="G332" s="104">
        <f t="shared" si="1"/>
        <v>1.066666667</v>
      </c>
      <c r="H332" s="105">
        <f t="shared" si="2"/>
        <v>44.325</v>
      </c>
      <c r="I332" s="106">
        <f t="shared" si="3"/>
        <v>41.5546875</v>
      </c>
      <c r="J332" s="146">
        <v>78.27</v>
      </c>
      <c r="K332" s="103">
        <v>26726.0</v>
      </c>
      <c r="L332" s="103">
        <v>7.0</v>
      </c>
      <c r="M332" s="147">
        <v>130.85</v>
      </c>
      <c r="N332" s="109">
        <f t="shared" si="122"/>
        <v>0.5981658387</v>
      </c>
      <c r="O332" s="110">
        <f t="shared" si="5"/>
        <v>1.671777182</v>
      </c>
      <c r="P332" s="109">
        <f t="shared" si="6"/>
        <v>0.1103637902</v>
      </c>
      <c r="Q332" s="111">
        <f t="shared" si="7"/>
        <v>0.1845036661</v>
      </c>
      <c r="R332" s="112">
        <f t="shared" si="121"/>
        <v>578.35</v>
      </c>
      <c r="S332" s="113">
        <f t="shared" si="9"/>
        <v>11.18142857</v>
      </c>
      <c r="T332" s="172"/>
      <c r="U332" s="172"/>
      <c r="V332" s="172"/>
      <c r="W332" s="172"/>
      <c r="X332" s="173"/>
      <c r="Y332" s="165"/>
      <c r="Z332" s="165"/>
    </row>
    <row r="333" hidden="1" outlineLevel="1">
      <c r="A333" s="165"/>
      <c r="B333" s="174"/>
      <c r="C333" s="100" t="s">
        <v>49</v>
      </c>
      <c r="D333" s="146">
        <v>0.0</v>
      </c>
      <c r="E333" s="103">
        <v>0.0</v>
      </c>
      <c r="F333" s="103">
        <v>0.0</v>
      </c>
      <c r="G333" s="104" t="str">
        <f t="shared" si="1"/>
        <v>#DIV/0!</v>
      </c>
      <c r="H333" s="105" t="str">
        <f t="shared" si="2"/>
        <v>#DIV/0!</v>
      </c>
      <c r="I333" s="106" t="str">
        <f t="shared" si="3"/>
        <v>#DIV/0!</v>
      </c>
      <c r="J333" s="146">
        <v>9.05</v>
      </c>
      <c r="K333" s="103">
        <v>8860.0</v>
      </c>
      <c r="L333" s="103">
        <v>0.0</v>
      </c>
      <c r="M333" s="147">
        <v>0.0</v>
      </c>
      <c r="N333" s="109" t="str">
        <f t="shared" si="122"/>
        <v>#DIV/0!</v>
      </c>
      <c r="O333" s="110">
        <f t="shared" si="5"/>
        <v>0</v>
      </c>
      <c r="P333" s="109" t="str">
        <f t="shared" si="6"/>
        <v>#DIV/0!</v>
      </c>
      <c r="Q333" s="111" t="str">
        <f t="shared" si="7"/>
        <v>#DIV/0!</v>
      </c>
      <c r="R333" s="112">
        <f t="shared" si="121"/>
        <v>0</v>
      </c>
      <c r="S333" s="113" t="str">
        <f t="shared" si="9"/>
        <v>#DIV/0!</v>
      </c>
      <c r="T333" s="172"/>
      <c r="U333" s="172"/>
      <c r="V333" s="172"/>
      <c r="W333" s="172"/>
      <c r="X333" s="173"/>
      <c r="Y333" s="165"/>
      <c r="Z333" s="165"/>
    </row>
    <row r="334" hidden="1" outlineLevel="1">
      <c r="A334" s="148" t="str">
        <f t="shared" ref="A334:A335" si="123">iferror(if(B334&gt;0,month(B334)&amp;"-"&amp;year(B334),B334),)</f>
        <v>6-2025</v>
      </c>
      <c r="B334" s="99">
        <v>45829.0</v>
      </c>
      <c r="C334" s="277" t="s">
        <v>67</v>
      </c>
      <c r="D334" s="146">
        <v>0.0</v>
      </c>
      <c r="E334" s="103">
        <v>0.0</v>
      </c>
      <c r="F334" s="103">
        <v>0.0</v>
      </c>
      <c r="G334" s="104" t="str">
        <f t="shared" si="1"/>
        <v>#DIV/0!</v>
      </c>
      <c r="H334" s="105" t="str">
        <f t="shared" si="2"/>
        <v>#DIV/0!</v>
      </c>
      <c r="I334" s="106" t="str">
        <f t="shared" si="3"/>
        <v>#DIV/0!</v>
      </c>
      <c r="J334" s="117">
        <v>404.34</v>
      </c>
      <c r="K334" s="278">
        <v>86418.0</v>
      </c>
      <c r="L334" s="103">
        <v>0.0</v>
      </c>
      <c r="M334" s="118">
        <v>732.3399999999999</v>
      </c>
      <c r="N334" s="109">
        <f t="shared" si="122"/>
        <v>0.5521205997</v>
      </c>
      <c r="O334" s="110">
        <f t="shared" si="5"/>
        <v>1.811198496</v>
      </c>
      <c r="P334" s="109" t="str">
        <f t="shared" si="6"/>
        <v>#DIV/0!</v>
      </c>
      <c r="Q334" s="111" t="str">
        <f t="shared" si="7"/>
        <v>#DIV/0!</v>
      </c>
      <c r="R334" s="112">
        <f t="shared" si="121"/>
        <v>-732.34</v>
      </c>
      <c r="S334" s="113" t="str">
        <f t="shared" si="9"/>
        <v>#DIV/0!</v>
      </c>
      <c r="T334" s="172"/>
      <c r="U334" s="172"/>
      <c r="V334" s="172"/>
      <c r="W334" s="172"/>
      <c r="X334" s="173"/>
      <c r="Y334" s="165"/>
      <c r="Z334" s="165"/>
    </row>
    <row r="335" collapsed="1">
      <c r="A335" s="165" t="str">
        <f t="shared" si="123"/>
        <v/>
      </c>
      <c r="B335" s="80" t="s">
        <v>112</v>
      </c>
      <c r="C335" s="201"/>
      <c r="D335" s="151">
        <f t="shared" ref="D335:F335" si="124">SUM(D317:D334)</f>
        <v>7547.99</v>
      </c>
      <c r="E335" s="153">
        <f t="shared" si="124"/>
        <v>90</v>
      </c>
      <c r="F335" s="153">
        <f t="shared" si="124"/>
        <v>95</v>
      </c>
      <c r="G335" s="154">
        <f t="shared" si="1"/>
        <v>0.9473684211</v>
      </c>
      <c r="H335" s="155">
        <f t="shared" si="2"/>
        <v>83.86655556</v>
      </c>
      <c r="I335" s="156">
        <f t="shared" si="3"/>
        <v>88.52580864</v>
      </c>
      <c r="J335" s="151">
        <f t="shared" ref="J335:M335" si="125">SUM(J317:J334)</f>
        <v>1423.36</v>
      </c>
      <c r="K335" s="153">
        <f t="shared" si="125"/>
        <v>400506</v>
      </c>
      <c r="L335" s="153">
        <f t="shared" si="125"/>
        <v>41</v>
      </c>
      <c r="M335" s="157">
        <f t="shared" si="125"/>
        <v>2566.58</v>
      </c>
      <c r="N335" s="158">
        <f t="shared" si="122"/>
        <v>0.5545745701</v>
      </c>
      <c r="O335" s="159">
        <f t="shared" si="5"/>
        <v>1.803184015</v>
      </c>
      <c r="P335" s="158">
        <f t="shared" si="6"/>
        <v>0.1885747066</v>
      </c>
      <c r="Q335" s="160">
        <f t="shared" si="7"/>
        <v>0.3400348967</v>
      </c>
      <c r="R335" s="161">
        <f>SUM(R317:R334)</f>
        <v>4981.41</v>
      </c>
      <c r="S335" s="162">
        <f t="shared" si="9"/>
        <v>34.71609756</v>
      </c>
      <c r="T335" s="399">
        <f t="shared" ref="T335:U335" si="126">IFERROR((D335-D69)/D335,)</f>
        <v>-0.004415745119</v>
      </c>
      <c r="U335" s="399">
        <f t="shared" si="126"/>
        <v>-0.04444444444</v>
      </c>
      <c r="V335" s="398" t="str">
        <f t="shared" ref="V335:W335" si="127">IFERROR((D335-monthly_reporting_2021!D126)/D335, )</f>
        <v/>
      </c>
      <c r="W335" s="398" t="str">
        <f t="shared" si="127"/>
        <v/>
      </c>
      <c r="X335" s="165"/>
      <c r="Y335" s="165"/>
      <c r="Z335" s="165"/>
    </row>
    <row r="336" hidden="1" outlineLevel="1">
      <c r="A336" s="165"/>
      <c r="B336" s="99">
        <v>45830.0</v>
      </c>
      <c r="C336" s="100" t="s">
        <v>32</v>
      </c>
      <c r="D336" s="101">
        <v>1682.9</v>
      </c>
      <c r="E336" s="103">
        <v>6.0</v>
      </c>
      <c r="F336" s="103">
        <v>8.0</v>
      </c>
      <c r="G336" s="104">
        <f t="shared" si="1"/>
        <v>0.75</v>
      </c>
      <c r="H336" s="105">
        <f t="shared" si="2"/>
        <v>280.4833333</v>
      </c>
      <c r="I336" s="106">
        <f t="shared" si="3"/>
        <v>373.9777778</v>
      </c>
      <c r="J336" s="107">
        <v>431.44</v>
      </c>
      <c r="K336" s="103">
        <v>127727.0</v>
      </c>
      <c r="L336" s="103">
        <v>3.0</v>
      </c>
      <c r="M336" s="108">
        <v>458.95</v>
      </c>
      <c r="N336" s="109">
        <f t="shared" si="122"/>
        <v>0.9400588299</v>
      </c>
      <c r="O336" s="110">
        <f t="shared" si="5"/>
        <v>1.063763212</v>
      </c>
      <c r="P336" s="109">
        <f t="shared" si="6"/>
        <v>0.2563669856</v>
      </c>
      <c r="Q336" s="111">
        <f t="shared" si="7"/>
        <v>0.2727137679</v>
      </c>
      <c r="R336" s="112">
        <f t="shared" ref="R336:R353" si="128">D336-M336</f>
        <v>1223.95</v>
      </c>
      <c r="S336" s="113">
        <f t="shared" si="9"/>
        <v>143.8133333</v>
      </c>
      <c r="T336" s="172"/>
      <c r="U336" s="172"/>
      <c r="V336" s="172"/>
      <c r="W336" s="172"/>
      <c r="X336" s="173"/>
      <c r="Y336" s="165"/>
      <c r="Z336" s="165"/>
    </row>
    <row r="337" hidden="1" outlineLevel="1">
      <c r="A337" s="165"/>
      <c r="B337" s="174"/>
      <c r="C337" s="100" t="s">
        <v>33</v>
      </c>
      <c r="D337" s="117">
        <v>4852.2</v>
      </c>
      <c r="E337" s="103">
        <v>56.0</v>
      </c>
      <c r="F337" s="103">
        <v>62.0</v>
      </c>
      <c r="G337" s="104">
        <f t="shared" si="1"/>
        <v>0.9032258065</v>
      </c>
      <c r="H337" s="105">
        <f t="shared" si="2"/>
        <v>86.64642857</v>
      </c>
      <c r="I337" s="106">
        <f t="shared" si="3"/>
        <v>95.92997449</v>
      </c>
      <c r="J337" s="117">
        <v>250.68</v>
      </c>
      <c r="K337" s="103">
        <v>92073.0</v>
      </c>
      <c r="L337" s="103">
        <v>7.0</v>
      </c>
      <c r="M337" s="118">
        <v>554.85</v>
      </c>
      <c r="N337" s="109">
        <f t="shared" si="122"/>
        <v>0.4517977832</v>
      </c>
      <c r="O337" s="110">
        <f t="shared" si="5"/>
        <v>2.213379607</v>
      </c>
      <c r="P337" s="109">
        <f t="shared" si="6"/>
        <v>0.0516631631</v>
      </c>
      <c r="Q337" s="111">
        <f t="shared" si="7"/>
        <v>0.1143501917</v>
      </c>
      <c r="R337" s="119">
        <f t="shared" si="128"/>
        <v>4297.35</v>
      </c>
      <c r="S337" s="113">
        <f t="shared" si="9"/>
        <v>35.81142857</v>
      </c>
      <c r="T337" s="172"/>
      <c r="U337" s="172"/>
      <c r="V337" s="172"/>
      <c r="W337" s="172"/>
      <c r="X337" s="173"/>
      <c r="Y337" s="165"/>
      <c r="Z337" s="165"/>
    </row>
    <row r="338" hidden="1" outlineLevel="1">
      <c r="A338" s="165"/>
      <c r="B338" s="174"/>
      <c r="C338" s="100" t="s">
        <v>34</v>
      </c>
      <c r="D338" s="120">
        <v>0.0</v>
      </c>
      <c r="E338" s="103">
        <v>0.0</v>
      </c>
      <c r="F338" s="103">
        <v>0.0</v>
      </c>
      <c r="G338" s="104" t="str">
        <f t="shared" si="1"/>
        <v>#DIV/0!</v>
      </c>
      <c r="H338" s="105" t="str">
        <f t="shared" si="2"/>
        <v>#DIV/0!</v>
      </c>
      <c r="I338" s="106" t="str">
        <f t="shared" si="3"/>
        <v>#DIV/0!</v>
      </c>
      <c r="J338" s="120">
        <v>1.21</v>
      </c>
      <c r="K338" s="103">
        <v>157.0</v>
      </c>
      <c r="L338" s="103">
        <v>0.0</v>
      </c>
      <c r="M338" s="121">
        <v>0.0</v>
      </c>
      <c r="N338" s="109" t="str">
        <f>(J338/M338)</f>
        <v>#DIV/0!</v>
      </c>
      <c r="O338" s="110">
        <f t="shared" si="5"/>
        <v>0</v>
      </c>
      <c r="P338" s="109" t="str">
        <f t="shared" si="6"/>
        <v>#DIV/0!</v>
      </c>
      <c r="Q338" s="111" t="str">
        <f t="shared" si="7"/>
        <v>#DIV/0!</v>
      </c>
      <c r="R338" s="122">
        <f t="shared" si="128"/>
        <v>0</v>
      </c>
      <c r="S338" s="113" t="str">
        <f t="shared" si="9"/>
        <v>#DIV/0!</v>
      </c>
      <c r="T338" s="172"/>
      <c r="U338" s="172"/>
      <c r="V338" s="172"/>
      <c r="W338" s="172"/>
      <c r="X338" s="173"/>
      <c r="Y338" s="165"/>
      <c r="Z338" s="165"/>
    </row>
    <row r="339" hidden="1" outlineLevel="1">
      <c r="A339" s="165"/>
      <c r="B339" s="174"/>
      <c r="C339" s="100" t="s">
        <v>35</v>
      </c>
      <c r="D339" s="120">
        <v>239.8</v>
      </c>
      <c r="E339" s="103">
        <v>4.0</v>
      </c>
      <c r="F339" s="103">
        <v>4.0</v>
      </c>
      <c r="G339" s="104">
        <f t="shared" si="1"/>
        <v>1</v>
      </c>
      <c r="H339" s="105">
        <f t="shared" si="2"/>
        <v>59.95</v>
      </c>
      <c r="I339" s="106">
        <f t="shared" si="3"/>
        <v>59.95</v>
      </c>
      <c r="J339" s="120">
        <v>0.0</v>
      </c>
      <c r="K339" s="103">
        <v>0.0</v>
      </c>
      <c r="L339" s="103">
        <v>0.0</v>
      </c>
      <c r="M339" s="121">
        <v>0.0</v>
      </c>
      <c r="N339" s="109" t="str">
        <f t="shared" ref="N339:N356" si="129">J339/M339</f>
        <v>#DIV/0!</v>
      </c>
      <c r="O339" s="110" t="str">
        <f t="shared" si="5"/>
        <v>#DIV/0!</v>
      </c>
      <c r="P339" s="109">
        <f t="shared" si="6"/>
        <v>0</v>
      </c>
      <c r="Q339" s="111">
        <f t="shared" si="7"/>
        <v>0</v>
      </c>
      <c r="R339" s="122">
        <f t="shared" si="128"/>
        <v>239.8</v>
      </c>
      <c r="S339" s="113" t="str">
        <f t="shared" si="9"/>
        <v>#DIV/0!</v>
      </c>
      <c r="T339" s="172"/>
      <c r="U339" s="172"/>
      <c r="V339" s="172"/>
      <c r="W339" s="172"/>
      <c r="X339" s="173"/>
      <c r="Y339" s="165"/>
      <c r="Z339" s="165"/>
    </row>
    <row r="340" hidden="1" outlineLevel="1">
      <c r="A340" s="165"/>
      <c r="B340" s="174"/>
      <c r="C340" s="100" t="s">
        <v>65</v>
      </c>
      <c r="D340" s="300">
        <v>0.0</v>
      </c>
      <c r="E340" s="103">
        <v>0.0</v>
      </c>
      <c r="F340" s="103">
        <v>0.0</v>
      </c>
      <c r="G340" s="104" t="str">
        <f t="shared" si="1"/>
        <v>#DIV/0!</v>
      </c>
      <c r="H340" s="105" t="str">
        <f t="shared" si="2"/>
        <v>#DIV/0!</v>
      </c>
      <c r="I340" s="106" t="str">
        <f t="shared" si="3"/>
        <v>#DIV/0!</v>
      </c>
      <c r="J340" s="300">
        <v>0.0</v>
      </c>
      <c r="K340" s="103">
        <v>0.0</v>
      </c>
      <c r="L340" s="103">
        <v>0.0</v>
      </c>
      <c r="M340" s="300">
        <v>0.0</v>
      </c>
      <c r="N340" s="109" t="str">
        <f t="shared" si="129"/>
        <v>#DIV/0!</v>
      </c>
      <c r="O340" s="110" t="str">
        <f t="shared" si="5"/>
        <v>#DIV/0!</v>
      </c>
      <c r="P340" s="109" t="str">
        <f t="shared" si="6"/>
        <v>#DIV/0!</v>
      </c>
      <c r="Q340" s="111" t="str">
        <f t="shared" si="7"/>
        <v>#DIV/0!</v>
      </c>
      <c r="R340" s="122">
        <f t="shared" si="128"/>
        <v>0</v>
      </c>
      <c r="S340" s="113" t="str">
        <f t="shared" si="9"/>
        <v>#DIV/0!</v>
      </c>
      <c r="T340" s="172"/>
      <c r="U340" s="172"/>
      <c r="V340" s="172"/>
      <c r="W340" s="172"/>
      <c r="X340" s="173"/>
      <c r="Y340" s="165"/>
      <c r="Z340" s="165"/>
    </row>
    <row r="341" hidden="1" outlineLevel="1">
      <c r="A341" s="165"/>
      <c r="B341" s="174"/>
      <c r="C341" s="100" t="s">
        <v>85</v>
      </c>
      <c r="D341" s="302">
        <v>0.0</v>
      </c>
      <c r="E341" s="103">
        <v>0.0</v>
      </c>
      <c r="F341" s="103">
        <v>0.0</v>
      </c>
      <c r="G341" s="104" t="str">
        <f t="shared" si="1"/>
        <v>#DIV/0!</v>
      </c>
      <c r="H341" s="105" t="str">
        <f t="shared" si="2"/>
        <v>#DIV/0!</v>
      </c>
      <c r="I341" s="106" t="str">
        <f t="shared" si="3"/>
        <v>#DIV/0!</v>
      </c>
      <c r="J341" s="302">
        <v>0.0</v>
      </c>
      <c r="K341" s="103">
        <v>0.0</v>
      </c>
      <c r="L341" s="103">
        <v>0.0</v>
      </c>
      <c r="M341" s="303">
        <v>0.0</v>
      </c>
      <c r="N341" s="109" t="str">
        <f t="shared" si="129"/>
        <v>#DIV/0!</v>
      </c>
      <c r="O341" s="110" t="str">
        <f t="shared" si="5"/>
        <v>#DIV/0!</v>
      </c>
      <c r="P341" s="109" t="str">
        <f t="shared" si="6"/>
        <v>#DIV/0!</v>
      </c>
      <c r="Q341" s="111" t="str">
        <f t="shared" si="7"/>
        <v>#DIV/0!</v>
      </c>
      <c r="R341" s="304">
        <f t="shared" si="128"/>
        <v>0</v>
      </c>
      <c r="S341" s="113" t="str">
        <f t="shared" si="9"/>
        <v>#DIV/0!</v>
      </c>
      <c r="T341" s="172"/>
      <c r="U341" s="172"/>
      <c r="V341" s="172"/>
      <c r="W341" s="172"/>
      <c r="X341" s="173"/>
      <c r="Y341" s="165"/>
      <c r="Z341" s="165"/>
    </row>
    <row r="342" hidden="1" outlineLevel="1">
      <c r="A342" s="165"/>
      <c r="B342" s="174"/>
      <c r="C342" s="100" t="s">
        <v>36</v>
      </c>
      <c r="D342" s="120">
        <v>296.58</v>
      </c>
      <c r="E342" s="103">
        <v>5.0</v>
      </c>
      <c r="F342" s="103">
        <v>4.0</v>
      </c>
      <c r="G342" s="104">
        <f t="shared" si="1"/>
        <v>1.25</v>
      </c>
      <c r="H342" s="105">
        <f t="shared" si="2"/>
        <v>59.316</v>
      </c>
      <c r="I342" s="106">
        <f t="shared" si="3"/>
        <v>47.4528</v>
      </c>
      <c r="J342" s="120">
        <v>59.16</v>
      </c>
      <c r="K342" s="103">
        <v>12239.0</v>
      </c>
      <c r="L342" s="103">
        <v>2.0</v>
      </c>
      <c r="M342" s="121">
        <v>119.9</v>
      </c>
      <c r="N342" s="109">
        <f t="shared" si="129"/>
        <v>0.493411176</v>
      </c>
      <c r="O342" s="110">
        <f t="shared" si="5"/>
        <v>2.026707235</v>
      </c>
      <c r="P342" s="109">
        <f t="shared" si="6"/>
        <v>0.1994740036</v>
      </c>
      <c r="Q342" s="111">
        <f t="shared" si="7"/>
        <v>0.4042754063</v>
      </c>
      <c r="R342" s="122">
        <f t="shared" si="128"/>
        <v>176.68</v>
      </c>
      <c r="S342" s="113">
        <f t="shared" si="9"/>
        <v>29.58</v>
      </c>
      <c r="T342" s="172"/>
      <c r="U342" s="172"/>
      <c r="V342" s="172"/>
      <c r="W342" s="172"/>
      <c r="X342" s="173"/>
      <c r="Y342" s="165"/>
      <c r="Z342" s="165"/>
    </row>
    <row r="343" hidden="1" outlineLevel="1">
      <c r="A343" s="165"/>
      <c r="B343" s="99" t="s">
        <v>37</v>
      </c>
      <c r="C343" s="100" t="s">
        <v>38</v>
      </c>
      <c r="D343" s="123">
        <v>169.9</v>
      </c>
      <c r="E343" s="103">
        <v>2.0</v>
      </c>
      <c r="F343" s="103">
        <v>2.0</v>
      </c>
      <c r="G343" s="104">
        <f t="shared" si="1"/>
        <v>1</v>
      </c>
      <c r="H343" s="105">
        <f t="shared" si="2"/>
        <v>84.95</v>
      </c>
      <c r="I343" s="106">
        <f t="shared" si="3"/>
        <v>84.95</v>
      </c>
      <c r="J343" s="123">
        <v>28.86</v>
      </c>
      <c r="K343" s="103">
        <v>11088.0</v>
      </c>
      <c r="L343" s="103">
        <v>1.0</v>
      </c>
      <c r="M343" s="124">
        <v>29.95</v>
      </c>
      <c r="N343" s="109">
        <f t="shared" si="129"/>
        <v>0.96360601</v>
      </c>
      <c r="O343" s="110">
        <f t="shared" si="5"/>
        <v>1.037768538</v>
      </c>
      <c r="P343" s="109">
        <f t="shared" si="6"/>
        <v>0.1698646263</v>
      </c>
      <c r="Q343" s="111">
        <f t="shared" si="7"/>
        <v>0.1762801648</v>
      </c>
      <c r="R343" s="125">
        <f t="shared" si="128"/>
        <v>139.95</v>
      </c>
      <c r="S343" s="113">
        <f t="shared" si="9"/>
        <v>28.86</v>
      </c>
      <c r="T343" s="172"/>
      <c r="U343" s="172"/>
      <c r="V343" s="172"/>
      <c r="W343" s="172"/>
      <c r="X343" s="173"/>
      <c r="Y343" s="165"/>
      <c r="Z343" s="165"/>
    </row>
    <row r="344" hidden="1" outlineLevel="1">
      <c r="A344" s="165"/>
      <c r="B344" s="174"/>
      <c r="C344" s="100" t="s">
        <v>39</v>
      </c>
      <c r="D344" s="126">
        <v>0.0</v>
      </c>
      <c r="E344" s="103">
        <v>0.0</v>
      </c>
      <c r="F344" s="103">
        <v>0.0</v>
      </c>
      <c r="G344" s="104" t="str">
        <f t="shared" si="1"/>
        <v>#DIV/0!</v>
      </c>
      <c r="H344" s="105" t="str">
        <f t="shared" si="2"/>
        <v>#DIV/0!</v>
      </c>
      <c r="I344" s="106" t="str">
        <f t="shared" si="3"/>
        <v>#DIV/0!</v>
      </c>
      <c r="J344" s="126">
        <v>0.0</v>
      </c>
      <c r="K344" s="103">
        <v>0.0</v>
      </c>
      <c r="L344" s="103">
        <v>0.0</v>
      </c>
      <c r="M344" s="127">
        <v>0.0</v>
      </c>
      <c r="N344" s="109" t="str">
        <f t="shared" si="129"/>
        <v>#DIV/0!</v>
      </c>
      <c r="O344" s="110" t="str">
        <f t="shared" si="5"/>
        <v>#DIV/0!</v>
      </c>
      <c r="P344" s="109" t="str">
        <f t="shared" si="6"/>
        <v>#DIV/0!</v>
      </c>
      <c r="Q344" s="111" t="str">
        <f t="shared" si="7"/>
        <v>#DIV/0!</v>
      </c>
      <c r="R344" s="128">
        <f t="shared" si="128"/>
        <v>0</v>
      </c>
      <c r="S344" s="113" t="str">
        <f t="shared" si="9"/>
        <v>#DIV/0!</v>
      </c>
      <c r="T344" s="172"/>
      <c r="U344" s="172"/>
      <c r="V344" s="172"/>
      <c r="W344" s="172"/>
      <c r="X344" s="173"/>
      <c r="Y344" s="165"/>
      <c r="Z344" s="165"/>
    </row>
    <row r="345" hidden="1" outlineLevel="1">
      <c r="A345" s="165"/>
      <c r="B345" s="174"/>
      <c r="C345" s="100" t="s">
        <v>40</v>
      </c>
      <c r="D345" s="129">
        <v>0.0</v>
      </c>
      <c r="E345" s="103">
        <v>0.0</v>
      </c>
      <c r="F345" s="103">
        <v>0.0</v>
      </c>
      <c r="G345" s="104" t="str">
        <f t="shared" si="1"/>
        <v>#DIV/0!</v>
      </c>
      <c r="H345" s="105" t="str">
        <f t="shared" si="2"/>
        <v>#DIV/0!</v>
      </c>
      <c r="I345" s="106" t="str">
        <f t="shared" si="3"/>
        <v>#DIV/0!</v>
      </c>
      <c r="J345" s="129">
        <v>0.0</v>
      </c>
      <c r="K345" s="103">
        <v>0.0</v>
      </c>
      <c r="L345" s="103">
        <v>0.0</v>
      </c>
      <c r="M345" s="130">
        <v>0.0</v>
      </c>
      <c r="N345" s="109" t="str">
        <f t="shared" si="129"/>
        <v>#DIV/0!</v>
      </c>
      <c r="O345" s="110" t="str">
        <f t="shared" si="5"/>
        <v>#DIV/0!</v>
      </c>
      <c r="P345" s="109" t="str">
        <f t="shared" si="6"/>
        <v>#DIV/0!</v>
      </c>
      <c r="Q345" s="111" t="str">
        <f t="shared" si="7"/>
        <v>#DIV/0!</v>
      </c>
      <c r="R345" s="131">
        <f t="shared" si="128"/>
        <v>0</v>
      </c>
      <c r="S345" s="113" t="str">
        <f t="shared" si="9"/>
        <v>#DIV/0!</v>
      </c>
      <c r="T345" s="172"/>
      <c r="U345" s="172"/>
      <c r="V345" s="172"/>
      <c r="W345" s="172"/>
      <c r="X345" s="173"/>
      <c r="Y345" s="165"/>
      <c r="Z345" s="165"/>
    </row>
    <row r="346" hidden="1" outlineLevel="1">
      <c r="A346" s="165"/>
      <c r="B346" s="174"/>
      <c r="C346" s="100" t="s">
        <v>41</v>
      </c>
      <c r="D346" s="132">
        <v>109.98</v>
      </c>
      <c r="E346" s="103">
        <v>2.0</v>
      </c>
      <c r="F346" s="103">
        <v>2.0</v>
      </c>
      <c r="G346" s="104">
        <f t="shared" si="1"/>
        <v>1</v>
      </c>
      <c r="H346" s="105">
        <f t="shared" si="2"/>
        <v>54.99</v>
      </c>
      <c r="I346" s="106">
        <f t="shared" si="3"/>
        <v>54.99</v>
      </c>
      <c r="J346" s="132">
        <v>27.14</v>
      </c>
      <c r="K346" s="103">
        <v>5083.0</v>
      </c>
      <c r="L346" s="103">
        <v>0.0</v>
      </c>
      <c r="M346" s="133">
        <v>0.0</v>
      </c>
      <c r="N346" s="109" t="str">
        <f t="shared" si="129"/>
        <v>#DIV/0!</v>
      </c>
      <c r="O346" s="110">
        <f t="shared" si="5"/>
        <v>0</v>
      </c>
      <c r="P346" s="109">
        <f t="shared" si="6"/>
        <v>0.2467721404</v>
      </c>
      <c r="Q346" s="111">
        <f t="shared" si="7"/>
        <v>0</v>
      </c>
      <c r="R346" s="134">
        <f t="shared" si="128"/>
        <v>109.98</v>
      </c>
      <c r="S346" s="113" t="str">
        <f t="shared" si="9"/>
        <v>#DIV/0!</v>
      </c>
      <c r="T346" s="172"/>
      <c r="U346" s="172"/>
      <c r="V346" s="172"/>
      <c r="W346" s="172"/>
      <c r="X346" s="173"/>
      <c r="Y346" s="165"/>
      <c r="Z346" s="165"/>
    </row>
    <row r="347" hidden="1" outlineLevel="1">
      <c r="A347" s="165"/>
      <c r="B347" s="174"/>
      <c r="C347" s="100" t="s">
        <v>42</v>
      </c>
      <c r="D347" s="120">
        <v>19.99</v>
      </c>
      <c r="E347" s="103">
        <v>1.0</v>
      </c>
      <c r="F347" s="103">
        <v>1.0</v>
      </c>
      <c r="G347" s="104">
        <f t="shared" si="1"/>
        <v>1</v>
      </c>
      <c r="H347" s="105">
        <f t="shared" si="2"/>
        <v>19.99</v>
      </c>
      <c r="I347" s="106">
        <f t="shared" si="3"/>
        <v>19.99</v>
      </c>
      <c r="J347" s="120">
        <v>2.25</v>
      </c>
      <c r="K347" s="103">
        <v>11057.0</v>
      </c>
      <c r="L347" s="103">
        <v>0.0</v>
      </c>
      <c r="M347" s="121">
        <v>0.0</v>
      </c>
      <c r="N347" s="109" t="str">
        <f t="shared" si="129"/>
        <v>#DIV/0!</v>
      </c>
      <c r="O347" s="110">
        <f t="shared" si="5"/>
        <v>0</v>
      </c>
      <c r="P347" s="109">
        <f t="shared" si="6"/>
        <v>0.1125562781</v>
      </c>
      <c r="Q347" s="111">
        <f t="shared" si="7"/>
        <v>0</v>
      </c>
      <c r="R347" s="122">
        <f t="shared" si="128"/>
        <v>19.99</v>
      </c>
      <c r="S347" s="113" t="str">
        <f t="shared" si="9"/>
        <v>#DIV/0!</v>
      </c>
      <c r="T347" s="172"/>
      <c r="U347" s="172"/>
      <c r="V347" s="172"/>
      <c r="W347" s="172"/>
      <c r="X347" s="173"/>
      <c r="Y347" s="165"/>
      <c r="Z347" s="165"/>
    </row>
    <row r="348" hidden="1" outlineLevel="1">
      <c r="A348" s="165"/>
      <c r="B348" s="174"/>
      <c r="C348" s="100" t="s">
        <v>43</v>
      </c>
      <c r="D348" s="135">
        <v>385.9</v>
      </c>
      <c r="E348" s="103">
        <v>2.0</v>
      </c>
      <c r="F348" s="103">
        <v>2.0</v>
      </c>
      <c r="G348" s="104">
        <f t="shared" si="1"/>
        <v>1</v>
      </c>
      <c r="H348" s="105">
        <f t="shared" si="2"/>
        <v>192.95</v>
      </c>
      <c r="I348" s="106">
        <f t="shared" si="3"/>
        <v>192.95</v>
      </c>
      <c r="J348" s="135">
        <v>5.8</v>
      </c>
      <c r="K348" s="103">
        <v>15404.0</v>
      </c>
      <c r="L348" s="103">
        <v>1.0</v>
      </c>
      <c r="M348" s="136">
        <v>215.95</v>
      </c>
      <c r="N348" s="109">
        <f t="shared" si="129"/>
        <v>0.026858069</v>
      </c>
      <c r="O348" s="110">
        <f t="shared" si="5"/>
        <v>37.23275862</v>
      </c>
      <c r="P348" s="109">
        <f t="shared" si="6"/>
        <v>0.01502980047</v>
      </c>
      <c r="Q348" s="111">
        <f t="shared" si="7"/>
        <v>0.5596009329</v>
      </c>
      <c r="R348" s="137">
        <f t="shared" si="128"/>
        <v>169.95</v>
      </c>
      <c r="S348" s="113">
        <f t="shared" si="9"/>
        <v>5.8</v>
      </c>
      <c r="T348" s="172"/>
      <c r="U348" s="172"/>
      <c r="V348" s="172"/>
      <c r="W348" s="172"/>
      <c r="X348" s="173"/>
      <c r="Y348" s="165"/>
      <c r="Z348" s="165"/>
    </row>
    <row r="349" hidden="1" outlineLevel="1">
      <c r="A349" s="165"/>
      <c r="B349" s="174"/>
      <c r="C349" s="100" t="s">
        <v>44</v>
      </c>
      <c r="D349" s="138">
        <v>90.67</v>
      </c>
      <c r="E349" s="103">
        <v>2.0</v>
      </c>
      <c r="F349" s="103">
        <v>2.0</v>
      </c>
      <c r="G349" s="104">
        <f t="shared" si="1"/>
        <v>1</v>
      </c>
      <c r="H349" s="105">
        <f t="shared" si="2"/>
        <v>45.335</v>
      </c>
      <c r="I349" s="106">
        <f t="shared" si="3"/>
        <v>45.335</v>
      </c>
      <c r="J349" s="138">
        <v>24.47</v>
      </c>
      <c r="K349" s="103">
        <v>12401.0</v>
      </c>
      <c r="L349" s="103">
        <v>0.0</v>
      </c>
      <c r="M349" s="139">
        <v>0.0</v>
      </c>
      <c r="N349" s="109" t="str">
        <f t="shared" si="129"/>
        <v>#DIV/0!</v>
      </c>
      <c r="O349" s="110">
        <f t="shared" si="5"/>
        <v>0</v>
      </c>
      <c r="P349" s="109">
        <f t="shared" si="6"/>
        <v>0.2698797838</v>
      </c>
      <c r="Q349" s="111">
        <f t="shared" si="7"/>
        <v>0</v>
      </c>
      <c r="R349" s="140">
        <f t="shared" si="128"/>
        <v>90.67</v>
      </c>
      <c r="S349" s="113" t="str">
        <f t="shared" si="9"/>
        <v>#DIV/0!</v>
      </c>
      <c r="T349" s="172"/>
      <c r="U349" s="172"/>
      <c r="V349" s="172"/>
      <c r="W349" s="172"/>
      <c r="X349" s="173"/>
      <c r="Y349" s="165"/>
      <c r="Z349" s="165"/>
    </row>
    <row r="350" hidden="1" outlineLevel="1">
      <c r="A350" s="192"/>
      <c r="B350" s="174"/>
      <c r="C350" s="142" t="s">
        <v>45</v>
      </c>
      <c r="D350" s="101">
        <v>79.8</v>
      </c>
      <c r="E350" s="103">
        <v>4.0</v>
      </c>
      <c r="F350" s="103">
        <v>2.0</v>
      </c>
      <c r="G350" s="104">
        <f t="shared" si="1"/>
        <v>2</v>
      </c>
      <c r="H350" s="105">
        <f t="shared" si="2"/>
        <v>19.95</v>
      </c>
      <c r="I350" s="106">
        <f t="shared" si="3"/>
        <v>9.975</v>
      </c>
      <c r="J350" s="101">
        <v>0.0</v>
      </c>
      <c r="K350" s="103">
        <v>0.0</v>
      </c>
      <c r="L350" s="103">
        <v>0.0</v>
      </c>
      <c r="M350" s="108">
        <v>0.0</v>
      </c>
      <c r="N350" s="109" t="str">
        <f t="shared" si="129"/>
        <v>#DIV/0!</v>
      </c>
      <c r="O350" s="110" t="str">
        <f t="shared" si="5"/>
        <v>#DIV/0!</v>
      </c>
      <c r="P350" s="109">
        <f t="shared" si="6"/>
        <v>0</v>
      </c>
      <c r="Q350" s="111">
        <f t="shared" si="7"/>
        <v>0</v>
      </c>
      <c r="R350" s="112">
        <f t="shared" si="128"/>
        <v>79.8</v>
      </c>
      <c r="S350" s="113" t="str">
        <f t="shared" si="9"/>
        <v>#DIV/0!</v>
      </c>
      <c r="T350" s="193"/>
      <c r="U350" s="193"/>
      <c r="V350" s="193"/>
      <c r="W350" s="194"/>
      <c r="X350" s="195"/>
      <c r="Y350" s="165"/>
      <c r="Z350" s="165"/>
    </row>
    <row r="351" hidden="1" outlineLevel="1">
      <c r="A351" s="165"/>
      <c r="B351" s="174"/>
      <c r="C351" s="100" t="s">
        <v>46</v>
      </c>
      <c r="D351" s="146">
        <v>402.16</v>
      </c>
      <c r="E351" s="103">
        <v>9.0</v>
      </c>
      <c r="F351" s="103">
        <v>10.0</v>
      </c>
      <c r="G351" s="104">
        <f t="shared" si="1"/>
        <v>0.9</v>
      </c>
      <c r="H351" s="105">
        <f t="shared" si="2"/>
        <v>44.68444444</v>
      </c>
      <c r="I351" s="106">
        <f t="shared" si="3"/>
        <v>49.64938272</v>
      </c>
      <c r="J351" s="146">
        <v>64.12</v>
      </c>
      <c r="K351" s="103">
        <v>29585.0</v>
      </c>
      <c r="L351" s="103">
        <v>3.0</v>
      </c>
      <c r="M351" s="147">
        <v>44.95</v>
      </c>
      <c r="N351" s="109">
        <f t="shared" si="129"/>
        <v>1.42647386</v>
      </c>
      <c r="O351" s="110">
        <f t="shared" si="5"/>
        <v>0.70102932</v>
      </c>
      <c r="P351" s="109">
        <f t="shared" si="6"/>
        <v>0.1594390292</v>
      </c>
      <c r="Q351" s="111">
        <f t="shared" si="7"/>
        <v>0.1117714343</v>
      </c>
      <c r="R351" s="112">
        <f t="shared" si="128"/>
        <v>357.21</v>
      </c>
      <c r="S351" s="113">
        <f t="shared" si="9"/>
        <v>21.37333333</v>
      </c>
      <c r="T351" s="172"/>
      <c r="U351" s="172"/>
      <c r="V351" s="172"/>
      <c r="W351" s="172"/>
      <c r="X351" s="173"/>
      <c r="Y351" s="165"/>
      <c r="Z351" s="165"/>
    </row>
    <row r="352" hidden="1" outlineLevel="1">
      <c r="A352" s="165"/>
      <c r="B352" s="174"/>
      <c r="C352" s="100" t="s">
        <v>49</v>
      </c>
      <c r="D352" s="146">
        <v>0.0</v>
      </c>
      <c r="E352" s="103">
        <v>0.0</v>
      </c>
      <c r="F352" s="103">
        <v>0.0</v>
      </c>
      <c r="G352" s="104" t="str">
        <f t="shared" si="1"/>
        <v>#DIV/0!</v>
      </c>
      <c r="H352" s="105" t="str">
        <f t="shared" si="2"/>
        <v>#DIV/0!</v>
      </c>
      <c r="I352" s="106" t="str">
        <f t="shared" si="3"/>
        <v>#DIV/0!</v>
      </c>
      <c r="J352" s="146">
        <v>9.63</v>
      </c>
      <c r="K352" s="103">
        <v>8469.0</v>
      </c>
      <c r="L352" s="103">
        <v>0.0</v>
      </c>
      <c r="M352" s="147">
        <v>0.0</v>
      </c>
      <c r="N352" s="109" t="str">
        <f t="shared" si="129"/>
        <v>#DIV/0!</v>
      </c>
      <c r="O352" s="110">
        <f t="shared" si="5"/>
        <v>0</v>
      </c>
      <c r="P352" s="109" t="str">
        <f t="shared" si="6"/>
        <v>#DIV/0!</v>
      </c>
      <c r="Q352" s="111" t="str">
        <f t="shared" si="7"/>
        <v>#DIV/0!</v>
      </c>
      <c r="R352" s="112">
        <f t="shared" si="128"/>
        <v>0</v>
      </c>
      <c r="S352" s="113" t="str">
        <f t="shared" si="9"/>
        <v>#DIV/0!</v>
      </c>
      <c r="T352" s="172"/>
      <c r="U352" s="172"/>
      <c r="V352" s="172"/>
      <c r="W352" s="172"/>
      <c r="X352" s="173"/>
      <c r="Y352" s="165"/>
      <c r="Z352" s="165"/>
    </row>
    <row r="353" hidden="1" outlineLevel="1">
      <c r="A353" s="148" t="str">
        <f t="shared" ref="A353:A354" si="130">iferror(if(B353&gt;0,month(B353)&amp;"-"&amp;year(B353),B353),)</f>
        <v>6-2025</v>
      </c>
      <c r="B353" s="99">
        <v>45836.0</v>
      </c>
      <c r="C353" s="277" t="s">
        <v>67</v>
      </c>
      <c r="D353" s="146">
        <v>0.0</v>
      </c>
      <c r="E353" s="103">
        <v>0.0</v>
      </c>
      <c r="F353" s="103">
        <v>0.0</v>
      </c>
      <c r="G353" s="104" t="str">
        <f t="shared" si="1"/>
        <v>#DIV/0!</v>
      </c>
      <c r="H353" s="105" t="str">
        <f t="shared" si="2"/>
        <v>#DIV/0!</v>
      </c>
      <c r="I353" s="106" t="str">
        <f t="shared" si="3"/>
        <v>#DIV/0!</v>
      </c>
      <c r="J353" s="117">
        <v>243.21999999999997</v>
      </c>
      <c r="K353" s="278">
        <v>63423.0</v>
      </c>
      <c r="L353" s="103">
        <v>0.0</v>
      </c>
      <c r="M353" s="118">
        <v>411.41</v>
      </c>
      <c r="N353" s="109">
        <f t="shared" si="129"/>
        <v>0.5911864077</v>
      </c>
      <c r="O353" s="110">
        <f t="shared" si="5"/>
        <v>1.691513856</v>
      </c>
      <c r="P353" s="109" t="str">
        <f t="shared" si="6"/>
        <v>#DIV/0!</v>
      </c>
      <c r="Q353" s="111" t="str">
        <f t="shared" si="7"/>
        <v>#DIV/0!</v>
      </c>
      <c r="R353" s="112">
        <f t="shared" si="128"/>
        <v>-411.41</v>
      </c>
      <c r="S353" s="113" t="str">
        <f t="shared" si="9"/>
        <v>#DIV/0!</v>
      </c>
      <c r="T353" s="172"/>
      <c r="U353" s="172"/>
      <c r="V353" s="172"/>
      <c r="W353" s="172"/>
      <c r="X353" s="173"/>
      <c r="Y353" s="165"/>
      <c r="Z353" s="165"/>
    </row>
    <row r="354" collapsed="1">
      <c r="A354" s="165" t="str">
        <f t="shared" si="130"/>
        <v/>
      </c>
      <c r="B354" s="80" t="s">
        <v>113</v>
      </c>
      <c r="C354" s="201"/>
      <c r="D354" s="151">
        <f t="shared" ref="D354:F354" si="131">SUM(D336:D353)</f>
        <v>8329.88</v>
      </c>
      <c r="E354" s="153">
        <f t="shared" si="131"/>
        <v>93</v>
      </c>
      <c r="F354" s="153">
        <f t="shared" si="131"/>
        <v>99</v>
      </c>
      <c r="G354" s="154">
        <f t="shared" si="1"/>
        <v>0.9393939394</v>
      </c>
      <c r="H354" s="155">
        <f t="shared" si="2"/>
        <v>89.56860215</v>
      </c>
      <c r="I354" s="156">
        <f t="shared" si="3"/>
        <v>95.34722164</v>
      </c>
      <c r="J354" s="151">
        <f t="shared" ref="J354:M354" si="132">SUM(J336:J353)</f>
        <v>1147.98</v>
      </c>
      <c r="K354" s="153">
        <f t="shared" si="132"/>
        <v>388706</v>
      </c>
      <c r="L354" s="153">
        <f t="shared" si="132"/>
        <v>17</v>
      </c>
      <c r="M354" s="157">
        <f t="shared" si="132"/>
        <v>1835.96</v>
      </c>
      <c r="N354" s="158">
        <f t="shared" si="129"/>
        <v>0.6252750605</v>
      </c>
      <c r="O354" s="159">
        <f t="shared" si="5"/>
        <v>1.599296155</v>
      </c>
      <c r="P354" s="158">
        <f t="shared" si="6"/>
        <v>0.1378147104</v>
      </c>
      <c r="Q354" s="160">
        <f t="shared" si="7"/>
        <v>0.2204065365</v>
      </c>
      <c r="R354" s="161">
        <f>SUM(R336:R353)</f>
        <v>6493.92</v>
      </c>
      <c r="S354" s="162">
        <f t="shared" si="9"/>
        <v>67.52823529</v>
      </c>
      <c r="T354" s="163">
        <f t="shared" ref="T354:U354" si="133">IFERROR((D354-D69)/D354,)</f>
        <v>0.08986443982</v>
      </c>
      <c r="U354" s="399">
        <f t="shared" si="133"/>
        <v>-0.01075268817</v>
      </c>
      <c r="V354" s="398" t="str">
        <f t="shared" ref="V354:W354" si="134">IFERROR((D354-monthly_reporting_2021!D145)/D354, )</f>
        <v/>
      </c>
      <c r="W354" s="398" t="str">
        <f t="shared" si="134"/>
        <v/>
      </c>
      <c r="X354" s="165"/>
      <c r="Y354" s="165"/>
      <c r="Z354" s="165"/>
    </row>
    <row r="355" hidden="1" outlineLevel="1">
      <c r="A355" s="165"/>
      <c r="B355" s="99">
        <v>45837.0</v>
      </c>
      <c r="C355" s="100" t="s">
        <v>32</v>
      </c>
      <c r="D355" s="101">
        <v>415.85</v>
      </c>
      <c r="E355" s="103">
        <v>4.0</v>
      </c>
      <c r="F355" s="103">
        <v>4.0</v>
      </c>
      <c r="G355" s="104">
        <f t="shared" si="1"/>
        <v>1</v>
      </c>
      <c r="H355" s="105">
        <f t="shared" si="2"/>
        <v>103.9625</v>
      </c>
      <c r="I355" s="106">
        <f t="shared" si="3"/>
        <v>103.9625</v>
      </c>
      <c r="J355" s="107">
        <v>655.98</v>
      </c>
      <c r="K355" s="103">
        <v>118224.0</v>
      </c>
      <c r="L355" s="103">
        <v>2.0</v>
      </c>
      <c r="M355" s="108">
        <v>69.95</v>
      </c>
      <c r="N355" s="109">
        <f t="shared" si="129"/>
        <v>9.377841315</v>
      </c>
      <c r="O355" s="110">
        <f t="shared" si="5"/>
        <v>0.1066343486</v>
      </c>
      <c r="P355" s="109">
        <f t="shared" si="6"/>
        <v>1.57744379</v>
      </c>
      <c r="Q355" s="111">
        <f t="shared" si="7"/>
        <v>0.168209691</v>
      </c>
      <c r="R355" s="112">
        <f t="shared" ref="R355:R372" si="135">D355-M355</f>
        <v>345.9</v>
      </c>
      <c r="S355" s="113">
        <f t="shared" si="9"/>
        <v>327.99</v>
      </c>
      <c r="T355" s="172"/>
      <c r="U355" s="172"/>
      <c r="V355" s="172"/>
      <c r="W355" s="172"/>
      <c r="X355" s="173"/>
      <c r="Y355" s="165"/>
      <c r="Z355" s="165"/>
    </row>
    <row r="356" hidden="1" outlineLevel="1">
      <c r="A356" s="165"/>
      <c r="B356" s="174"/>
      <c r="C356" s="100" t="s">
        <v>33</v>
      </c>
      <c r="D356" s="117">
        <v>920.3</v>
      </c>
      <c r="E356" s="103">
        <v>3.0</v>
      </c>
      <c r="F356" s="103">
        <v>26.0</v>
      </c>
      <c r="G356" s="104">
        <f t="shared" si="1"/>
        <v>0.1153846154</v>
      </c>
      <c r="H356" s="105">
        <f t="shared" si="2"/>
        <v>306.7666667</v>
      </c>
      <c r="I356" s="106">
        <f t="shared" si="3"/>
        <v>2658.644444</v>
      </c>
      <c r="J356" s="117">
        <v>319.27</v>
      </c>
      <c r="K356" s="103">
        <v>79429.0</v>
      </c>
      <c r="L356" s="103">
        <v>9.0</v>
      </c>
      <c r="M356" s="118">
        <v>281.7</v>
      </c>
      <c r="N356" s="109">
        <f t="shared" si="129"/>
        <v>1.133368832</v>
      </c>
      <c r="O356" s="110">
        <f t="shared" si="5"/>
        <v>0.8823253046</v>
      </c>
      <c r="P356" s="109">
        <f t="shared" si="6"/>
        <v>0.3469194828</v>
      </c>
      <c r="Q356" s="111">
        <f t="shared" si="7"/>
        <v>0.3060958383</v>
      </c>
      <c r="R356" s="119">
        <f t="shared" si="135"/>
        <v>638.6</v>
      </c>
      <c r="S356" s="113">
        <f t="shared" si="9"/>
        <v>35.47444444</v>
      </c>
      <c r="T356" s="172"/>
      <c r="U356" s="172"/>
      <c r="V356" s="172"/>
      <c r="W356" s="172"/>
      <c r="X356" s="173"/>
      <c r="Y356" s="165"/>
      <c r="Z356" s="165"/>
    </row>
    <row r="357" hidden="1" outlineLevel="1">
      <c r="A357" s="165"/>
      <c r="B357" s="174"/>
      <c r="C357" s="100" t="s">
        <v>34</v>
      </c>
      <c r="D357" s="120">
        <v>279.8</v>
      </c>
      <c r="E357" s="103">
        <v>4.0</v>
      </c>
      <c r="F357" s="103">
        <v>1.0</v>
      </c>
      <c r="G357" s="104">
        <f t="shared" si="1"/>
        <v>4</v>
      </c>
      <c r="H357" s="105">
        <f t="shared" si="2"/>
        <v>69.95</v>
      </c>
      <c r="I357" s="106">
        <f t="shared" si="3"/>
        <v>17.4875</v>
      </c>
      <c r="J357" s="120">
        <v>0.0</v>
      </c>
      <c r="K357" s="103">
        <v>0.0</v>
      </c>
      <c r="L357" s="103">
        <v>0.0</v>
      </c>
      <c r="M357" s="121">
        <v>0.0</v>
      </c>
      <c r="N357" s="109" t="str">
        <f>(J357/M357)</f>
        <v>#DIV/0!</v>
      </c>
      <c r="O357" s="110" t="str">
        <f t="shared" si="5"/>
        <v>#DIV/0!</v>
      </c>
      <c r="P357" s="109">
        <f t="shared" si="6"/>
        <v>0</v>
      </c>
      <c r="Q357" s="111">
        <f t="shared" si="7"/>
        <v>0</v>
      </c>
      <c r="R357" s="122">
        <f t="shared" si="135"/>
        <v>279.8</v>
      </c>
      <c r="S357" s="113" t="str">
        <f t="shared" si="9"/>
        <v>#DIV/0!</v>
      </c>
      <c r="T357" s="172"/>
      <c r="U357" s="172"/>
      <c r="V357" s="172"/>
      <c r="W357" s="172"/>
      <c r="X357" s="173"/>
      <c r="Y357" s="165"/>
      <c r="Z357" s="165"/>
    </row>
    <row r="358" hidden="1" outlineLevel="1">
      <c r="A358" s="165"/>
      <c r="B358" s="174"/>
      <c r="C358" s="100" t="s">
        <v>35</v>
      </c>
      <c r="D358" s="120">
        <v>299.75</v>
      </c>
      <c r="E358" s="103">
        <v>5.0</v>
      </c>
      <c r="F358" s="103">
        <v>4.0</v>
      </c>
      <c r="G358" s="104">
        <f t="shared" si="1"/>
        <v>1.25</v>
      </c>
      <c r="H358" s="105">
        <f t="shared" si="2"/>
        <v>59.95</v>
      </c>
      <c r="I358" s="106">
        <f t="shared" si="3"/>
        <v>47.96</v>
      </c>
      <c r="J358" s="120">
        <v>0.0</v>
      </c>
      <c r="K358" s="103">
        <v>0.0</v>
      </c>
      <c r="L358" s="103">
        <v>0.0</v>
      </c>
      <c r="M358" s="121">
        <v>0.0</v>
      </c>
      <c r="N358" s="109" t="str">
        <f t="shared" ref="N358:N375" si="136">J358/M358</f>
        <v>#DIV/0!</v>
      </c>
      <c r="O358" s="110" t="str">
        <f t="shared" si="5"/>
        <v>#DIV/0!</v>
      </c>
      <c r="P358" s="109">
        <f t="shared" si="6"/>
        <v>0</v>
      </c>
      <c r="Q358" s="111">
        <f t="shared" si="7"/>
        <v>0</v>
      </c>
      <c r="R358" s="122">
        <f t="shared" si="135"/>
        <v>299.75</v>
      </c>
      <c r="S358" s="113" t="str">
        <f t="shared" si="9"/>
        <v>#DIV/0!</v>
      </c>
      <c r="T358" s="172"/>
      <c r="U358" s="172"/>
      <c r="V358" s="172"/>
      <c r="W358" s="172"/>
      <c r="X358" s="173"/>
      <c r="Y358" s="165"/>
      <c r="Z358" s="165"/>
    </row>
    <row r="359" hidden="1" outlineLevel="1">
      <c r="A359" s="165"/>
      <c r="B359" s="174"/>
      <c r="C359" s="100" t="s">
        <v>65</v>
      </c>
      <c r="D359" s="300">
        <v>0.0</v>
      </c>
      <c r="E359" s="103">
        <v>0.0</v>
      </c>
      <c r="F359" s="103">
        <v>0.0</v>
      </c>
      <c r="G359" s="104" t="str">
        <f t="shared" si="1"/>
        <v>#DIV/0!</v>
      </c>
      <c r="H359" s="105" t="str">
        <f t="shared" si="2"/>
        <v>#DIV/0!</v>
      </c>
      <c r="I359" s="106" t="str">
        <f t="shared" si="3"/>
        <v>#DIV/0!</v>
      </c>
      <c r="J359" s="300">
        <v>0.0</v>
      </c>
      <c r="K359" s="103">
        <v>0.0</v>
      </c>
      <c r="L359" s="103">
        <v>0.0</v>
      </c>
      <c r="M359" s="300">
        <v>0.0</v>
      </c>
      <c r="N359" s="109" t="str">
        <f t="shared" si="136"/>
        <v>#DIV/0!</v>
      </c>
      <c r="O359" s="110" t="str">
        <f t="shared" si="5"/>
        <v>#DIV/0!</v>
      </c>
      <c r="P359" s="109" t="str">
        <f t="shared" si="6"/>
        <v>#DIV/0!</v>
      </c>
      <c r="Q359" s="111" t="str">
        <f t="shared" si="7"/>
        <v>#DIV/0!</v>
      </c>
      <c r="R359" s="122">
        <f t="shared" si="135"/>
        <v>0</v>
      </c>
      <c r="S359" s="113" t="str">
        <f t="shared" si="9"/>
        <v>#DIV/0!</v>
      </c>
      <c r="T359" s="172"/>
      <c r="U359" s="172"/>
      <c r="V359" s="172"/>
      <c r="W359" s="172"/>
      <c r="X359" s="173"/>
      <c r="Y359" s="165"/>
      <c r="Z359" s="165"/>
    </row>
    <row r="360" hidden="1" outlineLevel="1">
      <c r="A360" s="165"/>
      <c r="B360" s="174"/>
      <c r="C360" s="100" t="s">
        <v>85</v>
      </c>
      <c r="D360" s="302">
        <v>0.0</v>
      </c>
      <c r="E360" s="103">
        <v>0.0</v>
      </c>
      <c r="F360" s="103">
        <v>0.0</v>
      </c>
      <c r="G360" s="104" t="str">
        <f t="shared" si="1"/>
        <v>#DIV/0!</v>
      </c>
      <c r="H360" s="105" t="str">
        <f t="shared" si="2"/>
        <v>#DIV/0!</v>
      </c>
      <c r="I360" s="106" t="str">
        <f t="shared" si="3"/>
        <v>#DIV/0!</v>
      </c>
      <c r="J360" s="302">
        <v>30.54</v>
      </c>
      <c r="K360" s="103">
        <v>4344.0</v>
      </c>
      <c r="L360" s="103">
        <v>0.0</v>
      </c>
      <c r="M360" s="303">
        <v>0.0</v>
      </c>
      <c r="N360" s="109" t="str">
        <f t="shared" si="136"/>
        <v>#DIV/0!</v>
      </c>
      <c r="O360" s="110">
        <f t="shared" si="5"/>
        <v>0</v>
      </c>
      <c r="P360" s="109" t="str">
        <f t="shared" si="6"/>
        <v>#DIV/0!</v>
      </c>
      <c r="Q360" s="111" t="str">
        <f t="shared" si="7"/>
        <v>#DIV/0!</v>
      </c>
      <c r="R360" s="304">
        <f t="shared" si="135"/>
        <v>0</v>
      </c>
      <c r="S360" s="113" t="str">
        <f t="shared" si="9"/>
        <v>#DIV/0!</v>
      </c>
      <c r="T360" s="172"/>
      <c r="U360" s="172"/>
      <c r="V360" s="172"/>
      <c r="W360" s="172"/>
      <c r="X360" s="173"/>
      <c r="Y360" s="165"/>
      <c r="Z360" s="165"/>
    </row>
    <row r="361" hidden="1" outlineLevel="1">
      <c r="A361" s="165"/>
      <c r="B361" s="174"/>
      <c r="C361" s="100" t="s">
        <v>36</v>
      </c>
      <c r="D361" s="120">
        <v>179.85</v>
      </c>
      <c r="E361" s="103">
        <v>3.0</v>
      </c>
      <c r="F361" s="103">
        <v>3.0</v>
      </c>
      <c r="G361" s="104">
        <f t="shared" si="1"/>
        <v>1</v>
      </c>
      <c r="H361" s="105">
        <f t="shared" si="2"/>
        <v>59.95</v>
      </c>
      <c r="I361" s="106">
        <f t="shared" si="3"/>
        <v>59.95</v>
      </c>
      <c r="J361" s="120">
        <v>1.92</v>
      </c>
      <c r="K361" s="103">
        <v>1023.0</v>
      </c>
      <c r="L361" s="103">
        <v>1.0</v>
      </c>
      <c r="M361" s="121">
        <v>59.95</v>
      </c>
      <c r="N361" s="109">
        <f t="shared" si="136"/>
        <v>0.03202668891</v>
      </c>
      <c r="O361" s="110">
        <f t="shared" si="5"/>
        <v>31.22395833</v>
      </c>
      <c r="P361" s="109">
        <f t="shared" si="6"/>
        <v>0.01067556297</v>
      </c>
      <c r="Q361" s="111">
        <f t="shared" si="7"/>
        <v>0.3333333333</v>
      </c>
      <c r="R361" s="122">
        <f t="shared" si="135"/>
        <v>119.9</v>
      </c>
      <c r="S361" s="113">
        <f t="shared" si="9"/>
        <v>1.92</v>
      </c>
      <c r="T361" s="172"/>
      <c r="U361" s="172"/>
      <c r="V361" s="172"/>
      <c r="W361" s="172"/>
      <c r="X361" s="173"/>
      <c r="Y361" s="165"/>
      <c r="Z361" s="165"/>
    </row>
    <row r="362" hidden="1" outlineLevel="1">
      <c r="A362" s="165"/>
      <c r="B362" s="99" t="s">
        <v>37</v>
      </c>
      <c r="C362" s="100" t="s">
        <v>38</v>
      </c>
      <c r="D362" s="123">
        <v>29.95</v>
      </c>
      <c r="E362" s="103">
        <v>1.0</v>
      </c>
      <c r="F362" s="103">
        <v>1.0</v>
      </c>
      <c r="G362" s="104">
        <f t="shared" si="1"/>
        <v>1</v>
      </c>
      <c r="H362" s="105">
        <f t="shared" si="2"/>
        <v>29.95</v>
      </c>
      <c r="I362" s="106">
        <f t="shared" si="3"/>
        <v>29.95</v>
      </c>
      <c r="J362" s="123">
        <v>34.8</v>
      </c>
      <c r="K362" s="103">
        <v>10710.0</v>
      </c>
      <c r="L362" s="103">
        <v>1.0</v>
      </c>
      <c r="M362" s="124">
        <v>29.95</v>
      </c>
      <c r="N362" s="109">
        <f t="shared" si="136"/>
        <v>1.161936561</v>
      </c>
      <c r="O362" s="110">
        <f t="shared" si="5"/>
        <v>0.8606321839</v>
      </c>
      <c r="P362" s="109">
        <f t="shared" si="6"/>
        <v>1.161936561</v>
      </c>
      <c r="Q362" s="111">
        <f t="shared" si="7"/>
        <v>1</v>
      </c>
      <c r="R362" s="125">
        <f t="shared" si="135"/>
        <v>0</v>
      </c>
      <c r="S362" s="113">
        <f t="shared" si="9"/>
        <v>34.8</v>
      </c>
      <c r="T362" s="172"/>
      <c r="U362" s="172"/>
      <c r="V362" s="172"/>
      <c r="W362" s="172"/>
      <c r="X362" s="173"/>
      <c r="Y362" s="165"/>
      <c r="Z362" s="165"/>
    </row>
    <row r="363" hidden="1" outlineLevel="1">
      <c r="A363" s="165"/>
      <c r="B363" s="174"/>
      <c r="C363" s="100" t="s">
        <v>39</v>
      </c>
      <c r="D363" s="126">
        <v>319.98</v>
      </c>
      <c r="E363" s="103">
        <v>2.0</v>
      </c>
      <c r="F363" s="103">
        <v>2.0</v>
      </c>
      <c r="G363" s="104">
        <f t="shared" si="1"/>
        <v>1</v>
      </c>
      <c r="H363" s="105">
        <f t="shared" si="2"/>
        <v>159.99</v>
      </c>
      <c r="I363" s="106">
        <f t="shared" si="3"/>
        <v>159.99</v>
      </c>
      <c r="J363" s="126">
        <v>0.0</v>
      </c>
      <c r="K363" s="103">
        <v>0.0</v>
      </c>
      <c r="L363" s="103">
        <v>0.0</v>
      </c>
      <c r="M363" s="127">
        <v>0.0</v>
      </c>
      <c r="N363" s="109" t="str">
        <f t="shared" si="136"/>
        <v>#DIV/0!</v>
      </c>
      <c r="O363" s="110" t="str">
        <f t="shared" si="5"/>
        <v>#DIV/0!</v>
      </c>
      <c r="P363" s="109">
        <f t="shared" si="6"/>
        <v>0</v>
      </c>
      <c r="Q363" s="111">
        <f t="shared" si="7"/>
        <v>0</v>
      </c>
      <c r="R363" s="128">
        <f t="shared" si="135"/>
        <v>319.98</v>
      </c>
      <c r="S363" s="113" t="str">
        <f t="shared" si="9"/>
        <v>#DIV/0!</v>
      </c>
      <c r="T363" s="172"/>
      <c r="U363" s="172"/>
      <c r="V363" s="172"/>
      <c r="W363" s="172"/>
      <c r="X363" s="173"/>
      <c r="Y363" s="165"/>
      <c r="Z363" s="165"/>
    </row>
    <row r="364" hidden="1" outlineLevel="1">
      <c r="A364" s="165"/>
      <c r="B364" s="174"/>
      <c r="C364" s="100" t="s">
        <v>40</v>
      </c>
      <c r="D364" s="129">
        <v>0.0</v>
      </c>
      <c r="E364" s="103">
        <v>0.0</v>
      </c>
      <c r="F364" s="103">
        <v>0.0</v>
      </c>
      <c r="G364" s="104" t="str">
        <f t="shared" si="1"/>
        <v>#DIV/0!</v>
      </c>
      <c r="H364" s="105" t="str">
        <f t="shared" si="2"/>
        <v>#DIV/0!</v>
      </c>
      <c r="I364" s="106" t="str">
        <f t="shared" si="3"/>
        <v>#DIV/0!</v>
      </c>
      <c r="J364" s="129">
        <v>0.0</v>
      </c>
      <c r="K364" s="103">
        <v>0.0</v>
      </c>
      <c r="L364" s="103">
        <v>0.0</v>
      </c>
      <c r="M364" s="130">
        <v>0.0</v>
      </c>
      <c r="N364" s="109" t="str">
        <f t="shared" si="136"/>
        <v>#DIV/0!</v>
      </c>
      <c r="O364" s="110" t="str">
        <f t="shared" si="5"/>
        <v>#DIV/0!</v>
      </c>
      <c r="P364" s="109" t="str">
        <f t="shared" si="6"/>
        <v>#DIV/0!</v>
      </c>
      <c r="Q364" s="111" t="str">
        <f t="shared" si="7"/>
        <v>#DIV/0!</v>
      </c>
      <c r="R364" s="131">
        <f t="shared" si="135"/>
        <v>0</v>
      </c>
      <c r="S364" s="113" t="str">
        <f t="shared" si="9"/>
        <v>#DIV/0!</v>
      </c>
      <c r="T364" s="172"/>
      <c r="U364" s="172"/>
      <c r="V364" s="172"/>
      <c r="W364" s="172"/>
      <c r="X364" s="173"/>
      <c r="Y364" s="165"/>
      <c r="Z364" s="165"/>
    </row>
    <row r="365" hidden="1" outlineLevel="1">
      <c r="A365" s="165"/>
      <c r="B365" s="174"/>
      <c r="C365" s="100" t="s">
        <v>41</v>
      </c>
      <c r="D365" s="132">
        <v>0.0</v>
      </c>
      <c r="E365" s="103">
        <v>0.0</v>
      </c>
      <c r="F365" s="103">
        <v>0.0</v>
      </c>
      <c r="G365" s="104" t="str">
        <f t="shared" si="1"/>
        <v>#DIV/0!</v>
      </c>
      <c r="H365" s="105" t="str">
        <f t="shared" si="2"/>
        <v>#DIV/0!</v>
      </c>
      <c r="I365" s="106" t="str">
        <f t="shared" si="3"/>
        <v>#DIV/0!</v>
      </c>
      <c r="J365" s="132">
        <v>2.6</v>
      </c>
      <c r="K365" s="103">
        <v>906.0</v>
      </c>
      <c r="L365" s="103">
        <v>0.0</v>
      </c>
      <c r="M365" s="133">
        <v>0.0</v>
      </c>
      <c r="N365" s="109" t="str">
        <f t="shared" si="136"/>
        <v>#DIV/0!</v>
      </c>
      <c r="O365" s="110">
        <f t="shared" si="5"/>
        <v>0</v>
      </c>
      <c r="P365" s="109" t="str">
        <f t="shared" si="6"/>
        <v>#DIV/0!</v>
      </c>
      <c r="Q365" s="111" t="str">
        <f t="shared" si="7"/>
        <v>#DIV/0!</v>
      </c>
      <c r="R365" s="134">
        <f t="shared" si="135"/>
        <v>0</v>
      </c>
      <c r="S365" s="113" t="str">
        <f t="shared" si="9"/>
        <v>#DIV/0!</v>
      </c>
      <c r="T365" s="172"/>
      <c r="U365" s="172"/>
      <c r="V365" s="172"/>
      <c r="W365" s="172"/>
      <c r="X365" s="173"/>
      <c r="Y365" s="165"/>
      <c r="Z365" s="165"/>
    </row>
    <row r="366" hidden="1" outlineLevel="1">
      <c r="A366" s="165"/>
      <c r="B366" s="174"/>
      <c r="C366" s="100" t="s">
        <v>42</v>
      </c>
      <c r="D366" s="120">
        <v>19.99</v>
      </c>
      <c r="E366" s="103">
        <v>1.0</v>
      </c>
      <c r="F366" s="103">
        <v>1.0</v>
      </c>
      <c r="G366" s="104">
        <f t="shared" si="1"/>
        <v>1</v>
      </c>
      <c r="H366" s="105">
        <f t="shared" si="2"/>
        <v>19.99</v>
      </c>
      <c r="I366" s="106">
        <f t="shared" si="3"/>
        <v>19.99</v>
      </c>
      <c r="J366" s="120">
        <v>17.28</v>
      </c>
      <c r="K366" s="103">
        <v>18989.0</v>
      </c>
      <c r="L366" s="103">
        <v>2.0</v>
      </c>
      <c r="M366" s="121">
        <v>39.98</v>
      </c>
      <c r="N366" s="109">
        <f t="shared" si="136"/>
        <v>0.4322161081</v>
      </c>
      <c r="O366" s="110">
        <f t="shared" si="5"/>
        <v>2.313657407</v>
      </c>
      <c r="P366" s="109">
        <f t="shared" si="6"/>
        <v>0.8644322161</v>
      </c>
      <c r="Q366" s="111">
        <f t="shared" si="7"/>
        <v>2</v>
      </c>
      <c r="R366" s="122">
        <f t="shared" si="135"/>
        <v>-19.99</v>
      </c>
      <c r="S366" s="113">
        <f t="shared" si="9"/>
        <v>8.64</v>
      </c>
      <c r="T366" s="172"/>
      <c r="U366" s="172"/>
      <c r="V366" s="172"/>
      <c r="W366" s="172"/>
      <c r="X366" s="173"/>
      <c r="Y366" s="165"/>
      <c r="Z366" s="165"/>
    </row>
    <row r="367" hidden="1" outlineLevel="1">
      <c r="A367" s="165"/>
      <c r="B367" s="174"/>
      <c r="C367" s="100" t="s">
        <v>43</v>
      </c>
      <c r="D367" s="135">
        <v>79.9</v>
      </c>
      <c r="E367" s="103">
        <v>2.0</v>
      </c>
      <c r="F367" s="103">
        <v>2.0</v>
      </c>
      <c r="G367" s="104">
        <f t="shared" si="1"/>
        <v>1</v>
      </c>
      <c r="H367" s="105">
        <f t="shared" si="2"/>
        <v>39.95</v>
      </c>
      <c r="I367" s="106">
        <f t="shared" si="3"/>
        <v>39.95</v>
      </c>
      <c r="J367" s="135">
        <v>37.7</v>
      </c>
      <c r="K367" s="103">
        <v>15360.0</v>
      </c>
      <c r="L367" s="103">
        <v>0.0</v>
      </c>
      <c r="M367" s="136">
        <v>0.0</v>
      </c>
      <c r="N367" s="109" t="str">
        <f t="shared" si="136"/>
        <v>#DIV/0!</v>
      </c>
      <c r="O367" s="110">
        <f t="shared" si="5"/>
        <v>0</v>
      </c>
      <c r="P367" s="109">
        <f t="shared" si="6"/>
        <v>0.4718397997</v>
      </c>
      <c r="Q367" s="111">
        <f t="shared" si="7"/>
        <v>0</v>
      </c>
      <c r="R367" s="137">
        <f t="shared" si="135"/>
        <v>79.9</v>
      </c>
      <c r="S367" s="113" t="str">
        <f t="shared" si="9"/>
        <v>#DIV/0!</v>
      </c>
      <c r="T367" s="172"/>
      <c r="U367" s="172"/>
      <c r="V367" s="172"/>
      <c r="W367" s="172"/>
      <c r="X367" s="173"/>
      <c r="Y367" s="165"/>
      <c r="Z367" s="165"/>
    </row>
    <row r="368" hidden="1" outlineLevel="1">
      <c r="A368" s="165"/>
      <c r="B368" s="174"/>
      <c r="C368" s="100" t="s">
        <v>44</v>
      </c>
      <c r="D368" s="138">
        <v>89.9</v>
      </c>
      <c r="E368" s="103">
        <v>2.0</v>
      </c>
      <c r="F368" s="103">
        <v>2.0</v>
      </c>
      <c r="G368" s="104">
        <f t="shared" si="1"/>
        <v>1</v>
      </c>
      <c r="H368" s="105">
        <f t="shared" si="2"/>
        <v>44.95</v>
      </c>
      <c r="I368" s="106">
        <f t="shared" si="3"/>
        <v>44.95</v>
      </c>
      <c r="J368" s="138">
        <v>42.59</v>
      </c>
      <c r="K368" s="103">
        <v>10870.0</v>
      </c>
      <c r="L368" s="103">
        <v>0.0</v>
      </c>
      <c r="M368" s="139">
        <v>0.0</v>
      </c>
      <c r="N368" s="109" t="str">
        <f t="shared" si="136"/>
        <v>#DIV/0!</v>
      </c>
      <c r="O368" s="110">
        <f t="shared" si="5"/>
        <v>0</v>
      </c>
      <c r="P368" s="109">
        <f t="shared" si="6"/>
        <v>0.4737486096</v>
      </c>
      <c r="Q368" s="111">
        <f t="shared" si="7"/>
        <v>0</v>
      </c>
      <c r="R368" s="140">
        <f t="shared" si="135"/>
        <v>89.9</v>
      </c>
      <c r="S368" s="113" t="str">
        <f t="shared" si="9"/>
        <v>#DIV/0!</v>
      </c>
      <c r="T368" s="172"/>
      <c r="U368" s="172"/>
      <c r="V368" s="172"/>
      <c r="W368" s="172"/>
      <c r="X368" s="173"/>
      <c r="Y368" s="165"/>
      <c r="Z368" s="165"/>
    </row>
    <row r="369" hidden="1" outlineLevel="1">
      <c r="A369" s="192"/>
      <c r="B369" s="174"/>
      <c r="C369" s="142" t="s">
        <v>45</v>
      </c>
      <c r="D369" s="101">
        <v>59.85</v>
      </c>
      <c r="E369" s="103">
        <v>3.0</v>
      </c>
      <c r="F369" s="103">
        <v>2.0</v>
      </c>
      <c r="G369" s="104">
        <f t="shared" si="1"/>
        <v>1.5</v>
      </c>
      <c r="H369" s="105">
        <f t="shared" si="2"/>
        <v>19.95</v>
      </c>
      <c r="I369" s="106">
        <f t="shared" si="3"/>
        <v>13.3</v>
      </c>
      <c r="J369" s="101">
        <v>0.0</v>
      </c>
      <c r="K369" s="103">
        <v>0.0</v>
      </c>
      <c r="L369" s="103">
        <v>0.0</v>
      </c>
      <c r="M369" s="108">
        <v>0.0</v>
      </c>
      <c r="N369" s="109" t="str">
        <f t="shared" si="136"/>
        <v>#DIV/0!</v>
      </c>
      <c r="O369" s="110" t="str">
        <f t="shared" si="5"/>
        <v>#DIV/0!</v>
      </c>
      <c r="P369" s="109">
        <f t="shared" si="6"/>
        <v>0</v>
      </c>
      <c r="Q369" s="111">
        <f t="shared" si="7"/>
        <v>0</v>
      </c>
      <c r="R369" s="112">
        <f t="shared" si="135"/>
        <v>59.85</v>
      </c>
      <c r="S369" s="113" t="str">
        <f t="shared" si="9"/>
        <v>#DIV/0!</v>
      </c>
      <c r="T369" s="193"/>
      <c r="U369" s="193"/>
      <c r="V369" s="193"/>
      <c r="W369" s="194"/>
      <c r="X369" s="195"/>
      <c r="Y369" s="165"/>
      <c r="Z369" s="165"/>
    </row>
    <row r="370" hidden="1" outlineLevel="1">
      <c r="A370" s="165"/>
      <c r="B370" s="174"/>
      <c r="C370" s="100" t="s">
        <v>46</v>
      </c>
      <c r="D370" s="146">
        <v>220.75</v>
      </c>
      <c r="E370" s="103">
        <v>5.0</v>
      </c>
      <c r="F370" s="103">
        <v>7.0</v>
      </c>
      <c r="G370" s="104">
        <f t="shared" si="1"/>
        <v>0.7142857143</v>
      </c>
      <c r="H370" s="105">
        <f t="shared" si="2"/>
        <v>44.15</v>
      </c>
      <c r="I370" s="106">
        <f t="shared" si="3"/>
        <v>61.81</v>
      </c>
      <c r="J370" s="146">
        <v>84.18</v>
      </c>
      <c r="K370" s="103">
        <v>28314.0</v>
      </c>
      <c r="L370" s="103">
        <v>4.0</v>
      </c>
      <c r="M370" s="147">
        <v>175.8</v>
      </c>
      <c r="N370" s="109">
        <f t="shared" si="136"/>
        <v>0.4788395904</v>
      </c>
      <c r="O370" s="110">
        <f t="shared" si="5"/>
        <v>2.088382038</v>
      </c>
      <c r="P370" s="109">
        <f t="shared" si="6"/>
        <v>0.3813363533</v>
      </c>
      <c r="Q370" s="111">
        <f t="shared" si="7"/>
        <v>0.7963759909</v>
      </c>
      <c r="R370" s="112">
        <f t="shared" si="135"/>
        <v>44.95</v>
      </c>
      <c r="S370" s="113">
        <f t="shared" si="9"/>
        <v>21.045</v>
      </c>
      <c r="T370" s="172"/>
      <c r="U370" s="172"/>
      <c r="V370" s="172"/>
      <c r="W370" s="172"/>
      <c r="X370" s="173"/>
      <c r="Y370" s="165"/>
      <c r="Z370" s="165"/>
    </row>
    <row r="371" hidden="1" outlineLevel="1">
      <c r="A371" s="165"/>
      <c r="B371" s="174"/>
      <c r="C371" s="100" t="s">
        <v>49</v>
      </c>
      <c r="D371" s="146">
        <v>0.0</v>
      </c>
      <c r="E371" s="103">
        <v>0.0</v>
      </c>
      <c r="F371" s="103">
        <v>0.0</v>
      </c>
      <c r="G371" s="104" t="str">
        <f t="shared" si="1"/>
        <v>#DIV/0!</v>
      </c>
      <c r="H371" s="105" t="str">
        <f t="shared" si="2"/>
        <v>#DIV/0!</v>
      </c>
      <c r="I371" s="106" t="str">
        <f t="shared" si="3"/>
        <v>#DIV/0!</v>
      </c>
      <c r="J371" s="146">
        <v>3.11</v>
      </c>
      <c r="K371" s="103">
        <v>4394.0</v>
      </c>
      <c r="L371" s="103">
        <v>0.0</v>
      </c>
      <c r="M371" s="147">
        <v>0.0</v>
      </c>
      <c r="N371" s="109" t="str">
        <f t="shared" si="136"/>
        <v>#DIV/0!</v>
      </c>
      <c r="O371" s="110">
        <f t="shared" si="5"/>
        <v>0</v>
      </c>
      <c r="P371" s="109" t="str">
        <f t="shared" si="6"/>
        <v>#DIV/0!</v>
      </c>
      <c r="Q371" s="111" t="str">
        <f t="shared" si="7"/>
        <v>#DIV/0!</v>
      </c>
      <c r="R371" s="112">
        <f t="shared" si="135"/>
        <v>0</v>
      </c>
      <c r="S371" s="113" t="str">
        <f t="shared" si="9"/>
        <v>#DIV/0!</v>
      </c>
      <c r="T371" s="172"/>
      <c r="U371" s="172"/>
      <c r="V371" s="172"/>
      <c r="W371" s="172"/>
      <c r="X371" s="173"/>
      <c r="Y371" s="165"/>
      <c r="Z371" s="165"/>
    </row>
    <row r="372" hidden="1" outlineLevel="1">
      <c r="A372" s="148" t="str">
        <f t="shared" ref="A372:A373" si="137">iferror(if(B372&gt;0,month(B372)&amp;"-"&amp;year(B372),B372),)</f>
        <v>7-2025</v>
      </c>
      <c r="B372" s="99">
        <v>45843.0</v>
      </c>
      <c r="C372" s="277" t="s">
        <v>67</v>
      </c>
      <c r="D372" s="146">
        <v>0.0</v>
      </c>
      <c r="E372" s="103">
        <v>0.0</v>
      </c>
      <c r="F372" s="103">
        <v>0.0</v>
      </c>
      <c r="G372" s="104" t="str">
        <f t="shared" si="1"/>
        <v>#DIV/0!</v>
      </c>
      <c r="H372" s="105" t="str">
        <f t="shared" si="2"/>
        <v>#DIV/0!</v>
      </c>
      <c r="I372" s="106" t="str">
        <f t="shared" si="3"/>
        <v>#DIV/0!</v>
      </c>
      <c r="J372" s="117">
        <v>236.16999999999996</v>
      </c>
      <c r="K372" s="278">
        <v>64192.0</v>
      </c>
      <c r="L372" s="103">
        <v>0.0</v>
      </c>
      <c r="M372" s="118">
        <v>132.85000000000002</v>
      </c>
      <c r="N372" s="109">
        <f t="shared" si="136"/>
        <v>1.777719232</v>
      </c>
      <c r="O372" s="110">
        <f t="shared" si="5"/>
        <v>0.5625185248</v>
      </c>
      <c r="P372" s="109" t="str">
        <f t="shared" si="6"/>
        <v>#DIV/0!</v>
      </c>
      <c r="Q372" s="111" t="str">
        <f t="shared" si="7"/>
        <v>#DIV/0!</v>
      </c>
      <c r="R372" s="112">
        <f t="shared" si="135"/>
        <v>-132.85</v>
      </c>
      <c r="S372" s="113" t="str">
        <f t="shared" si="9"/>
        <v>#DIV/0!</v>
      </c>
      <c r="T372" s="172"/>
      <c r="U372" s="172"/>
      <c r="V372" s="172"/>
      <c r="W372" s="172"/>
      <c r="X372" s="173"/>
      <c r="Y372" s="165"/>
      <c r="Z372" s="165"/>
    </row>
    <row r="373" collapsed="1">
      <c r="A373" s="165" t="str">
        <f t="shared" si="137"/>
        <v/>
      </c>
      <c r="B373" s="80" t="s">
        <v>114</v>
      </c>
      <c r="C373" s="201"/>
      <c r="D373" s="151">
        <f t="shared" ref="D373:F373" si="138">SUM(D355:D372)</f>
        <v>2915.87</v>
      </c>
      <c r="E373" s="153">
        <f t="shared" si="138"/>
        <v>35</v>
      </c>
      <c r="F373" s="153">
        <f t="shared" si="138"/>
        <v>55</v>
      </c>
      <c r="G373" s="154">
        <f t="shared" si="1"/>
        <v>0.6363636364</v>
      </c>
      <c r="H373" s="155">
        <f t="shared" si="2"/>
        <v>83.31057143</v>
      </c>
      <c r="I373" s="156">
        <f t="shared" si="3"/>
        <v>130.9166122</v>
      </c>
      <c r="J373" s="151">
        <f t="shared" ref="J373:M373" si="139">SUM(J355:J372)</f>
        <v>1466.14</v>
      </c>
      <c r="K373" s="153">
        <f t="shared" si="139"/>
        <v>356755</v>
      </c>
      <c r="L373" s="153">
        <f t="shared" si="139"/>
        <v>19</v>
      </c>
      <c r="M373" s="157">
        <f t="shared" si="139"/>
        <v>790.18</v>
      </c>
      <c r="N373" s="158">
        <f t="shared" si="136"/>
        <v>1.855450657</v>
      </c>
      <c r="O373" s="159">
        <f t="shared" si="5"/>
        <v>0.5389526239</v>
      </c>
      <c r="P373" s="158">
        <f t="shared" si="6"/>
        <v>0.5028139115</v>
      </c>
      <c r="Q373" s="160">
        <f t="shared" si="7"/>
        <v>0.2709928769</v>
      </c>
      <c r="R373" s="161">
        <f>SUM(R355:R372)</f>
        <v>2125.69</v>
      </c>
      <c r="S373" s="162">
        <f t="shared" si="9"/>
        <v>77.16526316</v>
      </c>
      <c r="T373" s="399">
        <f t="shared" ref="T373:U373" si="140">IFERROR((D373-D69)/D373,)</f>
        <v>-1.600019891</v>
      </c>
      <c r="U373" s="399">
        <f t="shared" si="140"/>
        <v>-1.685714286</v>
      </c>
      <c r="V373" s="398" t="str">
        <f t="shared" ref="V373:W373" si="141">IFERROR((D373-monthly_reporting_2021!D164)/D373, )</f>
        <v/>
      </c>
      <c r="W373" s="398" t="str">
        <f t="shared" si="141"/>
        <v/>
      </c>
      <c r="X373" s="165"/>
      <c r="Y373" s="165"/>
      <c r="Z373" s="165"/>
    </row>
    <row r="374" hidden="1" outlineLevel="1">
      <c r="A374" s="165"/>
      <c r="B374" s="99">
        <v>45844.0</v>
      </c>
      <c r="C374" s="100" t="s">
        <v>32</v>
      </c>
      <c r="D374" s="101">
        <v>9831.92</v>
      </c>
      <c r="E374" s="103">
        <v>38.0</v>
      </c>
      <c r="F374" s="103">
        <v>31.0</v>
      </c>
      <c r="G374" s="104">
        <f t="shared" si="1"/>
        <v>1.225806452</v>
      </c>
      <c r="H374" s="105">
        <f t="shared" si="2"/>
        <v>258.7347368</v>
      </c>
      <c r="I374" s="106">
        <f t="shared" si="3"/>
        <v>211.0730748</v>
      </c>
      <c r="J374" s="107">
        <v>1142.43</v>
      </c>
      <c r="K374" s="103">
        <v>169243.0</v>
      </c>
      <c r="L374" s="103">
        <v>14.0</v>
      </c>
      <c r="M374" s="108">
        <v>2788.32</v>
      </c>
      <c r="N374" s="109">
        <f t="shared" si="136"/>
        <v>0.4097198313</v>
      </c>
      <c r="O374" s="110">
        <f t="shared" si="5"/>
        <v>2.440692209</v>
      </c>
      <c r="P374" s="109">
        <f t="shared" si="6"/>
        <v>0.1161960228</v>
      </c>
      <c r="Q374" s="111">
        <f t="shared" si="7"/>
        <v>0.2835987274</v>
      </c>
      <c r="R374" s="112">
        <f t="shared" ref="R374:R391" si="142">D374-M374</f>
        <v>7043.6</v>
      </c>
      <c r="S374" s="113">
        <f t="shared" si="9"/>
        <v>81.60214286</v>
      </c>
      <c r="T374" s="172"/>
      <c r="U374" s="172"/>
      <c r="V374" s="172"/>
      <c r="W374" s="172"/>
      <c r="X374" s="173"/>
      <c r="Y374" s="165"/>
      <c r="Z374" s="165"/>
    </row>
    <row r="375" hidden="1" outlineLevel="1">
      <c r="A375" s="165"/>
      <c r="B375" s="174"/>
      <c r="C375" s="100" t="s">
        <v>33</v>
      </c>
      <c r="D375" s="117">
        <v>25321.66</v>
      </c>
      <c r="E375" s="103">
        <v>89.0</v>
      </c>
      <c r="F375" s="103">
        <v>108.0</v>
      </c>
      <c r="G375" s="104">
        <f t="shared" si="1"/>
        <v>0.8240740741</v>
      </c>
      <c r="H375" s="105">
        <f t="shared" si="2"/>
        <v>284.5130337</v>
      </c>
      <c r="I375" s="106">
        <f t="shared" si="3"/>
        <v>345.2517712</v>
      </c>
      <c r="J375" s="117">
        <v>492.35</v>
      </c>
      <c r="K375" s="103">
        <v>115863.0</v>
      </c>
      <c r="L375" s="103">
        <v>25.0</v>
      </c>
      <c r="M375" s="118">
        <v>4232.9</v>
      </c>
      <c r="N375" s="109">
        <f t="shared" si="136"/>
        <v>0.1163150559</v>
      </c>
      <c r="O375" s="110">
        <f t="shared" si="5"/>
        <v>8.597339291</v>
      </c>
      <c r="P375" s="109">
        <f t="shared" si="6"/>
        <v>0.01944382793</v>
      </c>
      <c r="Q375" s="111">
        <f t="shared" si="7"/>
        <v>0.1671651859</v>
      </c>
      <c r="R375" s="119">
        <f t="shared" si="142"/>
        <v>21088.76</v>
      </c>
      <c r="S375" s="113">
        <f t="shared" si="9"/>
        <v>19.694</v>
      </c>
      <c r="T375" s="172"/>
      <c r="U375" s="172"/>
      <c r="V375" s="172"/>
      <c r="W375" s="172"/>
      <c r="X375" s="173"/>
      <c r="Y375" s="165"/>
      <c r="Z375" s="165"/>
    </row>
    <row r="376" hidden="1" outlineLevel="1">
      <c r="A376" s="165"/>
      <c r="B376" s="174"/>
      <c r="C376" s="100" t="s">
        <v>34</v>
      </c>
      <c r="D376" s="120">
        <v>0.0</v>
      </c>
      <c r="E376" s="103">
        <v>0.0</v>
      </c>
      <c r="F376" s="103">
        <v>0.0</v>
      </c>
      <c r="G376" s="104" t="str">
        <f t="shared" si="1"/>
        <v>#DIV/0!</v>
      </c>
      <c r="H376" s="105" t="str">
        <f t="shared" si="2"/>
        <v>#DIV/0!</v>
      </c>
      <c r="I376" s="106" t="str">
        <f t="shared" si="3"/>
        <v>#DIV/0!</v>
      </c>
      <c r="J376" s="120">
        <v>0.0</v>
      </c>
      <c r="K376" s="103">
        <v>0.0</v>
      </c>
      <c r="L376" s="103">
        <v>0.0</v>
      </c>
      <c r="M376" s="121">
        <v>0.0</v>
      </c>
      <c r="N376" s="109" t="str">
        <f>(J376/M376)</f>
        <v>#DIV/0!</v>
      </c>
      <c r="O376" s="110" t="str">
        <f t="shared" si="5"/>
        <v>#DIV/0!</v>
      </c>
      <c r="P376" s="109" t="str">
        <f t="shared" si="6"/>
        <v>#DIV/0!</v>
      </c>
      <c r="Q376" s="111" t="str">
        <f t="shared" si="7"/>
        <v>#DIV/0!</v>
      </c>
      <c r="R376" s="122">
        <f t="shared" si="142"/>
        <v>0</v>
      </c>
      <c r="S376" s="113" t="str">
        <f t="shared" si="9"/>
        <v>#DIV/0!</v>
      </c>
      <c r="T376" s="172"/>
      <c r="U376" s="172"/>
      <c r="V376" s="172"/>
      <c r="W376" s="172"/>
      <c r="X376" s="173"/>
      <c r="Y376" s="165"/>
      <c r="Z376" s="165"/>
    </row>
    <row r="377" hidden="1" outlineLevel="1">
      <c r="A377" s="165"/>
      <c r="B377" s="174"/>
      <c r="C377" s="100" t="s">
        <v>35</v>
      </c>
      <c r="D377" s="120">
        <v>0.0</v>
      </c>
      <c r="E377" s="103">
        <v>0.0</v>
      </c>
      <c r="F377" s="103">
        <v>0.0</v>
      </c>
      <c r="G377" s="104" t="str">
        <f t="shared" si="1"/>
        <v>#DIV/0!</v>
      </c>
      <c r="H377" s="105" t="str">
        <f t="shared" si="2"/>
        <v>#DIV/0!</v>
      </c>
      <c r="I377" s="106" t="str">
        <f t="shared" si="3"/>
        <v>#DIV/0!</v>
      </c>
      <c r="J377" s="120">
        <v>32.5</v>
      </c>
      <c r="K377" s="103">
        <v>2713.0</v>
      </c>
      <c r="L377" s="103">
        <v>0.0</v>
      </c>
      <c r="M377" s="121">
        <v>0.0</v>
      </c>
      <c r="N377" s="109" t="str">
        <f t="shared" ref="N377:N394" si="143">J377/M377</f>
        <v>#DIV/0!</v>
      </c>
      <c r="O377" s="110">
        <f t="shared" si="5"/>
        <v>0</v>
      </c>
      <c r="P377" s="109" t="str">
        <f t="shared" si="6"/>
        <v>#DIV/0!</v>
      </c>
      <c r="Q377" s="111" t="str">
        <f t="shared" si="7"/>
        <v>#DIV/0!</v>
      </c>
      <c r="R377" s="122">
        <f t="shared" si="142"/>
        <v>0</v>
      </c>
      <c r="S377" s="113" t="str">
        <f t="shared" si="9"/>
        <v>#DIV/0!</v>
      </c>
      <c r="T377" s="172"/>
      <c r="U377" s="172"/>
      <c r="V377" s="172"/>
      <c r="W377" s="172"/>
      <c r="X377" s="173"/>
      <c r="Y377" s="165"/>
      <c r="Z377" s="165"/>
    </row>
    <row r="378" hidden="1" outlineLevel="1">
      <c r="A378" s="165"/>
      <c r="B378" s="174"/>
      <c r="C378" s="100" t="s">
        <v>65</v>
      </c>
      <c r="D378" s="300">
        <v>0.0</v>
      </c>
      <c r="E378" s="103">
        <v>0.0</v>
      </c>
      <c r="F378" s="103">
        <v>0.0</v>
      </c>
      <c r="G378" s="104" t="str">
        <f t="shared" si="1"/>
        <v>#DIV/0!</v>
      </c>
      <c r="H378" s="105" t="str">
        <f t="shared" si="2"/>
        <v>#DIV/0!</v>
      </c>
      <c r="I378" s="106" t="str">
        <f t="shared" si="3"/>
        <v>#DIV/0!</v>
      </c>
      <c r="J378" s="300">
        <v>0.0</v>
      </c>
      <c r="K378" s="103">
        <v>0.0</v>
      </c>
      <c r="L378" s="103">
        <v>0.0</v>
      </c>
      <c r="M378" s="300">
        <v>0.0</v>
      </c>
      <c r="N378" s="109" t="str">
        <f t="shared" si="143"/>
        <v>#DIV/0!</v>
      </c>
      <c r="O378" s="110" t="str">
        <f t="shared" si="5"/>
        <v>#DIV/0!</v>
      </c>
      <c r="P378" s="109" t="str">
        <f t="shared" si="6"/>
        <v>#DIV/0!</v>
      </c>
      <c r="Q378" s="111" t="str">
        <f t="shared" si="7"/>
        <v>#DIV/0!</v>
      </c>
      <c r="R378" s="122">
        <f t="shared" si="142"/>
        <v>0</v>
      </c>
      <c r="S378" s="113" t="str">
        <f t="shared" si="9"/>
        <v>#DIV/0!</v>
      </c>
      <c r="T378" s="172"/>
      <c r="U378" s="172"/>
      <c r="V378" s="172"/>
      <c r="W378" s="172"/>
      <c r="X378" s="173"/>
      <c r="Y378" s="165"/>
      <c r="Z378" s="165"/>
    </row>
    <row r="379" hidden="1" outlineLevel="1">
      <c r="A379" s="165"/>
      <c r="B379" s="174"/>
      <c r="C379" s="100" t="s">
        <v>85</v>
      </c>
      <c r="D379" s="302">
        <v>0.0</v>
      </c>
      <c r="E379" s="103">
        <v>0.0</v>
      </c>
      <c r="F379" s="103">
        <v>0.0</v>
      </c>
      <c r="G379" s="104" t="str">
        <f t="shared" si="1"/>
        <v>#DIV/0!</v>
      </c>
      <c r="H379" s="105" t="str">
        <f t="shared" si="2"/>
        <v>#DIV/0!</v>
      </c>
      <c r="I379" s="106" t="str">
        <f t="shared" si="3"/>
        <v>#DIV/0!</v>
      </c>
      <c r="J379" s="302">
        <v>60.26</v>
      </c>
      <c r="K379" s="103">
        <v>13829.0</v>
      </c>
      <c r="L379" s="103">
        <v>1.0</v>
      </c>
      <c r="M379" s="303">
        <v>59.95</v>
      </c>
      <c r="N379" s="109">
        <f t="shared" si="143"/>
        <v>1.005170976</v>
      </c>
      <c r="O379" s="110">
        <f t="shared" si="5"/>
        <v>0.9948556256</v>
      </c>
      <c r="P379" s="109" t="str">
        <f t="shared" si="6"/>
        <v>#DIV/0!</v>
      </c>
      <c r="Q379" s="111" t="str">
        <f t="shared" si="7"/>
        <v>#DIV/0!</v>
      </c>
      <c r="R379" s="304">
        <f t="shared" si="142"/>
        <v>-59.95</v>
      </c>
      <c r="S379" s="113">
        <f t="shared" si="9"/>
        <v>60.26</v>
      </c>
      <c r="T379" s="172"/>
      <c r="U379" s="172"/>
      <c r="V379" s="172"/>
      <c r="W379" s="172"/>
      <c r="X379" s="173"/>
      <c r="Y379" s="165"/>
      <c r="Z379" s="165"/>
    </row>
    <row r="380" hidden="1" outlineLevel="1">
      <c r="A380" s="165"/>
      <c r="B380" s="174"/>
      <c r="C380" s="100" t="s">
        <v>36</v>
      </c>
      <c r="D380" s="120">
        <v>359.7</v>
      </c>
      <c r="E380" s="103">
        <v>6.0</v>
      </c>
      <c r="F380" s="103">
        <v>6.0</v>
      </c>
      <c r="G380" s="104">
        <f t="shared" si="1"/>
        <v>1</v>
      </c>
      <c r="H380" s="105">
        <f t="shared" si="2"/>
        <v>59.95</v>
      </c>
      <c r="I380" s="106">
        <f t="shared" si="3"/>
        <v>59.95</v>
      </c>
      <c r="J380" s="120">
        <v>21.25</v>
      </c>
      <c r="K380" s="103">
        <v>1922.0</v>
      </c>
      <c r="L380" s="103">
        <v>2.0</v>
      </c>
      <c r="M380" s="121">
        <v>119.9</v>
      </c>
      <c r="N380" s="109">
        <f t="shared" si="143"/>
        <v>0.1772310259</v>
      </c>
      <c r="O380" s="110">
        <f t="shared" si="5"/>
        <v>5.642352941</v>
      </c>
      <c r="P380" s="109">
        <f t="shared" si="6"/>
        <v>0.05907700862</v>
      </c>
      <c r="Q380" s="111">
        <f t="shared" si="7"/>
        <v>0.3333333333</v>
      </c>
      <c r="R380" s="122">
        <f t="shared" si="142"/>
        <v>239.8</v>
      </c>
      <c r="S380" s="113">
        <f t="shared" si="9"/>
        <v>10.625</v>
      </c>
      <c r="T380" s="172"/>
      <c r="U380" s="172"/>
      <c r="V380" s="172"/>
      <c r="W380" s="172"/>
      <c r="X380" s="173"/>
      <c r="Y380" s="165"/>
      <c r="Z380" s="165"/>
    </row>
    <row r="381" hidden="1" outlineLevel="1">
      <c r="A381" s="165"/>
      <c r="B381" s="99" t="s">
        <v>37</v>
      </c>
      <c r="C381" s="100" t="s">
        <v>38</v>
      </c>
      <c r="D381" s="123">
        <v>111.84</v>
      </c>
      <c r="E381" s="103">
        <v>4.0</v>
      </c>
      <c r="F381" s="103">
        <v>3.0</v>
      </c>
      <c r="G381" s="104">
        <f t="shared" si="1"/>
        <v>1.333333333</v>
      </c>
      <c r="H381" s="105">
        <f t="shared" si="2"/>
        <v>27.96</v>
      </c>
      <c r="I381" s="106">
        <f t="shared" si="3"/>
        <v>20.97</v>
      </c>
      <c r="J381" s="123">
        <v>65.09</v>
      </c>
      <c r="K381" s="103">
        <v>16921.0</v>
      </c>
      <c r="L381" s="103">
        <v>1.0</v>
      </c>
      <c r="M381" s="124">
        <v>27.96</v>
      </c>
      <c r="N381" s="109">
        <f t="shared" si="143"/>
        <v>2.327968526</v>
      </c>
      <c r="O381" s="110">
        <f t="shared" si="5"/>
        <v>0.4295590721</v>
      </c>
      <c r="P381" s="109">
        <f t="shared" si="6"/>
        <v>0.5819921316</v>
      </c>
      <c r="Q381" s="111">
        <f t="shared" si="7"/>
        <v>0.25</v>
      </c>
      <c r="R381" s="125">
        <f t="shared" si="142"/>
        <v>83.88</v>
      </c>
      <c r="S381" s="113">
        <f t="shared" si="9"/>
        <v>65.09</v>
      </c>
      <c r="T381" s="172"/>
      <c r="U381" s="172"/>
      <c r="V381" s="172"/>
      <c r="W381" s="172"/>
      <c r="X381" s="173"/>
      <c r="Y381" s="165"/>
      <c r="Z381" s="165"/>
    </row>
    <row r="382" hidden="1" outlineLevel="1">
      <c r="A382" s="165"/>
      <c r="B382" s="174"/>
      <c r="C382" s="100" t="s">
        <v>39</v>
      </c>
      <c r="D382" s="126">
        <v>-319.98</v>
      </c>
      <c r="E382" s="103">
        <v>-2.0</v>
      </c>
      <c r="F382" s="103">
        <v>0.0</v>
      </c>
      <c r="G382" s="104" t="str">
        <f t="shared" si="1"/>
        <v>#DIV/0!</v>
      </c>
      <c r="H382" s="105">
        <f t="shared" si="2"/>
        <v>159.99</v>
      </c>
      <c r="I382" s="106" t="str">
        <f t="shared" si="3"/>
        <v>#DIV/0!</v>
      </c>
      <c r="J382" s="126">
        <v>0.0</v>
      </c>
      <c r="K382" s="103">
        <v>0.0</v>
      </c>
      <c r="L382" s="103">
        <v>0.0</v>
      </c>
      <c r="M382" s="127">
        <v>0.0</v>
      </c>
      <c r="N382" s="109" t="str">
        <f t="shared" si="143"/>
        <v>#DIV/0!</v>
      </c>
      <c r="O382" s="110" t="str">
        <f t="shared" si="5"/>
        <v>#DIV/0!</v>
      </c>
      <c r="P382" s="109">
        <f t="shared" si="6"/>
        <v>0</v>
      </c>
      <c r="Q382" s="111">
        <f t="shared" si="7"/>
        <v>0</v>
      </c>
      <c r="R382" s="128">
        <f t="shared" si="142"/>
        <v>-319.98</v>
      </c>
      <c r="S382" s="113" t="str">
        <f t="shared" si="9"/>
        <v>#DIV/0!</v>
      </c>
      <c r="T382" s="172"/>
      <c r="U382" s="172"/>
      <c r="V382" s="172"/>
      <c r="W382" s="172"/>
      <c r="X382" s="173"/>
      <c r="Y382" s="165"/>
      <c r="Z382" s="165"/>
    </row>
    <row r="383" hidden="1" outlineLevel="1">
      <c r="A383" s="165"/>
      <c r="B383" s="174"/>
      <c r="C383" s="100" t="s">
        <v>40</v>
      </c>
      <c r="D383" s="129">
        <v>604.45</v>
      </c>
      <c r="E383" s="103">
        <v>11.0</v>
      </c>
      <c r="F383" s="103">
        <v>4.0</v>
      </c>
      <c r="G383" s="104">
        <f t="shared" si="1"/>
        <v>2.75</v>
      </c>
      <c r="H383" s="105">
        <f t="shared" si="2"/>
        <v>54.95</v>
      </c>
      <c r="I383" s="106">
        <f t="shared" si="3"/>
        <v>19.98181818</v>
      </c>
      <c r="J383" s="129">
        <v>0.0</v>
      </c>
      <c r="K383" s="103">
        <v>0.0</v>
      </c>
      <c r="L383" s="103">
        <v>0.0</v>
      </c>
      <c r="M383" s="130">
        <v>0.0</v>
      </c>
      <c r="N383" s="109" t="str">
        <f t="shared" si="143"/>
        <v>#DIV/0!</v>
      </c>
      <c r="O383" s="110" t="str">
        <f t="shared" si="5"/>
        <v>#DIV/0!</v>
      </c>
      <c r="P383" s="109">
        <f t="shared" si="6"/>
        <v>0</v>
      </c>
      <c r="Q383" s="111">
        <f t="shared" si="7"/>
        <v>0</v>
      </c>
      <c r="R383" s="131">
        <f t="shared" si="142"/>
        <v>604.45</v>
      </c>
      <c r="S383" s="113" t="str">
        <f t="shared" si="9"/>
        <v>#DIV/0!</v>
      </c>
      <c r="T383" s="172"/>
      <c r="U383" s="172"/>
      <c r="V383" s="172"/>
      <c r="W383" s="172"/>
      <c r="X383" s="173"/>
      <c r="Y383" s="165"/>
      <c r="Z383" s="165"/>
    </row>
    <row r="384" hidden="1" outlineLevel="1">
      <c r="A384" s="165"/>
      <c r="B384" s="174"/>
      <c r="C384" s="100" t="s">
        <v>41</v>
      </c>
      <c r="D384" s="132">
        <v>-52.71</v>
      </c>
      <c r="E384" s="103">
        <v>1.0</v>
      </c>
      <c r="F384" s="103">
        <v>3.0</v>
      </c>
      <c r="G384" s="104">
        <f t="shared" si="1"/>
        <v>0.3333333333</v>
      </c>
      <c r="H384" s="105">
        <f t="shared" si="2"/>
        <v>-52.71</v>
      </c>
      <c r="I384" s="106">
        <f t="shared" si="3"/>
        <v>-158.13</v>
      </c>
      <c r="J384" s="132">
        <v>38.06</v>
      </c>
      <c r="K384" s="103">
        <v>8821.0</v>
      </c>
      <c r="L384" s="103">
        <v>1.0</v>
      </c>
      <c r="M384" s="133">
        <v>149.0</v>
      </c>
      <c r="N384" s="109">
        <f t="shared" si="143"/>
        <v>0.2554362416</v>
      </c>
      <c r="O384" s="110">
        <f t="shared" si="5"/>
        <v>3.914871256</v>
      </c>
      <c r="P384" s="109">
        <f t="shared" si="6"/>
        <v>-0.7220641245</v>
      </c>
      <c r="Q384" s="111">
        <f t="shared" si="7"/>
        <v>-2.826788086</v>
      </c>
      <c r="R384" s="134">
        <f t="shared" si="142"/>
        <v>-201.71</v>
      </c>
      <c r="S384" s="113">
        <f t="shared" si="9"/>
        <v>38.06</v>
      </c>
      <c r="T384" s="172"/>
      <c r="U384" s="172"/>
      <c r="V384" s="172"/>
      <c r="W384" s="172"/>
      <c r="X384" s="173"/>
      <c r="Y384" s="165"/>
      <c r="Z384" s="165"/>
    </row>
    <row r="385" hidden="1" outlineLevel="1">
      <c r="A385" s="165"/>
      <c r="B385" s="174"/>
      <c r="C385" s="100" t="s">
        <v>42</v>
      </c>
      <c r="D385" s="120">
        <v>19.99</v>
      </c>
      <c r="E385" s="103">
        <v>1.0</v>
      </c>
      <c r="F385" s="103">
        <v>1.0</v>
      </c>
      <c r="G385" s="104">
        <f t="shared" si="1"/>
        <v>1</v>
      </c>
      <c r="H385" s="105">
        <f t="shared" si="2"/>
        <v>19.99</v>
      </c>
      <c r="I385" s="106">
        <f t="shared" si="3"/>
        <v>19.99</v>
      </c>
      <c r="J385" s="120">
        <v>10.88</v>
      </c>
      <c r="K385" s="103">
        <v>21244.0</v>
      </c>
      <c r="L385" s="103">
        <v>0.0</v>
      </c>
      <c r="M385" s="121">
        <v>0.0</v>
      </c>
      <c r="N385" s="109" t="str">
        <f t="shared" si="143"/>
        <v>#DIV/0!</v>
      </c>
      <c r="O385" s="110">
        <f t="shared" si="5"/>
        <v>0</v>
      </c>
      <c r="P385" s="109">
        <f t="shared" si="6"/>
        <v>0.5442721361</v>
      </c>
      <c r="Q385" s="111">
        <f t="shared" si="7"/>
        <v>0</v>
      </c>
      <c r="R385" s="122">
        <f t="shared" si="142"/>
        <v>19.99</v>
      </c>
      <c r="S385" s="113" t="str">
        <f t="shared" si="9"/>
        <v>#DIV/0!</v>
      </c>
      <c r="T385" s="172"/>
      <c r="U385" s="172"/>
      <c r="V385" s="172"/>
      <c r="W385" s="172"/>
      <c r="X385" s="173"/>
      <c r="Y385" s="165"/>
      <c r="Z385" s="165"/>
    </row>
    <row r="386" hidden="1" outlineLevel="1">
      <c r="A386" s="165"/>
      <c r="B386" s="174"/>
      <c r="C386" s="100" t="s">
        <v>43</v>
      </c>
      <c r="D386" s="135">
        <v>439.39</v>
      </c>
      <c r="E386" s="103">
        <v>5.0</v>
      </c>
      <c r="F386" s="103">
        <v>5.0</v>
      </c>
      <c r="G386" s="104">
        <f t="shared" si="1"/>
        <v>1</v>
      </c>
      <c r="H386" s="105">
        <f t="shared" si="2"/>
        <v>87.878</v>
      </c>
      <c r="I386" s="106">
        <f t="shared" si="3"/>
        <v>87.878</v>
      </c>
      <c r="J386" s="135">
        <v>80.58</v>
      </c>
      <c r="K386" s="103">
        <v>23771.0</v>
      </c>
      <c r="L386" s="103">
        <v>2.0</v>
      </c>
      <c r="M386" s="136">
        <v>172.76</v>
      </c>
      <c r="N386" s="109">
        <f t="shared" si="143"/>
        <v>0.4664274138</v>
      </c>
      <c r="O386" s="110">
        <f t="shared" si="5"/>
        <v>2.143956317</v>
      </c>
      <c r="P386" s="109">
        <f t="shared" si="6"/>
        <v>0.1833906097</v>
      </c>
      <c r="Q386" s="111">
        <f t="shared" si="7"/>
        <v>0.3931814561</v>
      </c>
      <c r="R386" s="137">
        <f t="shared" si="142"/>
        <v>266.63</v>
      </c>
      <c r="S386" s="113">
        <f t="shared" si="9"/>
        <v>40.29</v>
      </c>
      <c r="T386" s="172"/>
      <c r="U386" s="172"/>
      <c r="V386" s="172"/>
      <c r="W386" s="172"/>
      <c r="X386" s="173"/>
      <c r="Y386" s="165"/>
      <c r="Z386" s="165"/>
    </row>
    <row r="387" hidden="1" outlineLevel="1">
      <c r="A387" s="165"/>
      <c r="B387" s="174"/>
      <c r="C387" s="100" t="s">
        <v>44</v>
      </c>
      <c r="D387" s="138">
        <v>44.95</v>
      </c>
      <c r="E387" s="103">
        <v>1.0</v>
      </c>
      <c r="F387" s="103">
        <v>1.0</v>
      </c>
      <c r="G387" s="104">
        <f t="shared" si="1"/>
        <v>1</v>
      </c>
      <c r="H387" s="105">
        <f t="shared" si="2"/>
        <v>44.95</v>
      </c>
      <c r="I387" s="106">
        <f t="shared" si="3"/>
        <v>44.95</v>
      </c>
      <c r="J387" s="138">
        <v>27.45</v>
      </c>
      <c r="K387" s="103">
        <v>13588.0</v>
      </c>
      <c r="L387" s="103">
        <v>0.0</v>
      </c>
      <c r="M387" s="139">
        <v>0.0</v>
      </c>
      <c r="N387" s="109" t="str">
        <f t="shared" si="143"/>
        <v>#DIV/0!</v>
      </c>
      <c r="O387" s="110">
        <f t="shared" si="5"/>
        <v>0</v>
      </c>
      <c r="P387" s="109">
        <f t="shared" si="6"/>
        <v>0.6106785317</v>
      </c>
      <c r="Q387" s="111">
        <f t="shared" si="7"/>
        <v>0</v>
      </c>
      <c r="R387" s="140">
        <f t="shared" si="142"/>
        <v>44.95</v>
      </c>
      <c r="S387" s="113" t="str">
        <f t="shared" si="9"/>
        <v>#DIV/0!</v>
      </c>
      <c r="T387" s="172"/>
      <c r="U387" s="172"/>
      <c r="V387" s="172"/>
      <c r="W387" s="172"/>
      <c r="X387" s="173"/>
      <c r="Y387" s="165"/>
      <c r="Z387" s="165"/>
    </row>
    <row r="388" hidden="1" outlineLevel="1">
      <c r="A388" s="192"/>
      <c r="B388" s="174"/>
      <c r="C388" s="142" t="s">
        <v>45</v>
      </c>
      <c r="D388" s="101">
        <v>39.9</v>
      </c>
      <c r="E388" s="103">
        <v>2.0</v>
      </c>
      <c r="F388" s="103">
        <v>1.0</v>
      </c>
      <c r="G388" s="104">
        <f t="shared" si="1"/>
        <v>2</v>
      </c>
      <c r="H388" s="105">
        <f t="shared" si="2"/>
        <v>19.95</v>
      </c>
      <c r="I388" s="106">
        <f t="shared" si="3"/>
        <v>9.975</v>
      </c>
      <c r="J388" s="101">
        <v>0.0</v>
      </c>
      <c r="K388" s="103">
        <v>0.0</v>
      </c>
      <c r="L388" s="103">
        <v>0.0</v>
      </c>
      <c r="M388" s="108">
        <v>0.0</v>
      </c>
      <c r="N388" s="109" t="str">
        <f t="shared" si="143"/>
        <v>#DIV/0!</v>
      </c>
      <c r="O388" s="110" t="str">
        <f t="shared" si="5"/>
        <v>#DIV/0!</v>
      </c>
      <c r="P388" s="109">
        <f t="shared" si="6"/>
        <v>0</v>
      </c>
      <c r="Q388" s="111">
        <f t="shared" si="7"/>
        <v>0</v>
      </c>
      <c r="R388" s="112">
        <f t="shared" si="142"/>
        <v>39.9</v>
      </c>
      <c r="S388" s="113" t="str">
        <f t="shared" si="9"/>
        <v>#DIV/0!</v>
      </c>
      <c r="T388" s="193"/>
      <c r="U388" s="193"/>
      <c r="V388" s="193"/>
      <c r="W388" s="194"/>
      <c r="X388" s="195"/>
      <c r="Y388" s="165"/>
      <c r="Z388" s="165"/>
    </row>
    <row r="389" hidden="1" outlineLevel="1">
      <c r="A389" s="165"/>
      <c r="B389" s="174"/>
      <c r="C389" s="100" t="s">
        <v>46</v>
      </c>
      <c r="D389" s="146">
        <v>812.09</v>
      </c>
      <c r="E389" s="103">
        <v>21.0</v>
      </c>
      <c r="F389" s="103">
        <v>22.0</v>
      </c>
      <c r="G389" s="104">
        <f t="shared" si="1"/>
        <v>0.9545454545</v>
      </c>
      <c r="H389" s="105">
        <f t="shared" si="2"/>
        <v>38.67095238</v>
      </c>
      <c r="I389" s="106">
        <f t="shared" si="3"/>
        <v>40.5124263</v>
      </c>
      <c r="J389" s="146">
        <v>132.96</v>
      </c>
      <c r="K389" s="103">
        <v>28360.0</v>
      </c>
      <c r="L389" s="103">
        <v>12.0</v>
      </c>
      <c r="M389" s="147">
        <v>305.66</v>
      </c>
      <c r="N389" s="109">
        <f t="shared" si="143"/>
        <v>0.4349931296</v>
      </c>
      <c r="O389" s="110">
        <f t="shared" si="5"/>
        <v>2.298886883</v>
      </c>
      <c r="P389" s="109">
        <f t="shared" si="6"/>
        <v>0.1637256954</v>
      </c>
      <c r="Q389" s="111">
        <f t="shared" si="7"/>
        <v>0.3763868537</v>
      </c>
      <c r="R389" s="112">
        <f t="shared" si="142"/>
        <v>506.43</v>
      </c>
      <c r="S389" s="113">
        <f t="shared" si="9"/>
        <v>11.08</v>
      </c>
      <c r="T389" s="172"/>
      <c r="U389" s="172"/>
      <c r="V389" s="172"/>
      <c r="W389" s="172"/>
      <c r="X389" s="173"/>
      <c r="Y389" s="165"/>
      <c r="Z389" s="165"/>
    </row>
    <row r="390" hidden="1" outlineLevel="1">
      <c r="A390" s="165"/>
      <c r="B390" s="174"/>
      <c r="C390" s="100" t="s">
        <v>49</v>
      </c>
      <c r="D390" s="146">
        <v>0.0</v>
      </c>
      <c r="E390" s="103">
        <v>0.0</v>
      </c>
      <c r="F390" s="103">
        <v>0.0</v>
      </c>
      <c r="G390" s="104" t="str">
        <f t="shared" si="1"/>
        <v>#DIV/0!</v>
      </c>
      <c r="H390" s="105" t="str">
        <f t="shared" si="2"/>
        <v>#DIV/0!</v>
      </c>
      <c r="I390" s="106" t="str">
        <f t="shared" si="3"/>
        <v>#DIV/0!</v>
      </c>
      <c r="J390" s="146">
        <v>1.79</v>
      </c>
      <c r="K390" s="103">
        <v>5729.0</v>
      </c>
      <c r="L390" s="103">
        <v>0.0</v>
      </c>
      <c r="M390" s="147">
        <v>0.0</v>
      </c>
      <c r="N390" s="109" t="str">
        <f t="shared" si="143"/>
        <v>#DIV/0!</v>
      </c>
      <c r="O390" s="110">
        <f t="shared" si="5"/>
        <v>0</v>
      </c>
      <c r="P390" s="109" t="str">
        <f t="shared" si="6"/>
        <v>#DIV/0!</v>
      </c>
      <c r="Q390" s="111" t="str">
        <f t="shared" si="7"/>
        <v>#DIV/0!</v>
      </c>
      <c r="R390" s="112">
        <f t="shared" si="142"/>
        <v>0</v>
      </c>
      <c r="S390" s="113" t="str">
        <f t="shared" si="9"/>
        <v>#DIV/0!</v>
      </c>
      <c r="T390" s="172"/>
      <c r="U390" s="172"/>
      <c r="V390" s="172"/>
      <c r="W390" s="172"/>
      <c r="X390" s="173"/>
      <c r="Y390" s="165"/>
      <c r="Z390" s="165"/>
    </row>
    <row r="391" hidden="1" outlineLevel="1">
      <c r="A391" s="148" t="str">
        <f t="shared" ref="A391:A392" si="144">iferror(if(B391&gt;0,month(B391)&amp;"-"&amp;year(B391),B391),)</f>
        <v>7-2025</v>
      </c>
      <c r="B391" s="99">
        <v>45850.0</v>
      </c>
      <c r="C391" s="277" t="s">
        <v>67</v>
      </c>
      <c r="D391" s="146">
        <v>0.0</v>
      </c>
      <c r="E391" s="103">
        <v>0.0</v>
      </c>
      <c r="F391" s="103">
        <v>0.0</v>
      </c>
      <c r="G391" s="104" t="str">
        <f t="shared" si="1"/>
        <v>#DIV/0!</v>
      </c>
      <c r="H391" s="105" t="str">
        <f t="shared" si="2"/>
        <v>#DIV/0!</v>
      </c>
      <c r="I391" s="106" t="str">
        <f t="shared" si="3"/>
        <v>#DIV/0!</v>
      </c>
      <c r="J391" s="117">
        <v>177.91000000000003</v>
      </c>
      <c r="K391" s="278">
        <v>47146.0</v>
      </c>
      <c r="L391" s="103">
        <v>0.0</v>
      </c>
      <c r="M391" s="118">
        <v>3299.4399999999996</v>
      </c>
      <c r="N391" s="109">
        <f t="shared" si="143"/>
        <v>0.05392127149</v>
      </c>
      <c r="O391" s="110">
        <f t="shared" si="5"/>
        <v>18.54555674</v>
      </c>
      <c r="P391" s="109" t="str">
        <f t="shared" si="6"/>
        <v>#DIV/0!</v>
      </c>
      <c r="Q391" s="111" t="str">
        <f t="shared" si="7"/>
        <v>#DIV/0!</v>
      </c>
      <c r="R391" s="112">
        <f t="shared" si="142"/>
        <v>-3299.44</v>
      </c>
      <c r="S391" s="113" t="str">
        <f t="shared" si="9"/>
        <v>#DIV/0!</v>
      </c>
      <c r="T391" s="172"/>
      <c r="U391" s="172"/>
      <c r="V391" s="172"/>
      <c r="W391" s="172"/>
      <c r="X391" s="173"/>
      <c r="Y391" s="165"/>
      <c r="Z391" s="165"/>
    </row>
    <row r="392" collapsed="1">
      <c r="A392" s="165" t="str">
        <f t="shared" si="144"/>
        <v/>
      </c>
      <c r="B392" s="80" t="s">
        <v>115</v>
      </c>
      <c r="C392" s="201"/>
      <c r="D392" s="151">
        <f t="shared" ref="D392:F392" si="145">SUM(D374:D391)</f>
        <v>37213.2</v>
      </c>
      <c r="E392" s="153">
        <f t="shared" si="145"/>
        <v>177</v>
      </c>
      <c r="F392" s="153">
        <f t="shared" si="145"/>
        <v>185</v>
      </c>
      <c r="G392" s="154">
        <f t="shared" si="1"/>
        <v>0.9567567568</v>
      </c>
      <c r="H392" s="155">
        <f t="shared" si="2"/>
        <v>210.2440678</v>
      </c>
      <c r="I392" s="156">
        <f t="shared" si="3"/>
        <v>219.7466245</v>
      </c>
      <c r="J392" s="151">
        <f t="shared" ref="J392:M392" si="146">SUM(J374:J391)</f>
        <v>2283.51</v>
      </c>
      <c r="K392" s="153">
        <f t="shared" si="146"/>
        <v>469150</v>
      </c>
      <c r="L392" s="153">
        <f t="shared" si="146"/>
        <v>58</v>
      </c>
      <c r="M392" s="157">
        <f t="shared" si="146"/>
        <v>11155.89</v>
      </c>
      <c r="N392" s="158">
        <f t="shared" si="143"/>
        <v>0.2046909749</v>
      </c>
      <c r="O392" s="159">
        <f t="shared" si="5"/>
        <v>4.885413245</v>
      </c>
      <c r="P392" s="158">
        <f t="shared" si="6"/>
        <v>0.06136290349</v>
      </c>
      <c r="Q392" s="160">
        <f t="shared" si="7"/>
        <v>0.2997831415</v>
      </c>
      <c r="R392" s="161">
        <f>SUM(R374:R391)</f>
        <v>26057.31</v>
      </c>
      <c r="S392" s="162">
        <f t="shared" si="9"/>
        <v>39.37086207</v>
      </c>
      <c r="T392" s="163">
        <f t="shared" ref="T392:U392" si="147">IFERROR((D392-D69)/D392,)</f>
        <v>0.7962733654</v>
      </c>
      <c r="U392" s="163">
        <f t="shared" si="147"/>
        <v>0.4689265537</v>
      </c>
      <c r="V392" s="398" t="str">
        <f t="shared" ref="V392:W392" si="148">IFERROR((D392-monthly_reporting_2021!D183)/D392, )</f>
        <v/>
      </c>
      <c r="W392" s="398" t="str">
        <f t="shared" si="148"/>
        <v/>
      </c>
      <c r="X392" s="165"/>
      <c r="Y392" s="165"/>
      <c r="Z392" s="165"/>
    </row>
    <row r="393" hidden="1" outlineLevel="1">
      <c r="A393" s="165"/>
      <c r="B393" s="99">
        <v>45851.0</v>
      </c>
      <c r="C393" s="100" t="s">
        <v>32</v>
      </c>
      <c r="D393" s="101">
        <v>4845.86</v>
      </c>
      <c r="E393" s="103">
        <v>25.0</v>
      </c>
      <c r="F393" s="103">
        <v>26.0</v>
      </c>
      <c r="G393" s="104">
        <f t="shared" si="1"/>
        <v>0.9615384615</v>
      </c>
      <c r="H393" s="105">
        <f t="shared" si="2"/>
        <v>193.8344</v>
      </c>
      <c r="I393" s="106">
        <f t="shared" si="3"/>
        <v>201.587776</v>
      </c>
      <c r="J393" s="107">
        <v>841.16</v>
      </c>
      <c r="K393" s="103">
        <v>125708.0</v>
      </c>
      <c r="L393" s="103">
        <v>11.0</v>
      </c>
      <c r="M393" s="108">
        <v>3131.8</v>
      </c>
      <c r="N393" s="109">
        <f t="shared" si="143"/>
        <v>0.2685867552</v>
      </c>
      <c r="O393" s="110">
        <f t="shared" si="5"/>
        <v>3.723191783</v>
      </c>
      <c r="P393" s="109">
        <f t="shared" si="6"/>
        <v>0.1735832236</v>
      </c>
      <c r="Q393" s="111">
        <f t="shared" si="7"/>
        <v>0.6462836318</v>
      </c>
      <c r="R393" s="112">
        <f t="shared" ref="R393:R410" si="149">D393-M393</f>
        <v>1714.06</v>
      </c>
      <c r="S393" s="113">
        <f t="shared" si="9"/>
        <v>76.46909091</v>
      </c>
      <c r="T393" s="172"/>
      <c r="U393" s="172"/>
      <c r="V393" s="172"/>
      <c r="W393" s="172"/>
      <c r="X393" s="173"/>
      <c r="Y393" s="165"/>
      <c r="Z393" s="165"/>
    </row>
    <row r="394" hidden="1" outlineLevel="1">
      <c r="A394" s="165"/>
      <c r="B394" s="174"/>
      <c r="C394" s="100" t="s">
        <v>33</v>
      </c>
      <c r="D394" s="117">
        <v>8948.3</v>
      </c>
      <c r="E394" s="103">
        <v>74.0</v>
      </c>
      <c r="F394" s="103">
        <v>73.0</v>
      </c>
      <c r="G394" s="104">
        <f t="shared" si="1"/>
        <v>1.01369863</v>
      </c>
      <c r="H394" s="105">
        <f t="shared" si="2"/>
        <v>120.922973</v>
      </c>
      <c r="I394" s="106">
        <f t="shared" si="3"/>
        <v>119.2888787</v>
      </c>
      <c r="J394" s="117">
        <v>380.4</v>
      </c>
      <c r="K394" s="103">
        <v>182221.0</v>
      </c>
      <c r="L394" s="103">
        <v>16.0</v>
      </c>
      <c r="M394" s="118">
        <v>2186.55</v>
      </c>
      <c r="N394" s="109">
        <f t="shared" si="143"/>
        <v>0.1739726967</v>
      </c>
      <c r="O394" s="110">
        <f t="shared" si="5"/>
        <v>5.748028391</v>
      </c>
      <c r="P394" s="109">
        <f t="shared" si="6"/>
        <v>0.04251086799</v>
      </c>
      <c r="Q394" s="111">
        <f t="shared" si="7"/>
        <v>0.2443536761</v>
      </c>
      <c r="R394" s="119">
        <f t="shared" si="149"/>
        <v>6761.75</v>
      </c>
      <c r="S394" s="113">
        <f t="shared" si="9"/>
        <v>23.775</v>
      </c>
      <c r="T394" s="172"/>
      <c r="U394" s="172"/>
      <c r="V394" s="172"/>
      <c r="W394" s="172"/>
      <c r="X394" s="173"/>
      <c r="Y394" s="165"/>
      <c r="Z394" s="165"/>
    </row>
    <row r="395" hidden="1" outlineLevel="1">
      <c r="A395" s="165"/>
      <c r="B395" s="174"/>
      <c r="C395" s="100" t="s">
        <v>34</v>
      </c>
      <c r="D395" s="120">
        <v>139.9</v>
      </c>
      <c r="E395" s="103">
        <v>2.0</v>
      </c>
      <c r="F395" s="103">
        <v>2.0</v>
      </c>
      <c r="G395" s="104">
        <f t="shared" si="1"/>
        <v>1</v>
      </c>
      <c r="H395" s="105">
        <f t="shared" si="2"/>
        <v>69.95</v>
      </c>
      <c r="I395" s="106">
        <f t="shared" si="3"/>
        <v>69.95</v>
      </c>
      <c r="J395" s="120">
        <v>0.0</v>
      </c>
      <c r="K395" s="103">
        <v>0.0</v>
      </c>
      <c r="L395" s="103">
        <v>0.0</v>
      </c>
      <c r="M395" s="121">
        <v>0.0</v>
      </c>
      <c r="N395" s="109" t="str">
        <f>(J395/M395)</f>
        <v>#DIV/0!</v>
      </c>
      <c r="O395" s="110" t="str">
        <f t="shared" si="5"/>
        <v>#DIV/0!</v>
      </c>
      <c r="P395" s="109">
        <f t="shared" si="6"/>
        <v>0</v>
      </c>
      <c r="Q395" s="111">
        <f t="shared" si="7"/>
        <v>0</v>
      </c>
      <c r="R395" s="122">
        <f t="shared" si="149"/>
        <v>139.9</v>
      </c>
      <c r="S395" s="113" t="str">
        <f t="shared" si="9"/>
        <v>#DIV/0!</v>
      </c>
      <c r="T395" s="172"/>
      <c r="U395" s="172"/>
      <c r="V395" s="172"/>
      <c r="W395" s="172"/>
      <c r="X395" s="173"/>
      <c r="Y395" s="165"/>
      <c r="Z395" s="165"/>
    </row>
    <row r="396" hidden="1" outlineLevel="1">
      <c r="A396" s="165"/>
      <c r="B396" s="174"/>
      <c r="C396" s="100" t="s">
        <v>35</v>
      </c>
      <c r="D396" s="120">
        <v>239.8</v>
      </c>
      <c r="E396" s="103">
        <v>4.0</v>
      </c>
      <c r="F396" s="103">
        <v>4.0</v>
      </c>
      <c r="G396" s="104">
        <f t="shared" si="1"/>
        <v>1</v>
      </c>
      <c r="H396" s="105">
        <f t="shared" si="2"/>
        <v>59.95</v>
      </c>
      <c r="I396" s="106">
        <f t="shared" si="3"/>
        <v>59.95</v>
      </c>
      <c r="J396" s="120">
        <v>74.16</v>
      </c>
      <c r="K396" s="103">
        <v>7744.0</v>
      </c>
      <c r="L396" s="103">
        <v>2.0</v>
      </c>
      <c r="M396" s="121">
        <v>119.9</v>
      </c>
      <c r="N396" s="109">
        <f t="shared" ref="N396:N413" si="150">J396/M396</f>
        <v>0.6185154295</v>
      </c>
      <c r="O396" s="110">
        <f t="shared" si="5"/>
        <v>1.616774542</v>
      </c>
      <c r="P396" s="109">
        <f t="shared" si="6"/>
        <v>0.3092577148</v>
      </c>
      <c r="Q396" s="111">
        <f t="shared" si="7"/>
        <v>0.5</v>
      </c>
      <c r="R396" s="122">
        <f t="shared" si="149"/>
        <v>119.9</v>
      </c>
      <c r="S396" s="113">
        <f t="shared" si="9"/>
        <v>37.08</v>
      </c>
      <c r="T396" s="172"/>
      <c r="U396" s="172"/>
      <c r="V396" s="172"/>
      <c r="W396" s="172"/>
      <c r="X396" s="173"/>
      <c r="Y396" s="165"/>
      <c r="Z396" s="165"/>
    </row>
    <row r="397" hidden="1" outlineLevel="1">
      <c r="A397" s="165"/>
      <c r="B397" s="174"/>
      <c r="C397" s="100" t="s">
        <v>65</v>
      </c>
      <c r="D397" s="300">
        <v>0.0</v>
      </c>
      <c r="E397" s="103">
        <v>0.0</v>
      </c>
      <c r="F397" s="103">
        <v>0.0</v>
      </c>
      <c r="G397" s="104" t="str">
        <f t="shared" si="1"/>
        <v>#DIV/0!</v>
      </c>
      <c r="H397" s="105" t="str">
        <f t="shared" si="2"/>
        <v>#DIV/0!</v>
      </c>
      <c r="I397" s="106" t="str">
        <f t="shared" si="3"/>
        <v>#DIV/0!</v>
      </c>
      <c r="J397" s="300">
        <v>0.0</v>
      </c>
      <c r="K397" s="103">
        <v>0.0</v>
      </c>
      <c r="L397" s="103">
        <v>0.0</v>
      </c>
      <c r="M397" s="300">
        <v>0.0</v>
      </c>
      <c r="N397" s="109" t="str">
        <f t="shared" si="150"/>
        <v>#DIV/0!</v>
      </c>
      <c r="O397" s="110" t="str">
        <f t="shared" si="5"/>
        <v>#DIV/0!</v>
      </c>
      <c r="P397" s="109" t="str">
        <f t="shared" si="6"/>
        <v>#DIV/0!</v>
      </c>
      <c r="Q397" s="111" t="str">
        <f t="shared" si="7"/>
        <v>#DIV/0!</v>
      </c>
      <c r="R397" s="122">
        <f t="shared" si="149"/>
        <v>0</v>
      </c>
      <c r="S397" s="113" t="str">
        <f t="shared" si="9"/>
        <v>#DIV/0!</v>
      </c>
      <c r="T397" s="172"/>
      <c r="U397" s="172"/>
      <c r="V397" s="172"/>
      <c r="W397" s="172"/>
      <c r="X397" s="173"/>
      <c r="Y397" s="165"/>
      <c r="Z397" s="165"/>
    </row>
    <row r="398" hidden="1" outlineLevel="1">
      <c r="A398" s="165"/>
      <c r="B398" s="174"/>
      <c r="C398" s="100" t="s">
        <v>85</v>
      </c>
      <c r="D398" s="302">
        <v>0.0</v>
      </c>
      <c r="E398" s="103">
        <v>0.0</v>
      </c>
      <c r="F398" s="103">
        <v>0.0</v>
      </c>
      <c r="G398" s="104" t="str">
        <f t="shared" si="1"/>
        <v>#DIV/0!</v>
      </c>
      <c r="H398" s="105" t="str">
        <f t="shared" si="2"/>
        <v>#DIV/0!</v>
      </c>
      <c r="I398" s="106" t="str">
        <f t="shared" si="3"/>
        <v>#DIV/0!</v>
      </c>
      <c r="J398" s="302">
        <v>67.21</v>
      </c>
      <c r="K398" s="103">
        <v>7724.0</v>
      </c>
      <c r="L398" s="103">
        <v>1.0</v>
      </c>
      <c r="M398" s="303">
        <v>59.95</v>
      </c>
      <c r="N398" s="109">
        <f t="shared" si="150"/>
        <v>1.121100917</v>
      </c>
      <c r="O398" s="110">
        <f t="shared" si="5"/>
        <v>0.8919803601</v>
      </c>
      <c r="P398" s="109" t="str">
        <f t="shared" si="6"/>
        <v>#DIV/0!</v>
      </c>
      <c r="Q398" s="111" t="str">
        <f t="shared" si="7"/>
        <v>#DIV/0!</v>
      </c>
      <c r="R398" s="304">
        <f t="shared" si="149"/>
        <v>-59.95</v>
      </c>
      <c r="S398" s="113">
        <f t="shared" si="9"/>
        <v>67.21</v>
      </c>
      <c r="T398" s="172"/>
      <c r="U398" s="172"/>
      <c r="V398" s="172"/>
      <c r="W398" s="172"/>
      <c r="X398" s="173"/>
      <c r="Y398" s="165"/>
      <c r="Z398" s="165"/>
    </row>
    <row r="399" hidden="1" outlineLevel="1">
      <c r="A399" s="165"/>
      <c r="B399" s="174"/>
      <c r="C399" s="100" t="s">
        <v>36</v>
      </c>
      <c r="D399" s="120">
        <v>239.8</v>
      </c>
      <c r="E399" s="103">
        <v>4.0</v>
      </c>
      <c r="F399" s="103">
        <v>4.0</v>
      </c>
      <c r="G399" s="104">
        <f t="shared" si="1"/>
        <v>1</v>
      </c>
      <c r="H399" s="105">
        <f t="shared" si="2"/>
        <v>59.95</v>
      </c>
      <c r="I399" s="106">
        <f t="shared" si="3"/>
        <v>59.95</v>
      </c>
      <c r="J399" s="120">
        <v>9.28</v>
      </c>
      <c r="K399" s="103">
        <v>2048.0</v>
      </c>
      <c r="L399" s="103">
        <v>0.0</v>
      </c>
      <c r="M399" s="121">
        <v>0.0</v>
      </c>
      <c r="N399" s="109" t="str">
        <f t="shared" si="150"/>
        <v>#DIV/0!</v>
      </c>
      <c r="O399" s="110">
        <f t="shared" si="5"/>
        <v>0</v>
      </c>
      <c r="P399" s="109">
        <f t="shared" si="6"/>
        <v>0.03869891576</v>
      </c>
      <c r="Q399" s="111">
        <f t="shared" si="7"/>
        <v>0</v>
      </c>
      <c r="R399" s="122">
        <f t="shared" si="149"/>
        <v>239.8</v>
      </c>
      <c r="S399" s="113" t="str">
        <f t="shared" si="9"/>
        <v>#DIV/0!</v>
      </c>
      <c r="T399" s="172"/>
      <c r="U399" s="172"/>
      <c r="V399" s="172"/>
      <c r="W399" s="172"/>
      <c r="X399" s="173"/>
      <c r="Y399" s="165"/>
      <c r="Z399" s="165"/>
    </row>
    <row r="400" hidden="1" outlineLevel="1">
      <c r="A400" s="165"/>
      <c r="B400" s="99" t="s">
        <v>37</v>
      </c>
      <c r="C400" s="100" t="s">
        <v>38</v>
      </c>
      <c r="D400" s="123">
        <v>65.9</v>
      </c>
      <c r="E400" s="103">
        <v>3.0</v>
      </c>
      <c r="F400" s="103">
        <v>4.0</v>
      </c>
      <c r="G400" s="104">
        <f t="shared" si="1"/>
        <v>0.75</v>
      </c>
      <c r="H400" s="105">
        <f t="shared" si="2"/>
        <v>21.96666667</v>
      </c>
      <c r="I400" s="106">
        <f t="shared" si="3"/>
        <v>29.28888889</v>
      </c>
      <c r="J400" s="123">
        <v>37.81</v>
      </c>
      <c r="K400" s="103">
        <v>8987.0</v>
      </c>
      <c r="L400" s="103">
        <v>2.0</v>
      </c>
      <c r="M400" s="124">
        <v>51.92</v>
      </c>
      <c r="N400" s="109">
        <f t="shared" si="150"/>
        <v>0.7282357473</v>
      </c>
      <c r="O400" s="110">
        <f t="shared" si="5"/>
        <v>1.373181698</v>
      </c>
      <c r="P400" s="109">
        <f t="shared" si="6"/>
        <v>0.5737481032</v>
      </c>
      <c r="Q400" s="111">
        <f t="shared" si="7"/>
        <v>0.7878603945</v>
      </c>
      <c r="R400" s="125">
        <f t="shared" si="149"/>
        <v>13.98</v>
      </c>
      <c r="S400" s="113">
        <f t="shared" si="9"/>
        <v>18.905</v>
      </c>
      <c r="T400" s="172"/>
      <c r="U400" s="172"/>
      <c r="V400" s="172"/>
      <c r="W400" s="172"/>
      <c r="X400" s="173"/>
      <c r="Y400" s="165"/>
      <c r="Z400" s="165"/>
    </row>
    <row r="401" hidden="1" outlineLevel="1">
      <c r="A401" s="165"/>
      <c r="B401" s="174"/>
      <c r="C401" s="100" t="s">
        <v>39</v>
      </c>
      <c r="D401" s="126">
        <v>0.0</v>
      </c>
      <c r="E401" s="103">
        <v>0.0</v>
      </c>
      <c r="F401" s="103">
        <v>0.0</v>
      </c>
      <c r="G401" s="104" t="str">
        <f t="shared" si="1"/>
        <v>#DIV/0!</v>
      </c>
      <c r="H401" s="105" t="str">
        <f t="shared" si="2"/>
        <v>#DIV/0!</v>
      </c>
      <c r="I401" s="106" t="str">
        <f t="shared" si="3"/>
        <v>#DIV/0!</v>
      </c>
      <c r="J401" s="126">
        <v>0.0</v>
      </c>
      <c r="K401" s="103">
        <v>0.0</v>
      </c>
      <c r="L401" s="103">
        <v>0.0</v>
      </c>
      <c r="M401" s="127">
        <v>0.0</v>
      </c>
      <c r="N401" s="109" t="str">
        <f t="shared" si="150"/>
        <v>#DIV/0!</v>
      </c>
      <c r="O401" s="110" t="str">
        <f t="shared" si="5"/>
        <v>#DIV/0!</v>
      </c>
      <c r="P401" s="109" t="str">
        <f t="shared" si="6"/>
        <v>#DIV/0!</v>
      </c>
      <c r="Q401" s="111" t="str">
        <f t="shared" si="7"/>
        <v>#DIV/0!</v>
      </c>
      <c r="R401" s="128">
        <f t="shared" si="149"/>
        <v>0</v>
      </c>
      <c r="S401" s="113" t="str">
        <f t="shared" si="9"/>
        <v>#DIV/0!</v>
      </c>
      <c r="T401" s="172"/>
      <c r="U401" s="172"/>
      <c r="V401" s="172"/>
      <c r="W401" s="172"/>
      <c r="X401" s="173"/>
      <c r="Y401" s="165"/>
      <c r="Z401" s="165"/>
    </row>
    <row r="402" hidden="1" outlineLevel="1">
      <c r="A402" s="165"/>
      <c r="B402" s="174"/>
      <c r="C402" s="100" t="s">
        <v>40</v>
      </c>
      <c r="D402" s="129">
        <v>879.2</v>
      </c>
      <c r="E402" s="103">
        <v>16.0</v>
      </c>
      <c r="F402" s="103">
        <v>9.0</v>
      </c>
      <c r="G402" s="104">
        <f t="shared" si="1"/>
        <v>1.777777778</v>
      </c>
      <c r="H402" s="105">
        <f t="shared" si="2"/>
        <v>54.95</v>
      </c>
      <c r="I402" s="106">
        <f t="shared" si="3"/>
        <v>30.909375</v>
      </c>
      <c r="J402" s="129">
        <v>0.0</v>
      </c>
      <c r="K402" s="103">
        <v>0.0</v>
      </c>
      <c r="L402" s="103">
        <v>0.0</v>
      </c>
      <c r="M402" s="130">
        <v>0.0</v>
      </c>
      <c r="N402" s="109" t="str">
        <f t="shared" si="150"/>
        <v>#DIV/0!</v>
      </c>
      <c r="O402" s="110" t="str">
        <f t="shared" si="5"/>
        <v>#DIV/0!</v>
      </c>
      <c r="P402" s="109">
        <f t="shared" si="6"/>
        <v>0</v>
      </c>
      <c r="Q402" s="111">
        <f t="shared" si="7"/>
        <v>0</v>
      </c>
      <c r="R402" s="131">
        <f t="shared" si="149"/>
        <v>879.2</v>
      </c>
      <c r="S402" s="113" t="str">
        <f t="shared" si="9"/>
        <v>#DIV/0!</v>
      </c>
      <c r="T402" s="172"/>
      <c r="U402" s="172"/>
      <c r="V402" s="172"/>
      <c r="W402" s="172"/>
      <c r="X402" s="173"/>
      <c r="Y402" s="165"/>
      <c r="Z402" s="165"/>
    </row>
    <row r="403" hidden="1" outlineLevel="1">
      <c r="A403" s="165"/>
      <c r="B403" s="174"/>
      <c r="C403" s="100" t="s">
        <v>41</v>
      </c>
      <c r="D403" s="132">
        <v>1054.62</v>
      </c>
      <c r="E403" s="103">
        <v>11.0</v>
      </c>
      <c r="F403" s="103">
        <v>11.0</v>
      </c>
      <c r="G403" s="104">
        <f t="shared" si="1"/>
        <v>1</v>
      </c>
      <c r="H403" s="105">
        <f t="shared" si="2"/>
        <v>95.87454545</v>
      </c>
      <c r="I403" s="106">
        <f t="shared" si="3"/>
        <v>95.87454545</v>
      </c>
      <c r="J403" s="132">
        <v>128.59</v>
      </c>
      <c r="K403" s="103">
        <v>21330.0</v>
      </c>
      <c r="L403" s="103">
        <v>5.0</v>
      </c>
      <c r="M403" s="133">
        <v>512.66</v>
      </c>
      <c r="N403" s="109">
        <f t="shared" si="150"/>
        <v>0.2508290095</v>
      </c>
      <c r="O403" s="110">
        <f t="shared" si="5"/>
        <v>3.986779687</v>
      </c>
      <c r="P403" s="109">
        <f t="shared" si="6"/>
        <v>0.1219301739</v>
      </c>
      <c r="Q403" s="111">
        <f t="shared" si="7"/>
        <v>0.4861087406</v>
      </c>
      <c r="R403" s="134">
        <f t="shared" si="149"/>
        <v>541.96</v>
      </c>
      <c r="S403" s="113">
        <f t="shared" si="9"/>
        <v>25.718</v>
      </c>
      <c r="T403" s="172"/>
      <c r="U403" s="172"/>
      <c r="V403" s="172"/>
      <c r="W403" s="172"/>
      <c r="X403" s="173"/>
      <c r="Y403" s="165"/>
      <c r="Z403" s="165"/>
    </row>
    <row r="404" hidden="1" outlineLevel="1">
      <c r="A404" s="165"/>
      <c r="B404" s="174"/>
      <c r="C404" s="100" t="s">
        <v>42</v>
      </c>
      <c r="D404" s="120">
        <v>0.0</v>
      </c>
      <c r="E404" s="103">
        <v>0.0</v>
      </c>
      <c r="F404" s="103">
        <v>1.0</v>
      </c>
      <c r="G404" s="104">
        <f t="shared" si="1"/>
        <v>0</v>
      </c>
      <c r="H404" s="105" t="str">
        <f t="shared" si="2"/>
        <v>#DIV/0!</v>
      </c>
      <c r="I404" s="106" t="str">
        <f t="shared" si="3"/>
        <v>#DIV/0!</v>
      </c>
      <c r="J404" s="120">
        <v>5.17</v>
      </c>
      <c r="K404" s="103">
        <v>17908.0</v>
      </c>
      <c r="L404" s="103">
        <v>1.0</v>
      </c>
      <c r="M404" s="121">
        <v>19.99</v>
      </c>
      <c r="N404" s="109">
        <f t="shared" si="150"/>
        <v>0.2586293147</v>
      </c>
      <c r="O404" s="110">
        <f t="shared" si="5"/>
        <v>3.866537718</v>
      </c>
      <c r="P404" s="109" t="str">
        <f t="shared" si="6"/>
        <v>#DIV/0!</v>
      </c>
      <c r="Q404" s="111" t="str">
        <f t="shared" si="7"/>
        <v>#DIV/0!</v>
      </c>
      <c r="R404" s="122">
        <f t="shared" si="149"/>
        <v>-19.99</v>
      </c>
      <c r="S404" s="113">
        <f t="shared" si="9"/>
        <v>5.17</v>
      </c>
      <c r="T404" s="172"/>
      <c r="U404" s="172"/>
      <c r="V404" s="172"/>
      <c r="W404" s="172"/>
      <c r="X404" s="173"/>
      <c r="Y404" s="165"/>
      <c r="Z404" s="165"/>
    </row>
    <row r="405" hidden="1" outlineLevel="1">
      <c r="A405" s="165"/>
      <c r="B405" s="174"/>
      <c r="C405" s="100" t="s">
        <v>43</v>
      </c>
      <c r="D405" s="135">
        <v>135.96</v>
      </c>
      <c r="E405" s="103">
        <v>1.0</v>
      </c>
      <c r="F405" s="103">
        <v>1.0</v>
      </c>
      <c r="G405" s="104">
        <f t="shared" si="1"/>
        <v>1</v>
      </c>
      <c r="H405" s="105">
        <f t="shared" si="2"/>
        <v>135.96</v>
      </c>
      <c r="I405" s="106">
        <f t="shared" si="3"/>
        <v>135.96</v>
      </c>
      <c r="J405" s="135">
        <v>40.85</v>
      </c>
      <c r="K405" s="103">
        <v>13445.0</v>
      </c>
      <c r="L405" s="103">
        <v>0.0</v>
      </c>
      <c r="M405" s="136">
        <v>0.0</v>
      </c>
      <c r="N405" s="109" t="str">
        <f t="shared" si="150"/>
        <v>#DIV/0!</v>
      </c>
      <c r="O405" s="110">
        <f t="shared" si="5"/>
        <v>0</v>
      </c>
      <c r="P405" s="109">
        <f t="shared" si="6"/>
        <v>0.3004560165</v>
      </c>
      <c r="Q405" s="111">
        <f t="shared" si="7"/>
        <v>0</v>
      </c>
      <c r="R405" s="137">
        <f t="shared" si="149"/>
        <v>135.96</v>
      </c>
      <c r="S405" s="113" t="str">
        <f t="shared" si="9"/>
        <v>#DIV/0!</v>
      </c>
      <c r="T405" s="172"/>
      <c r="U405" s="172"/>
      <c r="V405" s="172"/>
      <c r="W405" s="172"/>
      <c r="X405" s="173"/>
      <c r="Y405" s="165"/>
      <c r="Z405" s="165"/>
    </row>
    <row r="406" hidden="1" outlineLevel="1">
      <c r="A406" s="165"/>
      <c r="B406" s="174"/>
      <c r="C406" s="100" t="s">
        <v>44</v>
      </c>
      <c r="D406" s="138">
        <v>134.85</v>
      </c>
      <c r="E406" s="103">
        <v>3.0</v>
      </c>
      <c r="F406" s="103">
        <v>3.0</v>
      </c>
      <c r="G406" s="104">
        <f t="shared" si="1"/>
        <v>1</v>
      </c>
      <c r="H406" s="105">
        <f t="shared" si="2"/>
        <v>44.95</v>
      </c>
      <c r="I406" s="106">
        <f t="shared" si="3"/>
        <v>44.95</v>
      </c>
      <c r="J406" s="138">
        <v>57.75</v>
      </c>
      <c r="K406" s="103">
        <v>34709.0</v>
      </c>
      <c r="L406" s="103">
        <v>2.0</v>
      </c>
      <c r="M406" s="139">
        <v>89.9</v>
      </c>
      <c r="N406" s="109">
        <f t="shared" si="150"/>
        <v>0.6423804227</v>
      </c>
      <c r="O406" s="110">
        <f t="shared" si="5"/>
        <v>1.556709957</v>
      </c>
      <c r="P406" s="109">
        <f t="shared" si="6"/>
        <v>0.4282536151</v>
      </c>
      <c r="Q406" s="111">
        <f t="shared" si="7"/>
        <v>0.6666666667</v>
      </c>
      <c r="R406" s="140">
        <f t="shared" si="149"/>
        <v>44.95</v>
      </c>
      <c r="S406" s="113">
        <f t="shared" si="9"/>
        <v>28.875</v>
      </c>
      <c r="T406" s="172"/>
      <c r="U406" s="172"/>
      <c r="V406" s="172"/>
      <c r="W406" s="172"/>
      <c r="X406" s="173"/>
      <c r="Y406" s="165"/>
      <c r="Z406" s="165"/>
    </row>
    <row r="407" hidden="1" outlineLevel="1">
      <c r="A407" s="192"/>
      <c r="B407" s="174"/>
      <c r="C407" s="142" t="s">
        <v>45</v>
      </c>
      <c r="D407" s="101">
        <v>59.85</v>
      </c>
      <c r="E407" s="103">
        <v>3.0</v>
      </c>
      <c r="F407" s="103">
        <v>1.0</v>
      </c>
      <c r="G407" s="104">
        <f t="shared" si="1"/>
        <v>3</v>
      </c>
      <c r="H407" s="105">
        <f t="shared" si="2"/>
        <v>19.95</v>
      </c>
      <c r="I407" s="106">
        <f t="shared" si="3"/>
        <v>6.65</v>
      </c>
      <c r="J407" s="101">
        <v>0.0</v>
      </c>
      <c r="K407" s="103">
        <v>0.0</v>
      </c>
      <c r="L407" s="103">
        <v>0.0</v>
      </c>
      <c r="M407" s="108">
        <v>0.0</v>
      </c>
      <c r="N407" s="109" t="str">
        <f t="shared" si="150"/>
        <v>#DIV/0!</v>
      </c>
      <c r="O407" s="110" t="str">
        <f t="shared" si="5"/>
        <v>#DIV/0!</v>
      </c>
      <c r="P407" s="109">
        <f t="shared" si="6"/>
        <v>0</v>
      </c>
      <c r="Q407" s="111">
        <f t="shared" si="7"/>
        <v>0</v>
      </c>
      <c r="R407" s="112">
        <f t="shared" si="149"/>
        <v>59.85</v>
      </c>
      <c r="S407" s="113" t="str">
        <f t="shared" si="9"/>
        <v>#DIV/0!</v>
      </c>
      <c r="T407" s="193"/>
      <c r="U407" s="193"/>
      <c r="V407" s="193"/>
      <c r="W407" s="194"/>
      <c r="X407" s="195"/>
      <c r="Y407" s="165"/>
      <c r="Z407" s="165"/>
    </row>
    <row r="408" hidden="1" outlineLevel="1">
      <c r="A408" s="165"/>
      <c r="B408" s="174"/>
      <c r="C408" s="100" t="s">
        <v>46</v>
      </c>
      <c r="D408" s="146">
        <v>623.3</v>
      </c>
      <c r="E408" s="103">
        <v>14.0</v>
      </c>
      <c r="F408" s="103">
        <v>15.0</v>
      </c>
      <c r="G408" s="104">
        <f t="shared" si="1"/>
        <v>0.9333333333</v>
      </c>
      <c r="H408" s="105">
        <f t="shared" si="2"/>
        <v>44.52142857</v>
      </c>
      <c r="I408" s="106">
        <f t="shared" si="3"/>
        <v>47.70153061</v>
      </c>
      <c r="J408" s="146">
        <v>106.58</v>
      </c>
      <c r="K408" s="103">
        <v>20334.0</v>
      </c>
      <c r="L408" s="103">
        <v>5.0</v>
      </c>
      <c r="M408" s="147">
        <v>175.8</v>
      </c>
      <c r="N408" s="109">
        <f t="shared" si="150"/>
        <v>0.6062571104</v>
      </c>
      <c r="O408" s="110">
        <f t="shared" si="5"/>
        <v>1.64946519</v>
      </c>
      <c r="P408" s="109">
        <f t="shared" si="6"/>
        <v>0.1709931012</v>
      </c>
      <c r="Q408" s="111">
        <f t="shared" si="7"/>
        <v>0.2820471683</v>
      </c>
      <c r="R408" s="112">
        <f t="shared" si="149"/>
        <v>447.5</v>
      </c>
      <c r="S408" s="113">
        <f t="shared" si="9"/>
        <v>21.316</v>
      </c>
      <c r="T408" s="172"/>
      <c r="U408" s="172"/>
      <c r="V408" s="172"/>
      <c r="W408" s="172"/>
      <c r="X408" s="173"/>
      <c r="Y408" s="165"/>
      <c r="Z408" s="165"/>
    </row>
    <row r="409" hidden="1" outlineLevel="1">
      <c r="A409" s="165"/>
      <c r="B409" s="174"/>
      <c r="C409" s="100" t="s">
        <v>49</v>
      </c>
      <c r="D409" s="146">
        <v>439.5</v>
      </c>
      <c r="E409" s="103">
        <v>9.0</v>
      </c>
      <c r="F409" s="103">
        <v>9.0</v>
      </c>
      <c r="G409" s="104">
        <f t="shared" si="1"/>
        <v>1</v>
      </c>
      <c r="H409" s="105">
        <f t="shared" si="2"/>
        <v>48.83333333</v>
      </c>
      <c r="I409" s="106">
        <f t="shared" si="3"/>
        <v>48.83333333</v>
      </c>
      <c r="J409" s="146">
        <v>1.14</v>
      </c>
      <c r="K409" s="103">
        <v>4859.0</v>
      </c>
      <c r="L409" s="103">
        <v>0.0</v>
      </c>
      <c r="M409" s="147">
        <v>0.0</v>
      </c>
      <c r="N409" s="109" t="str">
        <f t="shared" si="150"/>
        <v>#DIV/0!</v>
      </c>
      <c r="O409" s="110">
        <f t="shared" si="5"/>
        <v>0</v>
      </c>
      <c r="P409" s="109">
        <f t="shared" si="6"/>
        <v>0.002593856655</v>
      </c>
      <c r="Q409" s="111">
        <f t="shared" si="7"/>
        <v>0</v>
      </c>
      <c r="R409" s="112">
        <f t="shared" si="149"/>
        <v>439.5</v>
      </c>
      <c r="S409" s="113" t="str">
        <f t="shared" si="9"/>
        <v>#DIV/0!</v>
      </c>
      <c r="T409" s="172"/>
      <c r="U409" s="172"/>
      <c r="V409" s="172"/>
      <c r="W409" s="172"/>
      <c r="X409" s="173"/>
      <c r="Y409" s="165"/>
      <c r="Z409" s="165"/>
    </row>
    <row r="410" hidden="1" outlineLevel="1">
      <c r="A410" s="148" t="str">
        <f t="shared" ref="A410:A411" si="151">iferror(if(B410&gt;0,month(B410)&amp;"-"&amp;year(B410),B410),)</f>
        <v>7-2025</v>
      </c>
      <c r="B410" s="99">
        <v>45857.0</v>
      </c>
      <c r="C410" s="277" t="s">
        <v>67</v>
      </c>
      <c r="D410" s="146">
        <v>0.0</v>
      </c>
      <c r="E410" s="103">
        <v>0.0</v>
      </c>
      <c r="F410" s="103">
        <v>0.0</v>
      </c>
      <c r="G410" s="104" t="str">
        <f t="shared" si="1"/>
        <v>#DIV/0!</v>
      </c>
      <c r="H410" s="105" t="str">
        <f t="shared" si="2"/>
        <v>#DIV/0!</v>
      </c>
      <c r="I410" s="106" t="str">
        <f t="shared" si="3"/>
        <v>#DIV/0!</v>
      </c>
      <c r="J410" s="117">
        <v>365.5399999999999</v>
      </c>
      <c r="K410" s="278">
        <v>75850.0</v>
      </c>
      <c r="L410" s="103">
        <v>0.0</v>
      </c>
      <c r="M410" s="118">
        <v>928.5600000000002</v>
      </c>
      <c r="N410" s="109">
        <f t="shared" si="150"/>
        <v>0.3936633066</v>
      </c>
      <c r="O410" s="110">
        <f t="shared" si="5"/>
        <v>2.540241834</v>
      </c>
      <c r="P410" s="109" t="str">
        <f t="shared" si="6"/>
        <v>#DIV/0!</v>
      </c>
      <c r="Q410" s="111" t="str">
        <f t="shared" si="7"/>
        <v>#DIV/0!</v>
      </c>
      <c r="R410" s="112">
        <f t="shared" si="149"/>
        <v>-928.56</v>
      </c>
      <c r="S410" s="113" t="str">
        <f t="shared" si="9"/>
        <v>#DIV/0!</v>
      </c>
      <c r="T410" s="172"/>
      <c r="U410" s="172"/>
      <c r="V410" s="172"/>
      <c r="W410" s="172"/>
      <c r="X410" s="173"/>
      <c r="Y410" s="165"/>
      <c r="Z410" s="165"/>
    </row>
    <row r="411" collapsed="1">
      <c r="A411" s="165" t="str">
        <f t="shared" si="151"/>
        <v/>
      </c>
      <c r="B411" s="80" t="s">
        <v>116</v>
      </c>
      <c r="C411" s="201"/>
      <c r="D411" s="151">
        <f t="shared" ref="D411:F411" si="152">SUM(D393:D410)</f>
        <v>17806.84</v>
      </c>
      <c r="E411" s="153">
        <f t="shared" si="152"/>
        <v>169</v>
      </c>
      <c r="F411" s="153">
        <f t="shared" si="152"/>
        <v>163</v>
      </c>
      <c r="G411" s="154">
        <f t="shared" si="1"/>
        <v>1.036809816</v>
      </c>
      <c r="H411" s="155">
        <f t="shared" si="2"/>
        <v>105.3659172</v>
      </c>
      <c r="I411" s="156">
        <f t="shared" si="3"/>
        <v>101.6251154</v>
      </c>
      <c r="J411" s="151">
        <f t="shared" ref="J411:M411" si="153">SUM(J393:J410)</f>
        <v>2115.64</v>
      </c>
      <c r="K411" s="153">
        <f t="shared" si="153"/>
        <v>522867</v>
      </c>
      <c r="L411" s="153">
        <f t="shared" si="153"/>
        <v>45</v>
      </c>
      <c r="M411" s="157">
        <f t="shared" si="153"/>
        <v>7277.03</v>
      </c>
      <c r="N411" s="158">
        <f t="shared" si="150"/>
        <v>0.2907284978</v>
      </c>
      <c r="O411" s="159">
        <f t="shared" si="5"/>
        <v>3.439635288</v>
      </c>
      <c r="P411" s="158">
        <f t="shared" si="6"/>
        <v>0.1188105245</v>
      </c>
      <c r="Q411" s="160">
        <f t="shared" si="7"/>
        <v>0.4086648726</v>
      </c>
      <c r="R411" s="161">
        <f>SUM(R393:R410)</f>
        <v>10529.81</v>
      </c>
      <c r="S411" s="162">
        <f t="shared" si="9"/>
        <v>47.01422222</v>
      </c>
      <c r="T411" s="163">
        <f t="shared" ref="T411:U411" si="154">IFERROR((D411-D69)/D411,)</f>
        <v>0.5742467501</v>
      </c>
      <c r="U411" s="163">
        <f t="shared" si="154"/>
        <v>0.4437869822</v>
      </c>
      <c r="V411" s="398" t="str">
        <f t="shared" ref="V411:W411" si="155">IFERROR((D411-monthly_reporting_2021!D202)/D411, )</f>
        <v/>
      </c>
      <c r="W411" s="398" t="str">
        <f t="shared" si="155"/>
        <v/>
      </c>
      <c r="X411" s="165"/>
      <c r="Y411" s="165"/>
      <c r="Z411" s="165"/>
    </row>
    <row r="412" hidden="1" outlineLevel="1">
      <c r="A412" s="165"/>
      <c r="B412" s="99">
        <v>45858.0</v>
      </c>
      <c r="C412" s="100" t="s">
        <v>32</v>
      </c>
      <c r="D412" s="101">
        <v>530.64</v>
      </c>
      <c r="E412" s="103">
        <v>8.0</v>
      </c>
      <c r="F412" s="103">
        <v>7.0</v>
      </c>
      <c r="G412" s="104">
        <f t="shared" si="1"/>
        <v>1.142857143</v>
      </c>
      <c r="H412" s="105">
        <f t="shared" si="2"/>
        <v>66.33</v>
      </c>
      <c r="I412" s="106">
        <f t="shared" si="3"/>
        <v>58.03875</v>
      </c>
      <c r="J412" s="107">
        <v>652.89</v>
      </c>
      <c r="K412" s="103">
        <v>94474.0</v>
      </c>
      <c r="L412" s="103">
        <v>4.0</v>
      </c>
      <c r="M412" s="108">
        <v>59.95</v>
      </c>
      <c r="N412" s="109">
        <f t="shared" si="150"/>
        <v>10.89057548</v>
      </c>
      <c r="O412" s="110">
        <f t="shared" si="5"/>
        <v>0.09182251221</v>
      </c>
      <c r="P412" s="109">
        <f t="shared" si="6"/>
        <v>1.23038218</v>
      </c>
      <c r="Q412" s="111">
        <f t="shared" si="7"/>
        <v>0.1129767828</v>
      </c>
      <c r="R412" s="112">
        <f t="shared" ref="R412:R429" si="156">D412-M412</f>
        <v>470.69</v>
      </c>
      <c r="S412" s="113">
        <f t="shared" si="9"/>
        <v>163.2225</v>
      </c>
      <c r="T412" s="172"/>
      <c r="U412" s="172"/>
      <c r="V412" s="172"/>
      <c r="W412" s="172"/>
      <c r="X412" s="173"/>
      <c r="Y412" s="165"/>
      <c r="Z412" s="165"/>
    </row>
    <row r="413" hidden="1" outlineLevel="1">
      <c r="A413" s="165"/>
      <c r="B413" s="174"/>
      <c r="C413" s="100" t="s">
        <v>33</v>
      </c>
      <c r="D413" s="117">
        <v>752.25</v>
      </c>
      <c r="E413" s="103">
        <v>33.0</v>
      </c>
      <c r="F413" s="103">
        <v>35.0</v>
      </c>
      <c r="G413" s="104">
        <f t="shared" si="1"/>
        <v>0.9428571429</v>
      </c>
      <c r="H413" s="105">
        <f t="shared" si="2"/>
        <v>22.79545455</v>
      </c>
      <c r="I413" s="106">
        <f t="shared" si="3"/>
        <v>24.17699725</v>
      </c>
      <c r="J413" s="117">
        <v>322.83</v>
      </c>
      <c r="K413" s="103">
        <v>135682.0</v>
      </c>
      <c r="L413" s="103">
        <v>8.0</v>
      </c>
      <c r="M413" s="118">
        <v>1029.75</v>
      </c>
      <c r="N413" s="109">
        <f t="shared" si="150"/>
        <v>0.3135032775</v>
      </c>
      <c r="O413" s="110">
        <f t="shared" si="5"/>
        <v>3.189759316</v>
      </c>
      <c r="P413" s="109">
        <f t="shared" si="6"/>
        <v>0.4291525424</v>
      </c>
      <c r="Q413" s="111">
        <f t="shared" si="7"/>
        <v>1.36889332</v>
      </c>
      <c r="R413" s="119">
        <f t="shared" si="156"/>
        <v>-277.5</v>
      </c>
      <c r="S413" s="113">
        <f t="shared" si="9"/>
        <v>40.35375</v>
      </c>
      <c r="T413" s="172"/>
      <c r="U413" s="172"/>
      <c r="V413" s="172"/>
      <c r="W413" s="172"/>
      <c r="X413" s="173"/>
      <c r="Y413" s="165"/>
      <c r="Z413" s="165"/>
    </row>
    <row r="414" hidden="1" outlineLevel="1">
      <c r="A414" s="165"/>
      <c r="B414" s="174"/>
      <c r="C414" s="100" t="s">
        <v>34</v>
      </c>
      <c r="D414" s="120">
        <v>0.0</v>
      </c>
      <c r="E414" s="103">
        <v>0.0</v>
      </c>
      <c r="F414" s="103">
        <v>0.0</v>
      </c>
      <c r="G414" s="104" t="str">
        <f t="shared" si="1"/>
        <v>#DIV/0!</v>
      </c>
      <c r="H414" s="105" t="str">
        <f t="shared" si="2"/>
        <v>#DIV/0!</v>
      </c>
      <c r="I414" s="106" t="str">
        <f t="shared" si="3"/>
        <v>#DIV/0!</v>
      </c>
      <c r="J414" s="120">
        <v>1.01</v>
      </c>
      <c r="K414" s="103">
        <v>4.0</v>
      </c>
      <c r="L414" s="103">
        <v>0.0</v>
      </c>
      <c r="M414" s="121">
        <v>0.0</v>
      </c>
      <c r="N414" s="109" t="str">
        <f>(J414/M414)</f>
        <v>#DIV/0!</v>
      </c>
      <c r="O414" s="110">
        <f t="shared" si="5"/>
        <v>0</v>
      </c>
      <c r="P414" s="109" t="str">
        <f t="shared" si="6"/>
        <v>#DIV/0!</v>
      </c>
      <c r="Q414" s="111" t="str">
        <f t="shared" si="7"/>
        <v>#DIV/0!</v>
      </c>
      <c r="R414" s="122">
        <f t="shared" si="156"/>
        <v>0</v>
      </c>
      <c r="S414" s="113" t="str">
        <f t="shared" si="9"/>
        <v>#DIV/0!</v>
      </c>
      <c r="T414" s="172"/>
      <c r="U414" s="172"/>
      <c r="V414" s="172"/>
      <c r="W414" s="172"/>
      <c r="X414" s="173"/>
      <c r="Y414" s="165"/>
      <c r="Z414" s="165"/>
    </row>
    <row r="415" hidden="1" outlineLevel="1">
      <c r="A415" s="165"/>
      <c r="B415" s="174"/>
      <c r="C415" s="100" t="s">
        <v>35</v>
      </c>
      <c r="D415" s="120">
        <v>239.8</v>
      </c>
      <c r="E415" s="103">
        <v>4.0</v>
      </c>
      <c r="F415" s="103">
        <v>4.0</v>
      </c>
      <c r="G415" s="104">
        <f t="shared" si="1"/>
        <v>1</v>
      </c>
      <c r="H415" s="105">
        <f t="shared" si="2"/>
        <v>59.95</v>
      </c>
      <c r="I415" s="106">
        <f t="shared" si="3"/>
        <v>59.95</v>
      </c>
      <c r="J415" s="120">
        <v>12.25</v>
      </c>
      <c r="K415" s="103">
        <v>5249.0</v>
      </c>
      <c r="L415" s="103">
        <v>0.0</v>
      </c>
      <c r="M415" s="121">
        <v>0.0</v>
      </c>
      <c r="N415" s="109" t="str">
        <f t="shared" ref="N415:N432" si="157">J415/M415</f>
        <v>#DIV/0!</v>
      </c>
      <c r="O415" s="110">
        <f t="shared" si="5"/>
        <v>0</v>
      </c>
      <c r="P415" s="109">
        <f t="shared" si="6"/>
        <v>0.05108423686</v>
      </c>
      <c r="Q415" s="111">
        <f t="shared" si="7"/>
        <v>0</v>
      </c>
      <c r="R415" s="122">
        <f t="shared" si="156"/>
        <v>239.8</v>
      </c>
      <c r="S415" s="113" t="str">
        <f t="shared" si="9"/>
        <v>#DIV/0!</v>
      </c>
      <c r="T415" s="172"/>
      <c r="U415" s="172"/>
      <c r="V415" s="172"/>
      <c r="W415" s="172"/>
      <c r="X415" s="173"/>
      <c r="Y415" s="165"/>
      <c r="Z415" s="165"/>
    </row>
    <row r="416" hidden="1" outlineLevel="1">
      <c r="A416" s="165"/>
      <c r="B416" s="174"/>
      <c r="C416" s="100" t="s">
        <v>65</v>
      </c>
      <c r="D416" s="300">
        <v>0.0</v>
      </c>
      <c r="E416" s="103">
        <v>0.0</v>
      </c>
      <c r="F416" s="103">
        <v>0.0</v>
      </c>
      <c r="G416" s="104" t="str">
        <f t="shared" si="1"/>
        <v>#DIV/0!</v>
      </c>
      <c r="H416" s="105" t="str">
        <f t="shared" si="2"/>
        <v>#DIV/0!</v>
      </c>
      <c r="I416" s="106" t="str">
        <f t="shared" si="3"/>
        <v>#DIV/0!</v>
      </c>
      <c r="J416" s="300">
        <v>0.0</v>
      </c>
      <c r="K416" s="103">
        <v>0.0</v>
      </c>
      <c r="L416" s="103">
        <v>0.0</v>
      </c>
      <c r="M416" s="300">
        <v>0.0</v>
      </c>
      <c r="N416" s="109" t="str">
        <f t="shared" si="157"/>
        <v>#DIV/0!</v>
      </c>
      <c r="O416" s="110" t="str">
        <f t="shared" si="5"/>
        <v>#DIV/0!</v>
      </c>
      <c r="P416" s="109" t="str">
        <f t="shared" si="6"/>
        <v>#DIV/0!</v>
      </c>
      <c r="Q416" s="111" t="str">
        <f t="shared" si="7"/>
        <v>#DIV/0!</v>
      </c>
      <c r="R416" s="122">
        <f t="shared" si="156"/>
        <v>0</v>
      </c>
      <c r="S416" s="113" t="str">
        <f t="shared" si="9"/>
        <v>#DIV/0!</v>
      </c>
      <c r="T416" s="172"/>
      <c r="U416" s="172"/>
      <c r="V416" s="172"/>
      <c r="W416" s="172"/>
      <c r="X416" s="173"/>
      <c r="Y416" s="165"/>
      <c r="Z416" s="165"/>
    </row>
    <row r="417" hidden="1" outlineLevel="1">
      <c r="A417" s="165"/>
      <c r="B417" s="174"/>
      <c r="C417" s="100" t="s">
        <v>85</v>
      </c>
      <c r="D417" s="302">
        <v>0.0</v>
      </c>
      <c r="E417" s="103">
        <v>0.0</v>
      </c>
      <c r="F417" s="103">
        <v>0.0</v>
      </c>
      <c r="G417" s="104" t="str">
        <f t="shared" si="1"/>
        <v>#DIV/0!</v>
      </c>
      <c r="H417" s="105" t="str">
        <f t="shared" si="2"/>
        <v>#DIV/0!</v>
      </c>
      <c r="I417" s="106" t="str">
        <f t="shared" si="3"/>
        <v>#DIV/0!</v>
      </c>
      <c r="J417" s="302">
        <v>0.0</v>
      </c>
      <c r="K417" s="103">
        <v>0.0</v>
      </c>
      <c r="L417" s="103">
        <v>0.0</v>
      </c>
      <c r="M417" s="303">
        <v>0.0</v>
      </c>
      <c r="N417" s="109" t="str">
        <f t="shared" si="157"/>
        <v>#DIV/0!</v>
      </c>
      <c r="O417" s="110" t="str">
        <f t="shared" si="5"/>
        <v>#DIV/0!</v>
      </c>
      <c r="P417" s="109" t="str">
        <f t="shared" si="6"/>
        <v>#DIV/0!</v>
      </c>
      <c r="Q417" s="111" t="str">
        <f t="shared" si="7"/>
        <v>#DIV/0!</v>
      </c>
      <c r="R417" s="304">
        <f t="shared" si="156"/>
        <v>0</v>
      </c>
      <c r="S417" s="113" t="str">
        <f t="shared" si="9"/>
        <v>#DIV/0!</v>
      </c>
      <c r="T417" s="172"/>
      <c r="U417" s="172"/>
      <c r="V417" s="172"/>
      <c r="W417" s="172"/>
      <c r="X417" s="173"/>
      <c r="Y417" s="165"/>
      <c r="Z417" s="165"/>
    </row>
    <row r="418" hidden="1" outlineLevel="1">
      <c r="A418" s="165"/>
      <c r="B418" s="174"/>
      <c r="C418" s="100" t="s">
        <v>36</v>
      </c>
      <c r="D418" s="120">
        <v>119.9</v>
      </c>
      <c r="E418" s="103">
        <v>2.0</v>
      </c>
      <c r="F418" s="103">
        <v>2.0</v>
      </c>
      <c r="G418" s="104">
        <f t="shared" si="1"/>
        <v>1</v>
      </c>
      <c r="H418" s="105">
        <f t="shared" si="2"/>
        <v>59.95</v>
      </c>
      <c r="I418" s="106">
        <f t="shared" si="3"/>
        <v>59.95</v>
      </c>
      <c r="J418" s="120">
        <v>48.93</v>
      </c>
      <c r="K418" s="103">
        <v>9472.0</v>
      </c>
      <c r="L418" s="103">
        <v>2.0</v>
      </c>
      <c r="M418" s="121">
        <v>59.95</v>
      </c>
      <c r="N418" s="109">
        <f t="shared" si="157"/>
        <v>0.8161801501</v>
      </c>
      <c r="O418" s="110">
        <f t="shared" si="5"/>
        <v>1.225219702</v>
      </c>
      <c r="P418" s="109">
        <f t="shared" si="6"/>
        <v>0.4080900751</v>
      </c>
      <c r="Q418" s="111">
        <f t="shared" si="7"/>
        <v>0.5</v>
      </c>
      <c r="R418" s="122">
        <f t="shared" si="156"/>
        <v>59.95</v>
      </c>
      <c r="S418" s="113">
        <f t="shared" si="9"/>
        <v>24.465</v>
      </c>
      <c r="T418" s="172"/>
      <c r="U418" s="172"/>
      <c r="V418" s="172"/>
      <c r="W418" s="172"/>
      <c r="X418" s="173"/>
      <c r="Y418" s="165"/>
      <c r="Z418" s="165"/>
    </row>
    <row r="419" hidden="1" outlineLevel="1">
      <c r="A419" s="165"/>
      <c r="B419" s="99" t="s">
        <v>37</v>
      </c>
      <c r="C419" s="100" t="s">
        <v>38</v>
      </c>
      <c r="D419" s="123">
        <v>36.94</v>
      </c>
      <c r="E419" s="103">
        <v>1.0</v>
      </c>
      <c r="F419" s="103">
        <v>2.0</v>
      </c>
      <c r="G419" s="104">
        <f t="shared" si="1"/>
        <v>0.5</v>
      </c>
      <c r="H419" s="105">
        <f t="shared" si="2"/>
        <v>36.94</v>
      </c>
      <c r="I419" s="106">
        <f t="shared" si="3"/>
        <v>73.88</v>
      </c>
      <c r="J419" s="123">
        <v>24.06</v>
      </c>
      <c r="K419" s="103">
        <v>8815.0</v>
      </c>
      <c r="L419" s="103">
        <v>1.0</v>
      </c>
      <c r="M419" s="124">
        <v>29.95</v>
      </c>
      <c r="N419" s="109">
        <f t="shared" si="157"/>
        <v>0.8033388982</v>
      </c>
      <c r="O419" s="110">
        <f t="shared" si="5"/>
        <v>1.244804655</v>
      </c>
      <c r="P419" s="109">
        <f t="shared" si="6"/>
        <v>0.6513264754</v>
      </c>
      <c r="Q419" s="111">
        <f t="shared" si="7"/>
        <v>0.8107742285</v>
      </c>
      <c r="R419" s="125">
        <f t="shared" si="156"/>
        <v>6.99</v>
      </c>
      <c r="S419" s="113">
        <f t="shared" si="9"/>
        <v>24.06</v>
      </c>
      <c r="T419" s="172"/>
      <c r="U419" s="172"/>
      <c r="V419" s="172"/>
      <c r="W419" s="172"/>
      <c r="X419" s="173"/>
      <c r="Y419" s="165"/>
      <c r="Z419" s="165"/>
    </row>
    <row r="420" hidden="1" outlineLevel="1">
      <c r="A420" s="165"/>
      <c r="B420" s="174"/>
      <c r="C420" s="100" t="s">
        <v>39</v>
      </c>
      <c r="D420" s="126">
        <v>0.0</v>
      </c>
      <c r="E420" s="103">
        <v>0.0</v>
      </c>
      <c r="F420" s="103">
        <v>0.0</v>
      </c>
      <c r="G420" s="104" t="str">
        <f t="shared" si="1"/>
        <v>#DIV/0!</v>
      </c>
      <c r="H420" s="105" t="str">
        <f t="shared" si="2"/>
        <v>#DIV/0!</v>
      </c>
      <c r="I420" s="106" t="str">
        <f t="shared" si="3"/>
        <v>#DIV/0!</v>
      </c>
      <c r="J420" s="126">
        <v>0.0</v>
      </c>
      <c r="K420" s="103">
        <v>0.0</v>
      </c>
      <c r="L420" s="103">
        <v>0.0</v>
      </c>
      <c r="M420" s="127">
        <v>0.0</v>
      </c>
      <c r="N420" s="109" t="str">
        <f t="shared" si="157"/>
        <v>#DIV/0!</v>
      </c>
      <c r="O420" s="110" t="str">
        <f t="shared" si="5"/>
        <v>#DIV/0!</v>
      </c>
      <c r="P420" s="109" t="str">
        <f t="shared" si="6"/>
        <v>#DIV/0!</v>
      </c>
      <c r="Q420" s="111" t="str">
        <f t="shared" si="7"/>
        <v>#DIV/0!</v>
      </c>
      <c r="R420" s="128">
        <f t="shared" si="156"/>
        <v>0</v>
      </c>
      <c r="S420" s="113" t="str">
        <f t="shared" si="9"/>
        <v>#DIV/0!</v>
      </c>
      <c r="T420" s="172"/>
      <c r="U420" s="172"/>
      <c r="V420" s="172"/>
      <c r="W420" s="172"/>
      <c r="X420" s="173"/>
      <c r="Y420" s="165"/>
      <c r="Z420" s="165"/>
    </row>
    <row r="421" hidden="1" outlineLevel="1">
      <c r="A421" s="165"/>
      <c r="B421" s="174"/>
      <c r="C421" s="100" t="s">
        <v>40</v>
      </c>
      <c r="D421" s="129">
        <v>54.95</v>
      </c>
      <c r="E421" s="103">
        <v>1.0</v>
      </c>
      <c r="F421" s="103">
        <v>1.0</v>
      </c>
      <c r="G421" s="104">
        <f t="shared" si="1"/>
        <v>1</v>
      </c>
      <c r="H421" s="105">
        <f t="shared" si="2"/>
        <v>54.95</v>
      </c>
      <c r="I421" s="106">
        <f t="shared" si="3"/>
        <v>54.95</v>
      </c>
      <c r="J421" s="129">
        <v>0.0</v>
      </c>
      <c r="K421" s="103">
        <v>0.0</v>
      </c>
      <c r="L421" s="103">
        <v>0.0</v>
      </c>
      <c r="M421" s="130">
        <v>0.0</v>
      </c>
      <c r="N421" s="109" t="str">
        <f t="shared" si="157"/>
        <v>#DIV/0!</v>
      </c>
      <c r="O421" s="110" t="str">
        <f t="shared" si="5"/>
        <v>#DIV/0!</v>
      </c>
      <c r="P421" s="109">
        <f t="shared" si="6"/>
        <v>0</v>
      </c>
      <c r="Q421" s="111">
        <f t="shared" si="7"/>
        <v>0</v>
      </c>
      <c r="R421" s="131">
        <f t="shared" si="156"/>
        <v>54.95</v>
      </c>
      <c r="S421" s="113" t="str">
        <f t="shared" si="9"/>
        <v>#DIV/0!</v>
      </c>
      <c r="T421" s="172"/>
      <c r="U421" s="172"/>
      <c r="V421" s="172"/>
      <c r="W421" s="172"/>
      <c r="X421" s="173"/>
      <c r="Y421" s="165"/>
      <c r="Z421" s="165"/>
    </row>
    <row r="422" hidden="1" outlineLevel="1">
      <c r="A422" s="165"/>
      <c r="B422" s="174"/>
      <c r="C422" s="100" t="s">
        <v>41</v>
      </c>
      <c r="D422" s="132">
        <v>191.99</v>
      </c>
      <c r="E422" s="103">
        <v>2.0</v>
      </c>
      <c r="F422" s="103">
        <v>4.0</v>
      </c>
      <c r="G422" s="104">
        <f t="shared" si="1"/>
        <v>0.5</v>
      </c>
      <c r="H422" s="105">
        <f t="shared" si="2"/>
        <v>95.995</v>
      </c>
      <c r="I422" s="106">
        <f t="shared" si="3"/>
        <v>191.99</v>
      </c>
      <c r="J422" s="132">
        <v>83.15</v>
      </c>
      <c r="K422" s="103">
        <v>17275.0</v>
      </c>
      <c r="L422" s="103">
        <v>2.0</v>
      </c>
      <c r="M422" s="133">
        <v>215.99</v>
      </c>
      <c r="N422" s="109">
        <f t="shared" si="157"/>
        <v>0.3849715265</v>
      </c>
      <c r="O422" s="110">
        <f t="shared" si="5"/>
        <v>2.597594708</v>
      </c>
      <c r="P422" s="109">
        <f t="shared" si="6"/>
        <v>0.4330954737</v>
      </c>
      <c r="Q422" s="111">
        <f t="shared" si="7"/>
        <v>1.125006511</v>
      </c>
      <c r="R422" s="134">
        <f t="shared" si="156"/>
        <v>-24</v>
      </c>
      <c r="S422" s="113">
        <f t="shared" si="9"/>
        <v>41.575</v>
      </c>
      <c r="T422" s="172"/>
      <c r="U422" s="172"/>
      <c r="V422" s="172"/>
      <c r="W422" s="172"/>
      <c r="X422" s="173"/>
      <c r="Y422" s="165"/>
      <c r="Z422" s="165"/>
    </row>
    <row r="423" hidden="1" outlineLevel="1">
      <c r="A423" s="165"/>
      <c r="B423" s="174"/>
      <c r="C423" s="100" t="s">
        <v>42</v>
      </c>
      <c r="D423" s="120">
        <v>59.97</v>
      </c>
      <c r="E423" s="103">
        <v>3.0</v>
      </c>
      <c r="F423" s="103">
        <v>2.0</v>
      </c>
      <c r="G423" s="104">
        <f t="shared" si="1"/>
        <v>1.5</v>
      </c>
      <c r="H423" s="105">
        <f t="shared" si="2"/>
        <v>19.99</v>
      </c>
      <c r="I423" s="106">
        <f t="shared" si="3"/>
        <v>13.32666667</v>
      </c>
      <c r="J423" s="120">
        <v>8.67</v>
      </c>
      <c r="K423" s="103">
        <v>10640.0</v>
      </c>
      <c r="L423" s="103">
        <v>3.0</v>
      </c>
      <c r="M423" s="121">
        <v>59.97</v>
      </c>
      <c r="N423" s="109">
        <f t="shared" si="157"/>
        <v>0.1445722861</v>
      </c>
      <c r="O423" s="110">
        <f t="shared" si="5"/>
        <v>6.916955017</v>
      </c>
      <c r="P423" s="109">
        <f t="shared" si="6"/>
        <v>0.1445722861</v>
      </c>
      <c r="Q423" s="111">
        <f t="shared" si="7"/>
        <v>1</v>
      </c>
      <c r="R423" s="122">
        <f t="shared" si="156"/>
        <v>0</v>
      </c>
      <c r="S423" s="113">
        <f t="shared" si="9"/>
        <v>2.89</v>
      </c>
      <c r="T423" s="172"/>
      <c r="U423" s="172"/>
      <c r="V423" s="172"/>
      <c r="W423" s="172"/>
      <c r="X423" s="173"/>
      <c r="Y423" s="165"/>
      <c r="Z423" s="165"/>
    </row>
    <row r="424" hidden="1" outlineLevel="1">
      <c r="A424" s="165"/>
      <c r="B424" s="174"/>
      <c r="C424" s="100" t="s">
        <v>43</v>
      </c>
      <c r="D424" s="135">
        <v>0.0</v>
      </c>
      <c r="E424" s="103">
        <v>0.0</v>
      </c>
      <c r="F424" s="103">
        <v>0.0</v>
      </c>
      <c r="G424" s="104" t="str">
        <f t="shared" si="1"/>
        <v>#DIV/0!</v>
      </c>
      <c r="H424" s="105" t="str">
        <f t="shared" si="2"/>
        <v>#DIV/0!</v>
      </c>
      <c r="I424" s="106" t="str">
        <f t="shared" si="3"/>
        <v>#DIV/0!</v>
      </c>
      <c r="J424" s="135">
        <v>24.1</v>
      </c>
      <c r="K424" s="103">
        <v>12454.0</v>
      </c>
      <c r="L424" s="103">
        <v>0.0</v>
      </c>
      <c r="M424" s="136">
        <v>0.0</v>
      </c>
      <c r="N424" s="109" t="str">
        <f t="shared" si="157"/>
        <v>#DIV/0!</v>
      </c>
      <c r="O424" s="110">
        <f t="shared" si="5"/>
        <v>0</v>
      </c>
      <c r="P424" s="109" t="str">
        <f t="shared" si="6"/>
        <v>#DIV/0!</v>
      </c>
      <c r="Q424" s="111" t="str">
        <f t="shared" si="7"/>
        <v>#DIV/0!</v>
      </c>
      <c r="R424" s="137">
        <f t="shared" si="156"/>
        <v>0</v>
      </c>
      <c r="S424" s="113" t="str">
        <f t="shared" si="9"/>
        <v>#DIV/0!</v>
      </c>
      <c r="T424" s="172"/>
      <c r="U424" s="172"/>
      <c r="V424" s="172"/>
      <c r="W424" s="172"/>
      <c r="X424" s="173"/>
      <c r="Y424" s="165"/>
      <c r="Z424" s="165"/>
    </row>
    <row r="425" hidden="1" outlineLevel="1">
      <c r="A425" s="165"/>
      <c r="B425" s="174"/>
      <c r="C425" s="100" t="s">
        <v>44</v>
      </c>
      <c r="D425" s="138">
        <v>135.55</v>
      </c>
      <c r="E425" s="103">
        <v>3.0</v>
      </c>
      <c r="F425" s="103">
        <v>3.0</v>
      </c>
      <c r="G425" s="104">
        <f t="shared" si="1"/>
        <v>1</v>
      </c>
      <c r="H425" s="105">
        <f t="shared" si="2"/>
        <v>45.18333333</v>
      </c>
      <c r="I425" s="106">
        <f t="shared" si="3"/>
        <v>45.18333333</v>
      </c>
      <c r="J425" s="138">
        <v>67.57</v>
      </c>
      <c r="K425" s="103">
        <v>43022.0</v>
      </c>
      <c r="L425" s="103">
        <v>0.0</v>
      </c>
      <c r="M425" s="139">
        <v>0.0</v>
      </c>
      <c r="N425" s="109" t="str">
        <f t="shared" si="157"/>
        <v>#DIV/0!</v>
      </c>
      <c r="O425" s="110">
        <f t="shared" si="5"/>
        <v>0</v>
      </c>
      <c r="P425" s="109">
        <f t="shared" si="6"/>
        <v>0.4984876429</v>
      </c>
      <c r="Q425" s="111">
        <f t="shared" si="7"/>
        <v>0</v>
      </c>
      <c r="R425" s="140">
        <f t="shared" si="156"/>
        <v>135.55</v>
      </c>
      <c r="S425" s="113" t="str">
        <f t="shared" si="9"/>
        <v>#DIV/0!</v>
      </c>
      <c r="T425" s="172"/>
      <c r="U425" s="172"/>
      <c r="V425" s="172"/>
      <c r="W425" s="172"/>
      <c r="X425" s="173"/>
      <c r="Y425" s="165"/>
      <c r="Z425" s="165"/>
    </row>
    <row r="426" hidden="1" outlineLevel="1">
      <c r="A426" s="192"/>
      <c r="B426" s="174"/>
      <c r="C426" s="142" t="s">
        <v>45</v>
      </c>
      <c r="D426" s="101">
        <v>0.0</v>
      </c>
      <c r="E426" s="103">
        <v>0.0</v>
      </c>
      <c r="F426" s="103">
        <v>0.0</v>
      </c>
      <c r="G426" s="104" t="str">
        <f t="shared" si="1"/>
        <v>#DIV/0!</v>
      </c>
      <c r="H426" s="105" t="str">
        <f t="shared" si="2"/>
        <v>#DIV/0!</v>
      </c>
      <c r="I426" s="106" t="str">
        <f t="shared" si="3"/>
        <v>#DIV/0!</v>
      </c>
      <c r="J426" s="101">
        <v>0.0</v>
      </c>
      <c r="K426" s="103">
        <v>0.0</v>
      </c>
      <c r="L426" s="103">
        <v>0.0</v>
      </c>
      <c r="M426" s="108">
        <v>0.0</v>
      </c>
      <c r="N426" s="109" t="str">
        <f t="shared" si="157"/>
        <v>#DIV/0!</v>
      </c>
      <c r="O426" s="110" t="str">
        <f t="shared" si="5"/>
        <v>#DIV/0!</v>
      </c>
      <c r="P426" s="109" t="str">
        <f t="shared" si="6"/>
        <v>#DIV/0!</v>
      </c>
      <c r="Q426" s="111" t="str">
        <f t="shared" si="7"/>
        <v>#DIV/0!</v>
      </c>
      <c r="R426" s="112">
        <f t="shared" si="156"/>
        <v>0</v>
      </c>
      <c r="S426" s="113" t="str">
        <f t="shared" si="9"/>
        <v>#DIV/0!</v>
      </c>
      <c r="T426" s="193"/>
      <c r="U426" s="193"/>
      <c r="V426" s="193"/>
      <c r="W426" s="194"/>
      <c r="X426" s="195"/>
      <c r="Y426" s="165"/>
      <c r="Z426" s="165"/>
    </row>
    <row r="427" hidden="1" outlineLevel="1">
      <c r="A427" s="165"/>
      <c r="B427" s="174"/>
      <c r="C427" s="100" t="s">
        <v>46</v>
      </c>
      <c r="D427" s="146">
        <v>424.53</v>
      </c>
      <c r="E427" s="103">
        <v>9.0</v>
      </c>
      <c r="F427" s="103">
        <v>10.0</v>
      </c>
      <c r="G427" s="104">
        <f t="shared" si="1"/>
        <v>0.9</v>
      </c>
      <c r="H427" s="105">
        <f t="shared" si="2"/>
        <v>47.17</v>
      </c>
      <c r="I427" s="106">
        <f t="shared" si="3"/>
        <v>52.41111111</v>
      </c>
      <c r="J427" s="146">
        <v>101.69</v>
      </c>
      <c r="K427" s="103">
        <v>16550.0</v>
      </c>
      <c r="L427" s="103">
        <v>7.0</v>
      </c>
      <c r="M427" s="147">
        <v>269.7</v>
      </c>
      <c r="N427" s="109">
        <f t="shared" si="157"/>
        <v>0.3770485725</v>
      </c>
      <c r="O427" s="110">
        <f t="shared" si="5"/>
        <v>2.652178189</v>
      </c>
      <c r="P427" s="109">
        <f t="shared" si="6"/>
        <v>0.2395354863</v>
      </c>
      <c r="Q427" s="111">
        <f t="shared" si="7"/>
        <v>0.6352907922</v>
      </c>
      <c r="R427" s="112">
        <f t="shared" si="156"/>
        <v>154.83</v>
      </c>
      <c r="S427" s="113">
        <f t="shared" si="9"/>
        <v>14.52714286</v>
      </c>
      <c r="T427" s="172"/>
      <c r="U427" s="172"/>
      <c r="V427" s="172"/>
      <c r="W427" s="172"/>
      <c r="X427" s="173"/>
      <c r="Y427" s="165"/>
      <c r="Z427" s="165"/>
    </row>
    <row r="428" hidden="1" outlineLevel="1">
      <c r="A428" s="165"/>
      <c r="B428" s="174"/>
      <c r="C428" s="100" t="s">
        <v>49</v>
      </c>
      <c r="D428" s="146">
        <v>0.0</v>
      </c>
      <c r="E428" s="103">
        <v>0.0</v>
      </c>
      <c r="F428" s="103">
        <v>0.0</v>
      </c>
      <c r="G428" s="104" t="str">
        <f t="shared" si="1"/>
        <v>#DIV/0!</v>
      </c>
      <c r="H428" s="105" t="str">
        <f t="shared" si="2"/>
        <v>#DIV/0!</v>
      </c>
      <c r="I428" s="106" t="str">
        <f t="shared" si="3"/>
        <v>#DIV/0!</v>
      </c>
      <c r="J428" s="146">
        <v>3.48</v>
      </c>
      <c r="K428" s="103">
        <v>3633.0</v>
      </c>
      <c r="L428" s="103">
        <v>0.0</v>
      </c>
      <c r="M428" s="147">
        <v>0.0</v>
      </c>
      <c r="N428" s="109" t="str">
        <f t="shared" si="157"/>
        <v>#DIV/0!</v>
      </c>
      <c r="O428" s="110">
        <f t="shared" si="5"/>
        <v>0</v>
      </c>
      <c r="P428" s="109" t="str">
        <f t="shared" si="6"/>
        <v>#DIV/0!</v>
      </c>
      <c r="Q428" s="111" t="str">
        <f t="shared" si="7"/>
        <v>#DIV/0!</v>
      </c>
      <c r="R428" s="112">
        <f t="shared" si="156"/>
        <v>0</v>
      </c>
      <c r="S428" s="113" t="str">
        <f t="shared" si="9"/>
        <v>#DIV/0!</v>
      </c>
      <c r="T428" s="172"/>
      <c r="U428" s="172"/>
      <c r="V428" s="172"/>
      <c r="W428" s="172"/>
      <c r="X428" s="173"/>
      <c r="Y428" s="165"/>
      <c r="Z428" s="165"/>
    </row>
    <row r="429" hidden="1" outlineLevel="1">
      <c r="A429" s="148" t="str">
        <f t="shared" ref="A429:A430" si="158">iferror(if(B429&gt;0,month(B429)&amp;"-"&amp;year(B429),B429),)</f>
        <v>7-2025</v>
      </c>
      <c r="B429" s="99">
        <v>45864.0</v>
      </c>
      <c r="C429" s="277" t="s">
        <v>67</v>
      </c>
      <c r="D429" s="146">
        <v>0.0</v>
      </c>
      <c r="E429" s="103">
        <v>0.0</v>
      </c>
      <c r="F429" s="103">
        <v>0.0</v>
      </c>
      <c r="G429" s="104" t="str">
        <f t="shared" si="1"/>
        <v>#DIV/0!</v>
      </c>
      <c r="H429" s="105" t="str">
        <f t="shared" si="2"/>
        <v>#DIV/0!</v>
      </c>
      <c r="I429" s="106" t="str">
        <f t="shared" si="3"/>
        <v>#DIV/0!</v>
      </c>
      <c r="J429" s="117">
        <v>78.15</v>
      </c>
      <c r="K429" s="278">
        <v>25824.0</v>
      </c>
      <c r="L429" s="103">
        <v>0.0</v>
      </c>
      <c r="M429" s="118">
        <v>204.8</v>
      </c>
      <c r="N429" s="109">
        <f t="shared" si="157"/>
        <v>0.3815917969</v>
      </c>
      <c r="O429" s="110">
        <f t="shared" si="5"/>
        <v>2.620601408</v>
      </c>
      <c r="P429" s="109" t="str">
        <f t="shared" si="6"/>
        <v>#DIV/0!</v>
      </c>
      <c r="Q429" s="111" t="str">
        <f t="shared" si="7"/>
        <v>#DIV/0!</v>
      </c>
      <c r="R429" s="112">
        <f t="shared" si="156"/>
        <v>-204.8</v>
      </c>
      <c r="S429" s="113" t="str">
        <f t="shared" si="9"/>
        <v>#DIV/0!</v>
      </c>
      <c r="T429" s="172"/>
      <c r="U429" s="172"/>
      <c r="V429" s="172"/>
      <c r="W429" s="172"/>
      <c r="X429" s="173"/>
      <c r="Y429" s="165"/>
      <c r="Z429" s="165"/>
    </row>
    <row r="430" collapsed="1">
      <c r="A430" s="165" t="str">
        <f t="shared" si="158"/>
        <v/>
      </c>
      <c r="B430" s="80" t="s">
        <v>117</v>
      </c>
      <c r="C430" s="201"/>
      <c r="D430" s="151">
        <f t="shared" ref="D430:F430" si="159">SUM(D412:D429)</f>
        <v>2546.52</v>
      </c>
      <c r="E430" s="153">
        <f t="shared" si="159"/>
        <v>66</v>
      </c>
      <c r="F430" s="153">
        <f t="shared" si="159"/>
        <v>70</v>
      </c>
      <c r="G430" s="154">
        <f t="shared" si="1"/>
        <v>0.9428571429</v>
      </c>
      <c r="H430" s="155">
        <f t="shared" si="2"/>
        <v>38.58363636</v>
      </c>
      <c r="I430" s="156">
        <f t="shared" si="3"/>
        <v>40.92203857</v>
      </c>
      <c r="J430" s="151">
        <f t="shared" ref="J430:M430" si="160">SUM(J412:J429)</f>
        <v>1428.78</v>
      </c>
      <c r="K430" s="153">
        <f t="shared" si="160"/>
        <v>383094</v>
      </c>
      <c r="L430" s="153">
        <f t="shared" si="160"/>
        <v>27</v>
      </c>
      <c r="M430" s="157">
        <f t="shared" si="160"/>
        <v>1930.06</v>
      </c>
      <c r="N430" s="158">
        <f t="shared" si="157"/>
        <v>0.7402775043</v>
      </c>
      <c r="O430" s="159">
        <f t="shared" si="5"/>
        <v>1.350844777</v>
      </c>
      <c r="P430" s="158">
        <f t="shared" si="6"/>
        <v>0.56107158</v>
      </c>
      <c r="Q430" s="160">
        <f t="shared" si="7"/>
        <v>0.7579206132</v>
      </c>
      <c r="R430" s="161">
        <f>SUM(R412:R429)</f>
        <v>616.46</v>
      </c>
      <c r="S430" s="162">
        <f t="shared" si="9"/>
        <v>52.91777778</v>
      </c>
      <c r="T430" s="399">
        <f t="shared" ref="T430:U430" si="161">IFERROR((D430-D69)/D430,)</f>
        <v>-1.977129573</v>
      </c>
      <c r="U430" s="399">
        <f t="shared" si="161"/>
        <v>-0.4242424242</v>
      </c>
      <c r="V430" s="398" t="str">
        <f t="shared" ref="V430:W430" si="162">IFERROR((D430-monthly_reporting_2021!D221)/D430, )</f>
        <v/>
      </c>
      <c r="W430" s="398" t="str">
        <f t="shared" si="162"/>
        <v/>
      </c>
      <c r="X430" s="165"/>
      <c r="Y430" s="165"/>
      <c r="Z430" s="165"/>
    </row>
    <row r="431" hidden="1" outlineLevel="1">
      <c r="A431" s="165"/>
      <c r="B431" s="99">
        <v>45865.0</v>
      </c>
      <c r="C431" s="100" t="s">
        <v>32</v>
      </c>
      <c r="D431" s="101">
        <v>3049.64</v>
      </c>
      <c r="E431" s="103">
        <v>12.0</v>
      </c>
      <c r="F431" s="103">
        <v>13.0</v>
      </c>
      <c r="G431" s="104">
        <f t="shared" si="1"/>
        <v>0.9230769231</v>
      </c>
      <c r="H431" s="105">
        <f t="shared" si="2"/>
        <v>254.1366667</v>
      </c>
      <c r="I431" s="106">
        <f t="shared" si="3"/>
        <v>275.3147222</v>
      </c>
      <c r="J431" s="107">
        <v>840.83</v>
      </c>
      <c r="K431" s="103">
        <v>142970.0</v>
      </c>
      <c r="L431" s="103">
        <v>4.0</v>
      </c>
      <c r="M431" s="108">
        <v>1151.9</v>
      </c>
      <c r="N431" s="109">
        <f t="shared" si="157"/>
        <v>0.7299505165</v>
      </c>
      <c r="O431" s="110">
        <f t="shared" si="5"/>
        <v>1.369955877</v>
      </c>
      <c r="P431" s="109">
        <f t="shared" si="6"/>
        <v>0.2757145106</v>
      </c>
      <c r="Q431" s="111">
        <f t="shared" si="7"/>
        <v>0.3777167141</v>
      </c>
      <c r="R431" s="112">
        <f t="shared" ref="R431:R446" si="163">D431-M431</f>
        <v>1897.74</v>
      </c>
      <c r="S431" s="113">
        <f t="shared" si="9"/>
        <v>210.2075</v>
      </c>
      <c r="T431" s="172"/>
      <c r="U431" s="172"/>
      <c r="V431" s="172"/>
      <c r="W431" s="172"/>
      <c r="X431" s="173"/>
      <c r="Y431" s="165"/>
      <c r="Z431" s="165"/>
    </row>
    <row r="432" hidden="1" outlineLevel="1">
      <c r="A432" s="165"/>
      <c r="B432" s="174"/>
      <c r="C432" s="100" t="s">
        <v>33</v>
      </c>
      <c r="D432" s="117">
        <v>3335.45</v>
      </c>
      <c r="E432" s="103">
        <v>44.0</v>
      </c>
      <c r="F432" s="103">
        <v>49.0</v>
      </c>
      <c r="G432" s="104">
        <f t="shared" si="1"/>
        <v>0.8979591837</v>
      </c>
      <c r="H432" s="105">
        <f t="shared" si="2"/>
        <v>75.80568182</v>
      </c>
      <c r="I432" s="106">
        <f t="shared" si="3"/>
        <v>84.41996384</v>
      </c>
      <c r="J432" s="117">
        <v>515.25</v>
      </c>
      <c r="K432" s="103">
        <v>200118.0</v>
      </c>
      <c r="L432" s="103">
        <v>8.0</v>
      </c>
      <c r="M432" s="118">
        <v>634.95</v>
      </c>
      <c r="N432" s="109">
        <f t="shared" si="157"/>
        <v>0.811481219</v>
      </c>
      <c r="O432" s="110">
        <f t="shared" si="5"/>
        <v>1.23231441</v>
      </c>
      <c r="P432" s="109">
        <f t="shared" si="6"/>
        <v>0.1544769072</v>
      </c>
      <c r="Q432" s="111">
        <f t="shared" si="7"/>
        <v>0.1903641188</v>
      </c>
      <c r="R432" s="119">
        <f t="shared" si="163"/>
        <v>2700.5</v>
      </c>
      <c r="S432" s="113">
        <f t="shared" si="9"/>
        <v>64.40625</v>
      </c>
      <c r="T432" s="172"/>
      <c r="U432" s="172"/>
      <c r="V432" s="172"/>
      <c r="W432" s="172"/>
      <c r="X432" s="173"/>
      <c r="Y432" s="165"/>
      <c r="Z432" s="165"/>
    </row>
    <row r="433" hidden="1" outlineLevel="1">
      <c r="A433" s="165"/>
      <c r="B433" s="174"/>
      <c r="C433" s="100" t="s">
        <v>34</v>
      </c>
      <c r="D433" s="120">
        <v>0.0</v>
      </c>
      <c r="E433" s="103">
        <v>0.0</v>
      </c>
      <c r="F433" s="103">
        <v>0.0</v>
      </c>
      <c r="G433" s="104" t="str">
        <f t="shared" si="1"/>
        <v>#DIV/0!</v>
      </c>
      <c r="H433" s="105" t="str">
        <f t="shared" si="2"/>
        <v>#DIV/0!</v>
      </c>
      <c r="I433" s="106" t="str">
        <f t="shared" si="3"/>
        <v>#DIV/0!</v>
      </c>
      <c r="J433" s="120">
        <v>16.8</v>
      </c>
      <c r="K433" s="103">
        <v>275.0</v>
      </c>
      <c r="L433" s="103">
        <v>0.0</v>
      </c>
      <c r="M433" s="121">
        <v>0.0</v>
      </c>
      <c r="N433" s="109" t="str">
        <f>(J433/M433)</f>
        <v>#DIV/0!</v>
      </c>
      <c r="O433" s="110">
        <f t="shared" si="5"/>
        <v>0</v>
      </c>
      <c r="P433" s="109" t="str">
        <f t="shared" si="6"/>
        <v>#DIV/0!</v>
      </c>
      <c r="Q433" s="111" t="str">
        <f t="shared" si="7"/>
        <v>#DIV/0!</v>
      </c>
      <c r="R433" s="122">
        <f t="shared" si="163"/>
        <v>0</v>
      </c>
      <c r="S433" s="113" t="str">
        <f t="shared" si="9"/>
        <v>#DIV/0!</v>
      </c>
      <c r="T433" s="172"/>
      <c r="U433" s="172"/>
      <c r="V433" s="172"/>
      <c r="W433" s="172"/>
      <c r="X433" s="173"/>
      <c r="Y433" s="165"/>
      <c r="Z433" s="165"/>
    </row>
    <row r="434" hidden="1" outlineLevel="1">
      <c r="A434" s="165"/>
      <c r="B434" s="174"/>
      <c r="C434" s="100" t="s">
        <v>35</v>
      </c>
      <c r="D434" s="120">
        <v>0.0</v>
      </c>
      <c r="E434" s="103">
        <v>0.0</v>
      </c>
      <c r="F434" s="103">
        <v>0.0</v>
      </c>
      <c r="G434" s="104" t="str">
        <f t="shared" si="1"/>
        <v>#DIV/0!</v>
      </c>
      <c r="H434" s="105" t="str">
        <f t="shared" si="2"/>
        <v>#DIV/0!</v>
      </c>
      <c r="I434" s="106" t="str">
        <f t="shared" si="3"/>
        <v>#DIV/0!</v>
      </c>
      <c r="J434" s="120">
        <v>269.67</v>
      </c>
      <c r="K434" s="103">
        <v>23746.0</v>
      </c>
      <c r="L434" s="103">
        <v>3.0</v>
      </c>
      <c r="M434" s="121">
        <v>179.85</v>
      </c>
      <c r="N434" s="109">
        <f t="shared" ref="N434:N449" si="164">J434/M434</f>
        <v>1.49941618</v>
      </c>
      <c r="O434" s="110">
        <f t="shared" si="5"/>
        <v>0.6669262432</v>
      </c>
      <c r="P434" s="109" t="str">
        <f t="shared" si="6"/>
        <v>#DIV/0!</v>
      </c>
      <c r="Q434" s="111" t="str">
        <f t="shared" si="7"/>
        <v>#DIV/0!</v>
      </c>
      <c r="R434" s="122">
        <f t="shared" si="163"/>
        <v>-179.85</v>
      </c>
      <c r="S434" s="113">
        <f t="shared" si="9"/>
        <v>89.89</v>
      </c>
      <c r="T434" s="172"/>
      <c r="U434" s="172"/>
      <c r="V434" s="172"/>
      <c r="W434" s="172"/>
      <c r="X434" s="173"/>
      <c r="Y434" s="165"/>
      <c r="Z434" s="165"/>
    </row>
    <row r="435" hidden="1" outlineLevel="1">
      <c r="A435" s="165"/>
      <c r="B435" s="174"/>
      <c r="C435" s="100" t="s">
        <v>36</v>
      </c>
      <c r="D435" s="120">
        <v>0.0</v>
      </c>
      <c r="E435" s="103">
        <v>0.0</v>
      </c>
      <c r="F435" s="103">
        <v>0.0</v>
      </c>
      <c r="G435" s="104" t="str">
        <f t="shared" si="1"/>
        <v>#DIV/0!</v>
      </c>
      <c r="H435" s="105" t="str">
        <f t="shared" si="2"/>
        <v>#DIV/0!</v>
      </c>
      <c r="I435" s="106" t="str">
        <f t="shared" si="3"/>
        <v>#DIV/0!</v>
      </c>
      <c r="J435" s="120">
        <v>103.2</v>
      </c>
      <c r="K435" s="103">
        <v>17113.0</v>
      </c>
      <c r="L435" s="103">
        <v>3.0</v>
      </c>
      <c r="M435" s="121">
        <v>179.85</v>
      </c>
      <c r="N435" s="109">
        <f t="shared" si="164"/>
        <v>0.5738115096</v>
      </c>
      <c r="O435" s="110">
        <f t="shared" si="5"/>
        <v>1.742732558</v>
      </c>
      <c r="P435" s="109" t="str">
        <f t="shared" si="6"/>
        <v>#DIV/0!</v>
      </c>
      <c r="Q435" s="111" t="str">
        <f t="shared" si="7"/>
        <v>#DIV/0!</v>
      </c>
      <c r="R435" s="122">
        <f t="shared" si="163"/>
        <v>-179.85</v>
      </c>
      <c r="S435" s="113">
        <f t="shared" si="9"/>
        <v>34.4</v>
      </c>
      <c r="T435" s="172"/>
      <c r="U435" s="172"/>
      <c r="V435" s="172"/>
      <c r="W435" s="172"/>
      <c r="X435" s="173"/>
      <c r="Y435" s="165"/>
      <c r="Z435" s="165"/>
    </row>
    <row r="436" hidden="1" outlineLevel="1">
      <c r="A436" s="165"/>
      <c r="B436" s="99" t="s">
        <v>37</v>
      </c>
      <c r="C436" s="100" t="s">
        <v>38</v>
      </c>
      <c r="D436" s="123">
        <v>35.99</v>
      </c>
      <c r="E436" s="103">
        <v>1.0</v>
      </c>
      <c r="F436" s="103">
        <v>1.0</v>
      </c>
      <c r="G436" s="104">
        <f t="shared" si="1"/>
        <v>1</v>
      </c>
      <c r="H436" s="105">
        <f t="shared" si="2"/>
        <v>35.99</v>
      </c>
      <c r="I436" s="106">
        <f t="shared" si="3"/>
        <v>35.99</v>
      </c>
      <c r="J436" s="123">
        <v>47.14</v>
      </c>
      <c r="K436" s="103">
        <v>12800.0</v>
      </c>
      <c r="L436" s="103">
        <v>1.0</v>
      </c>
      <c r="M436" s="124">
        <v>35.99</v>
      </c>
      <c r="N436" s="109">
        <f t="shared" si="164"/>
        <v>1.30980828</v>
      </c>
      <c r="O436" s="110">
        <f t="shared" si="5"/>
        <v>0.7634705134</v>
      </c>
      <c r="P436" s="109">
        <f t="shared" si="6"/>
        <v>1.30980828</v>
      </c>
      <c r="Q436" s="111">
        <f t="shared" si="7"/>
        <v>1</v>
      </c>
      <c r="R436" s="125">
        <f t="shared" si="163"/>
        <v>0</v>
      </c>
      <c r="S436" s="113">
        <f t="shared" si="9"/>
        <v>47.14</v>
      </c>
      <c r="T436" s="172"/>
      <c r="U436" s="172"/>
      <c r="V436" s="172"/>
      <c r="W436" s="172"/>
      <c r="X436" s="173"/>
      <c r="Y436" s="165"/>
      <c r="Z436" s="165"/>
    </row>
    <row r="437" hidden="1" outlineLevel="1">
      <c r="A437" s="165"/>
      <c r="B437" s="174"/>
      <c r="C437" s="100" t="s">
        <v>39</v>
      </c>
      <c r="D437" s="126">
        <v>24.95</v>
      </c>
      <c r="E437" s="103">
        <v>1.0</v>
      </c>
      <c r="F437" s="103">
        <v>1.0</v>
      </c>
      <c r="G437" s="104">
        <f t="shared" si="1"/>
        <v>1</v>
      </c>
      <c r="H437" s="105">
        <f t="shared" si="2"/>
        <v>24.95</v>
      </c>
      <c r="I437" s="106">
        <f t="shared" si="3"/>
        <v>24.95</v>
      </c>
      <c r="J437" s="126">
        <v>0.0</v>
      </c>
      <c r="K437" s="103">
        <v>0.0</v>
      </c>
      <c r="L437" s="103">
        <v>0.0</v>
      </c>
      <c r="M437" s="127">
        <v>0.0</v>
      </c>
      <c r="N437" s="109" t="str">
        <f t="shared" si="164"/>
        <v>#DIV/0!</v>
      </c>
      <c r="O437" s="110" t="str">
        <f t="shared" si="5"/>
        <v>#DIV/0!</v>
      </c>
      <c r="P437" s="109">
        <f t="shared" si="6"/>
        <v>0</v>
      </c>
      <c r="Q437" s="111">
        <f t="shared" si="7"/>
        <v>0</v>
      </c>
      <c r="R437" s="128">
        <f t="shared" si="163"/>
        <v>24.95</v>
      </c>
      <c r="S437" s="113" t="str">
        <f t="shared" si="9"/>
        <v>#DIV/0!</v>
      </c>
      <c r="T437" s="172"/>
      <c r="U437" s="172"/>
      <c r="V437" s="172"/>
      <c r="W437" s="172"/>
      <c r="X437" s="173"/>
      <c r="Y437" s="165"/>
      <c r="Z437" s="165"/>
    </row>
    <row r="438" hidden="1" outlineLevel="1">
      <c r="A438" s="165"/>
      <c r="B438" s="174"/>
      <c r="C438" s="100" t="s">
        <v>40</v>
      </c>
      <c r="D438" s="129">
        <v>219.8</v>
      </c>
      <c r="E438" s="103">
        <v>4.0</v>
      </c>
      <c r="F438" s="103">
        <v>3.0</v>
      </c>
      <c r="G438" s="104">
        <f t="shared" si="1"/>
        <v>1.333333333</v>
      </c>
      <c r="H438" s="105">
        <f t="shared" si="2"/>
        <v>54.95</v>
      </c>
      <c r="I438" s="106">
        <f t="shared" si="3"/>
        <v>41.2125</v>
      </c>
      <c r="J438" s="129">
        <v>0.0</v>
      </c>
      <c r="K438" s="103">
        <v>0.0</v>
      </c>
      <c r="L438" s="103">
        <v>0.0</v>
      </c>
      <c r="M438" s="130">
        <v>0.0</v>
      </c>
      <c r="N438" s="109" t="str">
        <f t="shared" si="164"/>
        <v>#DIV/0!</v>
      </c>
      <c r="O438" s="110" t="str">
        <f t="shared" si="5"/>
        <v>#DIV/0!</v>
      </c>
      <c r="P438" s="109">
        <f t="shared" si="6"/>
        <v>0</v>
      </c>
      <c r="Q438" s="111">
        <f t="shared" si="7"/>
        <v>0</v>
      </c>
      <c r="R438" s="131">
        <f t="shared" si="163"/>
        <v>219.8</v>
      </c>
      <c r="S438" s="113" t="str">
        <f t="shared" si="9"/>
        <v>#DIV/0!</v>
      </c>
      <c r="T438" s="172"/>
      <c r="U438" s="172"/>
      <c r="V438" s="172"/>
      <c r="W438" s="172"/>
      <c r="X438" s="173"/>
      <c r="Y438" s="165"/>
      <c r="Z438" s="165"/>
    </row>
    <row r="439" hidden="1" outlineLevel="1">
      <c r="A439" s="165"/>
      <c r="B439" s="174"/>
      <c r="C439" s="100" t="s">
        <v>41</v>
      </c>
      <c r="D439" s="132">
        <v>498.97</v>
      </c>
      <c r="E439" s="103">
        <v>5.0</v>
      </c>
      <c r="F439" s="103">
        <v>5.0</v>
      </c>
      <c r="G439" s="104">
        <f t="shared" si="1"/>
        <v>1</v>
      </c>
      <c r="H439" s="105">
        <f t="shared" si="2"/>
        <v>99.794</v>
      </c>
      <c r="I439" s="106">
        <f t="shared" si="3"/>
        <v>99.794</v>
      </c>
      <c r="J439" s="132">
        <v>299.11</v>
      </c>
      <c r="K439" s="103">
        <v>29821.0</v>
      </c>
      <c r="L439" s="103">
        <v>3.0</v>
      </c>
      <c r="M439" s="133">
        <v>258.98</v>
      </c>
      <c r="N439" s="109">
        <f t="shared" si="164"/>
        <v>1.154954051</v>
      </c>
      <c r="O439" s="110">
        <f t="shared" si="5"/>
        <v>0.8658353114</v>
      </c>
      <c r="P439" s="109">
        <f t="shared" si="6"/>
        <v>0.599454877</v>
      </c>
      <c r="Q439" s="111">
        <f t="shared" si="7"/>
        <v>0.5190292002</v>
      </c>
      <c r="R439" s="134">
        <f t="shared" si="163"/>
        <v>239.99</v>
      </c>
      <c r="S439" s="113">
        <f t="shared" si="9"/>
        <v>99.70333333</v>
      </c>
      <c r="T439" s="172"/>
      <c r="U439" s="172"/>
      <c r="V439" s="172"/>
      <c r="W439" s="172"/>
      <c r="X439" s="173"/>
      <c r="Y439" s="165"/>
      <c r="Z439" s="165"/>
    </row>
    <row r="440" hidden="1" outlineLevel="1">
      <c r="A440" s="165"/>
      <c r="B440" s="174"/>
      <c r="C440" s="100" t="s">
        <v>42</v>
      </c>
      <c r="D440" s="120">
        <v>0.0</v>
      </c>
      <c r="E440" s="103">
        <v>0.0</v>
      </c>
      <c r="F440" s="103">
        <v>0.0</v>
      </c>
      <c r="G440" s="104" t="str">
        <f t="shared" si="1"/>
        <v>#DIV/0!</v>
      </c>
      <c r="H440" s="105" t="str">
        <f t="shared" si="2"/>
        <v>#DIV/0!</v>
      </c>
      <c r="I440" s="106" t="str">
        <f t="shared" si="3"/>
        <v>#DIV/0!</v>
      </c>
      <c r="J440" s="120">
        <v>0.0</v>
      </c>
      <c r="K440" s="103">
        <v>0.0</v>
      </c>
      <c r="L440" s="103">
        <v>0.0</v>
      </c>
      <c r="M440" s="121">
        <v>0.0</v>
      </c>
      <c r="N440" s="109" t="str">
        <f t="shared" si="164"/>
        <v>#DIV/0!</v>
      </c>
      <c r="O440" s="110" t="str">
        <f t="shared" si="5"/>
        <v>#DIV/0!</v>
      </c>
      <c r="P440" s="109" t="str">
        <f t="shared" si="6"/>
        <v>#DIV/0!</v>
      </c>
      <c r="Q440" s="111" t="str">
        <f t="shared" si="7"/>
        <v>#DIV/0!</v>
      </c>
      <c r="R440" s="122">
        <f t="shared" si="163"/>
        <v>0</v>
      </c>
      <c r="S440" s="113" t="str">
        <f t="shared" si="9"/>
        <v>#DIV/0!</v>
      </c>
      <c r="T440" s="172"/>
      <c r="U440" s="172"/>
      <c r="V440" s="172"/>
      <c r="W440" s="172"/>
      <c r="X440" s="173"/>
      <c r="Y440" s="165"/>
      <c r="Z440" s="165"/>
    </row>
    <row r="441" hidden="1" outlineLevel="1">
      <c r="A441" s="165"/>
      <c r="B441" s="174"/>
      <c r="C441" s="100" t="s">
        <v>43</v>
      </c>
      <c r="D441" s="135">
        <v>215.95</v>
      </c>
      <c r="E441" s="103">
        <v>1.0</v>
      </c>
      <c r="F441" s="103">
        <v>1.0</v>
      </c>
      <c r="G441" s="104">
        <f t="shared" si="1"/>
        <v>1</v>
      </c>
      <c r="H441" s="105">
        <f t="shared" si="2"/>
        <v>215.95</v>
      </c>
      <c r="I441" s="106">
        <f t="shared" si="3"/>
        <v>215.95</v>
      </c>
      <c r="J441" s="135">
        <v>64.16</v>
      </c>
      <c r="K441" s="103">
        <v>15185.0</v>
      </c>
      <c r="L441" s="103">
        <v>0.0</v>
      </c>
      <c r="M441" s="136">
        <v>0.0</v>
      </c>
      <c r="N441" s="109" t="str">
        <f t="shared" si="164"/>
        <v>#DIV/0!</v>
      </c>
      <c r="O441" s="110">
        <f t="shared" si="5"/>
        <v>0</v>
      </c>
      <c r="P441" s="109">
        <f t="shared" si="6"/>
        <v>0.2971058115</v>
      </c>
      <c r="Q441" s="111">
        <f t="shared" si="7"/>
        <v>0</v>
      </c>
      <c r="R441" s="137">
        <f t="shared" si="163"/>
        <v>215.95</v>
      </c>
      <c r="S441" s="113" t="str">
        <f t="shared" si="9"/>
        <v>#DIV/0!</v>
      </c>
      <c r="T441" s="172"/>
      <c r="U441" s="172"/>
      <c r="V441" s="172"/>
      <c r="W441" s="172"/>
      <c r="X441" s="173"/>
      <c r="Y441" s="165"/>
      <c r="Z441" s="165"/>
    </row>
    <row r="442" hidden="1" outlineLevel="1">
      <c r="A442" s="165"/>
      <c r="B442" s="174"/>
      <c r="C442" s="100" t="s">
        <v>44</v>
      </c>
      <c r="D442" s="138">
        <v>179.8</v>
      </c>
      <c r="E442" s="103">
        <v>4.0</v>
      </c>
      <c r="F442" s="103">
        <v>5.0</v>
      </c>
      <c r="G442" s="104">
        <f t="shared" si="1"/>
        <v>0.8</v>
      </c>
      <c r="H442" s="105">
        <f t="shared" si="2"/>
        <v>44.95</v>
      </c>
      <c r="I442" s="106">
        <f t="shared" si="3"/>
        <v>56.1875</v>
      </c>
      <c r="J442" s="138">
        <v>128.86</v>
      </c>
      <c r="K442" s="103">
        <v>54053.0</v>
      </c>
      <c r="L442" s="103">
        <v>4.0</v>
      </c>
      <c r="M442" s="139">
        <v>179.8</v>
      </c>
      <c r="N442" s="109">
        <f t="shared" si="164"/>
        <v>0.7166852058</v>
      </c>
      <c r="O442" s="110">
        <f t="shared" si="5"/>
        <v>1.395312743</v>
      </c>
      <c r="P442" s="109">
        <f t="shared" si="6"/>
        <v>0.7166852058</v>
      </c>
      <c r="Q442" s="111">
        <f t="shared" si="7"/>
        <v>1</v>
      </c>
      <c r="R442" s="140">
        <f t="shared" si="163"/>
        <v>0</v>
      </c>
      <c r="S442" s="113">
        <f t="shared" si="9"/>
        <v>32.215</v>
      </c>
      <c r="T442" s="172"/>
      <c r="U442" s="172"/>
      <c r="V442" s="172"/>
      <c r="W442" s="172"/>
      <c r="X442" s="173"/>
      <c r="Y442" s="165"/>
      <c r="Z442" s="165"/>
    </row>
    <row r="443" hidden="1" outlineLevel="1">
      <c r="A443" s="192"/>
      <c r="B443" s="174"/>
      <c r="C443" s="142" t="s">
        <v>45</v>
      </c>
      <c r="D443" s="101">
        <v>729.51</v>
      </c>
      <c r="E443" s="103">
        <v>13.0</v>
      </c>
      <c r="F443" s="103">
        <v>13.0</v>
      </c>
      <c r="G443" s="104">
        <f t="shared" si="1"/>
        <v>1</v>
      </c>
      <c r="H443" s="105">
        <f t="shared" si="2"/>
        <v>56.11615385</v>
      </c>
      <c r="I443" s="106">
        <f t="shared" si="3"/>
        <v>56.11615385</v>
      </c>
      <c r="J443" s="101">
        <v>0.0</v>
      </c>
      <c r="K443" s="103">
        <v>0.0</v>
      </c>
      <c r="L443" s="103">
        <v>0.0</v>
      </c>
      <c r="M443" s="108">
        <v>0.0</v>
      </c>
      <c r="N443" s="109" t="str">
        <f t="shared" si="164"/>
        <v>#DIV/0!</v>
      </c>
      <c r="O443" s="110" t="str">
        <f t="shared" si="5"/>
        <v>#DIV/0!</v>
      </c>
      <c r="P443" s="109">
        <f t="shared" si="6"/>
        <v>0</v>
      </c>
      <c r="Q443" s="111">
        <f t="shared" si="7"/>
        <v>0</v>
      </c>
      <c r="R443" s="112">
        <f t="shared" si="163"/>
        <v>729.51</v>
      </c>
      <c r="S443" s="113" t="str">
        <f t="shared" si="9"/>
        <v>#DIV/0!</v>
      </c>
      <c r="T443" s="193"/>
      <c r="U443" s="193"/>
      <c r="V443" s="193"/>
      <c r="W443" s="194"/>
      <c r="X443" s="195"/>
      <c r="Y443" s="165"/>
      <c r="Z443" s="165"/>
    </row>
    <row r="444" hidden="1" outlineLevel="1">
      <c r="A444" s="165"/>
      <c r="B444" s="174"/>
      <c r="C444" s="100" t="s">
        <v>46</v>
      </c>
      <c r="D444" s="146">
        <v>807.1</v>
      </c>
      <c r="E444" s="103">
        <v>18.0</v>
      </c>
      <c r="F444" s="103">
        <v>17.0</v>
      </c>
      <c r="G444" s="104">
        <f t="shared" si="1"/>
        <v>1.058823529</v>
      </c>
      <c r="H444" s="105">
        <f t="shared" si="2"/>
        <v>44.83888889</v>
      </c>
      <c r="I444" s="106">
        <f t="shared" si="3"/>
        <v>42.34783951</v>
      </c>
      <c r="J444" s="146">
        <v>111.83</v>
      </c>
      <c r="K444" s="103">
        <v>24815.0</v>
      </c>
      <c r="L444" s="103">
        <v>7.0</v>
      </c>
      <c r="M444" s="147">
        <v>309.65</v>
      </c>
      <c r="N444" s="109">
        <f t="shared" si="164"/>
        <v>0.3611496851</v>
      </c>
      <c r="O444" s="110">
        <f t="shared" si="5"/>
        <v>2.768934991</v>
      </c>
      <c r="P444" s="109">
        <f t="shared" si="6"/>
        <v>0.1385577995</v>
      </c>
      <c r="Q444" s="111">
        <f t="shared" si="7"/>
        <v>0.3836575393</v>
      </c>
      <c r="R444" s="112">
        <f t="shared" si="163"/>
        <v>497.45</v>
      </c>
      <c r="S444" s="113">
        <f t="shared" si="9"/>
        <v>15.97571429</v>
      </c>
      <c r="T444" s="172"/>
      <c r="U444" s="172"/>
      <c r="V444" s="172"/>
      <c r="W444" s="172"/>
      <c r="X444" s="173"/>
      <c r="Y444" s="165"/>
      <c r="Z444" s="165"/>
    </row>
    <row r="445" hidden="1" outlineLevel="1">
      <c r="A445" s="165"/>
      <c r="B445" s="174"/>
      <c r="C445" s="100" t="s">
        <v>49</v>
      </c>
      <c r="D445" s="146">
        <v>0.0</v>
      </c>
      <c r="E445" s="103">
        <v>0.0</v>
      </c>
      <c r="F445" s="103">
        <v>0.0</v>
      </c>
      <c r="G445" s="104" t="str">
        <f t="shared" si="1"/>
        <v>#DIV/0!</v>
      </c>
      <c r="H445" s="105" t="str">
        <f t="shared" si="2"/>
        <v>#DIV/0!</v>
      </c>
      <c r="I445" s="106" t="str">
        <f t="shared" si="3"/>
        <v>#DIV/0!</v>
      </c>
      <c r="J445" s="146">
        <v>8.38</v>
      </c>
      <c r="K445" s="103">
        <v>11690.0</v>
      </c>
      <c r="L445" s="103">
        <v>0.0</v>
      </c>
      <c r="M445" s="147">
        <v>0.0</v>
      </c>
      <c r="N445" s="109" t="str">
        <f t="shared" si="164"/>
        <v>#DIV/0!</v>
      </c>
      <c r="O445" s="110">
        <f t="shared" si="5"/>
        <v>0</v>
      </c>
      <c r="P445" s="109" t="str">
        <f t="shared" si="6"/>
        <v>#DIV/0!</v>
      </c>
      <c r="Q445" s="111" t="str">
        <f t="shared" si="7"/>
        <v>#DIV/0!</v>
      </c>
      <c r="R445" s="112">
        <f t="shared" si="163"/>
        <v>0</v>
      </c>
      <c r="S445" s="113" t="str">
        <f t="shared" si="9"/>
        <v>#DIV/0!</v>
      </c>
      <c r="T445" s="172"/>
      <c r="U445" s="172"/>
      <c r="V445" s="172"/>
      <c r="W445" s="172"/>
      <c r="X445" s="173"/>
      <c r="Y445" s="165"/>
      <c r="Z445" s="165"/>
    </row>
    <row r="446" hidden="1" outlineLevel="1">
      <c r="A446" s="148" t="str">
        <f t="shared" ref="A446:A447" si="165">iferror(if(B446&gt;0,month(B446)&amp;"-"&amp;year(B446),B446),)</f>
        <v>8-2025</v>
      </c>
      <c r="B446" s="99">
        <v>45871.0</v>
      </c>
      <c r="C446" s="277" t="s">
        <v>67</v>
      </c>
      <c r="D446" s="146">
        <v>0.0</v>
      </c>
      <c r="E446" s="103">
        <v>0.0</v>
      </c>
      <c r="F446" s="103">
        <v>0.0</v>
      </c>
      <c r="G446" s="104" t="str">
        <f t="shared" si="1"/>
        <v>#DIV/0!</v>
      </c>
      <c r="H446" s="105" t="str">
        <f t="shared" si="2"/>
        <v>#DIV/0!</v>
      </c>
      <c r="I446" s="106" t="str">
        <f t="shared" si="3"/>
        <v>#DIV/0!</v>
      </c>
      <c r="J446" s="117">
        <v>297.6</v>
      </c>
      <c r="K446" s="278">
        <v>79848.0</v>
      </c>
      <c r="L446" s="103">
        <v>0.0</v>
      </c>
      <c r="M446" s="118">
        <v>1244.01</v>
      </c>
      <c r="N446" s="109">
        <f t="shared" si="164"/>
        <v>0.2392263728</v>
      </c>
      <c r="O446" s="110">
        <f t="shared" si="5"/>
        <v>4.180141129</v>
      </c>
      <c r="P446" s="109" t="str">
        <f t="shared" si="6"/>
        <v>#DIV/0!</v>
      </c>
      <c r="Q446" s="111" t="str">
        <f t="shared" si="7"/>
        <v>#DIV/0!</v>
      </c>
      <c r="R446" s="112">
        <f t="shared" si="163"/>
        <v>-1244.01</v>
      </c>
      <c r="S446" s="113" t="str">
        <f t="shared" si="9"/>
        <v>#DIV/0!</v>
      </c>
      <c r="T446" s="172"/>
      <c r="U446" s="172"/>
      <c r="V446" s="172"/>
      <c r="W446" s="172"/>
      <c r="X446" s="173"/>
      <c r="Y446" s="165"/>
      <c r="Z446" s="165"/>
    </row>
    <row r="447" collapsed="1">
      <c r="A447" s="165" t="str">
        <f t="shared" si="165"/>
        <v/>
      </c>
      <c r="B447" s="80" t="s">
        <v>118</v>
      </c>
      <c r="C447" s="201"/>
      <c r="D447" s="151">
        <f t="shared" ref="D447:F447" si="166">SUM(D431:D446)</f>
        <v>9097.16</v>
      </c>
      <c r="E447" s="153">
        <f t="shared" si="166"/>
        <v>103</v>
      </c>
      <c r="F447" s="153">
        <f t="shared" si="166"/>
        <v>108</v>
      </c>
      <c r="G447" s="154">
        <f t="shared" si="1"/>
        <v>0.9537037037</v>
      </c>
      <c r="H447" s="155">
        <f t="shared" si="2"/>
        <v>88.32194175</v>
      </c>
      <c r="I447" s="156">
        <f t="shared" si="3"/>
        <v>92.60941465</v>
      </c>
      <c r="J447" s="151">
        <f t="shared" ref="J447:M447" si="167">SUM(J431:J446)</f>
        <v>2702.83</v>
      </c>
      <c r="K447" s="153">
        <f t="shared" si="167"/>
        <v>612434</v>
      </c>
      <c r="L447" s="153">
        <f t="shared" si="167"/>
        <v>33</v>
      </c>
      <c r="M447" s="157">
        <f t="shared" si="167"/>
        <v>4174.98</v>
      </c>
      <c r="N447" s="158">
        <f t="shared" si="164"/>
        <v>0.6473875324</v>
      </c>
      <c r="O447" s="159">
        <f t="shared" si="5"/>
        <v>1.544669846</v>
      </c>
      <c r="P447" s="158">
        <f t="shared" si="6"/>
        <v>0.2971070092</v>
      </c>
      <c r="Q447" s="160">
        <f t="shared" si="7"/>
        <v>0.4589322382</v>
      </c>
      <c r="R447" s="161">
        <f>SUM(R431:R446)</f>
        <v>4922.18</v>
      </c>
      <c r="S447" s="162">
        <f t="shared" si="9"/>
        <v>81.90393939</v>
      </c>
      <c r="T447" s="163">
        <f t="shared" ref="T447:U447" si="168">IFERROR((D447-D69)/D447,)</f>
        <v>0.1666278267</v>
      </c>
      <c r="U447" s="163">
        <f t="shared" si="168"/>
        <v>0.08737864078</v>
      </c>
      <c r="V447" s="398" t="str">
        <f t="shared" ref="V447:W447" si="169">IFERROR((D447-monthly_reporting_2021!D238)/D447, )</f>
        <v/>
      </c>
      <c r="W447" s="398" t="str">
        <f t="shared" si="169"/>
        <v/>
      </c>
      <c r="X447" s="165"/>
      <c r="Y447" s="165"/>
      <c r="Z447" s="165"/>
    </row>
    <row r="448" hidden="1" outlineLevel="1">
      <c r="A448" s="165"/>
      <c r="B448" s="99">
        <v>45872.0</v>
      </c>
      <c r="C448" s="100" t="s">
        <v>32</v>
      </c>
      <c r="D448" s="101">
        <v>2641.7</v>
      </c>
      <c r="E448" s="103">
        <v>14.0</v>
      </c>
      <c r="F448" s="103">
        <v>15.0</v>
      </c>
      <c r="G448" s="104">
        <f t="shared" si="1"/>
        <v>0.9333333333</v>
      </c>
      <c r="H448" s="105">
        <f t="shared" si="2"/>
        <v>188.6928571</v>
      </c>
      <c r="I448" s="106">
        <f t="shared" si="3"/>
        <v>202.1709184</v>
      </c>
      <c r="J448" s="107">
        <v>914.85</v>
      </c>
      <c r="K448" s="103">
        <v>156774.0</v>
      </c>
      <c r="L448" s="103">
        <v>7.0</v>
      </c>
      <c r="M448" s="108">
        <v>1524.9</v>
      </c>
      <c r="N448" s="109">
        <f t="shared" si="164"/>
        <v>0.5999409797</v>
      </c>
      <c r="O448" s="110">
        <f t="shared" si="5"/>
        <v>1.666830628</v>
      </c>
      <c r="P448" s="109">
        <f t="shared" si="6"/>
        <v>0.3463110876</v>
      </c>
      <c r="Q448" s="111">
        <f t="shared" si="7"/>
        <v>0.5772419275</v>
      </c>
      <c r="R448" s="112">
        <f t="shared" ref="R448:R463" si="170">D448-M448</f>
        <v>1116.8</v>
      </c>
      <c r="S448" s="113">
        <f t="shared" si="9"/>
        <v>130.6928571</v>
      </c>
      <c r="T448" s="172"/>
      <c r="U448" s="172"/>
      <c r="V448" s="172"/>
      <c r="W448" s="172"/>
      <c r="X448" s="173"/>
      <c r="Y448" s="165"/>
      <c r="Z448" s="165"/>
    </row>
    <row r="449" hidden="1" outlineLevel="1">
      <c r="A449" s="165"/>
      <c r="B449" s="174"/>
      <c r="C449" s="100" t="s">
        <v>33</v>
      </c>
      <c r="D449" s="117">
        <v>4894.68</v>
      </c>
      <c r="E449" s="103">
        <v>51.0</v>
      </c>
      <c r="F449" s="103">
        <v>53.0</v>
      </c>
      <c r="G449" s="104">
        <f t="shared" si="1"/>
        <v>0.9622641509</v>
      </c>
      <c r="H449" s="105">
        <f t="shared" si="2"/>
        <v>95.97411765</v>
      </c>
      <c r="I449" s="106">
        <f t="shared" si="3"/>
        <v>99.73780854</v>
      </c>
      <c r="J449" s="117">
        <v>454.16</v>
      </c>
      <c r="K449" s="103">
        <v>182523.0</v>
      </c>
      <c r="L449" s="103">
        <v>9.0</v>
      </c>
      <c r="M449" s="118">
        <v>1633.8</v>
      </c>
      <c r="N449" s="109">
        <f t="shared" si="164"/>
        <v>0.2779777207</v>
      </c>
      <c r="O449" s="110">
        <f t="shared" si="5"/>
        <v>3.597410604</v>
      </c>
      <c r="P449" s="109">
        <f t="shared" si="6"/>
        <v>0.09278645386</v>
      </c>
      <c r="Q449" s="111">
        <f t="shared" si="7"/>
        <v>0.3337909731</v>
      </c>
      <c r="R449" s="119">
        <f t="shared" si="170"/>
        <v>3260.88</v>
      </c>
      <c r="S449" s="113">
        <f t="shared" si="9"/>
        <v>50.46222222</v>
      </c>
      <c r="T449" s="172"/>
      <c r="U449" s="172"/>
      <c r="V449" s="172"/>
      <c r="W449" s="172"/>
      <c r="X449" s="173"/>
      <c r="Y449" s="165"/>
      <c r="Z449" s="165"/>
    </row>
    <row r="450" hidden="1" outlineLevel="1">
      <c r="A450" s="165"/>
      <c r="B450" s="174"/>
      <c r="C450" s="100" t="s">
        <v>34</v>
      </c>
      <c r="D450" s="120">
        <v>209.85</v>
      </c>
      <c r="E450" s="103">
        <v>3.0</v>
      </c>
      <c r="F450" s="103">
        <v>2.0</v>
      </c>
      <c r="G450" s="104">
        <f t="shared" si="1"/>
        <v>1.5</v>
      </c>
      <c r="H450" s="105">
        <f t="shared" si="2"/>
        <v>69.95</v>
      </c>
      <c r="I450" s="106">
        <f t="shared" si="3"/>
        <v>46.63333333</v>
      </c>
      <c r="J450" s="120">
        <v>8.4</v>
      </c>
      <c r="K450" s="103">
        <v>231.0</v>
      </c>
      <c r="L450" s="103">
        <v>0.0</v>
      </c>
      <c r="M450" s="121">
        <v>0.0</v>
      </c>
      <c r="N450" s="109" t="str">
        <f>(J450/M450)</f>
        <v>#DIV/0!</v>
      </c>
      <c r="O450" s="110">
        <f t="shared" si="5"/>
        <v>0</v>
      </c>
      <c r="P450" s="109">
        <f t="shared" si="6"/>
        <v>0.04002859185</v>
      </c>
      <c r="Q450" s="111">
        <f t="shared" si="7"/>
        <v>0</v>
      </c>
      <c r="R450" s="122">
        <f t="shared" si="170"/>
        <v>209.85</v>
      </c>
      <c r="S450" s="113" t="str">
        <f t="shared" si="9"/>
        <v>#DIV/0!</v>
      </c>
      <c r="T450" s="172"/>
      <c r="U450" s="172"/>
      <c r="V450" s="172"/>
      <c r="W450" s="172"/>
      <c r="X450" s="173"/>
      <c r="Y450" s="165"/>
      <c r="Z450" s="165"/>
    </row>
    <row r="451" hidden="1" outlineLevel="1">
      <c r="A451" s="165"/>
      <c r="B451" s="174"/>
      <c r="C451" s="100" t="s">
        <v>35</v>
      </c>
      <c r="D451" s="120">
        <v>779.35</v>
      </c>
      <c r="E451" s="103">
        <v>13.0</v>
      </c>
      <c r="F451" s="103">
        <v>10.0</v>
      </c>
      <c r="G451" s="104">
        <f t="shared" si="1"/>
        <v>1.3</v>
      </c>
      <c r="H451" s="105">
        <f t="shared" si="2"/>
        <v>59.95</v>
      </c>
      <c r="I451" s="106">
        <f t="shared" si="3"/>
        <v>46.11538462</v>
      </c>
      <c r="J451" s="120">
        <v>283.74</v>
      </c>
      <c r="K451" s="103">
        <v>23159.0</v>
      </c>
      <c r="L451" s="103">
        <v>8.0</v>
      </c>
      <c r="M451" s="121">
        <v>479.6</v>
      </c>
      <c r="N451" s="109">
        <f t="shared" ref="N451:N466" si="171">J451/M451</f>
        <v>0.591618015</v>
      </c>
      <c r="O451" s="110">
        <f t="shared" si="5"/>
        <v>1.690279834</v>
      </c>
      <c r="P451" s="109">
        <f t="shared" si="6"/>
        <v>0.3640726246</v>
      </c>
      <c r="Q451" s="111">
        <f t="shared" si="7"/>
        <v>0.6153846154</v>
      </c>
      <c r="R451" s="122">
        <f t="shared" si="170"/>
        <v>299.75</v>
      </c>
      <c r="S451" s="113">
        <f t="shared" si="9"/>
        <v>35.4675</v>
      </c>
      <c r="T451" s="172"/>
      <c r="U451" s="172"/>
      <c r="V451" s="172"/>
      <c r="W451" s="172"/>
      <c r="X451" s="173"/>
      <c r="Y451" s="165"/>
      <c r="Z451" s="165"/>
    </row>
    <row r="452" hidden="1" outlineLevel="1">
      <c r="A452" s="165"/>
      <c r="B452" s="174"/>
      <c r="C452" s="100" t="s">
        <v>36</v>
      </c>
      <c r="D452" s="120">
        <v>179.85</v>
      </c>
      <c r="E452" s="103">
        <v>3.0</v>
      </c>
      <c r="F452" s="103">
        <v>4.0</v>
      </c>
      <c r="G452" s="104">
        <f t="shared" si="1"/>
        <v>0.75</v>
      </c>
      <c r="H452" s="105">
        <f t="shared" si="2"/>
        <v>59.95</v>
      </c>
      <c r="I452" s="106">
        <f t="shared" si="3"/>
        <v>79.93333333</v>
      </c>
      <c r="J452" s="120">
        <v>88.23</v>
      </c>
      <c r="K452" s="103">
        <v>19717.0</v>
      </c>
      <c r="L452" s="103">
        <v>2.0</v>
      </c>
      <c r="M452" s="121">
        <v>119.9</v>
      </c>
      <c r="N452" s="109">
        <f t="shared" si="171"/>
        <v>0.7358632193</v>
      </c>
      <c r="O452" s="110">
        <f t="shared" si="5"/>
        <v>1.358948204</v>
      </c>
      <c r="P452" s="109">
        <f t="shared" si="6"/>
        <v>0.4905754796</v>
      </c>
      <c r="Q452" s="111">
        <f t="shared" si="7"/>
        <v>0.6666666667</v>
      </c>
      <c r="R452" s="122">
        <f t="shared" si="170"/>
        <v>59.95</v>
      </c>
      <c r="S452" s="113">
        <f t="shared" si="9"/>
        <v>44.115</v>
      </c>
      <c r="T452" s="172"/>
      <c r="U452" s="172"/>
      <c r="V452" s="172"/>
      <c r="W452" s="172"/>
      <c r="X452" s="173"/>
      <c r="Y452" s="165"/>
      <c r="Z452" s="165"/>
    </row>
    <row r="453" hidden="1" outlineLevel="1">
      <c r="A453" s="165"/>
      <c r="B453" s="99" t="s">
        <v>37</v>
      </c>
      <c r="C453" s="100" t="s">
        <v>38</v>
      </c>
      <c r="D453" s="123">
        <v>29.95</v>
      </c>
      <c r="E453" s="103">
        <v>1.0</v>
      </c>
      <c r="F453" s="103">
        <v>1.0</v>
      </c>
      <c r="G453" s="104">
        <f t="shared" si="1"/>
        <v>1</v>
      </c>
      <c r="H453" s="105">
        <f t="shared" si="2"/>
        <v>29.95</v>
      </c>
      <c r="I453" s="106">
        <f t="shared" si="3"/>
        <v>29.95</v>
      </c>
      <c r="J453" s="123">
        <v>59.13</v>
      </c>
      <c r="K453" s="103">
        <v>13495.0</v>
      </c>
      <c r="L453" s="103">
        <v>0.0</v>
      </c>
      <c r="M453" s="124">
        <v>0.0</v>
      </c>
      <c r="N453" s="109" t="str">
        <f t="shared" si="171"/>
        <v>#DIV/0!</v>
      </c>
      <c r="O453" s="110">
        <f t="shared" si="5"/>
        <v>0</v>
      </c>
      <c r="P453" s="109">
        <f t="shared" si="6"/>
        <v>1.974290484</v>
      </c>
      <c r="Q453" s="111">
        <f t="shared" si="7"/>
        <v>0</v>
      </c>
      <c r="R453" s="125">
        <f t="shared" si="170"/>
        <v>29.95</v>
      </c>
      <c r="S453" s="113" t="str">
        <f t="shared" si="9"/>
        <v>#DIV/0!</v>
      </c>
      <c r="T453" s="172"/>
      <c r="U453" s="172"/>
      <c r="V453" s="172"/>
      <c r="W453" s="172"/>
      <c r="X453" s="173"/>
      <c r="Y453" s="165"/>
      <c r="Z453" s="165"/>
    </row>
    <row r="454" hidden="1" outlineLevel="1">
      <c r="A454" s="165"/>
      <c r="B454" s="174"/>
      <c r="C454" s="100" t="s">
        <v>39</v>
      </c>
      <c r="D454" s="126">
        <v>0.0</v>
      </c>
      <c r="E454" s="103">
        <v>0.0</v>
      </c>
      <c r="F454" s="103">
        <v>0.0</v>
      </c>
      <c r="G454" s="104" t="str">
        <f t="shared" si="1"/>
        <v>#DIV/0!</v>
      </c>
      <c r="H454" s="105" t="str">
        <f t="shared" si="2"/>
        <v>#DIV/0!</v>
      </c>
      <c r="I454" s="106" t="str">
        <f t="shared" si="3"/>
        <v>#DIV/0!</v>
      </c>
      <c r="J454" s="126">
        <v>0.0</v>
      </c>
      <c r="K454" s="103">
        <v>0.0</v>
      </c>
      <c r="L454" s="103">
        <v>0.0</v>
      </c>
      <c r="M454" s="127">
        <v>0.0</v>
      </c>
      <c r="N454" s="109" t="str">
        <f t="shared" si="171"/>
        <v>#DIV/0!</v>
      </c>
      <c r="O454" s="110" t="str">
        <f t="shared" si="5"/>
        <v>#DIV/0!</v>
      </c>
      <c r="P454" s="109" t="str">
        <f t="shared" si="6"/>
        <v>#DIV/0!</v>
      </c>
      <c r="Q454" s="111" t="str">
        <f t="shared" si="7"/>
        <v>#DIV/0!</v>
      </c>
      <c r="R454" s="128">
        <f t="shared" si="170"/>
        <v>0</v>
      </c>
      <c r="S454" s="113" t="str">
        <f t="shared" si="9"/>
        <v>#DIV/0!</v>
      </c>
      <c r="T454" s="172"/>
      <c r="U454" s="172"/>
      <c r="V454" s="172"/>
      <c r="W454" s="172"/>
      <c r="X454" s="173"/>
      <c r="Y454" s="165"/>
      <c r="Z454" s="165"/>
    </row>
    <row r="455" hidden="1" outlineLevel="1">
      <c r="A455" s="165"/>
      <c r="B455" s="174"/>
      <c r="C455" s="100" t="s">
        <v>40</v>
      </c>
      <c r="D455" s="129">
        <v>879.2</v>
      </c>
      <c r="E455" s="103">
        <v>16.0</v>
      </c>
      <c r="F455" s="103">
        <v>5.0</v>
      </c>
      <c r="G455" s="104">
        <f t="shared" si="1"/>
        <v>3.2</v>
      </c>
      <c r="H455" s="105">
        <f t="shared" si="2"/>
        <v>54.95</v>
      </c>
      <c r="I455" s="106">
        <f t="shared" si="3"/>
        <v>17.171875</v>
      </c>
      <c r="J455" s="129">
        <v>0.0</v>
      </c>
      <c r="K455" s="103">
        <v>0.0</v>
      </c>
      <c r="L455" s="103">
        <v>0.0</v>
      </c>
      <c r="M455" s="130">
        <v>0.0</v>
      </c>
      <c r="N455" s="109" t="str">
        <f t="shared" si="171"/>
        <v>#DIV/0!</v>
      </c>
      <c r="O455" s="110" t="str">
        <f t="shared" si="5"/>
        <v>#DIV/0!</v>
      </c>
      <c r="P455" s="109">
        <f t="shared" si="6"/>
        <v>0</v>
      </c>
      <c r="Q455" s="111">
        <f t="shared" si="7"/>
        <v>0</v>
      </c>
      <c r="R455" s="131">
        <f t="shared" si="170"/>
        <v>879.2</v>
      </c>
      <c r="S455" s="113" t="str">
        <f t="shared" si="9"/>
        <v>#DIV/0!</v>
      </c>
      <c r="T455" s="172"/>
      <c r="U455" s="172"/>
      <c r="V455" s="172"/>
      <c r="W455" s="172"/>
      <c r="X455" s="173"/>
      <c r="Y455" s="165"/>
      <c r="Z455" s="165"/>
    </row>
    <row r="456" hidden="1" outlineLevel="1">
      <c r="A456" s="165"/>
      <c r="B456" s="174"/>
      <c r="C456" s="100" t="s">
        <v>41</v>
      </c>
      <c r="D456" s="132">
        <v>746.9</v>
      </c>
      <c r="E456" s="103">
        <v>11.0</v>
      </c>
      <c r="F456" s="103">
        <v>11.0</v>
      </c>
      <c r="G456" s="104">
        <f t="shared" si="1"/>
        <v>1</v>
      </c>
      <c r="H456" s="105">
        <f t="shared" si="2"/>
        <v>67.9</v>
      </c>
      <c r="I456" s="106">
        <f t="shared" si="3"/>
        <v>67.9</v>
      </c>
      <c r="J456" s="132">
        <v>598.57</v>
      </c>
      <c r="K456" s="103">
        <v>32914.0</v>
      </c>
      <c r="L456" s="103">
        <v>6.0</v>
      </c>
      <c r="M456" s="133">
        <v>447.95</v>
      </c>
      <c r="N456" s="109">
        <f t="shared" si="171"/>
        <v>1.336242884</v>
      </c>
      <c r="O456" s="110">
        <f t="shared" si="5"/>
        <v>0.7483669412</v>
      </c>
      <c r="P456" s="109">
        <f t="shared" si="6"/>
        <v>0.8014058107</v>
      </c>
      <c r="Q456" s="111">
        <f t="shared" si="7"/>
        <v>0.5997456152</v>
      </c>
      <c r="R456" s="134">
        <f t="shared" si="170"/>
        <v>298.95</v>
      </c>
      <c r="S456" s="113">
        <f t="shared" si="9"/>
        <v>99.76166667</v>
      </c>
      <c r="T456" s="172"/>
      <c r="U456" s="172"/>
      <c r="V456" s="172"/>
      <c r="W456" s="172"/>
      <c r="X456" s="173"/>
      <c r="Y456" s="165"/>
      <c r="Z456" s="165"/>
    </row>
    <row r="457" hidden="1" outlineLevel="1">
      <c r="A457" s="165"/>
      <c r="B457" s="174"/>
      <c r="C457" s="100" t="s">
        <v>42</v>
      </c>
      <c r="D457" s="120">
        <v>0.0</v>
      </c>
      <c r="E457" s="103">
        <v>0.0</v>
      </c>
      <c r="F457" s="103">
        <v>0.0</v>
      </c>
      <c r="G457" s="104" t="str">
        <f t="shared" si="1"/>
        <v>#DIV/0!</v>
      </c>
      <c r="H457" s="105" t="str">
        <f t="shared" si="2"/>
        <v>#DIV/0!</v>
      </c>
      <c r="I457" s="106" t="str">
        <f t="shared" si="3"/>
        <v>#DIV/0!</v>
      </c>
      <c r="J457" s="120">
        <v>0.0</v>
      </c>
      <c r="K457" s="103">
        <v>0.0</v>
      </c>
      <c r="L457" s="103">
        <v>0.0</v>
      </c>
      <c r="M457" s="121">
        <v>0.0</v>
      </c>
      <c r="N457" s="109" t="str">
        <f t="shared" si="171"/>
        <v>#DIV/0!</v>
      </c>
      <c r="O457" s="110" t="str">
        <f t="shared" si="5"/>
        <v>#DIV/0!</v>
      </c>
      <c r="P457" s="109" t="str">
        <f t="shared" si="6"/>
        <v>#DIV/0!</v>
      </c>
      <c r="Q457" s="111" t="str">
        <f t="shared" si="7"/>
        <v>#DIV/0!</v>
      </c>
      <c r="R457" s="122">
        <f t="shared" si="170"/>
        <v>0</v>
      </c>
      <c r="S457" s="113" t="str">
        <f t="shared" si="9"/>
        <v>#DIV/0!</v>
      </c>
      <c r="T457" s="172"/>
      <c r="U457" s="172"/>
      <c r="V457" s="172"/>
      <c r="W457" s="172"/>
      <c r="X457" s="173"/>
      <c r="Y457" s="165"/>
      <c r="Z457" s="165"/>
    </row>
    <row r="458" hidden="1" outlineLevel="1">
      <c r="A458" s="165"/>
      <c r="B458" s="174"/>
      <c r="C458" s="100" t="s">
        <v>43</v>
      </c>
      <c r="D458" s="135">
        <v>0.0</v>
      </c>
      <c r="E458" s="103">
        <v>0.0</v>
      </c>
      <c r="F458" s="103">
        <v>0.0</v>
      </c>
      <c r="G458" s="104" t="str">
        <f t="shared" si="1"/>
        <v>#DIV/0!</v>
      </c>
      <c r="H458" s="105" t="str">
        <f t="shared" si="2"/>
        <v>#DIV/0!</v>
      </c>
      <c r="I458" s="106" t="str">
        <f t="shared" si="3"/>
        <v>#DIV/0!</v>
      </c>
      <c r="J458" s="135">
        <v>40.35</v>
      </c>
      <c r="K458" s="103">
        <v>15859.0</v>
      </c>
      <c r="L458" s="103">
        <v>0.0</v>
      </c>
      <c r="M458" s="136">
        <v>0.0</v>
      </c>
      <c r="N458" s="109" t="str">
        <f t="shared" si="171"/>
        <v>#DIV/0!</v>
      </c>
      <c r="O458" s="110">
        <f t="shared" si="5"/>
        <v>0</v>
      </c>
      <c r="P458" s="109" t="str">
        <f t="shared" si="6"/>
        <v>#DIV/0!</v>
      </c>
      <c r="Q458" s="111" t="str">
        <f t="shared" si="7"/>
        <v>#DIV/0!</v>
      </c>
      <c r="R458" s="137">
        <f t="shared" si="170"/>
        <v>0</v>
      </c>
      <c r="S458" s="113" t="str">
        <f t="shared" si="9"/>
        <v>#DIV/0!</v>
      </c>
      <c r="T458" s="172"/>
      <c r="U458" s="172"/>
      <c r="V458" s="172"/>
      <c r="W458" s="172"/>
      <c r="X458" s="173"/>
      <c r="Y458" s="165"/>
      <c r="Z458" s="165"/>
    </row>
    <row r="459" hidden="1" outlineLevel="1">
      <c r="A459" s="165"/>
      <c r="B459" s="174"/>
      <c r="C459" s="100" t="s">
        <v>44</v>
      </c>
      <c r="D459" s="138">
        <v>494.45</v>
      </c>
      <c r="E459" s="103">
        <v>11.0</v>
      </c>
      <c r="F459" s="103">
        <v>11.0</v>
      </c>
      <c r="G459" s="104">
        <f t="shared" si="1"/>
        <v>1</v>
      </c>
      <c r="H459" s="105">
        <f t="shared" si="2"/>
        <v>44.95</v>
      </c>
      <c r="I459" s="106">
        <f t="shared" si="3"/>
        <v>44.95</v>
      </c>
      <c r="J459" s="138">
        <v>169.87</v>
      </c>
      <c r="K459" s="103">
        <v>69626.0</v>
      </c>
      <c r="L459" s="103">
        <v>4.0</v>
      </c>
      <c r="M459" s="139">
        <v>179.8</v>
      </c>
      <c r="N459" s="109">
        <f t="shared" si="171"/>
        <v>0.9447719689</v>
      </c>
      <c r="O459" s="110">
        <f t="shared" si="5"/>
        <v>1.058456467</v>
      </c>
      <c r="P459" s="109">
        <f t="shared" si="6"/>
        <v>0.3435534432</v>
      </c>
      <c r="Q459" s="111">
        <f t="shared" si="7"/>
        <v>0.3636363636</v>
      </c>
      <c r="R459" s="140">
        <f t="shared" si="170"/>
        <v>314.65</v>
      </c>
      <c r="S459" s="113">
        <f t="shared" si="9"/>
        <v>42.4675</v>
      </c>
      <c r="T459" s="172"/>
      <c r="U459" s="172"/>
      <c r="V459" s="172"/>
      <c r="W459" s="172"/>
      <c r="X459" s="173"/>
      <c r="Y459" s="165"/>
      <c r="Z459" s="165"/>
    </row>
    <row r="460" hidden="1" outlineLevel="1">
      <c r="A460" s="192"/>
      <c r="B460" s="174"/>
      <c r="C460" s="142" t="s">
        <v>45</v>
      </c>
      <c r="D460" s="101">
        <v>0.0</v>
      </c>
      <c r="E460" s="103">
        <v>0.0</v>
      </c>
      <c r="F460" s="103">
        <v>0.0</v>
      </c>
      <c r="G460" s="104" t="str">
        <f t="shared" si="1"/>
        <v>#DIV/0!</v>
      </c>
      <c r="H460" s="105" t="str">
        <f t="shared" si="2"/>
        <v>#DIV/0!</v>
      </c>
      <c r="I460" s="106" t="str">
        <f t="shared" si="3"/>
        <v>#DIV/0!</v>
      </c>
      <c r="J460" s="101">
        <v>0.0</v>
      </c>
      <c r="K460" s="103">
        <v>0.0</v>
      </c>
      <c r="L460" s="103">
        <v>0.0</v>
      </c>
      <c r="M460" s="108">
        <v>0.0</v>
      </c>
      <c r="N460" s="109" t="str">
        <f t="shared" si="171"/>
        <v>#DIV/0!</v>
      </c>
      <c r="O460" s="110" t="str">
        <f t="shared" si="5"/>
        <v>#DIV/0!</v>
      </c>
      <c r="P460" s="109" t="str">
        <f t="shared" si="6"/>
        <v>#DIV/0!</v>
      </c>
      <c r="Q460" s="111" t="str">
        <f t="shared" si="7"/>
        <v>#DIV/0!</v>
      </c>
      <c r="R460" s="112">
        <f t="shared" si="170"/>
        <v>0</v>
      </c>
      <c r="S460" s="113" t="str">
        <f t="shared" si="9"/>
        <v>#DIV/0!</v>
      </c>
      <c r="T460" s="193"/>
      <c r="U460" s="193"/>
      <c r="V460" s="193"/>
      <c r="W460" s="194"/>
      <c r="X460" s="195"/>
      <c r="Y460" s="165"/>
      <c r="Z460" s="165"/>
    </row>
    <row r="461" hidden="1" outlineLevel="1">
      <c r="A461" s="165"/>
      <c r="B461" s="174"/>
      <c r="C461" s="100" t="s">
        <v>46</v>
      </c>
      <c r="D461" s="146">
        <v>447.5</v>
      </c>
      <c r="E461" s="103">
        <v>10.0</v>
      </c>
      <c r="F461" s="103">
        <v>9.0</v>
      </c>
      <c r="G461" s="104">
        <f t="shared" si="1"/>
        <v>1.111111111</v>
      </c>
      <c r="H461" s="105">
        <f t="shared" si="2"/>
        <v>44.75</v>
      </c>
      <c r="I461" s="106">
        <f t="shared" si="3"/>
        <v>40.275</v>
      </c>
      <c r="J461" s="146">
        <v>134.14</v>
      </c>
      <c r="K461" s="103">
        <v>33640.0</v>
      </c>
      <c r="L461" s="103">
        <v>3.0</v>
      </c>
      <c r="M461" s="147">
        <v>89.9</v>
      </c>
      <c r="N461" s="109">
        <f t="shared" si="171"/>
        <v>1.492102336</v>
      </c>
      <c r="O461" s="110">
        <f t="shared" si="5"/>
        <v>0.6701953183</v>
      </c>
      <c r="P461" s="109">
        <f t="shared" si="6"/>
        <v>0.2997541899</v>
      </c>
      <c r="Q461" s="111">
        <f t="shared" si="7"/>
        <v>0.2008938547</v>
      </c>
      <c r="R461" s="112">
        <f t="shared" si="170"/>
        <v>357.6</v>
      </c>
      <c r="S461" s="113">
        <f t="shared" si="9"/>
        <v>44.71333333</v>
      </c>
      <c r="T461" s="172"/>
      <c r="U461" s="172"/>
      <c r="V461" s="172"/>
      <c r="W461" s="172"/>
      <c r="X461" s="173"/>
      <c r="Y461" s="165"/>
      <c r="Z461" s="165"/>
    </row>
    <row r="462" hidden="1" outlineLevel="1">
      <c r="A462" s="165"/>
      <c r="B462" s="174"/>
      <c r="C462" s="100" t="s">
        <v>49</v>
      </c>
      <c r="D462" s="146">
        <v>-439.5</v>
      </c>
      <c r="E462" s="103">
        <v>-9.0</v>
      </c>
      <c r="F462" s="103">
        <v>1.0</v>
      </c>
      <c r="G462" s="104">
        <f t="shared" si="1"/>
        <v>-9</v>
      </c>
      <c r="H462" s="105">
        <f t="shared" si="2"/>
        <v>48.83333333</v>
      </c>
      <c r="I462" s="106">
        <f t="shared" si="3"/>
        <v>-5.425925926</v>
      </c>
      <c r="J462" s="146">
        <v>39.31</v>
      </c>
      <c r="K462" s="103">
        <v>18928.0</v>
      </c>
      <c r="L462" s="103">
        <v>1.0</v>
      </c>
      <c r="M462" s="147">
        <v>96.0</v>
      </c>
      <c r="N462" s="109">
        <f t="shared" si="171"/>
        <v>0.4094791667</v>
      </c>
      <c r="O462" s="110">
        <f t="shared" si="5"/>
        <v>2.442126685</v>
      </c>
      <c r="P462" s="109">
        <f t="shared" si="6"/>
        <v>-0.08944254835</v>
      </c>
      <c r="Q462" s="111">
        <f t="shared" si="7"/>
        <v>-0.2184300341</v>
      </c>
      <c r="R462" s="112">
        <f t="shared" si="170"/>
        <v>-535.5</v>
      </c>
      <c r="S462" s="113">
        <f t="shared" si="9"/>
        <v>39.31</v>
      </c>
      <c r="T462" s="172"/>
      <c r="U462" s="172"/>
      <c r="V462" s="172"/>
      <c r="W462" s="172"/>
      <c r="X462" s="173"/>
      <c r="Y462" s="165"/>
      <c r="Z462" s="165"/>
    </row>
    <row r="463" hidden="1" outlineLevel="1">
      <c r="A463" s="148" t="str">
        <f t="shared" ref="A463:A464" si="172">iferror(if(B463&gt;0,month(B463)&amp;"-"&amp;year(B463),B463),)</f>
        <v>8-2025</v>
      </c>
      <c r="B463" s="99">
        <v>45878.0</v>
      </c>
      <c r="C463" s="277" t="s">
        <v>67</v>
      </c>
      <c r="D463" s="146">
        <v>0.0</v>
      </c>
      <c r="E463" s="103">
        <v>0.0</v>
      </c>
      <c r="F463" s="103">
        <v>0.0</v>
      </c>
      <c r="G463" s="104" t="str">
        <f t="shared" si="1"/>
        <v>#DIV/0!</v>
      </c>
      <c r="H463" s="105" t="str">
        <f t="shared" si="2"/>
        <v>#DIV/0!</v>
      </c>
      <c r="I463" s="106" t="str">
        <f t="shared" si="3"/>
        <v>#DIV/0!</v>
      </c>
      <c r="J463" s="117">
        <v>604.8700000000001</v>
      </c>
      <c r="K463" s="278">
        <v>156306.0</v>
      </c>
      <c r="L463" s="103">
        <v>0.0</v>
      </c>
      <c r="M463" s="118">
        <v>1903.35</v>
      </c>
      <c r="N463" s="109">
        <f t="shared" si="171"/>
        <v>0.3177923136</v>
      </c>
      <c r="O463" s="110">
        <f t="shared" si="5"/>
        <v>3.14670921</v>
      </c>
      <c r="P463" s="109" t="str">
        <f t="shared" si="6"/>
        <v>#DIV/0!</v>
      </c>
      <c r="Q463" s="111" t="str">
        <f t="shared" si="7"/>
        <v>#DIV/0!</v>
      </c>
      <c r="R463" s="112">
        <f t="shared" si="170"/>
        <v>-1903.35</v>
      </c>
      <c r="S463" s="113" t="str">
        <f t="shared" si="9"/>
        <v>#DIV/0!</v>
      </c>
      <c r="T463" s="172"/>
      <c r="U463" s="172"/>
      <c r="V463" s="172"/>
      <c r="W463" s="172"/>
      <c r="X463" s="173"/>
      <c r="Y463" s="165"/>
      <c r="Z463" s="165"/>
    </row>
    <row r="464" collapsed="1">
      <c r="A464" s="165" t="str">
        <f t="shared" si="172"/>
        <v/>
      </c>
      <c r="B464" s="80" t="s">
        <v>119</v>
      </c>
      <c r="C464" s="201"/>
      <c r="D464" s="151">
        <f t="shared" ref="D464:F464" si="173">SUM(D448:D463)</f>
        <v>10863.93</v>
      </c>
      <c r="E464" s="153">
        <f t="shared" si="173"/>
        <v>124</v>
      </c>
      <c r="F464" s="153">
        <f t="shared" si="173"/>
        <v>122</v>
      </c>
      <c r="G464" s="154">
        <f t="shared" si="1"/>
        <v>1.016393443</v>
      </c>
      <c r="H464" s="155">
        <f t="shared" si="2"/>
        <v>87.61233871</v>
      </c>
      <c r="I464" s="156">
        <f t="shared" si="3"/>
        <v>86.19923647</v>
      </c>
      <c r="J464" s="151">
        <f t="shared" ref="J464:M464" si="174">SUM(J448:J463)</f>
        <v>3395.62</v>
      </c>
      <c r="K464" s="153">
        <f t="shared" si="174"/>
        <v>723172</v>
      </c>
      <c r="L464" s="153">
        <f t="shared" si="174"/>
        <v>40</v>
      </c>
      <c r="M464" s="157">
        <f t="shared" si="174"/>
        <v>6475.2</v>
      </c>
      <c r="N464" s="158">
        <f t="shared" si="171"/>
        <v>0.5244038794</v>
      </c>
      <c r="O464" s="159">
        <f t="shared" si="5"/>
        <v>1.906927159</v>
      </c>
      <c r="P464" s="158">
        <f t="shared" si="6"/>
        <v>0.3125590831</v>
      </c>
      <c r="Q464" s="160">
        <f t="shared" si="7"/>
        <v>0.5960274044</v>
      </c>
      <c r="R464" s="161">
        <f>SUM(R448:R463)</f>
        <v>4388.73</v>
      </c>
      <c r="S464" s="162">
        <f t="shared" si="9"/>
        <v>84.8905</v>
      </c>
      <c r="T464" s="163">
        <f t="shared" ref="T464:U464" si="175">IFERROR((D464-D69)/D464,)</f>
        <v>0.3021567702</v>
      </c>
      <c r="U464" s="163">
        <f t="shared" si="175"/>
        <v>0.2419354839</v>
      </c>
      <c r="V464" s="398" t="str">
        <f t="shared" ref="V464:W464" si="176">IFERROR((D464-monthly_reporting_2021!D255)/D464, )</f>
        <v/>
      </c>
      <c r="W464" s="398" t="str">
        <f t="shared" si="176"/>
        <v/>
      </c>
      <c r="X464" s="165"/>
      <c r="Y464" s="165"/>
      <c r="Z464" s="165"/>
    </row>
    <row r="465" hidden="1" outlineLevel="1">
      <c r="A465" s="165"/>
      <c r="B465" s="99">
        <v>45879.0</v>
      </c>
      <c r="C465" s="100" t="s">
        <v>32</v>
      </c>
      <c r="D465" s="101">
        <v>3711.18</v>
      </c>
      <c r="E465" s="103">
        <v>9.0</v>
      </c>
      <c r="F465" s="103">
        <v>9.0</v>
      </c>
      <c r="G465" s="104">
        <f t="shared" si="1"/>
        <v>1</v>
      </c>
      <c r="H465" s="105">
        <f t="shared" si="2"/>
        <v>412.3533333</v>
      </c>
      <c r="I465" s="106">
        <f t="shared" si="3"/>
        <v>412.3533333</v>
      </c>
      <c r="J465" s="107">
        <v>1396.61</v>
      </c>
      <c r="K465" s="103">
        <v>210756.0</v>
      </c>
      <c r="L465" s="103">
        <v>5.0</v>
      </c>
      <c r="M465" s="108">
        <v>2943.95</v>
      </c>
      <c r="N465" s="109">
        <f t="shared" si="171"/>
        <v>0.4744000408</v>
      </c>
      <c r="O465" s="110">
        <f t="shared" si="5"/>
        <v>2.10792562</v>
      </c>
      <c r="P465" s="109">
        <f t="shared" si="6"/>
        <v>0.3763250503</v>
      </c>
      <c r="Q465" s="111">
        <f t="shared" si="7"/>
        <v>0.7932652148</v>
      </c>
      <c r="R465" s="112">
        <f t="shared" ref="R465:R480" si="177">D465-M465</f>
        <v>767.23</v>
      </c>
      <c r="S465" s="113">
        <f t="shared" si="9"/>
        <v>279.322</v>
      </c>
      <c r="T465" s="172"/>
      <c r="U465" s="172"/>
      <c r="V465" s="172"/>
      <c r="W465" s="172"/>
      <c r="X465" s="173"/>
      <c r="Y465" s="165"/>
      <c r="Z465" s="165"/>
    </row>
    <row r="466" hidden="1" outlineLevel="1">
      <c r="A466" s="165"/>
      <c r="B466" s="174"/>
      <c r="C466" s="100" t="s">
        <v>33</v>
      </c>
      <c r="D466" s="117">
        <v>4721.95</v>
      </c>
      <c r="E466" s="103">
        <v>76.0</v>
      </c>
      <c r="F466" s="103">
        <v>65.0</v>
      </c>
      <c r="G466" s="104">
        <f t="shared" si="1"/>
        <v>1.169230769</v>
      </c>
      <c r="H466" s="105">
        <f t="shared" si="2"/>
        <v>62.13092105</v>
      </c>
      <c r="I466" s="106">
        <f t="shared" si="3"/>
        <v>53.13828774</v>
      </c>
      <c r="J466" s="117">
        <v>576.22</v>
      </c>
      <c r="K466" s="103">
        <v>155896.0</v>
      </c>
      <c r="L466" s="103">
        <v>5.0</v>
      </c>
      <c r="M466" s="118">
        <v>980.0</v>
      </c>
      <c r="N466" s="109">
        <f t="shared" si="171"/>
        <v>0.5879795918</v>
      </c>
      <c r="O466" s="110">
        <f t="shared" si="5"/>
        <v>1.700739301</v>
      </c>
      <c r="P466" s="109">
        <f t="shared" si="6"/>
        <v>0.1220300935</v>
      </c>
      <c r="Q466" s="111">
        <f t="shared" si="7"/>
        <v>0.2075413759</v>
      </c>
      <c r="R466" s="119">
        <f t="shared" si="177"/>
        <v>3741.95</v>
      </c>
      <c r="S466" s="113">
        <f t="shared" si="9"/>
        <v>115.244</v>
      </c>
      <c r="T466" s="172"/>
      <c r="U466" s="172"/>
      <c r="V466" s="172"/>
      <c r="W466" s="172"/>
      <c r="X466" s="173"/>
      <c r="Y466" s="165"/>
      <c r="Z466" s="165"/>
    </row>
    <row r="467" hidden="1" outlineLevel="1">
      <c r="A467" s="165"/>
      <c r="B467" s="174"/>
      <c r="C467" s="100" t="s">
        <v>34</v>
      </c>
      <c r="D467" s="120">
        <v>69.95</v>
      </c>
      <c r="E467" s="103">
        <v>1.0</v>
      </c>
      <c r="F467" s="103">
        <v>1.0</v>
      </c>
      <c r="G467" s="104">
        <f t="shared" si="1"/>
        <v>1</v>
      </c>
      <c r="H467" s="105">
        <f t="shared" si="2"/>
        <v>69.95</v>
      </c>
      <c r="I467" s="106">
        <f t="shared" si="3"/>
        <v>69.95</v>
      </c>
      <c r="J467" s="120">
        <v>23.9</v>
      </c>
      <c r="K467" s="103">
        <v>235.0</v>
      </c>
      <c r="L467" s="103">
        <v>0.0</v>
      </c>
      <c r="M467" s="121">
        <v>0.0</v>
      </c>
      <c r="N467" s="109" t="str">
        <f>(J467/M467)</f>
        <v>#DIV/0!</v>
      </c>
      <c r="O467" s="110">
        <f t="shared" si="5"/>
        <v>0</v>
      </c>
      <c r="P467" s="109">
        <f t="shared" si="6"/>
        <v>0.3416726233</v>
      </c>
      <c r="Q467" s="111">
        <f t="shared" si="7"/>
        <v>0</v>
      </c>
      <c r="R467" s="122">
        <f t="shared" si="177"/>
        <v>69.95</v>
      </c>
      <c r="S467" s="113" t="str">
        <f t="shared" si="9"/>
        <v>#DIV/0!</v>
      </c>
      <c r="T467" s="172"/>
      <c r="U467" s="172"/>
      <c r="V467" s="172"/>
      <c r="W467" s="172"/>
      <c r="X467" s="173"/>
      <c r="Y467" s="165"/>
      <c r="Z467" s="165"/>
    </row>
    <row r="468" hidden="1" outlineLevel="1">
      <c r="A468" s="165"/>
      <c r="B468" s="174"/>
      <c r="C468" s="100" t="s">
        <v>35</v>
      </c>
      <c r="D468" s="120">
        <v>899.25</v>
      </c>
      <c r="E468" s="103">
        <v>15.0</v>
      </c>
      <c r="F468" s="103">
        <v>12.0</v>
      </c>
      <c r="G468" s="104">
        <f t="shared" si="1"/>
        <v>1.25</v>
      </c>
      <c r="H468" s="105">
        <f t="shared" si="2"/>
        <v>59.95</v>
      </c>
      <c r="I468" s="106">
        <f t="shared" si="3"/>
        <v>47.96</v>
      </c>
      <c r="J468" s="120">
        <v>278.45</v>
      </c>
      <c r="K468" s="103">
        <v>22772.0</v>
      </c>
      <c r="L468" s="103">
        <v>3.0</v>
      </c>
      <c r="M468" s="121">
        <v>179.85</v>
      </c>
      <c r="N468" s="109">
        <f t="shared" ref="N468:N483" si="178">J468/M468</f>
        <v>1.54823464</v>
      </c>
      <c r="O468" s="110">
        <f t="shared" si="5"/>
        <v>0.6458969294</v>
      </c>
      <c r="P468" s="109">
        <f t="shared" si="6"/>
        <v>0.309646928</v>
      </c>
      <c r="Q468" s="111">
        <f t="shared" si="7"/>
        <v>0.2</v>
      </c>
      <c r="R468" s="122">
        <f t="shared" si="177"/>
        <v>719.4</v>
      </c>
      <c r="S468" s="113">
        <f t="shared" si="9"/>
        <v>92.81666667</v>
      </c>
      <c r="T468" s="172"/>
      <c r="U468" s="172"/>
      <c r="V468" s="172"/>
      <c r="W468" s="172"/>
      <c r="X468" s="173"/>
      <c r="Y468" s="165"/>
      <c r="Z468" s="165"/>
    </row>
    <row r="469" hidden="1" outlineLevel="1">
      <c r="A469" s="165"/>
      <c r="B469" s="174"/>
      <c r="C469" s="100" t="s">
        <v>36</v>
      </c>
      <c r="D469" s="120">
        <v>59.95</v>
      </c>
      <c r="E469" s="103">
        <v>1.0</v>
      </c>
      <c r="F469" s="103">
        <v>1.0</v>
      </c>
      <c r="G469" s="104">
        <f t="shared" si="1"/>
        <v>1</v>
      </c>
      <c r="H469" s="105">
        <f t="shared" si="2"/>
        <v>59.95</v>
      </c>
      <c r="I469" s="106">
        <f t="shared" si="3"/>
        <v>59.95</v>
      </c>
      <c r="J469" s="120">
        <v>120.39</v>
      </c>
      <c r="K469" s="103">
        <v>19826.0</v>
      </c>
      <c r="L469" s="103">
        <v>3.0</v>
      </c>
      <c r="M469" s="121">
        <v>119.9</v>
      </c>
      <c r="N469" s="109">
        <f t="shared" si="178"/>
        <v>1.004086739</v>
      </c>
      <c r="O469" s="110">
        <f t="shared" si="5"/>
        <v>0.9959298945</v>
      </c>
      <c r="P469" s="109">
        <f t="shared" si="6"/>
        <v>2.008173478</v>
      </c>
      <c r="Q469" s="111">
        <f t="shared" si="7"/>
        <v>2</v>
      </c>
      <c r="R469" s="122">
        <f t="shared" si="177"/>
        <v>-59.95</v>
      </c>
      <c r="S469" s="113">
        <f t="shared" si="9"/>
        <v>40.13</v>
      </c>
      <c r="T469" s="172"/>
      <c r="U469" s="172"/>
      <c r="V469" s="172"/>
      <c r="W469" s="172"/>
      <c r="X469" s="173"/>
      <c r="Y469" s="165"/>
      <c r="Z469" s="165"/>
    </row>
    <row r="470" hidden="1" outlineLevel="1">
      <c r="A470" s="165"/>
      <c r="B470" s="99" t="s">
        <v>37</v>
      </c>
      <c r="C470" s="100" t="s">
        <v>38</v>
      </c>
      <c r="D470" s="123">
        <v>64.9</v>
      </c>
      <c r="E470" s="103">
        <v>2.0</v>
      </c>
      <c r="F470" s="103">
        <v>2.0</v>
      </c>
      <c r="G470" s="104">
        <f t="shared" si="1"/>
        <v>1</v>
      </c>
      <c r="H470" s="105">
        <f t="shared" si="2"/>
        <v>32.45</v>
      </c>
      <c r="I470" s="106">
        <f t="shared" si="3"/>
        <v>32.45</v>
      </c>
      <c r="J470" s="123">
        <v>53.57</v>
      </c>
      <c r="K470" s="103">
        <v>15457.0</v>
      </c>
      <c r="L470" s="103">
        <v>1.0</v>
      </c>
      <c r="M470" s="124">
        <v>29.95</v>
      </c>
      <c r="N470" s="109">
        <f t="shared" si="178"/>
        <v>1.788647746</v>
      </c>
      <c r="O470" s="110">
        <f t="shared" si="5"/>
        <v>0.5590815755</v>
      </c>
      <c r="P470" s="109">
        <f t="shared" si="6"/>
        <v>0.8254237288</v>
      </c>
      <c r="Q470" s="111">
        <f t="shared" si="7"/>
        <v>0.4614791988</v>
      </c>
      <c r="R470" s="125">
        <f t="shared" si="177"/>
        <v>34.95</v>
      </c>
      <c r="S470" s="113">
        <f t="shared" si="9"/>
        <v>53.57</v>
      </c>
      <c r="T470" s="172"/>
      <c r="U470" s="172"/>
      <c r="V470" s="172"/>
      <c r="W470" s="172"/>
      <c r="X470" s="173"/>
      <c r="Y470" s="165"/>
      <c r="Z470" s="165"/>
    </row>
    <row r="471" hidden="1" outlineLevel="1">
      <c r="A471" s="165"/>
      <c r="B471" s="174"/>
      <c r="C471" s="100" t="s">
        <v>39</v>
      </c>
      <c r="D471" s="126">
        <v>24.95</v>
      </c>
      <c r="E471" s="103">
        <v>1.0</v>
      </c>
      <c r="F471" s="103">
        <v>1.0</v>
      </c>
      <c r="G471" s="104">
        <f t="shared" si="1"/>
        <v>1</v>
      </c>
      <c r="H471" s="105">
        <f t="shared" si="2"/>
        <v>24.95</v>
      </c>
      <c r="I471" s="106">
        <f t="shared" si="3"/>
        <v>24.95</v>
      </c>
      <c r="J471" s="126">
        <v>0.0</v>
      </c>
      <c r="K471" s="103">
        <v>0.0</v>
      </c>
      <c r="L471" s="103">
        <v>0.0</v>
      </c>
      <c r="M471" s="127">
        <v>0.0</v>
      </c>
      <c r="N471" s="109" t="str">
        <f t="shared" si="178"/>
        <v>#DIV/0!</v>
      </c>
      <c r="O471" s="110" t="str">
        <f t="shared" si="5"/>
        <v>#DIV/0!</v>
      </c>
      <c r="P471" s="109">
        <f t="shared" si="6"/>
        <v>0</v>
      </c>
      <c r="Q471" s="111">
        <f t="shared" si="7"/>
        <v>0</v>
      </c>
      <c r="R471" s="128">
        <f t="shared" si="177"/>
        <v>24.95</v>
      </c>
      <c r="S471" s="113" t="str">
        <f t="shared" si="9"/>
        <v>#DIV/0!</v>
      </c>
      <c r="T471" s="172"/>
      <c r="U471" s="172"/>
      <c r="V471" s="172"/>
      <c r="W471" s="172"/>
      <c r="X471" s="173"/>
      <c r="Y471" s="165"/>
      <c r="Z471" s="165"/>
    </row>
    <row r="472" hidden="1" outlineLevel="1">
      <c r="A472" s="165"/>
      <c r="B472" s="174"/>
      <c r="C472" s="100" t="s">
        <v>40</v>
      </c>
      <c r="D472" s="129">
        <v>219.8</v>
      </c>
      <c r="E472" s="103">
        <v>4.0</v>
      </c>
      <c r="F472" s="103">
        <v>3.0</v>
      </c>
      <c r="G472" s="104">
        <f t="shared" si="1"/>
        <v>1.333333333</v>
      </c>
      <c r="H472" s="105">
        <f t="shared" si="2"/>
        <v>54.95</v>
      </c>
      <c r="I472" s="106">
        <f t="shared" si="3"/>
        <v>41.2125</v>
      </c>
      <c r="J472" s="129">
        <v>0.0</v>
      </c>
      <c r="K472" s="103">
        <v>0.0</v>
      </c>
      <c r="L472" s="103">
        <v>0.0</v>
      </c>
      <c r="M472" s="130">
        <v>0.0</v>
      </c>
      <c r="N472" s="109" t="str">
        <f t="shared" si="178"/>
        <v>#DIV/0!</v>
      </c>
      <c r="O472" s="110" t="str">
        <f t="shared" si="5"/>
        <v>#DIV/0!</v>
      </c>
      <c r="P472" s="109">
        <f t="shared" si="6"/>
        <v>0</v>
      </c>
      <c r="Q472" s="111">
        <f t="shared" si="7"/>
        <v>0</v>
      </c>
      <c r="R472" s="131">
        <f t="shared" si="177"/>
        <v>219.8</v>
      </c>
      <c r="S472" s="113" t="str">
        <f t="shared" si="9"/>
        <v>#DIV/0!</v>
      </c>
      <c r="T472" s="172"/>
      <c r="U472" s="172"/>
      <c r="V472" s="172"/>
      <c r="W472" s="172"/>
      <c r="X472" s="173"/>
      <c r="Y472" s="165"/>
      <c r="Z472" s="165"/>
    </row>
    <row r="473" hidden="1" outlineLevel="1">
      <c r="A473" s="165"/>
      <c r="B473" s="174"/>
      <c r="C473" s="100" t="s">
        <v>41</v>
      </c>
      <c r="D473" s="132">
        <v>1340.03</v>
      </c>
      <c r="E473" s="103">
        <v>11.0</v>
      </c>
      <c r="F473" s="103">
        <v>11.0</v>
      </c>
      <c r="G473" s="104">
        <f t="shared" si="1"/>
        <v>1</v>
      </c>
      <c r="H473" s="105">
        <f t="shared" si="2"/>
        <v>121.8209091</v>
      </c>
      <c r="I473" s="106">
        <f t="shared" si="3"/>
        <v>121.8209091</v>
      </c>
      <c r="J473" s="132">
        <v>365.85</v>
      </c>
      <c r="K473" s="103">
        <v>33599.0</v>
      </c>
      <c r="L473" s="103">
        <v>3.0</v>
      </c>
      <c r="M473" s="133">
        <v>378.68</v>
      </c>
      <c r="N473" s="109">
        <f t="shared" si="178"/>
        <v>0.9661191507</v>
      </c>
      <c r="O473" s="110">
        <f t="shared" si="5"/>
        <v>1.035069017</v>
      </c>
      <c r="P473" s="109">
        <f t="shared" si="6"/>
        <v>0.2730162758</v>
      </c>
      <c r="Q473" s="111">
        <f t="shared" si="7"/>
        <v>0.2825906883</v>
      </c>
      <c r="R473" s="134">
        <f t="shared" si="177"/>
        <v>961.35</v>
      </c>
      <c r="S473" s="113">
        <f t="shared" si="9"/>
        <v>121.95</v>
      </c>
      <c r="T473" s="172"/>
      <c r="U473" s="172"/>
      <c r="V473" s="172"/>
      <c r="W473" s="172"/>
      <c r="X473" s="173"/>
      <c r="Y473" s="165"/>
      <c r="Z473" s="165"/>
    </row>
    <row r="474" hidden="1" outlineLevel="1">
      <c r="A474" s="165"/>
      <c r="B474" s="174"/>
      <c r="C474" s="100" t="s">
        <v>42</v>
      </c>
      <c r="D474" s="120">
        <v>-19.99</v>
      </c>
      <c r="E474" s="103">
        <v>-1.0</v>
      </c>
      <c r="F474" s="103">
        <v>0.0</v>
      </c>
      <c r="G474" s="104" t="str">
        <f t="shared" si="1"/>
        <v>#DIV/0!</v>
      </c>
      <c r="H474" s="105">
        <f t="shared" si="2"/>
        <v>19.99</v>
      </c>
      <c r="I474" s="106" t="str">
        <f t="shared" si="3"/>
        <v>#DIV/0!</v>
      </c>
      <c r="J474" s="120">
        <v>0.0</v>
      </c>
      <c r="K474" s="103">
        <v>0.0</v>
      </c>
      <c r="L474" s="103">
        <v>0.0</v>
      </c>
      <c r="M474" s="121">
        <v>0.0</v>
      </c>
      <c r="N474" s="109" t="str">
        <f t="shared" si="178"/>
        <v>#DIV/0!</v>
      </c>
      <c r="O474" s="110" t="str">
        <f t="shared" si="5"/>
        <v>#DIV/0!</v>
      </c>
      <c r="P474" s="109">
        <f t="shared" si="6"/>
        <v>0</v>
      </c>
      <c r="Q474" s="111">
        <f t="shared" si="7"/>
        <v>0</v>
      </c>
      <c r="R474" s="122">
        <f t="shared" si="177"/>
        <v>-19.99</v>
      </c>
      <c r="S474" s="113" t="str">
        <f t="shared" si="9"/>
        <v>#DIV/0!</v>
      </c>
      <c r="T474" s="172"/>
      <c r="U474" s="172"/>
      <c r="V474" s="172"/>
      <c r="W474" s="172"/>
      <c r="X474" s="173"/>
      <c r="Y474" s="165"/>
      <c r="Z474" s="165"/>
    </row>
    <row r="475" hidden="1" outlineLevel="1">
      <c r="A475" s="165"/>
      <c r="B475" s="174"/>
      <c r="C475" s="100" t="s">
        <v>43</v>
      </c>
      <c r="D475" s="135">
        <v>0.0</v>
      </c>
      <c r="E475" s="103">
        <v>0.0</v>
      </c>
      <c r="F475" s="103">
        <v>0.0</v>
      </c>
      <c r="G475" s="104" t="str">
        <f t="shared" si="1"/>
        <v>#DIV/0!</v>
      </c>
      <c r="H475" s="105" t="str">
        <f t="shared" si="2"/>
        <v>#DIV/0!</v>
      </c>
      <c r="I475" s="106" t="str">
        <f t="shared" si="3"/>
        <v>#DIV/0!</v>
      </c>
      <c r="J475" s="135">
        <v>46.47</v>
      </c>
      <c r="K475" s="103">
        <v>14231.0</v>
      </c>
      <c r="L475" s="103">
        <v>0.0</v>
      </c>
      <c r="M475" s="136">
        <v>0.0</v>
      </c>
      <c r="N475" s="109" t="str">
        <f t="shared" si="178"/>
        <v>#DIV/0!</v>
      </c>
      <c r="O475" s="110">
        <f t="shared" si="5"/>
        <v>0</v>
      </c>
      <c r="P475" s="109" t="str">
        <f t="shared" si="6"/>
        <v>#DIV/0!</v>
      </c>
      <c r="Q475" s="111" t="str">
        <f t="shared" si="7"/>
        <v>#DIV/0!</v>
      </c>
      <c r="R475" s="137">
        <f t="shared" si="177"/>
        <v>0</v>
      </c>
      <c r="S475" s="113" t="str">
        <f t="shared" si="9"/>
        <v>#DIV/0!</v>
      </c>
      <c r="T475" s="172"/>
      <c r="U475" s="172"/>
      <c r="V475" s="172"/>
      <c r="W475" s="172"/>
      <c r="X475" s="173"/>
      <c r="Y475" s="165"/>
      <c r="Z475" s="165"/>
    </row>
    <row r="476" hidden="1" outlineLevel="1">
      <c r="A476" s="165"/>
      <c r="B476" s="174"/>
      <c r="C476" s="100" t="s">
        <v>44</v>
      </c>
      <c r="D476" s="138">
        <v>134.85</v>
      </c>
      <c r="E476" s="103">
        <v>3.0</v>
      </c>
      <c r="F476" s="103">
        <v>5.0</v>
      </c>
      <c r="G476" s="104">
        <f t="shared" si="1"/>
        <v>0.6</v>
      </c>
      <c r="H476" s="105">
        <f t="shared" si="2"/>
        <v>44.95</v>
      </c>
      <c r="I476" s="106">
        <f t="shared" si="3"/>
        <v>74.91666667</v>
      </c>
      <c r="J476" s="138">
        <v>151.04</v>
      </c>
      <c r="K476" s="103">
        <v>64325.0</v>
      </c>
      <c r="L476" s="103">
        <v>2.0</v>
      </c>
      <c r="M476" s="139">
        <v>89.9</v>
      </c>
      <c r="N476" s="109">
        <f t="shared" si="178"/>
        <v>1.680088988</v>
      </c>
      <c r="O476" s="110">
        <f t="shared" si="5"/>
        <v>0.5952065678</v>
      </c>
      <c r="P476" s="109">
        <f t="shared" si="6"/>
        <v>1.120059325</v>
      </c>
      <c r="Q476" s="111">
        <f t="shared" si="7"/>
        <v>0.6666666667</v>
      </c>
      <c r="R476" s="140">
        <f t="shared" si="177"/>
        <v>44.95</v>
      </c>
      <c r="S476" s="113">
        <f t="shared" si="9"/>
        <v>75.52</v>
      </c>
      <c r="T476" s="172"/>
      <c r="U476" s="172"/>
      <c r="V476" s="172"/>
      <c r="W476" s="172"/>
      <c r="X476" s="173"/>
      <c r="Y476" s="165"/>
      <c r="Z476" s="165"/>
    </row>
    <row r="477" hidden="1" outlineLevel="1">
      <c r="A477" s="192"/>
      <c r="B477" s="174"/>
      <c r="C477" s="142" t="s">
        <v>45</v>
      </c>
      <c r="D477" s="101">
        <v>0.0</v>
      </c>
      <c r="E477" s="103">
        <v>0.0</v>
      </c>
      <c r="F477" s="103">
        <v>0.0</v>
      </c>
      <c r="G477" s="104" t="str">
        <f t="shared" si="1"/>
        <v>#DIV/0!</v>
      </c>
      <c r="H477" s="105" t="str">
        <f t="shared" si="2"/>
        <v>#DIV/0!</v>
      </c>
      <c r="I477" s="106" t="str">
        <f t="shared" si="3"/>
        <v>#DIV/0!</v>
      </c>
      <c r="J477" s="101">
        <v>0.0</v>
      </c>
      <c r="K477" s="103">
        <v>0.0</v>
      </c>
      <c r="L477" s="103">
        <v>0.0</v>
      </c>
      <c r="M477" s="108">
        <v>0.0</v>
      </c>
      <c r="N477" s="109" t="str">
        <f t="shared" si="178"/>
        <v>#DIV/0!</v>
      </c>
      <c r="O477" s="110" t="str">
        <f t="shared" si="5"/>
        <v>#DIV/0!</v>
      </c>
      <c r="P477" s="109" t="str">
        <f t="shared" si="6"/>
        <v>#DIV/0!</v>
      </c>
      <c r="Q477" s="111" t="str">
        <f t="shared" si="7"/>
        <v>#DIV/0!</v>
      </c>
      <c r="R477" s="112">
        <f t="shared" si="177"/>
        <v>0</v>
      </c>
      <c r="S477" s="113" t="str">
        <f t="shared" si="9"/>
        <v>#DIV/0!</v>
      </c>
      <c r="T477" s="193"/>
      <c r="U477" s="193"/>
      <c r="V477" s="193"/>
      <c r="W477" s="194"/>
      <c r="X477" s="195"/>
      <c r="Y477" s="165"/>
      <c r="Z477" s="165"/>
    </row>
    <row r="478" hidden="1" outlineLevel="1">
      <c r="A478" s="165"/>
      <c r="B478" s="174"/>
      <c r="C478" s="100" t="s">
        <v>46</v>
      </c>
      <c r="D478" s="146">
        <v>179.8</v>
      </c>
      <c r="E478" s="103">
        <v>4.0</v>
      </c>
      <c r="F478" s="103">
        <v>4.0</v>
      </c>
      <c r="G478" s="104">
        <f t="shared" si="1"/>
        <v>1</v>
      </c>
      <c r="H478" s="105">
        <f t="shared" si="2"/>
        <v>44.95</v>
      </c>
      <c r="I478" s="106">
        <f t="shared" si="3"/>
        <v>44.95</v>
      </c>
      <c r="J478" s="146">
        <v>92.52</v>
      </c>
      <c r="K478" s="103">
        <v>27385.0</v>
      </c>
      <c r="L478" s="103">
        <v>3.0</v>
      </c>
      <c r="M478" s="147">
        <v>134.85</v>
      </c>
      <c r="N478" s="109">
        <f t="shared" si="178"/>
        <v>0.6860956618</v>
      </c>
      <c r="O478" s="110">
        <f t="shared" si="5"/>
        <v>1.457522698</v>
      </c>
      <c r="P478" s="109">
        <f t="shared" si="6"/>
        <v>0.5145717464</v>
      </c>
      <c r="Q478" s="111">
        <f t="shared" si="7"/>
        <v>0.75</v>
      </c>
      <c r="R478" s="112">
        <f t="shared" si="177"/>
        <v>44.95</v>
      </c>
      <c r="S478" s="113">
        <f t="shared" si="9"/>
        <v>30.84</v>
      </c>
      <c r="T478" s="172"/>
      <c r="U478" s="172"/>
      <c r="V478" s="172"/>
      <c r="W478" s="172"/>
      <c r="X478" s="173"/>
      <c r="Y478" s="165"/>
      <c r="Z478" s="165"/>
    </row>
    <row r="479" hidden="1" outlineLevel="1">
      <c r="A479" s="165"/>
      <c r="B479" s="174"/>
      <c r="C479" s="100" t="s">
        <v>49</v>
      </c>
      <c r="D479" s="146">
        <v>0.0</v>
      </c>
      <c r="E479" s="103">
        <v>0.0</v>
      </c>
      <c r="F479" s="103">
        <v>0.0</v>
      </c>
      <c r="G479" s="104" t="str">
        <f t="shared" si="1"/>
        <v>#DIV/0!</v>
      </c>
      <c r="H479" s="105" t="str">
        <f t="shared" si="2"/>
        <v>#DIV/0!</v>
      </c>
      <c r="I479" s="106" t="str">
        <f t="shared" si="3"/>
        <v>#DIV/0!</v>
      </c>
      <c r="J479" s="146">
        <v>24.33</v>
      </c>
      <c r="K479" s="103">
        <v>17119.0</v>
      </c>
      <c r="L479" s="103">
        <v>0.0</v>
      </c>
      <c r="M479" s="147">
        <v>0.0</v>
      </c>
      <c r="N479" s="109" t="str">
        <f t="shared" si="178"/>
        <v>#DIV/0!</v>
      </c>
      <c r="O479" s="110">
        <f t="shared" si="5"/>
        <v>0</v>
      </c>
      <c r="P479" s="109" t="str">
        <f t="shared" si="6"/>
        <v>#DIV/0!</v>
      </c>
      <c r="Q479" s="111" t="str">
        <f t="shared" si="7"/>
        <v>#DIV/0!</v>
      </c>
      <c r="R479" s="112">
        <f t="shared" si="177"/>
        <v>0</v>
      </c>
      <c r="S479" s="113" t="str">
        <f t="shared" si="9"/>
        <v>#DIV/0!</v>
      </c>
      <c r="T479" s="172"/>
      <c r="U479" s="172"/>
      <c r="V479" s="172"/>
      <c r="W479" s="172"/>
      <c r="X479" s="173"/>
      <c r="Y479" s="165"/>
      <c r="Z479" s="165"/>
    </row>
    <row r="480" hidden="1" outlineLevel="1">
      <c r="A480" s="148" t="str">
        <f t="shared" ref="A480:A481" si="179">iferror(if(B480&gt;0,month(B480)&amp;"-"&amp;year(B480),B480),)</f>
        <v>8-2025</v>
      </c>
      <c r="B480" s="99">
        <v>45885.0</v>
      </c>
      <c r="C480" s="277" t="s">
        <v>67</v>
      </c>
      <c r="D480" s="146">
        <v>0.0</v>
      </c>
      <c r="E480" s="103">
        <v>0.0</v>
      </c>
      <c r="F480" s="103">
        <v>0.0</v>
      </c>
      <c r="G480" s="104" t="str">
        <f t="shared" si="1"/>
        <v>#DIV/0!</v>
      </c>
      <c r="H480" s="105" t="str">
        <f t="shared" si="2"/>
        <v>#DIV/0!</v>
      </c>
      <c r="I480" s="106" t="str">
        <f t="shared" si="3"/>
        <v>#DIV/0!</v>
      </c>
      <c r="J480" s="117">
        <v>1108.2399999999998</v>
      </c>
      <c r="K480" s="278">
        <v>211514.0</v>
      </c>
      <c r="L480" s="103">
        <v>0.0</v>
      </c>
      <c r="M480" s="118">
        <v>2676.62</v>
      </c>
      <c r="N480" s="109">
        <f t="shared" si="178"/>
        <v>0.4140445786</v>
      </c>
      <c r="O480" s="110">
        <f t="shared" si="5"/>
        <v>2.415198874</v>
      </c>
      <c r="P480" s="109" t="str">
        <f t="shared" si="6"/>
        <v>#DIV/0!</v>
      </c>
      <c r="Q480" s="111" t="str">
        <f t="shared" si="7"/>
        <v>#DIV/0!</v>
      </c>
      <c r="R480" s="112">
        <f t="shared" si="177"/>
        <v>-2676.62</v>
      </c>
      <c r="S480" s="113" t="str">
        <f t="shared" si="9"/>
        <v>#DIV/0!</v>
      </c>
      <c r="T480" s="172"/>
      <c r="U480" s="172"/>
      <c r="V480" s="172"/>
      <c r="W480" s="172"/>
      <c r="X480" s="173"/>
      <c r="Y480" s="165"/>
      <c r="Z480" s="165"/>
    </row>
    <row r="481" collapsed="1">
      <c r="A481" s="165" t="str">
        <f t="shared" si="179"/>
        <v/>
      </c>
      <c r="B481" s="80" t="s">
        <v>120</v>
      </c>
      <c r="C481" s="201"/>
      <c r="D481" s="151">
        <f t="shared" ref="D481:F481" si="180">SUM(D465:D480)</f>
        <v>11406.62</v>
      </c>
      <c r="E481" s="153">
        <f t="shared" si="180"/>
        <v>126</v>
      </c>
      <c r="F481" s="153">
        <f t="shared" si="180"/>
        <v>114</v>
      </c>
      <c r="G481" s="154">
        <f t="shared" si="1"/>
        <v>1.105263158</v>
      </c>
      <c r="H481" s="155">
        <f t="shared" si="2"/>
        <v>90.52873016</v>
      </c>
      <c r="I481" s="156">
        <f t="shared" si="3"/>
        <v>81.90694633</v>
      </c>
      <c r="J481" s="151">
        <f t="shared" ref="J481:M481" si="181">SUM(J465:J480)</f>
        <v>4237.59</v>
      </c>
      <c r="K481" s="153">
        <f t="shared" si="181"/>
        <v>793115</v>
      </c>
      <c r="L481" s="153">
        <f t="shared" si="181"/>
        <v>25</v>
      </c>
      <c r="M481" s="157">
        <f t="shared" si="181"/>
        <v>7533.7</v>
      </c>
      <c r="N481" s="158">
        <f t="shared" si="178"/>
        <v>0.5624845693</v>
      </c>
      <c r="O481" s="159">
        <f t="shared" si="5"/>
        <v>1.777826548</v>
      </c>
      <c r="P481" s="158">
        <f t="shared" si="6"/>
        <v>0.3715026888</v>
      </c>
      <c r="Q481" s="160">
        <f t="shared" si="7"/>
        <v>0.6604673426</v>
      </c>
      <c r="R481" s="161">
        <f>SUM(R465:R480)</f>
        <v>3872.92</v>
      </c>
      <c r="S481" s="162">
        <f t="shared" si="9"/>
        <v>169.5036</v>
      </c>
      <c r="T481" s="163">
        <f t="shared" ref="T481:U481" si="182">IFERROR((D481-D69)/D481,)</f>
        <v>0.3353578887</v>
      </c>
      <c r="U481" s="163">
        <f t="shared" si="182"/>
        <v>0.253968254</v>
      </c>
      <c r="V481" s="398" t="str">
        <f t="shared" ref="V481:W481" si="183">IFERROR((D481-monthly_reporting_2021!D272)/D481, )</f>
        <v/>
      </c>
      <c r="W481" s="398" t="str">
        <f t="shared" si="183"/>
        <v/>
      </c>
      <c r="X481" s="165"/>
      <c r="Y481" s="165"/>
      <c r="Z481" s="165"/>
    </row>
    <row r="482" hidden="1" outlineLevel="1">
      <c r="A482" s="165"/>
      <c r="B482" s="99">
        <v>45886.0</v>
      </c>
      <c r="C482" s="100" t="s">
        <v>32</v>
      </c>
      <c r="D482" s="101">
        <v>5642.85</v>
      </c>
      <c r="E482" s="103">
        <v>18.0</v>
      </c>
      <c r="F482" s="103">
        <v>16.0</v>
      </c>
      <c r="G482" s="104">
        <f t="shared" si="1"/>
        <v>1.125</v>
      </c>
      <c r="H482" s="105">
        <f t="shared" si="2"/>
        <v>313.4916667</v>
      </c>
      <c r="I482" s="106">
        <f t="shared" si="3"/>
        <v>278.6592593</v>
      </c>
      <c r="J482" s="107">
        <v>1621.84</v>
      </c>
      <c r="K482" s="103">
        <v>221353.0</v>
      </c>
      <c r="L482" s="103">
        <v>8.0</v>
      </c>
      <c r="M482" s="108">
        <v>1816.35</v>
      </c>
      <c r="N482" s="109">
        <f t="shared" si="178"/>
        <v>0.8929116084</v>
      </c>
      <c r="O482" s="110">
        <f t="shared" si="5"/>
        <v>1.119931683</v>
      </c>
      <c r="P482" s="109">
        <f t="shared" si="6"/>
        <v>0.2874150474</v>
      </c>
      <c r="Q482" s="111">
        <f t="shared" si="7"/>
        <v>0.3218852176</v>
      </c>
      <c r="R482" s="112">
        <f t="shared" ref="R482:R497" si="184">D482-M482</f>
        <v>3826.5</v>
      </c>
      <c r="S482" s="113">
        <f t="shared" si="9"/>
        <v>202.73</v>
      </c>
      <c r="T482" s="172"/>
      <c r="U482" s="172"/>
      <c r="V482" s="172"/>
      <c r="W482" s="172"/>
      <c r="X482" s="173"/>
      <c r="Y482" s="165"/>
      <c r="Z482" s="165"/>
    </row>
    <row r="483" hidden="1" outlineLevel="1">
      <c r="A483" s="165"/>
      <c r="B483" s="174"/>
      <c r="C483" s="100" t="s">
        <v>33</v>
      </c>
      <c r="D483" s="117">
        <v>6158.86</v>
      </c>
      <c r="E483" s="103">
        <v>80.0</v>
      </c>
      <c r="F483" s="103">
        <v>72.0</v>
      </c>
      <c r="G483" s="104">
        <f t="shared" si="1"/>
        <v>1.111111111</v>
      </c>
      <c r="H483" s="105">
        <f t="shared" si="2"/>
        <v>76.98575</v>
      </c>
      <c r="I483" s="106">
        <f t="shared" si="3"/>
        <v>69.287175</v>
      </c>
      <c r="J483" s="117">
        <v>539.69</v>
      </c>
      <c r="K483" s="103">
        <v>149671.0</v>
      </c>
      <c r="L483" s="103">
        <v>9.0</v>
      </c>
      <c r="M483" s="118">
        <v>788.95</v>
      </c>
      <c r="N483" s="109">
        <f t="shared" si="178"/>
        <v>0.6840610939</v>
      </c>
      <c r="O483" s="110">
        <f t="shared" si="5"/>
        <v>1.461857733</v>
      </c>
      <c r="P483" s="109">
        <f t="shared" si="6"/>
        <v>0.0876282299</v>
      </c>
      <c r="Q483" s="111">
        <f t="shared" si="7"/>
        <v>0.1281000055</v>
      </c>
      <c r="R483" s="119">
        <f t="shared" si="184"/>
        <v>5369.91</v>
      </c>
      <c r="S483" s="113">
        <f t="shared" si="9"/>
        <v>59.96555556</v>
      </c>
      <c r="T483" s="172"/>
      <c r="U483" s="172"/>
      <c r="V483" s="172"/>
      <c r="W483" s="172"/>
      <c r="X483" s="173"/>
      <c r="Y483" s="165"/>
      <c r="Z483" s="165"/>
    </row>
    <row r="484" hidden="1" outlineLevel="1">
      <c r="A484" s="165"/>
      <c r="B484" s="174"/>
      <c r="C484" s="100" t="s">
        <v>34</v>
      </c>
      <c r="D484" s="120">
        <v>69.95</v>
      </c>
      <c r="E484" s="103">
        <v>1.0</v>
      </c>
      <c r="F484" s="103">
        <v>2.0</v>
      </c>
      <c r="G484" s="104">
        <f t="shared" si="1"/>
        <v>0.5</v>
      </c>
      <c r="H484" s="105">
        <f t="shared" si="2"/>
        <v>69.95</v>
      </c>
      <c r="I484" s="106">
        <f t="shared" si="3"/>
        <v>139.9</v>
      </c>
      <c r="J484" s="120">
        <v>0.0</v>
      </c>
      <c r="K484" s="103">
        <v>214.0</v>
      </c>
      <c r="L484" s="103">
        <v>0.0</v>
      </c>
      <c r="M484" s="121">
        <v>0.0</v>
      </c>
      <c r="N484" s="109" t="str">
        <f>(J484/M484)</f>
        <v>#DIV/0!</v>
      </c>
      <c r="O484" s="110" t="str">
        <f t="shared" si="5"/>
        <v>#DIV/0!</v>
      </c>
      <c r="P484" s="109">
        <f t="shared" si="6"/>
        <v>0</v>
      </c>
      <c r="Q484" s="111">
        <f t="shared" si="7"/>
        <v>0</v>
      </c>
      <c r="R484" s="122">
        <f t="shared" si="184"/>
        <v>69.95</v>
      </c>
      <c r="S484" s="113" t="str">
        <f t="shared" si="9"/>
        <v>#DIV/0!</v>
      </c>
      <c r="T484" s="172"/>
      <c r="U484" s="172"/>
      <c r="V484" s="172"/>
      <c r="W484" s="172"/>
      <c r="X484" s="173"/>
      <c r="Y484" s="165"/>
      <c r="Z484" s="165"/>
    </row>
    <row r="485" hidden="1" outlineLevel="1">
      <c r="A485" s="165"/>
      <c r="B485" s="174"/>
      <c r="C485" s="100" t="s">
        <v>35</v>
      </c>
      <c r="D485" s="120">
        <v>611.5</v>
      </c>
      <c r="E485" s="103">
        <v>10.0</v>
      </c>
      <c r="F485" s="103">
        <v>8.0</v>
      </c>
      <c r="G485" s="104">
        <f t="shared" si="1"/>
        <v>1.25</v>
      </c>
      <c r="H485" s="105">
        <f t="shared" si="2"/>
        <v>61.15</v>
      </c>
      <c r="I485" s="106">
        <f t="shared" si="3"/>
        <v>48.92</v>
      </c>
      <c r="J485" s="120">
        <v>256.79</v>
      </c>
      <c r="K485" s="103">
        <v>21116.0</v>
      </c>
      <c r="L485" s="103">
        <v>3.0</v>
      </c>
      <c r="M485" s="121">
        <v>179.85</v>
      </c>
      <c r="N485" s="109">
        <f t="shared" ref="N485:N500" si="185">J485/M485</f>
        <v>1.427800945</v>
      </c>
      <c r="O485" s="110">
        <f t="shared" si="5"/>
        <v>0.7003777406</v>
      </c>
      <c r="P485" s="109">
        <f t="shared" si="6"/>
        <v>0.4199345871</v>
      </c>
      <c r="Q485" s="111">
        <f t="shared" si="7"/>
        <v>0.2941128373</v>
      </c>
      <c r="R485" s="122">
        <f t="shared" si="184"/>
        <v>431.65</v>
      </c>
      <c r="S485" s="113">
        <f t="shared" si="9"/>
        <v>85.59666667</v>
      </c>
      <c r="T485" s="172"/>
      <c r="U485" s="172"/>
      <c r="V485" s="172"/>
      <c r="W485" s="172"/>
      <c r="X485" s="173"/>
      <c r="Y485" s="165"/>
      <c r="Z485" s="165"/>
    </row>
    <row r="486" hidden="1" outlineLevel="1">
      <c r="A486" s="165"/>
      <c r="B486" s="174"/>
      <c r="C486" s="100" t="s">
        <v>36</v>
      </c>
      <c r="D486" s="120">
        <v>309.75</v>
      </c>
      <c r="E486" s="103">
        <v>5.0</v>
      </c>
      <c r="F486" s="103">
        <v>5.0</v>
      </c>
      <c r="G486" s="104">
        <f t="shared" si="1"/>
        <v>1</v>
      </c>
      <c r="H486" s="105">
        <f t="shared" si="2"/>
        <v>61.95</v>
      </c>
      <c r="I486" s="106">
        <f t="shared" si="3"/>
        <v>61.95</v>
      </c>
      <c r="J486" s="120">
        <v>89.76</v>
      </c>
      <c r="K486" s="103">
        <v>20605.0</v>
      </c>
      <c r="L486" s="103">
        <v>3.0</v>
      </c>
      <c r="M486" s="121">
        <v>189.85</v>
      </c>
      <c r="N486" s="109">
        <f t="shared" si="185"/>
        <v>0.4727943113</v>
      </c>
      <c r="O486" s="110">
        <f t="shared" si="5"/>
        <v>2.11508467</v>
      </c>
      <c r="P486" s="109">
        <f t="shared" si="6"/>
        <v>0.2897820823</v>
      </c>
      <c r="Q486" s="111">
        <f t="shared" si="7"/>
        <v>0.61291364</v>
      </c>
      <c r="R486" s="122">
        <f t="shared" si="184"/>
        <v>119.9</v>
      </c>
      <c r="S486" s="113">
        <f t="shared" si="9"/>
        <v>29.92</v>
      </c>
      <c r="T486" s="172"/>
      <c r="U486" s="172"/>
      <c r="V486" s="172"/>
      <c r="W486" s="172"/>
      <c r="X486" s="173"/>
      <c r="Y486" s="165"/>
      <c r="Z486" s="165"/>
    </row>
    <row r="487" hidden="1" outlineLevel="1">
      <c r="A487" s="165"/>
      <c r="B487" s="99" t="s">
        <v>37</v>
      </c>
      <c r="C487" s="100" t="s">
        <v>38</v>
      </c>
      <c r="D487" s="123">
        <v>59.9</v>
      </c>
      <c r="E487" s="103">
        <v>2.0</v>
      </c>
      <c r="F487" s="103">
        <v>1.0</v>
      </c>
      <c r="G487" s="104">
        <f t="shared" si="1"/>
        <v>2</v>
      </c>
      <c r="H487" s="105">
        <f t="shared" si="2"/>
        <v>29.95</v>
      </c>
      <c r="I487" s="106">
        <f t="shared" si="3"/>
        <v>14.975</v>
      </c>
      <c r="J487" s="123">
        <v>44.23</v>
      </c>
      <c r="K487" s="103">
        <v>12174.0</v>
      </c>
      <c r="L487" s="103">
        <v>0.0</v>
      </c>
      <c r="M487" s="124">
        <v>0.0</v>
      </c>
      <c r="N487" s="109" t="str">
        <f t="shared" si="185"/>
        <v>#DIV/0!</v>
      </c>
      <c r="O487" s="110">
        <f t="shared" si="5"/>
        <v>0</v>
      </c>
      <c r="P487" s="109">
        <f t="shared" si="6"/>
        <v>0.7383973289</v>
      </c>
      <c r="Q487" s="111">
        <f t="shared" si="7"/>
        <v>0</v>
      </c>
      <c r="R487" s="125">
        <f t="shared" si="184"/>
        <v>59.9</v>
      </c>
      <c r="S487" s="113" t="str">
        <f t="shared" si="9"/>
        <v>#DIV/0!</v>
      </c>
      <c r="T487" s="172"/>
      <c r="U487" s="172"/>
      <c r="V487" s="172"/>
      <c r="W487" s="172"/>
      <c r="X487" s="173"/>
      <c r="Y487" s="165"/>
      <c r="Z487" s="165"/>
    </row>
    <row r="488" hidden="1" outlineLevel="1">
      <c r="A488" s="165"/>
      <c r="B488" s="174"/>
      <c r="C488" s="100" t="s">
        <v>39</v>
      </c>
      <c r="D488" s="126">
        <v>0.0</v>
      </c>
      <c r="E488" s="103">
        <v>0.0</v>
      </c>
      <c r="F488" s="103">
        <v>0.0</v>
      </c>
      <c r="G488" s="104" t="str">
        <f t="shared" si="1"/>
        <v>#DIV/0!</v>
      </c>
      <c r="H488" s="105" t="str">
        <f t="shared" si="2"/>
        <v>#DIV/0!</v>
      </c>
      <c r="I488" s="106" t="str">
        <f t="shared" si="3"/>
        <v>#DIV/0!</v>
      </c>
      <c r="J488" s="126">
        <v>0.0</v>
      </c>
      <c r="K488" s="103">
        <v>0.0</v>
      </c>
      <c r="L488" s="103">
        <v>0.0</v>
      </c>
      <c r="M488" s="127">
        <v>0.0</v>
      </c>
      <c r="N488" s="109" t="str">
        <f t="shared" si="185"/>
        <v>#DIV/0!</v>
      </c>
      <c r="O488" s="110" t="str">
        <f t="shared" si="5"/>
        <v>#DIV/0!</v>
      </c>
      <c r="P488" s="109" t="str">
        <f t="shared" si="6"/>
        <v>#DIV/0!</v>
      </c>
      <c r="Q488" s="111" t="str">
        <f t="shared" si="7"/>
        <v>#DIV/0!</v>
      </c>
      <c r="R488" s="128">
        <f t="shared" si="184"/>
        <v>0</v>
      </c>
      <c r="S488" s="113" t="str">
        <f t="shared" si="9"/>
        <v>#DIV/0!</v>
      </c>
      <c r="T488" s="172"/>
      <c r="U488" s="172"/>
      <c r="V488" s="172"/>
      <c r="W488" s="172"/>
      <c r="X488" s="173"/>
      <c r="Y488" s="165"/>
      <c r="Z488" s="165"/>
    </row>
    <row r="489" hidden="1" outlineLevel="1">
      <c r="A489" s="165"/>
      <c r="B489" s="174"/>
      <c r="C489" s="100" t="s">
        <v>40</v>
      </c>
      <c r="D489" s="129">
        <v>219.8</v>
      </c>
      <c r="E489" s="103">
        <v>4.0</v>
      </c>
      <c r="F489" s="103">
        <v>4.0</v>
      </c>
      <c r="G489" s="104">
        <f t="shared" si="1"/>
        <v>1</v>
      </c>
      <c r="H489" s="105">
        <f t="shared" si="2"/>
        <v>54.95</v>
      </c>
      <c r="I489" s="106">
        <f t="shared" si="3"/>
        <v>54.95</v>
      </c>
      <c r="J489" s="129">
        <v>0.0</v>
      </c>
      <c r="K489" s="103">
        <v>0.0</v>
      </c>
      <c r="L489" s="103">
        <v>0.0</v>
      </c>
      <c r="M489" s="130">
        <v>0.0</v>
      </c>
      <c r="N489" s="109" t="str">
        <f t="shared" si="185"/>
        <v>#DIV/0!</v>
      </c>
      <c r="O489" s="110" t="str">
        <f t="shared" si="5"/>
        <v>#DIV/0!</v>
      </c>
      <c r="P489" s="109">
        <f t="shared" si="6"/>
        <v>0</v>
      </c>
      <c r="Q489" s="111">
        <f t="shared" si="7"/>
        <v>0</v>
      </c>
      <c r="R489" s="131">
        <f t="shared" si="184"/>
        <v>219.8</v>
      </c>
      <c r="S489" s="113" t="str">
        <f t="shared" si="9"/>
        <v>#DIV/0!</v>
      </c>
      <c r="T489" s="172"/>
      <c r="U489" s="172"/>
      <c r="V489" s="172"/>
      <c r="W489" s="172"/>
      <c r="X489" s="173"/>
      <c r="Y489" s="165"/>
      <c r="Z489" s="165"/>
    </row>
    <row r="490" hidden="1" outlineLevel="1">
      <c r="A490" s="165"/>
      <c r="B490" s="174"/>
      <c r="C490" s="100" t="s">
        <v>41</v>
      </c>
      <c r="D490" s="132">
        <v>483.95</v>
      </c>
      <c r="E490" s="103">
        <v>6.0</v>
      </c>
      <c r="F490" s="103">
        <v>6.0</v>
      </c>
      <c r="G490" s="104">
        <f t="shared" si="1"/>
        <v>1</v>
      </c>
      <c r="H490" s="105">
        <f t="shared" si="2"/>
        <v>80.65833333</v>
      </c>
      <c r="I490" s="106">
        <f t="shared" si="3"/>
        <v>80.65833333</v>
      </c>
      <c r="J490" s="132">
        <v>164.44</v>
      </c>
      <c r="K490" s="103">
        <v>27147.0</v>
      </c>
      <c r="L490" s="103">
        <v>2.0</v>
      </c>
      <c r="M490" s="133">
        <v>133.98</v>
      </c>
      <c r="N490" s="109">
        <f t="shared" si="185"/>
        <v>1.227347365</v>
      </c>
      <c r="O490" s="110">
        <f t="shared" si="5"/>
        <v>0.8147652639</v>
      </c>
      <c r="P490" s="109">
        <f t="shared" si="6"/>
        <v>0.3397871681</v>
      </c>
      <c r="Q490" s="111">
        <f t="shared" si="7"/>
        <v>0.2768467817</v>
      </c>
      <c r="R490" s="134">
        <f t="shared" si="184"/>
        <v>349.97</v>
      </c>
      <c r="S490" s="113">
        <f t="shared" si="9"/>
        <v>82.22</v>
      </c>
      <c r="T490" s="172"/>
      <c r="U490" s="172"/>
      <c r="V490" s="172"/>
      <c r="W490" s="172"/>
      <c r="X490" s="173"/>
      <c r="Y490" s="165"/>
      <c r="Z490" s="165"/>
    </row>
    <row r="491" hidden="1" outlineLevel="1">
      <c r="A491" s="165"/>
      <c r="B491" s="174"/>
      <c r="C491" s="100" t="s">
        <v>42</v>
      </c>
      <c r="D491" s="120">
        <v>9.95</v>
      </c>
      <c r="E491" s="103">
        <v>1.0</v>
      </c>
      <c r="F491" s="103">
        <v>1.0</v>
      </c>
      <c r="G491" s="104">
        <f t="shared" si="1"/>
        <v>1</v>
      </c>
      <c r="H491" s="105">
        <f t="shared" si="2"/>
        <v>9.95</v>
      </c>
      <c r="I491" s="106">
        <f t="shared" si="3"/>
        <v>9.95</v>
      </c>
      <c r="J491" s="120">
        <v>0.0</v>
      </c>
      <c r="K491" s="103">
        <v>0.0</v>
      </c>
      <c r="L491" s="103">
        <v>0.0</v>
      </c>
      <c r="M491" s="121">
        <v>0.0</v>
      </c>
      <c r="N491" s="109" t="str">
        <f t="shared" si="185"/>
        <v>#DIV/0!</v>
      </c>
      <c r="O491" s="110" t="str">
        <f t="shared" si="5"/>
        <v>#DIV/0!</v>
      </c>
      <c r="P491" s="109">
        <f t="shared" si="6"/>
        <v>0</v>
      </c>
      <c r="Q491" s="111">
        <f t="shared" si="7"/>
        <v>0</v>
      </c>
      <c r="R491" s="122">
        <f t="shared" si="184"/>
        <v>9.95</v>
      </c>
      <c r="S491" s="113" t="str">
        <f t="shared" si="9"/>
        <v>#DIV/0!</v>
      </c>
      <c r="T491" s="172"/>
      <c r="U491" s="172"/>
      <c r="V491" s="172"/>
      <c r="W491" s="172"/>
      <c r="X491" s="173"/>
      <c r="Y491" s="165"/>
      <c r="Z491" s="165"/>
    </row>
    <row r="492" hidden="1" outlineLevel="1">
      <c r="A492" s="165"/>
      <c r="B492" s="174"/>
      <c r="C492" s="100" t="s">
        <v>43</v>
      </c>
      <c r="D492" s="135">
        <v>169.95</v>
      </c>
      <c r="E492" s="103">
        <v>1.0</v>
      </c>
      <c r="F492" s="103">
        <v>1.0</v>
      </c>
      <c r="G492" s="104">
        <f t="shared" si="1"/>
        <v>1</v>
      </c>
      <c r="H492" s="105">
        <f t="shared" si="2"/>
        <v>169.95</v>
      </c>
      <c r="I492" s="106">
        <f t="shared" si="3"/>
        <v>169.95</v>
      </c>
      <c r="J492" s="135">
        <v>44.76</v>
      </c>
      <c r="K492" s="103">
        <v>13817.0</v>
      </c>
      <c r="L492" s="103">
        <v>0.0</v>
      </c>
      <c r="M492" s="136">
        <v>0.0</v>
      </c>
      <c r="N492" s="109" t="str">
        <f t="shared" si="185"/>
        <v>#DIV/0!</v>
      </c>
      <c r="O492" s="110">
        <f t="shared" si="5"/>
        <v>0</v>
      </c>
      <c r="P492" s="109">
        <f t="shared" si="6"/>
        <v>0.2633715799</v>
      </c>
      <c r="Q492" s="111">
        <f t="shared" si="7"/>
        <v>0</v>
      </c>
      <c r="R492" s="137">
        <f t="shared" si="184"/>
        <v>169.95</v>
      </c>
      <c r="S492" s="113" t="str">
        <f t="shared" si="9"/>
        <v>#DIV/0!</v>
      </c>
      <c r="T492" s="172"/>
      <c r="U492" s="172"/>
      <c r="V492" s="172"/>
      <c r="W492" s="172"/>
      <c r="X492" s="173"/>
      <c r="Y492" s="165"/>
      <c r="Z492" s="165"/>
    </row>
    <row r="493" hidden="1" outlineLevel="1">
      <c r="A493" s="165"/>
      <c r="B493" s="174"/>
      <c r="C493" s="100" t="s">
        <v>44</v>
      </c>
      <c r="D493" s="138">
        <v>404.55</v>
      </c>
      <c r="E493" s="103">
        <v>9.0</v>
      </c>
      <c r="F493" s="103">
        <v>9.0</v>
      </c>
      <c r="G493" s="104">
        <f t="shared" si="1"/>
        <v>1</v>
      </c>
      <c r="H493" s="105">
        <f t="shared" si="2"/>
        <v>44.95</v>
      </c>
      <c r="I493" s="106">
        <f t="shared" si="3"/>
        <v>44.95</v>
      </c>
      <c r="J493" s="138">
        <v>111.88</v>
      </c>
      <c r="K493" s="103">
        <v>67224.0</v>
      </c>
      <c r="L493" s="103">
        <v>6.0</v>
      </c>
      <c r="M493" s="139">
        <v>269.7</v>
      </c>
      <c r="N493" s="109">
        <f t="shared" si="185"/>
        <v>0.414831294</v>
      </c>
      <c r="O493" s="110">
        <f t="shared" si="5"/>
        <v>2.41061852</v>
      </c>
      <c r="P493" s="109">
        <f t="shared" si="6"/>
        <v>0.276554196</v>
      </c>
      <c r="Q493" s="111">
        <f t="shared" si="7"/>
        <v>0.6666666667</v>
      </c>
      <c r="R493" s="140">
        <f t="shared" si="184"/>
        <v>134.85</v>
      </c>
      <c r="S493" s="113">
        <f t="shared" si="9"/>
        <v>18.64666667</v>
      </c>
      <c r="T493" s="172"/>
      <c r="U493" s="172"/>
      <c r="V493" s="172"/>
      <c r="W493" s="172"/>
      <c r="X493" s="173"/>
      <c r="Y493" s="165"/>
      <c r="Z493" s="165"/>
    </row>
    <row r="494" hidden="1" outlineLevel="1">
      <c r="A494" s="192"/>
      <c r="B494" s="174"/>
      <c r="C494" s="142" t="s">
        <v>45</v>
      </c>
      <c r="D494" s="101">
        <v>59.9</v>
      </c>
      <c r="E494" s="103">
        <v>2.0</v>
      </c>
      <c r="F494" s="103">
        <v>1.0</v>
      </c>
      <c r="G494" s="104">
        <f t="shared" si="1"/>
        <v>2</v>
      </c>
      <c r="H494" s="105">
        <f t="shared" si="2"/>
        <v>29.95</v>
      </c>
      <c r="I494" s="106">
        <f t="shared" si="3"/>
        <v>14.975</v>
      </c>
      <c r="J494" s="101">
        <v>0.0</v>
      </c>
      <c r="K494" s="103">
        <v>0.0</v>
      </c>
      <c r="L494" s="103">
        <v>0.0</v>
      </c>
      <c r="M494" s="108">
        <v>0.0</v>
      </c>
      <c r="N494" s="109" t="str">
        <f t="shared" si="185"/>
        <v>#DIV/0!</v>
      </c>
      <c r="O494" s="110" t="str">
        <f t="shared" si="5"/>
        <v>#DIV/0!</v>
      </c>
      <c r="P494" s="109">
        <f t="shared" si="6"/>
        <v>0</v>
      </c>
      <c r="Q494" s="111">
        <f t="shared" si="7"/>
        <v>0</v>
      </c>
      <c r="R494" s="112">
        <f t="shared" si="184"/>
        <v>59.9</v>
      </c>
      <c r="S494" s="113" t="str">
        <f t="shared" si="9"/>
        <v>#DIV/0!</v>
      </c>
      <c r="T494" s="193"/>
      <c r="U494" s="193"/>
      <c r="V494" s="193"/>
      <c r="W494" s="194"/>
      <c r="X494" s="195"/>
      <c r="Y494" s="165"/>
      <c r="Z494" s="165"/>
    </row>
    <row r="495" hidden="1" outlineLevel="1">
      <c r="A495" s="165"/>
      <c r="B495" s="174"/>
      <c r="C495" s="100" t="s">
        <v>46</v>
      </c>
      <c r="D495" s="146">
        <v>351.6</v>
      </c>
      <c r="E495" s="103">
        <v>8.0</v>
      </c>
      <c r="F495" s="103">
        <v>7.0</v>
      </c>
      <c r="G495" s="104">
        <f t="shared" si="1"/>
        <v>1.142857143</v>
      </c>
      <c r="H495" s="105">
        <f t="shared" si="2"/>
        <v>43.95</v>
      </c>
      <c r="I495" s="106">
        <f t="shared" si="3"/>
        <v>38.45625</v>
      </c>
      <c r="J495" s="146">
        <v>103.37</v>
      </c>
      <c r="K495" s="103">
        <v>27901.0</v>
      </c>
      <c r="L495" s="103">
        <v>4.0</v>
      </c>
      <c r="M495" s="147">
        <v>177.8</v>
      </c>
      <c r="N495" s="109">
        <f t="shared" si="185"/>
        <v>0.5813835771</v>
      </c>
      <c r="O495" s="110">
        <f t="shared" si="5"/>
        <v>1.720034826</v>
      </c>
      <c r="P495" s="109">
        <f t="shared" si="6"/>
        <v>0.2939988623</v>
      </c>
      <c r="Q495" s="111">
        <f t="shared" si="7"/>
        <v>0.5056882821</v>
      </c>
      <c r="R495" s="112">
        <f t="shared" si="184"/>
        <v>173.8</v>
      </c>
      <c r="S495" s="113">
        <f t="shared" si="9"/>
        <v>25.8425</v>
      </c>
      <c r="T495" s="172"/>
      <c r="U495" s="172"/>
      <c r="V495" s="172"/>
      <c r="W495" s="172"/>
      <c r="X495" s="173"/>
      <c r="Y495" s="165"/>
      <c r="Z495" s="165"/>
    </row>
    <row r="496" hidden="1" outlineLevel="1">
      <c r="A496" s="165"/>
      <c r="B496" s="174"/>
      <c r="C496" s="100" t="s">
        <v>49</v>
      </c>
      <c r="D496" s="146">
        <v>0.0</v>
      </c>
      <c r="E496" s="103">
        <v>0.0</v>
      </c>
      <c r="F496" s="103">
        <v>0.0</v>
      </c>
      <c r="G496" s="104" t="str">
        <f t="shared" si="1"/>
        <v>#DIV/0!</v>
      </c>
      <c r="H496" s="105" t="str">
        <f t="shared" si="2"/>
        <v>#DIV/0!</v>
      </c>
      <c r="I496" s="106" t="str">
        <f t="shared" si="3"/>
        <v>#DIV/0!</v>
      </c>
      <c r="J496" s="146">
        <v>7.49</v>
      </c>
      <c r="K496" s="103">
        <v>10124.0</v>
      </c>
      <c r="L496" s="103">
        <v>0.0</v>
      </c>
      <c r="M496" s="147">
        <v>0.0</v>
      </c>
      <c r="N496" s="109" t="str">
        <f t="shared" si="185"/>
        <v>#DIV/0!</v>
      </c>
      <c r="O496" s="110">
        <f t="shared" si="5"/>
        <v>0</v>
      </c>
      <c r="P496" s="109" t="str">
        <f t="shared" si="6"/>
        <v>#DIV/0!</v>
      </c>
      <c r="Q496" s="111" t="str">
        <f t="shared" si="7"/>
        <v>#DIV/0!</v>
      </c>
      <c r="R496" s="112">
        <f t="shared" si="184"/>
        <v>0</v>
      </c>
      <c r="S496" s="113" t="str">
        <f t="shared" si="9"/>
        <v>#DIV/0!</v>
      </c>
      <c r="T496" s="172"/>
      <c r="U496" s="172"/>
      <c r="V496" s="172"/>
      <c r="W496" s="172"/>
      <c r="X496" s="173"/>
      <c r="Y496" s="165"/>
      <c r="Z496" s="165"/>
    </row>
    <row r="497" hidden="1" outlineLevel="1">
      <c r="A497" s="148" t="str">
        <f t="shared" ref="A497:A498" si="186">iferror(if(B497&gt;0,month(B497)&amp;"-"&amp;year(B497),B497),)</f>
        <v>8-2025</v>
      </c>
      <c r="B497" s="99">
        <v>45892.0</v>
      </c>
      <c r="C497" s="277" t="s">
        <v>67</v>
      </c>
      <c r="D497" s="146">
        <v>0.0</v>
      </c>
      <c r="E497" s="103">
        <v>0.0</v>
      </c>
      <c r="F497" s="103">
        <v>0.0</v>
      </c>
      <c r="G497" s="104" t="str">
        <f t="shared" si="1"/>
        <v>#DIV/0!</v>
      </c>
      <c r="H497" s="105" t="str">
        <f t="shared" si="2"/>
        <v>#DIV/0!</v>
      </c>
      <c r="I497" s="106" t="str">
        <f t="shared" si="3"/>
        <v>#DIV/0!</v>
      </c>
      <c r="J497" s="117">
        <v>426.91</v>
      </c>
      <c r="K497" s="278">
        <v>127972.0</v>
      </c>
      <c r="L497" s="103">
        <v>0.0</v>
      </c>
      <c r="M497" s="118">
        <v>1436.8000000000002</v>
      </c>
      <c r="N497" s="109">
        <f t="shared" si="185"/>
        <v>0.2971255568</v>
      </c>
      <c r="O497" s="110">
        <f t="shared" si="5"/>
        <v>3.365580567</v>
      </c>
      <c r="P497" s="109" t="str">
        <f t="shared" si="6"/>
        <v>#DIV/0!</v>
      </c>
      <c r="Q497" s="111" t="str">
        <f t="shared" si="7"/>
        <v>#DIV/0!</v>
      </c>
      <c r="R497" s="112">
        <f t="shared" si="184"/>
        <v>-1436.8</v>
      </c>
      <c r="S497" s="113" t="str">
        <f t="shared" si="9"/>
        <v>#DIV/0!</v>
      </c>
      <c r="T497" s="172"/>
      <c r="U497" s="172"/>
      <c r="V497" s="172"/>
      <c r="W497" s="172"/>
      <c r="X497" s="173"/>
      <c r="Y497" s="165"/>
      <c r="Z497" s="165"/>
    </row>
    <row r="498" collapsed="1">
      <c r="A498" s="165" t="str">
        <f t="shared" si="186"/>
        <v/>
      </c>
      <c r="B498" s="80" t="s">
        <v>121</v>
      </c>
      <c r="C498" s="201"/>
      <c r="D498" s="151">
        <f t="shared" ref="D498:F498" si="187">SUM(D482:D497)</f>
        <v>14552.51</v>
      </c>
      <c r="E498" s="153">
        <f t="shared" si="187"/>
        <v>147</v>
      </c>
      <c r="F498" s="153">
        <f t="shared" si="187"/>
        <v>133</v>
      </c>
      <c r="G498" s="154">
        <f t="shared" si="1"/>
        <v>1.105263158</v>
      </c>
      <c r="H498" s="155">
        <f t="shared" si="2"/>
        <v>98.99666667</v>
      </c>
      <c r="I498" s="156">
        <f t="shared" si="3"/>
        <v>89.5684127</v>
      </c>
      <c r="J498" s="151">
        <f t="shared" ref="J498:M498" si="188">SUM(J482:J497)</f>
        <v>3411.16</v>
      </c>
      <c r="K498" s="153">
        <f t="shared" si="188"/>
        <v>699318</v>
      </c>
      <c r="L498" s="153">
        <f t="shared" si="188"/>
        <v>35</v>
      </c>
      <c r="M498" s="157">
        <f t="shared" si="188"/>
        <v>4993.28</v>
      </c>
      <c r="N498" s="158">
        <f t="shared" si="185"/>
        <v>0.6831501538</v>
      </c>
      <c r="O498" s="159">
        <f t="shared" si="5"/>
        <v>1.463807033</v>
      </c>
      <c r="P498" s="158">
        <f t="shared" si="6"/>
        <v>0.2344035496</v>
      </c>
      <c r="Q498" s="160">
        <f t="shared" si="7"/>
        <v>0.3431215646</v>
      </c>
      <c r="R498" s="161">
        <f>SUM(R482:R497)</f>
        <v>9559.23</v>
      </c>
      <c r="S498" s="162">
        <f t="shared" si="9"/>
        <v>97.46171429</v>
      </c>
      <c r="T498" s="163">
        <f t="shared" ref="T498:U498" si="189">IFERROR((D498-D69)/D498,)</f>
        <v>0.4790369496</v>
      </c>
      <c r="U498" s="163">
        <f t="shared" si="189"/>
        <v>0.3605442177</v>
      </c>
      <c r="V498" s="398" t="str">
        <f t="shared" ref="V498:W498" si="190">IFERROR((D498-monthly_reporting_2021!D289)/D498, )</f>
        <v/>
      </c>
      <c r="W498" s="398" t="str">
        <f t="shared" si="190"/>
        <v/>
      </c>
      <c r="X498" s="165"/>
      <c r="Y498" s="165"/>
      <c r="Z498" s="165"/>
    </row>
    <row r="499" hidden="1" outlineLevel="1">
      <c r="A499" s="165"/>
      <c r="B499" s="99">
        <v>45893.0</v>
      </c>
      <c r="C499" s="100" t="s">
        <v>32</v>
      </c>
      <c r="D499" s="101">
        <v>17865.38</v>
      </c>
      <c r="E499" s="103">
        <v>62.0</v>
      </c>
      <c r="F499" s="103">
        <v>60.0</v>
      </c>
      <c r="G499" s="104">
        <f t="shared" si="1"/>
        <v>1.033333333</v>
      </c>
      <c r="H499" s="105">
        <f t="shared" si="2"/>
        <v>288.1512903</v>
      </c>
      <c r="I499" s="106">
        <f t="shared" si="3"/>
        <v>278.8560874</v>
      </c>
      <c r="J499" s="107">
        <v>1362.71</v>
      </c>
      <c r="K499" s="103">
        <v>227967.0</v>
      </c>
      <c r="L499" s="103">
        <v>3.0</v>
      </c>
      <c r="M499" s="108">
        <v>1381.6</v>
      </c>
      <c r="N499" s="109">
        <f t="shared" si="185"/>
        <v>0.9863274464</v>
      </c>
      <c r="O499" s="110">
        <f t="shared" si="5"/>
        <v>1.013862084</v>
      </c>
      <c r="P499" s="109">
        <f t="shared" si="6"/>
        <v>0.07627657514</v>
      </c>
      <c r="Q499" s="111">
        <f t="shared" si="7"/>
        <v>0.07733392741</v>
      </c>
      <c r="R499" s="112">
        <f t="shared" ref="R499:R514" si="191">D499-M499</f>
        <v>16483.78</v>
      </c>
      <c r="S499" s="113">
        <f t="shared" si="9"/>
        <v>454.2366667</v>
      </c>
      <c r="T499" s="172"/>
      <c r="U499" s="172"/>
      <c r="V499" s="172"/>
      <c r="W499" s="172"/>
      <c r="X499" s="173"/>
      <c r="Y499" s="165"/>
      <c r="Z499" s="165"/>
    </row>
    <row r="500" hidden="1" outlineLevel="1">
      <c r="A500" s="165"/>
      <c r="B500" s="174"/>
      <c r="C500" s="100" t="s">
        <v>33</v>
      </c>
      <c r="D500" s="117">
        <v>21043.59</v>
      </c>
      <c r="E500" s="103">
        <v>261.0</v>
      </c>
      <c r="F500" s="103">
        <v>242.0</v>
      </c>
      <c r="G500" s="104">
        <f t="shared" si="1"/>
        <v>1.078512397</v>
      </c>
      <c r="H500" s="105">
        <f t="shared" si="2"/>
        <v>80.62678161</v>
      </c>
      <c r="I500" s="106">
        <f t="shared" si="3"/>
        <v>74.75739904</v>
      </c>
      <c r="J500" s="117">
        <v>457.07</v>
      </c>
      <c r="K500" s="103">
        <v>129310.0</v>
      </c>
      <c r="L500" s="103">
        <v>7.0</v>
      </c>
      <c r="M500" s="118">
        <v>674.8</v>
      </c>
      <c r="N500" s="109">
        <f t="shared" si="185"/>
        <v>0.6773414345</v>
      </c>
      <c r="O500" s="110">
        <f t="shared" si="5"/>
        <v>1.476360295</v>
      </c>
      <c r="P500" s="109">
        <f t="shared" si="6"/>
        <v>0.02172015326</v>
      </c>
      <c r="Q500" s="111">
        <f t="shared" si="7"/>
        <v>0.03206677188</v>
      </c>
      <c r="R500" s="119">
        <f t="shared" si="191"/>
        <v>20368.79</v>
      </c>
      <c r="S500" s="113">
        <f t="shared" si="9"/>
        <v>65.29571429</v>
      </c>
      <c r="T500" s="172"/>
      <c r="U500" s="172"/>
      <c r="V500" s="172"/>
      <c r="W500" s="172"/>
      <c r="X500" s="173"/>
      <c r="Y500" s="165"/>
      <c r="Z500" s="165"/>
    </row>
    <row r="501" hidden="1" outlineLevel="1">
      <c r="A501" s="165"/>
      <c r="B501" s="174"/>
      <c r="C501" s="100" t="s">
        <v>34</v>
      </c>
      <c r="D501" s="120">
        <v>769.45</v>
      </c>
      <c r="E501" s="103">
        <v>11.0</v>
      </c>
      <c r="F501" s="103">
        <v>10.0</v>
      </c>
      <c r="G501" s="104">
        <f t="shared" si="1"/>
        <v>1.1</v>
      </c>
      <c r="H501" s="105">
        <f t="shared" si="2"/>
        <v>69.95</v>
      </c>
      <c r="I501" s="106">
        <f t="shared" si="3"/>
        <v>63.59090909</v>
      </c>
      <c r="J501" s="120">
        <v>0.0</v>
      </c>
      <c r="K501" s="103">
        <v>235.0</v>
      </c>
      <c r="L501" s="103">
        <v>0.0</v>
      </c>
      <c r="M501" s="121">
        <v>0.0</v>
      </c>
      <c r="N501" s="109" t="str">
        <f>(J501/M501)</f>
        <v>#DIV/0!</v>
      </c>
      <c r="O501" s="110" t="str">
        <f t="shared" si="5"/>
        <v>#DIV/0!</v>
      </c>
      <c r="P501" s="109">
        <f t="shared" si="6"/>
        <v>0</v>
      </c>
      <c r="Q501" s="111">
        <f t="shared" si="7"/>
        <v>0</v>
      </c>
      <c r="R501" s="122">
        <f t="shared" si="191"/>
        <v>769.45</v>
      </c>
      <c r="S501" s="113" t="str">
        <f t="shared" si="9"/>
        <v>#DIV/0!</v>
      </c>
      <c r="T501" s="172"/>
      <c r="U501" s="172"/>
      <c r="V501" s="172"/>
      <c r="W501" s="172"/>
      <c r="X501" s="173"/>
      <c r="Y501" s="165"/>
      <c r="Z501" s="165"/>
    </row>
    <row r="502" hidden="1" outlineLevel="1">
      <c r="A502" s="165"/>
      <c r="B502" s="174"/>
      <c r="C502" s="100" t="s">
        <v>35</v>
      </c>
      <c r="D502" s="120">
        <v>2778.7</v>
      </c>
      <c r="E502" s="103">
        <v>46.0</v>
      </c>
      <c r="F502" s="103">
        <v>36.0</v>
      </c>
      <c r="G502" s="104">
        <f t="shared" si="1"/>
        <v>1.277777778</v>
      </c>
      <c r="H502" s="105">
        <f t="shared" si="2"/>
        <v>60.40652174</v>
      </c>
      <c r="I502" s="106">
        <f t="shared" si="3"/>
        <v>47.27466919</v>
      </c>
      <c r="J502" s="120">
        <v>193.28</v>
      </c>
      <c r="K502" s="103">
        <v>22281.0</v>
      </c>
      <c r="L502" s="103">
        <v>0.0</v>
      </c>
      <c r="M502" s="121">
        <v>0.0</v>
      </c>
      <c r="N502" s="109" t="str">
        <f t="shared" ref="N502:N517" si="192">J502/M502</f>
        <v>#DIV/0!</v>
      </c>
      <c r="O502" s="110">
        <f t="shared" si="5"/>
        <v>0</v>
      </c>
      <c r="P502" s="109">
        <f t="shared" si="6"/>
        <v>0.06955770684</v>
      </c>
      <c r="Q502" s="111">
        <f t="shared" si="7"/>
        <v>0</v>
      </c>
      <c r="R502" s="122">
        <f t="shared" si="191"/>
        <v>2778.7</v>
      </c>
      <c r="S502" s="113" t="str">
        <f t="shared" si="9"/>
        <v>#DIV/0!</v>
      </c>
      <c r="T502" s="172"/>
      <c r="U502" s="172"/>
      <c r="V502" s="172"/>
      <c r="W502" s="172"/>
      <c r="X502" s="173"/>
      <c r="Y502" s="165"/>
      <c r="Z502" s="165"/>
    </row>
    <row r="503" hidden="1" outlineLevel="1">
      <c r="A503" s="165"/>
      <c r="B503" s="174"/>
      <c r="C503" s="100" t="s">
        <v>36</v>
      </c>
      <c r="D503" s="120">
        <v>1199.05</v>
      </c>
      <c r="E503" s="103">
        <v>19.0</v>
      </c>
      <c r="F503" s="103">
        <v>21.0</v>
      </c>
      <c r="G503" s="104">
        <f t="shared" si="1"/>
        <v>0.9047619048</v>
      </c>
      <c r="H503" s="105">
        <f t="shared" si="2"/>
        <v>63.10789474</v>
      </c>
      <c r="I503" s="106">
        <f t="shared" si="3"/>
        <v>69.75083102</v>
      </c>
      <c r="J503" s="120">
        <v>120.59</v>
      </c>
      <c r="K503" s="103">
        <v>21886.0</v>
      </c>
      <c r="L503" s="103">
        <v>2.0</v>
      </c>
      <c r="M503" s="121">
        <v>139.9</v>
      </c>
      <c r="N503" s="109">
        <f t="shared" si="192"/>
        <v>0.8619728377</v>
      </c>
      <c r="O503" s="110">
        <f t="shared" si="5"/>
        <v>1.160129364</v>
      </c>
      <c r="P503" s="109">
        <f t="shared" si="6"/>
        <v>0.1005712856</v>
      </c>
      <c r="Q503" s="111">
        <f t="shared" si="7"/>
        <v>0.1166757016</v>
      </c>
      <c r="R503" s="122">
        <f t="shared" si="191"/>
        <v>1059.15</v>
      </c>
      <c r="S503" s="113">
        <f t="shared" si="9"/>
        <v>60.295</v>
      </c>
      <c r="T503" s="172"/>
      <c r="U503" s="172"/>
      <c r="V503" s="172"/>
      <c r="W503" s="172"/>
      <c r="X503" s="173"/>
      <c r="Y503" s="165"/>
      <c r="Z503" s="165"/>
    </row>
    <row r="504" hidden="1" outlineLevel="1">
      <c r="A504" s="165"/>
      <c r="B504" s="99" t="s">
        <v>37</v>
      </c>
      <c r="C504" s="100" t="s">
        <v>38</v>
      </c>
      <c r="D504" s="123">
        <v>254.7</v>
      </c>
      <c r="E504" s="103">
        <v>6.0</v>
      </c>
      <c r="F504" s="103">
        <v>5.0</v>
      </c>
      <c r="G504" s="104">
        <f t="shared" si="1"/>
        <v>1.2</v>
      </c>
      <c r="H504" s="105">
        <f t="shared" si="2"/>
        <v>42.45</v>
      </c>
      <c r="I504" s="106">
        <f t="shared" si="3"/>
        <v>35.375</v>
      </c>
      <c r="J504" s="123">
        <v>35.77</v>
      </c>
      <c r="K504" s="103">
        <v>15412.0</v>
      </c>
      <c r="L504" s="103">
        <v>0.0</v>
      </c>
      <c r="M504" s="124">
        <v>0.0</v>
      </c>
      <c r="N504" s="109" t="str">
        <f t="shared" si="192"/>
        <v>#DIV/0!</v>
      </c>
      <c r="O504" s="110">
        <f t="shared" si="5"/>
        <v>0</v>
      </c>
      <c r="P504" s="109">
        <f t="shared" si="6"/>
        <v>0.140439733</v>
      </c>
      <c r="Q504" s="111">
        <f t="shared" si="7"/>
        <v>0</v>
      </c>
      <c r="R504" s="125">
        <f t="shared" si="191"/>
        <v>254.7</v>
      </c>
      <c r="S504" s="113" t="str">
        <f t="shared" si="9"/>
        <v>#DIV/0!</v>
      </c>
      <c r="T504" s="172"/>
      <c r="U504" s="172"/>
      <c r="V504" s="172"/>
      <c r="W504" s="172"/>
      <c r="X504" s="173"/>
      <c r="Y504" s="165"/>
      <c r="Z504" s="165"/>
    </row>
    <row r="505" hidden="1" outlineLevel="1">
      <c r="A505" s="165"/>
      <c r="B505" s="174"/>
      <c r="C505" s="100" t="s">
        <v>39</v>
      </c>
      <c r="D505" s="126">
        <v>74.85</v>
      </c>
      <c r="E505" s="103">
        <v>3.0</v>
      </c>
      <c r="F505" s="103">
        <v>3.0</v>
      </c>
      <c r="G505" s="104">
        <f t="shared" si="1"/>
        <v>1</v>
      </c>
      <c r="H505" s="105">
        <f t="shared" si="2"/>
        <v>24.95</v>
      </c>
      <c r="I505" s="106">
        <f t="shared" si="3"/>
        <v>24.95</v>
      </c>
      <c r="J505" s="126">
        <v>0.0</v>
      </c>
      <c r="K505" s="103">
        <v>0.0</v>
      </c>
      <c r="L505" s="103">
        <v>0.0</v>
      </c>
      <c r="M505" s="127">
        <v>0.0</v>
      </c>
      <c r="N505" s="109" t="str">
        <f t="shared" si="192"/>
        <v>#DIV/0!</v>
      </c>
      <c r="O505" s="110" t="str">
        <f t="shared" si="5"/>
        <v>#DIV/0!</v>
      </c>
      <c r="P505" s="109">
        <f t="shared" si="6"/>
        <v>0</v>
      </c>
      <c r="Q505" s="111">
        <f t="shared" si="7"/>
        <v>0</v>
      </c>
      <c r="R505" s="128">
        <f t="shared" si="191"/>
        <v>74.85</v>
      </c>
      <c r="S505" s="113" t="str">
        <f t="shared" si="9"/>
        <v>#DIV/0!</v>
      </c>
      <c r="T505" s="172"/>
      <c r="U505" s="172"/>
      <c r="V505" s="172"/>
      <c r="W505" s="172"/>
      <c r="X505" s="173"/>
      <c r="Y505" s="165"/>
      <c r="Z505" s="165"/>
    </row>
    <row r="506" hidden="1" outlineLevel="1">
      <c r="A506" s="165"/>
      <c r="B506" s="174"/>
      <c r="C506" s="100" t="s">
        <v>40</v>
      </c>
      <c r="D506" s="129">
        <v>1593.55</v>
      </c>
      <c r="E506" s="103">
        <v>29.0</v>
      </c>
      <c r="F506" s="103">
        <v>17.0</v>
      </c>
      <c r="G506" s="104">
        <f t="shared" si="1"/>
        <v>1.705882353</v>
      </c>
      <c r="H506" s="105">
        <f t="shared" si="2"/>
        <v>54.95</v>
      </c>
      <c r="I506" s="106">
        <f t="shared" si="3"/>
        <v>32.21206897</v>
      </c>
      <c r="J506" s="129">
        <v>0.0</v>
      </c>
      <c r="K506" s="103">
        <v>0.0</v>
      </c>
      <c r="L506" s="103">
        <v>0.0</v>
      </c>
      <c r="M506" s="130">
        <v>0.0</v>
      </c>
      <c r="N506" s="109" t="str">
        <f t="shared" si="192"/>
        <v>#DIV/0!</v>
      </c>
      <c r="O506" s="110" t="str">
        <f t="shared" si="5"/>
        <v>#DIV/0!</v>
      </c>
      <c r="P506" s="109">
        <f t="shared" si="6"/>
        <v>0</v>
      </c>
      <c r="Q506" s="111">
        <f t="shared" si="7"/>
        <v>0</v>
      </c>
      <c r="R506" s="131">
        <f t="shared" si="191"/>
        <v>1593.55</v>
      </c>
      <c r="S506" s="113" t="str">
        <f t="shared" si="9"/>
        <v>#DIV/0!</v>
      </c>
      <c r="T506" s="172"/>
      <c r="U506" s="172"/>
      <c r="V506" s="172"/>
      <c r="W506" s="172"/>
      <c r="X506" s="173"/>
      <c r="Y506" s="165"/>
      <c r="Z506" s="165"/>
    </row>
    <row r="507" hidden="1" outlineLevel="1">
      <c r="A507" s="165"/>
      <c r="B507" s="174"/>
      <c r="C507" s="100" t="s">
        <v>41</v>
      </c>
      <c r="D507" s="132">
        <v>4412.82</v>
      </c>
      <c r="E507" s="103">
        <v>46.0</v>
      </c>
      <c r="F507" s="103">
        <v>44.0</v>
      </c>
      <c r="G507" s="104">
        <f t="shared" si="1"/>
        <v>1.045454545</v>
      </c>
      <c r="H507" s="105">
        <f t="shared" si="2"/>
        <v>95.93086957</v>
      </c>
      <c r="I507" s="106">
        <f t="shared" si="3"/>
        <v>91.75996219</v>
      </c>
      <c r="J507" s="132">
        <v>253.99</v>
      </c>
      <c r="K507" s="103">
        <v>26721.0</v>
      </c>
      <c r="L507" s="103">
        <v>5.0</v>
      </c>
      <c r="M507" s="133">
        <v>188.97</v>
      </c>
      <c r="N507" s="109">
        <f t="shared" si="192"/>
        <v>1.344075779</v>
      </c>
      <c r="O507" s="110">
        <f t="shared" si="5"/>
        <v>0.7440056695</v>
      </c>
      <c r="P507" s="109">
        <f t="shared" si="6"/>
        <v>0.05755729896</v>
      </c>
      <c r="Q507" s="111">
        <f t="shared" si="7"/>
        <v>0.04282295675</v>
      </c>
      <c r="R507" s="134">
        <f t="shared" si="191"/>
        <v>4223.85</v>
      </c>
      <c r="S507" s="113">
        <f t="shared" si="9"/>
        <v>50.798</v>
      </c>
      <c r="T507" s="172"/>
      <c r="U507" s="172"/>
      <c r="V507" s="172"/>
      <c r="W507" s="172"/>
      <c r="X507" s="173"/>
      <c r="Y507" s="165"/>
      <c r="Z507" s="165"/>
    </row>
    <row r="508" hidden="1" outlineLevel="1">
      <c r="A508" s="165"/>
      <c r="B508" s="174"/>
      <c r="C508" s="100" t="s">
        <v>42</v>
      </c>
      <c r="D508" s="120">
        <v>-0.09</v>
      </c>
      <c r="E508" s="103">
        <v>1.0</v>
      </c>
      <c r="F508" s="103">
        <v>2.0</v>
      </c>
      <c r="G508" s="104">
        <f t="shared" si="1"/>
        <v>0.5</v>
      </c>
      <c r="H508" s="105">
        <f t="shared" si="2"/>
        <v>-0.09</v>
      </c>
      <c r="I508" s="106">
        <f t="shared" si="3"/>
        <v>-0.18</v>
      </c>
      <c r="J508" s="120">
        <v>0.0</v>
      </c>
      <c r="K508" s="103">
        <v>0.0</v>
      </c>
      <c r="L508" s="103">
        <v>0.0</v>
      </c>
      <c r="M508" s="121">
        <v>0.0</v>
      </c>
      <c r="N508" s="109" t="str">
        <f t="shared" si="192"/>
        <v>#DIV/0!</v>
      </c>
      <c r="O508" s="110" t="str">
        <f t="shared" si="5"/>
        <v>#DIV/0!</v>
      </c>
      <c r="P508" s="109">
        <f t="shared" si="6"/>
        <v>0</v>
      </c>
      <c r="Q508" s="111">
        <f t="shared" si="7"/>
        <v>0</v>
      </c>
      <c r="R508" s="122">
        <f t="shared" si="191"/>
        <v>-0.09</v>
      </c>
      <c r="S508" s="113" t="str">
        <f t="shared" si="9"/>
        <v>#DIV/0!</v>
      </c>
      <c r="T508" s="172"/>
      <c r="U508" s="172"/>
      <c r="V508" s="172"/>
      <c r="W508" s="172"/>
      <c r="X508" s="173"/>
      <c r="Y508" s="165"/>
      <c r="Z508" s="165"/>
    </row>
    <row r="509" hidden="1" outlineLevel="1">
      <c r="A509" s="165"/>
      <c r="B509" s="174"/>
      <c r="C509" s="100" t="s">
        <v>43</v>
      </c>
      <c r="D509" s="135">
        <v>500.75</v>
      </c>
      <c r="E509" s="103">
        <v>5.0</v>
      </c>
      <c r="F509" s="103">
        <v>5.0</v>
      </c>
      <c r="G509" s="104">
        <f t="shared" si="1"/>
        <v>1</v>
      </c>
      <c r="H509" s="105">
        <f t="shared" si="2"/>
        <v>100.15</v>
      </c>
      <c r="I509" s="106">
        <f t="shared" si="3"/>
        <v>100.15</v>
      </c>
      <c r="J509" s="135">
        <v>26.68</v>
      </c>
      <c r="K509" s="103">
        <v>15003.0</v>
      </c>
      <c r="L509" s="103">
        <v>0.0</v>
      </c>
      <c r="M509" s="136">
        <v>0.0</v>
      </c>
      <c r="N509" s="109" t="str">
        <f t="shared" si="192"/>
        <v>#DIV/0!</v>
      </c>
      <c r="O509" s="110">
        <f t="shared" si="5"/>
        <v>0</v>
      </c>
      <c r="P509" s="109">
        <f t="shared" si="6"/>
        <v>0.05328007988</v>
      </c>
      <c r="Q509" s="111">
        <f t="shared" si="7"/>
        <v>0</v>
      </c>
      <c r="R509" s="137">
        <f t="shared" si="191"/>
        <v>500.75</v>
      </c>
      <c r="S509" s="113" t="str">
        <f t="shared" si="9"/>
        <v>#DIV/0!</v>
      </c>
      <c r="T509" s="172"/>
      <c r="U509" s="172"/>
      <c r="V509" s="172"/>
      <c r="W509" s="172"/>
      <c r="X509" s="173"/>
      <c r="Y509" s="165"/>
      <c r="Z509" s="165"/>
    </row>
    <row r="510" hidden="1" outlineLevel="1">
      <c r="A510" s="165"/>
      <c r="B510" s="174"/>
      <c r="C510" s="100" t="s">
        <v>44</v>
      </c>
      <c r="D510" s="138">
        <v>1303.55</v>
      </c>
      <c r="E510" s="103">
        <v>29.0</v>
      </c>
      <c r="F510" s="103">
        <v>31.0</v>
      </c>
      <c r="G510" s="104">
        <f t="shared" si="1"/>
        <v>0.935483871</v>
      </c>
      <c r="H510" s="105">
        <f t="shared" si="2"/>
        <v>44.95</v>
      </c>
      <c r="I510" s="106">
        <f t="shared" si="3"/>
        <v>48.05</v>
      </c>
      <c r="J510" s="138">
        <v>149.07</v>
      </c>
      <c r="K510" s="103">
        <v>73351.0</v>
      </c>
      <c r="L510" s="103">
        <v>3.0</v>
      </c>
      <c r="M510" s="139">
        <v>134.85</v>
      </c>
      <c r="N510" s="109">
        <f t="shared" si="192"/>
        <v>1.105450501</v>
      </c>
      <c r="O510" s="110">
        <f t="shared" si="5"/>
        <v>0.9046085732</v>
      </c>
      <c r="P510" s="109">
        <f t="shared" si="6"/>
        <v>0.1143569483</v>
      </c>
      <c r="Q510" s="111">
        <f t="shared" si="7"/>
        <v>0.1034482759</v>
      </c>
      <c r="R510" s="140">
        <f t="shared" si="191"/>
        <v>1168.7</v>
      </c>
      <c r="S510" s="113">
        <f t="shared" si="9"/>
        <v>49.69</v>
      </c>
      <c r="T510" s="172"/>
      <c r="U510" s="172"/>
      <c r="V510" s="172"/>
      <c r="W510" s="172"/>
      <c r="X510" s="173"/>
      <c r="Y510" s="165"/>
      <c r="Z510" s="165"/>
    </row>
    <row r="511" hidden="1" outlineLevel="1">
      <c r="A511" s="192"/>
      <c r="B511" s="174"/>
      <c r="C511" s="142" t="s">
        <v>45</v>
      </c>
      <c r="D511" s="101">
        <v>84.85</v>
      </c>
      <c r="E511" s="103">
        <v>3.0</v>
      </c>
      <c r="F511" s="103">
        <v>2.0</v>
      </c>
      <c r="G511" s="104">
        <f t="shared" si="1"/>
        <v>1.5</v>
      </c>
      <c r="H511" s="105">
        <f t="shared" si="2"/>
        <v>28.28333333</v>
      </c>
      <c r="I511" s="106">
        <f t="shared" si="3"/>
        <v>18.85555556</v>
      </c>
      <c r="J511" s="101">
        <v>0.0</v>
      </c>
      <c r="K511" s="103">
        <v>0.0</v>
      </c>
      <c r="L511" s="103">
        <v>0.0</v>
      </c>
      <c r="M511" s="108">
        <v>0.0</v>
      </c>
      <c r="N511" s="109" t="str">
        <f t="shared" si="192"/>
        <v>#DIV/0!</v>
      </c>
      <c r="O511" s="110" t="str">
        <f t="shared" si="5"/>
        <v>#DIV/0!</v>
      </c>
      <c r="P511" s="109">
        <f t="shared" si="6"/>
        <v>0</v>
      </c>
      <c r="Q511" s="111">
        <f t="shared" si="7"/>
        <v>0</v>
      </c>
      <c r="R511" s="112">
        <f t="shared" si="191"/>
        <v>84.85</v>
      </c>
      <c r="S511" s="113" t="str">
        <f t="shared" si="9"/>
        <v>#DIV/0!</v>
      </c>
      <c r="T511" s="193"/>
      <c r="U511" s="193"/>
      <c r="V511" s="193"/>
      <c r="W511" s="194"/>
      <c r="X511" s="195"/>
      <c r="Y511" s="165"/>
      <c r="Z511" s="165"/>
    </row>
    <row r="512" hidden="1" outlineLevel="1">
      <c r="A512" s="165"/>
      <c r="B512" s="174"/>
      <c r="C512" s="100" t="s">
        <v>46</v>
      </c>
      <c r="D512" s="146">
        <v>1625.15</v>
      </c>
      <c r="E512" s="103">
        <v>37.0</v>
      </c>
      <c r="F512" s="103">
        <v>36.0</v>
      </c>
      <c r="G512" s="104">
        <f t="shared" si="1"/>
        <v>1.027777778</v>
      </c>
      <c r="H512" s="105">
        <f t="shared" si="2"/>
        <v>43.92297297</v>
      </c>
      <c r="I512" s="106">
        <f t="shared" si="3"/>
        <v>42.7358656</v>
      </c>
      <c r="J512" s="146">
        <v>146.27</v>
      </c>
      <c r="K512" s="103">
        <v>31773.0</v>
      </c>
      <c r="L512" s="103">
        <v>5.0</v>
      </c>
      <c r="M512" s="147">
        <v>173.8</v>
      </c>
      <c r="N512" s="109">
        <f t="shared" si="192"/>
        <v>0.8415995397</v>
      </c>
      <c r="O512" s="110">
        <f t="shared" si="5"/>
        <v>1.188213578</v>
      </c>
      <c r="P512" s="109">
        <f t="shared" si="6"/>
        <v>0.09000399963</v>
      </c>
      <c r="Q512" s="111">
        <f t="shared" si="7"/>
        <v>0.1069439744</v>
      </c>
      <c r="R512" s="112">
        <f t="shared" si="191"/>
        <v>1451.35</v>
      </c>
      <c r="S512" s="113">
        <f t="shared" si="9"/>
        <v>29.254</v>
      </c>
      <c r="T512" s="172"/>
      <c r="U512" s="172"/>
      <c r="V512" s="172"/>
      <c r="W512" s="172"/>
      <c r="X512" s="173"/>
      <c r="Y512" s="165"/>
      <c r="Z512" s="165"/>
    </row>
    <row r="513" hidden="1" outlineLevel="1">
      <c r="A513" s="165"/>
      <c r="B513" s="174"/>
      <c r="C513" s="100" t="s">
        <v>49</v>
      </c>
      <c r="D513" s="146">
        <v>-439.5</v>
      </c>
      <c r="E513" s="103">
        <v>-9.0</v>
      </c>
      <c r="F513" s="103">
        <v>1.0</v>
      </c>
      <c r="G513" s="104">
        <f t="shared" si="1"/>
        <v>-9</v>
      </c>
      <c r="H513" s="105">
        <f t="shared" si="2"/>
        <v>48.83333333</v>
      </c>
      <c r="I513" s="106">
        <f t="shared" si="3"/>
        <v>-5.425925926</v>
      </c>
      <c r="J513" s="146">
        <v>2.51</v>
      </c>
      <c r="K513" s="103">
        <v>13162.0</v>
      </c>
      <c r="L513" s="103">
        <v>0.0</v>
      </c>
      <c r="M513" s="147">
        <v>0.0</v>
      </c>
      <c r="N513" s="109" t="str">
        <f t="shared" si="192"/>
        <v>#DIV/0!</v>
      </c>
      <c r="O513" s="110">
        <f t="shared" si="5"/>
        <v>0</v>
      </c>
      <c r="P513" s="109">
        <f t="shared" si="6"/>
        <v>-0.005711035267</v>
      </c>
      <c r="Q513" s="111">
        <f t="shared" si="7"/>
        <v>0</v>
      </c>
      <c r="R513" s="112">
        <f t="shared" si="191"/>
        <v>-439.5</v>
      </c>
      <c r="S513" s="113" t="str">
        <f t="shared" si="9"/>
        <v>#DIV/0!</v>
      </c>
      <c r="T513" s="172"/>
      <c r="U513" s="172"/>
      <c r="V513" s="172"/>
      <c r="W513" s="172"/>
      <c r="X513" s="173"/>
      <c r="Y513" s="165"/>
      <c r="Z513" s="165"/>
    </row>
    <row r="514" hidden="1" outlineLevel="1">
      <c r="A514" s="148" t="str">
        <f t="shared" ref="A514:A515" si="193">iferror(if(B514&gt;0,month(B514)&amp;"-"&amp;year(B514),B514),)</f>
        <v>8-2025</v>
      </c>
      <c r="B514" s="99">
        <v>45899.0</v>
      </c>
      <c r="C514" s="277" t="s">
        <v>67</v>
      </c>
      <c r="D514" s="146">
        <v>0.0</v>
      </c>
      <c r="E514" s="103">
        <v>0.0</v>
      </c>
      <c r="F514" s="103">
        <v>0.0</v>
      </c>
      <c r="G514" s="104" t="str">
        <f t="shared" si="1"/>
        <v>#DIV/0!</v>
      </c>
      <c r="H514" s="105" t="str">
        <f t="shared" si="2"/>
        <v>#DIV/0!</v>
      </c>
      <c r="I514" s="106" t="str">
        <f t="shared" si="3"/>
        <v>#DIV/0!</v>
      </c>
      <c r="J514" s="117">
        <v>658.4899999999999</v>
      </c>
      <c r="K514" s="278">
        <v>145902.0</v>
      </c>
      <c r="L514" s="103">
        <v>0.0</v>
      </c>
      <c r="M514" s="118">
        <v>2898.3700000000003</v>
      </c>
      <c r="N514" s="109">
        <f t="shared" si="192"/>
        <v>0.2271932155</v>
      </c>
      <c r="O514" s="110">
        <f t="shared" si="5"/>
        <v>4.401539887</v>
      </c>
      <c r="P514" s="109" t="str">
        <f t="shared" si="6"/>
        <v>#DIV/0!</v>
      </c>
      <c r="Q514" s="111" t="str">
        <f t="shared" si="7"/>
        <v>#DIV/0!</v>
      </c>
      <c r="R514" s="112">
        <f t="shared" si="191"/>
        <v>-2898.37</v>
      </c>
      <c r="S514" s="113" t="str">
        <f t="shared" si="9"/>
        <v>#DIV/0!</v>
      </c>
      <c r="T514" s="172"/>
      <c r="U514" s="172"/>
      <c r="V514" s="172"/>
      <c r="W514" s="172"/>
      <c r="X514" s="173"/>
      <c r="Y514" s="165"/>
      <c r="Z514" s="165"/>
    </row>
    <row r="515" collapsed="1">
      <c r="A515" s="165" t="str">
        <f t="shared" si="193"/>
        <v/>
      </c>
      <c r="B515" s="80" t="s">
        <v>122</v>
      </c>
      <c r="C515" s="201"/>
      <c r="D515" s="151">
        <f t="shared" ref="D515:F515" si="194">SUM(D499:D514)</f>
        <v>53066.8</v>
      </c>
      <c r="E515" s="153">
        <f t="shared" si="194"/>
        <v>549</v>
      </c>
      <c r="F515" s="153">
        <f t="shared" si="194"/>
        <v>515</v>
      </c>
      <c r="G515" s="154">
        <f t="shared" si="1"/>
        <v>1.066019417</v>
      </c>
      <c r="H515" s="155">
        <f t="shared" si="2"/>
        <v>96.66083789</v>
      </c>
      <c r="I515" s="156">
        <f t="shared" si="3"/>
        <v>90.67455649</v>
      </c>
      <c r="J515" s="151">
        <f t="shared" ref="J515:M515" si="195">SUM(J499:J514)</f>
        <v>3406.43</v>
      </c>
      <c r="K515" s="153">
        <f t="shared" si="195"/>
        <v>723003</v>
      </c>
      <c r="L515" s="153">
        <f t="shared" si="195"/>
        <v>25</v>
      </c>
      <c r="M515" s="157">
        <f t="shared" si="195"/>
        <v>5592.29</v>
      </c>
      <c r="N515" s="158">
        <f t="shared" si="192"/>
        <v>0.6091297125</v>
      </c>
      <c r="O515" s="159">
        <f t="shared" si="5"/>
        <v>1.641686458</v>
      </c>
      <c r="P515" s="158">
        <f t="shared" si="6"/>
        <v>0.06419135882</v>
      </c>
      <c r="Q515" s="160">
        <f t="shared" si="7"/>
        <v>0.1053820845</v>
      </c>
      <c r="R515" s="161">
        <f>SUM(R499:R514)</f>
        <v>47474.51</v>
      </c>
      <c r="S515" s="162">
        <f t="shared" si="9"/>
        <v>136.2572</v>
      </c>
      <c r="T515" s="163">
        <f t="shared" ref="T515:U515" si="196">IFERROR((D515-D69)/D515,)</f>
        <v>0.8571362886</v>
      </c>
      <c r="U515" s="163">
        <f t="shared" si="196"/>
        <v>0.8287795993</v>
      </c>
      <c r="V515" s="398" t="str">
        <f t="shared" ref="V515:W515" si="197">IFERROR((D515-monthly_reporting_2021!D306)/D515, )</f>
        <v/>
      </c>
      <c r="W515" s="398" t="str">
        <f t="shared" si="197"/>
        <v/>
      </c>
      <c r="X515" s="165"/>
      <c r="Y515" s="165"/>
      <c r="Z515" s="165"/>
    </row>
    <row r="516" hidden="1" outlineLevel="1">
      <c r="A516" s="165"/>
      <c r="B516" s="99">
        <v>45900.0</v>
      </c>
      <c r="C516" s="100" t="s">
        <v>32</v>
      </c>
      <c r="D516" s="101">
        <v>9451.59</v>
      </c>
      <c r="E516" s="103">
        <v>33.0</v>
      </c>
      <c r="F516" s="103">
        <v>34.0</v>
      </c>
      <c r="G516" s="104">
        <f t="shared" si="1"/>
        <v>0.9705882353</v>
      </c>
      <c r="H516" s="105">
        <f t="shared" si="2"/>
        <v>286.4118182</v>
      </c>
      <c r="I516" s="106">
        <f t="shared" si="3"/>
        <v>295.0909642</v>
      </c>
      <c r="J516" s="107">
        <v>1146.46</v>
      </c>
      <c r="K516" s="103">
        <v>223376.0</v>
      </c>
      <c r="L516" s="103">
        <v>9.0</v>
      </c>
      <c r="M516" s="108">
        <v>3006.7</v>
      </c>
      <c r="N516" s="109">
        <f t="shared" si="192"/>
        <v>0.3813017594</v>
      </c>
      <c r="O516" s="110">
        <f t="shared" si="5"/>
        <v>2.62259477</v>
      </c>
      <c r="P516" s="109">
        <f t="shared" si="6"/>
        <v>0.1212981096</v>
      </c>
      <c r="Q516" s="111">
        <f t="shared" si="7"/>
        <v>0.3181157879</v>
      </c>
      <c r="R516" s="112">
        <f t="shared" ref="R516:R531" si="198">D516-M516</f>
        <v>6444.89</v>
      </c>
      <c r="S516" s="113">
        <f t="shared" si="9"/>
        <v>127.3844444</v>
      </c>
      <c r="T516" s="172"/>
      <c r="U516" s="172"/>
      <c r="V516" s="172"/>
      <c r="W516" s="172"/>
      <c r="X516" s="173"/>
      <c r="Y516" s="165"/>
      <c r="Z516" s="165"/>
    </row>
    <row r="517" hidden="1" outlineLevel="1">
      <c r="A517" s="165"/>
      <c r="B517" s="174"/>
      <c r="C517" s="100" t="s">
        <v>33</v>
      </c>
      <c r="D517" s="117">
        <v>6608.36</v>
      </c>
      <c r="E517" s="103">
        <v>60.0</v>
      </c>
      <c r="F517" s="103">
        <v>62.0</v>
      </c>
      <c r="G517" s="104">
        <f t="shared" si="1"/>
        <v>0.9677419355</v>
      </c>
      <c r="H517" s="105">
        <f t="shared" si="2"/>
        <v>110.1393333</v>
      </c>
      <c r="I517" s="106">
        <f t="shared" si="3"/>
        <v>113.8106444</v>
      </c>
      <c r="J517" s="117">
        <v>495.4</v>
      </c>
      <c r="K517" s="103">
        <v>124118.0</v>
      </c>
      <c r="L517" s="103">
        <v>17.0</v>
      </c>
      <c r="M517" s="118">
        <v>2863.85</v>
      </c>
      <c r="N517" s="109">
        <f t="shared" si="192"/>
        <v>0.1729839202</v>
      </c>
      <c r="O517" s="110">
        <f t="shared" si="5"/>
        <v>5.780884134</v>
      </c>
      <c r="P517" s="109">
        <f t="shared" si="6"/>
        <v>0.07496564957</v>
      </c>
      <c r="Q517" s="111">
        <f t="shared" si="7"/>
        <v>0.4333677342</v>
      </c>
      <c r="R517" s="119">
        <f t="shared" si="198"/>
        <v>3744.51</v>
      </c>
      <c r="S517" s="113">
        <f t="shared" si="9"/>
        <v>29.14117647</v>
      </c>
      <c r="T517" s="172"/>
      <c r="U517" s="172"/>
      <c r="V517" s="172"/>
      <c r="W517" s="172"/>
      <c r="X517" s="173"/>
      <c r="Y517" s="165"/>
      <c r="Z517" s="165"/>
    </row>
    <row r="518" hidden="1" outlineLevel="1">
      <c r="A518" s="165"/>
      <c r="B518" s="174"/>
      <c r="C518" s="100" t="s">
        <v>34</v>
      </c>
      <c r="D518" s="120">
        <v>139.9</v>
      </c>
      <c r="E518" s="103">
        <v>2.0</v>
      </c>
      <c r="F518" s="103">
        <v>2.0</v>
      </c>
      <c r="G518" s="104">
        <f t="shared" si="1"/>
        <v>1</v>
      </c>
      <c r="H518" s="105">
        <f t="shared" si="2"/>
        <v>69.95</v>
      </c>
      <c r="I518" s="106">
        <f t="shared" si="3"/>
        <v>69.95</v>
      </c>
      <c r="J518" s="120">
        <v>20.24</v>
      </c>
      <c r="K518" s="103">
        <v>235.0</v>
      </c>
      <c r="L518" s="103">
        <v>0.0</v>
      </c>
      <c r="M518" s="121">
        <v>0.0</v>
      </c>
      <c r="N518" s="109" t="str">
        <f>(J518/M518)</f>
        <v>#DIV/0!</v>
      </c>
      <c r="O518" s="110">
        <f t="shared" si="5"/>
        <v>0</v>
      </c>
      <c r="P518" s="109">
        <f t="shared" si="6"/>
        <v>0.1446747677</v>
      </c>
      <c r="Q518" s="111">
        <f t="shared" si="7"/>
        <v>0</v>
      </c>
      <c r="R518" s="122">
        <f t="shared" si="198"/>
        <v>139.9</v>
      </c>
      <c r="S518" s="113" t="str">
        <f t="shared" si="9"/>
        <v>#DIV/0!</v>
      </c>
      <c r="T518" s="172"/>
      <c r="U518" s="172"/>
      <c r="V518" s="172"/>
      <c r="W518" s="172"/>
      <c r="X518" s="173"/>
      <c r="Y518" s="165"/>
      <c r="Z518" s="165"/>
    </row>
    <row r="519" hidden="1" outlineLevel="1">
      <c r="A519" s="165"/>
      <c r="B519" s="174"/>
      <c r="C519" s="100" t="s">
        <v>35</v>
      </c>
      <c r="D519" s="120">
        <v>545.55</v>
      </c>
      <c r="E519" s="103">
        <v>9.0</v>
      </c>
      <c r="F519" s="103">
        <v>9.0</v>
      </c>
      <c r="G519" s="104">
        <f t="shared" si="1"/>
        <v>1</v>
      </c>
      <c r="H519" s="105">
        <f t="shared" si="2"/>
        <v>60.61666667</v>
      </c>
      <c r="I519" s="106">
        <f t="shared" si="3"/>
        <v>60.61666667</v>
      </c>
      <c r="J519" s="120">
        <v>287.41</v>
      </c>
      <c r="K519" s="103">
        <v>22597.0</v>
      </c>
      <c r="L519" s="103">
        <v>5.0</v>
      </c>
      <c r="M519" s="121">
        <v>299.75</v>
      </c>
      <c r="N519" s="109">
        <f t="shared" ref="N519:N534" si="199">J519/M519</f>
        <v>0.9588323603</v>
      </c>
      <c r="O519" s="110">
        <f t="shared" si="5"/>
        <v>1.04293518</v>
      </c>
      <c r="P519" s="109">
        <f t="shared" si="6"/>
        <v>0.5268261388</v>
      </c>
      <c r="Q519" s="111">
        <f t="shared" si="7"/>
        <v>0.5494455137</v>
      </c>
      <c r="R519" s="122">
        <f t="shared" si="198"/>
        <v>245.8</v>
      </c>
      <c r="S519" s="113">
        <f t="shared" si="9"/>
        <v>57.482</v>
      </c>
      <c r="T519" s="172"/>
      <c r="U519" s="172"/>
      <c r="V519" s="172"/>
      <c r="W519" s="172"/>
      <c r="X519" s="173"/>
      <c r="Y519" s="165"/>
      <c r="Z519" s="165"/>
    </row>
    <row r="520" hidden="1" outlineLevel="1">
      <c r="A520" s="165"/>
      <c r="B520" s="174"/>
      <c r="C520" s="100" t="s">
        <v>36</v>
      </c>
      <c r="D520" s="120">
        <v>719.45</v>
      </c>
      <c r="E520" s="103">
        <v>11.0</v>
      </c>
      <c r="F520" s="103">
        <v>10.0</v>
      </c>
      <c r="G520" s="104">
        <f t="shared" si="1"/>
        <v>1.1</v>
      </c>
      <c r="H520" s="105">
        <f t="shared" si="2"/>
        <v>65.40454545</v>
      </c>
      <c r="I520" s="106">
        <f t="shared" si="3"/>
        <v>59.45867769</v>
      </c>
      <c r="J520" s="120">
        <v>127.66</v>
      </c>
      <c r="K520" s="103">
        <v>21787.0</v>
      </c>
      <c r="L520" s="103">
        <v>3.0</v>
      </c>
      <c r="M520" s="121">
        <v>189.85</v>
      </c>
      <c r="N520" s="109">
        <f t="shared" si="199"/>
        <v>0.6724255992</v>
      </c>
      <c r="O520" s="110">
        <f t="shared" si="5"/>
        <v>1.487153376</v>
      </c>
      <c r="P520" s="109">
        <f t="shared" si="6"/>
        <v>0.1774411008</v>
      </c>
      <c r="Q520" s="111">
        <f t="shared" si="7"/>
        <v>0.2638821322</v>
      </c>
      <c r="R520" s="122">
        <f t="shared" si="198"/>
        <v>529.6</v>
      </c>
      <c r="S520" s="113">
        <f t="shared" si="9"/>
        <v>42.55333333</v>
      </c>
      <c r="T520" s="172"/>
      <c r="U520" s="172"/>
      <c r="V520" s="172"/>
      <c r="W520" s="172"/>
      <c r="X520" s="173"/>
      <c r="Y520" s="165"/>
      <c r="Z520" s="165"/>
    </row>
    <row r="521" hidden="1" outlineLevel="1">
      <c r="A521" s="165"/>
      <c r="B521" s="99" t="s">
        <v>37</v>
      </c>
      <c r="C521" s="100" t="s">
        <v>38</v>
      </c>
      <c r="D521" s="123">
        <v>299.7</v>
      </c>
      <c r="E521" s="103">
        <v>6.0</v>
      </c>
      <c r="F521" s="103">
        <v>8.0</v>
      </c>
      <c r="G521" s="104">
        <f t="shared" si="1"/>
        <v>0.75</v>
      </c>
      <c r="H521" s="105">
        <f t="shared" si="2"/>
        <v>49.95</v>
      </c>
      <c r="I521" s="106">
        <f t="shared" si="3"/>
        <v>66.6</v>
      </c>
      <c r="J521" s="123">
        <v>32.57</v>
      </c>
      <c r="K521" s="103">
        <v>13136.0</v>
      </c>
      <c r="L521" s="103">
        <v>0.0</v>
      </c>
      <c r="M521" s="124">
        <v>0.0</v>
      </c>
      <c r="N521" s="109" t="str">
        <f t="shared" si="199"/>
        <v>#DIV/0!</v>
      </c>
      <c r="O521" s="110">
        <f t="shared" si="5"/>
        <v>0</v>
      </c>
      <c r="P521" s="109">
        <f t="shared" si="6"/>
        <v>0.108675342</v>
      </c>
      <c r="Q521" s="111">
        <f t="shared" si="7"/>
        <v>0</v>
      </c>
      <c r="R521" s="125">
        <f t="shared" si="198"/>
        <v>299.7</v>
      </c>
      <c r="S521" s="113" t="str">
        <f t="shared" si="9"/>
        <v>#DIV/0!</v>
      </c>
      <c r="T521" s="172"/>
      <c r="U521" s="172"/>
      <c r="V521" s="172"/>
      <c r="W521" s="172"/>
      <c r="X521" s="173"/>
      <c r="Y521" s="165"/>
      <c r="Z521" s="165"/>
    </row>
    <row r="522" hidden="1" outlineLevel="1">
      <c r="A522" s="165"/>
      <c r="B522" s="174"/>
      <c r="C522" s="100" t="s">
        <v>39</v>
      </c>
      <c r="D522" s="126">
        <v>0.0</v>
      </c>
      <c r="E522" s="103">
        <v>0.0</v>
      </c>
      <c r="F522" s="103">
        <v>0.0</v>
      </c>
      <c r="G522" s="104" t="str">
        <f t="shared" si="1"/>
        <v>#DIV/0!</v>
      </c>
      <c r="H522" s="105" t="str">
        <f t="shared" si="2"/>
        <v>#DIV/0!</v>
      </c>
      <c r="I522" s="106" t="str">
        <f t="shared" si="3"/>
        <v>#DIV/0!</v>
      </c>
      <c r="J522" s="126">
        <v>0.0</v>
      </c>
      <c r="K522" s="103">
        <v>0.0</v>
      </c>
      <c r="L522" s="103">
        <v>0.0</v>
      </c>
      <c r="M522" s="127">
        <v>0.0</v>
      </c>
      <c r="N522" s="109" t="str">
        <f t="shared" si="199"/>
        <v>#DIV/0!</v>
      </c>
      <c r="O522" s="110" t="str">
        <f t="shared" si="5"/>
        <v>#DIV/0!</v>
      </c>
      <c r="P522" s="109" t="str">
        <f t="shared" si="6"/>
        <v>#DIV/0!</v>
      </c>
      <c r="Q522" s="111" t="str">
        <f t="shared" si="7"/>
        <v>#DIV/0!</v>
      </c>
      <c r="R522" s="128">
        <f t="shared" si="198"/>
        <v>0</v>
      </c>
      <c r="S522" s="113" t="str">
        <f t="shared" si="9"/>
        <v>#DIV/0!</v>
      </c>
      <c r="T522" s="172"/>
      <c r="U522" s="172"/>
      <c r="V522" s="172"/>
      <c r="W522" s="172"/>
      <c r="X522" s="173"/>
      <c r="Y522" s="165"/>
      <c r="Z522" s="165"/>
    </row>
    <row r="523" hidden="1" outlineLevel="1">
      <c r="A523" s="165"/>
      <c r="B523" s="174"/>
      <c r="C523" s="100" t="s">
        <v>40</v>
      </c>
      <c r="D523" s="129">
        <v>219.8</v>
      </c>
      <c r="E523" s="103">
        <v>4.0</v>
      </c>
      <c r="F523" s="103">
        <v>5.0</v>
      </c>
      <c r="G523" s="104">
        <f t="shared" si="1"/>
        <v>0.8</v>
      </c>
      <c r="H523" s="105">
        <f t="shared" si="2"/>
        <v>54.95</v>
      </c>
      <c r="I523" s="106">
        <f t="shared" si="3"/>
        <v>68.6875</v>
      </c>
      <c r="J523" s="129">
        <v>0.0</v>
      </c>
      <c r="K523" s="103">
        <v>0.0</v>
      </c>
      <c r="L523" s="103">
        <v>0.0</v>
      </c>
      <c r="M523" s="130">
        <v>0.0</v>
      </c>
      <c r="N523" s="109" t="str">
        <f t="shared" si="199"/>
        <v>#DIV/0!</v>
      </c>
      <c r="O523" s="110" t="str">
        <f t="shared" si="5"/>
        <v>#DIV/0!</v>
      </c>
      <c r="P523" s="109">
        <f t="shared" si="6"/>
        <v>0</v>
      </c>
      <c r="Q523" s="111">
        <f t="shared" si="7"/>
        <v>0</v>
      </c>
      <c r="R523" s="131">
        <f t="shared" si="198"/>
        <v>219.8</v>
      </c>
      <c r="S523" s="113" t="str">
        <f t="shared" si="9"/>
        <v>#DIV/0!</v>
      </c>
      <c r="T523" s="172"/>
      <c r="U523" s="172"/>
      <c r="V523" s="172"/>
      <c r="W523" s="172"/>
      <c r="X523" s="173"/>
      <c r="Y523" s="165"/>
      <c r="Z523" s="165"/>
    </row>
    <row r="524" hidden="1" outlineLevel="1">
      <c r="A524" s="165"/>
      <c r="B524" s="174"/>
      <c r="C524" s="100" t="s">
        <v>41</v>
      </c>
      <c r="D524" s="132">
        <v>1526.27</v>
      </c>
      <c r="E524" s="103">
        <v>17.0</v>
      </c>
      <c r="F524" s="103">
        <v>18.0</v>
      </c>
      <c r="G524" s="104">
        <f t="shared" si="1"/>
        <v>0.9444444444</v>
      </c>
      <c r="H524" s="105">
        <f t="shared" si="2"/>
        <v>89.78058824</v>
      </c>
      <c r="I524" s="106">
        <f t="shared" si="3"/>
        <v>95.06179931</v>
      </c>
      <c r="J524" s="132">
        <v>394.92</v>
      </c>
      <c r="K524" s="103">
        <v>28872.0</v>
      </c>
      <c r="L524" s="103">
        <v>5.0</v>
      </c>
      <c r="M524" s="133">
        <v>582.67</v>
      </c>
      <c r="N524" s="109">
        <f t="shared" si="199"/>
        <v>0.6777764429</v>
      </c>
      <c r="O524" s="110">
        <f t="shared" si="5"/>
        <v>1.475412742</v>
      </c>
      <c r="P524" s="109">
        <f t="shared" si="6"/>
        <v>0.2587484521</v>
      </c>
      <c r="Q524" s="111">
        <f t="shared" si="7"/>
        <v>0.3817607632</v>
      </c>
      <c r="R524" s="134">
        <f t="shared" si="198"/>
        <v>943.6</v>
      </c>
      <c r="S524" s="113">
        <f t="shared" si="9"/>
        <v>78.984</v>
      </c>
      <c r="T524" s="172"/>
      <c r="U524" s="172"/>
      <c r="V524" s="172"/>
      <c r="W524" s="172"/>
      <c r="X524" s="173"/>
      <c r="Y524" s="165"/>
      <c r="Z524" s="165"/>
    </row>
    <row r="525" hidden="1" outlineLevel="1">
      <c r="A525" s="165"/>
      <c r="B525" s="174"/>
      <c r="C525" s="100" t="s">
        <v>42</v>
      </c>
      <c r="D525" s="120">
        <v>9.95</v>
      </c>
      <c r="E525" s="103">
        <v>1.0</v>
      </c>
      <c r="F525" s="103">
        <v>1.0</v>
      </c>
      <c r="G525" s="104">
        <f t="shared" si="1"/>
        <v>1</v>
      </c>
      <c r="H525" s="105">
        <f t="shared" si="2"/>
        <v>9.95</v>
      </c>
      <c r="I525" s="106">
        <f t="shared" si="3"/>
        <v>9.95</v>
      </c>
      <c r="J525" s="120">
        <v>0.0</v>
      </c>
      <c r="K525" s="103">
        <v>0.0</v>
      </c>
      <c r="L525" s="103">
        <v>0.0</v>
      </c>
      <c r="M525" s="121">
        <v>0.0</v>
      </c>
      <c r="N525" s="109" t="str">
        <f t="shared" si="199"/>
        <v>#DIV/0!</v>
      </c>
      <c r="O525" s="110" t="str">
        <f t="shared" si="5"/>
        <v>#DIV/0!</v>
      </c>
      <c r="P525" s="109">
        <f t="shared" si="6"/>
        <v>0</v>
      </c>
      <c r="Q525" s="111">
        <f t="shared" si="7"/>
        <v>0</v>
      </c>
      <c r="R525" s="122">
        <f t="shared" si="198"/>
        <v>9.95</v>
      </c>
      <c r="S525" s="113" t="str">
        <f t="shared" si="9"/>
        <v>#DIV/0!</v>
      </c>
      <c r="T525" s="172"/>
      <c r="U525" s="172"/>
      <c r="V525" s="172"/>
      <c r="W525" s="172"/>
      <c r="X525" s="173"/>
      <c r="Y525" s="165"/>
      <c r="Z525" s="165"/>
    </row>
    <row r="526" hidden="1" outlineLevel="1">
      <c r="A526" s="165"/>
      <c r="B526" s="174"/>
      <c r="C526" s="100" t="s">
        <v>43</v>
      </c>
      <c r="D526" s="135">
        <v>586.85</v>
      </c>
      <c r="E526" s="103">
        <v>3.0</v>
      </c>
      <c r="F526" s="103">
        <v>4.0</v>
      </c>
      <c r="G526" s="104">
        <f t="shared" si="1"/>
        <v>0.75</v>
      </c>
      <c r="H526" s="105">
        <f t="shared" si="2"/>
        <v>195.6166667</v>
      </c>
      <c r="I526" s="106">
        <f t="shared" si="3"/>
        <v>260.8222222</v>
      </c>
      <c r="J526" s="135">
        <v>53.96</v>
      </c>
      <c r="K526" s="103">
        <v>14217.0</v>
      </c>
      <c r="L526" s="103">
        <v>2.0</v>
      </c>
      <c r="M526" s="136">
        <v>210.95</v>
      </c>
      <c r="N526" s="109">
        <f t="shared" si="199"/>
        <v>0.2557952121</v>
      </c>
      <c r="O526" s="110">
        <f t="shared" si="5"/>
        <v>3.909377317</v>
      </c>
      <c r="P526" s="109">
        <f t="shared" si="6"/>
        <v>0.09194853881</v>
      </c>
      <c r="Q526" s="111">
        <f t="shared" si="7"/>
        <v>0.3594615319</v>
      </c>
      <c r="R526" s="137">
        <f t="shared" si="198"/>
        <v>375.9</v>
      </c>
      <c r="S526" s="113">
        <f t="shared" si="9"/>
        <v>26.98</v>
      </c>
      <c r="T526" s="172"/>
      <c r="U526" s="172"/>
      <c r="V526" s="172"/>
      <c r="W526" s="172"/>
      <c r="X526" s="173"/>
      <c r="Y526" s="165"/>
      <c r="Z526" s="165"/>
    </row>
    <row r="527" hidden="1" outlineLevel="1">
      <c r="A527" s="165"/>
      <c r="B527" s="174"/>
      <c r="C527" s="100" t="s">
        <v>44</v>
      </c>
      <c r="D527" s="138">
        <v>314.65</v>
      </c>
      <c r="E527" s="103">
        <v>7.0</v>
      </c>
      <c r="F527" s="103">
        <v>7.0</v>
      </c>
      <c r="G527" s="104">
        <f t="shared" si="1"/>
        <v>1</v>
      </c>
      <c r="H527" s="105">
        <f t="shared" si="2"/>
        <v>44.95</v>
      </c>
      <c r="I527" s="106">
        <f t="shared" si="3"/>
        <v>44.95</v>
      </c>
      <c r="J527" s="138">
        <v>145.42</v>
      </c>
      <c r="K527" s="103">
        <v>69627.0</v>
      </c>
      <c r="L527" s="103">
        <v>6.0</v>
      </c>
      <c r="M527" s="139">
        <v>269.7</v>
      </c>
      <c r="N527" s="109">
        <f t="shared" si="199"/>
        <v>0.5391916945</v>
      </c>
      <c r="O527" s="110">
        <f t="shared" si="5"/>
        <v>1.854627974</v>
      </c>
      <c r="P527" s="109">
        <f t="shared" si="6"/>
        <v>0.4621643096</v>
      </c>
      <c r="Q527" s="111">
        <f t="shared" si="7"/>
        <v>0.8571428571</v>
      </c>
      <c r="R527" s="140">
        <f t="shared" si="198"/>
        <v>44.95</v>
      </c>
      <c r="S527" s="113">
        <f t="shared" si="9"/>
        <v>24.23666667</v>
      </c>
      <c r="T527" s="172"/>
      <c r="U527" s="172"/>
      <c r="V527" s="172"/>
      <c r="W527" s="172"/>
      <c r="X527" s="173"/>
      <c r="Y527" s="165"/>
      <c r="Z527" s="165"/>
    </row>
    <row r="528" hidden="1" outlineLevel="1">
      <c r="A528" s="192"/>
      <c r="B528" s="174"/>
      <c r="C528" s="142" t="s">
        <v>45</v>
      </c>
      <c r="D528" s="101">
        <v>59.9</v>
      </c>
      <c r="E528" s="103">
        <v>2.0</v>
      </c>
      <c r="F528" s="103">
        <v>1.0</v>
      </c>
      <c r="G528" s="104">
        <f t="shared" si="1"/>
        <v>2</v>
      </c>
      <c r="H528" s="105">
        <f t="shared" si="2"/>
        <v>29.95</v>
      </c>
      <c r="I528" s="106">
        <f t="shared" si="3"/>
        <v>14.975</v>
      </c>
      <c r="J528" s="101">
        <v>0.0</v>
      </c>
      <c r="K528" s="103">
        <v>0.0</v>
      </c>
      <c r="L528" s="103">
        <v>0.0</v>
      </c>
      <c r="M528" s="108">
        <v>0.0</v>
      </c>
      <c r="N528" s="109" t="str">
        <f t="shared" si="199"/>
        <v>#DIV/0!</v>
      </c>
      <c r="O528" s="110" t="str">
        <f t="shared" si="5"/>
        <v>#DIV/0!</v>
      </c>
      <c r="P528" s="109">
        <f t="shared" si="6"/>
        <v>0</v>
      </c>
      <c r="Q528" s="111">
        <f t="shared" si="7"/>
        <v>0</v>
      </c>
      <c r="R528" s="112">
        <f t="shared" si="198"/>
        <v>59.9</v>
      </c>
      <c r="S528" s="113" t="str">
        <f t="shared" si="9"/>
        <v>#DIV/0!</v>
      </c>
      <c r="T528" s="193"/>
      <c r="U528" s="193"/>
      <c r="V528" s="193"/>
      <c r="W528" s="194"/>
      <c r="X528" s="195"/>
      <c r="Y528" s="165"/>
      <c r="Z528" s="165"/>
    </row>
    <row r="529" hidden="1" outlineLevel="1">
      <c r="A529" s="165"/>
      <c r="B529" s="174"/>
      <c r="C529" s="100" t="s">
        <v>46</v>
      </c>
      <c r="D529" s="146">
        <v>958.9</v>
      </c>
      <c r="E529" s="103">
        <v>22.0</v>
      </c>
      <c r="F529" s="103">
        <v>24.0</v>
      </c>
      <c r="G529" s="104">
        <f t="shared" si="1"/>
        <v>0.9166666667</v>
      </c>
      <c r="H529" s="105">
        <f t="shared" si="2"/>
        <v>43.58636364</v>
      </c>
      <c r="I529" s="106">
        <f t="shared" si="3"/>
        <v>47.54876033</v>
      </c>
      <c r="J529" s="146">
        <v>105.6</v>
      </c>
      <c r="K529" s="103">
        <v>28622.0</v>
      </c>
      <c r="L529" s="103">
        <v>5.0</v>
      </c>
      <c r="M529" s="147">
        <v>218.75</v>
      </c>
      <c r="N529" s="109">
        <f t="shared" si="199"/>
        <v>0.4827428571</v>
      </c>
      <c r="O529" s="110">
        <f t="shared" si="5"/>
        <v>2.071496212</v>
      </c>
      <c r="P529" s="109">
        <f t="shared" si="6"/>
        <v>0.1101261863</v>
      </c>
      <c r="Q529" s="111">
        <f t="shared" si="7"/>
        <v>0.2281259777</v>
      </c>
      <c r="R529" s="112">
        <f t="shared" si="198"/>
        <v>740.15</v>
      </c>
      <c r="S529" s="113">
        <f t="shared" si="9"/>
        <v>21.12</v>
      </c>
      <c r="T529" s="172"/>
      <c r="U529" s="172"/>
      <c r="V529" s="172"/>
      <c r="W529" s="172"/>
      <c r="X529" s="173"/>
      <c r="Y529" s="165"/>
      <c r="Z529" s="165"/>
    </row>
    <row r="530" hidden="1" outlineLevel="1">
      <c r="A530" s="165"/>
      <c r="B530" s="174"/>
      <c r="C530" s="100" t="s">
        <v>49</v>
      </c>
      <c r="D530" s="146">
        <v>0.0</v>
      </c>
      <c r="E530" s="103">
        <v>0.0</v>
      </c>
      <c r="F530" s="103">
        <v>0.0</v>
      </c>
      <c r="G530" s="104" t="str">
        <f t="shared" si="1"/>
        <v>#DIV/0!</v>
      </c>
      <c r="H530" s="105" t="str">
        <f t="shared" si="2"/>
        <v>#DIV/0!</v>
      </c>
      <c r="I530" s="106" t="str">
        <f t="shared" si="3"/>
        <v>#DIV/0!</v>
      </c>
      <c r="J530" s="146">
        <v>2.49</v>
      </c>
      <c r="K530" s="103">
        <v>10639.0</v>
      </c>
      <c r="L530" s="103">
        <v>0.0</v>
      </c>
      <c r="M530" s="147">
        <v>0.0</v>
      </c>
      <c r="N530" s="109" t="str">
        <f t="shared" si="199"/>
        <v>#DIV/0!</v>
      </c>
      <c r="O530" s="110">
        <f t="shared" si="5"/>
        <v>0</v>
      </c>
      <c r="P530" s="109" t="str">
        <f t="shared" si="6"/>
        <v>#DIV/0!</v>
      </c>
      <c r="Q530" s="111" t="str">
        <f t="shared" si="7"/>
        <v>#DIV/0!</v>
      </c>
      <c r="R530" s="112">
        <f t="shared" si="198"/>
        <v>0</v>
      </c>
      <c r="S530" s="113" t="str">
        <f t="shared" si="9"/>
        <v>#DIV/0!</v>
      </c>
      <c r="T530" s="172"/>
      <c r="U530" s="172"/>
      <c r="V530" s="172"/>
      <c r="W530" s="172"/>
      <c r="X530" s="173"/>
      <c r="Y530" s="165"/>
      <c r="Z530" s="165"/>
    </row>
    <row r="531" hidden="1" outlineLevel="1">
      <c r="A531" s="148" t="str">
        <f t="shared" ref="A531:A532" si="200">iferror(if(B531&gt;0,month(B531)&amp;"-"&amp;year(B531),B531),)</f>
        <v>9-2025</v>
      </c>
      <c r="B531" s="99">
        <v>45906.0</v>
      </c>
      <c r="C531" s="277" t="s">
        <v>67</v>
      </c>
      <c r="D531" s="146">
        <v>0.0</v>
      </c>
      <c r="E531" s="103">
        <v>0.0</v>
      </c>
      <c r="F531" s="103">
        <v>0.0</v>
      </c>
      <c r="G531" s="104" t="str">
        <f t="shared" si="1"/>
        <v>#DIV/0!</v>
      </c>
      <c r="H531" s="105" t="str">
        <f t="shared" si="2"/>
        <v>#DIV/0!</v>
      </c>
      <c r="I531" s="106" t="str">
        <f t="shared" si="3"/>
        <v>#DIV/0!</v>
      </c>
      <c r="J531" s="117">
        <v>839.6200000000001</v>
      </c>
      <c r="K531" s="278">
        <v>188037.0</v>
      </c>
      <c r="L531" s="103">
        <v>0.0</v>
      </c>
      <c r="M531" s="118">
        <v>2485.4500000000003</v>
      </c>
      <c r="N531" s="109">
        <f t="shared" si="199"/>
        <v>0.3378140779</v>
      </c>
      <c r="O531" s="110">
        <f t="shared" si="5"/>
        <v>2.960208189</v>
      </c>
      <c r="P531" s="109" t="str">
        <f t="shared" si="6"/>
        <v>#DIV/0!</v>
      </c>
      <c r="Q531" s="111" t="str">
        <f t="shared" si="7"/>
        <v>#DIV/0!</v>
      </c>
      <c r="R531" s="112">
        <f t="shared" si="198"/>
        <v>-2485.45</v>
      </c>
      <c r="S531" s="113" t="str">
        <f t="shared" si="9"/>
        <v>#DIV/0!</v>
      </c>
      <c r="T531" s="172"/>
      <c r="U531" s="172"/>
      <c r="V531" s="172"/>
      <c r="W531" s="172"/>
      <c r="X531" s="173"/>
      <c r="Y531" s="165"/>
      <c r="Z531" s="165"/>
    </row>
    <row r="532" collapsed="1">
      <c r="A532" s="165" t="str">
        <f t="shared" si="200"/>
        <v/>
      </c>
      <c r="B532" s="80" t="s">
        <v>123</v>
      </c>
      <c r="C532" s="201"/>
      <c r="D532" s="151">
        <f t="shared" ref="D532:F532" si="201">SUM(D516:D531)</f>
        <v>21440.87</v>
      </c>
      <c r="E532" s="153">
        <f t="shared" si="201"/>
        <v>177</v>
      </c>
      <c r="F532" s="153">
        <f t="shared" si="201"/>
        <v>185</v>
      </c>
      <c r="G532" s="154">
        <f t="shared" si="1"/>
        <v>0.9567567568</v>
      </c>
      <c r="H532" s="155">
        <f t="shared" si="2"/>
        <v>121.1348588</v>
      </c>
      <c r="I532" s="156">
        <f t="shared" si="3"/>
        <v>126.6098806</v>
      </c>
      <c r="J532" s="151">
        <f t="shared" ref="J532:M532" si="202">SUM(J516:J531)</f>
        <v>3651.75</v>
      </c>
      <c r="K532" s="153">
        <f t="shared" si="202"/>
        <v>745263</v>
      </c>
      <c r="L532" s="153">
        <f t="shared" si="202"/>
        <v>52</v>
      </c>
      <c r="M532" s="157">
        <f t="shared" si="202"/>
        <v>10127.67</v>
      </c>
      <c r="N532" s="158">
        <f t="shared" si="199"/>
        <v>0.3605715826</v>
      </c>
      <c r="O532" s="159">
        <f t="shared" si="5"/>
        <v>2.77337441</v>
      </c>
      <c r="P532" s="158">
        <f t="shared" si="6"/>
        <v>0.1703172493</v>
      </c>
      <c r="Q532" s="160">
        <f t="shared" si="7"/>
        <v>0.4723535006</v>
      </c>
      <c r="R532" s="161">
        <f>SUM(R516:R531)</f>
        <v>11313.2</v>
      </c>
      <c r="S532" s="162">
        <f t="shared" si="9"/>
        <v>70.22596154</v>
      </c>
      <c r="T532" s="163">
        <f t="shared" ref="T532:U532" si="203">IFERROR((D532-D69)/D532,)</f>
        <v>0.6464080049</v>
      </c>
      <c r="U532" s="163">
        <f t="shared" si="203"/>
        <v>0.4689265537</v>
      </c>
      <c r="V532" s="398" t="str">
        <f t="shared" ref="V532:W532" si="204">IFERROR((D532-monthly_reporting_2021!D323)/D532, )</f>
        <v/>
      </c>
      <c r="W532" s="398" t="str">
        <f t="shared" si="204"/>
        <v/>
      </c>
      <c r="X532" s="165"/>
      <c r="Y532" s="165"/>
      <c r="Z532" s="165"/>
    </row>
    <row r="533" hidden="1" outlineLevel="1">
      <c r="A533" s="165"/>
      <c r="B533" s="99">
        <v>45907.0</v>
      </c>
      <c r="C533" s="100" t="s">
        <v>32</v>
      </c>
      <c r="D533" s="101">
        <v>1746.1</v>
      </c>
      <c r="E533" s="103">
        <v>10.0</v>
      </c>
      <c r="F533" s="103">
        <v>13.0</v>
      </c>
      <c r="G533" s="104">
        <f t="shared" si="1"/>
        <v>0.7692307692</v>
      </c>
      <c r="H533" s="105">
        <f t="shared" si="2"/>
        <v>174.61</v>
      </c>
      <c r="I533" s="106">
        <f t="shared" si="3"/>
        <v>226.993</v>
      </c>
      <c r="J533" s="107">
        <v>854.46</v>
      </c>
      <c r="K533" s="103">
        <v>178937.0</v>
      </c>
      <c r="L533" s="103">
        <v>3.0</v>
      </c>
      <c r="M533" s="108">
        <v>2267.0</v>
      </c>
      <c r="N533" s="109">
        <f t="shared" si="199"/>
        <v>0.3769122188</v>
      </c>
      <c r="O533" s="110">
        <f t="shared" si="5"/>
        <v>2.653137654</v>
      </c>
      <c r="P533" s="109">
        <f t="shared" si="6"/>
        <v>0.4893534162</v>
      </c>
      <c r="Q533" s="111">
        <f t="shared" si="7"/>
        <v>1.298321975</v>
      </c>
      <c r="R533" s="112">
        <f t="shared" ref="R533:R548" si="205">D533-M533</f>
        <v>-520.9</v>
      </c>
      <c r="S533" s="113">
        <f t="shared" si="9"/>
        <v>284.82</v>
      </c>
      <c r="T533" s="172"/>
      <c r="U533" s="172"/>
      <c r="V533" s="172"/>
      <c r="W533" s="172"/>
      <c r="X533" s="173"/>
      <c r="Y533" s="165"/>
      <c r="Z533" s="165"/>
    </row>
    <row r="534" hidden="1" outlineLevel="1">
      <c r="A534" s="165"/>
      <c r="B534" s="174"/>
      <c r="C534" s="100" t="s">
        <v>33</v>
      </c>
      <c r="D534" s="117">
        <v>7724.65</v>
      </c>
      <c r="E534" s="103">
        <v>67.0</v>
      </c>
      <c r="F534" s="103">
        <v>65.0</v>
      </c>
      <c r="G534" s="104">
        <f t="shared" si="1"/>
        <v>1.030769231</v>
      </c>
      <c r="H534" s="105">
        <f t="shared" si="2"/>
        <v>115.2932836</v>
      </c>
      <c r="I534" s="106">
        <f t="shared" si="3"/>
        <v>111.851693</v>
      </c>
      <c r="J534" s="117">
        <v>474.07</v>
      </c>
      <c r="K534" s="103">
        <v>105026.0</v>
      </c>
      <c r="L534" s="103">
        <v>10.0</v>
      </c>
      <c r="M534" s="118">
        <v>1723.85</v>
      </c>
      <c r="N534" s="109">
        <f t="shared" si="199"/>
        <v>0.2750065261</v>
      </c>
      <c r="O534" s="110">
        <f t="shared" si="5"/>
        <v>3.636277343</v>
      </c>
      <c r="P534" s="109">
        <f t="shared" si="6"/>
        <v>0.06137106536</v>
      </c>
      <c r="Q534" s="111">
        <f t="shared" si="7"/>
        <v>0.2231622145</v>
      </c>
      <c r="R534" s="119">
        <f t="shared" si="205"/>
        <v>6000.8</v>
      </c>
      <c r="S534" s="113">
        <f t="shared" si="9"/>
        <v>47.407</v>
      </c>
      <c r="T534" s="172"/>
      <c r="U534" s="172"/>
      <c r="V534" s="172"/>
      <c r="W534" s="172"/>
      <c r="X534" s="173"/>
      <c r="Y534" s="165"/>
      <c r="Z534" s="165"/>
    </row>
    <row r="535" hidden="1" outlineLevel="1">
      <c r="A535" s="165"/>
      <c r="B535" s="174"/>
      <c r="C535" s="100" t="s">
        <v>34</v>
      </c>
      <c r="D535" s="120">
        <v>69.95</v>
      </c>
      <c r="E535" s="103">
        <v>1.0</v>
      </c>
      <c r="F535" s="103">
        <v>1.0</v>
      </c>
      <c r="G535" s="104">
        <f t="shared" si="1"/>
        <v>1</v>
      </c>
      <c r="H535" s="105">
        <f t="shared" si="2"/>
        <v>69.95</v>
      </c>
      <c r="I535" s="106">
        <f t="shared" si="3"/>
        <v>69.95</v>
      </c>
      <c r="J535" s="120">
        <v>0.0</v>
      </c>
      <c r="K535" s="103">
        <v>286.0</v>
      </c>
      <c r="L535" s="103">
        <v>0.0</v>
      </c>
      <c r="M535" s="121">
        <v>0.0</v>
      </c>
      <c r="N535" s="109" t="str">
        <f>(J535/M535)</f>
        <v>#DIV/0!</v>
      </c>
      <c r="O535" s="110" t="str">
        <f t="shared" si="5"/>
        <v>#DIV/0!</v>
      </c>
      <c r="P535" s="109">
        <f t="shared" si="6"/>
        <v>0</v>
      </c>
      <c r="Q535" s="111">
        <f t="shared" si="7"/>
        <v>0</v>
      </c>
      <c r="R535" s="122">
        <f t="shared" si="205"/>
        <v>69.95</v>
      </c>
      <c r="S535" s="113" t="str">
        <f t="shared" si="9"/>
        <v>#DIV/0!</v>
      </c>
      <c r="T535" s="172"/>
      <c r="U535" s="172"/>
      <c r="V535" s="172"/>
      <c r="W535" s="172"/>
      <c r="X535" s="173"/>
      <c r="Y535" s="165"/>
      <c r="Z535" s="165"/>
    </row>
    <row r="536" hidden="1" outlineLevel="1">
      <c r="A536" s="165"/>
      <c r="B536" s="174"/>
      <c r="C536" s="100" t="s">
        <v>35</v>
      </c>
      <c r="D536" s="120">
        <v>296.75</v>
      </c>
      <c r="E536" s="103">
        <v>5.0</v>
      </c>
      <c r="F536" s="103">
        <v>7.0</v>
      </c>
      <c r="G536" s="104">
        <f t="shared" si="1"/>
        <v>0.7142857143</v>
      </c>
      <c r="H536" s="105">
        <f t="shared" si="2"/>
        <v>59.35</v>
      </c>
      <c r="I536" s="106">
        <f t="shared" si="3"/>
        <v>83.09</v>
      </c>
      <c r="J536" s="120">
        <v>257.62</v>
      </c>
      <c r="K536" s="103">
        <v>22610.0</v>
      </c>
      <c r="L536" s="103">
        <v>7.0</v>
      </c>
      <c r="M536" s="121">
        <v>419.65</v>
      </c>
      <c r="N536" s="109">
        <f t="shared" ref="N536:N551" si="206">J536/M536</f>
        <v>0.6138925295</v>
      </c>
      <c r="O536" s="110">
        <f t="shared" si="5"/>
        <v>1.628949616</v>
      </c>
      <c r="P536" s="109">
        <f t="shared" si="6"/>
        <v>0.8681381634</v>
      </c>
      <c r="Q536" s="111">
        <f t="shared" si="7"/>
        <v>1.414153328</v>
      </c>
      <c r="R536" s="122">
        <f t="shared" si="205"/>
        <v>-122.9</v>
      </c>
      <c r="S536" s="113">
        <f t="shared" si="9"/>
        <v>36.80285714</v>
      </c>
      <c r="T536" s="172"/>
      <c r="U536" s="172"/>
      <c r="V536" s="172"/>
      <c r="W536" s="172"/>
      <c r="X536" s="173"/>
      <c r="Y536" s="165"/>
      <c r="Z536" s="165"/>
    </row>
    <row r="537" hidden="1" outlineLevel="1">
      <c r="A537" s="165"/>
      <c r="B537" s="174"/>
      <c r="C537" s="100" t="s">
        <v>36</v>
      </c>
      <c r="D537" s="120">
        <v>499.6</v>
      </c>
      <c r="E537" s="103">
        <v>8.0</v>
      </c>
      <c r="F537" s="103">
        <v>9.0</v>
      </c>
      <c r="G537" s="104">
        <f t="shared" si="1"/>
        <v>0.8888888889</v>
      </c>
      <c r="H537" s="105">
        <f t="shared" si="2"/>
        <v>62.45</v>
      </c>
      <c r="I537" s="106">
        <f t="shared" si="3"/>
        <v>70.25625</v>
      </c>
      <c r="J537" s="120">
        <v>147.16</v>
      </c>
      <c r="K537" s="103">
        <v>21588.0</v>
      </c>
      <c r="L537" s="103">
        <v>4.0</v>
      </c>
      <c r="M537" s="121">
        <v>249.8</v>
      </c>
      <c r="N537" s="109">
        <f t="shared" si="206"/>
        <v>0.589111289</v>
      </c>
      <c r="O537" s="110">
        <f t="shared" si="5"/>
        <v>1.697472139</v>
      </c>
      <c r="P537" s="109">
        <f t="shared" si="6"/>
        <v>0.2945556445</v>
      </c>
      <c r="Q537" s="111">
        <f t="shared" si="7"/>
        <v>0.5</v>
      </c>
      <c r="R537" s="122">
        <f t="shared" si="205"/>
        <v>249.8</v>
      </c>
      <c r="S537" s="113">
        <f t="shared" si="9"/>
        <v>36.79</v>
      </c>
      <c r="T537" s="172"/>
      <c r="U537" s="172"/>
      <c r="V537" s="172"/>
      <c r="W537" s="172"/>
      <c r="X537" s="173"/>
      <c r="Y537" s="165"/>
      <c r="Z537" s="165"/>
    </row>
    <row r="538" hidden="1" outlineLevel="1">
      <c r="A538" s="165"/>
      <c r="B538" s="99" t="s">
        <v>37</v>
      </c>
      <c r="C538" s="100" t="s">
        <v>38</v>
      </c>
      <c r="D538" s="123">
        <v>139.8</v>
      </c>
      <c r="E538" s="103">
        <v>4.0</v>
      </c>
      <c r="F538" s="103">
        <v>4.0</v>
      </c>
      <c r="G538" s="104">
        <f t="shared" si="1"/>
        <v>1</v>
      </c>
      <c r="H538" s="105">
        <f t="shared" si="2"/>
        <v>34.95</v>
      </c>
      <c r="I538" s="106">
        <f t="shared" si="3"/>
        <v>34.95</v>
      </c>
      <c r="J538" s="123">
        <v>36.22</v>
      </c>
      <c r="K538" s="103">
        <v>11868.0</v>
      </c>
      <c r="L538" s="103">
        <v>0.0</v>
      </c>
      <c r="M538" s="124">
        <v>0.0</v>
      </c>
      <c r="N538" s="109" t="str">
        <f t="shared" si="206"/>
        <v>#DIV/0!</v>
      </c>
      <c r="O538" s="110">
        <f t="shared" si="5"/>
        <v>0</v>
      </c>
      <c r="P538" s="109">
        <f t="shared" si="6"/>
        <v>0.2590844063</v>
      </c>
      <c r="Q538" s="111">
        <f t="shared" si="7"/>
        <v>0</v>
      </c>
      <c r="R538" s="125">
        <f t="shared" si="205"/>
        <v>139.8</v>
      </c>
      <c r="S538" s="113" t="str">
        <f t="shared" si="9"/>
        <v>#DIV/0!</v>
      </c>
      <c r="T538" s="172"/>
      <c r="U538" s="172"/>
      <c r="V538" s="172"/>
      <c r="W538" s="172"/>
      <c r="X538" s="173"/>
      <c r="Y538" s="165"/>
      <c r="Z538" s="165"/>
    </row>
    <row r="539" hidden="1" outlineLevel="1">
      <c r="A539" s="165"/>
      <c r="B539" s="174"/>
      <c r="C539" s="100" t="s">
        <v>39</v>
      </c>
      <c r="D539" s="126">
        <v>-24.95</v>
      </c>
      <c r="E539" s="103">
        <v>-1.0</v>
      </c>
      <c r="F539" s="103">
        <v>0.0</v>
      </c>
      <c r="G539" s="104" t="str">
        <f t="shared" si="1"/>
        <v>#DIV/0!</v>
      </c>
      <c r="H539" s="105">
        <f t="shared" si="2"/>
        <v>24.95</v>
      </c>
      <c r="I539" s="106" t="str">
        <f t="shared" si="3"/>
        <v>#DIV/0!</v>
      </c>
      <c r="J539" s="126">
        <v>0.0</v>
      </c>
      <c r="K539" s="103">
        <v>0.0</v>
      </c>
      <c r="L539" s="103">
        <v>0.0</v>
      </c>
      <c r="M539" s="127">
        <v>0.0</v>
      </c>
      <c r="N539" s="109" t="str">
        <f t="shared" si="206"/>
        <v>#DIV/0!</v>
      </c>
      <c r="O539" s="110" t="str">
        <f t="shared" si="5"/>
        <v>#DIV/0!</v>
      </c>
      <c r="P539" s="109">
        <f t="shared" si="6"/>
        <v>0</v>
      </c>
      <c r="Q539" s="111">
        <f t="shared" si="7"/>
        <v>0</v>
      </c>
      <c r="R539" s="128">
        <f t="shared" si="205"/>
        <v>-24.95</v>
      </c>
      <c r="S539" s="113" t="str">
        <f t="shared" si="9"/>
        <v>#DIV/0!</v>
      </c>
      <c r="T539" s="172"/>
      <c r="U539" s="172"/>
      <c r="V539" s="172"/>
      <c r="W539" s="172"/>
      <c r="X539" s="173"/>
      <c r="Y539" s="165"/>
      <c r="Z539" s="165"/>
    </row>
    <row r="540" hidden="1" outlineLevel="1">
      <c r="A540" s="165"/>
      <c r="B540" s="174"/>
      <c r="C540" s="100" t="s">
        <v>40</v>
      </c>
      <c r="D540" s="129">
        <v>824.25</v>
      </c>
      <c r="E540" s="103">
        <v>15.0</v>
      </c>
      <c r="F540" s="103">
        <v>5.0</v>
      </c>
      <c r="G540" s="104">
        <f t="shared" si="1"/>
        <v>3</v>
      </c>
      <c r="H540" s="105">
        <f t="shared" si="2"/>
        <v>54.95</v>
      </c>
      <c r="I540" s="106">
        <f t="shared" si="3"/>
        <v>18.31666667</v>
      </c>
      <c r="J540" s="129">
        <v>0.0</v>
      </c>
      <c r="K540" s="103">
        <v>0.0</v>
      </c>
      <c r="L540" s="103">
        <v>0.0</v>
      </c>
      <c r="M540" s="130">
        <v>0.0</v>
      </c>
      <c r="N540" s="109" t="str">
        <f t="shared" si="206"/>
        <v>#DIV/0!</v>
      </c>
      <c r="O540" s="110" t="str">
        <f t="shared" si="5"/>
        <v>#DIV/0!</v>
      </c>
      <c r="P540" s="109">
        <f t="shared" si="6"/>
        <v>0</v>
      </c>
      <c r="Q540" s="111">
        <f t="shared" si="7"/>
        <v>0</v>
      </c>
      <c r="R540" s="131">
        <f t="shared" si="205"/>
        <v>824.25</v>
      </c>
      <c r="S540" s="113" t="str">
        <f t="shared" si="9"/>
        <v>#DIV/0!</v>
      </c>
      <c r="T540" s="172"/>
      <c r="U540" s="172"/>
      <c r="V540" s="172"/>
      <c r="W540" s="172"/>
      <c r="X540" s="173"/>
      <c r="Y540" s="165"/>
      <c r="Z540" s="165"/>
    </row>
    <row r="541" hidden="1" outlineLevel="1">
      <c r="A541" s="165"/>
      <c r="B541" s="174"/>
      <c r="C541" s="100" t="s">
        <v>41</v>
      </c>
      <c r="D541" s="132">
        <v>1085.61</v>
      </c>
      <c r="E541" s="103">
        <v>12.0</v>
      </c>
      <c r="F541" s="103">
        <v>14.0</v>
      </c>
      <c r="G541" s="104">
        <f t="shared" si="1"/>
        <v>0.8571428571</v>
      </c>
      <c r="H541" s="105">
        <f t="shared" si="2"/>
        <v>90.4675</v>
      </c>
      <c r="I541" s="106">
        <f t="shared" si="3"/>
        <v>105.5454167</v>
      </c>
      <c r="J541" s="132">
        <v>274.98</v>
      </c>
      <c r="K541" s="103">
        <v>26078.0</v>
      </c>
      <c r="L541" s="103">
        <v>6.0</v>
      </c>
      <c r="M541" s="133">
        <v>863.37</v>
      </c>
      <c r="N541" s="109">
        <f t="shared" si="206"/>
        <v>0.3184961256</v>
      </c>
      <c r="O541" s="110">
        <f t="shared" si="5"/>
        <v>3.139755619</v>
      </c>
      <c r="P541" s="109">
        <f t="shared" si="6"/>
        <v>0.2532953823</v>
      </c>
      <c r="Q541" s="111">
        <f t="shared" si="7"/>
        <v>0.7952855998</v>
      </c>
      <c r="R541" s="134">
        <f t="shared" si="205"/>
        <v>222.24</v>
      </c>
      <c r="S541" s="113">
        <f t="shared" si="9"/>
        <v>45.83</v>
      </c>
      <c r="T541" s="172"/>
      <c r="U541" s="172"/>
      <c r="V541" s="172"/>
      <c r="W541" s="172"/>
      <c r="X541" s="173"/>
      <c r="Y541" s="165"/>
      <c r="Z541" s="165"/>
    </row>
    <row r="542" hidden="1" outlineLevel="1">
      <c r="A542" s="165"/>
      <c r="B542" s="174"/>
      <c r="C542" s="100" t="s">
        <v>42</v>
      </c>
      <c r="D542" s="120">
        <v>0.0</v>
      </c>
      <c r="E542" s="103">
        <v>0.0</v>
      </c>
      <c r="F542" s="103">
        <v>0.0</v>
      </c>
      <c r="G542" s="104" t="str">
        <f t="shared" si="1"/>
        <v>#DIV/0!</v>
      </c>
      <c r="H542" s="105" t="str">
        <f t="shared" si="2"/>
        <v>#DIV/0!</v>
      </c>
      <c r="I542" s="106" t="str">
        <f t="shared" si="3"/>
        <v>#DIV/0!</v>
      </c>
      <c r="J542" s="120">
        <v>0.0</v>
      </c>
      <c r="K542" s="103">
        <v>0.0</v>
      </c>
      <c r="L542" s="103">
        <v>0.0</v>
      </c>
      <c r="M542" s="121">
        <v>0.0</v>
      </c>
      <c r="N542" s="109" t="str">
        <f t="shared" si="206"/>
        <v>#DIV/0!</v>
      </c>
      <c r="O542" s="110" t="str">
        <f t="shared" si="5"/>
        <v>#DIV/0!</v>
      </c>
      <c r="P542" s="109" t="str">
        <f t="shared" si="6"/>
        <v>#DIV/0!</v>
      </c>
      <c r="Q542" s="111" t="str">
        <f t="shared" si="7"/>
        <v>#DIV/0!</v>
      </c>
      <c r="R542" s="122">
        <f t="shared" si="205"/>
        <v>0</v>
      </c>
      <c r="S542" s="113" t="str">
        <f t="shared" si="9"/>
        <v>#DIV/0!</v>
      </c>
      <c r="T542" s="172"/>
      <c r="U542" s="172"/>
      <c r="V542" s="172"/>
      <c r="W542" s="172"/>
      <c r="X542" s="173"/>
      <c r="Y542" s="165"/>
      <c r="Z542" s="165"/>
    </row>
    <row r="543" hidden="1" outlineLevel="1">
      <c r="A543" s="165"/>
      <c r="B543" s="174"/>
      <c r="C543" s="100" t="s">
        <v>43</v>
      </c>
      <c r="D543" s="135">
        <v>171.0</v>
      </c>
      <c r="E543" s="103">
        <v>0.0</v>
      </c>
      <c r="F543" s="103">
        <v>1.0</v>
      </c>
      <c r="G543" s="104">
        <f t="shared" si="1"/>
        <v>0</v>
      </c>
      <c r="H543" s="105" t="str">
        <f t="shared" si="2"/>
        <v>#DIV/0!</v>
      </c>
      <c r="I543" s="106" t="str">
        <f t="shared" si="3"/>
        <v>#DIV/0!</v>
      </c>
      <c r="J543" s="135">
        <v>38.02</v>
      </c>
      <c r="K543" s="103">
        <v>12107.0</v>
      </c>
      <c r="L543" s="103">
        <v>1.0</v>
      </c>
      <c r="M543" s="136">
        <v>210.95</v>
      </c>
      <c r="N543" s="109">
        <f t="shared" si="206"/>
        <v>0.1802322825</v>
      </c>
      <c r="O543" s="110">
        <f t="shared" si="5"/>
        <v>5.548395581</v>
      </c>
      <c r="P543" s="109">
        <f t="shared" si="6"/>
        <v>0.2223391813</v>
      </c>
      <c r="Q543" s="111">
        <f t="shared" si="7"/>
        <v>1.233625731</v>
      </c>
      <c r="R543" s="137">
        <f t="shared" si="205"/>
        <v>-39.95</v>
      </c>
      <c r="S543" s="113">
        <f t="shared" si="9"/>
        <v>38.02</v>
      </c>
      <c r="T543" s="172"/>
      <c r="U543" s="172"/>
      <c r="V543" s="172"/>
      <c r="W543" s="172"/>
      <c r="X543" s="173"/>
      <c r="Y543" s="165"/>
      <c r="Z543" s="165"/>
    </row>
    <row r="544" hidden="1" outlineLevel="1">
      <c r="A544" s="165"/>
      <c r="B544" s="174"/>
      <c r="C544" s="100" t="s">
        <v>44</v>
      </c>
      <c r="D544" s="138">
        <v>134.85</v>
      </c>
      <c r="E544" s="103">
        <v>3.0</v>
      </c>
      <c r="F544" s="103">
        <v>3.0</v>
      </c>
      <c r="G544" s="104">
        <f t="shared" si="1"/>
        <v>1</v>
      </c>
      <c r="H544" s="105">
        <f t="shared" si="2"/>
        <v>44.95</v>
      </c>
      <c r="I544" s="106">
        <f t="shared" si="3"/>
        <v>44.95</v>
      </c>
      <c r="J544" s="138">
        <v>103.17</v>
      </c>
      <c r="K544" s="103">
        <v>64840.0</v>
      </c>
      <c r="L544" s="103">
        <v>2.0</v>
      </c>
      <c r="M544" s="139">
        <v>89.9</v>
      </c>
      <c r="N544" s="109">
        <f t="shared" si="206"/>
        <v>1.147608454</v>
      </c>
      <c r="O544" s="110">
        <f t="shared" si="5"/>
        <v>0.8713773384</v>
      </c>
      <c r="P544" s="109">
        <f t="shared" si="6"/>
        <v>0.7650723026</v>
      </c>
      <c r="Q544" s="111">
        <f t="shared" si="7"/>
        <v>0.6666666667</v>
      </c>
      <c r="R544" s="140">
        <f t="shared" si="205"/>
        <v>44.95</v>
      </c>
      <c r="S544" s="113">
        <f t="shared" si="9"/>
        <v>51.585</v>
      </c>
      <c r="T544" s="172"/>
      <c r="U544" s="172"/>
      <c r="V544" s="172"/>
      <c r="W544" s="172"/>
      <c r="X544" s="173"/>
      <c r="Y544" s="165"/>
      <c r="Z544" s="165"/>
    </row>
    <row r="545" hidden="1" outlineLevel="1">
      <c r="A545" s="192"/>
      <c r="B545" s="174"/>
      <c r="C545" s="142" t="s">
        <v>45</v>
      </c>
      <c r="D545" s="101">
        <v>59.9</v>
      </c>
      <c r="E545" s="103">
        <v>2.0</v>
      </c>
      <c r="F545" s="103">
        <v>1.0</v>
      </c>
      <c r="G545" s="104">
        <f t="shared" si="1"/>
        <v>2</v>
      </c>
      <c r="H545" s="105">
        <f t="shared" si="2"/>
        <v>29.95</v>
      </c>
      <c r="I545" s="106">
        <f t="shared" si="3"/>
        <v>14.975</v>
      </c>
      <c r="J545" s="101">
        <v>0.0</v>
      </c>
      <c r="K545" s="103">
        <v>0.0</v>
      </c>
      <c r="L545" s="103">
        <v>0.0</v>
      </c>
      <c r="M545" s="108">
        <v>0.0</v>
      </c>
      <c r="N545" s="109" t="str">
        <f t="shared" si="206"/>
        <v>#DIV/0!</v>
      </c>
      <c r="O545" s="110" t="str">
        <f t="shared" si="5"/>
        <v>#DIV/0!</v>
      </c>
      <c r="P545" s="109">
        <f t="shared" si="6"/>
        <v>0</v>
      </c>
      <c r="Q545" s="111">
        <f t="shared" si="7"/>
        <v>0</v>
      </c>
      <c r="R545" s="112">
        <f t="shared" si="205"/>
        <v>59.9</v>
      </c>
      <c r="S545" s="113" t="str">
        <f t="shared" si="9"/>
        <v>#DIV/0!</v>
      </c>
      <c r="T545" s="193"/>
      <c r="U545" s="193"/>
      <c r="V545" s="193"/>
      <c r="W545" s="194"/>
      <c r="X545" s="195"/>
      <c r="Y545" s="165"/>
      <c r="Z545" s="165"/>
    </row>
    <row r="546" hidden="1" outlineLevel="1">
      <c r="A546" s="165"/>
      <c r="B546" s="174"/>
      <c r="C546" s="100" t="s">
        <v>46</v>
      </c>
      <c r="D546" s="146">
        <v>787.1</v>
      </c>
      <c r="E546" s="103">
        <v>18.0</v>
      </c>
      <c r="F546" s="103">
        <v>19.0</v>
      </c>
      <c r="G546" s="104">
        <f t="shared" si="1"/>
        <v>0.9473684211</v>
      </c>
      <c r="H546" s="105">
        <f t="shared" si="2"/>
        <v>43.72777778</v>
      </c>
      <c r="I546" s="106">
        <f t="shared" si="3"/>
        <v>46.15709877</v>
      </c>
      <c r="J546" s="146">
        <v>106.64</v>
      </c>
      <c r="K546" s="103">
        <v>24790.0</v>
      </c>
      <c r="L546" s="103">
        <v>2.0</v>
      </c>
      <c r="M546" s="147">
        <v>87.9</v>
      </c>
      <c r="N546" s="109">
        <f t="shared" si="206"/>
        <v>1.213196815</v>
      </c>
      <c r="O546" s="110">
        <f t="shared" si="5"/>
        <v>0.8242685671</v>
      </c>
      <c r="P546" s="109">
        <f t="shared" si="6"/>
        <v>0.1354846906</v>
      </c>
      <c r="Q546" s="111">
        <f t="shared" si="7"/>
        <v>0.1116757718</v>
      </c>
      <c r="R546" s="112">
        <f t="shared" si="205"/>
        <v>699.2</v>
      </c>
      <c r="S546" s="113">
        <f t="shared" si="9"/>
        <v>53.32</v>
      </c>
      <c r="T546" s="172"/>
      <c r="U546" s="172"/>
      <c r="V546" s="172"/>
      <c r="W546" s="172"/>
      <c r="X546" s="173"/>
      <c r="Y546" s="165"/>
      <c r="Z546" s="165"/>
    </row>
    <row r="547" hidden="1" outlineLevel="1">
      <c r="A547" s="165"/>
      <c r="B547" s="174"/>
      <c r="C547" s="100" t="s">
        <v>49</v>
      </c>
      <c r="D547" s="146">
        <v>0.0</v>
      </c>
      <c r="E547" s="103">
        <v>0.0</v>
      </c>
      <c r="F547" s="103">
        <v>0.0</v>
      </c>
      <c r="G547" s="104" t="str">
        <f t="shared" si="1"/>
        <v>#DIV/0!</v>
      </c>
      <c r="H547" s="105" t="str">
        <f t="shared" si="2"/>
        <v>#DIV/0!</v>
      </c>
      <c r="I547" s="106" t="str">
        <f t="shared" si="3"/>
        <v>#DIV/0!</v>
      </c>
      <c r="J547" s="146">
        <v>7.87</v>
      </c>
      <c r="K547" s="103">
        <v>8514.0</v>
      </c>
      <c r="L547" s="103">
        <v>0.0</v>
      </c>
      <c r="M547" s="147">
        <v>0.0</v>
      </c>
      <c r="N547" s="109" t="str">
        <f t="shared" si="206"/>
        <v>#DIV/0!</v>
      </c>
      <c r="O547" s="110">
        <f t="shared" si="5"/>
        <v>0</v>
      </c>
      <c r="P547" s="109" t="str">
        <f t="shared" si="6"/>
        <v>#DIV/0!</v>
      </c>
      <c r="Q547" s="111" t="str">
        <f t="shared" si="7"/>
        <v>#DIV/0!</v>
      </c>
      <c r="R547" s="112">
        <f t="shared" si="205"/>
        <v>0</v>
      </c>
      <c r="S547" s="113" t="str">
        <f t="shared" si="9"/>
        <v>#DIV/0!</v>
      </c>
      <c r="T547" s="172"/>
      <c r="U547" s="172"/>
      <c r="V547" s="172"/>
      <c r="W547" s="172"/>
      <c r="X547" s="173"/>
      <c r="Y547" s="165"/>
      <c r="Z547" s="165"/>
    </row>
    <row r="548" hidden="1" outlineLevel="1">
      <c r="A548" s="148" t="str">
        <f t="shared" ref="A548:A549" si="207">iferror(if(B548&gt;0,month(B548)&amp;"-"&amp;year(B548),B548),)</f>
        <v>9-2025</v>
      </c>
      <c r="B548" s="99">
        <v>45913.0</v>
      </c>
      <c r="C548" s="277" t="s">
        <v>67</v>
      </c>
      <c r="D548" s="146">
        <v>0.0</v>
      </c>
      <c r="E548" s="103">
        <v>0.0</v>
      </c>
      <c r="F548" s="103">
        <v>0.0</v>
      </c>
      <c r="G548" s="104" t="str">
        <f t="shared" si="1"/>
        <v>#DIV/0!</v>
      </c>
      <c r="H548" s="105" t="str">
        <f t="shared" si="2"/>
        <v>#DIV/0!</v>
      </c>
      <c r="I548" s="106" t="str">
        <f t="shared" si="3"/>
        <v>#DIV/0!</v>
      </c>
      <c r="J548" s="117">
        <v>339.11</v>
      </c>
      <c r="K548" s="278">
        <v>81358.0</v>
      </c>
      <c r="L548" s="103">
        <v>0.0</v>
      </c>
      <c r="M548" s="118">
        <v>1248.5500000000002</v>
      </c>
      <c r="N548" s="109">
        <f t="shared" si="206"/>
        <v>0.2716030595</v>
      </c>
      <c r="O548" s="110">
        <f t="shared" si="5"/>
        <v>3.68184365</v>
      </c>
      <c r="P548" s="109" t="str">
        <f t="shared" si="6"/>
        <v>#DIV/0!</v>
      </c>
      <c r="Q548" s="111" t="str">
        <f t="shared" si="7"/>
        <v>#DIV/0!</v>
      </c>
      <c r="R548" s="112">
        <f t="shared" si="205"/>
        <v>-1248.55</v>
      </c>
      <c r="S548" s="113" t="str">
        <f t="shared" si="9"/>
        <v>#DIV/0!</v>
      </c>
      <c r="T548" s="172"/>
      <c r="U548" s="172"/>
      <c r="V548" s="172"/>
      <c r="W548" s="172"/>
      <c r="X548" s="173"/>
      <c r="Y548" s="165"/>
      <c r="Z548" s="165"/>
    </row>
    <row r="549" collapsed="1">
      <c r="A549" s="165" t="str">
        <f t="shared" si="207"/>
        <v/>
      </c>
      <c r="B549" s="80" t="s">
        <v>124</v>
      </c>
      <c r="C549" s="201"/>
      <c r="D549" s="151">
        <f t="shared" ref="D549:F549" si="208">SUM(D533:D548)</f>
        <v>13514.61</v>
      </c>
      <c r="E549" s="153">
        <f t="shared" si="208"/>
        <v>144</v>
      </c>
      <c r="F549" s="153">
        <f t="shared" si="208"/>
        <v>142</v>
      </c>
      <c r="G549" s="154">
        <f t="shared" si="1"/>
        <v>1.014084507</v>
      </c>
      <c r="H549" s="155">
        <f t="shared" si="2"/>
        <v>93.85145833</v>
      </c>
      <c r="I549" s="156">
        <f t="shared" si="3"/>
        <v>92.54796586</v>
      </c>
      <c r="J549" s="151">
        <f t="shared" ref="J549:M549" si="209">SUM(J533:J548)</f>
        <v>2639.32</v>
      </c>
      <c r="K549" s="153">
        <f t="shared" si="209"/>
        <v>558002</v>
      </c>
      <c r="L549" s="153">
        <f t="shared" si="209"/>
        <v>35</v>
      </c>
      <c r="M549" s="157">
        <f t="shared" si="209"/>
        <v>7160.97</v>
      </c>
      <c r="N549" s="158">
        <f t="shared" si="206"/>
        <v>0.3685701797</v>
      </c>
      <c r="O549" s="159">
        <f t="shared" si="5"/>
        <v>2.713187488</v>
      </c>
      <c r="P549" s="158">
        <f t="shared" si="6"/>
        <v>0.1952938339</v>
      </c>
      <c r="Q549" s="160">
        <f t="shared" si="7"/>
        <v>0.5298687864</v>
      </c>
      <c r="R549" s="161">
        <f>SUM(R533:R548)</f>
        <v>6353.64</v>
      </c>
      <c r="S549" s="162">
        <f t="shared" si="9"/>
        <v>75.40914286</v>
      </c>
      <c r="T549" s="163">
        <f t="shared" ref="T549:U549" si="210">IFERROR((D549-D69)/D549,)</f>
        <v>0.4390278373</v>
      </c>
      <c r="U549" s="163">
        <f t="shared" si="210"/>
        <v>0.3472222222</v>
      </c>
      <c r="V549" s="398" t="str">
        <f t="shared" ref="V549:W549" si="211">IFERROR((D549-monthly_reporting_2021!D340)/D549, )</f>
        <v/>
      </c>
      <c r="W549" s="398" t="str">
        <f t="shared" si="211"/>
        <v/>
      </c>
      <c r="X549" s="165"/>
      <c r="Y549" s="165"/>
      <c r="Z549" s="165"/>
    </row>
    <row r="550" hidden="1" outlineLevel="1">
      <c r="A550" s="165"/>
      <c r="B550" s="99">
        <v>45914.0</v>
      </c>
      <c r="C550" s="100" t="s">
        <v>32</v>
      </c>
      <c r="D550" s="101">
        <v>1165.55</v>
      </c>
      <c r="E550" s="103">
        <v>6.0</v>
      </c>
      <c r="F550" s="103">
        <v>8.0</v>
      </c>
      <c r="G550" s="104">
        <f t="shared" si="1"/>
        <v>0.75</v>
      </c>
      <c r="H550" s="105">
        <f t="shared" si="2"/>
        <v>194.2583333</v>
      </c>
      <c r="I550" s="106">
        <f t="shared" si="3"/>
        <v>259.0111111</v>
      </c>
      <c r="J550" s="107">
        <v>839.67</v>
      </c>
      <c r="K550" s="103">
        <v>144598.0</v>
      </c>
      <c r="L550" s="103">
        <v>2.0</v>
      </c>
      <c r="M550" s="108">
        <v>968.0</v>
      </c>
      <c r="N550" s="109">
        <f t="shared" si="206"/>
        <v>0.867427686</v>
      </c>
      <c r="O550" s="110">
        <f t="shared" si="5"/>
        <v>1.152833851</v>
      </c>
      <c r="P550" s="109">
        <f t="shared" si="6"/>
        <v>0.720406675</v>
      </c>
      <c r="Q550" s="111">
        <f t="shared" si="7"/>
        <v>0.8305092017</v>
      </c>
      <c r="R550" s="112">
        <f t="shared" ref="R550:R565" si="212">D550-M550</f>
        <v>197.55</v>
      </c>
      <c r="S550" s="113">
        <f t="shared" si="9"/>
        <v>419.835</v>
      </c>
      <c r="T550" s="172"/>
      <c r="U550" s="172"/>
      <c r="V550" s="172"/>
      <c r="W550" s="172"/>
      <c r="X550" s="173"/>
      <c r="Y550" s="165"/>
      <c r="Z550" s="165"/>
    </row>
    <row r="551" hidden="1" outlineLevel="1">
      <c r="A551" s="165"/>
      <c r="B551" s="174"/>
      <c r="C551" s="100" t="s">
        <v>33</v>
      </c>
      <c r="D551" s="117">
        <v>4327.0</v>
      </c>
      <c r="E551" s="103">
        <v>33.0</v>
      </c>
      <c r="F551" s="103">
        <v>38.0</v>
      </c>
      <c r="G551" s="104">
        <f t="shared" si="1"/>
        <v>0.8684210526</v>
      </c>
      <c r="H551" s="105">
        <f t="shared" si="2"/>
        <v>131.1212121</v>
      </c>
      <c r="I551" s="106">
        <f t="shared" si="3"/>
        <v>150.9880624</v>
      </c>
      <c r="J551" s="117">
        <v>361.95</v>
      </c>
      <c r="K551" s="103">
        <v>99708.0</v>
      </c>
      <c r="L551" s="103">
        <v>8.0</v>
      </c>
      <c r="M551" s="118">
        <v>923.85</v>
      </c>
      <c r="N551" s="109">
        <f t="shared" si="206"/>
        <v>0.3917843806</v>
      </c>
      <c r="O551" s="110">
        <f t="shared" si="5"/>
        <v>2.552424368</v>
      </c>
      <c r="P551" s="109">
        <f t="shared" si="6"/>
        <v>0.08364917957</v>
      </c>
      <c r="Q551" s="111">
        <f t="shared" si="7"/>
        <v>0.2135082043</v>
      </c>
      <c r="R551" s="119">
        <f t="shared" si="212"/>
        <v>3403.15</v>
      </c>
      <c r="S551" s="113">
        <f t="shared" si="9"/>
        <v>45.24375</v>
      </c>
      <c r="T551" s="172"/>
      <c r="U551" s="172"/>
      <c r="V551" s="172"/>
      <c r="W551" s="172"/>
      <c r="X551" s="173"/>
      <c r="Y551" s="165"/>
      <c r="Z551" s="165"/>
    </row>
    <row r="552" hidden="1" outlineLevel="1">
      <c r="A552" s="165"/>
      <c r="B552" s="174"/>
      <c r="C552" s="100" t="s">
        <v>34</v>
      </c>
      <c r="D552" s="120">
        <v>419.7</v>
      </c>
      <c r="E552" s="103">
        <v>6.0</v>
      </c>
      <c r="F552" s="103">
        <v>3.0</v>
      </c>
      <c r="G552" s="104">
        <f t="shared" si="1"/>
        <v>2</v>
      </c>
      <c r="H552" s="105">
        <f t="shared" si="2"/>
        <v>69.95</v>
      </c>
      <c r="I552" s="106">
        <f t="shared" si="3"/>
        <v>34.975</v>
      </c>
      <c r="J552" s="120">
        <v>6.71</v>
      </c>
      <c r="K552" s="103">
        <v>243.0</v>
      </c>
      <c r="L552" s="103">
        <v>0.0</v>
      </c>
      <c r="M552" s="121">
        <v>0.0</v>
      </c>
      <c r="N552" s="109" t="str">
        <f>(J552/M552)</f>
        <v>#DIV/0!</v>
      </c>
      <c r="O552" s="110">
        <f t="shared" si="5"/>
        <v>0</v>
      </c>
      <c r="P552" s="109">
        <f t="shared" si="6"/>
        <v>0.0159876102</v>
      </c>
      <c r="Q552" s="111">
        <f t="shared" si="7"/>
        <v>0</v>
      </c>
      <c r="R552" s="122">
        <f t="shared" si="212"/>
        <v>419.7</v>
      </c>
      <c r="S552" s="113" t="str">
        <f t="shared" si="9"/>
        <v>#DIV/0!</v>
      </c>
      <c r="T552" s="172"/>
      <c r="U552" s="172"/>
      <c r="V552" s="172"/>
      <c r="W552" s="172"/>
      <c r="X552" s="173"/>
      <c r="Y552" s="165"/>
      <c r="Z552" s="165"/>
    </row>
    <row r="553" hidden="1" outlineLevel="1">
      <c r="A553" s="165"/>
      <c r="B553" s="174"/>
      <c r="C553" s="100" t="s">
        <v>35</v>
      </c>
      <c r="D553" s="120">
        <v>734.4</v>
      </c>
      <c r="E553" s="103">
        <v>12.0</v>
      </c>
      <c r="F553" s="103">
        <v>9.0</v>
      </c>
      <c r="G553" s="104">
        <f t="shared" si="1"/>
        <v>1.333333333</v>
      </c>
      <c r="H553" s="105">
        <f t="shared" si="2"/>
        <v>61.2</v>
      </c>
      <c r="I553" s="106">
        <f t="shared" si="3"/>
        <v>45.9</v>
      </c>
      <c r="J553" s="120">
        <v>179.68</v>
      </c>
      <c r="K553" s="103">
        <v>21866.0</v>
      </c>
      <c r="L553" s="103">
        <v>5.0</v>
      </c>
      <c r="M553" s="121">
        <v>299.75</v>
      </c>
      <c r="N553" s="109">
        <f t="shared" ref="N553:N568" si="213">J553/M553</f>
        <v>0.5994328607</v>
      </c>
      <c r="O553" s="110">
        <f t="shared" si="5"/>
        <v>1.668243544</v>
      </c>
      <c r="P553" s="109">
        <f t="shared" si="6"/>
        <v>0.2446623094</v>
      </c>
      <c r="Q553" s="111">
        <f t="shared" si="7"/>
        <v>0.4081563181</v>
      </c>
      <c r="R553" s="122">
        <f t="shared" si="212"/>
        <v>434.65</v>
      </c>
      <c r="S553" s="113">
        <f t="shared" si="9"/>
        <v>35.936</v>
      </c>
      <c r="T553" s="172"/>
      <c r="U553" s="172"/>
      <c r="V553" s="172"/>
      <c r="W553" s="172"/>
      <c r="X553" s="173"/>
      <c r="Y553" s="165"/>
      <c r="Z553" s="165"/>
    </row>
    <row r="554" hidden="1" outlineLevel="1">
      <c r="A554" s="165"/>
      <c r="B554" s="174"/>
      <c r="C554" s="100" t="s">
        <v>36</v>
      </c>
      <c r="D554" s="120">
        <v>224.81</v>
      </c>
      <c r="E554" s="103">
        <v>3.0</v>
      </c>
      <c r="F554" s="103">
        <v>4.0</v>
      </c>
      <c r="G554" s="104">
        <f t="shared" si="1"/>
        <v>0.75</v>
      </c>
      <c r="H554" s="105">
        <f t="shared" si="2"/>
        <v>74.93666667</v>
      </c>
      <c r="I554" s="106">
        <f t="shared" si="3"/>
        <v>99.91555556</v>
      </c>
      <c r="J554" s="120">
        <v>74.99</v>
      </c>
      <c r="K554" s="103">
        <v>20107.0</v>
      </c>
      <c r="L554" s="103">
        <v>2.0</v>
      </c>
      <c r="M554" s="121">
        <v>129.9</v>
      </c>
      <c r="N554" s="109">
        <f t="shared" si="213"/>
        <v>0.5772902232</v>
      </c>
      <c r="O554" s="110">
        <f t="shared" si="5"/>
        <v>1.732230964</v>
      </c>
      <c r="P554" s="109">
        <f t="shared" si="6"/>
        <v>0.3335705707</v>
      </c>
      <c r="Q554" s="111">
        <f t="shared" si="7"/>
        <v>0.5778212713</v>
      </c>
      <c r="R554" s="122">
        <f t="shared" si="212"/>
        <v>94.91</v>
      </c>
      <c r="S554" s="113">
        <f t="shared" si="9"/>
        <v>37.495</v>
      </c>
      <c r="T554" s="172"/>
      <c r="U554" s="172"/>
      <c r="V554" s="172"/>
      <c r="W554" s="172"/>
      <c r="X554" s="173"/>
      <c r="Y554" s="165"/>
      <c r="Z554" s="165"/>
    </row>
    <row r="555" hidden="1" outlineLevel="1">
      <c r="A555" s="165"/>
      <c r="B555" s="99" t="s">
        <v>37</v>
      </c>
      <c r="C555" s="100" t="s">
        <v>38</v>
      </c>
      <c r="D555" s="123">
        <v>209.85</v>
      </c>
      <c r="E555" s="103">
        <v>3.0</v>
      </c>
      <c r="F555" s="103">
        <v>3.0</v>
      </c>
      <c r="G555" s="104">
        <f t="shared" si="1"/>
        <v>1</v>
      </c>
      <c r="H555" s="105">
        <f t="shared" si="2"/>
        <v>69.95</v>
      </c>
      <c r="I555" s="106">
        <f t="shared" si="3"/>
        <v>69.95</v>
      </c>
      <c r="J555" s="123">
        <v>29.95</v>
      </c>
      <c r="K555" s="103">
        <v>15344.0</v>
      </c>
      <c r="L555" s="103">
        <v>0.0</v>
      </c>
      <c r="M555" s="124">
        <v>0.0</v>
      </c>
      <c r="N555" s="109" t="str">
        <f t="shared" si="213"/>
        <v>#DIV/0!</v>
      </c>
      <c r="O555" s="110">
        <f t="shared" si="5"/>
        <v>0</v>
      </c>
      <c r="P555" s="109">
        <f t="shared" si="6"/>
        <v>0.1427209912</v>
      </c>
      <c r="Q555" s="111">
        <f t="shared" si="7"/>
        <v>0</v>
      </c>
      <c r="R555" s="125">
        <f t="shared" si="212"/>
        <v>209.85</v>
      </c>
      <c r="S555" s="113" t="str">
        <f t="shared" si="9"/>
        <v>#DIV/0!</v>
      </c>
      <c r="T555" s="172"/>
      <c r="U555" s="172"/>
      <c r="V555" s="172"/>
      <c r="W555" s="172"/>
      <c r="X555" s="173"/>
      <c r="Y555" s="165"/>
      <c r="Z555" s="165"/>
    </row>
    <row r="556" hidden="1" outlineLevel="1">
      <c r="A556" s="165"/>
      <c r="B556" s="174"/>
      <c r="C556" s="100" t="s">
        <v>39</v>
      </c>
      <c r="D556" s="126">
        <v>99.8</v>
      </c>
      <c r="E556" s="103">
        <v>4.0</v>
      </c>
      <c r="F556" s="103">
        <v>2.0</v>
      </c>
      <c r="G556" s="104">
        <f t="shared" si="1"/>
        <v>2</v>
      </c>
      <c r="H556" s="105">
        <f t="shared" si="2"/>
        <v>24.95</v>
      </c>
      <c r="I556" s="106">
        <f t="shared" si="3"/>
        <v>12.475</v>
      </c>
      <c r="J556" s="126">
        <v>0.0</v>
      </c>
      <c r="K556" s="103">
        <v>0.0</v>
      </c>
      <c r="L556" s="103">
        <v>0.0</v>
      </c>
      <c r="M556" s="127">
        <v>0.0</v>
      </c>
      <c r="N556" s="109" t="str">
        <f t="shared" si="213"/>
        <v>#DIV/0!</v>
      </c>
      <c r="O556" s="110" t="str">
        <f t="shared" si="5"/>
        <v>#DIV/0!</v>
      </c>
      <c r="P556" s="109">
        <f t="shared" si="6"/>
        <v>0</v>
      </c>
      <c r="Q556" s="111">
        <f t="shared" si="7"/>
        <v>0</v>
      </c>
      <c r="R556" s="128">
        <f t="shared" si="212"/>
        <v>99.8</v>
      </c>
      <c r="S556" s="113" t="str">
        <f t="shared" si="9"/>
        <v>#DIV/0!</v>
      </c>
      <c r="T556" s="172"/>
      <c r="U556" s="172"/>
      <c r="V556" s="172"/>
      <c r="W556" s="172"/>
      <c r="X556" s="173"/>
      <c r="Y556" s="165"/>
      <c r="Z556" s="165"/>
    </row>
    <row r="557" hidden="1" outlineLevel="1">
      <c r="A557" s="165"/>
      <c r="B557" s="174"/>
      <c r="C557" s="100" t="s">
        <v>40</v>
      </c>
      <c r="D557" s="129">
        <v>-54.95</v>
      </c>
      <c r="E557" s="103">
        <v>-1.0</v>
      </c>
      <c r="F557" s="103">
        <v>3.0</v>
      </c>
      <c r="G557" s="104">
        <f t="shared" si="1"/>
        <v>-0.3333333333</v>
      </c>
      <c r="H557" s="105">
        <f t="shared" si="2"/>
        <v>54.95</v>
      </c>
      <c r="I557" s="106">
        <f t="shared" si="3"/>
        <v>-164.85</v>
      </c>
      <c r="J557" s="129">
        <v>0.0</v>
      </c>
      <c r="K557" s="103">
        <v>0.0</v>
      </c>
      <c r="L557" s="103">
        <v>0.0</v>
      </c>
      <c r="M557" s="130">
        <v>0.0</v>
      </c>
      <c r="N557" s="109" t="str">
        <f t="shared" si="213"/>
        <v>#DIV/0!</v>
      </c>
      <c r="O557" s="110" t="str">
        <f t="shared" si="5"/>
        <v>#DIV/0!</v>
      </c>
      <c r="P557" s="109">
        <f t="shared" si="6"/>
        <v>0</v>
      </c>
      <c r="Q557" s="111">
        <f t="shared" si="7"/>
        <v>0</v>
      </c>
      <c r="R557" s="131">
        <f t="shared" si="212"/>
        <v>-54.95</v>
      </c>
      <c r="S557" s="113" t="str">
        <f t="shared" si="9"/>
        <v>#DIV/0!</v>
      </c>
      <c r="T557" s="172"/>
      <c r="U557" s="172"/>
      <c r="V557" s="172"/>
      <c r="W557" s="172"/>
      <c r="X557" s="173"/>
      <c r="Y557" s="165"/>
      <c r="Z557" s="165"/>
    </row>
    <row r="558" hidden="1" outlineLevel="1">
      <c r="A558" s="165"/>
      <c r="B558" s="174"/>
      <c r="C558" s="100" t="s">
        <v>41</v>
      </c>
      <c r="D558" s="132">
        <v>623.23</v>
      </c>
      <c r="E558" s="103">
        <v>9.0</v>
      </c>
      <c r="F558" s="103">
        <v>11.0</v>
      </c>
      <c r="G558" s="104">
        <f t="shared" si="1"/>
        <v>0.8181818182</v>
      </c>
      <c r="H558" s="105">
        <f t="shared" si="2"/>
        <v>69.24777778</v>
      </c>
      <c r="I558" s="106">
        <f t="shared" si="3"/>
        <v>84.63617284</v>
      </c>
      <c r="J558" s="132">
        <v>233.2</v>
      </c>
      <c r="K558" s="103">
        <v>24539.0</v>
      </c>
      <c r="L558" s="103">
        <v>3.0</v>
      </c>
      <c r="M558" s="133">
        <v>282.98</v>
      </c>
      <c r="N558" s="109">
        <f t="shared" si="213"/>
        <v>0.8240865079</v>
      </c>
      <c r="O558" s="110">
        <f t="shared" si="5"/>
        <v>1.213464837</v>
      </c>
      <c r="P558" s="109">
        <f t="shared" si="6"/>
        <v>0.3741796768</v>
      </c>
      <c r="Q558" s="111">
        <f t="shared" si="7"/>
        <v>0.4540538806</v>
      </c>
      <c r="R558" s="134">
        <f t="shared" si="212"/>
        <v>340.25</v>
      </c>
      <c r="S558" s="113">
        <f t="shared" si="9"/>
        <v>77.73333333</v>
      </c>
      <c r="T558" s="172"/>
      <c r="U558" s="172"/>
      <c r="V558" s="172"/>
      <c r="W558" s="172"/>
      <c r="X558" s="173"/>
      <c r="Y558" s="165"/>
      <c r="Z558" s="165"/>
    </row>
    <row r="559" hidden="1" outlineLevel="1">
      <c r="A559" s="165"/>
      <c r="B559" s="174"/>
      <c r="C559" s="100" t="s">
        <v>42</v>
      </c>
      <c r="D559" s="120">
        <v>0.0</v>
      </c>
      <c r="E559" s="103">
        <v>0.0</v>
      </c>
      <c r="F559" s="103">
        <v>0.0</v>
      </c>
      <c r="G559" s="104" t="str">
        <f t="shared" si="1"/>
        <v>#DIV/0!</v>
      </c>
      <c r="H559" s="105" t="str">
        <f t="shared" si="2"/>
        <v>#DIV/0!</v>
      </c>
      <c r="I559" s="106" t="str">
        <f t="shared" si="3"/>
        <v>#DIV/0!</v>
      </c>
      <c r="J559" s="120">
        <v>0.0</v>
      </c>
      <c r="K559" s="103">
        <v>0.0</v>
      </c>
      <c r="L559" s="103">
        <v>0.0</v>
      </c>
      <c r="M559" s="121">
        <v>0.0</v>
      </c>
      <c r="N559" s="109" t="str">
        <f t="shared" si="213"/>
        <v>#DIV/0!</v>
      </c>
      <c r="O559" s="110" t="str">
        <f t="shared" si="5"/>
        <v>#DIV/0!</v>
      </c>
      <c r="P559" s="109" t="str">
        <f t="shared" si="6"/>
        <v>#DIV/0!</v>
      </c>
      <c r="Q559" s="111" t="str">
        <f t="shared" si="7"/>
        <v>#DIV/0!</v>
      </c>
      <c r="R559" s="122">
        <f t="shared" si="212"/>
        <v>0</v>
      </c>
      <c r="S559" s="113" t="str">
        <f t="shared" si="9"/>
        <v>#DIV/0!</v>
      </c>
      <c r="T559" s="172"/>
      <c r="U559" s="172"/>
      <c r="V559" s="172"/>
      <c r="W559" s="172"/>
      <c r="X559" s="173"/>
      <c r="Y559" s="165"/>
      <c r="Z559" s="165"/>
    </row>
    <row r="560" hidden="1" outlineLevel="1">
      <c r="A560" s="165"/>
      <c r="B560" s="174"/>
      <c r="C560" s="100" t="s">
        <v>43</v>
      </c>
      <c r="D560" s="135">
        <v>250.9</v>
      </c>
      <c r="E560" s="103">
        <v>2.0</v>
      </c>
      <c r="F560" s="103">
        <v>2.0</v>
      </c>
      <c r="G560" s="104">
        <f t="shared" si="1"/>
        <v>1</v>
      </c>
      <c r="H560" s="105">
        <f t="shared" si="2"/>
        <v>125.45</v>
      </c>
      <c r="I560" s="106">
        <f t="shared" si="3"/>
        <v>125.45</v>
      </c>
      <c r="J560" s="135">
        <v>102.13</v>
      </c>
      <c r="K560" s="103">
        <v>11856.0</v>
      </c>
      <c r="L560" s="103">
        <v>2.0</v>
      </c>
      <c r="M560" s="136">
        <v>210.95</v>
      </c>
      <c r="N560" s="109">
        <f t="shared" si="213"/>
        <v>0.4841431619</v>
      </c>
      <c r="O560" s="110">
        <f t="shared" si="5"/>
        <v>2.065504749</v>
      </c>
      <c r="P560" s="109">
        <f t="shared" si="6"/>
        <v>0.4070546034</v>
      </c>
      <c r="Q560" s="111">
        <f t="shared" si="7"/>
        <v>0.8407732164</v>
      </c>
      <c r="R560" s="137">
        <f t="shared" si="212"/>
        <v>39.95</v>
      </c>
      <c r="S560" s="113">
        <f t="shared" si="9"/>
        <v>51.065</v>
      </c>
      <c r="T560" s="172"/>
      <c r="U560" s="172"/>
      <c r="V560" s="172"/>
      <c r="W560" s="172"/>
      <c r="X560" s="173"/>
      <c r="Y560" s="165"/>
      <c r="Z560" s="165"/>
    </row>
    <row r="561" hidden="1" outlineLevel="1">
      <c r="A561" s="165"/>
      <c r="B561" s="174"/>
      <c r="C561" s="100" t="s">
        <v>44</v>
      </c>
      <c r="D561" s="138">
        <v>214.8</v>
      </c>
      <c r="E561" s="103">
        <v>4.0</v>
      </c>
      <c r="F561" s="103">
        <v>6.0</v>
      </c>
      <c r="G561" s="104">
        <f t="shared" si="1"/>
        <v>0.6666666667</v>
      </c>
      <c r="H561" s="105">
        <f t="shared" si="2"/>
        <v>53.7</v>
      </c>
      <c r="I561" s="106">
        <f t="shared" si="3"/>
        <v>80.55</v>
      </c>
      <c r="J561" s="138">
        <v>128.68</v>
      </c>
      <c r="K561" s="103">
        <v>60875.0</v>
      </c>
      <c r="L561" s="103">
        <v>6.0</v>
      </c>
      <c r="M561" s="139">
        <v>304.7</v>
      </c>
      <c r="N561" s="109">
        <f t="shared" si="213"/>
        <v>0.4223170331</v>
      </c>
      <c r="O561" s="110">
        <f t="shared" si="5"/>
        <v>2.367889338</v>
      </c>
      <c r="P561" s="109">
        <f t="shared" si="6"/>
        <v>0.5990689013</v>
      </c>
      <c r="Q561" s="111">
        <f t="shared" si="7"/>
        <v>1.418528864</v>
      </c>
      <c r="R561" s="140">
        <f t="shared" si="212"/>
        <v>-89.9</v>
      </c>
      <c r="S561" s="113">
        <f t="shared" si="9"/>
        <v>21.44666667</v>
      </c>
      <c r="T561" s="172"/>
      <c r="U561" s="172"/>
      <c r="V561" s="172"/>
      <c r="W561" s="172"/>
      <c r="X561" s="173"/>
      <c r="Y561" s="165"/>
      <c r="Z561" s="165"/>
    </row>
    <row r="562" hidden="1" outlineLevel="1">
      <c r="A562" s="192"/>
      <c r="B562" s="174"/>
      <c r="C562" s="142" t="s">
        <v>45</v>
      </c>
      <c r="D562" s="101">
        <v>29.95</v>
      </c>
      <c r="E562" s="103">
        <v>1.0</v>
      </c>
      <c r="F562" s="103">
        <v>1.0</v>
      </c>
      <c r="G562" s="104">
        <f t="shared" si="1"/>
        <v>1</v>
      </c>
      <c r="H562" s="105">
        <f t="shared" si="2"/>
        <v>29.95</v>
      </c>
      <c r="I562" s="106">
        <f t="shared" si="3"/>
        <v>29.95</v>
      </c>
      <c r="J562" s="101">
        <v>0.0</v>
      </c>
      <c r="K562" s="103">
        <v>0.0</v>
      </c>
      <c r="L562" s="103">
        <v>0.0</v>
      </c>
      <c r="M562" s="108">
        <v>0.0</v>
      </c>
      <c r="N562" s="109" t="str">
        <f t="shared" si="213"/>
        <v>#DIV/0!</v>
      </c>
      <c r="O562" s="110" t="str">
        <f t="shared" si="5"/>
        <v>#DIV/0!</v>
      </c>
      <c r="P562" s="109">
        <f t="shared" si="6"/>
        <v>0</v>
      </c>
      <c r="Q562" s="111">
        <f t="shared" si="7"/>
        <v>0</v>
      </c>
      <c r="R562" s="112">
        <f t="shared" si="212"/>
        <v>29.95</v>
      </c>
      <c r="S562" s="113" t="str">
        <f t="shared" si="9"/>
        <v>#DIV/0!</v>
      </c>
      <c r="T562" s="193"/>
      <c r="U562" s="193"/>
      <c r="V562" s="193"/>
      <c r="W562" s="194"/>
      <c r="X562" s="195"/>
      <c r="Y562" s="165"/>
      <c r="Z562" s="165"/>
    </row>
    <row r="563" hidden="1" outlineLevel="1">
      <c r="A563" s="165"/>
      <c r="B563" s="174"/>
      <c r="C563" s="100" t="s">
        <v>46</v>
      </c>
      <c r="D563" s="146">
        <v>869.0</v>
      </c>
      <c r="E563" s="103">
        <v>20.0</v>
      </c>
      <c r="F563" s="103">
        <v>15.0</v>
      </c>
      <c r="G563" s="104">
        <f t="shared" si="1"/>
        <v>1.333333333</v>
      </c>
      <c r="H563" s="105">
        <f t="shared" si="2"/>
        <v>43.45</v>
      </c>
      <c r="I563" s="106">
        <f t="shared" si="3"/>
        <v>32.5875</v>
      </c>
      <c r="J563" s="146">
        <v>166.52</v>
      </c>
      <c r="K563" s="103">
        <v>25286.0</v>
      </c>
      <c r="L563" s="103">
        <v>5.0</v>
      </c>
      <c r="M563" s="147">
        <v>173.8</v>
      </c>
      <c r="N563" s="109">
        <f t="shared" si="213"/>
        <v>0.9581127733</v>
      </c>
      <c r="O563" s="110">
        <f t="shared" si="5"/>
        <v>1.043718472</v>
      </c>
      <c r="P563" s="109">
        <f t="shared" si="6"/>
        <v>0.1916225547</v>
      </c>
      <c r="Q563" s="111">
        <f t="shared" si="7"/>
        <v>0.2</v>
      </c>
      <c r="R563" s="112">
        <f t="shared" si="212"/>
        <v>695.2</v>
      </c>
      <c r="S563" s="113">
        <f t="shared" si="9"/>
        <v>33.304</v>
      </c>
      <c r="T563" s="172"/>
      <c r="U563" s="172"/>
      <c r="V563" s="172"/>
      <c r="W563" s="172"/>
      <c r="X563" s="173"/>
      <c r="Y563" s="165"/>
      <c r="Z563" s="165"/>
    </row>
    <row r="564" hidden="1" outlineLevel="1">
      <c r="A564" s="165"/>
      <c r="B564" s="174"/>
      <c r="C564" s="100" t="s">
        <v>49</v>
      </c>
      <c r="D564" s="146">
        <v>0.0</v>
      </c>
      <c r="E564" s="103">
        <v>0.0</v>
      </c>
      <c r="F564" s="103">
        <v>0.0</v>
      </c>
      <c r="G564" s="104" t="str">
        <f t="shared" si="1"/>
        <v>#DIV/0!</v>
      </c>
      <c r="H564" s="105" t="str">
        <f t="shared" si="2"/>
        <v>#DIV/0!</v>
      </c>
      <c r="I564" s="106" t="str">
        <f t="shared" si="3"/>
        <v>#DIV/0!</v>
      </c>
      <c r="J564" s="146">
        <v>5.34</v>
      </c>
      <c r="K564" s="103">
        <v>6369.0</v>
      </c>
      <c r="L564" s="103">
        <v>0.0</v>
      </c>
      <c r="M564" s="147">
        <v>0.0</v>
      </c>
      <c r="N564" s="109" t="str">
        <f t="shared" si="213"/>
        <v>#DIV/0!</v>
      </c>
      <c r="O564" s="110">
        <f t="shared" si="5"/>
        <v>0</v>
      </c>
      <c r="P564" s="109" t="str">
        <f t="shared" si="6"/>
        <v>#DIV/0!</v>
      </c>
      <c r="Q564" s="111" t="str">
        <f t="shared" si="7"/>
        <v>#DIV/0!</v>
      </c>
      <c r="R564" s="112">
        <f t="shared" si="212"/>
        <v>0</v>
      </c>
      <c r="S564" s="113" t="str">
        <f t="shared" si="9"/>
        <v>#DIV/0!</v>
      </c>
      <c r="T564" s="172"/>
      <c r="U564" s="172"/>
      <c r="V564" s="172"/>
      <c r="W564" s="172"/>
      <c r="X564" s="173"/>
      <c r="Y564" s="165"/>
      <c r="Z564" s="165"/>
    </row>
    <row r="565" hidden="1" outlineLevel="1">
      <c r="A565" s="148" t="str">
        <f t="shared" ref="A565:A566" si="214">iferror(if(B565&gt;0,month(B565)&amp;"-"&amp;year(B565),B565),)</f>
        <v>9-2025</v>
      </c>
      <c r="B565" s="99">
        <v>45920.0</v>
      </c>
      <c r="C565" s="277" t="s">
        <v>67</v>
      </c>
      <c r="D565" s="146">
        <v>0.0</v>
      </c>
      <c r="E565" s="103">
        <v>0.0</v>
      </c>
      <c r="F565" s="103">
        <v>0.0</v>
      </c>
      <c r="G565" s="104" t="str">
        <f t="shared" si="1"/>
        <v>#DIV/0!</v>
      </c>
      <c r="H565" s="105" t="str">
        <f t="shared" si="2"/>
        <v>#DIV/0!</v>
      </c>
      <c r="I565" s="106" t="str">
        <f t="shared" si="3"/>
        <v>#DIV/0!</v>
      </c>
      <c r="J565" s="117">
        <v>413.14</v>
      </c>
      <c r="K565" s="278">
        <v>96320.0</v>
      </c>
      <c r="L565" s="103">
        <v>0.0</v>
      </c>
      <c r="M565" s="118">
        <v>1369.43</v>
      </c>
      <c r="N565" s="109">
        <f t="shared" si="213"/>
        <v>0.3016875634</v>
      </c>
      <c r="O565" s="110">
        <f t="shared" si="5"/>
        <v>3.314687515</v>
      </c>
      <c r="P565" s="109" t="str">
        <f t="shared" si="6"/>
        <v>#DIV/0!</v>
      </c>
      <c r="Q565" s="111" t="str">
        <f t="shared" si="7"/>
        <v>#DIV/0!</v>
      </c>
      <c r="R565" s="112">
        <f t="shared" si="212"/>
        <v>-1369.43</v>
      </c>
      <c r="S565" s="113" t="str">
        <f t="shared" si="9"/>
        <v>#DIV/0!</v>
      </c>
      <c r="T565" s="172"/>
      <c r="U565" s="172"/>
      <c r="V565" s="172"/>
      <c r="W565" s="172"/>
      <c r="X565" s="173"/>
      <c r="Y565" s="165"/>
      <c r="Z565" s="165"/>
    </row>
    <row r="566" collapsed="1">
      <c r="A566" s="165" t="str">
        <f t="shared" si="214"/>
        <v/>
      </c>
      <c r="B566" s="80" t="s">
        <v>125</v>
      </c>
      <c r="C566" s="201"/>
      <c r="D566" s="151">
        <f t="shared" ref="D566:F566" si="215">SUM(D550:D565)</f>
        <v>9114.04</v>
      </c>
      <c r="E566" s="153">
        <f t="shared" si="215"/>
        <v>102</v>
      </c>
      <c r="F566" s="153">
        <f t="shared" si="215"/>
        <v>105</v>
      </c>
      <c r="G566" s="154">
        <f t="shared" si="1"/>
        <v>0.9714285714</v>
      </c>
      <c r="H566" s="155">
        <f t="shared" si="2"/>
        <v>89.35333333</v>
      </c>
      <c r="I566" s="156">
        <f t="shared" si="3"/>
        <v>91.98137255</v>
      </c>
      <c r="J566" s="151">
        <f t="shared" ref="J566:M566" si="216">SUM(J550:J565)</f>
        <v>2541.96</v>
      </c>
      <c r="K566" s="153">
        <f t="shared" si="216"/>
        <v>527111</v>
      </c>
      <c r="L566" s="153">
        <f t="shared" si="216"/>
        <v>33</v>
      </c>
      <c r="M566" s="157">
        <f t="shared" si="216"/>
        <v>4663.36</v>
      </c>
      <c r="N566" s="158">
        <f t="shared" si="213"/>
        <v>0.5450919509</v>
      </c>
      <c r="O566" s="159">
        <f t="shared" si="5"/>
        <v>1.834552865</v>
      </c>
      <c r="P566" s="158">
        <f t="shared" si="6"/>
        <v>0.2789059517</v>
      </c>
      <c r="Q566" s="160">
        <f t="shared" si="7"/>
        <v>0.5116677127</v>
      </c>
      <c r="R566" s="161">
        <f>SUM(R550:R565)</f>
        <v>4450.68</v>
      </c>
      <c r="S566" s="162">
        <f t="shared" si="9"/>
        <v>77.02909091</v>
      </c>
      <c r="T566" s="163">
        <f t="shared" ref="T566:U566" si="217">IFERROR((D566-D69)/D566,)</f>
        <v>0.1681713049</v>
      </c>
      <c r="U566" s="163">
        <f t="shared" si="217"/>
        <v>0.07843137255</v>
      </c>
      <c r="V566" s="398" t="str">
        <f t="shared" ref="V566:W566" si="218">IFERROR((D566-monthly_reporting_2021!D357)/D566, )</f>
        <v/>
      </c>
      <c r="W566" s="398" t="str">
        <f t="shared" si="218"/>
        <v/>
      </c>
      <c r="X566" s="165"/>
      <c r="Y566" s="165"/>
      <c r="Z566" s="165"/>
    </row>
    <row r="567" hidden="1" outlineLevel="1">
      <c r="A567" s="165"/>
      <c r="B567" s="99">
        <v>45921.0</v>
      </c>
      <c r="C567" s="100" t="s">
        <v>32</v>
      </c>
      <c r="D567" s="101">
        <v>3731.7</v>
      </c>
      <c r="E567" s="103">
        <v>24.0</v>
      </c>
      <c r="F567" s="103">
        <v>21.0</v>
      </c>
      <c r="G567" s="104">
        <f t="shared" si="1"/>
        <v>1.142857143</v>
      </c>
      <c r="H567" s="105">
        <f t="shared" si="2"/>
        <v>155.4875</v>
      </c>
      <c r="I567" s="106">
        <f t="shared" si="3"/>
        <v>136.0515625</v>
      </c>
      <c r="J567" s="107">
        <v>899.34</v>
      </c>
      <c r="K567" s="103">
        <v>187987.0</v>
      </c>
      <c r="L567" s="103">
        <v>18.0</v>
      </c>
      <c r="M567" s="108">
        <v>2904.5</v>
      </c>
      <c r="N567" s="109">
        <f t="shared" si="213"/>
        <v>0.3096367705</v>
      </c>
      <c r="O567" s="110">
        <f t="shared" si="5"/>
        <v>3.229590589</v>
      </c>
      <c r="P567" s="109">
        <f t="shared" si="6"/>
        <v>0.2410000804</v>
      </c>
      <c r="Q567" s="111">
        <f t="shared" si="7"/>
        <v>0.7783315915</v>
      </c>
      <c r="R567" s="112">
        <f t="shared" ref="R567:R582" si="219">D567-M567</f>
        <v>827.2</v>
      </c>
      <c r="S567" s="113">
        <f t="shared" si="9"/>
        <v>49.96333333</v>
      </c>
      <c r="T567" s="172"/>
      <c r="U567" s="172"/>
      <c r="V567" s="172"/>
      <c r="W567" s="172"/>
      <c r="X567" s="173"/>
      <c r="Y567" s="165"/>
      <c r="Z567" s="165"/>
    </row>
    <row r="568" hidden="1" outlineLevel="1">
      <c r="A568" s="165"/>
      <c r="B568" s="174"/>
      <c r="C568" s="100" t="s">
        <v>33</v>
      </c>
      <c r="D568" s="117">
        <v>2737.5</v>
      </c>
      <c r="E568" s="103">
        <v>23.0</v>
      </c>
      <c r="F568" s="103">
        <v>25.0</v>
      </c>
      <c r="G568" s="104">
        <f t="shared" si="1"/>
        <v>0.92</v>
      </c>
      <c r="H568" s="105">
        <f t="shared" si="2"/>
        <v>119.0217391</v>
      </c>
      <c r="I568" s="106">
        <f t="shared" si="3"/>
        <v>129.3714556</v>
      </c>
      <c r="J568" s="117">
        <v>345.36</v>
      </c>
      <c r="K568" s="103">
        <v>106659.0</v>
      </c>
      <c r="L568" s="103">
        <v>11.0</v>
      </c>
      <c r="M568" s="118">
        <v>1103.85</v>
      </c>
      <c r="N568" s="109">
        <f t="shared" si="213"/>
        <v>0.3128685963</v>
      </c>
      <c r="O568" s="110">
        <f t="shared" si="5"/>
        <v>3.196230021</v>
      </c>
      <c r="P568" s="109">
        <f t="shared" si="6"/>
        <v>0.1261589041</v>
      </c>
      <c r="Q568" s="111">
        <f t="shared" si="7"/>
        <v>0.4032328767</v>
      </c>
      <c r="R568" s="119">
        <f t="shared" si="219"/>
        <v>1633.65</v>
      </c>
      <c r="S568" s="113">
        <f t="shared" si="9"/>
        <v>31.39636364</v>
      </c>
      <c r="T568" s="172"/>
      <c r="U568" s="172"/>
      <c r="V568" s="172"/>
      <c r="W568" s="172"/>
      <c r="X568" s="173"/>
      <c r="Y568" s="165"/>
      <c r="Z568" s="165"/>
    </row>
    <row r="569" hidden="1" outlineLevel="1">
      <c r="A569" s="165"/>
      <c r="B569" s="174"/>
      <c r="C569" s="100" t="s">
        <v>34</v>
      </c>
      <c r="D569" s="120">
        <v>419.7</v>
      </c>
      <c r="E569" s="103">
        <v>6.0</v>
      </c>
      <c r="F569" s="103">
        <v>3.0</v>
      </c>
      <c r="G569" s="104">
        <f t="shared" si="1"/>
        <v>2</v>
      </c>
      <c r="H569" s="105">
        <f t="shared" si="2"/>
        <v>69.95</v>
      </c>
      <c r="I569" s="106">
        <f t="shared" si="3"/>
        <v>34.975</v>
      </c>
      <c r="J569" s="120">
        <v>1.35</v>
      </c>
      <c r="K569" s="103">
        <v>260.0</v>
      </c>
      <c r="L569" s="103">
        <v>0.0</v>
      </c>
      <c r="M569" s="121">
        <v>0.0</v>
      </c>
      <c r="N569" s="109" t="str">
        <f>(J569/M569)</f>
        <v>#DIV/0!</v>
      </c>
      <c r="O569" s="110">
        <f t="shared" si="5"/>
        <v>0</v>
      </c>
      <c r="P569" s="109">
        <f t="shared" si="6"/>
        <v>0.003216583274</v>
      </c>
      <c r="Q569" s="111">
        <f t="shared" si="7"/>
        <v>0</v>
      </c>
      <c r="R569" s="122">
        <f t="shared" si="219"/>
        <v>419.7</v>
      </c>
      <c r="S569" s="113" t="str">
        <f t="shared" si="9"/>
        <v>#DIV/0!</v>
      </c>
      <c r="T569" s="172"/>
      <c r="U569" s="172"/>
      <c r="V569" s="172"/>
      <c r="W569" s="172"/>
      <c r="X569" s="173"/>
      <c r="Y569" s="165"/>
      <c r="Z569" s="165"/>
    </row>
    <row r="570" hidden="1" outlineLevel="1">
      <c r="A570" s="165"/>
      <c r="B570" s="174"/>
      <c r="C570" s="100" t="s">
        <v>35</v>
      </c>
      <c r="D570" s="120">
        <v>479.6</v>
      </c>
      <c r="E570" s="103">
        <v>8.0</v>
      </c>
      <c r="F570" s="103">
        <v>8.0</v>
      </c>
      <c r="G570" s="104">
        <f t="shared" si="1"/>
        <v>1</v>
      </c>
      <c r="H570" s="105">
        <f t="shared" si="2"/>
        <v>59.95</v>
      </c>
      <c r="I570" s="106">
        <f t="shared" si="3"/>
        <v>59.95</v>
      </c>
      <c r="J570" s="120">
        <v>209.26</v>
      </c>
      <c r="K570" s="103">
        <v>21090.0</v>
      </c>
      <c r="L570" s="103">
        <v>5.0</v>
      </c>
      <c r="M570" s="121">
        <v>299.75</v>
      </c>
      <c r="N570" s="109">
        <f t="shared" ref="N570:N585" si="220">J570/M570</f>
        <v>0.6981150959</v>
      </c>
      <c r="O570" s="110">
        <f t="shared" si="5"/>
        <v>1.432428558</v>
      </c>
      <c r="P570" s="109">
        <f t="shared" si="6"/>
        <v>0.4363219349</v>
      </c>
      <c r="Q570" s="111">
        <f t="shared" si="7"/>
        <v>0.625</v>
      </c>
      <c r="R570" s="122">
        <f t="shared" si="219"/>
        <v>179.85</v>
      </c>
      <c r="S570" s="113">
        <f t="shared" si="9"/>
        <v>41.852</v>
      </c>
      <c r="T570" s="172"/>
      <c r="U570" s="172"/>
      <c r="V570" s="172"/>
      <c r="W570" s="172"/>
      <c r="X570" s="173"/>
      <c r="Y570" s="165"/>
      <c r="Z570" s="165"/>
    </row>
    <row r="571" hidden="1" outlineLevel="1">
      <c r="A571" s="165"/>
      <c r="B571" s="174"/>
      <c r="C571" s="100" t="s">
        <v>36</v>
      </c>
      <c r="D571" s="120">
        <v>509.6</v>
      </c>
      <c r="E571" s="103">
        <v>8.0</v>
      </c>
      <c r="F571" s="103">
        <v>8.0</v>
      </c>
      <c r="G571" s="104">
        <f t="shared" si="1"/>
        <v>1</v>
      </c>
      <c r="H571" s="105">
        <f t="shared" si="2"/>
        <v>63.7</v>
      </c>
      <c r="I571" s="106">
        <f t="shared" si="3"/>
        <v>63.7</v>
      </c>
      <c r="J571" s="120">
        <v>106.49</v>
      </c>
      <c r="K571" s="103">
        <v>19928.0</v>
      </c>
      <c r="L571" s="103">
        <v>6.0</v>
      </c>
      <c r="M571" s="121">
        <v>379.7</v>
      </c>
      <c r="N571" s="109">
        <f t="shared" si="220"/>
        <v>0.2804582565</v>
      </c>
      <c r="O571" s="110">
        <f t="shared" si="5"/>
        <v>3.565593013</v>
      </c>
      <c r="P571" s="109">
        <f t="shared" si="6"/>
        <v>0.2089678179</v>
      </c>
      <c r="Q571" s="111">
        <f t="shared" si="7"/>
        <v>0.7450941915</v>
      </c>
      <c r="R571" s="122">
        <f t="shared" si="219"/>
        <v>129.9</v>
      </c>
      <c r="S571" s="113">
        <f t="shared" si="9"/>
        <v>17.74833333</v>
      </c>
      <c r="T571" s="172"/>
      <c r="U571" s="172"/>
      <c r="V571" s="172"/>
      <c r="W571" s="172"/>
      <c r="X571" s="173"/>
      <c r="Y571" s="165"/>
      <c r="Z571" s="165"/>
    </row>
    <row r="572" hidden="1" outlineLevel="1">
      <c r="A572" s="165"/>
      <c r="B572" s="99" t="s">
        <v>37</v>
      </c>
      <c r="C572" s="100" t="s">
        <v>38</v>
      </c>
      <c r="D572" s="123">
        <v>475.64</v>
      </c>
      <c r="E572" s="103">
        <v>8.0</v>
      </c>
      <c r="F572" s="103">
        <v>8.0</v>
      </c>
      <c r="G572" s="104">
        <f t="shared" si="1"/>
        <v>1</v>
      </c>
      <c r="H572" s="105">
        <f t="shared" si="2"/>
        <v>59.455</v>
      </c>
      <c r="I572" s="106">
        <f t="shared" si="3"/>
        <v>59.455</v>
      </c>
      <c r="J572" s="123">
        <v>39.43</v>
      </c>
      <c r="K572" s="103">
        <v>15087.0</v>
      </c>
      <c r="L572" s="103">
        <v>1.0</v>
      </c>
      <c r="M572" s="124">
        <v>29.95</v>
      </c>
      <c r="N572" s="109">
        <f t="shared" si="220"/>
        <v>1.316527546</v>
      </c>
      <c r="O572" s="110">
        <f t="shared" si="5"/>
        <v>0.7595739285</v>
      </c>
      <c r="P572" s="109">
        <f t="shared" si="6"/>
        <v>0.08289883105</v>
      </c>
      <c r="Q572" s="111">
        <f t="shared" si="7"/>
        <v>0.06296779077</v>
      </c>
      <c r="R572" s="125">
        <f t="shared" si="219"/>
        <v>445.69</v>
      </c>
      <c r="S572" s="113">
        <f t="shared" si="9"/>
        <v>39.43</v>
      </c>
      <c r="T572" s="172"/>
      <c r="U572" s="172"/>
      <c r="V572" s="172"/>
      <c r="W572" s="172"/>
      <c r="X572" s="173"/>
      <c r="Y572" s="165"/>
      <c r="Z572" s="165"/>
    </row>
    <row r="573" hidden="1" outlineLevel="1">
      <c r="A573" s="165"/>
      <c r="B573" s="174"/>
      <c r="C573" s="100" t="s">
        <v>39</v>
      </c>
      <c r="D573" s="126">
        <v>0.0</v>
      </c>
      <c r="E573" s="103">
        <v>0.0</v>
      </c>
      <c r="F573" s="103">
        <v>0.0</v>
      </c>
      <c r="G573" s="104" t="str">
        <f t="shared" si="1"/>
        <v>#DIV/0!</v>
      </c>
      <c r="H573" s="105" t="str">
        <f t="shared" si="2"/>
        <v>#DIV/0!</v>
      </c>
      <c r="I573" s="106" t="str">
        <f t="shared" si="3"/>
        <v>#DIV/0!</v>
      </c>
      <c r="J573" s="126">
        <v>0.0</v>
      </c>
      <c r="K573" s="103">
        <v>0.0</v>
      </c>
      <c r="L573" s="103">
        <v>0.0</v>
      </c>
      <c r="M573" s="127">
        <v>0.0</v>
      </c>
      <c r="N573" s="109" t="str">
        <f t="shared" si="220"/>
        <v>#DIV/0!</v>
      </c>
      <c r="O573" s="110" t="str">
        <f t="shared" si="5"/>
        <v>#DIV/0!</v>
      </c>
      <c r="P573" s="109" t="str">
        <f t="shared" si="6"/>
        <v>#DIV/0!</v>
      </c>
      <c r="Q573" s="111" t="str">
        <f t="shared" si="7"/>
        <v>#DIV/0!</v>
      </c>
      <c r="R573" s="128">
        <f t="shared" si="219"/>
        <v>0</v>
      </c>
      <c r="S573" s="113" t="str">
        <f t="shared" si="9"/>
        <v>#DIV/0!</v>
      </c>
      <c r="T573" s="172"/>
      <c r="U573" s="172"/>
      <c r="V573" s="172"/>
      <c r="W573" s="172"/>
      <c r="X573" s="173"/>
      <c r="Y573" s="165"/>
      <c r="Z573" s="165"/>
    </row>
    <row r="574" hidden="1" outlineLevel="1">
      <c r="A574" s="165"/>
      <c r="B574" s="174"/>
      <c r="C574" s="100" t="s">
        <v>40</v>
      </c>
      <c r="D574" s="129">
        <v>329.7</v>
      </c>
      <c r="E574" s="103">
        <v>6.0</v>
      </c>
      <c r="F574" s="103">
        <v>3.0</v>
      </c>
      <c r="G574" s="104">
        <f t="shared" si="1"/>
        <v>2</v>
      </c>
      <c r="H574" s="105">
        <f t="shared" si="2"/>
        <v>54.95</v>
      </c>
      <c r="I574" s="106">
        <f t="shared" si="3"/>
        <v>27.475</v>
      </c>
      <c r="J574" s="129">
        <v>0.0</v>
      </c>
      <c r="K574" s="103">
        <v>0.0</v>
      </c>
      <c r="L574" s="103">
        <v>0.0</v>
      </c>
      <c r="M574" s="130">
        <v>0.0</v>
      </c>
      <c r="N574" s="109" t="str">
        <f t="shared" si="220"/>
        <v>#DIV/0!</v>
      </c>
      <c r="O574" s="110" t="str">
        <f t="shared" si="5"/>
        <v>#DIV/0!</v>
      </c>
      <c r="P574" s="109">
        <f t="shared" si="6"/>
        <v>0</v>
      </c>
      <c r="Q574" s="111">
        <f t="shared" si="7"/>
        <v>0</v>
      </c>
      <c r="R574" s="131">
        <f t="shared" si="219"/>
        <v>329.7</v>
      </c>
      <c r="S574" s="113" t="str">
        <f t="shared" si="9"/>
        <v>#DIV/0!</v>
      </c>
      <c r="T574" s="172"/>
      <c r="U574" s="172"/>
      <c r="V574" s="172"/>
      <c r="W574" s="172"/>
      <c r="X574" s="173"/>
      <c r="Y574" s="165"/>
      <c r="Z574" s="165"/>
    </row>
    <row r="575" hidden="1" outlineLevel="1">
      <c r="A575" s="165"/>
      <c r="B575" s="174"/>
      <c r="C575" s="100" t="s">
        <v>41</v>
      </c>
      <c r="D575" s="132">
        <v>1252.8</v>
      </c>
      <c r="E575" s="103">
        <v>18.0</v>
      </c>
      <c r="F575" s="103">
        <v>18.0</v>
      </c>
      <c r="G575" s="104">
        <f t="shared" si="1"/>
        <v>1</v>
      </c>
      <c r="H575" s="105">
        <f t="shared" si="2"/>
        <v>69.6</v>
      </c>
      <c r="I575" s="106">
        <f t="shared" si="3"/>
        <v>69.6</v>
      </c>
      <c r="J575" s="132">
        <v>189.33</v>
      </c>
      <c r="K575" s="103">
        <v>24077.0</v>
      </c>
      <c r="L575" s="103">
        <v>6.0</v>
      </c>
      <c r="M575" s="133">
        <v>437.6</v>
      </c>
      <c r="N575" s="109">
        <f t="shared" si="220"/>
        <v>0.4326553931</v>
      </c>
      <c r="O575" s="110">
        <f t="shared" si="5"/>
        <v>2.311308298</v>
      </c>
      <c r="P575" s="109">
        <f t="shared" si="6"/>
        <v>0.1511254789</v>
      </c>
      <c r="Q575" s="111">
        <f t="shared" si="7"/>
        <v>0.3492975734</v>
      </c>
      <c r="R575" s="134">
        <f t="shared" si="219"/>
        <v>815.2</v>
      </c>
      <c r="S575" s="113">
        <f t="shared" si="9"/>
        <v>31.555</v>
      </c>
      <c r="T575" s="172"/>
      <c r="U575" s="172"/>
      <c r="V575" s="172"/>
      <c r="W575" s="172"/>
      <c r="X575" s="173"/>
      <c r="Y575" s="165"/>
      <c r="Z575" s="165"/>
    </row>
    <row r="576" hidden="1" outlineLevel="1">
      <c r="A576" s="165"/>
      <c r="B576" s="174"/>
      <c r="C576" s="100" t="s">
        <v>42</v>
      </c>
      <c r="D576" s="120">
        <v>0.0</v>
      </c>
      <c r="E576" s="103">
        <v>0.0</v>
      </c>
      <c r="F576" s="103">
        <v>0.0</v>
      </c>
      <c r="G576" s="104" t="str">
        <f t="shared" si="1"/>
        <v>#DIV/0!</v>
      </c>
      <c r="H576" s="105" t="str">
        <f t="shared" si="2"/>
        <v>#DIV/0!</v>
      </c>
      <c r="I576" s="106" t="str">
        <f t="shared" si="3"/>
        <v>#DIV/0!</v>
      </c>
      <c r="J576" s="120">
        <v>0.0</v>
      </c>
      <c r="K576" s="103">
        <v>0.0</v>
      </c>
      <c r="L576" s="103">
        <v>0.0</v>
      </c>
      <c r="M576" s="121">
        <v>0.0</v>
      </c>
      <c r="N576" s="109" t="str">
        <f t="shared" si="220"/>
        <v>#DIV/0!</v>
      </c>
      <c r="O576" s="110" t="str">
        <f t="shared" si="5"/>
        <v>#DIV/0!</v>
      </c>
      <c r="P576" s="109" t="str">
        <f t="shared" si="6"/>
        <v>#DIV/0!</v>
      </c>
      <c r="Q576" s="111" t="str">
        <f t="shared" si="7"/>
        <v>#DIV/0!</v>
      </c>
      <c r="R576" s="122">
        <f t="shared" si="219"/>
        <v>0</v>
      </c>
      <c r="S576" s="113" t="str">
        <f t="shared" si="9"/>
        <v>#DIV/0!</v>
      </c>
      <c r="T576" s="172"/>
      <c r="U576" s="172"/>
      <c r="V576" s="172"/>
      <c r="W576" s="172"/>
      <c r="X576" s="173"/>
      <c r="Y576" s="165"/>
      <c r="Z576" s="165"/>
    </row>
    <row r="577" hidden="1" outlineLevel="1">
      <c r="A577" s="165"/>
      <c r="B577" s="174"/>
      <c r="C577" s="100" t="s">
        <v>43</v>
      </c>
      <c r="D577" s="135">
        <v>0.0</v>
      </c>
      <c r="E577" s="103">
        <v>0.0</v>
      </c>
      <c r="F577" s="103">
        <v>0.0</v>
      </c>
      <c r="G577" s="104" t="str">
        <f t="shared" si="1"/>
        <v>#DIV/0!</v>
      </c>
      <c r="H577" s="105" t="str">
        <f t="shared" si="2"/>
        <v>#DIV/0!</v>
      </c>
      <c r="I577" s="106" t="str">
        <f t="shared" si="3"/>
        <v>#DIV/0!</v>
      </c>
      <c r="J577" s="135">
        <v>76.47</v>
      </c>
      <c r="K577" s="103">
        <v>11585.0</v>
      </c>
      <c r="L577" s="103">
        <v>0.0</v>
      </c>
      <c r="M577" s="136">
        <v>0.0</v>
      </c>
      <c r="N577" s="109" t="str">
        <f t="shared" si="220"/>
        <v>#DIV/0!</v>
      </c>
      <c r="O577" s="110">
        <f t="shared" si="5"/>
        <v>0</v>
      </c>
      <c r="P577" s="109" t="str">
        <f t="shared" si="6"/>
        <v>#DIV/0!</v>
      </c>
      <c r="Q577" s="111" t="str">
        <f t="shared" si="7"/>
        <v>#DIV/0!</v>
      </c>
      <c r="R577" s="137">
        <f t="shared" si="219"/>
        <v>0</v>
      </c>
      <c r="S577" s="113" t="str">
        <f t="shared" si="9"/>
        <v>#DIV/0!</v>
      </c>
      <c r="T577" s="172"/>
      <c r="U577" s="172"/>
      <c r="V577" s="172"/>
      <c r="W577" s="172"/>
      <c r="X577" s="173"/>
      <c r="Y577" s="165"/>
      <c r="Z577" s="165"/>
    </row>
    <row r="578" hidden="1" outlineLevel="1">
      <c r="A578" s="165"/>
      <c r="B578" s="174"/>
      <c r="C578" s="100" t="s">
        <v>44</v>
      </c>
      <c r="D578" s="138">
        <v>134.85</v>
      </c>
      <c r="E578" s="103">
        <v>3.0</v>
      </c>
      <c r="F578" s="103">
        <v>3.0</v>
      </c>
      <c r="G578" s="104">
        <f t="shared" si="1"/>
        <v>1</v>
      </c>
      <c r="H578" s="105">
        <f t="shared" si="2"/>
        <v>44.95</v>
      </c>
      <c r="I578" s="106">
        <f t="shared" si="3"/>
        <v>44.95</v>
      </c>
      <c r="J578" s="138">
        <v>69.52</v>
      </c>
      <c r="K578" s="103">
        <v>40853.0</v>
      </c>
      <c r="L578" s="103">
        <v>1.0</v>
      </c>
      <c r="M578" s="139">
        <v>44.95</v>
      </c>
      <c r="N578" s="109">
        <f t="shared" si="220"/>
        <v>1.546607341</v>
      </c>
      <c r="O578" s="110">
        <f t="shared" si="5"/>
        <v>0.6465765247</v>
      </c>
      <c r="P578" s="109">
        <f t="shared" si="6"/>
        <v>0.5155357805</v>
      </c>
      <c r="Q578" s="111">
        <f t="shared" si="7"/>
        <v>0.3333333333</v>
      </c>
      <c r="R578" s="140">
        <f t="shared" si="219"/>
        <v>89.9</v>
      </c>
      <c r="S578" s="113">
        <f t="shared" si="9"/>
        <v>69.52</v>
      </c>
      <c r="T578" s="172"/>
      <c r="U578" s="172"/>
      <c r="V578" s="172"/>
      <c r="W578" s="172"/>
      <c r="X578" s="173"/>
      <c r="Y578" s="165"/>
      <c r="Z578" s="165"/>
    </row>
    <row r="579" hidden="1" outlineLevel="1">
      <c r="A579" s="192"/>
      <c r="B579" s="174"/>
      <c r="C579" s="142" t="s">
        <v>45</v>
      </c>
      <c r="D579" s="101">
        <v>24.95</v>
      </c>
      <c r="E579" s="103">
        <v>1.0</v>
      </c>
      <c r="F579" s="103">
        <v>1.0</v>
      </c>
      <c r="G579" s="104">
        <f t="shared" si="1"/>
        <v>1</v>
      </c>
      <c r="H579" s="105">
        <f t="shared" si="2"/>
        <v>24.95</v>
      </c>
      <c r="I579" s="106">
        <f t="shared" si="3"/>
        <v>24.95</v>
      </c>
      <c r="J579" s="101">
        <v>0.0</v>
      </c>
      <c r="K579" s="103">
        <v>0.0</v>
      </c>
      <c r="L579" s="103">
        <v>0.0</v>
      </c>
      <c r="M579" s="108">
        <v>0.0</v>
      </c>
      <c r="N579" s="109" t="str">
        <f t="shared" si="220"/>
        <v>#DIV/0!</v>
      </c>
      <c r="O579" s="110" t="str">
        <f t="shared" si="5"/>
        <v>#DIV/0!</v>
      </c>
      <c r="P579" s="109">
        <f t="shared" si="6"/>
        <v>0</v>
      </c>
      <c r="Q579" s="111">
        <f t="shared" si="7"/>
        <v>0</v>
      </c>
      <c r="R579" s="112">
        <f t="shared" si="219"/>
        <v>24.95</v>
      </c>
      <c r="S579" s="113" t="str">
        <f t="shared" si="9"/>
        <v>#DIV/0!</v>
      </c>
      <c r="T579" s="193"/>
      <c r="U579" s="193"/>
      <c r="V579" s="193"/>
      <c r="W579" s="194"/>
      <c r="X579" s="195"/>
      <c r="Y579" s="165"/>
      <c r="Z579" s="165"/>
    </row>
    <row r="580" hidden="1" outlineLevel="1">
      <c r="A580" s="165"/>
      <c r="B580" s="174"/>
      <c r="C580" s="100" t="s">
        <v>46</v>
      </c>
      <c r="D580" s="146">
        <v>431.5</v>
      </c>
      <c r="E580" s="103">
        <v>10.0</v>
      </c>
      <c r="F580" s="103">
        <v>10.0</v>
      </c>
      <c r="G580" s="104">
        <f t="shared" si="1"/>
        <v>1</v>
      </c>
      <c r="H580" s="105">
        <f t="shared" si="2"/>
        <v>43.15</v>
      </c>
      <c r="I580" s="106">
        <f t="shared" si="3"/>
        <v>43.15</v>
      </c>
      <c r="J580" s="146">
        <v>105.15</v>
      </c>
      <c r="K580" s="103">
        <v>22565.0</v>
      </c>
      <c r="L580" s="103">
        <v>4.0</v>
      </c>
      <c r="M580" s="147">
        <v>128.85</v>
      </c>
      <c r="N580" s="109">
        <f t="shared" si="220"/>
        <v>0.8160651921</v>
      </c>
      <c r="O580" s="110">
        <f t="shared" si="5"/>
        <v>1.225392297</v>
      </c>
      <c r="P580" s="109">
        <f t="shared" si="6"/>
        <v>0.2436848204</v>
      </c>
      <c r="Q580" s="111">
        <f t="shared" si="7"/>
        <v>0.2986095017</v>
      </c>
      <c r="R580" s="112">
        <f t="shared" si="219"/>
        <v>302.65</v>
      </c>
      <c r="S580" s="113">
        <f t="shared" si="9"/>
        <v>26.2875</v>
      </c>
      <c r="T580" s="172"/>
      <c r="U580" s="172"/>
      <c r="V580" s="172"/>
      <c r="W580" s="172"/>
      <c r="X580" s="173"/>
      <c r="Y580" s="165"/>
      <c r="Z580" s="165"/>
    </row>
    <row r="581" hidden="1" outlineLevel="1">
      <c r="A581" s="165"/>
      <c r="B581" s="174"/>
      <c r="C581" s="100" t="s">
        <v>49</v>
      </c>
      <c r="D581" s="146">
        <v>96.0</v>
      </c>
      <c r="E581" s="103">
        <v>1.0</v>
      </c>
      <c r="F581" s="103">
        <v>1.0</v>
      </c>
      <c r="G581" s="104">
        <f t="shared" si="1"/>
        <v>1</v>
      </c>
      <c r="H581" s="105">
        <f t="shared" si="2"/>
        <v>96</v>
      </c>
      <c r="I581" s="106">
        <f t="shared" si="3"/>
        <v>96</v>
      </c>
      <c r="J581" s="146">
        <v>4.07</v>
      </c>
      <c r="K581" s="103">
        <v>8988.0</v>
      </c>
      <c r="L581" s="103">
        <v>0.0</v>
      </c>
      <c r="M581" s="147">
        <v>0.0</v>
      </c>
      <c r="N581" s="109" t="str">
        <f t="shared" si="220"/>
        <v>#DIV/0!</v>
      </c>
      <c r="O581" s="110">
        <f t="shared" si="5"/>
        <v>0</v>
      </c>
      <c r="P581" s="109">
        <f t="shared" si="6"/>
        <v>0.04239583333</v>
      </c>
      <c r="Q581" s="111">
        <f t="shared" si="7"/>
        <v>0</v>
      </c>
      <c r="R581" s="112">
        <f t="shared" si="219"/>
        <v>96</v>
      </c>
      <c r="S581" s="113" t="str">
        <f t="shared" si="9"/>
        <v>#DIV/0!</v>
      </c>
      <c r="T581" s="172"/>
      <c r="U581" s="172"/>
      <c r="V581" s="172"/>
      <c r="W581" s="172"/>
      <c r="X581" s="173"/>
      <c r="Y581" s="165"/>
      <c r="Z581" s="165"/>
    </row>
    <row r="582" hidden="1" outlineLevel="1">
      <c r="A582" s="148" t="str">
        <f t="shared" ref="A582:A583" si="221">iferror(if(B582&gt;0,month(B582)&amp;"-"&amp;year(B582),B582),)</f>
        <v>9-2025</v>
      </c>
      <c r="B582" s="99">
        <v>45927.0</v>
      </c>
      <c r="C582" s="277" t="s">
        <v>67</v>
      </c>
      <c r="D582" s="146">
        <v>0.0</v>
      </c>
      <c r="E582" s="103">
        <v>0.0</v>
      </c>
      <c r="F582" s="103">
        <v>0.0</v>
      </c>
      <c r="G582" s="104" t="str">
        <f t="shared" si="1"/>
        <v>#DIV/0!</v>
      </c>
      <c r="H582" s="105" t="str">
        <f t="shared" si="2"/>
        <v>#DIV/0!</v>
      </c>
      <c r="I582" s="106" t="str">
        <f t="shared" si="3"/>
        <v>#DIV/0!</v>
      </c>
      <c r="J582" s="117">
        <v>436.38</v>
      </c>
      <c r="K582" s="278">
        <v>125083.0</v>
      </c>
      <c r="L582" s="103">
        <v>0.0</v>
      </c>
      <c r="M582" s="118">
        <v>1059.94</v>
      </c>
      <c r="N582" s="109">
        <f t="shared" si="220"/>
        <v>0.4117025492</v>
      </c>
      <c r="O582" s="110">
        <f t="shared" si="5"/>
        <v>2.428938081</v>
      </c>
      <c r="P582" s="109" t="str">
        <f t="shared" si="6"/>
        <v>#DIV/0!</v>
      </c>
      <c r="Q582" s="111" t="str">
        <f t="shared" si="7"/>
        <v>#DIV/0!</v>
      </c>
      <c r="R582" s="112">
        <f t="shared" si="219"/>
        <v>-1059.94</v>
      </c>
      <c r="S582" s="113" t="str">
        <f t="shared" si="9"/>
        <v>#DIV/0!</v>
      </c>
      <c r="T582" s="172"/>
      <c r="U582" s="172"/>
      <c r="V582" s="172"/>
      <c r="W582" s="172"/>
      <c r="X582" s="173"/>
      <c r="Y582" s="165"/>
      <c r="Z582" s="165"/>
    </row>
    <row r="583" collapsed="1">
      <c r="A583" s="165" t="str">
        <f t="shared" si="221"/>
        <v/>
      </c>
      <c r="B583" s="80" t="s">
        <v>126</v>
      </c>
      <c r="C583" s="201"/>
      <c r="D583" s="151">
        <f t="shared" ref="D583:F583" si="222">SUM(D567:D582)</f>
        <v>10623.54</v>
      </c>
      <c r="E583" s="153">
        <f t="shared" si="222"/>
        <v>116</v>
      </c>
      <c r="F583" s="153">
        <f t="shared" si="222"/>
        <v>109</v>
      </c>
      <c r="G583" s="154">
        <f t="shared" si="1"/>
        <v>1.064220183</v>
      </c>
      <c r="H583" s="155">
        <f t="shared" si="2"/>
        <v>91.58224138</v>
      </c>
      <c r="I583" s="156">
        <f t="shared" si="3"/>
        <v>86.05572681</v>
      </c>
      <c r="J583" s="151">
        <f t="shared" ref="J583:M583" si="223">SUM(J567:J582)</f>
        <v>2482.15</v>
      </c>
      <c r="K583" s="153">
        <f t="shared" si="223"/>
        <v>584162</v>
      </c>
      <c r="L583" s="153">
        <f t="shared" si="223"/>
        <v>52</v>
      </c>
      <c r="M583" s="157">
        <f t="shared" si="223"/>
        <v>6389.09</v>
      </c>
      <c r="N583" s="158">
        <f t="shared" si="220"/>
        <v>0.3884982055</v>
      </c>
      <c r="O583" s="159">
        <f t="shared" si="5"/>
        <v>2.574014463</v>
      </c>
      <c r="P583" s="158">
        <f t="shared" si="6"/>
        <v>0.2336462234</v>
      </c>
      <c r="Q583" s="160">
        <f t="shared" si="7"/>
        <v>0.6014087583</v>
      </c>
      <c r="R583" s="161">
        <f>SUM(R567:R582)</f>
        <v>4234.45</v>
      </c>
      <c r="S583" s="162">
        <f t="shared" si="9"/>
        <v>47.73365385</v>
      </c>
      <c r="T583" s="163">
        <f t="shared" ref="T583:U583" si="224">IFERROR((D583-D69)/D583,)</f>
        <v>0.2863659383</v>
      </c>
      <c r="U583" s="163">
        <f t="shared" si="224"/>
        <v>0.1896551724</v>
      </c>
      <c r="V583" s="398" t="str">
        <f t="shared" ref="V583:W583" si="225">IFERROR((D583-monthly_reporting_2021!D374)/D583, )</f>
        <v/>
      </c>
      <c r="W583" s="398" t="str">
        <f t="shared" si="225"/>
        <v/>
      </c>
      <c r="X583" s="165"/>
      <c r="Y583" s="165"/>
      <c r="Z583" s="165"/>
    </row>
    <row r="584" hidden="1" outlineLevel="1">
      <c r="A584" s="165"/>
      <c r="B584" s="99">
        <v>45928.0</v>
      </c>
      <c r="C584" s="100" t="s">
        <v>32</v>
      </c>
      <c r="D584" s="101">
        <v>3475.28</v>
      </c>
      <c r="E584" s="103">
        <v>13.0</v>
      </c>
      <c r="F584" s="103">
        <v>13.0</v>
      </c>
      <c r="G584" s="104">
        <f t="shared" si="1"/>
        <v>1</v>
      </c>
      <c r="H584" s="105">
        <f t="shared" si="2"/>
        <v>267.3292308</v>
      </c>
      <c r="I584" s="106">
        <f t="shared" si="3"/>
        <v>267.3292308</v>
      </c>
      <c r="J584" s="107">
        <v>855.56</v>
      </c>
      <c r="K584" s="103">
        <v>196963.0</v>
      </c>
      <c r="L584" s="103">
        <v>4.0</v>
      </c>
      <c r="M584" s="108">
        <v>1745.28</v>
      </c>
      <c r="N584" s="109">
        <f t="shared" si="220"/>
        <v>0.4902136047</v>
      </c>
      <c r="O584" s="110">
        <f t="shared" si="5"/>
        <v>2.039927065</v>
      </c>
      <c r="P584" s="109">
        <f t="shared" si="6"/>
        <v>0.2461844801</v>
      </c>
      <c r="Q584" s="111">
        <f t="shared" si="7"/>
        <v>0.502198384</v>
      </c>
      <c r="R584" s="112">
        <f t="shared" ref="R584:R599" si="226">D584-M584</f>
        <v>1730</v>
      </c>
      <c r="S584" s="113">
        <f t="shared" si="9"/>
        <v>213.89</v>
      </c>
      <c r="T584" s="172"/>
      <c r="U584" s="172"/>
      <c r="V584" s="172"/>
      <c r="W584" s="172"/>
      <c r="X584" s="173"/>
      <c r="Y584" s="165"/>
      <c r="Z584" s="165"/>
    </row>
    <row r="585" hidden="1" outlineLevel="1">
      <c r="A585" s="165"/>
      <c r="B585" s="174"/>
      <c r="C585" s="100" t="s">
        <v>33</v>
      </c>
      <c r="D585" s="117">
        <v>1340.95</v>
      </c>
      <c r="E585" s="103">
        <v>32.0</v>
      </c>
      <c r="F585" s="103">
        <v>38.0</v>
      </c>
      <c r="G585" s="104">
        <f t="shared" si="1"/>
        <v>0.8421052632</v>
      </c>
      <c r="H585" s="105">
        <f t="shared" si="2"/>
        <v>41.9046875</v>
      </c>
      <c r="I585" s="106">
        <f t="shared" si="3"/>
        <v>49.76181641</v>
      </c>
      <c r="J585" s="117">
        <v>363.51</v>
      </c>
      <c r="K585" s="103">
        <v>108420.0</v>
      </c>
      <c r="L585" s="103">
        <v>8.0</v>
      </c>
      <c r="M585" s="118">
        <v>888.75</v>
      </c>
      <c r="N585" s="109">
        <f t="shared" si="220"/>
        <v>0.4090126582</v>
      </c>
      <c r="O585" s="110">
        <f t="shared" si="5"/>
        <v>2.444912107</v>
      </c>
      <c r="P585" s="109">
        <f t="shared" si="6"/>
        <v>0.271083933</v>
      </c>
      <c r="Q585" s="111">
        <f t="shared" si="7"/>
        <v>0.6627763899</v>
      </c>
      <c r="R585" s="119">
        <f t="shared" si="226"/>
        <v>452.2</v>
      </c>
      <c r="S585" s="113">
        <f t="shared" si="9"/>
        <v>45.43875</v>
      </c>
      <c r="T585" s="172"/>
      <c r="U585" s="172"/>
      <c r="V585" s="172"/>
      <c r="W585" s="172"/>
      <c r="X585" s="173"/>
      <c r="Y585" s="165"/>
      <c r="Z585" s="165"/>
    </row>
    <row r="586" hidden="1" outlineLevel="1">
      <c r="A586" s="165"/>
      <c r="B586" s="174"/>
      <c r="C586" s="100" t="s">
        <v>34</v>
      </c>
      <c r="D586" s="120">
        <v>69.95</v>
      </c>
      <c r="E586" s="103">
        <v>1.0</v>
      </c>
      <c r="F586" s="103">
        <v>1.0</v>
      </c>
      <c r="G586" s="104">
        <f t="shared" si="1"/>
        <v>1</v>
      </c>
      <c r="H586" s="105">
        <f t="shared" si="2"/>
        <v>69.95</v>
      </c>
      <c r="I586" s="106">
        <f t="shared" si="3"/>
        <v>69.95</v>
      </c>
      <c r="J586" s="120">
        <v>0.0</v>
      </c>
      <c r="K586" s="103">
        <v>311.0</v>
      </c>
      <c r="L586" s="103">
        <v>0.0</v>
      </c>
      <c r="M586" s="121">
        <v>0.0</v>
      </c>
      <c r="N586" s="109" t="str">
        <f>(J586/M586)</f>
        <v>#DIV/0!</v>
      </c>
      <c r="O586" s="110" t="str">
        <f t="shared" si="5"/>
        <v>#DIV/0!</v>
      </c>
      <c r="P586" s="109">
        <f t="shared" si="6"/>
        <v>0</v>
      </c>
      <c r="Q586" s="111">
        <f t="shared" si="7"/>
        <v>0</v>
      </c>
      <c r="R586" s="122">
        <f t="shared" si="226"/>
        <v>69.95</v>
      </c>
      <c r="S586" s="113" t="str">
        <f t="shared" si="9"/>
        <v>#DIV/0!</v>
      </c>
      <c r="T586" s="172"/>
      <c r="U586" s="172"/>
      <c r="V586" s="172"/>
      <c r="W586" s="172"/>
      <c r="X586" s="173"/>
      <c r="Y586" s="165"/>
      <c r="Z586" s="165"/>
    </row>
    <row r="587" hidden="1" outlineLevel="1">
      <c r="A587" s="165"/>
      <c r="B587" s="174"/>
      <c r="C587" s="100" t="s">
        <v>35</v>
      </c>
      <c r="D587" s="120">
        <v>539.55</v>
      </c>
      <c r="E587" s="103">
        <v>9.0</v>
      </c>
      <c r="F587" s="103">
        <v>8.0</v>
      </c>
      <c r="G587" s="104">
        <f t="shared" si="1"/>
        <v>1.125</v>
      </c>
      <c r="H587" s="105">
        <f t="shared" si="2"/>
        <v>59.95</v>
      </c>
      <c r="I587" s="106">
        <f t="shared" si="3"/>
        <v>53.28888889</v>
      </c>
      <c r="J587" s="120">
        <v>264.74</v>
      </c>
      <c r="K587" s="103">
        <v>24715.0</v>
      </c>
      <c r="L587" s="103">
        <v>7.0</v>
      </c>
      <c r="M587" s="121">
        <v>419.65</v>
      </c>
      <c r="N587" s="109">
        <f t="shared" ref="N587:N602" si="227">J587/M587</f>
        <v>0.6308590492</v>
      </c>
      <c r="O587" s="110">
        <f t="shared" si="5"/>
        <v>1.585140137</v>
      </c>
      <c r="P587" s="109">
        <f t="shared" si="6"/>
        <v>0.4906681494</v>
      </c>
      <c r="Q587" s="111">
        <f t="shared" si="7"/>
        <v>0.7777777778</v>
      </c>
      <c r="R587" s="122">
        <f t="shared" si="226"/>
        <v>119.9</v>
      </c>
      <c r="S587" s="113">
        <f t="shared" si="9"/>
        <v>37.82</v>
      </c>
      <c r="T587" s="172"/>
      <c r="U587" s="172"/>
      <c r="V587" s="172"/>
      <c r="W587" s="172"/>
      <c r="X587" s="173"/>
      <c r="Y587" s="165"/>
      <c r="Z587" s="165"/>
    </row>
    <row r="588" hidden="1" outlineLevel="1">
      <c r="A588" s="165"/>
      <c r="B588" s="174"/>
      <c r="C588" s="100" t="s">
        <v>36</v>
      </c>
      <c r="D588" s="120">
        <v>659.5</v>
      </c>
      <c r="E588" s="103">
        <v>10.0</v>
      </c>
      <c r="F588" s="103">
        <v>9.0</v>
      </c>
      <c r="G588" s="104">
        <f t="shared" si="1"/>
        <v>1.111111111</v>
      </c>
      <c r="H588" s="105">
        <f t="shared" si="2"/>
        <v>65.95</v>
      </c>
      <c r="I588" s="106">
        <f t="shared" si="3"/>
        <v>59.355</v>
      </c>
      <c r="J588" s="120">
        <v>64.99</v>
      </c>
      <c r="K588" s="103">
        <v>19719.0</v>
      </c>
      <c r="L588" s="103">
        <v>2.0</v>
      </c>
      <c r="M588" s="121">
        <v>129.9</v>
      </c>
      <c r="N588" s="109">
        <f t="shared" si="227"/>
        <v>0.5003079292</v>
      </c>
      <c r="O588" s="110">
        <f t="shared" si="5"/>
        <v>1.998769041</v>
      </c>
      <c r="P588" s="109">
        <f t="shared" si="6"/>
        <v>0.09854435178</v>
      </c>
      <c r="Q588" s="111">
        <f t="shared" si="7"/>
        <v>0.1969673995</v>
      </c>
      <c r="R588" s="122">
        <f t="shared" si="226"/>
        <v>529.6</v>
      </c>
      <c r="S588" s="113">
        <f t="shared" si="9"/>
        <v>32.495</v>
      </c>
      <c r="T588" s="172"/>
      <c r="U588" s="172"/>
      <c r="V588" s="172"/>
      <c r="W588" s="172"/>
      <c r="X588" s="173"/>
      <c r="Y588" s="165"/>
      <c r="Z588" s="165"/>
    </row>
    <row r="589" hidden="1" outlineLevel="1">
      <c r="A589" s="165"/>
      <c r="B589" s="99" t="s">
        <v>37</v>
      </c>
      <c r="C589" s="100" t="s">
        <v>38</v>
      </c>
      <c r="D589" s="123">
        <v>234.8</v>
      </c>
      <c r="E589" s="103">
        <v>4.0</v>
      </c>
      <c r="F589" s="103">
        <v>4.0</v>
      </c>
      <c r="G589" s="104">
        <f t="shared" si="1"/>
        <v>1</v>
      </c>
      <c r="H589" s="105">
        <f t="shared" si="2"/>
        <v>58.7</v>
      </c>
      <c r="I589" s="106">
        <f t="shared" si="3"/>
        <v>58.7</v>
      </c>
      <c r="J589" s="123">
        <v>50.88</v>
      </c>
      <c r="K589" s="103">
        <v>14681.0</v>
      </c>
      <c r="L589" s="103">
        <v>2.0</v>
      </c>
      <c r="M589" s="124">
        <v>169.9</v>
      </c>
      <c r="N589" s="109">
        <f t="shared" si="227"/>
        <v>0.2994702766</v>
      </c>
      <c r="O589" s="110">
        <f t="shared" si="5"/>
        <v>3.33922956</v>
      </c>
      <c r="P589" s="109">
        <f t="shared" si="6"/>
        <v>0.2166950596</v>
      </c>
      <c r="Q589" s="111">
        <f t="shared" si="7"/>
        <v>0.7235945486</v>
      </c>
      <c r="R589" s="125">
        <f t="shared" si="226"/>
        <v>64.9</v>
      </c>
      <c r="S589" s="113">
        <f t="shared" si="9"/>
        <v>25.44</v>
      </c>
      <c r="T589" s="172"/>
      <c r="U589" s="172"/>
      <c r="V589" s="172"/>
      <c r="W589" s="172"/>
      <c r="X589" s="173"/>
      <c r="Y589" s="165"/>
      <c r="Z589" s="165"/>
    </row>
    <row r="590" hidden="1" outlineLevel="1">
      <c r="A590" s="165"/>
      <c r="B590" s="174"/>
      <c r="C590" s="100" t="s">
        <v>39</v>
      </c>
      <c r="D590" s="126">
        <v>0.0</v>
      </c>
      <c r="E590" s="103">
        <v>0.0</v>
      </c>
      <c r="F590" s="103">
        <v>0.0</v>
      </c>
      <c r="G590" s="104" t="str">
        <f t="shared" si="1"/>
        <v>#DIV/0!</v>
      </c>
      <c r="H590" s="105" t="str">
        <f t="shared" si="2"/>
        <v>#DIV/0!</v>
      </c>
      <c r="I590" s="106" t="str">
        <f t="shared" si="3"/>
        <v>#DIV/0!</v>
      </c>
      <c r="J590" s="126">
        <v>0.0</v>
      </c>
      <c r="K590" s="103">
        <v>0.0</v>
      </c>
      <c r="L590" s="103">
        <v>0.0</v>
      </c>
      <c r="M590" s="127">
        <v>0.0</v>
      </c>
      <c r="N590" s="109" t="str">
        <f t="shared" si="227"/>
        <v>#DIV/0!</v>
      </c>
      <c r="O590" s="110" t="str">
        <f t="shared" si="5"/>
        <v>#DIV/0!</v>
      </c>
      <c r="P590" s="109" t="str">
        <f t="shared" si="6"/>
        <v>#DIV/0!</v>
      </c>
      <c r="Q590" s="111" t="str">
        <f t="shared" si="7"/>
        <v>#DIV/0!</v>
      </c>
      <c r="R590" s="128">
        <f t="shared" si="226"/>
        <v>0</v>
      </c>
      <c r="S590" s="113" t="str">
        <f t="shared" si="9"/>
        <v>#DIV/0!</v>
      </c>
      <c r="T590" s="172"/>
      <c r="U590" s="172"/>
      <c r="V590" s="172"/>
      <c r="W590" s="172"/>
      <c r="X590" s="173"/>
      <c r="Y590" s="165"/>
      <c r="Z590" s="165"/>
    </row>
    <row r="591" hidden="1" outlineLevel="1">
      <c r="A591" s="165"/>
      <c r="B591" s="174"/>
      <c r="C591" s="100" t="s">
        <v>40</v>
      </c>
      <c r="D591" s="129">
        <v>0.0</v>
      </c>
      <c r="E591" s="103">
        <v>0.0</v>
      </c>
      <c r="F591" s="103">
        <v>0.0</v>
      </c>
      <c r="G591" s="104" t="str">
        <f t="shared" si="1"/>
        <v>#DIV/0!</v>
      </c>
      <c r="H591" s="105" t="str">
        <f t="shared" si="2"/>
        <v>#DIV/0!</v>
      </c>
      <c r="I591" s="106" t="str">
        <f t="shared" si="3"/>
        <v>#DIV/0!</v>
      </c>
      <c r="J591" s="129">
        <v>0.0</v>
      </c>
      <c r="K591" s="103">
        <v>0.0</v>
      </c>
      <c r="L591" s="103">
        <v>0.0</v>
      </c>
      <c r="M591" s="130">
        <v>0.0</v>
      </c>
      <c r="N591" s="109" t="str">
        <f t="shared" si="227"/>
        <v>#DIV/0!</v>
      </c>
      <c r="O591" s="110" t="str">
        <f t="shared" si="5"/>
        <v>#DIV/0!</v>
      </c>
      <c r="P591" s="109" t="str">
        <f t="shared" si="6"/>
        <v>#DIV/0!</v>
      </c>
      <c r="Q591" s="111" t="str">
        <f t="shared" si="7"/>
        <v>#DIV/0!</v>
      </c>
      <c r="R591" s="131">
        <f t="shared" si="226"/>
        <v>0</v>
      </c>
      <c r="S591" s="113" t="str">
        <f t="shared" si="9"/>
        <v>#DIV/0!</v>
      </c>
      <c r="T591" s="172"/>
      <c r="U591" s="172"/>
      <c r="V591" s="172"/>
      <c r="W591" s="172"/>
      <c r="X591" s="173"/>
      <c r="Y591" s="165"/>
      <c r="Z591" s="165"/>
    </row>
    <row r="592" hidden="1" outlineLevel="1">
      <c r="A592" s="165"/>
      <c r="B592" s="174"/>
      <c r="C592" s="100" t="s">
        <v>41</v>
      </c>
      <c r="D592" s="132">
        <v>1932.18</v>
      </c>
      <c r="E592" s="103">
        <v>20.0</v>
      </c>
      <c r="F592" s="103">
        <v>19.0</v>
      </c>
      <c r="G592" s="104">
        <f t="shared" si="1"/>
        <v>1.052631579</v>
      </c>
      <c r="H592" s="105">
        <f t="shared" si="2"/>
        <v>96.609</v>
      </c>
      <c r="I592" s="106">
        <f t="shared" si="3"/>
        <v>91.77855</v>
      </c>
      <c r="J592" s="132">
        <v>149.81</v>
      </c>
      <c r="K592" s="103">
        <v>22219.0</v>
      </c>
      <c r="L592" s="103">
        <v>8.0</v>
      </c>
      <c r="M592" s="133">
        <v>695.57</v>
      </c>
      <c r="N592" s="109">
        <f t="shared" si="227"/>
        <v>0.2153773164</v>
      </c>
      <c r="O592" s="110">
        <f t="shared" si="5"/>
        <v>4.643014485</v>
      </c>
      <c r="P592" s="109">
        <f t="shared" si="6"/>
        <v>0.07753418419</v>
      </c>
      <c r="Q592" s="111">
        <f t="shared" si="7"/>
        <v>0.3599923403</v>
      </c>
      <c r="R592" s="134">
        <f t="shared" si="226"/>
        <v>1236.61</v>
      </c>
      <c r="S592" s="113">
        <f t="shared" si="9"/>
        <v>18.72625</v>
      </c>
      <c r="T592" s="172"/>
      <c r="U592" s="172"/>
      <c r="V592" s="172"/>
      <c r="W592" s="172"/>
      <c r="X592" s="173"/>
      <c r="Y592" s="165"/>
      <c r="Z592" s="165"/>
    </row>
    <row r="593" hidden="1" outlineLevel="1">
      <c r="A593" s="165"/>
      <c r="B593" s="174"/>
      <c r="C593" s="100" t="s">
        <v>42</v>
      </c>
      <c r="D593" s="120">
        <v>0.0</v>
      </c>
      <c r="E593" s="103">
        <v>0.0</v>
      </c>
      <c r="F593" s="103">
        <v>0.0</v>
      </c>
      <c r="G593" s="104" t="str">
        <f t="shared" si="1"/>
        <v>#DIV/0!</v>
      </c>
      <c r="H593" s="105" t="str">
        <f t="shared" si="2"/>
        <v>#DIV/0!</v>
      </c>
      <c r="I593" s="106" t="str">
        <f t="shared" si="3"/>
        <v>#DIV/0!</v>
      </c>
      <c r="J593" s="120">
        <v>0.0</v>
      </c>
      <c r="K593" s="103">
        <v>0.0</v>
      </c>
      <c r="L593" s="103">
        <v>0.0</v>
      </c>
      <c r="M593" s="121">
        <v>0.0</v>
      </c>
      <c r="N593" s="109" t="str">
        <f t="shared" si="227"/>
        <v>#DIV/0!</v>
      </c>
      <c r="O593" s="110" t="str">
        <f t="shared" si="5"/>
        <v>#DIV/0!</v>
      </c>
      <c r="P593" s="109" t="str">
        <f t="shared" si="6"/>
        <v>#DIV/0!</v>
      </c>
      <c r="Q593" s="111" t="str">
        <f t="shared" si="7"/>
        <v>#DIV/0!</v>
      </c>
      <c r="R593" s="122">
        <f t="shared" si="226"/>
        <v>0</v>
      </c>
      <c r="S593" s="113" t="str">
        <f t="shared" si="9"/>
        <v>#DIV/0!</v>
      </c>
      <c r="T593" s="172"/>
      <c r="U593" s="172"/>
      <c r="V593" s="172"/>
      <c r="W593" s="172"/>
      <c r="X593" s="173"/>
      <c r="Y593" s="165"/>
      <c r="Z593" s="165"/>
    </row>
    <row r="594" hidden="1" outlineLevel="1">
      <c r="A594" s="165"/>
      <c r="B594" s="174"/>
      <c r="C594" s="100" t="s">
        <v>43</v>
      </c>
      <c r="D594" s="135">
        <v>290.85</v>
      </c>
      <c r="E594" s="103">
        <v>3.0</v>
      </c>
      <c r="F594" s="103">
        <v>4.0</v>
      </c>
      <c r="G594" s="104">
        <f t="shared" si="1"/>
        <v>0.75</v>
      </c>
      <c r="H594" s="105">
        <f t="shared" si="2"/>
        <v>96.95</v>
      </c>
      <c r="I594" s="106">
        <f t="shared" si="3"/>
        <v>129.2666667</v>
      </c>
      <c r="J594" s="135">
        <v>46.25</v>
      </c>
      <c r="K594" s="103">
        <v>10206.0</v>
      </c>
      <c r="L594" s="103">
        <v>1.0</v>
      </c>
      <c r="M594" s="136">
        <v>210.95</v>
      </c>
      <c r="N594" s="109">
        <f t="shared" si="227"/>
        <v>0.2192462669</v>
      </c>
      <c r="O594" s="110">
        <f t="shared" si="5"/>
        <v>4.561081081</v>
      </c>
      <c r="P594" s="109">
        <f t="shared" si="6"/>
        <v>0.1590166753</v>
      </c>
      <c r="Q594" s="111">
        <f t="shared" si="7"/>
        <v>0.7252879491</v>
      </c>
      <c r="R594" s="137">
        <f t="shared" si="226"/>
        <v>79.9</v>
      </c>
      <c r="S594" s="113">
        <f t="shared" si="9"/>
        <v>46.25</v>
      </c>
      <c r="T594" s="172"/>
      <c r="U594" s="172"/>
      <c r="V594" s="172"/>
      <c r="W594" s="172"/>
      <c r="X594" s="173"/>
      <c r="Y594" s="165"/>
      <c r="Z594" s="165"/>
    </row>
    <row r="595" hidden="1" outlineLevel="1">
      <c r="A595" s="165"/>
      <c r="B595" s="174"/>
      <c r="C595" s="100" t="s">
        <v>44</v>
      </c>
      <c r="D595" s="138">
        <v>0.0</v>
      </c>
      <c r="E595" s="103">
        <v>0.0</v>
      </c>
      <c r="F595" s="103">
        <v>1.0</v>
      </c>
      <c r="G595" s="104">
        <f t="shared" si="1"/>
        <v>0</v>
      </c>
      <c r="H595" s="105" t="str">
        <f t="shared" si="2"/>
        <v>#DIV/0!</v>
      </c>
      <c r="I595" s="106" t="str">
        <f t="shared" si="3"/>
        <v>#DIV/0!</v>
      </c>
      <c r="J595" s="138">
        <v>115.46</v>
      </c>
      <c r="K595" s="103">
        <v>39634.0</v>
      </c>
      <c r="L595" s="103">
        <v>1.0</v>
      </c>
      <c r="M595" s="139">
        <v>44.95</v>
      </c>
      <c r="N595" s="109">
        <f t="shared" si="227"/>
        <v>2.568631813</v>
      </c>
      <c r="O595" s="110">
        <f t="shared" si="5"/>
        <v>0.389312316</v>
      </c>
      <c r="P595" s="109" t="str">
        <f t="shared" si="6"/>
        <v>#DIV/0!</v>
      </c>
      <c r="Q595" s="111" t="str">
        <f t="shared" si="7"/>
        <v>#DIV/0!</v>
      </c>
      <c r="R595" s="140">
        <f t="shared" si="226"/>
        <v>-44.95</v>
      </c>
      <c r="S595" s="113">
        <f t="shared" si="9"/>
        <v>115.46</v>
      </c>
      <c r="T595" s="172"/>
      <c r="U595" s="172"/>
      <c r="V595" s="172"/>
      <c r="W595" s="172"/>
      <c r="X595" s="173"/>
      <c r="Y595" s="165"/>
      <c r="Z595" s="165"/>
    </row>
    <row r="596" hidden="1" outlineLevel="1">
      <c r="A596" s="192"/>
      <c r="B596" s="174"/>
      <c r="C596" s="142" t="s">
        <v>45</v>
      </c>
      <c r="D596" s="101">
        <v>59.9</v>
      </c>
      <c r="E596" s="103">
        <v>2.0</v>
      </c>
      <c r="F596" s="103">
        <v>1.0</v>
      </c>
      <c r="G596" s="104">
        <f t="shared" si="1"/>
        <v>2</v>
      </c>
      <c r="H596" s="105">
        <f t="shared" si="2"/>
        <v>29.95</v>
      </c>
      <c r="I596" s="106">
        <f t="shared" si="3"/>
        <v>14.975</v>
      </c>
      <c r="J596" s="101">
        <v>0.0</v>
      </c>
      <c r="K596" s="103">
        <v>0.0</v>
      </c>
      <c r="L596" s="103">
        <v>0.0</v>
      </c>
      <c r="M596" s="108">
        <v>0.0</v>
      </c>
      <c r="N596" s="109" t="str">
        <f t="shared" si="227"/>
        <v>#DIV/0!</v>
      </c>
      <c r="O596" s="110" t="str">
        <f t="shared" si="5"/>
        <v>#DIV/0!</v>
      </c>
      <c r="P596" s="109">
        <f t="shared" si="6"/>
        <v>0</v>
      </c>
      <c r="Q596" s="111">
        <f t="shared" si="7"/>
        <v>0</v>
      </c>
      <c r="R596" s="112">
        <f t="shared" si="226"/>
        <v>59.9</v>
      </c>
      <c r="S596" s="113" t="str">
        <f t="shared" si="9"/>
        <v>#DIV/0!</v>
      </c>
      <c r="T596" s="193"/>
      <c r="U596" s="193"/>
      <c r="V596" s="193"/>
      <c r="W596" s="194"/>
      <c r="X596" s="195"/>
      <c r="Y596" s="165"/>
      <c r="Z596" s="165"/>
    </row>
    <row r="597" hidden="1" outlineLevel="1">
      <c r="A597" s="165"/>
      <c r="B597" s="174"/>
      <c r="C597" s="100" t="s">
        <v>46</v>
      </c>
      <c r="D597" s="146">
        <v>304.65</v>
      </c>
      <c r="E597" s="103">
        <v>7.0</v>
      </c>
      <c r="F597" s="103">
        <v>12.0</v>
      </c>
      <c r="G597" s="104">
        <f t="shared" si="1"/>
        <v>0.5833333333</v>
      </c>
      <c r="H597" s="105">
        <f t="shared" si="2"/>
        <v>43.52142857</v>
      </c>
      <c r="I597" s="106">
        <f t="shared" si="3"/>
        <v>74.60816327</v>
      </c>
      <c r="J597" s="146">
        <v>103.02</v>
      </c>
      <c r="K597" s="103">
        <v>18013.0</v>
      </c>
      <c r="L597" s="103">
        <v>4.0</v>
      </c>
      <c r="M597" s="147">
        <v>130.85</v>
      </c>
      <c r="N597" s="109">
        <f t="shared" si="227"/>
        <v>0.787313718</v>
      </c>
      <c r="O597" s="110">
        <f t="shared" si="5"/>
        <v>1.27014172</v>
      </c>
      <c r="P597" s="109">
        <f t="shared" si="6"/>
        <v>0.3381585426</v>
      </c>
      <c r="Q597" s="111">
        <f t="shared" si="7"/>
        <v>0.4295092729</v>
      </c>
      <c r="R597" s="112">
        <f t="shared" si="226"/>
        <v>173.8</v>
      </c>
      <c r="S597" s="113">
        <f t="shared" si="9"/>
        <v>25.755</v>
      </c>
      <c r="T597" s="172"/>
      <c r="U597" s="172"/>
      <c r="V597" s="172"/>
      <c r="W597" s="172"/>
      <c r="X597" s="173"/>
      <c r="Y597" s="165"/>
      <c r="Z597" s="165"/>
    </row>
    <row r="598" hidden="1" outlineLevel="1">
      <c r="A598" s="165"/>
      <c r="B598" s="174"/>
      <c r="C598" s="100" t="s">
        <v>49</v>
      </c>
      <c r="D598" s="146">
        <v>0.0</v>
      </c>
      <c r="E598" s="103">
        <v>0.0</v>
      </c>
      <c r="F598" s="103">
        <v>0.0</v>
      </c>
      <c r="G598" s="104" t="str">
        <f t="shared" si="1"/>
        <v>#DIV/0!</v>
      </c>
      <c r="H598" s="105" t="str">
        <f t="shared" si="2"/>
        <v>#DIV/0!</v>
      </c>
      <c r="I598" s="106" t="str">
        <f t="shared" si="3"/>
        <v>#DIV/0!</v>
      </c>
      <c r="J598" s="146">
        <v>8.59</v>
      </c>
      <c r="K598" s="103">
        <v>7794.0</v>
      </c>
      <c r="L598" s="103">
        <v>0.0</v>
      </c>
      <c r="M598" s="147">
        <v>0.0</v>
      </c>
      <c r="N598" s="109" t="str">
        <f t="shared" si="227"/>
        <v>#DIV/0!</v>
      </c>
      <c r="O598" s="110">
        <f t="shared" si="5"/>
        <v>0</v>
      </c>
      <c r="P598" s="109" t="str">
        <f t="shared" si="6"/>
        <v>#DIV/0!</v>
      </c>
      <c r="Q598" s="111" t="str">
        <f t="shared" si="7"/>
        <v>#DIV/0!</v>
      </c>
      <c r="R598" s="112">
        <f t="shared" si="226"/>
        <v>0</v>
      </c>
      <c r="S598" s="113" t="str">
        <f t="shared" si="9"/>
        <v>#DIV/0!</v>
      </c>
      <c r="T598" s="172"/>
      <c r="U598" s="172"/>
      <c r="V598" s="172"/>
      <c r="W598" s="172"/>
      <c r="X598" s="173"/>
      <c r="Y598" s="165"/>
      <c r="Z598" s="165"/>
    </row>
    <row r="599" hidden="1" outlineLevel="1">
      <c r="A599" s="148" t="str">
        <f t="shared" ref="A599:A600" si="228">iferror(if(B599&gt;0,month(B599)&amp;"-"&amp;year(B599),B599),)</f>
        <v>10-2025</v>
      </c>
      <c r="B599" s="99">
        <v>45934.0</v>
      </c>
      <c r="C599" s="277" t="s">
        <v>67</v>
      </c>
      <c r="D599" s="146">
        <v>0.0</v>
      </c>
      <c r="E599" s="103">
        <v>0.0</v>
      </c>
      <c r="F599" s="103">
        <v>0.0</v>
      </c>
      <c r="G599" s="104" t="str">
        <f t="shared" si="1"/>
        <v>#DIV/0!</v>
      </c>
      <c r="H599" s="105" t="str">
        <f t="shared" si="2"/>
        <v>#DIV/0!</v>
      </c>
      <c r="I599" s="106" t="str">
        <f t="shared" si="3"/>
        <v>#DIV/0!</v>
      </c>
      <c r="J599" s="117">
        <v>362.39</v>
      </c>
      <c r="K599" s="278">
        <v>81553.0</v>
      </c>
      <c r="L599" s="103">
        <v>0.0</v>
      </c>
      <c r="M599" s="118">
        <v>1086.01</v>
      </c>
      <c r="N599" s="109">
        <f t="shared" si="227"/>
        <v>0.3336893767</v>
      </c>
      <c r="O599" s="110">
        <f t="shared" si="5"/>
        <v>2.996799029</v>
      </c>
      <c r="P599" s="109" t="str">
        <f t="shared" si="6"/>
        <v>#DIV/0!</v>
      </c>
      <c r="Q599" s="111" t="str">
        <f t="shared" si="7"/>
        <v>#DIV/0!</v>
      </c>
      <c r="R599" s="112">
        <f t="shared" si="226"/>
        <v>-1086.01</v>
      </c>
      <c r="S599" s="113" t="str">
        <f t="shared" si="9"/>
        <v>#DIV/0!</v>
      </c>
      <c r="T599" s="172"/>
      <c r="U599" s="172"/>
      <c r="V599" s="172"/>
      <c r="W599" s="172"/>
      <c r="X599" s="173"/>
      <c r="Y599" s="165"/>
      <c r="Z599" s="165"/>
    </row>
    <row r="600" collapsed="1">
      <c r="A600" s="165" t="str">
        <f t="shared" si="228"/>
        <v/>
      </c>
      <c r="B600" s="80" t="s">
        <v>127</v>
      </c>
      <c r="C600" s="201"/>
      <c r="D600" s="151">
        <f t="shared" ref="D600:F600" si="229">SUM(D584:D599)</f>
        <v>8907.61</v>
      </c>
      <c r="E600" s="153">
        <f t="shared" si="229"/>
        <v>101</v>
      </c>
      <c r="F600" s="153">
        <f t="shared" si="229"/>
        <v>110</v>
      </c>
      <c r="G600" s="154">
        <f t="shared" si="1"/>
        <v>0.9181818182</v>
      </c>
      <c r="H600" s="155">
        <f t="shared" si="2"/>
        <v>88.19415842</v>
      </c>
      <c r="I600" s="156">
        <f t="shared" si="3"/>
        <v>96.05304382</v>
      </c>
      <c r="J600" s="151">
        <f t="shared" ref="J600:M600" si="230">SUM(J584:J599)</f>
        <v>2385.2</v>
      </c>
      <c r="K600" s="153">
        <f t="shared" si="230"/>
        <v>544228</v>
      </c>
      <c r="L600" s="153">
        <f t="shared" si="230"/>
        <v>37</v>
      </c>
      <c r="M600" s="157">
        <f t="shared" si="230"/>
        <v>5521.81</v>
      </c>
      <c r="N600" s="158">
        <f t="shared" si="227"/>
        <v>0.4319598103</v>
      </c>
      <c r="O600" s="159">
        <f t="shared" si="5"/>
        <v>2.315030186</v>
      </c>
      <c r="P600" s="158">
        <f t="shared" si="6"/>
        <v>0.2677710407</v>
      </c>
      <c r="Q600" s="160">
        <f t="shared" si="7"/>
        <v>0.6198980422</v>
      </c>
      <c r="R600" s="161">
        <f>SUM(R584:R599)</f>
        <v>3385.8</v>
      </c>
      <c r="S600" s="162">
        <f t="shared" si="9"/>
        <v>64.46486486</v>
      </c>
      <c r="T600" s="163">
        <f t="shared" ref="T600:U600" si="231">IFERROR((D600-D69)/D600,)</f>
        <v>0.1488940355</v>
      </c>
      <c r="U600" s="163">
        <f t="shared" si="231"/>
        <v>0.06930693069</v>
      </c>
      <c r="V600" s="398" t="str">
        <f t="shared" ref="V600:W600" si="232">IFERROR((D600-monthly_reporting_2021!D391)/D600, )</f>
        <v/>
      </c>
      <c r="W600" s="398" t="str">
        <f t="shared" si="232"/>
        <v/>
      </c>
      <c r="X600" s="165"/>
      <c r="Y600" s="165"/>
      <c r="Z600" s="165"/>
    </row>
    <row r="601" hidden="1" outlineLevel="1">
      <c r="A601" s="165"/>
      <c r="B601" s="99">
        <v>45935.0</v>
      </c>
      <c r="C601" s="100" t="s">
        <v>32</v>
      </c>
      <c r="D601" s="101">
        <v>16167.71</v>
      </c>
      <c r="E601" s="103">
        <v>57.0</v>
      </c>
      <c r="F601" s="103">
        <v>47.0</v>
      </c>
      <c r="G601" s="104">
        <f t="shared" si="1"/>
        <v>1.212765957</v>
      </c>
      <c r="H601" s="105">
        <f t="shared" si="2"/>
        <v>283.6440351</v>
      </c>
      <c r="I601" s="106">
        <f t="shared" si="3"/>
        <v>233.8819237</v>
      </c>
      <c r="J601" s="107">
        <v>1721.58</v>
      </c>
      <c r="K601" s="103">
        <v>269717.0</v>
      </c>
      <c r="L601" s="103">
        <v>19.0</v>
      </c>
      <c r="M601" s="108">
        <v>3568.04</v>
      </c>
      <c r="N601" s="109">
        <f t="shared" si="227"/>
        <v>0.4825001962</v>
      </c>
      <c r="O601" s="110">
        <f t="shared" si="5"/>
        <v>2.072538017</v>
      </c>
      <c r="P601" s="109">
        <f t="shared" si="6"/>
        <v>0.1064826126</v>
      </c>
      <c r="Q601" s="111">
        <f t="shared" si="7"/>
        <v>0.2206892627</v>
      </c>
      <c r="R601" s="112">
        <f t="shared" ref="R601:R616" si="233">D601-M601</f>
        <v>12599.67</v>
      </c>
      <c r="S601" s="113">
        <f t="shared" si="9"/>
        <v>90.60947368</v>
      </c>
      <c r="T601" s="172"/>
      <c r="U601" s="172"/>
      <c r="V601" s="172"/>
      <c r="W601" s="172"/>
      <c r="X601" s="173"/>
      <c r="Y601" s="165"/>
      <c r="Z601" s="165"/>
    </row>
    <row r="602" hidden="1" outlineLevel="1">
      <c r="A602" s="165"/>
      <c r="B602" s="174"/>
      <c r="C602" s="100" t="s">
        <v>33</v>
      </c>
      <c r="D602" s="117">
        <v>29945.6</v>
      </c>
      <c r="E602" s="103">
        <v>137.0</v>
      </c>
      <c r="F602" s="103">
        <v>145.0</v>
      </c>
      <c r="G602" s="104">
        <f t="shared" si="1"/>
        <v>0.9448275862</v>
      </c>
      <c r="H602" s="105">
        <f t="shared" si="2"/>
        <v>218.5810219</v>
      </c>
      <c r="I602" s="106">
        <f t="shared" si="3"/>
        <v>231.3448772</v>
      </c>
      <c r="J602" s="117">
        <v>764.67</v>
      </c>
      <c r="K602" s="103">
        <v>129744.0</v>
      </c>
      <c r="L602" s="103">
        <v>47.0</v>
      </c>
      <c r="M602" s="118">
        <v>7857.13</v>
      </c>
      <c r="N602" s="109">
        <f t="shared" si="227"/>
        <v>0.09732179562</v>
      </c>
      <c r="O602" s="110">
        <f t="shared" si="5"/>
        <v>10.27519061</v>
      </c>
      <c r="P602" s="109">
        <f t="shared" si="6"/>
        <v>0.02553530402</v>
      </c>
      <c r="Q602" s="111">
        <f t="shared" si="7"/>
        <v>0.2623801159</v>
      </c>
      <c r="R602" s="119">
        <f t="shared" si="233"/>
        <v>22088.47</v>
      </c>
      <c r="S602" s="113">
        <f t="shared" si="9"/>
        <v>16.26957447</v>
      </c>
      <c r="T602" s="172"/>
      <c r="U602" s="172"/>
      <c r="V602" s="172"/>
      <c r="W602" s="172"/>
      <c r="X602" s="173"/>
      <c r="Y602" s="165"/>
      <c r="Z602" s="165"/>
    </row>
    <row r="603" hidden="1" outlineLevel="1">
      <c r="A603" s="165"/>
      <c r="B603" s="174"/>
      <c r="C603" s="100" t="s">
        <v>34</v>
      </c>
      <c r="D603" s="120">
        <v>0.0</v>
      </c>
      <c r="E603" s="103">
        <v>0.0</v>
      </c>
      <c r="F603" s="103">
        <v>0.0</v>
      </c>
      <c r="G603" s="104" t="str">
        <f t="shared" si="1"/>
        <v>#DIV/0!</v>
      </c>
      <c r="H603" s="105" t="str">
        <f t="shared" si="2"/>
        <v>#DIV/0!</v>
      </c>
      <c r="I603" s="106" t="str">
        <f t="shared" si="3"/>
        <v>#DIV/0!</v>
      </c>
      <c r="J603" s="120">
        <v>11.43</v>
      </c>
      <c r="K603" s="103">
        <v>368.0</v>
      </c>
      <c r="L603" s="103">
        <v>0.0</v>
      </c>
      <c r="M603" s="121">
        <v>0.0</v>
      </c>
      <c r="N603" s="109" t="str">
        <f>(J603/M603)</f>
        <v>#DIV/0!</v>
      </c>
      <c r="O603" s="110">
        <f t="shared" si="5"/>
        <v>0</v>
      </c>
      <c r="P603" s="109" t="str">
        <f t="shared" si="6"/>
        <v>#DIV/0!</v>
      </c>
      <c r="Q603" s="111" t="str">
        <f t="shared" si="7"/>
        <v>#DIV/0!</v>
      </c>
      <c r="R603" s="122">
        <f t="shared" si="233"/>
        <v>0</v>
      </c>
      <c r="S603" s="113" t="str">
        <f t="shared" si="9"/>
        <v>#DIV/0!</v>
      </c>
      <c r="T603" s="172"/>
      <c r="U603" s="172"/>
      <c r="V603" s="172"/>
      <c r="W603" s="172"/>
      <c r="X603" s="173"/>
      <c r="Y603" s="165"/>
      <c r="Z603" s="165"/>
    </row>
    <row r="604" hidden="1" outlineLevel="1">
      <c r="A604" s="165"/>
      <c r="B604" s="174"/>
      <c r="C604" s="100" t="s">
        <v>35</v>
      </c>
      <c r="D604" s="120">
        <v>910.09</v>
      </c>
      <c r="E604" s="103">
        <v>21.0</v>
      </c>
      <c r="F604" s="103">
        <v>17.0</v>
      </c>
      <c r="G604" s="104">
        <f t="shared" si="1"/>
        <v>1.235294118</v>
      </c>
      <c r="H604" s="105">
        <f t="shared" si="2"/>
        <v>43.33761905</v>
      </c>
      <c r="I604" s="106">
        <f t="shared" si="3"/>
        <v>35.08283447</v>
      </c>
      <c r="J604" s="120">
        <v>259.63</v>
      </c>
      <c r="K604" s="103">
        <v>24233.0</v>
      </c>
      <c r="L604" s="103">
        <v>11.0</v>
      </c>
      <c r="M604" s="121">
        <v>470.63</v>
      </c>
      <c r="N604" s="109">
        <f t="shared" ref="N604:N619" si="234">J604/M604</f>
        <v>0.5516647897</v>
      </c>
      <c r="O604" s="110">
        <f t="shared" si="5"/>
        <v>1.812694989</v>
      </c>
      <c r="P604" s="109">
        <f t="shared" si="6"/>
        <v>0.2852794779</v>
      </c>
      <c r="Q604" s="111">
        <f t="shared" si="7"/>
        <v>0.51712468</v>
      </c>
      <c r="R604" s="122">
        <f t="shared" si="233"/>
        <v>439.46</v>
      </c>
      <c r="S604" s="113">
        <f t="shared" si="9"/>
        <v>23.60272727</v>
      </c>
      <c r="T604" s="172"/>
      <c r="U604" s="172"/>
      <c r="V604" s="172"/>
      <c r="W604" s="172"/>
      <c r="X604" s="173"/>
      <c r="Y604" s="165"/>
      <c r="Z604" s="165"/>
    </row>
    <row r="605" hidden="1" outlineLevel="1">
      <c r="A605" s="165"/>
      <c r="B605" s="174"/>
      <c r="C605" s="100" t="s">
        <v>36</v>
      </c>
      <c r="D605" s="120">
        <v>0.0</v>
      </c>
      <c r="E605" s="103">
        <v>0.0</v>
      </c>
      <c r="F605" s="103">
        <v>0.0</v>
      </c>
      <c r="G605" s="104" t="str">
        <f t="shared" si="1"/>
        <v>#DIV/0!</v>
      </c>
      <c r="H605" s="105" t="str">
        <f t="shared" si="2"/>
        <v>#DIV/0!</v>
      </c>
      <c r="I605" s="106" t="str">
        <f t="shared" si="3"/>
        <v>#DIV/0!</v>
      </c>
      <c r="J605" s="120">
        <v>68.62</v>
      </c>
      <c r="K605" s="103">
        <v>16933.0</v>
      </c>
      <c r="L605" s="103">
        <v>4.0</v>
      </c>
      <c r="M605" s="121">
        <v>155.88</v>
      </c>
      <c r="N605" s="109">
        <f t="shared" si="234"/>
        <v>0.4402104183</v>
      </c>
      <c r="O605" s="110">
        <f t="shared" si="5"/>
        <v>2.271640921</v>
      </c>
      <c r="P605" s="109" t="str">
        <f t="shared" si="6"/>
        <v>#DIV/0!</v>
      </c>
      <c r="Q605" s="111" t="str">
        <f t="shared" si="7"/>
        <v>#DIV/0!</v>
      </c>
      <c r="R605" s="122">
        <f t="shared" si="233"/>
        <v>-155.88</v>
      </c>
      <c r="S605" s="113">
        <f t="shared" si="9"/>
        <v>17.155</v>
      </c>
      <c r="T605" s="172"/>
      <c r="U605" s="172"/>
      <c r="V605" s="172"/>
      <c r="W605" s="172"/>
      <c r="X605" s="173"/>
      <c r="Y605" s="165"/>
      <c r="Z605" s="165"/>
    </row>
    <row r="606" hidden="1" outlineLevel="1">
      <c r="A606" s="165"/>
      <c r="B606" s="99" t="s">
        <v>37</v>
      </c>
      <c r="C606" s="100" t="s">
        <v>38</v>
      </c>
      <c r="D606" s="123">
        <v>446.08</v>
      </c>
      <c r="E606" s="103">
        <v>10.0</v>
      </c>
      <c r="F606" s="103">
        <v>10.0</v>
      </c>
      <c r="G606" s="104">
        <f t="shared" si="1"/>
        <v>1</v>
      </c>
      <c r="H606" s="105">
        <f t="shared" si="2"/>
        <v>44.608</v>
      </c>
      <c r="I606" s="106">
        <f t="shared" si="3"/>
        <v>44.608</v>
      </c>
      <c r="J606" s="123">
        <v>93.55</v>
      </c>
      <c r="K606" s="103">
        <v>17224.0</v>
      </c>
      <c r="L606" s="103">
        <v>2.0</v>
      </c>
      <c r="M606" s="124">
        <v>59.9</v>
      </c>
      <c r="N606" s="109">
        <f t="shared" si="234"/>
        <v>1.561769616</v>
      </c>
      <c r="O606" s="110">
        <f t="shared" si="5"/>
        <v>0.6402993052</v>
      </c>
      <c r="P606" s="109">
        <f t="shared" si="6"/>
        <v>0.2097157461</v>
      </c>
      <c r="Q606" s="111">
        <f t="shared" si="7"/>
        <v>0.1342808465</v>
      </c>
      <c r="R606" s="125">
        <f t="shared" si="233"/>
        <v>386.18</v>
      </c>
      <c r="S606" s="113">
        <f t="shared" si="9"/>
        <v>46.775</v>
      </c>
      <c r="T606" s="172"/>
      <c r="U606" s="172"/>
      <c r="V606" s="172"/>
      <c r="W606" s="172"/>
      <c r="X606" s="173"/>
      <c r="Y606" s="165"/>
      <c r="Z606" s="165"/>
    </row>
    <row r="607" hidden="1" outlineLevel="1">
      <c r="A607" s="165"/>
      <c r="B607" s="174"/>
      <c r="C607" s="100" t="s">
        <v>39</v>
      </c>
      <c r="D607" s="126">
        <v>0.0</v>
      </c>
      <c r="E607" s="103">
        <v>0.0</v>
      </c>
      <c r="F607" s="103">
        <v>0.0</v>
      </c>
      <c r="G607" s="104" t="str">
        <f t="shared" si="1"/>
        <v>#DIV/0!</v>
      </c>
      <c r="H607" s="105" t="str">
        <f t="shared" si="2"/>
        <v>#DIV/0!</v>
      </c>
      <c r="I607" s="106" t="str">
        <f t="shared" si="3"/>
        <v>#DIV/0!</v>
      </c>
      <c r="J607" s="126">
        <v>0.0</v>
      </c>
      <c r="K607" s="103">
        <v>0.0</v>
      </c>
      <c r="L607" s="103">
        <v>0.0</v>
      </c>
      <c r="M607" s="127">
        <v>0.0</v>
      </c>
      <c r="N607" s="109" t="str">
        <f t="shared" si="234"/>
        <v>#DIV/0!</v>
      </c>
      <c r="O607" s="110" t="str">
        <f t="shared" si="5"/>
        <v>#DIV/0!</v>
      </c>
      <c r="P607" s="109" t="str">
        <f t="shared" si="6"/>
        <v>#DIV/0!</v>
      </c>
      <c r="Q607" s="111" t="str">
        <f t="shared" si="7"/>
        <v>#DIV/0!</v>
      </c>
      <c r="R607" s="128">
        <f t="shared" si="233"/>
        <v>0</v>
      </c>
      <c r="S607" s="113" t="str">
        <f t="shared" si="9"/>
        <v>#DIV/0!</v>
      </c>
      <c r="T607" s="172"/>
      <c r="U607" s="172"/>
      <c r="V607" s="172"/>
      <c r="W607" s="172"/>
      <c r="X607" s="173"/>
      <c r="Y607" s="165"/>
      <c r="Z607" s="165"/>
    </row>
    <row r="608" hidden="1" outlineLevel="1">
      <c r="A608" s="165"/>
      <c r="B608" s="174"/>
      <c r="C608" s="100" t="s">
        <v>40</v>
      </c>
      <c r="D608" s="129">
        <v>0.0</v>
      </c>
      <c r="E608" s="103">
        <v>0.0</v>
      </c>
      <c r="F608" s="103">
        <v>0.0</v>
      </c>
      <c r="G608" s="104" t="str">
        <f t="shared" si="1"/>
        <v>#DIV/0!</v>
      </c>
      <c r="H608" s="105" t="str">
        <f t="shared" si="2"/>
        <v>#DIV/0!</v>
      </c>
      <c r="I608" s="106" t="str">
        <f t="shared" si="3"/>
        <v>#DIV/0!</v>
      </c>
      <c r="J608" s="129">
        <v>0.0</v>
      </c>
      <c r="K608" s="103">
        <v>0.0</v>
      </c>
      <c r="L608" s="103">
        <v>0.0</v>
      </c>
      <c r="M608" s="130">
        <v>0.0</v>
      </c>
      <c r="N608" s="109" t="str">
        <f t="shared" si="234"/>
        <v>#DIV/0!</v>
      </c>
      <c r="O608" s="110" t="str">
        <f t="shared" si="5"/>
        <v>#DIV/0!</v>
      </c>
      <c r="P608" s="109" t="str">
        <f t="shared" si="6"/>
        <v>#DIV/0!</v>
      </c>
      <c r="Q608" s="111" t="str">
        <f t="shared" si="7"/>
        <v>#DIV/0!</v>
      </c>
      <c r="R608" s="131">
        <f t="shared" si="233"/>
        <v>0</v>
      </c>
      <c r="S608" s="113" t="str">
        <f t="shared" si="9"/>
        <v>#DIV/0!</v>
      </c>
      <c r="T608" s="172"/>
      <c r="U608" s="172"/>
      <c r="V608" s="172"/>
      <c r="W608" s="172"/>
      <c r="X608" s="173"/>
      <c r="Y608" s="165"/>
      <c r="Z608" s="165"/>
    </row>
    <row r="609" hidden="1" outlineLevel="1">
      <c r="A609" s="165"/>
      <c r="B609" s="174"/>
      <c r="C609" s="100" t="s">
        <v>41</v>
      </c>
      <c r="D609" s="132">
        <v>3081.69</v>
      </c>
      <c r="E609" s="103">
        <v>44.0</v>
      </c>
      <c r="F609" s="103">
        <v>42.0</v>
      </c>
      <c r="G609" s="104">
        <f t="shared" si="1"/>
        <v>1.047619048</v>
      </c>
      <c r="H609" s="105">
        <f t="shared" si="2"/>
        <v>70.03840909</v>
      </c>
      <c r="I609" s="106">
        <f t="shared" si="3"/>
        <v>66.85484504</v>
      </c>
      <c r="J609" s="132">
        <v>140.17</v>
      </c>
      <c r="K609" s="103">
        <v>24719.0</v>
      </c>
      <c r="L609" s="103">
        <v>16.0</v>
      </c>
      <c r="M609" s="133">
        <v>1011.21</v>
      </c>
      <c r="N609" s="109">
        <f t="shared" si="234"/>
        <v>0.1386161134</v>
      </c>
      <c r="O609" s="110">
        <f t="shared" si="5"/>
        <v>7.21416851</v>
      </c>
      <c r="P609" s="109">
        <f t="shared" si="6"/>
        <v>0.0454847827</v>
      </c>
      <c r="Q609" s="111">
        <f t="shared" si="7"/>
        <v>0.328134887</v>
      </c>
      <c r="R609" s="134">
        <f t="shared" si="233"/>
        <v>2070.48</v>
      </c>
      <c r="S609" s="113">
        <f t="shared" si="9"/>
        <v>8.760625</v>
      </c>
      <c r="T609" s="172"/>
      <c r="U609" s="172"/>
      <c r="V609" s="172"/>
      <c r="W609" s="172"/>
      <c r="X609" s="173"/>
      <c r="Y609" s="165"/>
      <c r="Z609" s="165"/>
    </row>
    <row r="610" hidden="1" outlineLevel="1">
      <c r="A610" s="165"/>
      <c r="B610" s="174"/>
      <c r="C610" s="100" t="s">
        <v>42</v>
      </c>
      <c r="D610" s="120">
        <v>0.0</v>
      </c>
      <c r="E610" s="103">
        <v>0.0</v>
      </c>
      <c r="F610" s="103">
        <v>0.0</v>
      </c>
      <c r="G610" s="104" t="str">
        <f t="shared" si="1"/>
        <v>#DIV/0!</v>
      </c>
      <c r="H610" s="105" t="str">
        <f t="shared" si="2"/>
        <v>#DIV/0!</v>
      </c>
      <c r="I610" s="106" t="str">
        <f t="shared" si="3"/>
        <v>#DIV/0!</v>
      </c>
      <c r="J610" s="120">
        <v>7.78</v>
      </c>
      <c r="K610" s="103">
        <v>4585.0</v>
      </c>
      <c r="L610" s="103">
        <v>0.0</v>
      </c>
      <c r="M610" s="121">
        <v>0.0</v>
      </c>
      <c r="N610" s="109" t="str">
        <f t="shared" si="234"/>
        <v>#DIV/0!</v>
      </c>
      <c r="O610" s="110">
        <f t="shared" si="5"/>
        <v>0</v>
      </c>
      <c r="P610" s="109" t="str">
        <f t="shared" si="6"/>
        <v>#DIV/0!</v>
      </c>
      <c r="Q610" s="111" t="str">
        <f t="shared" si="7"/>
        <v>#DIV/0!</v>
      </c>
      <c r="R610" s="122">
        <f t="shared" si="233"/>
        <v>0</v>
      </c>
      <c r="S610" s="113" t="str">
        <f t="shared" si="9"/>
        <v>#DIV/0!</v>
      </c>
      <c r="T610" s="172"/>
      <c r="U610" s="172"/>
      <c r="V610" s="172"/>
      <c r="W610" s="172"/>
      <c r="X610" s="173"/>
      <c r="Y610" s="165"/>
      <c r="Z610" s="165"/>
    </row>
    <row r="611" hidden="1" outlineLevel="1">
      <c r="A611" s="165"/>
      <c r="B611" s="174"/>
      <c r="C611" s="100" t="s">
        <v>43</v>
      </c>
      <c r="D611" s="135">
        <v>1147.67</v>
      </c>
      <c r="E611" s="103">
        <v>8.0</v>
      </c>
      <c r="F611" s="103">
        <v>8.0</v>
      </c>
      <c r="G611" s="104">
        <f t="shared" si="1"/>
        <v>1</v>
      </c>
      <c r="H611" s="105">
        <f t="shared" si="2"/>
        <v>143.45875</v>
      </c>
      <c r="I611" s="106">
        <f t="shared" si="3"/>
        <v>143.45875</v>
      </c>
      <c r="J611" s="135">
        <v>62.81</v>
      </c>
      <c r="K611" s="103">
        <v>13306.0</v>
      </c>
      <c r="L611" s="103">
        <v>1.0</v>
      </c>
      <c r="M611" s="136">
        <v>168.76</v>
      </c>
      <c r="N611" s="109">
        <f t="shared" si="234"/>
        <v>0.372185352</v>
      </c>
      <c r="O611" s="110">
        <f t="shared" si="5"/>
        <v>2.686833307</v>
      </c>
      <c r="P611" s="109">
        <f t="shared" si="6"/>
        <v>0.05472827555</v>
      </c>
      <c r="Q611" s="111">
        <f t="shared" si="7"/>
        <v>0.1470457536</v>
      </c>
      <c r="R611" s="137">
        <f t="shared" si="233"/>
        <v>978.91</v>
      </c>
      <c r="S611" s="113">
        <f t="shared" si="9"/>
        <v>62.81</v>
      </c>
      <c r="T611" s="172"/>
      <c r="U611" s="172"/>
      <c r="V611" s="172"/>
      <c r="W611" s="172"/>
      <c r="X611" s="173"/>
      <c r="Y611" s="165"/>
      <c r="Z611" s="165"/>
    </row>
    <row r="612" hidden="1" outlineLevel="1">
      <c r="A612" s="165"/>
      <c r="B612" s="174"/>
      <c r="C612" s="100" t="s">
        <v>44</v>
      </c>
      <c r="D612" s="138">
        <v>332.64</v>
      </c>
      <c r="E612" s="103">
        <v>12.0</v>
      </c>
      <c r="F612" s="103">
        <v>12.0</v>
      </c>
      <c r="G612" s="104">
        <f t="shared" si="1"/>
        <v>1</v>
      </c>
      <c r="H612" s="105">
        <f t="shared" si="2"/>
        <v>27.72</v>
      </c>
      <c r="I612" s="106">
        <f t="shared" si="3"/>
        <v>27.72</v>
      </c>
      <c r="J612" s="138">
        <v>120.16</v>
      </c>
      <c r="K612" s="103">
        <v>49339.0</v>
      </c>
      <c r="L612" s="103">
        <v>8.0</v>
      </c>
      <c r="M612" s="139">
        <v>224.76</v>
      </c>
      <c r="N612" s="109">
        <f t="shared" si="234"/>
        <v>0.5346147001</v>
      </c>
      <c r="O612" s="110">
        <f t="shared" si="5"/>
        <v>1.870505992</v>
      </c>
      <c r="P612" s="109">
        <f t="shared" si="6"/>
        <v>0.3612313612</v>
      </c>
      <c r="Q612" s="111">
        <f t="shared" si="7"/>
        <v>0.6756854257</v>
      </c>
      <c r="R612" s="140">
        <f t="shared" si="233"/>
        <v>107.88</v>
      </c>
      <c r="S612" s="113">
        <f t="shared" si="9"/>
        <v>15.02</v>
      </c>
      <c r="T612" s="172"/>
      <c r="U612" s="172"/>
      <c r="V612" s="172"/>
      <c r="W612" s="172"/>
      <c r="X612" s="173"/>
      <c r="Y612" s="165"/>
      <c r="Z612" s="165"/>
    </row>
    <row r="613" hidden="1" outlineLevel="1">
      <c r="A613" s="192"/>
      <c r="B613" s="174"/>
      <c r="C613" s="142" t="s">
        <v>45</v>
      </c>
      <c r="D613" s="101">
        <v>89.85</v>
      </c>
      <c r="E613" s="103">
        <v>3.0</v>
      </c>
      <c r="F613" s="103">
        <v>2.0</v>
      </c>
      <c r="G613" s="104">
        <f t="shared" si="1"/>
        <v>1.5</v>
      </c>
      <c r="H613" s="105">
        <f t="shared" si="2"/>
        <v>29.95</v>
      </c>
      <c r="I613" s="106">
        <f t="shared" si="3"/>
        <v>19.96666667</v>
      </c>
      <c r="J613" s="101">
        <v>0.0</v>
      </c>
      <c r="K613" s="103">
        <v>0.0</v>
      </c>
      <c r="L613" s="103">
        <v>0.0</v>
      </c>
      <c r="M613" s="108">
        <v>0.0</v>
      </c>
      <c r="N613" s="109" t="str">
        <f t="shared" si="234"/>
        <v>#DIV/0!</v>
      </c>
      <c r="O613" s="110" t="str">
        <f t="shared" si="5"/>
        <v>#DIV/0!</v>
      </c>
      <c r="P613" s="109">
        <f t="shared" si="6"/>
        <v>0</v>
      </c>
      <c r="Q613" s="111">
        <f t="shared" si="7"/>
        <v>0</v>
      </c>
      <c r="R613" s="112">
        <f t="shared" si="233"/>
        <v>89.85</v>
      </c>
      <c r="S613" s="113" t="str">
        <f t="shared" si="9"/>
        <v>#DIV/0!</v>
      </c>
      <c r="T613" s="193"/>
      <c r="U613" s="193"/>
      <c r="V613" s="193"/>
      <c r="W613" s="194"/>
      <c r="X613" s="195"/>
      <c r="Y613" s="165"/>
      <c r="Z613" s="165"/>
    </row>
    <row r="614" hidden="1" outlineLevel="1">
      <c r="A614" s="165"/>
      <c r="B614" s="174"/>
      <c r="C614" s="100" t="s">
        <v>46</v>
      </c>
      <c r="D614" s="146">
        <v>313.58</v>
      </c>
      <c r="E614" s="103">
        <v>10.0</v>
      </c>
      <c r="F614" s="103">
        <v>11.0</v>
      </c>
      <c r="G614" s="104">
        <f t="shared" si="1"/>
        <v>0.9090909091</v>
      </c>
      <c r="H614" s="105">
        <f t="shared" si="2"/>
        <v>31.358</v>
      </c>
      <c r="I614" s="106">
        <f t="shared" si="3"/>
        <v>34.4938</v>
      </c>
      <c r="J614" s="146">
        <v>13.8</v>
      </c>
      <c r="K614" s="103">
        <v>3675.0</v>
      </c>
      <c r="L614" s="103">
        <v>1.0</v>
      </c>
      <c r="M614" s="147">
        <v>30.07</v>
      </c>
      <c r="N614" s="109">
        <f t="shared" si="234"/>
        <v>0.4589291653</v>
      </c>
      <c r="O614" s="110">
        <f t="shared" si="5"/>
        <v>2.178985507</v>
      </c>
      <c r="P614" s="109">
        <f t="shared" si="6"/>
        <v>0.04400790867</v>
      </c>
      <c r="Q614" s="111">
        <f t="shared" si="7"/>
        <v>0.09589259519</v>
      </c>
      <c r="R614" s="112">
        <f t="shared" si="233"/>
        <v>283.51</v>
      </c>
      <c r="S614" s="113">
        <f t="shared" si="9"/>
        <v>13.8</v>
      </c>
      <c r="T614" s="172"/>
      <c r="U614" s="172"/>
      <c r="V614" s="172"/>
      <c r="W614" s="172"/>
      <c r="X614" s="173"/>
      <c r="Y614" s="165"/>
      <c r="Z614" s="165"/>
    </row>
    <row r="615" hidden="1" outlineLevel="1">
      <c r="A615" s="165"/>
      <c r="B615" s="174"/>
      <c r="C615" s="100" t="s">
        <v>49</v>
      </c>
      <c r="D615" s="146">
        <v>0.0</v>
      </c>
      <c r="E615" s="103">
        <v>0.0</v>
      </c>
      <c r="F615" s="103">
        <v>0.0</v>
      </c>
      <c r="G615" s="104" t="str">
        <f t="shared" si="1"/>
        <v>#DIV/0!</v>
      </c>
      <c r="H615" s="105" t="str">
        <f t="shared" si="2"/>
        <v>#DIV/0!</v>
      </c>
      <c r="I615" s="106" t="str">
        <f t="shared" si="3"/>
        <v>#DIV/0!</v>
      </c>
      <c r="J615" s="146">
        <v>7.38</v>
      </c>
      <c r="K615" s="103">
        <v>7442.0</v>
      </c>
      <c r="L615" s="103">
        <v>0.0</v>
      </c>
      <c r="M615" s="147">
        <v>0.0</v>
      </c>
      <c r="N615" s="109" t="str">
        <f t="shared" si="234"/>
        <v>#DIV/0!</v>
      </c>
      <c r="O615" s="110">
        <f t="shared" si="5"/>
        <v>0</v>
      </c>
      <c r="P615" s="109" t="str">
        <f t="shared" si="6"/>
        <v>#DIV/0!</v>
      </c>
      <c r="Q615" s="111" t="str">
        <f t="shared" si="7"/>
        <v>#DIV/0!</v>
      </c>
      <c r="R615" s="112">
        <f t="shared" si="233"/>
        <v>0</v>
      </c>
      <c r="S615" s="113" t="str">
        <f t="shared" si="9"/>
        <v>#DIV/0!</v>
      </c>
      <c r="T615" s="172"/>
      <c r="U615" s="172"/>
      <c r="V615" s="172"/>
      <c r="W615" s="172"/>
      <c r="X615" s="173"/>
      <c r="Y615" s="165"/>
      <c r="Z615" s="165"/>
    </row>
    <row r="616" hidden="1" outlineLevel="1">
      <c r="A616" s="148" t="str">
        <f t="shared" ref="A616:A617" si="235">iferror(if(B616&gt;0,month(B616)&amp;"-"&amp;year(B616),B616),)</f>
        <v>10-2025</v>
      </c>
      <c r="B616" s="99">
        <v>45941.0</v>
      </c>
      <c r="C616" s="277" t="s">
        <v>67</v>
      </c>
      <c r="D616" s="146">
        <v>0.0</v>
      </c>
      <c r="E616" s="103">
        <v>0.0</v>
      </c>
      <c r="F616" s="103">
        <v>0.0</v>
      </c>
      <c r="G616" s="104" t="str">
        <f t="shared" si="1"/>
        <v>#DIV/0!</v>
      </c>
      <c r="H616" s="105" t="str">
        <f t="shared" si="2"/>
        <v>#DIV/0!</v>
      </c>
      <c r="I616" s="106" t="str">
        <f t="shared" si="3"/>
        <v>#DIV/0!</v>
      </c>
      <c r="J616" s="117">
        <v>843.94</v>
      </c>
      <c r="K616" s="278">
        <v>139622.0</v>
      </c>
      <c r="L616" s="103">
        <v>0.0</v>
      </c>
      <c r="M616" s="118">
        <v>4754.28</v>
      </c>
      <c r="N616" s="109">
        <f t="shared" si="234"/>
        <v>0.1775116316</v>
      </c>
      <c r="O616" s="110">
        <f t="shared" si="5"/>
        <v>5.633433656</v>
      </c>
      <c r="P616" s="109" t="str">
        <f t="shared" si="6"/>
        <v>#DIV/0!</v>
      </c>
      <c r="Q616" s="111" t="str">
        <f t="shared" si="7"/>
        <v>#DIV/0!</v>
      </c>
      <c r="R616" s="112">
        <f t="shared" si="233"/>
        <v>-4754.28</v>
      </c>
      <c r="S616" s="113" t="str">
        <f t="shared" si="9"/>
        <v>#DIV/0!</v>
      </c>
      <c r="T616" s="172"/>
      <c r="U616" s="172"/>
      <c r="V616" s="172"/>
      <c r="W616" s="172"/>
      <c r="X616" s="173"/>
      <c r="Y616" s="165"/>
      <c r="Z616" s="165"/>
    </row>
    <row r="617" collapsed="1">
      <c r="A617" s="165" t="str">
        <f t="shared" si="235"/>
        <v/>
      </c>
      <c r="B617" s="80" t="s">
        <v>128</v>
      </c>
      <c r="C617" s="201"/>
      <c r="D617" s="151">
        <f t="shared" ref="D617:F617" si="236">SUM(D601:D616)</f>
        <v>52434.91</v>
      </c>
      <c r="E617" s="153">
        <f t="shared" si="236"/>
        <v>302</v>
      </c>
      <c r="F617" s="153">
        <f t="shared" si="236"/>
        <v>294</v>
      </c>
      <c r="G617" s="154">
        <f t="shared" si="1"/>
        <v>1.027210884</v>
      </c>
      <c r="H617" s="155">
        <f t="shared" si="2"/>
        <v>173.6255298</v>
      </c>
      <c r="I617" s="156">
        <f t="shared" si="3"/>
        <v>169.026178</v>
      </c>
      <c r="J617" s="151">
        <f t="shared" ref="J617:M617" si="237">SUM(J601:J616)</f>
        <v>4115.52</v>
      </c>
      <c r="K617" s="153">
        <f t="shared" si="237"/>
        <v>700907</v>
      </c>
      <c r="L617" s="153">
        <f t="shared" si="237"/>
        <v>109</v>
      </c>
      <c r="M617" s="157">
        <f t="shared" si="237"/>
        <v>18300.66</v>
      </c>
      <c r="N617" s="158">
        <f t="shared" si="234"/>
        <v>0.2248836927</v>
      </c>
      <c r="O617" s="159">
        <f t="shared" si="5"/>
        <v>4.44674306</v>
      </c>
      <c r="P617" s="158">
        <f t="shared" si="6"/>
        <v>0.07848816752</v>
      </c>
      <c r="Q617" s="160">
        <f t="shared" si="7"/>
        <v>0.3490167142</v>
      </c>
      <c r="R617" s="161">
        <f>SUM(R601:R616)</f>
        <v>34134.25</v>
      </c>
      <c r="S617" s="162">
        <f t="shared" si="9"/>
        <v>37.75706422</v>
      </c>
      <c r="T617" s="163">
        <f t="shared" ref="T617:U617" si="238">IFERROR((D617-D69)/D617,)</f>
        <v>0.8554146465</v>
      </c>
      <c r="U617" s="163">
        <f t="shared" si="238"/>
        <v>0.6887417219</v>
      </c>
      <c r="V617" s="398" t="str">
        <f t="shared" ref="V617:W617" si="239">IFERROR((D617-monthly_reporting_2021!D408)/D617, )</f>
        <v/>
      </c>
      <c r="W617" s="398" t="str">
        <f t="shared" si="239"/>
        <v/>
      </c>
      <c r="X617" s="165"/>
      <c r="Y617" s="165"/>
      <c r="Z617" s="165"/>
    </row>
    <row r="618" hidden="1" outlineLevel="1">
      <c r="A618" s="165"/>
      <c r="B618" s="99">
        <v>45942.0</v>
      </c>
      <c r="C618" s="100" t="s">
        <v>32</v>
      </c>
      <c r="D618" s="101">
        <v>5646.49</v>
      </c>
      <c r="E618" s="103">
        <v>36.0</v>
      </c>
      <c r="F618" s="103">
        <v>35.0</v>
      </c>
      <c r="G618" s="104">
        <f t="shared" si="1"/>
        <v>1.028571429</v>
      </c>
      <c r="H618" s="105">
        <f t="shared" si="2"/>
        <v>156.8469444</v>
      </c>
      <c r="I618" s="106">
        <f t="shared" si="3"/>
        <v>152.4900849</v>
      </c>
      <c r="J618" s="107">
        <v>477.18</v>
      </c>
      <c r="K618" s="103">
        <v>112905.0</v>
      </c>
      <c r="L618" s="103">
        <v>15.0</v>
      </c>
      <c r="M618" s="108">
        <v>1591.8</v>
      </c>
      <c r="N618" s="109">
        <f t="shared" si="234"/>
        <v>0.2997738409</v>
      </c>
      <c r="O618" s="110">
        <f t="shared" si="5"/>
        <v>3.335848108</v>
      </c>
      <c r="P618" s="109">
        <f t="shared" si="6"/>
        <v>0.08450913753</v>
      </c>
      <c r="Q618" s="111">
        <f t="shared" si="7"/>
        <v>0.2819096465</v>
      </c>
      <c r="R618" s="112">
        <f t="shared" ref="R618:R633" si="240">D618-M618</f>
        <v>4054.69</v>
      </c>
      <c r="S618" s="113">
        <f t="shared" si="9"/>
        <v>31.812</v>
      </c>
      <c r="T618" s="172"/>
      <c r="U618" s="172"/>
      <c r="V618" s="172"/>
      <c r="W618" s="172"/>
      <c r="X618" s="173"/>
      <c r="Y618" s="165"/>
      <c r="Z618" s="165"/>
    </row>
    <row r="619" hidden="1" outlineLevel="1">
      <c r="A619" s="165"/>
      <c r="B619" s="174"/>
      <c r="C619" s="100" t="s">
        <v>33</v>
      </c>
      <c r="D619" s="117">
        <v>8886.6</v>
      </c>
      <c r="E619" s="103">
        <v>81.0</v>
      </c>
      <c r="F619" s="103">
        <v>90.0</v>
      </c>
      <c r="G619" s="104">
        <f t="shared" si="1"/>
        <v>0.9</v>
      </c>
      <c r="H619" s="105">
        <f t="shared" si="2"/>
        <v>109.7111111</v>
      </c>
      <c r="I619" s="106">
        <f t="shared" si="3"/>
        <v>121.9012346</v>
      </c>
      <c r="J619" s="117">
        <v>400.49</v>
      </c>
      <c r="K619" s="103">
        <v>108260.0</v>
      </c>
      <c r="L619" s="103">
        <v>13.0</v>
      </c>
      <c r="M619" s="118">
        <v>2455.18</v>
      </c>
      <c r="N619" s="109">
        <f t="shared" si="234"/>
        <v>0.1631204229</v>
      </c>
      <c r="O619" s="110">
        <f t="shared" si="5"/>
        <v>6.130440211</v>
      </c>
      <c r="P619" s="109">
        <f t="shared" si="6"/>
        <v>0.04506672968</v>
      </c>
      <c r="Q619" s="111">
        <f t="shared" si="7"/>
        <v>0.2762788918</v>
      </c>
      <c r="R619" s="119">
        <f t="shared" si="240"/>
        <v>6431.42</v>
      </c>
      <c r="S619" s="113">
        <f t="shared" si="9"/>
        <v>30.80692308</v>
      </c>
      <c r="T619" s="172"/>
      <c r="U619" s="172"/>
      <c r="V619" s="172"/>
      <c r="W619" s="172"/>
      <c r="X619" s="173"/>
      <c r="Y619" s="165"/>
      <c r="Z619" s="165"/>
    </row>
    <row r="620" hidden="1" outlineLevel="1">
      <c r="A620" s="165"/>
      <c r="B620" s="174"/>
      <c r="C620" s="100" t="s">
        <v>34</v>
      </c>
      <c r="D620" s="120">
        <v>279.8</v>
      </c>
      <c r="E620" s="103">
        <v>4.0</v>
      </c>
      <c r="F620" s="103">
        <v>3.0</v>
      </c>
      <c r="G620" s="104">
        <f t="shared" si="1"/>
        <v>1.333333333</v>
      </c>
      <c r="H620" s="105">
        <f t="shared" si="2"/>
        <v>69.95</v>
      </c>
      <c r="I620" s="106">
        <f t="shared" si="3"/>
        <v>52.4625</v>
      </c>
      <c r="J620" s="120">
        <v>16.8</v>
      </c>
      <c r="K620" s="103">
        <v>303.0</v>
      </c>
      <c r="L620" s="103">
        <v>0.0</v>
      </c>
      <c r="M620" s="121">
        <v>0.0</v>
      </c>
      <c r="N620" s="109" t="str">
        <f>(J620/M620)</f>
        <v>#DIV/0!</v>
      </c>
      <c r="O620" s="110">
        <f t="shared" si="5"/>
        <v>0</v>
      </c>
      <c r="P620" s="109">
        <f t="shared" si="6"/>
        <v>0.06004288778</v>
      </c>
      <c r="Q620" s="111">
        <f t="shared" si="7"/>
        <v>0</v>
      </c>
      <c r="R620" s="122">
        <f t="shared" si="240"/>
        <v>279.8</v>
      </c>
      <c r="S620" s="113" t="str">
        <f t="shared" si="9"/>
        <v>#DIV/0!</v>
      </c>
      <c r="T620" s="172"/>
      <c r="U620" s="172"/>
      <c r="V620" s="172"/>
      <c r="W620" s="172"/>
      <c r="X620" s="173"/>
      <c r="Y620" s="165"/>
      <c r="Z620" s="165"/>
    </row>
    <row r="621" hidden="1" outlineLevel="1">
      <c r="A621" s="165"/>
      <c r="B621" s="174"/>
      <c r="C621" s="100" t="s">
        <v>35</v>
      </c>
      <c r="D621" s="120">
        <v>794.22</v>
      </c>
      <c r="E621" s="103">
        <v>17.0</v>
      </c>
      <c r="F621" s="103">
        <v>15.0</v>
      </c>
      <c r="G621" s="104">
        <f t="shared" si="1"/>
        <v>1.133333333</v>
      </c>
      <c r="H621" s="105">
        <f t="shared" si="2"/>
        <v>46.71882353</v>
      </c>
      <c r="I621" s="106">
        <f t="shared" si="3"/>
        <v>41.22249135</v>
      </c>
      <c r="J621" s="120">
        <v>241.09</v>
      </c>
      <c r="K621" s="103">
        <v>21587.0</v>
      </c>
      <c r="L621" s="103">
        <v>10.0</v>
      </c>
      <c r="M621" s="121">
        <v>515.58</v>
      </c>
      <c r="N621" s="109">
        <f t="shared" ref="N621:N636" si="241">J621/M621</f>
        <v>0.4676092944</v>
      </c>
      <c r="O621" s="110">
        <f t="shared" si="5"/>
        <v>2.138537476</v>
      </c>
      <c r="P621" s="109">
        <f t="shared" si="6"/>
        <v>0.3035556899</v>
      </c>
      <c r="Q621" s="111">
        <f t="shared" si="7"/>
        <v>0.6491652187</v>
      </c>
      <c r="R621" s="122">
        <f t="shared" si="240"/>
        <v>278.64</v>
      </c>
      <c r="S621" s="113">
        <f t="shared" si="9"/>
        <v>24.109</v>
      </c>
      <c r="T621" s="172"/>
      <c r="U621" s="172"/>
      <c r="V621" s="172"/>
      <c r="W621" s="172"/>
      <c r="X621" s="173"/>
      <c r="Y621" s="165"/>
      <c r="Z621" s="165"/>
    </row>
    <row r="622" hidden="1" outlineLevel="1">
      <c r="A622" s="165"/>
      <c r="B622" s="174"/>
      <c r="C622" s="100" t="s">
        <v>36</v>
      </c>
      <c r="D622" s="120">
        <v>254.77</v>
      </c>
      <c r="E622" s="103">
        <v>5.0</v>
      </c>
      <c r="F622" s="103">
        <v>5.0</v>
      </c>
      <c r="G622" s="104">
        <f t="shared" si="1"/>
        <v>1</v>
      </c>
      <c r="H622" s="105">
        <f t="shared" si="2"/>
        <v>50.954</v>
      </c>
      <c r="I622" s="106">
        <f t="shared" si="3"/>
        <v>50.954</v>
      </c>
      <c r="J622" s="120">
        <v>56.57</v>
      </c>
      <c r="K622" s="103">
        <v>15496.0</v>
      </c>
      <c r="L622" s="103">
        <v>2.0</v>
      </c>
      <c r="M622" s="121">
        <v>116.88</v>
      </c>
      <c r="N622" s="109">
        <f t="shared" si="241"/>
        <v>0.4840006845</v>
      </c>
      <c r="O622" s="110">
        <f t="shared" si="5"/>
        <v>2.066112781</v>
      </c>
      <c r="P622" s="109">
        <f t="shared" si="6"/>
        <v>0.2220434117</v>
      </c>
      <c r="Q622" s="111">
        <f t="shared" si="7"/>
        <v>0.4587667308</v>
      </c>
      <c r="R622" s="122">
        <f t="shared" si="240"/>
        <v>137.89</v>
      </c>
      <c r="S622" s="113">
        <f t="shared" si="9"/>
        <v>28.285</v>
      </c>
      <c r="T622" s="172"/>
      <c r="U622" s="172"/>
      <c r="V622" s="172"/>
      <c r="W622" s="172"/>
      <c r="X622" s="173"/>
      <c r="Y622" s="165"/>
      <c r="Z622" s="165"/>
    </row>
    <row r="623" hidden="1" outlineLevel="1">
      <c r="A623" s="165"/>
      <c r="B623" s="99" t="s">
        <v>37</v>
      </c>
      <c r="C623" s="100" t="s">
        <v>38</v>
      </c>
      <c r="D623" s="123">
        <v>-45.1</v>
      </c>
      <c r="E623" s="103">
        <v>2.0</v>
      </c>
      <c r="F623" s="103">
        <v>3.0</v>
      </c>
      <c r="G623" s="104">
        <f t="shared" si="1"/>
        <v>0.6666666667</v>
      </c>
      <c r="H623" s="105">
        <f t="shared" si="2"/>
        <v>-22.55</v>
      </c>
      <c r="I623" s="106">
        <f t="shared" si="3"/>
        <v>-33.825</v>
      </c>
      <c r="J623" s="123">
        <v>33.9</v>
      </c>
      <c r="K623" s="103">
        <v>11504.0</v>
      </c>
      <c r="L623" s="103">
        <v>0.0</v>
      </c>
      <c r="M623" s="124">
        <v>0.0</v>
      </c>
      <c r="N623" s="109" t="str">
        <f t="shared" si="241"/>
        <v>#DIV/0!</v>
      </c>
      <c r="O623" s="110">
        <f t="shared" si="5"/>
        <v>0</v>
      </c>
      <c r="P623" s="109">
        <f t="shared" si="6"/>
        <v>-0.7516629712</v>
      </c>
      <c r="Q623" s="111">
        <f t="shared" si="7"/>
        <v>0</v>
      </c>
      <c r="R623" s="125">
        <f t="shared" si="240"/>
        <v>-45.1</v>
      </c>
      <c r="S623" s="113" t="str">
        <f t="shared" si="9"/>
        <v>#DIV/0!</v>
      </c>
      <c r="T623" s="172"/>
      <c r="U623" s="172"/>
      <c r="V623" s="172"/>
      <c r="W623" s="172"/>
      <c r="X623" s="173"/>
      <c r="Y623" s="165"/>
      <c r="Z623" s="165"/>
    </row>
    <row r="624" hidden="1" outlineLevel="1">
      <c r="A624" s="165"/>
      <c r="B624" s="174"/>
      <c r="C624" s="100" t="s">
        <v>39</v>
      </c>
      <c r="D624" s="126">
        <v>0.0</v>
      </c>
      <c r="E624" s="103">
        <v>0.0</v>
      </c>
      <c r="F624" s="103">
        <v>0.0</v>
      </c>
      <c r="G624" s="104" t="str">
        <f t="shared" si="1"/>
        <v>#DIV/0!</v>
      </c>
      <c r="H624" s="105" t="str">
        <f t="shared" si="2"/>
        <v>#DIV/0!</v>
      </c>
      <c r="I624" s="106" t="str">
        <f t="shared" si="3"/>
        <v>#DIV/0!</v>
      </c>
      <c r="J624" s="126">
        <v>0.0</v>
      </c>
      <c r="K624" s="103">
        <v>0.0</v>
      </c>
      <c r="L624" s="103">
        <v>0.0</v>
      </c>
      <c r="M624" s="127">
        <v>0.0</v>
      </c>
      <c r="N624" s="109" t="str">
        <f t="shared" si="241"/>
        <v>#DIV/0!</v>
      </c>
      <c r="O624" s="110" t="str">
        <f t="shared" si="5"/>
        <v>#DIV/0!</v>
      </c>
      <c r="P624" s="109" t="str">
        <f t="shared" si="6"/>
        <v>#DIV/0!</v>
      </c>
      <c r="Q624" s="111" t="str">
        <f t="shared" si="7"/>
        <v>#DIV/0!</v>
      </c>
      <c r="R624" s="128">
        <f t="shared" si="240"/>
        <v>0</v>
      </c>
      <c r="S624" s="113" t="str">
        <f t="shared" si="9"/>
        <v>#DIV/0!</v>
      </c>
      <c r="T624" s="172"/>
      <c r="U624" s="172"/>
      <c r="V624" s="172"/>
      <c r="W624" s="172"/>
      <c r="X624" s="173"/>
      <c r="Y624" s="165"/>
      <c r="Z624" s="165"/>
    </row>
    <row r="625" hidden="1" outlineLevel="1">
      <c r="A625" s="165"/>
      <c r="B625" s="174"/>
      <c r="C625" s="100" t="s">
        <v>40</v>
      </c>
      <c r="D625" s="129">
        <v>0.0</v>
      </c>
      <c r="E625" s="103">
        <v>0.0</v>
      </c>
      <c r="F625" s="103">
        <v>0.0</v>
      </c>
      <c r="G625" s="104" t="str">
        <f t="shared" si="1"/>
        <v>#DIV/0!</v>
      </c>
      <c r="H625" s="105" t="str">
        <f t="shared" si="2"/>
        <v>#DIV/0!</v>
      </c>
      <c r="I625" s="106" t="str">
        <f t="shared" si="3"/>
        <v>#DIV/0!</v>
      </c>
      <c r="J625" s="129">
        <v>0.0</v>
      </c>
      <c r="K625" s="103">
        <v>0.0</v>
      </c>
      <c r="L625" s="103">
        <v>0.0</v>
      </c>
      <c r="M625" s="130">
        <v>0.0</v>
      </c>
      <c r="N625" s="109" t="str">
        <f t="shared" si="241"/>
        <v>#DIV/0!</v>
      </c>
      <c r="O625" s="110" t="str">
        <f t="shared" si="5"/>
        <v>#DIV/0!</v>
      </c>
      <c r="P625" s="109" t="str">
        <f t="shared" si="6"/>
        <v>#DIV/0!</v>
      </c>
      <c r="Q625" s="111" t="str">
        <f t="shared" si="7"/>
        <v>#DIV/0!</v>
      </c>
      <c r="R625" s="131">
        <f t="shared" si="240"/>
        <v>0</v>
      </c>
      <c r="S625" s="113" t="str">
        <f t="shared" si="9"/>
        <v>#DIV/0!</v>
      </c>
      <c r="T625" s="172"/>
      <c r="U625" s="172"/>
      <c r="V625" s="172"/>
      <c r="W625" s="172"/>
      <c r="X625" s="173"/>
      <c r="Y625" s="165"/>
      <c r="Z625" s="165"/>
    </row>
    <row r="626" hidden="1" outlineLevel="1">
      <c r="A626" s="165"/>
      <c r="B626" s="174"/>
      <c r="C626" s="100" t="s">
        <v>41</v>
      </c>
      <c r="D626" s="132">
        <v>1566.1</v>
      </c>
      <c r="E626" s="103">
        <v>23.0</v>
      </c>
      <c r="F626" s="103">
        <v>24.0</v>
      </c>
      <c r="G626" s="104">
        <f t="shared" si="1"/>
        <v>0.9583333333</v>
      </c>
      <c r="H626" s="105">
        <f t="shared" si="2"/>
        <v>68.09130435</v>
      </c>
      <c r="I626" s="106">
        <f t="shared" si="3"/>
        <v>71.05179584</v>
      </c>
      <c r="J626" s="132">
        <v>156.01</v>
      </c>
      <c r="K626" s="103">
        <v>26389.0</v>
      </c>
      <c r="L626" s="103">
        <v>8.0</v>
      </c>
      <c r="M626" s="133">
        <v>726.7</v>
      </c>
      <c r="N626" s="109">
        <f t="shared" si="241"/>
        <v>0.2146828127</v>
      </c>
      <c r="O626" s="110">
        <f t="shared" si="5"/>
        <v>4.658034741</v>
      </c>
      <c r="P626" s="109">
        <f t="shared" si="6"/>
        <v>0.0996168827</v>
      </c>
      <c r="Q626" s="111">
        <f t="shared" si="7"/>
        <v>0.4640189005</v>
      </c>
      <c r="R626" s="134">
        <f t="shared" si="240"/>
        <v>839.4</v>
      </c>
      <c r="S626" s="113">
        <f t="shared" si="9"/>
        <v>19.50125</v>
      </c>
      <c r="T626" s="172"/>
      <c r="U626" s="172"/>
      <c r="V626" s="172"/>
      <c r="W626" s="172"/>
      <c r="X626" s="173"/>
      <c r="Y626" s="165"/>
      <c r="Z626" s="165"/>
    </row>
    <row r="627" hidden="1" outlineLevel="1">
      <c r="A627" s="165"/>
      <c r="B627" s="174"/>
      <c r="C627" s="100" t="s">
        <v>42</v>
      </c>
      <c r="D627" s="120">
        <v>119.94</v>
      </c>
      <c r="E627" s="103">
        <v>6.0</v>
      </c>
      <c r="F627" s="103">
        <v>7.0</v>
      </c>
      <c r="G627" s="104">
        <f t="shared" si="1"/>
        <v>0.8571428571</v>
      </c>
      <c r="H627" s="105">
        <f t="shared" si="2"/>
        <v>19.99</v>
      </c>
      <c r="I627" s="106">
        <f t="shared" si="3"/>
        <v>23.32166667</v>
      </c>
      <c r="J627" s="120">
        <v>177.01</v>
      </c>
      <c r="K627" s="103">
        <v>68111.0</v>
      </c>
      <c r="L627" s="103">
        <v>3.0</v>
      </c>
      <c r="M627" s="121">
        <v>59.97</v>
      </c>
      <c r="N627" s="109">
        <f t="shared" si="241"/>
        <v>2.951642488</v>
      </c>
      <c r="O627" s="110">
        <f t="shared" si="5"/>
        <v>0.3387944184</v>
      </c>
      <c r="P627" s="109">
        <f t="shared" si="6"/>
        <v>1.475821244</v>
      </c>
      <c r="Q627" s="111">
        <f t="shared" si="7"/>
        <v>0.5</v>
      </c>
      <c r="R627" s="122">
        <f t="shared" si="240"/>
        <v>59.97</v>
      </c>
      <c r="S627" s="113">
        <f t="shared" si="9"/>
        <v>59.00333333</v>
      </c>
      <c r="T627" s="172"/>
      <c r="U627" s="172"/>
      <c r="V627" s="172"/>
      <c r="W627" s="172"/>
      <c r="X627" s="173"/>
      <c r="Y627" s="165"/>
      <c r="Z627" s="165"/>
    </row>
    <row r="628" hidden="1" outlineLevel="1">
      <c r="A628" s="165"/>
      <c r="B628" s="174"/>
      <c r="C628" s="100" t="s">
        <v>43</v>
      </c>
      <c r="D628" s="135">
        <v>0.0</v>
      </c>
      <c r="E628" s="103">
        <v>0.0</v>
      </c>
      <c r="F628" s="103">
        <v>1.0</v>
      </c>
      <c r="G628" s="104">
        <f t="shared" si="1"/>
        <v>0</v>
      </c>
      <c r="H628" s="105" t="str">
        <f t="shared" si="2"/>
        <v>#DIV/0!</v>
      </c>
      <c r="I628" s="106" t="str">
        <f t="shared" si="3"/>
        <v>#DIV/0!</v>
      </c>
      <c r="J628" s="135">
        <v>77.98</v>
      </c>
      <c r="K628" s="103">
        <v>12887.0</v>
      </c>
      <c r="L628" s="103">
        <v>0.0</v>
      </c>
      <c r="M628" s="136">
        <v>0.0</v>
      </c>
      <c r="N628" s="109" t="str">
        <f t="shared" si="241"/>
        <v>#DIV/0!</v>
      </c>
      <c r="O628" s="110">
        <f t="shared" si="5"/>
        <v>0</v>
      </c>
      <c r="P628" s="109" t="str">
        <f t="shared" si="6"/>
        <v>#DIV/0!</v>
      </c>
      <c r="Q628" s="111" t="str">
        <f t="shared" si="7"/>
        <v>#DIV/0!</v>
      </c>
      <c r="R628" s="137">
        <f t="shared" si="240"/>
        <v>0</v>
      </c>
      <c r="S628" s="113" t="str">
        <f t="shared" si="9"/>
        <v>#DIV/0!</v>
      </c>
      <c r="T628" s="172"/>
      <c r="U628" s="172"/>
      <c r="V628" s="172"/>
      <c r="W628" s="172"/>
      <c r="X628" s="173"/>
      <c r="Y628" s="165"/>
      <c r="Z628" s="165"/>
    </row>
    <row r="629" hidden="1" outlineLevel="1">
      <c r="A629" s="165"/>
      <c r="B629" s="174"/>
      <c r="C629" s="100" t="s">
        <v>44</v>
      </c>
      <c r="D629" s="138">
        <v>269.76</v>
      </c>
      <c r="E629" s="103">
        <v>6.0</v>
      </c>
      <c r="F629" s="103">
        <v>7.0</v>
      </c>
      <c r="G629" s="104">
        <f t="shared" si="1"/>
        <v>0.8571428571</v>
      </c>
      <c r="H629" s="105">
        <f t="shared" si="2"/>
        <v>44.96</v>
      </c>
      <c r="I629" s="106">
        <f t="shared" si="3"/>
        <v>52.45333333</v>
      </c>
      <c r="J629" s="138">
        <v>138.73</v>
      </c>
      <c r="K629" s="103">
        <v>50887.0</v>
      </c>
      <c r="L629" s="103">
        <v>4.0</v>
      </c>
      <c r="M629" s="139">
        <v>206.82</v>
      </c>
      <c r="N629" s="109">
        <f t="shared" si="241"/>
        <v>0.6707765206</v>
      </c>
      <c r="O629" s="110">
        <f t="shared" si="5"/>
        <v>1.490809486</v>
      </c>
      <c r="P629" s="109">
        <f t="shared" si="6"/>
        <v>0.5142719454</v>
      </c>
      <c r="Q629" s="111">
        <f t="shared" si="7"/>
        <v>0.7666814947</v>
      </c>
      <c r="R629" s="140">
        <f t="shared" si="240"/>
        <v>62.94</v>
      </c>
      <c r="S629" s="113">
        <f t="shared" si="9"/>
        <v>34.6825</v>
      </c>
      <c r="T629" s="172"/>
      <c r="U629" s="172"/>
      <c r="V629" s="172"/>
      <c r="W629" s="172"/>
      <c r="X629" s="173"/>
      <c r="Y629" s="165"/>
      <c r="Z629" s="165"/>
    </row>
    <row r="630" hidden="1" outlineLevel="1">
      <c r="A630" s="192"/>
      <c r="B630" s="174"/>
      <c r="C630" s="142" t="s">
        <v>45</v>
      </c>
      <c r="D630" s="101">
        <v>54.9</v>
      </c>
      <c r="E630" s="103">
        <v>2.0</v>
      </c>
      <c r="F630" s="103">
        <v>2.0</v>
      </c>
      <c r="G630" s="104">
        <f t="shared" si="1"/>
        <v>1</v>
      </c>
      <c r="H630" s="105">
        <f t="shared" si="2"/>
        <v>27.45</v>
      </c>
      <c r="I630" s="106">
        <f t="shared" si="3"/>
        <v>27.45</v>
      </c>
      <c r="J630" s="101">
        <v>0.0</v>
      </c>
      <c r="K630" s="103">
        <v>0.0</v>
      </c>
      <c r="L630" s="103">
        <v>0.0</v>
      </c>
      <c r="M630" s="108">
        <v>0.0</v>
      </c>
      <c r="N630" s="109" t="str">
        <f t="shared" si="241"/>
        <v>#DIV/0!</v>
      </c>
      <c r="O630" s="110" t="str">
        <f t="shared" si="5"/>
        <v>#DIV/0!</v>
      </c>
      <c r="P630" s="109">
        <f t="shared" si="6"/>
        <v>0</v>
      </c>
      <c r="Q630" s="111">
        <f t="shared" si="7"/>
        <v>0</v>
      </c>
      <c r="R630" s="112">
        <f t="shared" si="240"/>
        <v>54.9</v>
      </c>
      <c r="S630" s="113" t="str">
        <f t="shared" si="9"/>
        <v>#DIV/0!</v>
      </c>
      <c r="T630" s="193"/>
      <c r="U630" s="193"/>
      <c r="V630" s="193"/>
      <c r="W630" s="194"/>
      <c r="X630" s="195"/>
      <c r="Y630" s="165"/>
      <c r="Z630" s="165"/>
    </row>
    <row r="631" hidden="1" outlineLevel="1">
      <c r="A631" s="165"/>
      <c r="B631" s="174"/>
      <c r="C631" s="100" t="s">
        <v>46</v>
      </c>
      <c r="D631" s="146">
        <v>15.19</v>
      </c>
      <c r="E631" s="103">
        <v>1.0</v>
      </c>
      <c r="F631" s="103">
        <v>3.0</v>
      </c>
      <c r="G631" s="104">
        <f t="shared" si="1"/>
        <v>0.3333333333</v>
      </c>
      <c r="H631" s="105">
        <f t="shared" si="2"/>
        <v>15.19</v>
      </c>
      <c r="I631" s="106">
        <f t="shared" si="3"/>
        <v>45.57</v>
      </c>
      <c r="J631" s="146">
        <v>11.66</v>
      </c>
      <c r="K631" s="103">
        <v>3234.0</v>
      </c>
      <c r="L631" s="103">
        <v>0.0</v>
      </c>
      <c r="M631" s="147">
        <v>0.0</v>
      </c>
      <c r="N631" s="109" t="str">
        <f t="shared" si="241"/>
        <v>#DIV/0!</v>
      </c>
      <c r="O631" s="110">
        <f t="shared" si="5"/>
        <v>0</v>
      </c>
      <c r="P631" s="109">
        <f t="shared" si="6"/>
        <v>0.7676102699</v>
      </c>
      <c r="Q631" s="111">
        <f t="shared" si="7"/>
        <v>0</v>
      </c>
      <c r="R631" s="112">
        <f t="shared" si="240"/>
        <v>15.19</v>
      </c>
      <c r="S631" s="113" t="str">
        <f t="shared" si="9"/>
        <v>#DIV/0!</v>
      </c>
      <c r="T631" s="172"/>
      <c r="U631" s="172"/>
      <c r="V631" s="172"/>
      <c r="W631" s="172"/>
      <c r="X631" s="173"/>
      <c r="Y631" s="165"/>
      <c r="Z631" s="165"/>
    </row>
    <row r="632" hidden="1" outlineLevel="1">
      <c r="A632" s="165"/>
      <c r="B632" s="174"/>
      <c r="C632" s="100" t="s">
        <v>49</v>
      </c>
      <c r="D632" s="146">
        <v>288.0</v>
      </c>
      <c r="E632" s="103">
        <v>3.0</v>
      </c>
      <c r="F632" s="103">
        <v>3.0</v>
      </c>
      <c r="G632" s="104">
        <f t="shared" si="1"/>
        <v>1</v>
      </c>
      <c r="H632" s="105">
        <f t="shared" si="2"/>
        <v>96</v>
      </c>
      <c r="I632" s="106">
        <f t="shared" si="3"/>
        <v>96</v>
      </c>
      <c r="J632" s="146">
        <v>6.45</v>
      </c>
      <c r="K632" s="103">
        <v>7110.0</v>
      </c>
      <c r="L632" s="103">
        <v>2.0</v>
      </c>
      <c r="M632" s="147">
        <v>192.0</v>
      </c>
      <c r="N632" s="109">
        <f t="shared" si="241"/>
        <v>0.03359375</v>
      </c>
      <c r="O632" s="110">
        <f t="shared" si="5"/>
        <v>29.76744186</v>
      </c>
      <c r="P632" s="109">
        <f t="shared" si="6"/>
        <v>0.02239583333</v>
      </c>
      <c r="Q632" s="111">
        <f t="shared" si="7"/>
        <v>0.6666666667</v>
      </c>
      <c r="R632" s="112">
        <f t="shared" si="240"/>
        <v>96</v>
      </c>
      <c r="S632" s="113">
        <f t="shared" si="9"/>
        <v>3.225</v>
      </c>
      <c r="T632" s="172"/>
      <c r="U632" s="172"/>
      <c r="V632" s="172"/>
      <c r="W632" s="172"/>
      <c r="X632" s="173"/>
      <c r="Y632" s="165"/>
      <c r="Z632" s="165"/>
    </row>
    <row r="633" hidden="1" outlineLevel="1">
      <c r="A633" s="148" t="str">
        <f t="shared" ref="A633:A634" si="242">iferror(if(B633&gt;0,month(B633)&amp;"-"&amp;year(B633),B633),)</f>
        <v>10-2025</v>
      </c>
      <c r="B633" s="99">
        <v>45948.0</v>
      </c>
      <c r="C633" s="277" t="s">
        <v>67</v>
      </c>
      <c r="D633" s="146">
        <v>0.0</v>
      </c>
      <c r="E633" s="103">
        <v>0.0</v>
      </c>
      <c r="F633" s="103">
        <v>0.0</v>
      </c>
      <c r="G633" s="104" t="str">
        <f t="shared" si="1"/>
        <v>#DIV/0!</v>
      </c>
      <c r="H633" s="105" t="str">
        <f t="shared" si="2"/>
        <v>#DIV/0!</v>
      </c>
      <c r="I633" s="106" t="str">
        <f t="shared" si="3"/>
        <v>#DIV/0!</v>
      </c>
      <c r="J633" s="117">
        <v>795.17</v>
      </c>
      <c r="K633" s="278">
        <v>149429.0</v>
      </c>
      <c r="L633" s="103">
        <v>0.0</v>
      </c>
      <c r="M633" s="118">
        <v>2170.66</v>
      </c>
      <c r="N633" s="109">
        <f t="shared" si="241"/>
        <v>0.3663263708</v>
      </c>
      <c r="O633" s="110">
        <f t="shared" si="5"/>
        <v>2.729806205</v>
      </c>
      <c r="P633" s="109" t="str">
        <f t="shared" si="6"/>
        <v>#DIV/0!</v>
      </c>
      <c r="Q633" s="111" t="str">
        <f t="shared" si="7"/>
        <v>#DIV/0!</v>
      </c>
      <c r="R633" s="112">
        <f t="shared" si="240"/>
        <v>-2170.66</v>
      </c>
      <c r="S633" s="113" t="str">
        <f t="shared" si="9"/>
        <v>#DIV/0!</v>
      </c>
      <c r="T633" s="172"/>
      <c r="U633" s="172"/>
      <c r="V633" s="172"/>
      <c r="W633" s="172"/>
      <c r="X633" s="173"/>
      <c r="Y633" s="165"/>
      <c r="Z633" s="165"/>
    </row>
    <row r="634" collapsed="1">
      <c r="A634" s="165" t="str">
        <f t="shared" si="242"/>
        <v/>
      </c>
      <c r="B634" s="80" t="s">
        <v>129</v>
      </c>
      <c r="C634" s="201"/>
      <c r="D634" s="151">
        <f t="shared" ref="D634:F634" si="243">SUM(D618:D633)</f>
        <v>18130.67</v>
      </c>
      <c r="E634" s="153">
        <f t="shared" si="243"/>
        <v>186</v>
      </c>
      <c r="F634" s="153">
        <f t="shared" si="243"/>
        <v>198</v>
      </c>
      <c r="G634" s="154">
        <f t="shared" si="1"/>
        <v>0.9393939394</v>
      </c>
      <c r="H634" s="155">
        <f t="shared" si="2"/>
        <v>97.47672043</v>
      </c>
      <c r="I634" s="156">
        <f t="shared" si="3"/>
        <v>103.7655411</v>
      </c>
      <c r="J634" s="151">
        <f t="shared" ref="J634:M634" si="244">SUM(J618:J633)</f>
        <v>2589.04</v>
      </c>
      <c r="K634" s="153">
        <f t="shared" si="244"/>
        <v>588102</v>
      </c>
      <c r="L634" s="153">
        <f t="shared" si="244"/>
        <v>57</v>
      </c>
      <c r="M634" s="157">
        <f t="shared" si="244"/>
        <v>8035.59</v>
      </c>
      <c r="N634" s="158">
        <f t="shared" si="241"/>
        <v>0.3221966278</v>
      </c>
      <c r="O634" s="159">
        <f t="shared" si="5"/>
        <v>3.103694806</v>
      </c>
      <c r="P634" s="158">
        <f t="shared" si="6"/>
        <v>0.1427989148</v>
      </c>
      <c r="Q634" s="160">
        <f t="shared" si="7"/>
        <v>0.44320425</v>
      </c>
      <c r="R634" s="161">
        <f>SUM(R618:R633)</f>
        <v>10095.08</v>
      </c>
      <c r="S634" s="162">
        <f t="shared" si="9"/>
        <v>45.42175439</v>
      </c>
      <c r="T634" s="163">
        <f t="shared" ref="T634:U634" si="245">IFERROR((D634-D69)/D634,)</f>
        <v>0.5818510844</v>
      </c>
      <c r="U634" s="163">
        <f t="shared" si="245"/>
        <v>0.4946236559</v>
      </c>
      <c r="V634" s="398" t="str">
        <f t="shared" ref="V634:W634" si="246">IFERROR((D634-monthly_reporting_2021!D425)/D634, )</f>
        <v/>
      </c>
      <c r="W634" s="398" t="str">
        <f t="shared" si="246"/>
        <v/>
      </c>
      <c r="X634" s="165"/>
      <c r="Y634" s="165"/>
      <c r="Z634" s="165"/>
    </row>
    <row r="635" hidden="1" outlineLevel="1">
      <c r="A635" s="165"/>
      <c r="B635" s="99">
        <v>45949.0</v>
      </c>
      <c r="C635" s="100" t="s">
        <v>32</v>
      </c>
      <c r="D635" s="101">
        <v>5917.24</v>
      </c>
      <c r="E635" s="103">
        <v>20.0</v>
      </c>
      <c r="F635" s="103">
        <v>21.0</v>
      </c>
      <c r="G635" s="104">
        <f t="shared" si="1"/>
        <v>0.9523809524</v>
      </c>
      <c r="H635" s="105">
        <f t="shared" si="2"/>
        <v>295.862</v>
      </c>
      <c r="I635" s="106">
        <f t="shared" si="3"/>
        <v>310.6551</v>
      </c>
      <c r="J635" s="107">
        <v>418.13</v>
      </c>
      <c r="K635" s="103">
        <v>105111.0</v>
      </c>
      <c r="L635" s="103">
        <v>5.0</v>
      </c>
      <c r="M635" s="108">
        <v>1936.0</v>
      </c>
      <c r="N635" s="109">
        <f t="shared" si="241"/>
        <v>0.2159762397</v>
      </c>
      <c r="O635" s="110">
        <f t="shared" si="5"/>
        <v>4.630138952</v>
      </c>
      <c r="P635" s="109">
        <f t="shared" si="6"/>
        <v>0.07066301181</v>
      </c>
      <c r="Q635" s="111">
        <f t="shared" si="7"/>
        <v>0.3271795634</v>
      </c>
      <c r="R635" s="112">
        <f t="shared" ref="R635:R650" si="247">D635-M635</f>
        <v>3981.24</v>
      </c>
      <c r="S635" s="113">
        <f t="shared" si="9"/>
        <v>83.626</v>
      </c>
      <c r="T635" s="172"/>
      <c r="U635" s="172"/>
      <c r="V635" s="172"/>
      <c r="W635" s="172"/>
      <c r="X635" s="173"/>
      <c r="Y635" s="165"/>
      <c r="Z635" s="165"/>
    </row>
    <row r="636" hidden="1" outlineLevel="1">
      <c r="A636" s="165"/>
      <c r="B636" s="174"/>
      <c r="C636" s="100" t="s">
        <v>33</v>
      </c>
      <c r="D636" s="117">
        <v>2785.04</v>
      </c>
      <c r="E636" s="103">
        <v>39.0</v>
      </c>
      <c r="F636" s="103">
        <v>45.0</v>
      </c>
      <c r="G636" s="104">
        <f t="shared" si="1"/>
        <v>0.8666666667</v>
      </c>
      <c r="H636" s="105">
        <f t="shared" si="2"/>
        <v>71.41128205</v>
      </c>
      <c r="I636" s="106">
        <f t="shared" si="3"/>
        <v>82.39763314</v>
      </c>
      <c r="J636" s="117">
        <v>300.64</v>
      </c>
      <c r="K636" s="103">
        <v>106265.0</v>
      </c>
      <c r="L636" s="103">
        <v>7.0</v>
      </c>
      <c r="M636" s="118">
        <v>1006.9</v>
      </c>
      <c r="N636" s="109">
        <f t="shared" si="241"/>
        <v>0.2985797994</v>
      </c>
      <c r="O636" s="110">
        <f t="shared" si="5"/>
        <v>3.349188398</v>
      </c>
      <c r="P636" s="109">
        <f t="shared" si="6"/>
        <v>0.1079481803</v>
      </c>
      <c r="Q636" s="111">
        <f t="shared" si="7"/>
        <v>0.361538793</v>
      </c>
      <c r="R636" s="119">
        <f t="shared" si="247"/>
        <v>1778.14</v>
      </c>
      <c r="S636" s="113">
        <f t="shared" si="9"/>
        <v>42.94857143</v>
      </c>
      <c r="T636" s="172"/>
      <c r="U636" s="172"/>
      <c r="V636" s="172"/>
      <c r="W636" s="172"/>
      <c r="X636" s="173"/>
      <c r="Y636" s="165"/>
      <c r="Z636" s="165"/>
    </row>
    <row r="637" hidden="1" outlineLevel="1">
      <c r="A637" s="165"/>
      <c r="B637" s="174"/>
      <c r="C637" s="100" t="s">
        <v>34</v>
      </c>
      <c r="D637" s="120">
        <v>69.95</v>
      </c>
      <c r="E637" s="103">
        <v>1.0</v>
      </c>
      <c r="F637" s="103">
        <v>1.0</v>
      </c>
      <c r="G637" s="104">
        <f t="shared" si="1"/>
        <v>1</v>
      </c>
      <c r="H637" s="105">
        <f t="shared" si="2"/>
        <v>69.95</v>
      </c>
      <c r="I637" s="106">
        <f t="shared" si="3"/>
        <v>69.95</v>
      </c>
      <c r="J637" s="120">
        <v>8.38</v>
      </c>
      <c r="K637" s="103">
        <v>337.0</v>
      </c>
      <c r="L637" s="103">
        <v>0.0</v>
      </c>
      <c r="M637" s="121">
        <v>0.0</v>
      </c>
      <c r="N637" s="109" t="str">
        <f>(J637/M637)</f>
        <v>#DIV/0!</v>
      </c>
      <c r="O637" s="110">
        <f t="shared" si="5"/>
        <v>0</v>
      </c>
      <c r="P637" s="109">
        <f t="shared" si="6"/>
        <v>0.119799857</v>
      </c>
      <c r="Q637" s="111">
        <f t="shared" si="7"/>
        <v>0</v>
      </c>
      <c r="R637" s="122">
        <f t="shared" si="247"/>
        <v>69.95</v>
      </c>
      <c r="S637" s="113" t="str">
        <f t="shared" si="9"/>
        <v>#DIV/0!</v>
      </c>
      <c r="T637" s="172"/>
      <c r="U637" s="172"/>
      <c r="V637" s="172"/>
      <c r="W637" s="172"/>
      <c r="X637" s="173"/>
      <c r="Y637" s="165"/>
      <c r="Z637" s="165"/>
    </row>
    <row r="638" hidden="1" outlineLevel="1">
      <c r="A638" s="165"/>
      <c r="B638" s="174"/>
      <c r="C638" s="100" t="s">
        <v>35</v>
      </c>
      <c r="D638" s="120">
        <v>419.65</v>
      </c>
      <c r="E638" s="103">
        <v>7.0</v>
      </c>
      <c r="F638" s="103">
        <v>8.0</v>
      </c>
      <c r="G638" s="104">
        <f t="shared" si="1"/>
        <v>0.875</v>
      </c>
      <c r="H638" s="105">
        <f t="shared" si="2"/>
        <v>59.95</v>
      </c>
      <c r="I638" s="106">
        <f t="shared" si="3"/>
        <v>68.51428571</v>
      </c>
      <c r="J638" s="120">
        <v>248.54</v>
      </c>
      <c r="K638" s="103">
        <v>23456.0</v>
      </c>
      <c r="L638" s="103">
        <v>8.0</v>
      </c>
      <c r="M638" s="121">
        <v>479.6</v>
      </c>
      <c r="N638" s="109">
        <f t="shared" ref="N638:N653" si="248">J638/M638</f>
        <v>0.5182235196</v>
      </c>
      <c r="O638" s="110">
        <f t="shared" si="5"/>
        <v>1.929669269</v>
      </c>
      <c r="P638" s="109">
        <f t="shared" si="6"/>
        <v>0.592255451</v>
      </c>
      <c r="Q638" s="111">
        <f t="shared" si="7"/>
        <v>1.142857143</v>
      </c>
      <c r="R638" s="122">
        <f t="shared" si="247"/>
        <v>-59.95</v>
      </c>
      <c r="S638" s="113">
        <f t="shared" si="9"/>
        <v>31.0675</v>
      </c>
      <c r="T638" s="172"/>
      <c r="U638" s="172"/>
      <c r="V638" s="172"/>
      <c r="W638" s="172"/>
      <c r="X638" s="173"/>
      <c r="Y638" s="165"/>
      <c r="Z638" s="165"/>
    </row>
    <row r="639" hidden="1" outlineLevel="1">
      <c r="A639" s="165"/>
      <c r="B639" s="174"/>
      <c r="C639" s="100" t="s">
        <v>36</v>
      </c>
      <c r="D639" s="120">
        <v>169.85</v>
      </c>
      <c r="E639" s="103">
        <v>3.0</v>
      </c>
      <c r="F639" s="103">
        <v>4.0</v>
      </c>
      <c r="G639" s="104">
        <f t="shared" si="1"/>
        <v>0.75</v>
      </c>
      <c r="H639" s="105">
        <f t="shared" si="2"/>
        <v>56.61666667</v>
      </c>
      <c r="I639" s="106">
        <f t="shared" si="3"/>
        <v>75.48888889</v>
      </c>
      <c r="J639" s="120">
        <v>51.53</v>
      </c>
      <c r="K639" s="103">
        <v>17181.0</v>
      </c>
      <c r="L639" s="103">
        <v>0.0</v>
      </c>
      <c r="M639" s="121">
        <v>0.0</v>
      </c>
      <c r="N639" s="109" t="str">
        <f t="shared" si="248"/>
        <v>#DIV/0!</v>
      </c>
      <c r="O639" s="110">
        <f t="shared" si="5"/>
        <v>0</v>
      </c>
      <c r="P639" s="109">
        <f t="shared" si="6"/>
        <v>0.30338534</v>
      </c>
      <c r="Q639" s="111">
        <f t="shared" si="7"/>
        <v>0</v>
      </c>
      <c r="R639" s="122">
        <f t="shared" si="247"/>
        <v>169.85</v>
      </c>
      <c r="S639" s="113" t="str">
        <f t="shared" si="9"/>
        <v>#DIV/0!</v>
      </c>
      <c r="T639" s="172"/>
      <c r="U639" s="172"/>
      <c r="V639" s="172"/>
      <c r="W639" s="172"/>
      <c r="X639" s="173"/>
      <c r="Y639" s="165"/>
      <c r="Z639" s="165"/>
    </row>
    <row r="640" hidden="1" outlineLevel="1">
      <c r="A640" s="165"/>
      <c r="B640" s="99" t="s">
        <v>37</v>
      </c>
      <c r="C640" s="100" t="s">
        <v>38</v>
      </c>
      <c r="D640" s="123">
        <v>339.75</v>
      </c>
      <c r="E640" s="103">
        <v>5.0</v>
      </c>
      <c r="F640" s="103">
        <v>6.0</v>
      </c>
      <c r="G640" s="104">
        <f t="shared" si="1"/>
        <v>0.8333333333</v>
      </c>
      <c r="H640" s="105">
        <f t="shared" si="2"/>
        <v>67.95</v>
      </c>
      <c r="I640" s="106">
        <f t="shared" si="3"/>
        <v>81.54</v>
      </c>
      <c r="J640" s="123">
        <v>37.21</v>
      </c>
      <c r="K640" s="103">
        <v>12517.0</v>
      </c>
      <c r="L640" s="103">
        <v>3.0</v>
      </c>
      <c r="M640" s="124">
        <v>229.85</v>
      </c>
      <c r="N640" s="109">
        <f t="shared" si="248"/>
        <v>0.1618881879</v>
      </c>
      <c r="O640" s="110">
        <f t="shared" si="5"/>
        <v>6.177102929</v>
      </c>
      <c r="P640" s="109">
        <f t="shared" si="6"/>
        <v>0.1095217071</v>
      </c>
      <c r="Q640" s="111">
        <f t="shared" si="7"/>
        <v>0.676526858</v>
      </c>
      <c r="R640" s="125">
        <f t="shared" si="247"/>
        <v>109.9</v>
      </c>
      <c r="S640" s="113">
        <f t="shared" si="9"/>
        <v>12.40333333</v>
      </c>
      <c r="T640" s="172"/>
      <c r="U640" s="172"/>
      <c r="V640" s="172"/>
      <c r="W640" s="172"/>
      <c r="X640" s="173"/>
      <c r="Y640" s="165"/>
      <c r="Z640" s="165"/>
    </row>
    <row r="641" hidden="1" outlineLevel="1">
      <c r="A641" s="165"/>
      <c r="B641" s="174"/>
      <c r="C641" s="100" t="s">
        <v>39</v>
      </c>
      <c r="D641" s="126">
        <v>0.0</v>
      </c>
      <c r="E641" s="103">
        <v>0.0</v>
      </c>
      <c r="F641" s="103">
        <v>0.0</v>
      </c>
      <c r="G641" s="104" t="str">
        <f t="shared" si="1"/>
        <v>#DIV/0!</v>
      </c>
      <c r="H641" s="105" t="str">
        <f t="shared" si="2"/>
        <v>#DIV/0!</v>
      </c>
      <c r="I641" s="106" t="str">
        <f t="shared" si="3"/>
        <v>#DIV/0!</v>
      </c>
      <c r="J641" s="126">
        <v>0.0</v>
      </c>
      <c r="K641" s="103">
        <v>0.0</v>
      </c>
      <c r="L641" s="103">
        <v>0.0</v>
      </c>
      <c r="M641" s="127">
        <v>0.0</v>
      </c>
      <c r="N641" s="109" t="str">
        <f t="shared" si="248"/>
        <v>#DIV/0!</v>
      </c>
      <c r="O641" s="110" t="str">
        <f t="shared" si="5"/>
        <v>#DIV/0!</v>
      </c>
      <c r="P641" s="109" t="str">
        <f t="shared" si="6"/>
        <v>#DIV/0!</v>
      </c>
      <c r="Q641" s="111" t="str">
        <f t="shared" si="7"/>
        <v>#DIV/0!</v>
      </c>
      <c r="R641" s="128">
        <f t="shared" si="247"/>
        <v>0</v>
      </c>
      <c r="S641" s="113" t="str">
        <f t="shared" si="9"/>
        <v>#DIV/0!</v>
      </c>
      <c r="T641" s="172"/>
      <c r="U641" s="172"/>
      <c r="V641" s="172"/>
      <c r="W641" s="172"/>
      <c r="X641" s="173"/>
      <c r="Y641" s="165"/>
      <c r="Z641" s="165"/>
    </row>
    <row r="642" hidden="1" outlineLevel="1">
      <c r="A642" s="165"/>
      <c r="B642" s="174"/>
      <c r="C642" s="100" t="s">
        <v>40</v>
      </c>
      <c r="D642" s="129">
        <v>0.0</v>
      </c>
      <c r="E642" s="103">
        <v>0.0</v>
      </c>
      <c r="F642" s="103">
        <v>0.0</v>
      </c>
      <c r="G642" s="104" t="str">
        <f t="shared" si="1"/>
        <v>#DIV/0!</v>
      </c>
      <c r="H642" s="105" t="str">
        <f t="shared" si="2"/>
        <v>#DIV/0!</v>
      </c>
      <c r="I642" s="106" t="str">
        <f t="shared" si="3"/>
        <v>#DIV/0!</v>
      </c>
      <c r="J642" s="129">
        <v>0.0</v>
      </c>
      <c r="K642" s="103">
        <v>0.0</v>
      </c>
      <c r="L642" s="103">
        <v>0.0</v>
      </c>
      <c r="M642" s="130">
        <v>0.0</v>
      </c>
      <c r="N642" s="109" t="str">
        <f t="shared" si="248"/>
        <v>#DIV/0!</v>
      </c>
      <c r="O642" s="110" t="str">
        <f t="shared" si="5"/>
        <v>#DIV/0!</v>
      </c>
      <c r="P642" s="109" t="str">
        <f t="shared" si="6"/>
        <v>#DIV/0!</v>
      </c>
      <c r="Q642" s="111" t="str">
        <f t="shared" si="7"/>
        <v>#DIV/0!</v>
      </c>
      <c r="R642" s="131">
        <f t="shared" si="247"/>
        <v>0</v>
      </c>
      <c r="S642" s="113" t="str">
        <f t="shared" si="9"/>
        <v>#DIV/0!</v>
      </c>
      <c r="T642" s="172"/>
      <c r="U642" s="172"/>
      <c r="V642" s="172"/>
      <c r="W642" s="172"/>
      <c r="X642" s="173"/>
      <c r="Y642" s="165"/>
      <c r="Z642" s="165"/>
    </row>
    <row r="643" hidden="1" outlineLevel="1">
      <c r="A643" s="165"/>
      <c r="B643" s="174"/>
      <c r="C643" s="100" t="s">
        <v>41</v>
      </c>
      <c r="D643" s="132">
        <v>1737.94</v>
      </c>
      <c r="E643" s="103">
        <v>24.0</v>
      </c>
      <c r="F643" s="103">
        <v>24.0</v>
      </c>
      <c r="G643" s="104">
        <f t="shared" si="1"/>
        <v>1</v>
      </c>
      <c r="H643" s="105">
        <f t="shared" si="2"/>
        <v>72.41416667</v>
      </c>
      <c r="I643" s="106">
        <f t="shared" si="3"/>
        <v>72.41416667</v>
      </c>
      <c r="J643" s="132">
        <v>192.57</v>
      </c>
      <c r="K643" s="103">
        <v>29771.0</v>
      </c>
      <c r="L643" s="103">
        <v>9.0</v>
      </c>
      <c r="M643" s="133">
        <v>718.93</v>
      </c>
      <c r="N643" s="109">
        <f t="shared" si="248"/>
        <v>0.2678563977</v>
      </c>
      <c r="O643" s="110">
        <f t="shared" si="5"/>
        <v>3.733343719</v>
      </c>
      <c r="P643" s="109">
        <f t="shared" si="6"/>
        <v>0.1108035951</v>
      </c>
      <c r="Q643" s="111">
        <f t="shared" si="7"/>
        <v>0.4136679057</v>
      </c>
      <c r="R643" s="134">
        <f t="shared" si="247"/>
        <v>1019.01</v>
      </c>
      <c r="S643" s="113">
        <f t="shared" si="9"/>
        <v>21.39666667</v>
      </c>
      <c r="T643" s="172"/>
      <c r="U643" s="172"/>
      <c r="V643" s="172"/>
      <c r="W643" s="172"/>
      <c r="X643" s="173"/>
      <c r="Y643" s="165"/>
      <c r="Z643" s="165"/>
    </row>
    <row r="644" hidden="1" outlineLevel="1">
      <c r="A644" s="165"/>
      <c r="B644" s="174"/>
      <c r="C644" s="100" t="s">
        <v>42</v>
      </c>
      <c r="D644" s="120">
        <v>19.99</v>
      </c>
      <c r="E644" s="103">
        <v>1.0</v>
      </c>
      <c r="F644" s="103">
        <v>2.0</v>
      </c>
      <c r="G644" s="104">
        <f t="shared" si="1"/>
        <v>0.5</v>
      </c>
      <c r="H644" s="105">
        <f t="shared" si="2"/>
        <v>19.99</v>
      </c>
      <c r="I644" s="106">
        <f t="shared" si="3"/>
        <v>39.98</v>
      </c>
      <c r="J644" s="120">
        <v>114.32</v>
      </c>
      <c r="K644" s="103">
        <v>46531.0</v>
      </c>
      <c r="L644" s="103">
        <v>2.0</v>
      </c>
      <c r="M644" s="121">
        <v>39.98</v>
      </c>
      <c r="N644" s="109">
        <f t="shared" si="248"/>
        <v>2.859429715</v>
      </c>
      <c r="O644" s="110">
        <f t="shared" si="5"/>
        <v>0.349720084</v>
      </c>
      <c r="P644" s="109">
        <f t="shared" si="6"/>
        <v>5.71885943</v>
      </c>
      <c r="Q644" s="111">
        <f t="shared" si="7"/>
        <v>2</v>
      </c>
      <c r="R644" s="122">
        <f t="shared" si="247"/>
        <v>-19.99</v>
      </c>
      <c r="S644" s="113">
        <f t="shared" si="9"/>
        <v>57.16</v>
      </c>
      <c r="T644" s="172"/>
      <c r="U644" s="172"/>
      <c r="V644" s="172"/>
      <c r="W644" s="172"/>
      <c r="X644" s="173"/>
      <c r="Y644" s="165"/>
      <c r="Z644" s="165"/>
    </row>
    <row r="645" hidden="1" outlineLevel="1">
      <c r="A645" s="165"/>
      <c r="B645" s="174"/>
      <c r="C645" s="100" t="s">
        <v>43</v>
      </c>
      <c r="D645" s="135">
        <v>-131.96</v>
      </c>
      <c r="E645" s="103">
        <v>-1.0</v>
      </c>
      <c r="F645" s="103">
        <v>1.0</v>
      </c>
      <c r="G645" s="104">
        <f t="shared" si="1"/>
        <v>-1</v>
      </c>
      <c r="H645" s="105">
        <f t="shared" si="2"/>
        <v>131.96</v>
      </c>
      <c r="I645" s="106">
        <f t="shared" si="3"/>
        <v>-131.96</v>
      </c>
      <c r="J645" s="135">
        <v>59.03</v>
      </c>
      <c r="K645" s="103">
        <v>11790.0</v>
      </c>
      <c r="L645" s="103">
        <v>1.0</v>
      </c>
      <c r="M645" s="136">
        <v>210.95</v>
      </c>
      <c r="N645" s="109">
        <f t="shared" si="248"/>
        <v>0.2798293434</v>
      </c>
      <c r="O645" s="110">
        <f t="shared" si="5"/>
        <v>3.573606641</v>
      </c>
      <c r="P645" s="109">
        <f t="shared" si="6"/>
        <v>-0.447332525</v>
      </c>
      <c r="Q645" s="111">
        <f t="shared" si="7"/>
        <v>-1.598590482</v>
      </c>
      <c r="R645" s="137">
        <f t="shared" si="247"/>
        <v>-342.91</v>
      </c>
      <c r="S645" s="113">
        <f t="shared" si="9"/>
        <v>59.03</v>
      </c>
      <c r="T645" s="172"/>
      <c r="U645" s="172"/>
      <c r="V645" s="172"/>
      <c r="W645" s="172"/>
      <c r="X645" s="173"/>
      <c r="Y645" s="165"/>
      <c r="Z645" s="165"/>
    </row>
    <row r="646" hidden="1" outlineLevel="1">
      <c r="A646" s="165"/>
      <c r="B646" s="174"/>
      <c r="C646" s="100" t="s">
        <v>44</v>
      </c>
      <c r="D646" s="138">
        <v>138.89</v>
      </c>
      <c r="E646" s="103">
        <v>1.0</v>
      </c>
      <c r="F646" s="103">
        <v>5.0</v>
      </c>
      <c r="G646" s="104">
        <f t="shared" si="1"/>
        <v>0.2</v>
      </c>
      <c r="H646" s="105">
        <f t="shared" si="2"/>
        <v>138.89</v>
      </c>
      <c r="I646" s="106">
        <f t="shared" si="3"/>
        <v>694.45</v>
      </c>
      <c r="J646" s="138">
        <v>137.3</v>
      </c>
      <c r="K646" s="103">
        <v>54033.0</v>
      </c>
      <c r="L646" s="103">
        <v>3.0</v>
      </c>
      <c r="M646" s="139">
        <v>179.85</v>
      </c>
      <c r="N646" s="109">
        <f t="shared" si="248"/>
        <v>0.7634139561</v>
      </c>
      <c r="O646" s="110">
        <f t="shared" si="5"/>
        <v>1.309905317</v>
      </c>
      <c r="P646" s="109">
        <f t="shared" si="6"/>
        <v>0.9885520916</v>
      </c>
      <c r="Q646" s="111">
        <f t="shared" si="7"/>
        <v>1.294909641</v>
      </c>
      <c r="R646" s="140">
        <f t="shared" si="247"/>
        <v>-40.96</v>
      </c>
      <c r="S646" s="113">
        <f t="shared" si="9"/>
        <v>45.76666667</v>
      </c>
      <c r="T646" s="172"/>
      <c r="U646" s="172"/>
      <c r="V646" s="172"/>
      <c r="W646" s="172"/>
      <c r="X646" s="173"/>
      <c r="Y646" s="165"/>
      <c r="Z646" s="165"/>
    </row>
    <row r="647" hidden="1" outlineLevel="1">
      <c r="A647" s="192"/>
      <c r="B647" s="174"/>
      <c r="C647" s="142" t="s">
        <v>45</v>
      </c>
      <c r="D647" s="101">
        <v>0.0</v>
      </c>
      <c r="E647" s="103">
        <v>0.0</v>
      </c>
      <c r="F647" s="103">
        <v>0.0</v>
      </c>
      <c r="G647" s="104" t="str">
        <f t="shared" si="1"/>
        <v>#DIV/0!</v>
      </c>
      <c r="H647" s="105" t="str">
        <f t="shared" si="2"/>
        <v>#DIV/0!</v>
      </c>
      <c r="I647" s="106" t="str">
        <f t="shared" si="3"/>
        <v>#DIV/0!</v>
      </c>
      <c r="J647" s="101">
        <v>0.0</v>
      </c>
      <c r="K647" s="103">
        <v>0.0</v>
      </c>
      <c r="L647" s="103">
        <v>0.0</v>
      </c>
      <c r="M647" s="108">
        <v>0.0</v>
      </c>
      <c r="N647" s="109" t="str">
        <f t="shared" si="248"/>
        <v>#DIV/0!</v>
      </c>
      <c r="O647" s="110" t="str">
        <f t="shared" si="5"/>
        <v>#DIV/0!</v>
      </c>
      <c r="P647" s="109" t="str">
        <f t="shared" si="6"/>
        <v>#DIV/0!</v>
      </c>
      <c r="Q647" s="111" t="str">
        <f t="shared" si="7"/>
        <v>#DIV/0!</v>
      </c>
      <c r="R647" s="112">
        <f t="shared" si="247"/>
        <v>0</v>
      </c>
      <c r="S647" s="113" t="str">
        <f t="shared" si="9"/>
        <v>#DIV/0!</v>
      </c>
      <c r="T647" s="193"/>
      <c r="U647" s="193"/>
      <c r="V647" s="193"/>
      <c r="W647" s="194"/>
      <c r="X647" s="195"/>
      <c r="Y647" s="165"/>
      <c r="Z647" s="165"/>
    </row>
    <row r="648" hidden="1" outlineLevel="1">
      <c r="A648" s="165"/>
      <c r="B648" s="174"/>
      <c r="C648" s="100" t="s">
        <v>46</v>
      </c>
      <c r="D648" s="146">
        <v>130.85</v>
      </c>
      <c r="E648" s="103">
        <v>3.0</v>
      </c>
      <c r="F648" s="103">
        <v>2.0</v>
      </c>
      <c r="G648" s="104">
        <f t="shared" si="1"/>
        <v>1.5</v>
      </c>
      <c r="H648" s="105">
        <f t="shared" si="2"/>
        <v>43.61666667</v>
      </c>
      <c r="I648" s="106">
        <f t="shared" si="3"/>
        <v>29.07777778</v>
      </c>
      <c r="J648" s="146">
        <v>70.46</v>
      </c>
      <c r="K648" s="103">
        <v>15556.0</v>
      </c>
      <c r="L648" s="103">
        <v>0.0</v>
      </c>
      <c r="M648" s="147">
        <v>0.0</v>
      </c>
      <c r="N648" s="109" t="str">
        <f t="shared" si="248"/>
        <v>#DIV/0!</v>
      </c>
      <c r="O648" s="110">
        <f t="shared" si="5"/>
        <v>0</v>
      </c>
      <c r="P648" s="109">
        <f t="shared" si="6"/>
        <v>0.5384791746</v>
      </c>
      <c r="Q648" s="111">
        <f t="shared" si="7"/>
        <v>0</v>
      </c>
      <c r="R648" s="112">
        <f t="shared" si="247"/>
        <v>130.85</v>
      </c>
      <c r="S648" s="113" t="str">
        <f t="shared" si="9"/>
        <v>#DIV/0!</v>
      </c>
      <c r="T648" s="172"/>
      <c r="U648" s="172"/>
      <c r="V648" s="172"/>
      <c r="W648" s="172"/>
      <c r="X648" s="173"/>
      <c r="Y648" s="165"/>
      <c r="Z648" s="165"/>
    </row>
    <row r="649" hidden="1" outlineLevel="1">
      <c r="A649" s="165"/>
      <c r="B649" s="174"/>
      <c r="C649" s="100" t="s">
        <v>49</v>
      </c>
      <c r="D649" s="146">
        <v>-96.0</v>
      </c>
      <c r="E649" s="103">
        <v>-1.0</v>
      </c>
      <c r="F649" s="103">
        <v>0.0</v>
      </c>
      <c r="G649" s="104" t="str">
        <f t="shared" si="1"/>
        <v>#DIV/0!</v>
      </c>
      <c r="H649" s="105">
        <f t="shared" si="2"/>
        <v>96</v>
      </c>
      <c r="I649" s="106" t="str">
        <f t="shared" si="3"/>
        <v>#DIV/0!</v>
      </c>
      <c r="J649" s="146">
        <v>7.3</v>
      </c>
      <c r="K649" s="103">
        <v>7520.0</v>
      </c>
      <c r="L649" s="103">
        <v>0.0</v>
      </c>
      <c r="M649" s="147">
        <v>0.0</v>
      </c>
      <c r="N649" s="109" t="str">
        <f t="shared" si="248"/>
        <v>#DIV/0!</v>
      </c>
      <c r="O649" s="110">
        <f t="shared" si="5"/>
        <v>0</v>
      </c>
      <c r="P649" s="109">
        <f t="shared" si="6"/>
        <v>-0.07604166667</v>
      </c>
      <c r="Q649" s="111">
        <f t="shared" si="7"/>
        <v>0</v>
      </c>
      <c r="R649" s="112">
        <f t="shared" si="247"/>
        <v>-96</v>
      </c>
      <c r="S649" s="113" t="str">
        <f t="shared" si="9"/>
        <v>#DIV/0!</v>
      </c>
      <c r="T649" s="172"/>
      <c r="U649" s="172"/>
      <c r="V649" s="172"/>
      <c r="W649" s="172"/>
      <c r="X649" s="173"/>
      <c r="Y649" s="165"/>
      <c r="Z649" s="165"/>
    </row>
    <row r="650" hidden="1" outlineLevel="1">
      <c r="A650" s="148" t="str">
        <f t="shared" ref="A650:A651" si="249">iferror(if(B650&gt;0,month(B650)&amp;"-"&amp;year(B650),B650),)</f>
        <v>10-2025</v>
      </c>
      <c r="B650" s="99">
        <v>45955.0</v>
      </c>
      <c r="C650" s="277" t="s">
        <v>67</v>
      </c>
      <c r="D650" s="146">
        <v>0.0</v>
      </c>
      <c r="E650" s="103">
        <v>0.0</v>
      </c>
      <c r="F650" s="103">
        <v>0.0</v>
      </c>
      <c r="G650" s="104" t="str">
        <f t="shared" si="1"/>
        <v>#DIV/0!</v>
      </c>
      <c r="H650" s="105" t="str">
        <f t="shared" si="2"/>
        <v>#DIV/0!</v>
      </c>
      <c r="I650" s="106" t="str">
        <f t="shared" si="3"/>
        <v>#DIV/0!</v>
      </c>
      <c r="J650" s="117">
        <v>1178.2499999999998</v>
      </c>
      <c r="K650" s="278">
        <v>135993.0</v>
      </c>
      <c r="L650" s="103">
        <v>0.0</v>
      </c>
      <c r="M650" s="118">
        <v>1433.14</v>
      </c>
      <c r="N650" s="109">
        <f t="shared" si="248"/>
        <v>0.8221457778</v>
      </c>
      <c r="O650" s="110">
        <f t="shared" si="5"/>
        <v>1.216329302</v>
      </c>
      <c r="P650" s="109" t="str">
        <f t="shared" si="6"/>
        <v>#DIV/0!</v>
      </c>
      <c r="Q650" s="111" t="str">
        <f t="shared" si="7"/>
        <v>#DIV/0!</v>
      </c>
      <c r="R650" s="112">
        <f t="shared" si="247"/>
        <v>-1433.14</v>
      </c>
      <c r="S650" s="113" t="str">
        <f t="shared" si="9"/>
        <v>#DIV/0!</v>
      </c>
      <c r="T650" s="172"/>
      <c r="U650" s="172"/>
      <c r="V650" s="172"/>
      <c r="W650" s="172"/>
      <c r="X650" s="173"/>
      <c r="Y650" s="165"/>
      <c r="Z650" s="165"/>
    </row>
    <row r="651" collapsed="1">
      <c r="A651" s="165" t="str">
        <f t="shared" si="249"/>
        <v/>
      </c>
      <c r="B651" s="80" t="s">
        <v>130</v>
      </c>
      <c r="C651" s="201"/>
      <c r="D651" s="151">
        <f t="shared" ref="D651:F651" si="250">SUM(D635:D650)</f>
        <v>11501.19</v>
      </c>
      <c r="E651" s="153">
        <f t="shared" si="250"/>
        <v>102</v>
      </c>
      <c r="F651" s="153">
        <f t="shared" si="250"/>
        <v>119</v>
      </c>
      <c r="G651" s="154">
        <f t="shared" si="1"/>
        <v>0.8571428571</v>
      </c>
      <c r="H651" s="155">
        <f t="shared" si="2"/>
        <v>112.7567647</v>
      </c>
      <c r="I651" s="156">
        <f t="shared" si="3"/>
        <v>131.5495588</v>
      </c>
      <c r="J651" s="151">
        <f t="shared" ref="J651:M651" si="251">SUM(J635:J650)</f>
        <v>2823.66</v>
      </c>
      <c r="K651" s="153">
        <f t="shared" si="251"/>
        <v>566061</v>
      </c>
      <c r="L651" s="153">
        <f t="shared" si="251"/>
        <v>38</v>
      </c>
      <c r="M651" s="157">
        <f t="shared" si="251"/>
        <v>6235.2</v>
      </c>
      <c r="N651" s="158">
        <f t="shared" si="248"/>
        <v>0.4528579677</v>
      </c>
      <c r="O651" s="159">
        <f t="shared" si="5"/>
        <v>2.208197871</v>
      </c>
      <c r="P651" s="158">
        <f t="shared" si="6"/>
        <v>0.2455102472</v>
      </c>
      <c r="Q651" s="160">
        <f t="shared" si="7"/>
        <v>0.5421352051</v>
      </c>
      <c r="R651" s="161">
        <f>SUM(R635:R650)</f>
        <v>5265.99</v>
      </c>
      <c r="S651" s="162">
        <f t="shared" si="9"/>
        <v>74.30684211</v>
      </c>
      <c r="T651" s="163">
        <f t="shared" ref="T651:U651" si="252">IFERROR((D651-D69)/D651,)</f>
        <v>0.3408229931</v>
      </c>
      <c r="U651" s="163">
        <f t="shared" si="252"/>
        <v>0.07843137255</v>
      </c>
      <c r="V651" s="398" t="str">
        <f t="shared" ref="V651:W651" si="253">IFERROR((D651-monthly_reporting_2021!D442)/D651, )</f>
        <v/>
      </c>
      <c r="W651" s="398" t="str">
        <f t="shared" si="253"/>
        <v/>
      </c>
      <c r="X651" s="165"/>
      <c r="Y651" s="165"/>
      <c r="Z651" s="165"/>
    </row>
    <row r="652" hidden="1" outlineLevel="1">
      <c r="A652" s="165"/>
      <c r="B652" s="99">
        <v>45956.0</v>
      </c>
      <c r="C652" s="100" t="s">
        <v>32</v>
      </c>
      <c r="D652" s="101">
        <v>3108.77</v>
      </c>
      <c r="E652" s="103">
        <v>27.0</v>
      </c>
      <c r="F652" s="103">
        <v>30.0</v>
      </c>
      <c r="G652" s="104">
        <f t="shared" si="1"/>
        <v>0.9</v>
      </c>
      <c r="H652" s="105">
        <f t="shared" si="2"/>
        <v>115.1396296</v>
      </c>
      <c r="I652" s="106">
        <f t="shared" si="3"/>
        <v>127.9329218</v>
      </c>
      <c r="J652" s="107">
        <v>534.11</v>
      </c>
      <c r="K652" s="103">
        <v>103940.0</v>
      </c>
      <c r="L652" s="103">
        <v>6.0</v>
      </c>
      <c r="M652" s="108">
        <v>307.75</v>
      </c>
      <c r="N652" s="109">
        <f t="shared" si="248"/>
        <v>1.735532088</v>
      </c>
      <c r="O652" s="110">
        <f t="shared" si="5"/>
        <v>0.5761921702</v>
      </c>
      <c r="P652" s="109">
        <f t="shared" si="6"/>
        <v>0.1718074994</v>
      </c>
      <c r="Q652" s="111">
        <f t="shared" si="7"/>
        <v>0.09899413594</v>
      </c>
      <c r="R652" s="112">
        <f t="shared" ref="R652:R667" si="254">D652-M652</f>
        <v>2801.02</v>
      </c>
      <c r="S652" s="113">
        <f t="shared" si="9"/>
        <v>89.01833333</v>
      </c>
      <c r="T652" s="172"/>
      <c r="U652" s="172"/>
      <c r="V652" s="172"/>
      <c r="W652" s="172"/>
      <c r="X652" s="173"/>
      <c r="Y652" s="165"/>
      <c r="Z652" s="165"/>
    </row>
    <row r="653" hidden="1" outlineLevel="1">
      <c r="A653" s="165"/>
      <c r="B653" s="174"/>
      <c r="C653" s="100" t="s">
        <v>33</v>
      </c>
      <c r="D653" s="117">
        <v>2365.95</v>
      </c>
      <c r="E653" s="103">
        <v>42.0</v>
      </c>
      <c r="F653" s="103">
        <v>40.0</v>
      </c>
      <c r="G653" s="104">
        <f t="shared" si="1"/>
        <v>1.05</v>
      </c>
      <c r="H653" s="105">
        <f t="shared" si="2"/>
        <v>56.33214286</v>
      </c>
      <c r="I653" s="106">
        <f t="shared" si="3"/>
        <v>53.64965986</v>
      </c>
      <c r="J653" s="117">
        <v>227.98</v>
      </c>
      <c r="K653" s="103">
        <v>79981.0</v>
      </c>
      <c r="L653" s="103">
        <v>6.0</v>
      </c>
      <c r="M653" s="118">
        <v>1004.9</v>
      </c>
      <c r="N653" s="109">
        <f t="shared" si="248"/>
        <v>0.2268683451</v>
      </c>
      <c r="O653" s="110">
        <f t="shared" si="5"/>
        <v>4.407842793</v>
      </c>
      <c r="P653" s="109">
        <f t="shared" si="6"/>
        <v>0.09635875652</v>
      </c>
      <c r="Q653" s="111">
        <f t="shared" si="7"/>
        <v>0.4247342505</v>
      </c>
      <c r="R653" s="119">
        <f t="shared" si="254"/>
        <v>1361.05</v>
      </c>
      <c r="S653" s="113">
        <f t="shared" si="9"/>
        <v>37.99666667</v>
      </c>
      <c r="T653" s="172"/>
      <c r="U653" s="172"/>
      <c r="V653" s="172"/>
      <c r="W653" s="172"/>
      <c r="X653" s="173"/>
      <c r="Y653" s="165"/>
      <c r="Z653" s="165"/>
    </row>
    <row r="654" hidden="1" outlineLevel="1">
      <c r="A654" s="165"/>
      <c r="B654" s="174"/>
      <c r="C654" s="100" t="s">
        <v>34</v>
      </c>
      <c r="D654" s="120">
        <v>699.5</v>
      </c>
      <c r="E654" s="103">
        <v>10.0</v>
      </c>
      <c r="F654" s="103">
        <v>5.0</v>
      </c>
      <c r="G654" s="104">
        <f t="shared" si="1"/>
        <v>2</v>
      </c>
      <c r="H654" s="105">
        <f t="shared" si="2"/>
        <v>69.95</v>
      </c>
      <c r="I654" s="106">
        <f t="shared" si="3"/>
        <v>34.975</v>
      </c>
      <c r="J654" s="120">
        <v>0.0</v>
      </c>
      <c r="K654" s="103">
        <v>342.0</v>
      </c>
      <c r="L654" s="103">
        <v>0.0</v>
      </c>
      <c r="M654" s="121">
        <v>0.0</v>
      </c>
      <c r="N654" s="109" t="str">
        <f>(J654/M654)</f>
        <v>#DIV/0!</v>
      </c>
      <c r="O654" s="110" t="str">
        <f t="shared" si="5"/>
        <v>#DIV/0!</v>
      </c>
      <c r="P654" s="109">
        <f t="shared" si="6"/>
        <v>0</v>
      </c>
      <c r="Q654" s="111">
        <f t="shared" si="7"/>
        <v>0</v>
      </c>
      <c r="R654" s="122">
        <f t="shared" si="254"/>
        <v>699.5</v>
      </c>
      <c r="S654" s="113" t="str">
        <f t="shared" si="9"/>
        <v>#DIV/0!</v>
      </c>
      <c r="T654" s="172"/>
      <c r="U654" s="172"/>
      <c r="V654" s="172"/>
      <c r="W654" s="172"/>
      <c r="X654" s="173"/>
      <c r="Y654" s="165"/>
      <c r="Z654" s="165"/>
    </row>
    <row r="655" hidden="1" outlineLevel="1">
      <c r="A655" s="165"/>
      <c r="B655" s="174"/>
      <c r="C655" s="100" t="s">
        <v>35</v>
      </c>
      <c r="D655" s="120">
        <v>560.53</v>
      </c>
      <c r="E655" s="103">
        <v>9.0</v>
      </c>
      <c r="F655" s="103">
        <v>10.0</v>
      </c>
      <c r="G655" s="104">
        <f t="shared" si="1"/>
        <v>0.9</v>
      </c>
      <c r="H655" s="105">
        <f t="shared" si="2"/>
        <v>62.28111111</v>
      </c>
      <c r="I655" s="106">
        <f t="shared" si="3"/>
        <v>69.20123457</v>
      </c>
      <c r="J655" s="120">
        <v>268.76</v>
      </c>
      <c r="K655" s="103">
        <v>25315.0</v>
      </c>
      <c r="L655" s="103">
        <v>8.0</v>
      </c>
      <c r="M655" s="121">
        <v>479.6</v>
      </c>
      <c r="N655" s="109">
        <f t="shared" ref="N655:N670" si="255">J655/M655</f>
        <v>0.560383653</v>
      </c>
      <c r="O655" s="110">
        <f t="shared" si="5"/>
        <v>1.78449174</v>
      </c>
      <c r="P655" s="109">
        <f t="shared" si="6"/>
        <v>0.4794747828</v>
      </c>
      <c r="Q655" s="111">
        <f t="shared" si="7"/>
        <v>0.8556187894</v>
      </c>
      <c r="R655" s="122">
        <f t="shared" si="254"/>
        <v>80.93</v>
      </c>
      <c r="S655" s="113">
        <f t="shared" si="9"/>
        <v>33.595</v>
      </c>
      <c r="T655" s="172"/>
      <c r="U655" s="172"/>
      <c r="V655" s="172"/>
      <c r="W655" s="172"/>
      <c r="X655" s="173"/>
      <c r="Y655" s="165"/>
      <c r="Z655" s="165"/>
    </row>
    <row r="656" hidden="1" outlineLevel="1">
      <c r="A656" s="165"/>
      <c r="B656" s="174"/>
      <c r="C656" s="100" t="s">
        <v>36</v>
      </c>
      <c r="D656" s="120">
        <v>319.75</v>
      </c>
      <c r="E656" s="103">
        <v>5.0</v>
      </c>
      <c r="F656" s="103">
        <v>5.0</v>
      </c>
      <c r="G656" s="104">
        <f t="shared" si="1"/>
        <v>1</v>
      </c>
      <c r="H656" s="105">
        <f t="shared" si="2"/>
        <v>63.95</v>
      </c>
      <c r="I656" s="106">
        <f t="shared" si="3"/>
        <v>63.95</v>
      </c>
      <c r="J656" s="120">
        <v>64.74</v>
      </c>
      <c r="K656" s="103">
        <v>23556.0</v>
      </c>
      <c r="L656" s="103">
        <v>2.0</v>
      </c>
      <c r="M656" s="121">
        <v>129.9</v>
      </c>
      <c r="N656" s="109">
        <f t="shared" si="255"/>
        <v>0.4983833718</v>
      </c>
      <c r="O656" s="110">
        <f t="shared" si="5"/>
        <v>2.006487488</v>
      </c>
      <c r="P656" s="109">
        <f t="shared" si="6"/>
        <v>0.2024706802</v>
      </c>
      <c r="Q656" s="111">
        <f t="shared" si="7"/>
        <v>0.4062548866</v>
      </c>
      <c r="R656" s="122">
        <f t="shared" si="254"/>
        <v>189.85</v>
      </c>
      <c r="S656" s="113">
        <f t="shared" si="9"/>
        <v>32.37</v>
      </c>
      <c r="T656" s="172"/>
      <c r="U656" s="172"/>
      <c r="V656" s="172"/>
      <c r="W656" s="172"/>
      <c r="X656" s="173"/>
      <c r="Y656" s="165"/>
      <c r="Z656" s="165"/>
    </row>
    <row r="657" hidden="1" outlineLevel="1">
      <c r="A657" s="165"/>
      <c r="B657" s="99" t="s">
        <v>37</v>
      </c>
      <c r="C657" s="100" t="s">
        <v>38</v>
      </c>
      <c r="D657" s="123">
        <v>419.69</v>
      </c>
      <c r="E657" s="103">
        <v>7.0</v>
      </c>
      <c r="F657" s="103">
        <v>7.0</v>
      </c>
      <c r="G657" s="104">
        <f t="shared" si="1"/>
        <v>1</v>
      </c>
      <c r="H657" s="105">
        <f t="shared" si="2"/>
        <v>59.95571429</v>
      </c>
      <c r="I657" s="106">
        <f t="shared" si="3"/>
        <v>59.95571429</v>
      </c>
      <c r="J657" s="123">
        <v>32.93</v>
      </c>
      <c r="K657" s="103">
        <v>16166.0</v>
      </c>
      <c r="L657" s="103">
        <v>0.0</v>
      </c>
      <c r="M657" s="124">
        <v>0.0</v>
      </c>
      <c r="N657" s="109" t="str">
        <f t="shared" si="255"/>
        <v>#DIV/0!</v>
      </c>
      <c r="O657" s="110">
        <f t="shared" si="5"/>
        <v>0</v>
      </c>
      <c r="P657" s="109">
        <f t="shared" si="6"/>
        <v>0.07846267483</v>
      </c>
      <c r="Q657" s="111">
        <f t="shared" si="7"/>
        <v>0</v>
      </c>
      <c r="R657" s="125">
        <f t="shared" si="254"/>
        <v>419.69</v>
      </c>
      <c r="S657" s="113" t="str">
        <f t="shared" si="9"/>
        <v>#DIV/0!</v>
      </c>
      <c r="T657" s="172"/>
      <c r="U657" s="172"/>
      <c r="V657" s="172"/>
      <c r="W657" s="172"/>
      <c r="X657" s="173"/>
      <c r="Y657" s="165"/>
      <c r="Z657" s="165"/>
    </row>
    <row r="658" hidden="1" outlineLevel="1">
      <c r="A658" s="165"/>
      <c r="B658" s="174"/>
      <c r="C658" s="100" t="s">
        <v>39</v>
      </c>
      <c r="D658" s="126">
        <v>0.0</v>
      </c>
      <c r="E658" s="103">
        <v>0.0</v>
      </c>
      <c r="F658" s="103">
        <v>0.0</v>
      </c>
      <c r="G658" s="104" t="str">
        <f t="shared" si="1"/>
        <v>#DIV/0!</v>
      </c>
      <c r="H658" s="105" t="str">
        <f t="shared" si="2"/>
        <v>#DIV/0!</v>
      </c>
      <c r="I658" s="106" t="str">
        <f t="shared" si="3"/>
        <v>#DIV/0!</v>
      </c>
      <c r="J658" s="126">
        <v>0.0</v>
      </c>
      <c r="K658" s="103">
        <v>0.0</v>
      </c>
      <c r="L658" s="103">
        <v>0.0</v>
      </c>
      <c r="M658" s="127">
        <v>0.0</v>
      </c>
      <c r="N658" s="109" t="str">
        <f t="shared" si="255"/>
        <v>#DIV/0!</v>
      </c>
      <c r="O658" s="110" t="str">
        <f t="shared" si="5"/>
        <v>#DIV/0!</v>
      </c>
      <c r="P658" s="109" t="str">
        <f t="shared" si="6"/>
        <v>#DIV/0!</v>
      </c>
      <c r="Q658" s="111" t="str">
        <f t="shared" si="7"/>
        <v>#DIV/0!</v>
      </c>
      <c r="R658" s="128">
        <f t="shared" si="254"/>
        <v>0</v>
      </c>
      <c r="S658" s="113" t="str">
        <f t="shared" si="9"/>
        <v>#DIV/0!</v>
      </c>
      <c r="T658" s="172"/>
      <c r="U658" s="172"/>
      <c r="V658" s="172"/>
      <c r="W658" s="172"/>
      <c r="X658" s="173"/>
      <c r="Y658" s="165"/>
      <c r="Z658" s="165"/>
    </row>
    <row r="659" hidden="1" outlineLevel="1">
      <c r="A659" s="165"/>
      <c r="B659" s="174"/>
      <c r="C659" s="100" t="s">
        <v>40</v>
      </c>
      <c r="D659" s="129">
        <v>0.0</v>
      </c>
      <c r="E659" s="103">
        <v>0.0</v>
      </c>
      <c r="F659" s="103">
        <v>0.0</v>
      </c>
      <c r="G659" s="104" t="str">
        <f t="shared" si="1"/>
        <v>#DIV/0!</v>
      </c>
      <c r="H659" s="105" t="str">
        <f t="shared" si="2"/>
        <v>#DIV/0!</v>
      </c>
      <c r="I659" s="106" t="str">
        <f t="shared" si="3"/>
        <v>#DIV/0!</v>
      </c>
      <c r="J659" s="129">
        <v>0.0</v>
      </c>
      <c r="K659" s="103">
        <v>0.0</v>
      </c>
      <c r="L659" s="103">
        <v>0.0</v>
      </c>
      <c r="M659" s="130">
        <v>0.0</v>
      </c>
      <c r="N659" s="109" t="str">
        <f t="shared" si="255"/>
        <v>#DIV/0!</v>
      </c>
      <c r="O659" s="110" t="str">
        <f t="shared" si="5"/>
        <v>#DIV/0!</v>
      </c>
      <c r="P659" s="109" t="str">
        <f t="shared" si="6"/>
        <v>#DIV/0!</v>
      </c>
      <c r="Q659" s="111" t="str">
        <f t="shared" si="7"/>
        <v>#DIV/0!</v>
      </c>
      <c r="R659" s="131">
        <f t="shared" si="254"/>
        <v>0</v>
      </c>
      <c r="S659" s="113" t="str">
        <f t="shared" si="9"/>
        <v>#DIV/0!</v>
      </c>
      <c r="T659" s="172"/>
      <c r="U659" s="172"/>
      <c r="V659" s="172"/>
      <c r="W659" s="172"/>
      <c r="X659" s="173"/>
      <c r="Y659" s="165"/>
      <c r="Z659" s="165"/>
    </row>
    <row r="660" hidden="1" outlineLevel="1">
      <c r="A660" s="165"/>
      <c r="B660" s="174"/>
      <c r="C660" s="100" t="s">
        <v>41</v>
      </c>
      <c r="D660" s="132">
        <v>1198.82</v>
      </c>
      <c r="E660" s="103">
        <v>19.0</v>
      </c>
      <c r="F660" s="103">
        <v>17.0</v>
      </c>
      <c r="G660" s="104">
        <f t="shared" si="1"/>
        <v>1.117647059</v>
      </c>
      <c r="H660" s="105">
        <f t="shared" si="2"/>
        <v>63.09578947</v>
      </c>
      <c r="I660" s="106">
        <f t="shared" si="3"/>
        <v>56.45412742</v>
      </c>
      <c r="J660" s="132">
        <v>106.18</v>
      </c>
      <c r="K660" s="103">
        <v>29280.0</v>
      </c>
      <c r="L660" s="103">
        <v>5.0</v>
      </c>
      <c r="M660" s="133">
        <v>380.96</v>
      </c>
      <c r="N660" s="109">
        <f t="shared" si="255"/>
        <v>0.2787169257</v>
      </c>
      <c r="O660" s="110">
        <f t="shared" si="5"/>
        <v>3.587869655</v>
      </c>
      <c r="P660" s="109">
        <f t="shared" si="6"/>
        <v>0.08857042759</v>
      </c>
      <c r="Q660" s="111">
        <f t="shared" si="7"/>
        <v>0.3177791495</v>
      </c>
      <c r="R660" s="134">
        <f t="shared" si="254"/>
        <v>817.86</v>
      </c>
      <c r="S660" s="113">
        <f t="shared" si="9"/>
        <v>21.236</v>
      </c>
      <c r="T660" s="172"/>
      <c r="U660" s="172"/>
      <c r="V660" s="172"/>
      <c r="W660" s="172"/>
      <c r="X660" s="173"/>
      <c r="Y660" s="165"/>
      <c r="Z660" s="165"/>
    </row>
    <row r="661" hidden="1" outlineLevel="1">
      <c r="A661" s="165"/>
      <c r="B661" s="174"/>
      <c r="C661" s="100" t="s">
        <v>42</v>
      </c>
      <c r="D661" s="120">
        <v>49.93</v>
      </c>
      <c r="E661" s="103">
        <v>3.0</v>
      </c>
      <c r="F661" s="103">
        <v>3.0</v>
      </c>
      <c r="G661" s="104">
        <f t="shared" si="1"/>
        <v>1</v>
      </c>
      <c r="H661" s="105">
        <f t="shared" si="2"/>
        <v>16.64333333</v>
      </c>
      <c r="I661" s="106">
        <f t="shared" si="3"/>
        <v>16.64333333</v>
      </c>
      <c r="J661" s="120">
        <v>97.59</v>
      </c>
      <c r="K661" s="103">
        <v>48478.0</v>
      </c>
      <c r="L661" s="103">
        <v>3.0</v>
      </c>
      <c r="M661" s="121">
        <v>59.97</v>
      </c>
      <c r="N661" s="109">
        <f t="shared" si="255"/>
        <v>1.627313657</v>
      </c>
      <c r="O661" s="110">
        <f t="shared" si="5"/>
        <v>0.6145096834</v>
      </c>
      <c r="P661" s="109">
        <f t="shared" si="6"/>
        <v>1.954536351</v>
      </c>
      <c r="Q661" s="111">
        <f t="shared" si="7"/>
        <v>1.201081514</v>
      </c>
      <c r="R661" s="122">
        <f t="shared" si="254"/>
        <v>-10.04</v>
      </c>
      <c r="S661" s="113">
        <f t="shared" si="9"/>
        <v>32.53</v>
      </c>
      <c r="T661" s="172"/>
      <c r="U661" s="172"/>
      <c r="V661" s="172"/>
      <c r="W661" s="172"/>
      <c r="X661" s="173"/>
      <c r="Y661" s="165"/>
      <c r="Z661" s="165"/>
    </row>
    <row r="662" hidden="1" outlineLevel="1">
      <c r="A662" s="165"/>
      <c r="B662" s="174"/>
      <c r="C662" s="100" t="s">
        <v>43</v>
      </c>
      <c r="D662" s="135">
        <v>158.9</v>
      </c>
      <c r="E662" s="103">
        <v>2.0</v>
      </c>
      <c r="F662" s="103">
        <v>3.0</v>
      </c>
      <c r="G662" s="104">
        <f t="shared" si="1"/>
        <v>0.6666666667</v>
      </c>
      <c r="H662" s="105">
        <f t="shared" si="2"/>
        <v>79.45</v>
      </c>
      <c r="I662" s="106">
        <f t="shared" si="3"/>
        <v>119.175</v>
      </c>
      <c r="J662" s="135">
        <v>38.13</v>
      </c>
      <c r="K662" s="103">
        <v>12772.0</v>
      </c>
      <c r="L662" s="103">
        <v>0.0</v>
      </c>
      <c r="M662" s="136">
        <v>0.0</v>
      </c>
      <c r="N662" s="109" t="str">
        <f t="shared" si="255"/>
        <v>#DIV/0!</v>
      </c>
      <c r="O662" s="110">
        <f t="shared" si="5"/>
        <v>0</v>
      </c>
      <c r="P662" s="109">
        <f t="shared" si="6"/>
        <v>0.2399622404</v>
      </c>
      <c r="Q662" s="111">
        <f t="shared" si="7"/>
        <v>0</v>
      </c>
      <c r="R662" s="137">
        <f t="shared" si="254"/>
        <v>158.9</v>
      </c>
      <c r="S662" s="113" t="str">
        <f t="shared" si="9"/>
        <v>#DIV/0!</v>
      </c>
      <c r="T662" s="172"/>
      <c r="U662" s="172"/>
      <c r="V662" s="172"/>
      <c r="W662" s="172"/>
      <c r="X662" s="173"/>
      <c r="Y662" s="165"/>
      <c r="Z662" s="165"/>
    </row>
    <row r="663" hidden="1" outlineLevel="1">
      <c r="A663" s="165"/>
      <c r="B663" s="174"/>
      <c r="C663" s="100" t="s">
        <v>44</v>
      </c>
      <c r="D663" s="138">
        <v>152.88</v>
      </c>
      <c r="E663" s="103">
        <v>2.0</v>
      </c>
      <c r="F663" s="103">
        <v>4.0</v>
      </c>
      <c r="G663" s="104">
        <f t="shared" si="1"/>
        <v>0.5</v>
      </c>
      <c r="H663" s="105">
        <f t="shared" si="2"/>
        <v>76.44</v>
      </c>
      <c r="I663" s="106">
        <f t="shared" si="3"/>
        <v>152.88</v>
      </c>
      <c r="J663" s="138">
        <v>136.81</v>
      </c>
      <c r="K663" s="103">
        <v>49376.0</v>
      </c>
      <c r="L663" s="103">
        <v>3.0</v>
      </c>
      <c r="M663" s="139">
        <v>179.85</v>
      </c>
      <c r="N663" s="109">
        <f t="shared" si="255"/>
        <v>0.7606894634</v>
      </c>
      <c r="O663" s="110">
        <f t="shared" si="5"/>
        <v>1.314596886</v>
      </c>
      <c r="P663" s="109">
        <f t="shared" si="6"/>
        <v>0.894884877</v>
      </c>
      <c r="Q663" s="111">
        <f t="shared" si="7"/>
        <v>1.176412873</v>
      </c>
      <c r="R663" s="140">
        <f t="shared" si="254"/>
        <v>-26.97</v>
      </c>
      <c r="S663" s="113">
        <f t="shared" si="9"/>
        <v>45.60333333</v>
      </c>
      <c r="T663" s="172"/>
      <c r="U663" s="172"/>
      <c r="V663" s="172"/>
      <c r="W663" s="172"/>
      <c r="X663" s="173"/>
      <c r="Y663" s="165"/>
      <c r="Z663" s="165"/>
    </row>
    <row r="664" hidden="1" outlineLevel="1">
      <c r="A664" s="192"/>
      <c r="B664" s="174"/>
      <c r="C664" s="142" t="s">
        <v>45</v>
      </c>
      <c r="D664" s="101">
        <v>0.0</v>
      </c>
      <c r="E664" s="103">
        <v>0.0</v>
      </c>
      <c r="F664" s="103">
        <v>0.0</v>
      </c>
      <c r="G664" s="104" t="str">
        <f t="shared" si="1"/>
        <v>#DIV/0!</v>
      </c>
      <c r="H664" s="105" t="str">
        <f t="shared" si="2"/>
        <v>#DIV/0!</v>
      </c>
      <c r="I664" s="106" t="str">
        <f t="shared" si="3"/>
        <v>#DIV/0!</v>
      </c>
      <c r="J664" s="101">
        <v>0.0</v>
      </c>
      <c r="K664" s="103">
        <v>0.0</v>
      </c>
      <c r="L664" s="103">
        <v>0.0</v>
      </c>
      <c r="M664" s="108">
        <v>0.0</v>
      </c>
      <c r="N664" s="109" t="str">
        <f t="shared" si="255"/>
        <v>#DIV/0!</v>
      </c>
      <c r="O664" s="110" t="str">
        <f t="shared" si="5"/>
        <v>#DIV/0!</v>
      </c>
      <c r="P664" s="109" t="str">
        <f t="shared" si="6"/>
        <v>#DIV/0!</v>
      </c>
      <c r="Q664" s="111" t="str">
        <f t="shared" si="7"/>
        <v>#DIV/0!</v>
      </c>
      <c r="R664" s="112">
        <f t="shared" si="254"/>
        <v>0</v>
      </c>
      <c r="S664" s="113" t="str">
        <f t="shared" si="9"/>
        <v>#DIV/0!</v>
      </c>
      <c r="T664" s="193"/>
      <c r="U664" s="193"/>
      <c r="V664" s="193"/>
      <c r="W664" s="194"/>
      <c r="X664" s="195"/>
      <c r="Y664" s="165"/>
      <c r="Z664" s="165"/>
    </row>
    <row r="665" hidden="1" outlineLevel="1">
      <c r="A665" s="165"/>
      <c r="B665" s="174"/>
      <c r="C665" s="100" t="s">
        <v>46</v>
      </c>
      <c r="D665" s="146">
        <v>392.55</v>
      </c>
      <c r="E665" s="103">
        <v>9.0</v>
      </c>
      <c r="F665" s="103">
        <v>12.0</v>
      </c>
      <c r="G665" s="104">
        <f t="shared" si="1"/>
        <v>0.75</v>
      </c>
      <c r="H665" s="105">
        <f t="shared" si="2"/>
        <v>43.61666667</v>
      </c>
      <c r="I665" s="106">
        <f t="shared" si="3"/>
        <v>58.15555556</v>
      </c>
      <c r="J665" s="146">
        <v>182.16</v>
      </c>
      <c r="K665" s="103">
        <v>38980.0</v>
      </c>
      <c r="L665" s="103">
        <v>4.0</v>
      </c>
      <c r="M665" s="147">
        <v>173.8</v>
      </c>
      <c r="N665" s="109">
        <f t="shared" si="255"/>
        <v>1.048101266</v>
      </c>
      <c r="O665" s="110">
        <f t="shared" si="5"/>
        <v>0.9541062802</v>
      </c>
      <c r="P665" s="109">
        <f t="shared" si="6"/>
        <v>0.4640427971</v>
      </c>
      <c r="Q665" s="111">
        <f t="shared" si="7"/>
        <v>0.442746147</v>
      </c>
      <c r="R665" s="112">
        <f t="shared" si="254"/>
        <v>218.75</v>
      </c>
      <c r="S665" s="113">
        <f t="shared" si="9"/>
        <v>45.54</v>
      </c>
      <c r="T665" s="172"/>
      <c r="U665" s="172"/>
      <c r="V665" s="172"/>
      <c r="W665" s="172"/>
      <c r="X665" s="173"/>
      <c r="Y665" s="165"/>
      <c r="Z665" s="165"/>
    </row>
    <row r="666" hidden="1" outlineLevel="1">
      <c r="A666" s="165"/>
      <c r="B666" s="174"/>
      <c r="C666" s="100" t="s">
        <v>49</v>
      </c>
      <c r="D666" s="146">
        <v>-96.0</v>
      </c>
      <c r="E666" s="103">
        <v>-1.0</v>
      </c>
      <c r="F666" s="103">
        <v>0.0</v>
      </c>
      <c r="G666" s="104" t="str">
        <f t="shared" si="1"/>
        <v>#DIV/0!</v>
      </c>
      <c r="H666" s="105">
        <f t="shared" si="2"/>
        <v>96</v>
      </c>
      <c r="I666" s="106" t="str">
        <f t="shared" si="3"/>
        <v>#DIV/0!</v>
      </c>
      <c r="J666" s="146">
        <v>5.88</v>
      </c>
      <c r="K666" s="103">
        <v>8831.0</v>
      </c>
      <c r="L666" s="103">
        <v>0.0</v>
      </c>
      <c r="M666" s="147">
        <v>0.0</v>
      </c>
      <c r="N666" s="109" t="str">
        <f t="shared" si="255"/>
        <v>#DIV/0!</v>
      </c>
      <c r="O666" s="110">
        <f t="shared" si="5"/>
        <v>0</v>
      </c>
      <c r="P666" s="109">
        <f t="shared" si="6"/>
        <v>-0.06125</v>
      </c>
      <c r="Q666" s="111">
        <f t="shared" si="7"/>
        <v>0</v>
      </c>
      <c r="R666" s="112">
        <f t="shared" si="254"/>
        <v>-96</v>
      </c>
      <c r="S666" s="113" t="str">
        <f t="shared" si="9"/>
        <v>#DIV/0!</v>
      </c>
      <c r="T666" s="172"/>
      <c r="U666" s="172"/>
      <c r="V666" s="172"/>
      <c r="W666" s="172"/>
      <c r="X666" s="173"/>
      <c r="Y666" s="165"/>
      <c r="Z666" s="165"/>
    </row>
    <row r="667" hidden="1" outlineLevel="1">
      <c r="A667" s="148" t="str">
        <f t="shared" ref="A667:A668" si="256">iferror(if(B667&gt;0,month(B667)&amp;"-"&amp;year(B667),B667),)</f>
        <v>11-2025</v>
      </c>
      <c r="B667" s="99">
        <v>45962.0</v>
      </c>
      <c r="C667" s="277" t="s">
        <v>67</v>
      </c>
      <c r="D667" s="146">
        <v>0.0</v>
      </c>
      <c r="E667" s="103">
        <v>0.0</v>
      </c>
      <c r="F667" s="103">
        <v>0.0</v>
      </c>
      <c r="G667" s="104" t="str">
        <f t="shared" si="1"/>
        <v>#DIV/0!</v>
      </c>
      <c r="H667" s="105" t="str">
        <f t="shared" si="2"/>
        <v>#DIV/0!</v>
      </c>
      <c r="I667" s="106" t="str">
        <f t="shared" si="3"/>
        <v>#DIV/0!</v>
      </c>
      <c r="J667" s="117">
        <v>1152.57</v>
      </c>
      <c r="K667" s="278">
        <v>78641.0</v>
      </c>
      <c r="L667" s="103">
        <v>0.0</v>
      </c>
      <c r="M667" s="118">
        <v>5217.929999999999</v>
      </c>
      <c r="N667" s="109">
        <f t="shared" si="255"/>
        <v>0.2208864435</v>
      </c>
      <c r="O667" s="110">
        <f t="shared" si="5"/>
        <v>4.527213098</v>
      </c>
      <c r="P667" s="109" t="str">
        <f t="shared" si="6"/>
        <v>#DIV/0!</v>
      </c>
      <c r="Q667" s="111" t="str">
        <f t="shared" si="7"/>
        <v>#DIV/0!</v>
      </c>
      <c r="R667" s="112">
        <f t="shared" si="254"/>
        <v>-5217.93</v>
      </c>
      <c r="S667" s="113" t="str">
        <f t="shared" si="9"/>
        <v>#DIV/0!</v>
      </c>
      <c r="T667" s="172"/>
      <c r="U667" s="172"/>
      <c r="V667" s="172"/>
      <c r="W667" s="172"/>
      <c r="X667" s="173"/>
      <c r="Y667" s="165"/>
      <c r="Z667" s="165"/>
    </row>
    <row r="668" collapsed="1">
      <c r="A668" s="165" t="str">
        <f t="shared" si="256"/>
        <v/>
      </c>
      <c r="B668" s="80" t="s">
        <v>131</v>
      </c>
      <c r="C668" s="201"/>
      <c r="D668" s="151">
        <f t="shared" ref="D668:F668" si="257">SUM(D652:D667)</f>
        <v>9331.27</v>
      </c>
      <c r="E668" s="153">
        <f t="shared" si="257"/>
        <v>134</v>
      </c>
      <c r="F668" s="153">
        <f t="shared" si="257"/>
        <v>136</v>
      </c>
      <c r="G668" s="154">
        <f t="shared" si="1"/>
        <v>0.9852941176</v>
      </c>
      <c r="H668" s="155">
        <f t="shared" si="2"/>
        <v>69.63634328</v>
      </c>
      <c r="I668" s="156">
        <f t="shared" si="3"/>
        <v>70.67569169</v>
      </c>
      <c r="J668" s="151">
        <f t="shared" ref="J668:M668" si="258">SUM(J652:J667)</f>
        <v>2847.84</v>
      </c>
      <c r="K668" s="153">
        <f t="shared" si="258"/>
        <v>515658</v>
      </c>
      <c r="L668" s="153">
        <f t="shared" si="258"/>
        <v>37</v>
      </c>
      <c r="M668" s="157">
        <f t="shared" si="258"/>
        <v>7934.66</v>
      </c>
      <c r="N668" s="158">
        <f t="shared" si="255"/>
        <v>0.3589114089</v>
      </c>
      <c r="O668" s="159">
        <f t="shared" si="5"/>
        <v>2.786202877</v>
      </c>
      <c r="P668" s="158">
        <f t="shared" si="6"/>
        <v>0.3051931838</v>
      </c>
      <c r="Q668" s="160">
        <f t="shared" si="7"/>
        <v>0.8503301266</v>
      </c>
      <c r="R668" s="161">
        <f>SUM(R652:R667)</f>
        <v>1396.61</v>
      </c>
      <c r="S668" s="162">
        <f t="shared" si="9"/>
        <v>76.96864865</v>
      </c>
      <c r="T668" s="163">
        <f t="shared" ref="T668:U668" si="259">IFERROR((D668-D69)/D668,)</f>
        <v>0.1875361017</v>
      </c>
      <c r="U668" s="163">
        <f t="shared" si="259"/>
        <v>0.2985074627</v>
      </c>
      <c r="V668" s="398" t="str">
        <f t="shared" ref="V668:W668" si="260">IFERROR((D668-monthly_reporting_2021!D459)/D668, )</f>
        <v/>
      </c>
      <c r="W668" s="398" t="str">
        <f t="shared" si="260"/>
        <v/>
      </c>
      <c r="X668" s="165"/>
      <c r="Y668" s="165"/>
      <c r="Z668" s="165"/>
    </row>
    <row r="669" hidden="1" outlineLevel="1">
      <c r="A669" s="165"/>
      <c r="B669" s="99">
        <v>45963.0</v>
      </c>
      <c r="C669" s="100" t="s">
        <v>32</v>
      </c>
      <c r="D669" s="101">
        <v>2096.95</v>
      </c>
      <c r="E669" s="103">
        <v>22.0</v>
      </c>
      <c r="F669" s="103">
        <v>24.0</v>
      </c>
      <c r="G669" s="104">
        <f t="shared" si="1"/>
        <v>0.9166666667</v>
      </c>
      <c r="H669" s="105">
        <f t="shared" si="2"/>
        <v>95.31590909</v>
      </c>
      <c r="I669" s="106">
        <f t="shared" si="3"/>
        <v>103.9809917</v>
      </c>
      <c r="J669" s="107">
        <v>738.02</v>
      </c>
      <c r="K669" s="103">
        <v>132624.0</v>
      </c>
      <c r="L669" s="103">
        <v>2.0</v>
      </c>
      <c r="M669" s="108">
        <v>204.9</v>
      </c>
      <c r="N669" s="109">
        <f t="shared" si="255"/>
        <v>3.601854563</v>
      </c>
      <c r="O669" s="110">
        <f t="shared" si="5"/>
        <v>0.2776347524</v>
      </c>
      <c r="P669" s="109">
        <f t="shared" si="6"/>
        <v>0.3519492596</v>
      </c>
      <c r="Q669" s="111">
        <f t="shared" si="7"/>
        <v>0.09771334557</v>
      </c>
      <c r="R669" s="112">
        <f t="shared" ref="R669:R685" si="261">D669-M669</f>
        <v>1892.05</v>
      </c>
      <c r="S669" s="113">
        <f t="shared" si="9"/>
        <v>369.01</v>
      </c>
      <c r="T669" s="172"/>
      <c r="U669" s="172"/>
      <c r="V669" s="172"/>
      <c r="W669" s="172"/>
      <c r="X669" s="173"/>
      <c r="Y669" s="165"/>
      <c r="Z669" s="165"/>
    </row>
    <row r="670" hidden="1" outlineLevel="1">
      <c r="A670" s="165"/>
      <c r="B670" s="174"/>
      <c r="C670" s="100" t="s">
        <v>33</v>
      </c>
      <c r="D670" s="117">
        <v>4358.85</v>
      </c>
      <c r="E670" s="103">
        <v>52.0</v>
      </c>
      <c r="F670" s="103">
        <v>52.0</v>
      </c>
      <c r="G670" s="104">
        <f t="shared" si="1"/>
        <v>1</v>
      </c>
      <c r="H670" s="105">
        <f t="shared" si="2"/>
        <v>83.82403846</v>
      </c>
      <c r="I670" s="106">
        <f t="shared" si="3"/>
        <v>83.82403846</v>
      </c>
      <c r="J670" s="117">
        <v>290.51</v>
      </c>
      <c r="K670" s="103">
        <v>95880.0</v>
      </c>
      <c r="L670" s="103">
        <v>12.0</v>
      </c>
      <c r="M670" s="118">
        <v>904.65</v>
      </c>
      <c r="N670" s="109">
        <f t="shared" si="255"/>
        <v>0.3211297187</v>
      </c>
      <c r="O670" s="110">
        <f t="shared" si="5"/>
        <v>3.114006403</v>
      </c>
      <c r="P670" s="109">
        <f t="shared" si="6"/>
        <v>0.0666483132</v>
      </c>
      <c r="Q670" s="111">
        <f t="shared" si="7"/>
        <v>0.207543274</v>
      </c>
      <c r="R670" s="119">
        <f t="shared" si="261"/>
        <v>3454.2</v>
      </c>
      <c r="S670" s="113">
        <f t="shared" si="9"/>
        <v>24.20916667</v>
      </c>
      <c r="T670" s="172"/>
      <c r="U670" s="172"/>
      <c r="V670" s="172"/>
      <c r="W670" s="172"/>
      <c r="X670" s="173"/>
      <c r="Y670" s="165"/>
      <c r="Z670" s="165"/>
    </row>
    <row r="671" hidden="1" outlineLevel="1">
      <c r="A671" s="165"/>
      <c r="B671" s="174"/>
      <c r="C671" s="100" t="s">
        <v>34</v>
      </c>
      <c r="D671" s="120">
        <v>209.85</v>
      </c>
      <c r="E671" s="103">
        <v>3.0</v>
      </c>
      <c r="F671" s="103">
        <v>1.0</v>
      </c>
      <c r="G671" s="104">
        <f t="shared" si="1"/>
        <v>3</v>
      </c>
      <c r="H671" s="105">
        <f t="shared" si="2"/>
        <v>69.95</v>
      </c>
      <c r="I671" s="106">
        <f t="shared" si="3"/>
        <v>23.31666667</v>
      </c>
      <c r="J671" s="120">
        <v>0.0</v>
      </c>
      <c r="K671" s="103">
        <v>320.0</v>
      </c>
      <c r="L671" s="103">
        <v>0.0</v>
      </c>
      <c r="M671" s="121">
        <v>0.0</v>
      </c>
      <c r="N671" s="109" t="str">
        <f>(J671/M671)</f>
        <v>#DIV/0!</v>
      </c>
      <c r="O671" s="110" t="str">
        <f t="shared" si="5"/>
        <v>#DIV/0!</v>
      </c>
      <c r="P671" s="109">
        <f t="shared" si="6"/>
        <v>0</v>
      </c>
      <c r="Q671" s="111">
        <f t="shared" si="7"/>
        <v>0</v>
      </c>
      <c r="R671" s="122">
        <f t="shared" si="261"/>
        <v>209.85</v>
      </c>
      <c r="S671" s="113" t="str">
        <f t="shared" si="9"/>
        <v>#DIV/0!</v>
      </c>
      <c r="T671" s="172"/>
      <c r="U671" s="172"/>
      <c r="V671" s="172"/>
      <c r="W671" s="172"/>
      <c r="X671" s="173"/>
      <c r="Y671" s="165"/>
      <c r="Z671" s="165"/>
    </row>
    <row r="672" hidden="1" outlineLevel="1">
      <c r="A672" s="165"/>
      <c r="B672" s="174"/>
      <c r="C672" s="100" t="s">
        <v>35</v>
      </c>
      <c r="D672" s="120">
        <v>422.65</v>
      </c>
      <c r="E672" s="103">
        <v>7.0</v>
      </c>
      <c r="F672" s="103">
        <v>7.0</v>
      </c>
      <c r="G672" s="104">
        <f t="shared" si="1"/>
        <v>1</v>
      </c>
      <c r="H672" s="105">
        <f t="shared" si="2"/>
        <v>60.37857143</v>
      </c>
      <c r="I672" s="106">
        <f t="shared" si="3"/>
        <v>60.37857143</v>
      </c>
      <c r="J672" s="120">
        <v>199.67</v>
      </c>
      <c r="K672" s="103">
        <v>26446.0</v>
      </c>
      <c r="L672" s="103">
        <v>3.0</v>
      </c>
      <c r="M672" s="121">
        <v>179.85</v>
      </c>
      <c r="N672" s="109">
        <f t="shared" ref="N672:N688" si="262">J672/M672</f>
        <v>1.110202947</v>
      </c>
      <c r="O672" s="110">
        <f t="shared" si="5"/>
        <v>0.9007362148</v>
      </c>
      <c r="P672" s="109">
        <f t="shared" si="6"/>
        <v>0.4724239915</v>
      </c>
      <c r="Q672" s="111">
        <f t="shared" si="7"/>
        <v>0.4255293978</v>
      </c>
      <c r="R672" s="122">
        <f t="shared" si="261"/>
        <v>242.8</v>
      </c>
      <c r="S672" s="113">
        <f t="shared" si="9"/>
        <v>66.55666667</v>
      </c>
      <c r="T672" s="172"/>
      <c r="U672" s="172"/>
      <c r="V672" s="172"/>
      <c r="W672" s="172"/>
      <c r="X672" s="173"/>
      <c r="Y672" s="165"/>
      <c r="Z672" s="165"/>
    </row>
    <row r="673" hidden="1" outlineLevel="1">
      <c r="A673" s="165"/>
      <c r="B673" s="174"/>
      <c r="C673" s="100" t="s">
        <v>36</v>
      </c>
      <c r="D673" s="120">
        <v>404.66</v>
      </c>
      <c r="E673" s="103">
        <v>6.0</v>
      </c>
      <c r="F673" s="103">
        <v>6.0</v>
      </c>
      <c r="G673" s="104">
        <f t="shared" si="1"/>
        <v>1</v>
      </c>
      <c r="H673" s="105">
        <f t="shared" si="2"/>
        <v>67.44333333</v>
      </c>
      <c r="I673" s="106">
        <f t="shared" si="3"/>
        <v>67.44333333</v>
      </c>
      <c r="J673" s="120">
        <v>79.9</v>
      </c>
      <c r="K673" s="103">
        <v>29248.0</v>
      </c>
      <c r="L673" s="103">
        <v>3.0</v>
      </c>
      <c r="M673" s="121">
        <v>129.9</v>
      </c>
      <c r="N673" s="109">
        <f t="shared" si="262"/>
        <v>0.6150885296</v>
      </c>
      <c r="O673" s="110">
        <f t="shared" si="5"/>
        <v>1.625782228</v>
      </c>
      <c r="P673" s="109">
        <f t="shared" si="6"/>
        <v>0.1974497109</v>
      </c>
      <c r="Q673" s="111">
        <f t="shared" si="7"/>
        <v>0.3210102308</v>
      </c>
      <c r="R673" s="122">
        <f t="shared" si="261"/>
        <v>274.76</v>
      </c>
      <c r="S673" s="113">
        <f t="shared" si="9"/>
        <v>26.63333333</v>
      </c>
      <c r="T673" s="172"/>
      <c r="U673" s="172"/>
      <c r="V673" s="172"/>
      <c r="W673" s="172"/>
      <c r="X673" s="173"/>
      <c r="Y673" s="165"/>
      <c r="Z673" s="165"/>
    </row>
    <row r="674" hidden="1" outlineLevel="1">
      <c r="A674" s="165"/>
      <c r="B674" s="99" t="s">
        <v>37</v>
      </c>
      <c r="C674" s="100" t="s">
        <v>38</v>
      </c>
      <c r="D674" s="123">
        <v>234.8</v>
      </c>
      <c r="E674" s="103">
        <v>4.0</v>
      </c>
      <c r="F674" s="103">
        <v>5.0</v>
      </c>
      <c r="G674" s="104">
        <f t="shared" si="1"/>
        <v>0.8</v>
      </c>
      <c r="H674" s="105">
        <f t="shared" si="2"/>
        <v>58.7</v>
      </c>
      <c r="I674" s="106">
        <f t="shared" si="3"/>
        <v>73.375</v>
      </c>
      <c r="J674" s="123">
        <v>38.45</v>
      </c>
      <c r="K674" s="103">
        <v>10545.0</v>
      </c>
      <c r="L674" s="103">
        <v>2.0</v>
      </c>
      <c r="M674" s="124">
        <v>69.9</v>
      </c>
      <c r="N674" s="109">
        <f t="shared" si="262"/>
        <v>0.5500715308</v>
      </c>
      <c r="O674" s="110">
        <f t="shared" si="5"/>
        <v>1.817945384</v>
      </c>
      <c r="P674" s="109">
        <f t="shared" si="6"/>
        <v>0.1637563884</v>
      </c>
      <c r="Q674" s="111">
        <f t="shared" si="7"/>
        <v>0.2977001704</v>
      </c>
      <c r="R674" s="125">
        <f t="shared" si="261"/>
        <v>164.9</v>
      </c>
      <c r="S674" s="113">
        <f t="shared" si="9"/>
        <v>19.225</v>
      </c>
      <c r="T674" s="172"/>
      <c r="U674" s="172"/>
      <c r="V674" s="172"/>
      <c r="W674" s="172"/>
      <c r="X674" s="173"/>
      <c r="Y674" s="165"/>
      <c r="Z674" s="165"/>
    </row>
    <row r="675" hidden="1" outlineLevel="1">
      <c r="A675" s="165"/>
      <c r="B675" s="174"/>
      <c r="C675" s="100" t="s">
        <v>39</v>
      </c>
      <c r="D675" s="126">
        <v>0.0</v>
      </c>
      <c r="E675" s="103">
        <v>0.0</v>
      </c>
      <c r="F675" s="103">
        <v>0.0</v>
      </c>
      <c r="G675" s="104" t="str">
        <f t="shared" si="1"/>
        <v>#DIV/0!</v>
      </c>
      <c r="H675" s="105" t="str">
        <f t="shared" si="2"/>
        <v>#DIV/0!</v>
      </c>
      <c r="I675" s="106" t="str">
        <f t="shared" si="3"/>
        <v>#DIV/0!</v>
      </c>
      <c r="J675" s="126">
        <v>0.0</v>
      </c>
      <c r="K675" s="103">
        <v>0.0</v>
      </c>
      <c r="L675" s="103">
        <v>0.0</v>
      </c>
      <c r="M675" s="127">
        <v>0.0</v>
      </c>
      <c r="N675" s="109" t="str">
        <f t="shared" si="262"/>
        <v>#DIV/0!</v>
      </c>
      <c r="O675" s="110" t="str">
        <f t="shared" si="5"/>
        <v>#DIV/0!</v>
      </c>
      <c r="P675" s="109" t="str">
        <f t="shared" si="6"/>
        <v>#DIV/0!</v>
      </c>
      <c r="Q675" s="111" t="str">
        <f t="shared" si="7"/>
        <v>#DIV/0!</v>
      </c>
      <c r="R675" s="128">
        <f t="shared" si="261"/>
        <v>0</v>
      </c>
      <c r="S675" s="113" t="str">
        <f t="shared" si="9"/>
        <v>#DIV/0!</v>
      </c>
      <c r="T675" s="172"/>
      <c r="U675" s="172"/>
      <c r="V675" s="172"/>
      <c r="W675" s="172"/>
      <c r="X675" s="173"/>
      <c r="Y675" s="165"/>
      <c r="Z675" s="165"/>
    </row>
    <row r="676" hidden="1" outlineLevel="1">
      <c r="A676" s="165"/>
      <c r="B676" s="174"/>
      <c r="C676" s="100" t="s">
        <v>40</v>
      </c>
      <c r="D676" s="129">
        <v>0.0</v>
      </c>
      <c r="E676" s="103">
        <v>0.0</v>
      </c>
      <c r="F676" s="103">
        <v>0.0</v>
      </c>
      <c r="G676" s="104" t="str">
        <f t="shared" si="1"/>
        <v>#DIV/0!</v>
      </c>
      <c r="H676" s="105" t="str">
        <f t="shared" si="2"/>
        <v>#DIV/0!</v>
      </c>
      <c r="I676" s="106" t="str">
        <f t="shared" si="3"/>
        <v>#DIV/0!</v>
      </c>
      <c r="J676" s="129">
        <v>0.0</v>
      </c>
      <c r="K676" s="103">
        <v>0.0</v>
      </c>
      <c r="L676" s="103">
        <v>0.0</v>
      </c>
      <c r="M676" s="130">
        <v>0.0</v>
      </c>
      <c r="N676" s="109" t="str">
        <f t="shared" si="262"/>
        <v>#DIV/0!</v>
      </c>
      <c r="O676" s="110" t="str">
        <f t="shared" si="5"/>
        <v>#DIV/0!</v>
      </c>
      <c r="P676" s="109" t="str">
        <f t="shared" si="6"/>
        <v>#DIV/0!</v>
      </c>
      <c r="Q676" s="111" t="str">
        <f t="shared" si="7"/>
        <v>#DIV/0!</v>
      </c>
      <c r="R676" s="131">
        <f t="shared" si="261"/>
        <v>0</v>
      </c>
      <c r="S676" s="113" t="str">
        <f t="shared" si="9"/>
        <v>#DIV/0!</v>
      </c>
      <c r="T676" s="172"/>
      <c r="U676" s="172"/>
      <c r="V676" s="172"/>
      <c r="W676" s="172"/>
      <c r="X676" s="173"/>
      <c r="Y676" s="165"/>
      <c r="Z676" s="165"/>
    </row>
    <row r="677" hidden="1" outlineLevel="1">
      <c r="A677" s="165"/>
      <c r="B677" s="174"/>
      <c r="C677" s="100" t="s">
        <v>41</v>
      </c>
      <c r="D677" s="132">
        <v>2015.52</v>
      </c>
      <c r="E677" s="103">
        <v>24.0</v>
      </c>
      <c r="F677" s="103">
        <v>24.0</v>
      </c>
      <c r="G677" s="104">
        <f t="shared" si="1"/>
        <v>1</v>
      </c>
      <c r="H677" s="105">
        <f t="shared" si="2"/>
        <v>83.98</v>
      </c>
      <c r="I677" s="106">
        <f t="shared" si="3"/>
        <v>83.98</v>
      </c>
      <c r="J677" s="132">
        <v>148.69</v>
      </c>
      <c r="K677" s="103">
        <v>24989.0</v>
      </c>
      <c r="L677" s="103">
        <v>8.0</v>
      </c>
      <c r="M677" s="133">
        <v>651.94</v>
      </c>
      <c r="N677" s="109">
        <f t="shared" si="262"/>
        <v>0.2280731356</v>
      </c>
      <c r="O677" s="110">
        <f t="shared" si="5"/>
        <v>4.384558477</v>
      </c>
      <c r="P677" s="109">
        <f t="shared" si="6"/>
        <v>0.0737725252</v>
      </c>
      <c r="Q677" s="111">
        <f t="shared" si="7"/>
        <v>0.3234599508</v>
      </c>
      <c r="R677" s="134">
        <f t="shared" si="261"/>
        <v>1363.58</v>
      </c>
      <c r="S677" s="113">
        <f t="shared" si="9"/>
        <v>18.58625</v>
      </c>
      <c r="T677" s="172"/>
      <c r="U677" s="172"/>
      <c r="V677" s="172"/>
      <c r="W677" s="172"/>
      <c r="X677" s="173"/>
      <c r="Y677" s="165"/>
      <c r="Z677" s="165"/>
    </row>
    <row r="678" hidden="1" outlineLevel="1">
      <c r="A678" s="165"/>
      <c r="B678" s="174"/>
      <c r="C678" s="100" t="s">
        <v>42</v>
      </c>
      <c r="D678" s="120">
        <v>79.96</v>
      </c>
      <c r="E678" s="103">
        <v>4.0</v>
      </c>
      <c r="F678" s="103">
        <v>4.0</v>
      </c>
      <c r="G678" s="104">
        <f t="shared" si="1"/>
        <v>1</v>
      </c>
      <c r="H678" s="105">
        <f t="shared" si="2"/>
        <v>19.99</v>
      </c>
      <c r="I678" s="106">
        <f t="shared" si="3"/>
        <v>19.99</v>
      </c>
      <c r="J678" s="120">
        <v>132.47</v>
      </c>
      <c r="K678" s="103">
        <v>64051.0</v>
      </c>
      <c r="L678" s="103">
        <v>0.0</v>
      </c>
      <c r="M678" s="121">
        <v>0.0</v>
      </c>
      <c r="N678" s="109" t="str">
        <f t="shared" si="262"/>
        <v>#DIV/0!</v>
      </c>
      <c r="O678" s="110">
        <f t="shared" si="5"/>
        <v>0</v>
      </c>
      <c r="P678" s="109">
        <f t="shared" si="6"/>
        <v>1.656703352</v>
      </c>
      <c r="Q678" s="111">
        <f t="shared" si="7"/>
        <v>0</v>
      </c>
      <c r="R678" s="122">
        <f t="shared" si="261"/>
        <v>79.96</v>
      </c>
      <c r="S678" s="113" t="str">
        <f t="shared" si="9"/>
        <v>#DIV/0!</v>
      </c>
      <c r="T678" s="172"/>
      <c r="U678" s="172"/>
      <c r="V678" s="172"/>
      <c r="W678" s="172"/>
      <c r="X678" s="173"/>
      <c r="Y678" s="165"/>
      <c r="Z678" s="165"/>
    </row>
    <row r="679" hidden="1" outlineLevel="1">
      <c r="A679" s="165"/>
      <c r="B679" s="174"/>
      <c r="C679" s="100" t="s">
        <v>43</v>
      </c>
      <c r="D679" s="135">
        <v>455.8</v>
      </c>
      <c r="E679" s="103">
        <v>4.0</v>
      </c>
      <c r="F679" s="103">
        <v>5.0</v>
      </c>
      <c r="G679" s="104">
        <f t="shared" si="1"/>
        <v>0.8</v>
      </c>
      <c r="H679" s="105">
        <f t="shared" si="2"/>
        <v>113.95</v>
      </c>
      <c r="I679" s="106">
        <f t="shared" si="3"/>
        <v>142.4375</v>
      </c>
      <c r="J679" s="135">
        <v>53.13</v>
      </c>
      <c r="K679" s="103">
        <v>15807.0</v>
      </c>
      <c r="L679" s="103">
        <v>3.0</v>
      </c>
      <c r="M679" s="136">
        <v>421.9</v>
      </c>
      <c r="N679" s="109">
        <f t="shared" si="262"/>
        <v>0.1259303152</v>
      </c>
      <c r="O679" s="110">
        <f t="shared" si="5"/>
        <v>7.94089968</v>
      </c>
      <c r="P679" s="109">
        <f t="shared" si="6"/>
        <v>0.1165642826</v>
      </c>
      <c r="Q679" s="111">
        <f t="shared" si="7"/>
        <v>0.9256252742</v>
      </c>
      <c r="R679" s="137">
        <f t="shared" si="261"/>
        <v>33.9</v>
      </c>
      <c r="S679" s="113">
        <f t="shared" si="9"/>
        <v>17.71</v>
      </c>
      <c r="T679" s="172"/>
      <c r="U679" s="172"/>
      <c r="V679" s="172"/>
      <c r="W679" s="172"/>
      <c r="X679" s="173"/>
      <c r="Y679" s="165"/>
      <c r="Z679" s="165"/>
    </row>
    <row r="680" hidden="1" outlineLevel="1">
      <c r="A680" s="165"/>
      <c r="B680" s="174"/>
      <c r="C680" s="100" t="s">
        <v>44</v>
      </c>
      <c r="D680" s="138">
        <v>299.75</v>
      </c>
      <c r="E680" s="103">
        <v>5.0</v>
      </c>
      <c r="F680" s="103">
        <v>5.0</v>
      </c>
      <c r="G680" s="104">
        <f t="shared" si="1"/>
        <v>1</v>
      </c>
      <c r="H680" s="105">
        <f t="shared" si="2"/>
        <v>59.95</v>
      </c>
      <c r="I680" s="106">
        <f t="shared" si="3"/>
        <v>59.95</v>
      </c>
      <c r="J680" s="138">
        <v>91.62</v>
      </c>
      <c r="K680" s="103">
        <v>50703.0</v>
      </c>
      <c r="L680" s="103">
        <v>2.0</v>
      </c>
      <c r="M680" s="139">
        <v>119.9</v>
      </c>
      <c r="N680" s="109">
        <f t="shared" si="262"/>
        <v>0.7641367807</v>
      </c>
      <c r="O680" s="110">
        <f t="shared" si="5"/>
        <v>1.30866623</v>
      </c>
      <c r="P680" s="109">
        <f t="shared" si="6"/>
        <v>0.3056547123</v>
      </c>
      <c r="Q680" s="111">
        <f t="shared" si="7"/>
        <v>0.4</v>
      </c>
      <c r="R680" s="140">
        <f t="shared" si="261"/>
        <v>179.85</v>
      </c>
      <c r="S680" s="113">
        <f t="shared" si="9"/>
        <v>45.81</v>
      </c>
      <c r="T680" s="172"/>
      <c r="U680" s="172"/>
      <c r="V680" s="172"/>
      <c r="W680" s="172"/>
      <c r="X680" s="173"/>
      <c r="Y680" s="165"/>
      <c r="Z680" s="165"/>
    </row>
    <row r="681" hidden="1" outlineLevel="1">
      <c r="A681" s="192"/>
      <c r="B681" s="174"/>
      <c r="C681" s="142" t="s">
        <v>45</v>
      </c>
      <c r="D681" s="101">
        <v>0.0</v>
      </c>
      <c r="E681" s="103">
        <v>0.0</v>
      </c>
      <c r="F681" s="103">
        <v>0.0</v>
      </c>
      <c r="G681" s="104" t="str">
        <f t="shared" si="1"/>
        <v>#DIV/0!</v>
      </c>
      <c r="H681" s="105" t="str">
        <f t="shared" si="2"/>
        <v>#DIV/0!</v>
      </c>
      <c r="I681" s="106" t="str">
        <f t="shared" si="3"/>
        <v>#DIV/0!</v>
      </c>
      <c r="J681" s="101">
        <v>0.0</v>
      </c>
      <c r="K681" s="103">
        <v>0.0</v>
      </c>
      <c r="L681" s="103">
        <v>0.0</v>
      </c>
      <c r="M681" s="108">
        <v>0.0</v>
      </c>
      <c r="N681" s="109" t="str">
        <f t="shared" si="262"/>
        <v>#DIV/0!</v>
      </c>
      <c r="O681" s="110" t="str">
        <f t="shared" si="5"/>
        <v>#DIV/0!</v>
      </c>
      <c r="P681" s="109" t="str">
        <f t="shared" si="6"/>
        <v>#DIV/0!</v>
      </c>
      <c r="Q681" s="111" t="str">
        <f t="shared" si="7"/>
        <v>#DIV/0!</v>
      </c>
      <c r="R681" s="112">
        <f t="shared" si="261"/>
        <v>0</v>
      </c>
      <c r="S681" s="113" t="str">
        <f t="shared" si="9"/>
        <v>#DIV/0!</v>
      </c>
      <c r="T681" s="193"/>
      <c r="U681" s="193"/>
      <c r="V681" s="193"/>
      <c r="W681" s="194"/>
      <c r="X681" s="195"/>
      <c r="Y681" s="165"/>
      <c r="Z681" s="165"/>
    </row>
    <row r="682" hidden="1" outlineLevel="1">
      <c r="A682" s="165"/>
      <c r="B682" s="174"/>
      <c r="C682" s="100" t="s">
        <v>46</v>
      </c>
      <c r="D682" s="146">
        <v>392.55</v>
      </c>
      <c r="E682" s="103">
        <v>9.0</v>
      </c>
      <c r="F682" s="103">
        <v>10.0</v>
      </c>
      <c r="G682" s="104">
        <f t="shared" si="1"/>
        <v>0.9</v>
      </c>
      <c r="H682" s="105">
        <f t="shared" si="2"/>
        <v>43.61666667</v>
      </c>
      <c r="I682" s="106">
        <f t="shared" si="3"/>
        <v>48.46296296</v>
      </c>
      <c r="J682" s="146">
        <v>150.37</v>
      </c>
      <c r="K682" s="103">
        <v>47879.0</v>
      </c>
      <c r="L682" s="103">
        <v>2.0</v>
      </c>
      <c r="M682" s="147">
        <v>85.9</v>
      </c>
      <c r="N682" s="109">
        <f t="shared" si="262"/>
        <v>1.750523865</v>
      </c>
      <c r="O682" s="110">
        <f t="shared" si="5"/>
        <v>0.5712575647</v>
      </c>
      <c r="P682" s="109">
        <f t="shared" si="6"/>
        <v>0.3830594829</v>
      </c>
      <c r="Q682" s="111">
        <f t="shared" si="7"/>
        <v>0.2188256273</v>
      </c>
      <c r="R682" s="112">
        <f t="shared" si="261"/>
        <v>306.65</v>
      </c>
      <c r="S682" s="113">
        <f t="shared" si="9"/>
        <v>75.185</v>
      </c>
      <c r="T682" s="172"/>
      <c r="U682" s="172"/>
      <c r="V682" s="172"/>
      <c r="W682" s="172"/>
      <c r="X682" s="173"/>
      <c r="Y682" s="165"/>
      <c r="Z682" s="165"/>
    </row>
    <row r="683" hidden="1" outlineLevel="1">
      <c r="A683" s="165"/>
      <c r="B683" s="174"/>
      <c r="C683" s="100" t="s">
        <v>47</v>
      </c>
      <c r="D683" s="402">
        <v>0.0</v>
      </c>
      <c r="E683" s="103">
        <v>0.0</v>
      </c>
      <c r="F683" s="103">
        <v>0.0</v>
      </c>
      <c r="G683" s="104" t="str">
        <f t="shared" si="1"/>
        <v>#DIV/0!</v>
      </c>
      <c r="H683" s="105" t="str">
        <f t="shared" si="2"/>
        <v>#DIV/0!</v>
      </c>
      <c r="I683" s="106" t="str">
        <f t="shared" si="3"/>
        <v>#DIV/0!</v>
      </c>
      <c r="J683" s="402">
        <v>0.0</v>
      </c>
      <c r="K683" s="103">
        <v>0.0</v>
      </c>
      <c r="L683" s="103">
        <v>0.0</v>
      </c>
      <c r="M683" s="403">
        <v>0.0</v>
      </c>
      <c r="N683" s="109" t="str">
        <f t="shared" si="262"/>
        <v>#DIV/0!</v>
      </c>
      <c r="O683" s="110" t="str">
        <f t="shared" si="5"/>
        <v>#DIV/0!</v>
      </c>
      <c r="P683" s="109" t="str">
        <f t="shared" si="6"/>
        <v>#DIV/0!</v>
      </c>
      <c r="Q683" s="111" t="str">
        <f t="shared" si="7"/>
        <v>#DIV/0!</v>
      </c>
      <c r="R683" s="112">
        <f t="shared" si="261"/>
        <v>0</v>
      </c>
      <c r="S683" s="113" t="str">
        <f t="shared" si="9"/>
        <v>#DIV/0!</v>
      </c>
      <c r="T683" s="172"/>
      <c r="U683" s="172"/>
      <c r="V683" s="172"/>
      <c r="W683" s="172"/>
      <c r="X683" s="173"/>
      <c r="Y683" s="165"/>
      <c r="Z683" s="165"/>
    </row>
    <row r="684" hidden="1" outlineLevel="1">
      <c r="A684" s="165"/>
      <c r="B684" s="174"/>
      <c r="C684" s="100" t="s">
        <v>49</v>
      </c>
      <c r="D684" s="146">
        <v>96.0</v>
      </c>
      <c r="E684" s="103">
        <v>1.0</v>
      </c>
      <c r="F684" s="103">
        <v>1.0</v>
      </c>
      <c r="G684" s="104">
        <f t="shared" si="1"/>
        <v>1</v>
      </c>
      <c r="H684" s="105">
        <f t="shared" si="2"/>
        <v>96</v>
      </c>
      <c r="I684" s="106">
        <f t="shared" si="3"/>
        <v>96</v>
      </c>
      <c r="J684" s="146">
        <v>11.35</v>
      </c>
      <c r="K684" s="103">
        <v>11665.0</v>
      </c>
      <c r="L684" s="103">
        <v>0.0</v>
      </c>
      <c r="M684" s="147">
        <v>0.0</v>
      </c>
      <c r="N684" s="109" t="str">
        <f t="shared" si="262"/>
        <v>#DIV/0!</v>
      </c>
      <c r="O684" s="110">
        <f t="shared" si="5"/>
        <v>0</v>
      </c>
      <c r="P684" s="109">
        <f t="shared" si="6"/>
        <v>0.1182291667</v>
      </c>
      <c r="Q684" s="111">
        <f t="shared" si="7"/>
        <v>0</v>
      </c>
      <c r="R684" s="112">
        <f t="shared" si="261"/>
        <v>96</v>
      </c>
      <c r="S684" s="113" t="str">
        <f t="shared" si="9"/>
        <v>#DIV/0!</v>
      </c>
      <c r="T684" s="172"/>
      <c r="U684" s="172"/>
      <c r="V684" s="172"/>
      <c r="W684" s="172"/>
      <c r="X684" s="173"/>
      <c r="Y684" s="165"/>
      <c r="Z684" s="165"/>
    </row>
    <row r="685" hidden="1" outlineLevel="1">
      <c r="A685" s="148" t="str">
        <f t="shared" ref="A685:A686" si="263">iferror(if(B685&gt;0,month(B685)&amp;"-"&amp;year(B685),B685),)</f>
        <v>11-2025</v>
      </c>
      <c r="B685" s="99">
        <v>45969.0</v>
      </c>
      <c r="C685" s="277" t="s">
        <v>67</v>
      </c>
      <c r="D685" s="146">
        <v>0.0</v>
      </c>
      <c r="E685" s="103">
        <v>0.0</v>
      </c>
      <c r="F685" s="103">
        <v>0.0</v>
      </c>
      <c r="G685" s="104" t="str">
        <f t="shared" si="1"/>
        <v>#DIV/0!</v>
      </c>
      <c r="H685" s="105" t="str">
        <f t="shared" si="2"/>
        <v>#DIV/0!</v>
      </c>
      <c r="I685" s="106" t="str">
        <f t="shared" si="3"/>
        <v>#DIV/0!</v>
      </c>
      <c r="J685" s="117">
        <v>2426.37</v>
      </c>
      <c r="K685" s="278">
        <v>136438.0</v>
      </c>
      <c r="L685" s="103">
        <v>0.0</v>
      </c>
      <c r="M685" s="118">
        <v>3353.1499999999996</v>
      </c>
      <c r="N685" s="109">
        <f t="shared" si="262"/>
        <v>0.7236091436</v>
      </c>
      <c r="O685" s="110">
        <f t="shared" si="5"/>
        <v>1.381961531</v>
      </c>
      <c r="P685" s="109" t="str">
        <f t="shared" si="6"/>
        <v>#DIV/0!</v>
      </c>
      <c r="Q685" s="111" t="str">
        <f t="shared" si="7"/>
        <v>#DIV/0!</v>
      </c>
      <c r="R685" s="112">
        <f t="shared" si="261"/>
        <v>-3353.15</v>
      </c>
      <c r="S685" s="113" t="str">
        <f t="shared" si="9"/>
        <v>#DIV/0!</v>
      </c>
      <c r="T685" s="172"/>
      <c r="U685" s="172"/>
      <c r="V685" s="172"/>
      <c r="W685" s="172"/>
      <c r="X685" s="173"/>
      <c r="Y685" s="165"/>
      <c r="Z685" s="165"/>
    </row>
    <row r="686" collapsed="1">
      <c r="A686" s="165" t="str">
        <f t="shared" si="263"/>
        <v/>
      </c>
      <c r="B686" s="80" t="s">
        <v>132</v>
      </c>
      <c r="C686" s="201"/>
      <c r="D686" s="151">
        <f t="shared" ref="D686:F686" si="264">SUM(D669:D685)</f>
        <v>11067.34</v>
      </c>
      <c r="E686" s="153">
        <f t="shared" si="264"/>
        <v>141</v>
      </c>
      <c r="F686" s="153">
        <f t="shared" si="264"/>
        <v>144</v>
      </c>
      <c r="G686" s="154">
        <f t="shared" si="1"/>
        <v>0.9791666667</v>
      </c>
      <c r="H686" s="155">
        <f t="shared" si="2"/>
        <v>78.49177305</v>
      </c>
      <c r="I686" s="156">
        <f t="shared" si="3"/>
        <v>80.16181077</v>
      </c>
      <c r="J686" s="151">
        <f t="shared" ref="J686:M686" si="265">SUM(J669:J685)</f>
        <v>4360.55</v>
      </c>
      <c r="K686" s="153">
        <f t="shared" si="265"/>
        <v>646595</v>
      </c>
      <c r="L686" s="153">
        <f t="shared" si="265"/>
        <v>37</v>
      </c>
      <c r="M686" s="157">
        <f t="shared" si="265"/>
        <v>6121.99</v>
      </c>
      <c r="N686" s="158">
        <f t="shared" si="262"/>
        <v>0.7122765637</v>
      </c>
      <c r="O686" s="159">
        <f t="shared" si="5"/>
        <v>1.403949043</v>
      </c>
      <c r="P686" s="158">
        <f t="shared" si="6"/>
        <v>0.39400163</v>
      </c>
      <c r="Q686" s="160">
        <f t="shared" si="7"/>
        <v>0.5531582115</v>
      </c>
      <c r="R686" s="161">
        <f>SUM(R669:R685)</f>
        <v>4945.35</v>
      </c>
      <c r="S686" s="162">
        <f t="shared" si="9"/>
        <v>117.8527027</v>
      </c>
      <c r="T686" s="163">
        <f t="shared" ref="T686:U686" si="266">IFERROR((D686-D69)/D686,)</f>
        <v>0.3149826426</v>
      </c>
      <c r="U686" s="163">
        <f t="shared" si="266"/>
        <v>0.3333333333</v>
      </c>
      <c r="V686" s="398" t="str">
        <f t="shared" ref="V686:W686" si="267">IFERROR((D686-monthly_reporting_2021!D477)/D686, )</f>
        <v/>
      </c>
      <c r="W686" s="398" t="str">
        <f t="shared" si="267"/>
        <v/>
      </c>
      <c r="X686" s="165"/>
      <c r="Y686" s="165"/>
      <c r="Z686" s="165"/>
    </row>
    <row r="687" hidden="1" outlineLevel="1">
      <c r="A687" s="98"/>
      <c r="B687" s="99">
        <v>45970.0</v>
      </c>
      <c r="C687" s="100" t="s">
        <v>32</v>
      </c>
      <c r="D687" s="101">
        <v>3141.65</v>
      </c>
      <c r="E687" s="103">
        <v>18.0</v>
      </c>
      <c r="F687" s="103">
        <v>18.0</v>
      </c>
      <c r="G687" s="104">
        <f t="shared" si="1"/>
        <v>1</v>
      </c>
      <c r="H687" s="105">
        <f t="shared" si="2"/>
        <v>174.5361111</v>
      </c>
      <c r="I687" s="106">
        <f t="shared" si="3"/>
        <v>174.5361111</v>
      </c>
      <c r="J687" s="107">
        <v>746.22</v>
      </c>
      <c r="K687" s="103">
        <v>350718.0</v>
      </c>
      <c r="L687" s="103">
        <v>7.0</v>
      </c>
      <c r="M687" s="108">
        <v>1434.8</v>
      </c>
      <c r="N687" s="109">
        <f t="shared" si="262"/>
        <v>0.5200864232</v>
      </c>
      <c r="O687" s="110">
        <f t="shared" si="5"/>
        <v>1.922757364</v>
      </c>
      <c r="P687" s="109">
        <f t="shared" si="6"/>
        <v>0.2375248675</v>
      </c>
      <c r="Q687" s="111">
        <f t="shared" si="7"/>
        <v>0.4567026881</v>
      </c>
      <c r="R687" s="112">
        <f t="shared" ref="R687:R704" si="268">D687-M687</f>
        <v>1706.85</v>
      </c>
      <c r="S687" s="113">
        <f t="shared" si="9"/>
        <v>106.6028571</v>
      </c>
      <c r="T687" s="114"/>
      <c r="U687" s="114"/>
      <c r="V687" s="114"/>
      <c r="W687" s="114"/>
      <c r="X687" s="115"/>
      <c r="Y687" s="98"/>
      <c r="Z687" s="98"/>
    </row>
    <row r="688" hidden="1" outlineLevel="1">
      <c r="A688" s="98"/>
      <c r="B688" s="116"/>
      <c r="C688" s="100" t="s">
        <v>33</v>
      </c>
      <c r="D688" s="117">
        <v>3001.98</v>
      </c>
      <c r="E688" s="103">
        <v>35.0</v>
      </c>
      <c r="F688" s="103">
        <v>38.0</v>
      </c>
      <c r="G688" s="104">
        <f t="shared" si="1"/>
        <v>0.9210526316</v>
      </c>
      <c r="H688" s="105">
        <f t="shared" si="2"/>
        <v>85.77085714</v>
      </c>
      <c r="I688" s="106">
        <f t="shared" si="3"/>
        <v>93.1226449</v>
      </c>
      <c r="J688" s="117">
        <v>351.82</v>
      </c>
      <c r="K688" s="103">
        <v>413951.0</v>
      </c>
      <c r="L688" s="103">
        <v>8.0</v>
      </c>
      <c r="M688" s="118">
        <v>241.75</v>
      </c>
      <c r="N688" s="109">
        <f t="shared" si="262"/>
        <v>1.455305067</v>
      </c>
      <c r="O688" s="110">
        <f t="shared" si="5"/>
        <v>0.6871411517</v>
      </c>
      <c r="P688" s="109">
        <f t="shared" si="6"/>
        <v>0.117195984</v>
      </c>
      <c r="Q688" s="111">
        <f t="shared" si="7"/>
        <v>0.08053018341</v>
      </c>
      <c r="R688" s="119">
        <f t="shared" si="268"/>
        <v>2760.23</v>
      </c>
      <c r="S688" s="113">
        <f t="shared" si="9"/>
        <v>43.9775</v>
      </c>
      <c r="T688" s="114"/>
      <c r="U688" s="114"/>
      <c r="V688" s="114"/>
      <c r="W688" s="114"/>
      <c r="X688" s="115"/>
      <c r="Y688" s="98"/>
      <c r="Z688" s="98"/>
    </row>
    <row r="689" hidden="1" outlineLevel="1">
      <c r="A689" s="98"/>
      <c r="B689" s="116"/>
      <c r="C689" s="100" t="s">
        <v>34</v>
      </c>
      <c r="D689" s="120">
        <v>0.0</v>
      </c>
      <c r="E689" s="103">
        <v>0.0</v>
      </c>
      <c r="F689" s="103">
        <v>0.0</v>
      </c>
      <c r="G689" s="104" t="str">
        <f t="shared" si="1"/>
        <v>#DIV/0!</v>
      </c>
      <c r="H689" s="105" t="str">
        <f t="shared" si="2"/>
        <v>#DIV/0!</v>
      </c>
      <c r="I689" s="106" t="str">
        <f t="shared" si="3"/>
        <v>#DIV/0!</v>
      </c>
      <c r="J689" s="120">
        <v>25.2</v>
      </c>
      <c r="K689" s="103">
        <v>348.0</v>
      </c>
      <c r="L689" s="103">
        <v>0.0</v>
      </c>
      <c r="M689" s="121">
        <v>0.0</v>
      </c>
      <c r="N689" s="109" t="str">
        <f>(J689/M689)</f>
        <v>#DIV/0!</v>
      </c>
      <c r="O689" s="110">
        <f t="shared" si="5"/>
        <v>0</v>
      </c>
      <c r="P689" s="109" t="str">
        <f t="shared" si="6"/>
        <v>#DIV/0!</v>
      </c>
      <c r="Q689" s="111" t="str">
        <f t="shared" si="7"/>
        <v>#DIV/0!</v>
      </c>
      <c r="R689" s="122">
        <f t="shared" si="268"/>
        <v>0</v>
      </c>
      <c r="S689" s="113" t="str">
        <f t="shared" si="9"/>
        <v>#DIV/0!</v>
      </c>
      <c r="T689" s="114"/>
      <c r="U689" s="114"/>
      <c r="V689" s="114"/>
      <c r="W689" s="114"/>
      <c r="X689" s="115"/>
      <c r="Y689" s="98"/>
      <c r="Z689" s="98"/>
    </row>
    <row r="690" hidden="1" outlineLevel="1">
      <c r="A690" s="98"/>
      <c r="B690" s="116"/>
      <c r="C690" s="100" t="s">
        <v>35</v>
      </c>
      <c r="D690" s="120">
        <v>470.61</v>
      </c>
      <c r="E690" s="103">
        <v>8.0</v>
      </c>
      <c r="F690" s="103">
        <v>8.0</v>
      </c>
      <c r="G690" s="104">
        <f t="shared" si="1"/>
        <v>1</v>
      </c>
      <c r="H690" s="105">
        <f t="shared" si="2"/>
        <v>58.82625</v>
      </c>
      <c r="I690" s="106">
        <f t="shared" si="3"/>
        <v>58.82625</v>
      </c>
      <c r="J690" s="120">
        <v>279.77</v>
      </c>
      <c r="K690" s="103">
        <v>22624.0</v>
      </c>
      <c r="L690" s="103">
        <v>5.0</v>
      </c>
      <c r="M690" s="121">
        <v>299.75</v>
      </c>
      <c r="N690" s="109">
        <f t="shared" ref="N690:N707" si="269">J690/M690</f>
        <v>0.9333444537</v>
      </c>
      <c r="O690" s="110">
        <f t="shared" si="5"/>
        <v>1.071415806</v>
      </c>
      <c r="P690" s="109">
        <f t="shared" si="6"/>
        <v>0.5944837551</v>
      </c>
      <c r="Q690" s="111">
        <f t="shared" si="7"/>
        <v>0.6369392916</v>
      </c>
      <c r="R690" s="122">
        <f t="shared" si="268"/>
        <v>170.86</v>
      </c>
      <c r="S690" s="113">
        <f t="shared" si="9"/>
        <v>55.954</v>
      </c>
      <c r="T690" s="114"/>
      <c r="U690" s="114"/>
      <c r="V690" s="114"/>
      <c r="W690" s="114"/>
      <c r="X690" s="115"/>
      <c r="Y690" s="98"/>
      <c r="Z690" s="98"/>
    </row>
    <row r="691" hidden="1" outlineLevel="1">
      <c r="A691" s="98"/>
      <c r="B691" s="116"/>
      <c r="C691" s="100" t="s">
        <v>36</v>
      </c>
      <c r="D691" s="120">
        <v>1040.18</v>
      </c>
      <c r="E691" s="103">
        <v>16.0</v>
      </c>
      <c r="F691" s="103">
        <v>14.0</v>
      </c>
      <c r="G691" s="104">
        <f t="shared" si="1"/>
        <v>1.142857143</v>
      </c>
      <c r="H691" s="105">
        <f t="shared" si="2"/>
        <v>65.01125</v>
      </c>
      <c r="I691" s="106">
        <f t="shared" si="3"/>
        <v>56.88484375</v>
      </c>
      <c r="J691" s="120">
        <v>79.61</v>
      </c>
      <c r="K691" s="103">
        <v>29121.0</v>
      </c>
      <c r="L691" s="103">
        <v>6.0</v>
      </c>
      <c r="M691" s="121">
        <v>389.7</v>
      </c>
      <c r="N691" s="109">
        <f t="shared" si="269"/>
        <v>0.2042853477</v>
      </c>
      <c r="O691" s="110">
        <f t="shared" si="5"/>
        <v>4.895113679</v>
      </c>
      <c r="P691" s="109">
        <f t="shared" si="6"/>
        <v>0.07653483051</v>
      </c>
      <c r="Q691" s="111">
        <f t="shared" si="7"/>
        <v>0.3746466958</v>
      </c>
      <c r="R691" s="122">
        <f t="shared" si="268"/>
        <v>650.48</v>
      </c>
      <c r="S691" s="113">
        <f t="shared" si="9"/>
        <v>13.26833333</v>
      </c>
      <c r="T691" s="114"/>
      <c r="U691" s="114"/>
      <c r="V691" s="114"/>
      <c r="W691" s="114"/>
      <c r="X691" s="115"/>
      <c r="Y691" s="98"/>
      <c r="Z691" s="98"/>
    </row>
    <row r="692" hidden="1" outlineLevel="1">
      <c r="A692" s="98"/>
      <c r="B692" s="99" t="s">
        <v>37</v>
      </c>
      <c r="C692" s="100" t="s">
        <v>38</v>
      </c>
      <c r="D692" s="123">
        <v>59.9</v>
      </c>
      <c r="E692" s="103">
        <v>2.0</v>
      </c>
      <c r="F692" s="103">
        <v>2.0</v>
      </c>
      <c r="G692" s="104">
        <f t="shared" si="1"/>
        <v>1</v>
      </c>
      <c r="H692" s="105">
        <f t="shared" si="2"/>
        <v>29.95</v>
      </c>
      <c r="I692" s="106">
        <f t="shared" si="3"/>
        <v>29.95</v>
      </c>
      <c r="J692" s="123">
        <v>35.48</v>
      </c>
      <c r="K692" s="103">
        <v>7796.0</v>
      </c>
      <c r="L692" s="103">
        <v>2.0</v>
      </c>
      <c r="M692" s="124">
        <v>59.9</v>
      </c>
      <c r="N692" s="109">
        <f t="shared" si="269"/>
        <v>0.5923205342</v>
      </c>
      <c r="O692" s="110">
        <f t="shared" si="5"/>
        <v>1.688275085</v>
      </c>
      <c r="P692" s="109">
        <f t="shared" si="6"/>
        <v>0.5923205342</v>
      </c>
      <c r="Q692" s="111">
        <f t="shared" si="7"/>
        <v>1</v>
      </c>
      <c r="R692" s="125">
        <f t="shared" si="268"/>
        <v>0</v>
      </c>
      <c r="S692" s="113">
        <f t="shared" si="9"/>
        <v>17.74</v>
      </c>
      <c r="T692" s="114"/>
      <c r="U692" s="114"/>
      <c r="V692" s="114"/>
      <c r="W692" s="114"/>
      <c r="X692" s="115"/>
      <c r="Y692" s="98"/>
      <c r="Z692" s="98"/>
    </row>
    <row r="693" hidden="1" outlineLevel="1">
      <c r="A693" s="98"/>
      <c r="B693" s="116"/>
      <c r="C693" s="100" t="s">
        <v>39</v>
      </c>
      <c r="D693" s="126">
        <v>0.0</v>
      </c>
      <c r="E693" s="103">
        <v>0.0</v>
      </c>
      <c r="F693" s="103">
        <v>0.0</v>
      </c>
      <c r="G693" s="104" t="str">
        <f t="shared" si="1"/>
        <v>#DIV/0!</v>
      </c>
      <c r="H693" s="105" t="str">
        <f t="shared" si="2"/>
        <v>#DIV/0!</v>
      </c>
      <c r="I693" s="106" t="str">
        <f t="shared" si="3"/>
        <v>#DIV/0!</v>
      </c>
      <c r="J693" s="126">
        <v>0.0</v>
      </c>
      <c r="K693" s="103">
        <v>0.0</v>
      </c>
      <c r="L693" s="103">
        <v>0.0</v>
      </c>
      <c r="M693" s="127">
        <v>0.0</v>
      </c>
      <c r="N693" s="109" t="str">
        <f t="shared" si="269"/>
        <v>#DIV/0!</v>
      </c>
      <c r="O693" s="110" t="str">
        <f t="shared" si="5"/>
        <v>#DIV/0!</v>
      </c>
      <c r="P693" s="109" t="str">
        <f t="shared" si="6"/>
        <v>#DIV/0!</v>
      </c>
      <c r="Q693" s="111" t="str">
        <f t="shared" si="7"/>
        <v>#DIV/0!</v>
      </c>
      <c r="R693" s="128">
        <f t="shared" si="268"/>
        <v>0</v>
      </c>
      <c r="S693" s="113" t="str">
        <f t="shared" si="9"/>
        <v>#DIV/0!</v>
      </c>
      <c r="T693" s="114"/>
      <c r="U693" s="114"/>
      <c r="V693" s="114"/>
      <c r="W693" s="114"/>
      <c r="X693" s="115"/>
      <c r="Y693" s="98"/>
      <c r="Z693" s="98"/>
    </row>
    <row r="694" hidden="1" outlineLevel="1">
      <c r="A694" s="98"/>
      <c r="B694" s="116"/>
      <c r="C694" s="100" t="s">
        <v>40</v>
      </c>
      <c r="D694" s="129">
        <v>0.0</v>
      </c>
      <c r="E694" s="103">
        <v>0.0</v>
      </c>
      <c r="F694" s="103">
        <v>0.0</v>
      </c>
      <c r="G694" s="104" t="str">
        <f t="shared" si="1"/>
        <v>#DIV/0!</v>
      </c>
      <c r="H694" s="105" t="str">
        <f t="shared" si="2"/>
        <v>#DIV/0!</v>
      </c>
      <c r="I694" s="106" t="str">
        <f t="shared" si="3"/>
        <v>#DIV/0!</v>
      </c>
      <c r="J694" s="129">
        <v>0.0</v>
      </c>
      <c r="K694" s="103">
        <v>0.0</v>
      </c>
      <c r="L694" s="103">
        <v>0.0</v>
      </c>
      <c r="M694" s="130">
        <v>0.0</v>
      </c>
      <c r="N694" s="109" t="str">
        <f t="shared" si="269"/>
        <v>#DIV/0!</v>
      </c>
      <c r="O694" s="110" t="str">
        <f t="shared" si="5"/>
        <v>#DIV/0!</v>
      </c>
      <c r="P694" s="109" t="str">
        <f t="shared" si="6"/>
        <v>#DIV/0!</v>
      </c>
      <c r="Q694" s="111" t="str">
        <f t="shared" si="7"/>
        <v>#DIV/0!</v>
      </c>
      <c r="R694" s="131">
        <f t="shared" si="268"/>
        <v>0</v>
      </c>
      <c r="S694" s="113" t="str">
        <f t="shared" si="9"/>
        <v>#DIV/0!</v>
      </c>
      <c r="T694" s="114"/>
      <c r="U694" s="114"/>
      <c r="V694" s="114"/>
      <c r="W694" s="114"/>
      <c r="X694" s="115"/>
      <c r="Y694" s="98"/>
      <c r="Z694" s="98"/>
    </row>
    <row r="695" hidden="1" outlineLevel="1">
      <c r="A695" s="98"/>
      <c r="B695" s="116"/>
      <c r="C695" s="100" t="s">
        <v>41</v>
      </c>
      <c r="D695" s="132">
        <v>1889.93</v>
      </c>
      <c r="E695" s="103">
        <v>21.0</v>
      </c>
      <c r="F695" s="103">
        <v>21.0</v>
      </c>
      <c r="G695" s="104">
        <f t="shared" si="1"/>
        <v>1</v>
      </c>
      <c r="H695" s="105">
        <f t="shared" si="2"/>
        <v>89.99666667</v>
      </c>
      <c r="I695" s="106">
        <f t="shared" si="3"/>
        <v>89.99666667</v>
      </c>
      <c r="J695" s="132">
        <v>285.34</v>
      </c>
      <c r="K695" s="103">
        <v>34665.0</v>
      </c>
      <c r="L695" s="103">
        <v>7.0</v>
      </c>
      <c r="M695" s="133">
        <v>1191.77</v>
      </c>
      <c r="N695" s="109">
        <f t="shared" si="269"/>
        <v>0.2394253925</v>
      </c>
      <c r="O695" s="110">
        <f t="shared" si="5"/>
        <v>4.176666433</v>
      </c>
      <c r="P695" s="109">
        <f t="shared" si="6"/>
        <v>0.1509791368</v>
      </c>
      <c r="Q695" s="111">
        <f t="shared" si="7"/>
        <v>0.6305894927</v>
      </c>
      <c r="R695" s="134">
        <f t="shared" si="268"/>
        <v>698.16</v>
      </c>
      <c r="S695" s="113">
        <f t="shared" si="9"/>
        <v>40.76285714</v>
      </c>
      <c r="T695" s="114"/>
      <c r="U695" s="114"/>
      <c r="V695" s="114"/>
      <c r="W695" s="114"/>
      <c r="X695" s="115"/>
      <c r="Y695" s="98"/>
      <c r="Z695" s="98"/>
    </row>
    <row r="696" hidden="1" outlineLevel="1">
      <c r="A696" s="98"/>
      <c r="B696" s="116"/>
      <c r="C696" s="100" t="s">
        <v>42</v>
      </c>
      <c r="D696" s="120">
        <v>139.93</v>
      </c>
      <c r="E696" s="103">
        <v>7.0</v>
      </c>
      <c r="F696" s="103">
        <v>6.0</v>
      </c>
      <c r="G696" s="104">
        <f t="shared" si="1"/>
        <v>1.166666667</v>
      </c>
      <c r="H696" s="105">
        <f t="shared" si="2"/>
        <v>19.99</v>
      </c>
      <c r="I696" s="106">
        <f t="shared" si="3"/>
        <v>17.13428571</v>
      </c>
      <c r="J696" s="120">
        <v>140.48</v>
      </c>
      <c r="K696" s="103">
        <v>53690.0</v>
      </c>
      <c r="L696" s="103">
        <v>7.0</v>
      </c>
      <c r="M696" s="121">
        <v>139.93</v>
      </c>
      <c r="N696" s="109">
        <f t="shared" si="269"/>
        <v>1.003930537</v>
      </c>
      <c r="O696" s="110">
        <f t="shared" si="5"/>
        <v>0.9960848519</v>
      </c>
      <c r="P696" s="109">
        <f t="shared" si="6"/>
        <v>1.003930537</v>
      </c>
      <c r="Q696" s="111">
        <f t="shared" si="7"/>
        <v>1</v>
      </c>
      <c r="R696" s="122">
        <f t="shared" si="268"/>
        <v>0</v>
      </c>
      <c r="S696" s="113">
        <f t="shared" si="9"/>
        <v>20.06857143</v>
      </c>
      <c r="T696" s="114"/>
      <c r="U696" s="114"/>
      <c r="V696" s="114"/>
      <c r="W696" s="114"/>
      <c r="X696" s="115"/>
      <c r="Y696" s="98"/>
      <c r="Z696" s="98"/>
    </row>
    <row r="697" hidden="1" outlineLevel="1">
      <c r="A697" s="98"/>
      <c r="B697" s="116"/>
      <c r="C697" s="100" t="s">
        <v>43</v>
      </c>
      <c r="D697" s="135">
        <v>290.85</v>
      </c>
      <c r="E697" s="103">
        <v>3.0</v>
      </c>
      <c r="F697" s="103">
        <v>3.0</v>
      </c>
      <c r="G697" s="104">
        <f t="shared" si="1"/>
        <v>1</v>
      </c>
      <c r="H697" s="105">
        <f t="shared" si="2"/>
        <v>96.95</v>
      </c>
      <c r="I697" s="106">
        <f t="shared" si="3"/>
        <v>96.95</v>
      </c>
      <c r="J697" s="135">
        <v>67.6</v>
      </c>
      <c r="K697" s="103">
        <v>16222.0</v>
      </c>
      <c r="L697" s="103">
        <v>1.0</v>
      </c>
      <c r="M697" s="136">
        <v>210.95</v>
      </c>
      <c r="N697" s="109">
        <f t="shared" si="269"/>
        <v>0.3204550841</v>
      </c>
      <c r="O697" s="110">
        <f t="shared" si="5"/>
        <v>3.12056213</v>
      </c>
      <c r="P697" s="109">
        <f t="shared" si="6"/>
        <v>0.2324222108</v>
      </c>
      <c r="Q697" s="111">
        <f t="shared" si="7"/>
        <v>0.7252879491</v>
      </c>
      <c r="R697" s="137">
        <f t="shared" si="268"/>
        <v>79.9</v>
      </c>
      <c r="S697" s="113">
        <f t="shared" si="9"/>
        <v>67.6</v>
      </c>
      <c r="T697" s="114"/>
      <c r="U697" s="114"/>
      <c r="V697" s="114"/>
      <c r="W697" s="114"/>
      <c r="X697" s="115"/>
      <c r="Y697" s="98"/>
      <c r="Z697" s="98"/>
    </row>
    <row r="698" hidden="1" outlineLevel="1">
      <c r="A698" s="98"/>
      <c r="B698" s="116"/>
      <c r="C698" s="100" t="s">
        <v>44</v>
      </c>
      <c r="D698" s="138">
        <v>23.98</v>
      </c>
      <c r="E698" s="103">
        <v>0.0</v>
      </c>
      <c r="F698" s="103">
        <v>3.0</v>
      </c>
      <c r="G698" s="104">
        <f t="shared" si="1"/>
        <v>0</v>
      </c>
      <c r="H698" s="105" t="str">
        <f t="shared" si="2"/>
        <v>#DIV/0!</v>
      </c>
      <c r="I698" s="106" t="str">
        <f t="shared" si="3"/>
        <v>#DIV/0!</v>
      </c>
      <c r="J698" s="138">
        <v>130.4</v>
      </c>
      <c r="K698" s="103">
        <v>53659.0</v>
      </c>
      <c r="L698" s="103">
        <v>2.0</v>
      </c>
      <c r="M698" s="139">
        <v>119.9</v>
      </c>
      <c r="N698" s="109">
        <f t="shared" si="269"/>
        <v>1.087572977</v>
      </c>
      <c r="O698" s="110">
        <f t="shared" si="5"/>
        <v>0.9194785276</v>
      </c>
      <c r="P698" s="109">
        <f t="shared" si="6"/>
        <v>5.437864887</v>
      </c>
      <c r="Q698" s="111">
        <f t="shared" si="7"/>
        <v>5</v>
      </c>
      <c r="R698" s="140">
        <f t="shared" si="268"/>
        <v>-95.92</v>
      </c>
      <c r="S698" s="113">
        <f t="shared" si="9"/>
        <v>65.2</v>
      </c>
      <c r="T698" s="114"/>
      <c r="U698" s="114"/>
      <c r="V698" s="114"/>
      <c r="W698" s="114"/>
      <c r="X698" s="115"/>
      <c r="Y698" s="98"/>
      <c r="Z698" s="98"/>
    </row>
    <row r="699" hidden="1" outlineLevel="1">
      <c r="A699" s="141"/>
      <c r="B699" s="116"/>
      <c r="C699" s="142" t="s">
        <v>45</v>
      </c>
      <c r="D699" s="101">
        <v>0.0</v>
      </c>
      <c r="E699" s="103">
        <v>0.0</v>
      </c>
      <c r="F699" s="103">
        <v>0.0</v>
      </c>
      <c r="G699" s="104" t="str">
        <f t="shared" si="1"/>
        <v>#DIV/0!</v>
      </c>
      <c r="H699" s="105" t="str">
        <f t="shared" si="2"/>
        <v>#DIV/0!</v>
      </c>
      <c r="I699" s="106" t="str">
        <f t="shared" si="3"/>
        <v>#DIV/0!</v>
      </c>
      <c r="J699" s="101">
        <v>0.0</v>
      </c>
      <c r="K699" s="103">
        <v>0.0</v>
      </c>
      <c r="L699" s="103">
        <v>0.0</v>
      </c>
      <c r="M699" s="108">
        <v>0.0</v>
      </c>
      <c r="N699" s="109" t="str">
        <f t="shared" si="269"/>
        <v>#DIV/0!</v>
      </c>
      <c r="O699" s="110" t="str">
        <f t="shared" si="5"/>
        <v>#DIV/0!</v>
      </c>
      <c r="P699" s="109" t="str">
        <f t="shared" si="6"/>
        <v>#DIV/0!</v>
      </c>
      <c r="Q699" s="111" t="str">
        <f t="shared" si="7"/>
        <v>#DIV/0!</v>
      </c>
      <c r="R699" s="112">
        <f t="shared" si="268"/>
        <v>0</v>
      </c>
      <c r="S699" s="113" t="str">
        <f t="shared" si="9"/>
        <v>#DIV/0!</v>
      </c>
      <c r="T699" s="143"/>
      <c r="U699" s="143"/>
      <c r="V699" s="143"/>
      <c r="W699" s="144"/>
      <c r="X699" s="145"/>
      <c r="Y699" s="98"/>
      <c r="Z699" s="98"/>
    </row>
    <row r="700" hidden="1" outlineLevel="1">
      <c r="A700" s="98"/>
      <c r="B700" s="116"/>
      <c r="C700" s="100" t="s">
        <v>46</v>
      </c>
      <c r="D700" s="146">
        <v>826.05</v>
      </c>
      <c r="E700" s="103">
        <v>19.0</v>
      </c>
      <c r="F700" s="103">
        <v>18.0</v>
      </c>
      <c r="G700" s="104">
        <f t="shared" si="1"/>
        <v>1.055555556</v>
      </c>
      <c r="H700" s="105">
        <f t="shared" si="2"/>
        <v>43.47631579</v>
      </c>
      <c r="I700" s="106">
        <f t="shared" si="3"/>
        <v>41.18808864</v>
      </c>
      <c r="J700" s="146">
        <v>192.18</v>
      </c>
      <c r="K700" s="103">
        <v>50971.0</v>
      </c>
      <c r="L700" s="103">
        <v>8.0</v>
      </c>
      <c r="M700" s="147">
        <v>306.65</v>
      </c>
      <c r="N700" s="109">
        <f t="shared" si="269"/>
        <v>0.6267079733</v>
      </c>
      <c r="O700" s="110">
        <f t="shared" si="5"/>
        <v>1.595639505</v>
      </c>
      <c r="P700" s="109">
        <f t="shared" si="6"/>
        <v>0.2326493554</v>
      </c>
      <c r="Q700" s="111">
        <f t="shared" si="7"/>
        <v>0.3712245021</v>
      </c>
      <c r="R700" s="112">
        <f t="shared" si="268"/>
        <v>519.4</v>
      </c>
      <c r="S700" s="113">
        <f t="shared" si="9"/>
        <v>24.0225</v>
      </c>
      <c r="T700" s="114"/>
      <c r="U700" s="114"/>
      <c r="V700" s="114"/>
      <c r="W700" s="114"/>
      <c r="X700" s="115"/>
      <c r="Y700" s="98"/>
      <c r="Z700" s="98"/>
    </row>
    <row r="701" hidden="1" outlineLevel="1">
      <c r="A701" s="98"/>
      <c r="B701" s="116"/>
      <c r="C701" s="100" t="s">
        <v>47</v>
      </c>
      <c r="D701" s="402">
        <v>0.0</v>
      </c>
      <c r="E701" s="103">
        <v>0.0</v>
      </c>
      <c r="F701" s="103">
        <v>0.0</v>
      </c>
      <c r="G701" s="104" t="str">
        <f t="shared" si="1"/>
        <v>#DIV/0!</v>
      </c>
      <c r="H701" s="105" t="str">
        <f t="shared" si="2"/>
        <v>#DIV/0!</v>
      </c>
      <c r="I701" s="106" t="str">
        <f t="shared" si="3"/>
        <v>#DIV/0!</v>
      </c>
      <c r="J701" s="402">
        <v>0.0</v>
      </c>
      <c r="K701" s="103">
        <v>0.0</v>
      </c>
      <c r="L701" s="103">
        <v>0.0</v>
      </c>
      <c r="M701" s="403">
        <v>0.0</v>
      </c>
      <c r="N701" s="109" t="str">
        <f t="shared" si="269"/>
        <v>#DIV/0!</v>
      </c>
      <c r="O701" s="110" t="str">
        <f t="shared" si="5"/>
        <v>#DIV/0!</v>
      </c>
      <c r="P701" s="109" t="str">
        <f t="shared" si="6"/>
        <v>#DIV/0!</v>
      </c>
      <c r="Q701" s="111" t="str">
        <f t="shared" si="7"/>
        <v>#DIV/0!</v>
      </c>
      <c r="R701" s="112">
        <f t="shared" si="268"/>
        <v>0</v>
      </c>
      <c r="S701" s="113" t="str">
        <f t="shared" si="9"/>
        <v>#DIV/0!</v>
      </c>
      <c r="T701" s="114"/>
      <c r="U701" s="114"/>
      <c r="V701" s="114"/>
      <c r="W701" s="114"/>
      <c r="X701" s="115"/>
      <c r="Y701" s="98"/>
      <c r="Z701" s="98"/>
    </row>
    <row r="702" hidden="1" outlineLevel="1">
      <c r="A702" s="98"/>
      <c r="B702" s="116"/>
      <c r="C702" s="100" t="s">
        <v>48</v>
      </c>
      <c r="D702" s="132">
        <v>6198.51</v>
      </c>
      <c r="E702" s="103">
        <v>29.0</v>
      </c>
      <c r="F702" s="103">
        <v>30.0</v>
      </c>
      <c r="G702" s="104">
        <f t="shared" si="1"/>
        <v>0.9666666667</v>
      </c>
      <c r="H702" s="105">
        <f t="shared" si="2"/>
        <v>213.7417241</v>
      </c>
      <c r="I702" s="106">
        <f t="shared" si="3"/>
        <v>221.1121284</v>
      </c>
      <c r="J702" s="132">
        <v>399.4</v>
      </c>
      <c r="K702" s="103">
        <v>30857.0</v>
      </c>
      <c r="L702" s="103">
        <v>19.0</v>
      </c>
      <c r="M702" s="133">
        <v>3959.15</v>
      </c>
      <c r="N702" s="109">
        <f t="shared" si="269"/>
        <v>0.1008802394</v>
      </c>
      <c r="O702" s="110">
        <f t="shared" si="5"/>
        <v>9.912744116</v>
      </c>
      <c r="P702" s="109">
        <f t="shared" si="6"/>
        <v>0.06443483999</v>
      </c>
      <c r="Q702" s="111">
        <f t="shared" si="7"/>
        <v>0.6387260809</v>
      </c>
      <c r="R702" s="112">
        <f t="shared" si="268"/>
        <v>2239.36</v>
      </c>
      <c r="S702" s="113">
        <f t="shared" si="9"/>
        <v>21.02105263</v>
      </c>
      <c r="T702" s="114"/>
      <c r="U702" s="114"/>
      <c r="V702" s="114"/>
      <c r="W702" s="114"/>
      <c r="X702" s="115"/>
      <c r="Y702" s="98"/>
      <c r="Z702" s="98"/>
    </row>
    <row r="703" hidden="1" outlineLevel="1">
      <c r="A703" s="98"/>
      <c r="B703" s="116"/>
      <c r="C703" s="100" t="s">
        <v>49</v>
      </c>
      <c r="D703" s="146">
        <v>192.0</v>
      </c>
      <c r="E703" s="103">
        <v>2.0</v>
      </c>
      <c r="F703" s="103">
        <v>1.0</v>
      </c>
      <c r="G703" s="104">
        <f t="shared" si="1"/>
        <v>2</v>
      </c>
      <c r="H703" s="105">
        <f t="shared" si="2"/>
        <v>96</v>
      </c>
      <c r="I703" s="106">
        <f t="shared" si="3"/>
        <v>48</v>
      </c>
      <c r="J703" s="146">
        <v>3.33</v>
      </c>
      <c r="K703" s="103">
        <v>11176.0</v>
      </c>
      <c r="L703" s="103">
        <v>0.0</v>
      </c>
      <c r="M703" s="147">
        <v>0.0</v>
      </c>
      <c r="N703" s="109" t="str">
        <f t="shared" si="269"/>
        <v>#DIV/0!</v>
      </c>
      <c r="O703" s="110">
        <f t="shared" si="5"/>
        <v>0</v>
      </c>
      <c r="P703" s="109">
        <f t="shared" si="6"/>
        <v>0.01734375</v>
      </c>
      <c r="Q703" s="111">
        <f t="shared" si="7"/>
        <v>0</v>
      </c>
      <c r="R703" s="112">
        <f t="shared" si="268"/>
        <v>192</v>
      </c>
      <c r="S703" s="113" t="str">
        <f t="shared" si="9"/>
        <v>#DIV/0!</v>
      </c>
      <c r="T703" s="114"/>
      <c r="U703" s="114"/>
      <c r="V703" s="114"/>
      <c r="W703" s="114"/>
      <c r="X703" s="115"/>
      <c r="Y703" s="98"/>
      <c r="Z703" s="98"/>
    </row>
    <row r="704" hidden="1" outlineLevel="1">
      <c r="A704" s="148" t="str">
        <f t="shared" ref="A704:A705" si="270">iferror(if(B704&gt;0,month(B704)&amp;"-"&amp;year(B704),B704),)</f>
        <v>11-2025</v>
      </c>
      <c r="B704" s="99">
        <v>45976.0</v>
      </c>
      <c r="C704" s="277" t="s">
        <v>67</v>
      </c>
      <c r="D704" s="146">
        <v>0.0</v>
      </c>
      <c r="E704" s="103">
        <v>0.0</v>
      </c>
      <c r="F704" s="103">
        <v>0.0</v>
      </c>
      <c r="G704" s="104" t="str">
        <f t="shared" si="1"/>
        <v>#DIV/0!</v>
      </c>
      <c r="H704" s="105" t="str">
        <f t="shared" si="2"/>
        <v>#DIV/0!</v>
      </c>
      <c r="I704" s="106" t="str">
        <f t="shared" si="3"/>
        <v>#DIV/0!</v>
      </c>
      <c r="J704" s="117">
        <v>1232.65</v>
      </c>
      <c r="K704" s="278">
        <v>112847.0</v>
      </c>
      <c r="L704" s="103">
        <v>0.0</v>
      </c>
      <c r="M704" s="118">
        <v>2798.8599999999997</v>
      </c>
      <c r="N704" s="109">
        <f t="shared" si="269"/>
        <v>0.4404114532</v>
      </c>
      <c r="O704" s="110">
        <f t="shared" si="5"/>
        <v>2.270603983</v>
      </c>
      <c r="P704" s="109" t="str">
        <f t="shared" si="6"/>
        <v>#DIV/0!</v>
      </c>
      <c r="Q704" s="111" t="str">
        <f t="shared" si="7"/>
        <v>#DIV/0!</v>
      </c>
      <c r="R704" s="112">
        <f t="shared" si="268"/>
        <v>-2798.86</v>
      </c>
      <c r="S704" s="113" t="str">
        <f t="shared" si="9"/>
        <v>#DIV/0!</v>
      </c>
      <c r="T704" s="114"/>
      <c r="U704" s="114"/>
      <c r="V704" s="114"/>
      <c r="W704" s="114"/>
      <c r="X704" s="115"/>
      <c r="Y704" s="98"/>
      <c r="Z704" s="98"/>
    </row>
    <row r="705" collapsed="1">
      <c r="A705" s="98" t="str">
        <f t="shared" si="270"/>
        <v/>
      </c>
      <c r="B705" s="80" t="s">
        <v>133</v>
      </c>
      <c r="C705" s="150"/>
      <c r="D705" s="151">
        <f t="shared" ref="D705:F705" si="271">SUM(D687:D704)</f>
        <v>17275.57</v>
      </c>
      <c r="E705" s="153">
        <f t="shared" si="271"/>
        <v>160</v>
      </c>
      <c r="F705" s="153">
        <f t="shared" si="271"/>
        <v>162</v>
      </c>
      <c r="G705" s="154">
        <f t="shared" si="1"/>
        <v>0.987654321</v>
      </c>
      <c r="H705" s="155">
        <f t="shared" si="2"/>
        <v>107.9723125</v>
      </c>
      <c r="I705" s="156">
        <f t="shared" si="3"/>
        <v>109.3219664</v>
      </c>
      <c r="J705" s="151">
        <f t="shared" ref="J705:M705" si="272">SUM(J687:J704)</f>
        <v>3969.48</v>
      </c>
      <c r="K705" s="153">
        <f t="shared" si="272"/>
        <v>1188645</v>
      </c>
      <c r="L705" s="153">
        <f t="shared" si="272"/>
        <v>72</v>
      </c>
      <c r="M705" s="157">
        <f t="shared" si="272"/>
        <v>11153.11</v>
      </c>
      <c r="N705" s="158">
        <f t="shared" si="269"/>
        <v>0.3559079037</v>
      </c>
      <c r="O705" s="159">
        <f t="shared" si="5"/>
        <v>2.80971563</v>
      </c>
      <c r="P705" s="158">
        <f t="shared" si="6"/>
        <v>0.229774184</v>
      </c>
      <c r="Q705" s="160">
        <f t="shared" si="7"/>
        <v>0.6456001162</v>
      </c>
      <c r="R705" s="161">
        <f>SUM(R687:R704)</f>
        <v>6122.46</v>
      </c>
      <c r="S705" s="162">
        <f t="shared" si="9"/>
        <v>55.13166667</v>
      </c>
      <c r="T705" s="163">
        <f t="shared" ref="T705:U705" si="273">IFERROR((D705-D69)/D705,)</f>
        <v>0.5611536985</v>
      </c>
      <c r="U705" s="163">
        <f t="shared" si="273"/>
        <v>0.4125</v>
      </c>
      <c r="V705" s="164" t="str">
        <f t="shared" ref="V705:W705" si="274">IFERROR((D705-monthly_reporting_2021!D496)/D705, )</f>
        <v/>
      </c>
      <c r="W705" s="164" t="str">
        <f t="shared" si="274"/>
        <v/>
      </c>
      <c r="X705" s="98"/>
      <c r="Y705" s="98"/>
      <c r="Z705" s="98"/>
    </row>
    <row r="706" hidden="1" outlineLevel="1">
      <c r="A706" s="98"/>
      <c r="B706" s="99">
        <v>45977.0</v>
      </c>
      <c r="C706" s="100" t="s">
        <v>32</v>
      </c>
      <c r="D706" s="101">
        <v>4625.63</v>
      </c>
      <c r="E706" s="103">
        <v>19.0</v>
      </c>
      <c r="F706" s="103">
        <v>20.0</v>
      </c>
      <c r="G706" s="104">
        <f t="shared" si="1"/>
        <v>0.95</v>
      </c>
      <c r="H706" s="105">
        <f t="shared" si="2"/>
        <v>243.4542105</v>
      </c>
      <c r="I706" s="106">
        <f t="shared" si="3"/>
        <v>256.26759</v>
      </c>
      <c r="J706" s="107">
        <v>2049.45</v>
      </c>
      <c r="K706" s="103">
        <v>619809.0</v>
      </c>
      <c r="L706" s="103">
        <v>6.0</v>
      </c>
      <c r="M706" s="108">
        <v>1094.99</v>
      </c>
      <c r="N706" s="109">
        <f t="shared" si="269"/>
        <v>1.871660928</v>
      </c>
      <c r="O706" s="110">
        <f t="shared" si="5"/>
        <v>0.5342848081</v>
      </c>
      <c r="P706" s="109">
        <f t="shared" si="6"/>
        <v>0.4430639718</v>
      </c>
      <c r="Q706" s="111">
        <f t="shared" si="7"/>
        <v>0.2367223492</v>
      </c>
      <c r="R706" s="112">
        <f t="shared" ref="R706:R723" si="275">D706-M706</f>
        <v>3530.64</v>
      </c>
      <c r="S706" s="113">
        <f t="shared" si="9"/>
        <v>341.575</v>
      </c>
      <c r="T706" s="114"/>
      <c r="U706" s="114"/>
      <c r="V706" s="114"/>
      <c r="W706" s="114"/>
      <c r="X706" s="115"/>
      <c r="Y706" s="98"/>
      <c r="Z706" s="98"/>
    </row>
    <row r="707" hidden="1" outlineLevel="1">
      <c r="A707" s="98"/>
      <c r="B707" s="116"/>
      <c r="C707" s="100" t="s">
        <v>33</v>
      </c>
      <c r="D707" s="117">
        <v>7897.2</v>
      </c>
      <c r="E707" s="103">
        <v>42.0</v>
      </c>
      <c r="F707" s="103">
        <v>46.0</v>
      </c>
      <c r="G707" s="104">
        <f t="shared" si="1"/>
        <v>0.9130434783</v>
      </c>
      <c r="H707" s="105">
        <f t="shared" si="2"/>
        <v>188.0285714</v>
      </c>
      <c r="I707" s="106">
        <f t="shared" si="3"/>
        <v>205.9360544</v>
      </c>
      <c r="J707" s="117">
        <v>678.76</v>
      </c>
      <c r="K707" s="103">
        <v>829031.0</v>
      </c>
      <c r="L707" s="103">
        <v>9.0</v>
      </c>
      <c r="M707" s="118">
        <v>1450.7</v>
      </c>
      <c r="N707" s="109">
        <f t="shared" si="269"/>
        <v>0.4678844696</v>
      </c>
      <c r="O707" s="110">
        <f t="shared" si="5"/>
        <v>2.137279745</v>
      </c>
      <c r="P707" s="109">
        <f t="shared" si="6"/>
        <v>0.08594945044</v>
      </c>
      <c r="Q707" s="111">
        <f t="shared" si="7"/>
        <v>0.1836980196</v>
      </c>
      <c r="R707" s="119">
        <f t="shared" si="275"/>
        <v>6446.5</v>
      </c>
      <c r="S707" s="113">
        <f t="shared" si="9"/>
        <v>75.41777778</v>
      </c>
      <c r="T707" s="114"/>
      <c r="U707" s="114"/>
      <c r="V707" s="114"/>
      <c r="W707" s="114"/>
      <c r="X707" s="115"/>
      <c r="Y707" s="98"/>
      <c r="Z707" s="98"/>
    </row>
    <row r="708" hidden="1" outlineLevel="1">
      <c r="A708" s="98"/>
      <c r="B708" s="116"/>
      <c r="C708" s="100" t="s">
        <v>34</v>
      </c>
      <c r="D708" s="120">
        <v>349.75</v>
      </c>
      <c r="E708" s="103">
        <v>5.0</v>
      </c>
      <c r="F708" s="103">
        <v>2.0</v>
      </c>
      <c r="G708" s="104">
        <f t="shared" si="1"/>
        <v>2.5</v>
      </c>
      <c r="H708" s="105">
        <f t="shared" si="2"/>
        <v>69.95</v>
      </c>
      <c r="I708" s="106">
        <f t="shared" si="3"/>
        <v>27.98</v>
      </c>
      <c r="J708" s="120">
        <v>0.0</v>
      </c>
      <c r="K708" s="103">
        <v>332.0</v>
      </c>
      <c r="L708" s="103">
        <v>0.0</v>
      </c>
      <c r="M708" s="121">
        <v>0.0</v>
      </c>
      <c r="N708" s="109" t="str">
        <f>(J708/M708)</f>
        <v>#DIV/0!</v>
      </c>
      <c r="O708" s="110" t="str">
        <f t="shared" si="5"/>
        <v>#DIV/0!</v>
      </c>
      <c r="P708" s="109">
        <f t="shared" si="6"/>
        <v>0</v>
      </c>
      <c r="Q708" s="111">
        <f t="shared" si="7"/>
        <v>0</v>
      </c>
      <c r="R708" s="122">
        <f t="shared" si="275"/>
        <v>349.75</v>
      </c>
      <c r="S708" s="113" t="str">
        <f t="shared" si="9"/>
        <v>#DIV/0!</v>
      </c>
      <c r="T708" s="114"/>
      <c r="U708" s="114"/>
      <c r="V708" s="114"/>
      <c r="W708" s="114"/>
      <c r="X708" s="115"/>
      <c r="Y708" s="98"/>
      <c r="Z708" s="98"/>
    </row>
    <row r="709" hidden="1" outlineLevel="1">
      <c r="A709" s="98"/>
      <c r="B709" s="116"/>
      <c r="C709" s="100" t="s">
        <v>35</v>
      </c>
      <c r="D709" s="120">
        <v>188.85</v>
      </c>
      <c r="E709" s="103">
        <v>5.0</v>
      </c>
      <c r="F709" s="103">
        <v>3.0</v>
      </c>
      <c r="G709" s="104">
        <f t="shared" si="1"/>
        <v>1.666666667</v>
      </c>
      <c r="H709" s="105">
        <f t="shared" si="2"/>
        <v>37.77</v>
      </c>
      <c r="I709" s="106">
        <f t="shared" si="3"/>
        <v>22.662</v>
      </c>
      <c r="J709" s="120">
        <v>281.6</v>
      </c>
      <c r="K709" s="103">
        <v>21883.0</v>
      </c>
      <c r="L709" s="103">
        <v>7.0</v>
      </c>
      <c r="M709" s="121">
        <v>270.37</v>
      </c>
      <c r="N709" s="109">
        <f t="shared" ref="N709:N726" si="276">J709/M709</f>
        <v>1.041535673</v>
      </c>
      <c r="O709" s="110">
        <f t="shared" si="5"/>
        <v>0.9601207386</v>
      </c>
      <c r="P709" s="109">
        <f t="shared" si="6"/>
        <v>1.491130527</v>
      </c>
      <c r="Q709" s="111">
        <f t="shared" si="7"/>
        <v>1.431665343</v>
      </c>
      <c r="R709" s="122">
        <f t="shared" si="275"/>
        <v>-81.52</v>
      </c>
      <c r="S709" s="113">
        <f t="shared" si="9"/>
        <v>40.22857143</v>
      </c>
      <c r="T709" s="114"/>
      <c r="U709" s="114"/>
      <c r="V709" s="114"/>
      <c r="W709" s="114"/>
      <c r="X709" s="115"/>
      <c r="Y709" s="98"/>
      <c r="Z709" s="98"/>
    </row>
    <row r="710" hidden="1" outlineLevel="1">
      <c r="A710" s="98"/>
      <c r="B710" s="116"/>
      <c r="C710" s="100" t="s">
        <v>36</v>
      </c>
      <c r="D710" s="120">
        <v>781.37</v>
      </c>
      <c r="E710" s="103">
        <v>13.0</v>
      </c>
      <c r="F710" s="103">
        <v>10.0</v>
      </c>
      <c r="G710" s="104">
        <f t="shared" si="1"/>
        <v>1.3</v>
      </c>
      <c r="H710" s="105">
        <f t="shared" si="2"/>
        <v>60.10538462</v>
      </c>
      <c r="I710" s="106">
        <f t="shared" si="3"/>
        <v>46.23491124</v>
      </c>
      <c r="J710" s="120">
        <v>47.88</v>
      </c>
      <c r="K710" s="103">
        <v>17236.0</v>
      </c>
      <c r="L710" s="103">
        <v>6.0</v>
      </c>
      <c r="M710" s="121">
        <v>361.72</v>
      </c>
      <c r="N710" s="109">
        <f t="shared" si="276"/>
        <v>0.1323675771</v>
      </c>
      <c r="O710" s="110">
        <f t="shared" si="5"/>
        <v>7.554720134</v>
      </c>
      <c r="P710" s="109">
        <f t="shared" si="6"/>
        <v>0.06127698785</v>
      </c>
      <c r="Q710" s="111">
        <f t="shared" si="7"/>
        <v>0.4629304939</v>
      </c>
      <c r="R710" s="122">
        <f t="shared" si="275"/>
        <v>419.65</v>
      </c>
      <c r="S710" s="113">
        <f t="shared" si="9"/>
        <v>7.98</v>
      </c>
      <c r="T710" s="114"/>
      <c r="U710" s="114"/>
      <c r="V710" s="114"/>
      <c r="W710" s="114"/>
      <c r="X710" s="115"/>
      <c r="Y710" s="98"/>
      <c r="Z710" s="98"/>
    </row>
    <row r="711" hidden="1" outlineLevel="1">
      <c r="A711" s="98"/>
      <c r="B711" s="99" t="s">
        <v>37</v>
      </c>
      <c r="C711" s="100" t="s">
        <v>38</v>
      </c>
      <c r="D711" s="123">
        <v>194.7</v>
      </c>
      <c r="E711" s="103">
        <v>6.0</v>
      </c>
      <c r="F711" s="103">
        <v>5.0</v>
      </c>
      <c r="G711" s="104">
        <f t="shared" si="1"/>
        <v>1.2</v>
      </c>
      <c r="H711" s="105">
        <f t="shared" si="2"/>
        <v>32.45</v>
      </c>
      <c r="I711" s="106">
        <f t="shared" si="3"/>
        <v>27.04166667</v>
      </c>
      <c r="J711" s="123">
        <v>37.6</v>
      </c>
      <c r="K711" s="103">
        <v>8316.0</v>
      </c>
      <c r="L711" s="103">
        <v>2.0</v>
      </c>
      <c r="M711" s="124">
        <v>59.9</v>
      </c>
      <c r="N711" s="109">
        <f t="shared" si="276"/>
        <v>0.6277128548</v>
      </c>
      <c r="O711" s="110">
        <f t="shared" si="5"/>
        <v>1.593085106</v>
      </c>
      <c r="P711" s="109">
        <f t="shared" si="6"/>
        <v>0.1931176168</v>
      </c>
      <c r="Q711" s="111">
        <f t="shared" si="7"/>
        <v>0.3076527992</v>
      </c>
      <c r="R711" s="125">
        <f t="shared" si="275"/>
        <v>134.8</v>
      </c>
      <c r="S711" s="113">
        <f t="shared" si="9"/>
        <v>18.8</v>
      </c>
      <c r="T711" s="114"/>
      <c r="U711" s="114"/>
      <c r="V711" s="114"/>
      <c r="W711" s="114"/>
      <c r="X711" s="115"/>
      <c r="Y711" s="98"/>
      <c r="Z711" s="98"/>
    </row>
    <row r="712" hidden="1" outlineLevel="1">
      <c r="A712" s="98"/>
      <c r="B712" s="116"/>
      <c r="C712" s="100" t="s">
        <v>39</v>
      </c>
      <c r="D712" s="126">
        <v>0.0</v>
      </c>
      <c r="E712" s="103">
        <v>0.0</v>
      </c>
      <c r="F712" s="103">
        <v>0.0</v>
      </c>
      <c r="G712" s="104" t="str">
        <f t="shared" si="1"/>
        <v>#DIV/0!</v>
      </c>
      <c r="H712" s="105" t="str">
        <f t="shared" si="2"/>
        <v>#DIV/0!</v>
      </c>
      <c r="I712" s="106" t="str">
        <f t="shared" si="3"/>
        <v>#DIV/0!</v>
      </c>
      <c r="J712" s="126">
        <v>0.0</v>
      </c>
      <c r="K712" s="103">
        <v>0.0</v>
      </c>
      <c r="L712" s="103">
        <v>0.0</v>
      </c>
      <c r="M712" s="127">
        <v>0.0</v>
      </c>
      <c r="N712" s="109" t="str">
        <f t="shared" si="276"/>
        <v>#DIV/0!</v>
      </c>
      <c r="O712" s="110" t="str">
        <f t="shared" si="5"/>
        <v>#DIV/0!</v>
      </c>
      <c r="P712" s="109" t="str">
        <f t="shared" si="6"/>
        <v>#DIV/0!</v>
      </c>
      <c r="Q712" s="111" t="str">
        <f t="shared" si="7"/>
        <v>#DIV/0!</v>
      </c>
      <c r="R712" s="128">
        <f t="shared" si="275"/>
        <v>0</v>
      </c>
      <c r="S712" s="113" t="str">
        <f t="shared" si="9"/>
        <v>#DIV/0!</v>
      </c>
      <c r="T712" s="114"/>
      <c r="U712" s="114"/>
      <c r="V712" s="114"/>
      <c r="W712" s="114"/>
      <c r="X712" s="115"/>
      <c r="Y712" s="98"/>
      <c r="Z712" s="98"/>
    </row>
    <row r="713" hidden="1" outlineLevel="1">
      <c r="A713" s="98"/>
      <c r="B713" s="116"/>
      <c r="C713" s="100" t="s">
        <v>40</v>
      </c>
      <c r="D713" s="129">
        <v>0.0</v>
      </c>
      <c r="E713" s="103">
        <v>0.0</v>
      </c>
      <c r="F713" s="103">
        <v>0.0</v>
      </c>
      <c r="G713" s="104" t="str">
        <f t="shared" si="1"/>
        <v>#DIV/0!</v>
      </c>
      <c r="H713" s="105" t="str">
        <f t="shared" si="2"/>
        <v>#DIV/0!</v>
      </c>
      <c r="I713" s="106" t="str">
        <f t="shared" si="3"/>
        <v>#DIV/0!</v>
      </c>
      <c r="J713" s="129">
        <v>0.0</v>
      </c>
      <c r="K713" s="103">
        <v>0.0</v>
      </c>
      <c r="L713" s="103">
        <v>0.0</v>
      </c>
      <c r="M713" s="130">
        <v>0.0</v>
      </c>
      <c r="N713" s="109" t="str">
        <f t="shared" si="276"/>
        <v>#DIV/0!</v>
      </c>
      <c r="O713" s="110" t="str">
        <f t="shared" si="5"/>
        <v>#DIV/0!</v>
      </c>
      <c r="P713" s="109" t="str">
        <f t="shared" si="6"/>
        <v>#DIV/0!</v>
      </c>
      <c r="Q713" s="111" t="str">
        <f t="shared" si="7"/>
        <v>#DIV/0!</v>
      </c>
      <c r="R713" s="131">
        <f t="shared" si="275"/>
        <v>0</v>
      </c>
      <c r="S713" s="113" t="str">
        <f t="shared" si="9"/>
        <v>#DIV/0!</v>
      </c>
      <c r="T713" s="114"/>
      <c r="U713" s="114"/>
      <c r="V713" s="114"/>
      <c r="W713" s="114"/>
      <c r="X713" s="115"/>
      <c r="Y713" s="98"/>
      <c r="Z713" s="98"/>
    </row>
    <row r="714" hidden="1" outlineLevel="1">
      <c r="A714" s="98"/>
      <c r="B714" s="116"/>
      <c r="C714" s="100" t="s">
        <v>41</v>
      </c>
      <c r="D714" s="132">
        <v>1526.71</v>
      </c>
      <c r="E714" s="103">
        <v>27.0</v>
      </c>
      <c r="F714" s="103">
        <v>22.0</v>
      </c>
      <c r="G714" s="104">
        <f t="shared" si="1"/>
        <v>1.227272727</v>
      </c>
      <c r="H714" s="105">
        <f t="shared" si="2"/>
        <v>56.54481481</v>
      </c>
      <c r="I714" s="106">
        <f t="shared" si="3"/>
        <v>46.07355281</v>
      </c>
      <c r="J714" s="132">
        <v>456.03</v>
      </c>
      <c r="K714" s="103">
        <v>40650.0</v>
      </c>
      <c r="L714" s="103">
        <v>6.0</v>
      </c>
      <c r="M714" s="133">
        <v>466.38</v>
      </c>
      <c r="N714" s="109">
        <f t="shared" si="276"/>
        <v>0.9778077962</v>
      </c>
      <c r="O714" s="110">
        <f t="shared" si="5"/>
        <v>1.022695875</v>
      </c>
      <c r="P714" s="109">
        <f t="shared" si="6"/>
        <v>0.2987011286</v>
      </c>
      <c r="Q714" s="111">
        <f t="shared" si="7"/>
        <v>0.3054804121</v>
      </c>
      <c r="R714" s="134">
        <f t="shared" si="275"/>
        <v>1060.33</v>
      </c>
      <c r="S714" s="113">
        <f t="shared" si="9"/>
        <v>76.005</v>
      </c>
      <c r="T714" s="114"/>
      <c r="U714" s="114"/>
      <c r="V714" s="114"/>
      <c r="W714" s="114"/>
      <c r="X714" s="115"/>
      <c r="Y714" s="98"/>
      <c r="Z714" s="98"/>
    </row>
    <row r="715" hidden="1" outlineLevel="1">
      <c r="A715" s="98"/>
      <c r="B715" s="116"/>
      <c r="C715" s="100" t="s">
        <v>42</v>
      </c>
      <c r="D715" s="120">
        <v>79.96</v>
      </c>
      <c r="E715" s="103">
        <v>4.0</v>
      </c>
      <c r="F715" s="103">
        <v>5.0</v>
      </c>
      <c r="G715" s="104">
        <f t="shared" si="1"/>
        <v>0.8</v>
      </c>
      <c r="H715" s="105">
        <f t="shared" si="2"/>
        <v>19.99</v>
      </c>
      <c r="I715" s="106">
        <f t="shared" si="3"/>
        <v>24.9875</v>
      </c>
      <c r="J715" s="120">
        <v>139.62</v>
      </c>
      <c r="K715" s="103">
        <v>49701.0</v>
      </c>
      <c r="L715" s="103">
        <v>8.0</v>
      </c>
      <c r="M715" s="121">
        <v>159.92</v>
      </c>
      <c r="N715" s="109">
        <f t="shared" si="276"/>
        <v>0.8730615308</v>
      </c>
      <c r="O715" s="110">
        <f t="shared" si="5"/>
        <v>1.145394643</v>
      </c>
      <c r="P715" s="109">
        <f t="shared" si="6"/>
        <v>1.746123062</v>
      </c>
      <c r="Q715" s="111">
        <f t="shared" si="7"/>
        <v>2</v>
      </c>
      <c r="R715" s="122">
        <f t="shared" si="275"/>
        <v>-79.96</v>
      </c>
      <c r="S715" s="113">
        <f t="shared" si="9"/>
        <v>17.4525</v>
      </c>
      <c r="T715" s="114"/>
      <c r="U715" s="114"/>
      <c r="V715" s="114"/>
      <c r="W715" s="114"/>
      <c r="X715" s="115"/>
      <c r="Y715" s="98"/>
      <c r="Z715" s="98"/>
    </row>
    <row r="716" hidden="1" outlineLevel="1">
      <c r="A716" s="98"/>
      <c r="B716" s="116"/>
      <c r="C716" s="100" t="s">
        <v>43</v>
      </c>
      <c r="D716" s="135">
        <v>767.81</v>
      </c>
      <c r="E716" s="103">
        <v>6.0</v>
      </c>
      <c r="F716" s="103">
        <v>7.0</v>
      </c>
      <c r="G716" s="104">
        <f t="shared" si="1"/>
        <v>0.8571428571</v>
      </c>
      <c r="H716" s="105">
        <f t="shared" si="2"/>
        <v>127.9683333</v>
      </c>
      <c r="I716" s="106">
        <f t="shared" si="3"/>
        <v>149.2963889</v>
      </c>
      <c r="J716" s="135">
        <v>94.38</v>
      </c>
      <c r="K716" s="103">
        <v>10987.0</v>
      </c>
      <c r="L716" s="103">
        <v>2.0</v>
      </c>
      <c r="M716" s="136">
        <v>146.22</v>
      </c>
      <c r="N716" s="109">
        <f t="shared" si="276"/>
        <v>0.6454657366</v>
      </c>
      <c r="O716" s="110">
        <f t="shared" si="5"/>
        <v>1.549268913</v>
      </c>
      <c r="P716" s="109">
        <f t="shared" si="6"/>
        <v>0.1229210352</v>
      </c>
      <c r="Q716" s="111">
        <f t="shared" si="7"/>
        <v>0.1904377385</v>
      </c>
      <c r="R716" s="137">
        <f t="shared" si="275"/>
        <v>621.59</v>
      </c>
      <c r="S716" s="113">
        <f t="shared" si="9"/>
        <v>47.19</v>
      </c>
      <c r="T716" s="114"/>
      <c r="U716" s="114"/>
      <c r="V716" s="114"/>
      <c r="W716" s="114"/>
      <c r="X716" s="115"/>
      <c r="Y716" s="98"/>
      <c r="Z716" s="98"/>
    </row>
    <row r="717" hidden="1" outlineLevel="1">
      <c r="A717" s="98"/>
      <c r="B717" s="116"/>
      <c r="C717" s="100" t="s">
        <v>44</v>
      </c>
      <c r="D717" s="138">
        <v>215.95</v>
      </c>
      <c r="E717" s="103">
        <v>5.0</v>
      </c>
      <c r="F717" s="103">
        <v>4.0</v>
      </c>
      <c r="G717" s="104">
        <f t="shared" si="1"/>
        <v>1.25</v>
      </c>
      <c r="H717" s="105">
        <f t="shared" si="2"/>
        <v>43.19</v>
      </c>
      <c r="I717" s="106">
        <f t="shared" si="3"/>
        <v>34.552</v>
      </c>
      <c r="J717" s="138">
        <v>132.9</v>
      </c>
      <c r="K717" s="103">
        <v>54020.0</v>
      </c>
      <c r="L717" s="103">
        <v>0.0</v>
      </c>
      <c r="M717" s="139">
        <v>0.0</v>
      </c>
      <c r="N717" s="109" t="str">
        <f t="shared" si="276"/>
        <v>#DIV/0!</v>
      </c>
      <c r="O717" s="110">
        <f t="shared" si="5"/>
        <v>0</v>
      </c>
      <c r="P717" s="109">
        <f t="shared" si="6"/>
        <v>0.6154202362</v>
      </c>
      <c r="Q717" s="111">
        <f t="shared" si="7"/>
        <v>0</v>
      </c>
      <c r="R717" s="140">
        <f t="shared" si="275"/>
        <v>215.95</v>
      </c>
      <c r="S717" s="113" t="str">
        <f t="shared" si="9"/>
        <v>#DIV/0!</v>
      </c>
      <c r="T717" s="114"/>
      <c r="U717" s="114"/>
      <c r="V717" s="114"/>
      <c r="W717" s="114"/>
      <c r="X717" s="115"/>
      <c r="Y717" s="98"/>
      <c r="Z717" s="98"/>
    </row>
    <row r="718" hidden="1" outlineLevel="1">
      <c r="A718" s="141"/>
      <c r="B718" s="116"/>
      <c r="C718" s="142" t="s">
        <v>45</v>
      </c>
      <c r="D718" s="101">
        <v>24.95</v>
      </c>
      <c r="E718" s="103">
        <v>1.0</v>
      </c>
      <c r="F718" s="103">
        <v>1.0</v>
      </c>
      <c r="G718" s="104">
        <f t="shared" si="1"/>
        <v>1</v>
      </c>
      <c r="H718" s="105">
        <f t="shared" si="2"/>
        <v>24.95</v>
      </c>
      <c r="I718" s="106">
        <f t="shared" si="3"/>
        <v>24.95</v>
      </c>
      <c r="J718" s="101">
        <v>0.0</v>
      </c>
      <c r="K718" s="103">
        <v>0.0</v>
      </c>
      <c r="L718" s="103">
        <v>0.0</v>
      </c>
      <c r="M718" s="108">
        <v>0.0</v>
      </c>
      <c r="N718" s="109" t="str">
        <f t="shared" si="276"/>
        <v>#DIV/0!</v>
      </c>
      <c r="O718" s="110" t="str">
        <f t="shared" si="5"/>
        <v>#DIV/0!</v>
      </c>
      <c r="P718" s="109">
        <f t="shared" si="6"/>
        <v>0</v>
      </c>
      <c r="Q718" s="111">
        <f t="shared" si="7"/>
        <v>0</v>
      </c>
      <c r="R718" s="112">
        <f t="shared" si="275"/>
        <v>24.95</v>
      </c>
      <c r="S718" s="113" t="str">
        <f t="shared" si="9"/>
        <v>#DIV/0!</v>
      </c>
      <c r="T718" s="143"/>
      <c r="U718" s="143"/>
      <c r="V718" s="143"/>
      <c r="W718" s="144"/>
      <c r="X718" s="145"/>
      <c r="Y718" s="98"/>
      <c r="Z718" s="98"/>
    </row>
    <row r="719" hidden="1" outlineLevel="1">
      <c r="A719" s="98"/>
      <c r="B719" s="116"/>
      <c r="C719" s="100" t="s">
        <v>46</v>
      </c>
      <c r="D719" s="146">
        <v>977.12</v>
      </c>
      <c r="E719" s="103">
        <v>27.0</v>
      </c>
      <c r="F719" s="103">
        <v>27.0</v>
      </c>
      <c r="G719" s="104">
        <f t="shared" si="1"/>
        <v>1</v>
      </c>
      <c r="H719" s="105">
        <f t="shared" si="2"/>
        <v>36.18962963</v>
      </c>
      <c r="I719" s="106">
        <f t="shared" si="3"/>
        <v>36.18962963</v>
      </c>
      <c r="J719" s="146">
        <v>186.93</v>
      </c>
      <c r="K719" s="103">
        <v>46308.0</v>
      </c>
      <c r="L719" s="103">
        <v>12.0</v>
      </c>
      <c r="M719" s="147">
        <v>206.95</v>
      </c>
      <c r="N719" s="109">
        <f t="shared" si="276"/>
        <v>0.9032616574</v>
      </c>
      <c r="O719" s="110">
        <f t="shared" si="5"/>
        <v>1.107098914</v>
      </c>
      <c r="P719" s="109">
        <f t="shared" si="6"/>
        <v>0.1913071066</v>
      </c>
      <c r="Q719" s="111">
        <f t="shared" si="7"/>
        <v>0.21179589</v>
      </c>
      <c r="R719" s="112">
        <f t="shared" si="275"/>
        <v>770.17</v>
      </c>
      <c r="S719" s="113">
        <f t="shared" si="9"/>
        <v>15.5775</v>
      </c>
      <c r="T719" s="114"/>
      <c r="U719" s="114"/>
      <c r="V719" s="114"/>
      <c r="W719" s="114"/>
      <c r="X719" s="115"/>
      <c r="Y719" s="98"/>
      <c r="Z719" s="98"/>
    </row>
    <row r="720" hidden="1" outlineLevel="1">
      <c r="A720" s="98"/>
      <c r="B720" s="116"/>
      <c r="C720" s="100" t="s">
        <v>47</v>
      </c>
      <c r="D720" s="117">
        <v>0.0</v>
      </c>
      <c r="E720" s="103">
        <v>0.0</v>
      </c>
      <c r="F720" s="103">
        <v>0.0</v>
      </c>
      <c r="G720" s="104" t="str">
        <f t="shared" si="1"/>
        <v>#DIV/0!</v>
      </c>
      <c r="H720" s="105" t="str">
        <f t="shared" si="2"/>
        <v>#DIV/0!</v>
      </c>
      <c r="I720" s="106" t="str">
        <f t="shared" si="3"/>
        <v>#DIV/0!</v>
      </c>
      <c r="J720" s="117">
        <v>0.0</v>
      </c>
      <c r="K720" s="103">
        <v>0.0</v>
      </c>
      <c r="L720" s="103">
        <v>0.0</v>
      </c>
      <c r="M720" s="118">
        <v>0.0</v>
      </c>
      <c r="N720" s="109" t="str">
        <f t="shared" si="276"/>
        <v>#DIV/0!</v>
      </c>
      <c r="O720" s="110" t="str">
        <f t="shared" si="5"/>
        <v>#DIV/0!</v>
      </c>
      <c r="P720" s="109" t="str">
        <f t="shared" si="6"/>
        <v>#DIV/0!</v>
      </c>
      <c r="Q720" s="111" t="str">
        <f t="shared" si="7"/>
        <v>#DIV/0!</v>
      </c>
      <c r="R720" s="112">
        <f t="shared" si="275"/>
        <v>0</v>
      </c>
      <c r="S720" s="113" t="str">
        <f t="shared" si="9"/>
        <v>#DIV/0!</v>
      </c>
      <c r="T720" s="114"/>
      <c r="U720" s="114"/>
      <c r="V720" s="114"/>
      <c r="W720" s="114"/>
      <c r="X720" s="115"/>
      <c r="Y720" s="98"/>
      <c r="Z720" s="98"/>
    </row>
    <row r="721" hidden="1" outlineLevel="1">
      <c r="A721" s="98"/>
      <c r="B721" s="116"/>
      <c r="C721" s="100" t="s">
        <v>48</v>
      </c>
      <c r="D721" s="132">
        <v>4339.11</v>
      </c>
      <c r="E721" s="103">
        <v>17.0</v>
      </c>
      <c r="F721" s="103">
        <v>18.0</v>
      </c>
      <c r="G721" s="104">
        <f t="shared" si="1"/>
        <v>0.9444444444</v>
      </c>
      <c r="H721" s="105">
        <f t="shared" si="2"/>
        <v>255.2417647</v>
      </c>
      <c r="I721" s="106">
        <f t="shared" si="3"/>
        <v>270.2559862</v>
      </c>
      <c r="J721" s="132">
        <v>464.98</v>
      </c>
      <c r="K721" s="103">
        <v>29954.0</v>
      </c>
      <c r="L721" s="103">
        <v>5.0</v>
      </c>
      <c r="M721" s="133">
        <v>1299.75</v>
      </c>
      <c r="N721" s="109">
        <f t="shared" si="276"/>
        <v>0.3577457203</v>
      </c>
      <c r="O721" s="110">
        <f t="shared" si="5"/>
        <v>2.795281517</v>
      </c>
      <c r="P721" s="109">
        <f t="shared" si="6"/>
        <v>0.1071602241</v>
      </c>
      <c r="Q721" s="111">
        <f t="shared" si="7"/>
        <v>0.2995429938</v>
      </c>
      <c r="R721" s="112">
        <f t="shared" si="275"/>
        <v>3039.36</v>
      </c>
      <c r="S721" s="113">
        <f t="shared" si="9"/>
        <v>92.996</v>
      </c>
      <c r="T721" s="114"/>
      <c r="U721" s="114"/>
      <c r="V721" s="114"/>
      <c r="W721" s="114"/>
      <c r="X721" s="115"/>
      <c r="Y721" s="98"/>
      <c r="Z721" s="98"/>
    </row>
    <row r="722" hidden="1" outlineLevel="1">
      <c r="A722" s="98"/>
      <c r="B722" s="116"/>
      <c r="C722" s="100" t="s">
        <v>49</v>
      </c>
      <c r="D722" s="146">
        <v>192.0</v>
      </c>
      <c r="E722" s="103">
        <v>2.0</v>
      </c>
      <c r="F722" s="103">
        <v>2.0</v>
      </c>
      <c r="G722" s="104">
        <f t="shared" si="1"/>
        <v>1</v>
      </c>
      <c r="H722" s="105">
        <f t="shared" si="2"/>
        <v>96</v>
      </c>
      <c r="I722" s="106">
        <f t="shared" si="3"/>
        <v>96</v>
      </c>
      <c r="J722" s="146">
        <v>10.34</v>
      </c>
      <c r="K722" s="103">
        <v>9702.0</v>
      </c>
      <c r="L722" s="103">
        <v>0.0</v>
      </c>
      <c r="M722" s="147">
        <v>0.0</v>
      </c>
      <c r="N722" s="109" t="str">
        <f t="shared" si="276"/>
        <v>#DIV/0!</v>
      </c>
      <c r="O722" s="110">
        <f t="shared" si="5"/>
        <v>0</v>
      </c>
      <c r="P722" s="109">
        <f t="shared" si="6"/>
        <v>0.05385416667</v>
      </c>
      <c r="Q722" s="111">
        <f t="shared" si="7"/>
        <v>0</v>
      </c>
      <c r="R722" s="112">
        <f t="shared" si="275"/>
        <v>192</v>
      </c>
      <c r="S722" s="113" t="str">
        <f t="shared" si="9"/>
        <v>#DIV/0!</v>
      </c>
      <c r="T722" s="114"/>
      <c r="U722" s="114"/>
      <c r="V722" s="114"/>
      <c r="W722" s="114"/>
      <c r="X722" s="115"/>
      <c r="Y722" s="98"/>
      <c r="Z722" s="98"/>
    </row>
    <row r="723" hidden="1" outlineLevel="1">
      <c r="A723" s="148" t="str">
        <f t="shared" ref="A723:A724" si="277">iferror(if(B723&gt;0,month(B723)&amp;"-"&amp;year(B723),B723),)</f>
        <v>11-2025</v>
      </c>
      <c r="B723" s="99">
        <v>45983.0</v>
      </c>
      <c r="C723" s="277" t="s">
        <v>67</v>
      </c>
      <c r="D723" s="146">
        <v>0.0</v>
      </c>
      <c r="E723" s="103">
        <v>0.0</v>
      </c>
      <c r="F723" s="103">
        <v>0.0</v>
      </c>
      <c r="G723" s="104" t="str">
        <f t="shared" si="1"/>
        <v>#DIV/0!</v>
      </c>
      <c r="H723" s="105" t="str">
        <f t="shared" si="2"/>
        <v>#DIV/0!</v>
      </c>
      <c r="I723" s="106" t="str">
        <f t="shared" si="3"/>
        <v>#DIV/0!</v>
      </c>
      <c r="J723" s="117">
        <v>2112.0</v>
      </c>
      <c r="K723" s="278">
        <v>184924.0</v>
      </c>
      <c r="L723" s="103">
        <v>0.0</v>
      </c>
      <c r="M723" s="118">
        <v>9216.0</v>
      </c>
      <c r="N723" s="109">
        <f t="shared" si="276"/>
        <v>0.2291666667</v>
      </c>
      <c r="O723" s="110">
        <f t="shared" si="5"/>
        <v>4.363636364</v>
      </c>
      <c r="P723" s="109" t="str">
        <f t="shared" si="6"/>
        <v>#DIV/0!</v>
      </c>
      <c r="Q723" s="111" t="str">
        <f t="shared" si="7"/>
        <v>#DIV/0!</v>
      </c>
      <c r="R723" s="112">
        <f t="shared" si="275"/>
        <v>-9216</v>
      </c>
      <c r="S723" s="113" t="str">
        <f t="shared" si="9"/>
        <v>#DIV/0!</v>
      </c>
      <c r="T723" s="114"/>
      <c r="U723" s="114"/>
      <c r="V723" s="114"/>
      <c r="W723" s="114"/>
      <c r="X723" s="115"/>
      <c r="Y723" s="98"/>
      <c r="Z723" s="98"/>
    </row>
    <row r="724" collapsed="1">
      <c r="A724" s="98" t="str">
        <f t="shared" si="277"/>
        <v/>
      </c>
      <c r="B724" s="80" t="s">
        <v>134</v>
      </c>
      <c r="C724" s="150"/>
      <c r="D724" s="151">
        <f t="shared" ref="D724:F724" si="278">SUM(D706:D723)</f>
        <v>22161.11</v>
      </c>
      <c r="E724" s="153">
        <f t="shared" si="278"/>
        <v>179</v>
      </c>
      <c r="F724" s="153">
        <f t="shared" si="278"/>
        <v>172</v>
      </c>
      <c r="G724" s="154">
        <f t="shared" si="1"/>
        <v>1.040697674</v>
      </c>
      <c r="H724" s="155">
        <f t="shared" si="2"/>
        <v>123.8050838</v>
      </c>
      <c r="I724" s="156">
        <f t="shared" si="3"/>
        <v>118.9635442</v>
      </c>
      <c r="J724" s="151">
        <f t="shared" ref="J724:M724" si="279">SUM(J706:J723)</f>
        <v>6692.47</v>
      </c>
      <c r="K724" s="153">
        <f t="shared" si="279"/>
        <v>1922853</v>
      </c>
      <c r="L724" s="153">
        <f t="shared" si="279"/>
        <v>63</v>
      </c>
      <c r="M724" s="157">
        <f t="shared" si="279"/>
        <v>14732.9</v>
      </c>
      <c r="N724" s="158">
        <f t="shared" si="276"/>
        <v>0.4542534056</v>
      </c>
      <c r="O724" s="159">
        <f t="shared" si="5"/>
        <v>2.201414425</v>
      </c>
      <c r="P724" s="158">
        <f t="shared" si="6"/>
        <v>0.3019916421</v>
      </c>
      <c r="Q724" s="160">
        <f t="shared" si="7"/>
        <v>0.6648087573</v>
      </c>
      <c r="R724" s="161">
        <f>SUM(R706:R723)</f>
        <v>7428.21</v>
      </c>
      <c r="S724" s="162">
        <f t="shared" si="9"/>
        <v>106.2296825</v>
      </c>
      <c r="T724" s="163">
        <f t="shared" ref="T724:U724" si="280">IFERROR((D724-D69)/D724,)</f>
        <v>0.6578998074</v>
      </c>
      <c r="U724" s="163">
        <f t="shared" si="280"/>
        <v>0.4748603352</v>
      </c>
      <c r="V724" s="164" t="str">
        <f t="shared" ref="V724:W724" si="281">IFERROR((D724-monthly_reporting_2021!D515)/D724, )</f>
        <v/>
      </c>
      <c r="W724" s="164" t="str">
        <f t="shared" si="281"/>
        <v/>
      </c>
      <c r="X724" s="98"/>
      <c r="Y724" s="98"/>
      <c r="Z724" s="98"/>
    </row>
    <row r="725" hidden="1" outlineLevel="1">
      <c r="A725" s="98"/>
      <c r="B725" s="99">
        <v>45984.0</v>
      </c>
      <c r="C725" s="100" t="s">
        <v>32</v>
      </c>
      <c r="D725" s="101">
        <v>16063.07</v>
      </c>
      <c r="E725" s="103">
        <v>57.0</v>
      </c>
      <c r="F725" s="103">
        <v>61.0</v>
      </c>
      <c r="G725" s="104">
        <f t="shared" si="1"/>
        <v>0.9344262295</v>
      </c>
      <c r="H725" s="105">
        <f t="shared" si="2"/>
        <v>281.8082456</v>
      </c>
      <c r="I725" s="106">
        <f t="shared" si="3"/>
        <v>301.5842629</v>
      </c>
      <c r="J725" s="107">
        <v>3476.06</v>
      </c>
      <c r="K725" s="103">
        <v>789555.0</v>
      </c>
      <c r="L725" s="103">
        <v>25.0</v>
      </c>
      <c r="M725" s="108">
        <v>5744.61</v>
      </c>
      <c r="N725" s="109">
        <f t="shared" si="276"/>
        <v>0.6050993888</v>
      </c>
      <c r="O725" s="110">
        <f t="shared" si="5"/>
        <v>1.652621071</v>
      </c>
      <c r="P725" s="109">
        <f t="shared" si="6"/>
        <v>0.2164007254</v>
      </c>
      <c r="Q725" s="111">
        <f t="shared" si="7"/>
        <v>0.3576283986</v>
      </c>
      <c r="R725" s="112">
        <f t="shared" ref="R725:R742" si="282">D725-M725</f>
        <v>10318.46</v>
      </c>
      <c r="S725" s="113">
        <f t="shared" si="9"/>
        <v>139.0424</v>
      </c>
      <c r="T725" s="114"/>
      <c r="U725" s="114"/>
      <c r="V725" s="114"/>
      <c r="W725" s="114"/>
      <c r="X725" s="115"/>
      <c r="Y725" s="98"/>
      <c r="Z725" s="98"/>
    </row>
    <row r="726" hidden="1" outlineLevel="1">
      <c r="A726" s="98"/>
      <c r="B726" s="116"/>
      <c r="C726" s="100" t="s">
        <v>33</v>
      </c>
      <c r="D726" s="117">
        <v>54500.36</v>
      </c>
      <c r="E726" s="103">
        <v>199.0</v>
      </c>
      <c r="F726" s="103">
        <v>200.0</v>
      </c>
      <c r="G726" s="104">
        <f t="shared" si="1"/>
        <v>0.995</v>
      </c>
      <c r="H726" s="105">
        <f t="shared" si="2"/>
        <v>273.8711558</v>
      </c>
      <c r="I726" s="106">
        <f t="shared" si="3"/>
        <v>275.2473927</v>
      </c>
      <c r="J726" s="117">
        <v>1711.79</v>
      </c>
      <c r="K726" s="103">
        <v>2002846.0</v>
      </c>
      <c r="L726" s="103">
        <v>63.0</v>
      </c>
      <c r="M726" s="118">
        <v>8752.78</v>
      </c>
      <c r="N726" s="109">
        <f t="shared" si="276"/>
        <v>0.1955710072</v>
      </c>
      <c r="O726" s="110">
        <f t="shared" si="5"/>
        <v>5.113232347</v>
      </c>
      <c r="P726" s="109">
        <f t="shared" si="6"/>
        <v>0.03140878335</v>
      </c>
      <c r="Q726" s="111">
        <f t="shared" si="7"/>
        <v>0.160600407</v>
      </c>
      <c r="R726" s="119">
        <f t="shared" si="282"/>
        <v>45747.58</v>
      </c>
      <c r="S726" s="113">
        <f t="shared" si="9"/>
        <v>27.17126984</v>
      </c>
      <c r="T726" s="114"/>
      <c r="U726" s="114"/>
      <c r="V726" s="114"/>
      <c r="W726" s="114"/>
      <c r="X726" s="115"/>
      <c r="Y726" s="98"/>
      <c r="Z726" s="98"/>
    </row>
    <row r="727" hidden="1" outlineLevel="1">
      <c r="A727" s="98"/>
      <c r="B727" s="116"/>
      <c r="C727" s="100" t="s">
        <v>34</v>
      </c>
      <c r="D727" s="120">
        <v>0.0</v>
      </c>
      <c r="E727" s="103">
        <v>0.0</v>
      </c>
      <c r="F727" s="103">
        <v>0.0</v>
      </c>
      <c r="G727" s="104" t="str">
        <f t="shared" si="1"/>
        <v>#DIV/0!</v>
      </c>
      <c r="H727" s="105" t="str">
        <f t="shared" si="2"/>
        <v>#DIV/0!</v>
      </c>
      <c r="I727" s="106" t="str">
        <f t="shared" si="3"/>
        <v>#DIV/0!</v>
      </c>
      <c r="J727" s="120">
        <v>0.0</v>
      </c>
      <c r="K727" s="103">
        <v>229.0</v>
      </c>
      <c r="L727" s="103">
        <v>0.0</v>
      </c>
      <c r="M727" s="121">
        <v>0.0</v>
      </c>
      <c r="N727" s="109" t="str">
        <f>(J727/M727)</f>
        <v>#DIV/0!</v>
      </c>
      <c r="O727" s="110" t="str">
        <f t="shared" si="5"/>
        <v>#DIV/0!</v>
      </c>
      <c r="P727" s="109" t="str">
        <f t="shared" si="6"/>
        <v>#DIV/0!</v>
      </c>
      <c r="Q727" s="111" t="str">
        <f t="shared" si="7"/>
        <v>#DIV/0!</v>
      </c>
      <c r="R727" s="122">
        <f t="shared" si="282"/>
        <v>0</v>
      </c>
      <c r="S727" s="113" t="str">
        <f t="shared" si="9"/>
        <v>#DIV/0!</v>
      </c>
      <c r="T727" s="114"/>
      <c r="U727" s="114"/>
      <c r="V727" s="114"/>
      <c r="W727" s="114"/>
      <c r="X727" s="115"/>
      <c r="Y727" s="98"/>
      <c r="Z727" s="98"/>
    </row>
    <row r="728" hidden="1" outlineLevel="1">
      <c r="A728" s="98"/>
      <c r="B728" s="116"/>
      <c r="C728" s="100" t="s">
        <v>35</v>
      </c>
      <c r="D728" s="120">
        <v>1404.04</v>
      </c>
      <c r="E728" s="103">
        <v>38.0</v>
      </c>
      <c r="F728" s="103">
        <v>29.0</v>
      </c>
      <c r="G728" s="104">
        <f t="shared" si="1"/>
        <v>1.310344828</v>
      </c>
      <c r="H728" s="105">
        <f t="shared" si="2"/>
        <v>36.94842105</v>
      </c>
      <c r="I728" s="106">
        <f t="shared" si="3"/>
        <v>28.19747922</v>
      </c>
      <c r="J728" s="120">
        <v>258.76</v>
      </c>
      <c r="K728" s="103">
        <v>17785.0</v>
      </c>
      <c r="L728" s="103">
        <v>17.0</v>
      </c>
      <c r="M728" s="121">
        <v>635.47</v>
      </c>
      <c r="N728" s="109">
        <f t="shared" ref="N728:N745" si="283">J728/M728</f>
        <v>0.4071946748</v>
      </c>
      <c r="O728" s="110">
        <f t="shared" si="5"/>
        <v>2.455827794</v>
      </c>
      <c r="P728" s="109">
        <f t="shared" si="6"/>
        <v>0.1842967437</v>
      </c>
      <c r="Q728" s="111">
        <f t="shared" si="7"/>
        <v>0.4526010655</v>
      </c>
      <c r="R728" s="122">
        <f t="shared" si="282"/>
        <v>768.57</v>
      </c>
      <c r="S728" s="113">
        <f t="shared" si="9"/>
        <v>15.22117647</v>
      </c>
      <c r="T728" s="114"/>
      <c r="U728" s="114"/>
      <c r="V728" s="114"/>
      <c r="W728" s="114"/>
      <c r="X728" s="115"/>
      <c r="Y728" s="98"/>
      <c r="Z728" s="98"/>
    </row>
    <row r="729" hidden="1" outlineLevel="1">
      <c r="A729" s="98"/>
      <c r="B729" s="116"/>
      <c r="C729" s="100" t="s">
        <v>36</v>
      </c>
      <c r="D729" s="120">
        <v>551.56</v>
      </c>
      <c r="E729" s="103">
        <v>14.0</v>
      </c>
      <c r="F729" s="103">
        <v>11.0</v>
      </c>
      <c r="G729" s="104">
        <f t="shared" si="1"/>
        <v>1.272727273</v>
      </c>
      <c r="H729" s="105">
        <f t="shared" si="2"/>
        <v>39.39714286</v>
      </c>
      <c r="I729" s="106">
        <f t="shared" si="3"/>
        <v>30.95489796</v>
      </c>
      <c r="J729" s="120">
        <v>41.14</v>
      </c>
      <c r="K729" s="103">
        <v>11966.0</v>
      </c>
      <c r="L729" s="103">
        <v>3.0</v>
      </c>
      <c r="M729" s="121">
        <v>119.91</v>
      </c>
      <c r="N729" s="109">
        <f t="shared" si="283"/>
        <v>0.3430906513</v>
      </c>
      <c r="O729" s="110">
        <f t="shared" si="5"/>
        <v>2.914681575</v>
      </c>
      <c r="P729" s="109">
        <f t="shared" si="6"/>
        <v>0.07458844006</v>
      </c>
      <c r="Q729" s="111">
        <f t="shared" si="7"/>
        <v>0.217401552</v>
      </c>
      <c r="R729" s="122">
        <f t="shared" si="282"/>
        <v>431.65</v>
      </c>
      <c r="S729" s="113">
        <f t="shared" si="9"/>
        <v>13.71333333</v>
      </c>
      <c r="T729" s="114"/>
      <c r="U729" s="114"/>
      <c r="V729" s="114"/>
      <c r="W729" s="114"/>
      <c r="X729" s="115"/>
      <c r="Y729" s="98"/>
      <c r="Z729" s="98"/>
    </row>
    <row r="730" hidden="1" outlineLevel="1">
      <c r="A730" s="98"/>
      <c r="B730" s="99" t="s">
        <v>37</v>
      </c>
      <c r="C730" s="100" t="s">
        <v>38</v>
      </c>
      <c r="D730" s="123">
        <v>654.41</v>
      </c>
      <c r="E730" s="103">
        <v>16.0</v>
      </c>
      <c r="F730" s="103">
        <v>17.0</v>
      </c>
      <c r="G730" s="104">
        <f t="shared" si="1"/>
        <v>0.9411764706</v>
      </c>
      <c r="H730" s="105">
        <f t="shared" si="2"/>
        <v>40.900625</v>
      </c>
      <c r="I730" s="106">
        <f t="shared" si="3"/>
        <v>43.45691406</v>
      </c>
      <c r="J730" s="123">
        <v>49.76</v>
      </c>
      <c r="K730" s="103">
        <v>12426.0</v>
      </c>
      <c r="L730" s="103">
        <v>4.0</v>
      </c>
      <c r="M730" s="124">
        <v>89.92</v>
      </c>
      <c r="N730" s="109">
        <f t="shared" si="283"/>
        <v>0.5533807829</v>
      </c>
      <c r="O730" s="110">
        <f t="shared" si="5"/>
        <v>1.807073955</v>
      </c>
      <c r="P730" s="109">
        <f t="shared" si="6"/>
        <v>0.07603795786</v>
      </c>
      <c r="Q730" s="111">
        <f t="shared" si="7"/>
        <v>0.1374062132</v>
      </c>
      <c r="R730" s="125">
        <f t="shared" si="282"/>
        <v>564.49</v>
      </c>
      <c r="S730" s="113">
        <f t="shared" si="9"/>
        <v>12.44</v>
      </c>
      <c r="T730" s="114"/>
      <c r="U730" s="114"/>
      <c r="V730" s="114"/>
      <c r="W730" s="114"/>
      <c r="X730" s="115"/>
      <c r="Y730" s="98"/>
      <c r="Z730" s="98"/>
    </row>
    <row r="731" hidden="1" outlineLevel="1">
      <c r="A731" s="98"/>
      <c r="B731" s="116"/>
      <c r="C731" s="100" t="s">
        <v>39</v>
      </c>
      <c r="D731" s="126">
        <v>0.0</v>
      </c>
      <c r="E731" s="103">
        <v>0.0</v>
      </c>
      <c r="F731" s="103">
        <v>0.0</v>
      </c>
      <c r="G731" s="104" t="str">
        <f t="shared" si="1"/>
        <v>#DIV/0!</v>
      </c>
      <c r="H731" s="105" t="str">
        <f t="shared" si="2"/>
        <v>#DIV/0!</v>
      </c>
      <c r="I731" s="106" t="str">
        <f t="shared" si="3"/>
        <v>#DIV/0!</v>
      </c>
      <c r="J731" s="126">
        <v>0.0</v>
      </c>
      <c r="K731" s="103">
        <v>0.0</v>
      </c>
      <c r="L731" s="103">
        <v>0.0</v>
      </c>
      <c r="M731" s="127">
        <v>0.0</v>
      </c>
      <c r="N731" s="109" t="str">
        <f t="shared" si="283"/>
        <v>#DIV/0!</v>
      </c>
      <c r="O731" s="110" t="str">
        <f t="shared" si="5"/>
        <v>#DIV/0!</v>
      </c>
      <c r="P731" s="109" t="str">
        <f t="shared" si="6"/>
        <v>#DIV/0!</v>
      </c>
      <c r="Q731" s="111" t="str">
        <f t="shared" si="7"/>
        <v>#DIV/0!</v>
      </c>
      <c r="R731" s="128">
        <f t="shared" si="282"/>
        <v>0</v>
      </c>
      <c r="S731" s="113" t="str">
        <f t="shared" si="9"/>
        <v>#DIV/0!</v>
      </c>
      <c r="T731" s="114"/>
      <c r="U731" s="114"/>
      <c r="V731" s="114"/>
      <c r="W731" s="114"/>
      <c r="X731" s="115"/>
      <c r="Y731" s="98"/>
      <c r="Z731" s="98"/>
    </row>
    <row r="732" hidden="1" outlineLevel="1">
      <c r="A732" s="98"/>
      <c r="B732" s="116"/>
      <c r="C732" s="100" t="s">
        <v>40</v>
      </c>
      <c r="D732" s="129">
        <v>0.0</v>
      </c>
      <c r="E732" s="103">
        <v>0.0</v>
      </c>
      <c r="F732" s="103">
        <v>0.0</v>
      </c>
      <c r="G732" s="104" t="str">
        <f t="shared" si="1"/>
        <v>#DIV/0!</v>
      </c>
      <c r="H732" s="105" t="str">
        <f t="shared" si="2"/>
        <v>#DIV/0!</v>
      </c>
      <c r="I732" s="106" t="str">
        <f t="shared" si="3"/>
        <v>#DIV/0!</v>
      </c>
      <c r="J732" s="129">
        <v>0.0</v>
      </c>
      <c r="K732" s="103">
        <v>0.0</v>
      </c>
      <c r="L732" s="103">
        <v>0.0</v>
      </c>
      <c r="M732" s="130">
        <v>0.0</v>
      </c>
      <c r="N732" s="109" t="str">
        <f t="shared" si="283"/>
        <v>#DIV/0!</v>
      </c>
      <c r="O732" s="110" t="str">
        <f t="shared" si="5"/>
        <v>#DIV/0!</v>
      </c>
      <c r="P732" s="109" t="str">
        <f t="shared" si="6"/>
        <v>#DIV/0!</v>
      </c>
      <c r="Q732" s="111" t="str">
        <f t="shared" si="7"/>
        <v>#DIV/0!</v>
      </c>
      <c r="R732" s="131">
        <f t="shared" si="282"/>
        <v>0</v>
      </c>
      <c r="S732" s="113" t="str">
        <f t="shared" si="9"/>
        <v>#DIV/0!</v>
      </c>
      <c r="T732" s="114"/>
      <c r="U732" s="114"/>
      <c r="V732" s="114"/>
      <c r="W732" s="114"/>
      <c r="X732" s="115"/>
      <c r="Y732" s="98"/>
      <c r="Z732" s="98"/>
    </row>
    <row r="733" hidden="1" outlineLevel="1">
      <c r="A733" s="98"/>
      <c r="B733" s="116"/>
      <c r="C733" s="100" t="s">
        <v>41</v>
      </c>
      <c r="D733" s="132">
        <v>3504.03</v>
      </c>
      <c r="E733" s="103">
        <v>79.0</v>
      </c>
      <c r="F733" s="103">
        <v>58.0</v>
      </c>
      <c r="G733" s="104">
        <f t="shared" si="1"/>
        <v>1.362068966</v>
      </c>
      <c r="H733" s="105">
        <f t="shared" si="2"/>
        <v>44.35481013</v>
      </c>
      <c r="I733" s="106">
        <f t="shared" si="3"/>
        <v>32.56429098</v>
      </c>
      <c r="J733" s="132">
        <v>586.68</v>
      </c>
      <c r="K733" s="103">
        <v>37948.0</v>
      </c>
      <c r="L733" s="103">
        <v>25.0</v>
      </c>
      <c r="M733" s="133">
        <v>1499.48</v>
      </c>
      <c r="N733" s="109">
        <f t="shared" si="283"/>
        <v>0.3912556353</v>
      </c>
      <c r="O733" s="110">
        <f t="shared" si="5"/>
        <v>2.55587373</v>
      </c>
      <c r="P733" s="109">
        <f t="shared" si="6"/>
        <v>0.1674300734</v>
      </c>
      <c r="Q733" s="111">
        <f t="shared" si="7"/>
        <v>0.4279301262</v>
      </c>
      <c r="R733" s="134">
        <f t="shared" si="282"/>
        <v>2004.55</v>
      </c>
      <c r="S733" s="113">
        <f t="shared" si="9"/>
        <v>23.4672</v>
      </c>
      <c r="T733" s="114"/>
      <c r="U733" s="114"/>
      <c r="V733" s="114"/>
      <c r="W733" s="114"/>
      <c r="X733" s="115"/>
      <c r="Y733" s="98"/>
      <c r="Z733" s="98"/>
    </row>
    <row r="734" hidden="1" outlineLevel="1">
      <c r="A734" s="98"/>
      <c r="B734" s="116"/>
      <c r="C734" s="100" t="s">
        <v>42</v>
      </c>
      <c r="D734" s="120">
        <v>69.92</v>
      </c>
      <c r="E734" s="103">
        <v>4.0</v>
      </c>
      <c r="F734" s="103">
        <v>4.0</v>
      </c>
      <c r="G734" s="104">
        <f t="shared" si="1"/>
        <v>1</v>
      </c>
      <c r="H734" s="105">
        <f t="shared" si="2"/>
        <v>17.48</v>
      </c>
      <c r="I734" s="106">
        <f t="shared" si="3"/>
        <v>17.48</v>
      </c>
      <c r="J734" s="120">
        <v>107.2</v>
      </c>
      <c r="K734" s="103">
        <v>37986.0</v>
      </c>
      <c r="L734" s="103">
        <v>3.0</v>
      </c>
      <c r="M734" s="121">
        <v>59.97</v>
      </c>
      <c r="N734" s="109">
        <f t="shared" si="283"/>
        <v>1.787560447</v>
      </c>
      <c r="O734" s="110">
        <f t="shared" si="5"/>
        <v>0.5594216418</v>
      </c>
      <c r="P734" s="109">
        <f t="shared" si="6"/>
        <v>1.533180778</v>
      </c>
      <c r="Q734" s="111">
        <f t="shared" si="7"/>
        <v>0.857694508</v>
      </c>
      <c r="R734" s="122">
        <f t="shared" si="282"/>
        <v>9.95</v>
      </c>
      <c r="S734" s="113">
        <f t="shared" si="9"/>
        <v>35.73333333</v>
      </c>
      <c r="T734" s="114"/>
      <c r="U734" s="114"/>
      <c r="V734" s="114"/>
      <c r="W734" s="114"/>
      <c r="X734" s="115"/>
      <c r="Y734" s="98"/>
      <c r="Z734" s="98"/>
    </row>
    <row r="735" hidden="1" outlineLevel="1">
      <c r="A735" s="98"/>
      <c r="B735" s="116"/>
      <c r="C735" s="100" t="s">
        <v>43</v>
      </c>
      <c r="D735" s="135">
        <v>4789.59</v>
      </c>
      <c r="E735" s="103">
        <v>43.0</v>
      </c>
      <c r="F735" s="103">
        <v>42.0</v>
      </c>
      <c r="G735" s="104">
        <f t="shared" si="1"/>
        <v>1.023809524</v>
      </c>
      <c r="H735" s="105">
        <f t="shared" si="2"/>
        <v>111.385814</v>
      </c>
      <c r="I735" s="106">
        <f t="shared" si="3"/>
        <v>108.7954462</v>
      </c>
      <c r="J735" s="135">
        <v>77.52</v>
      </c>
      <c r="K735" s="103">
        <v>15141.0</v>
      </c>
      <c r="L735" s="103">
        <v>3.0</v>
      </c>
      <c r="M735" s="136">
        <v>146.22</v>
      </c>
      <c r="N735" s="109">
        <f t="shared" si="283"/>
        <v>0.5301600328</v>
      </c>
      <c r="O735" s="110">
        <f t="shared" si="5"/>
        <v>1.88622291</v>
      </c>
      <c r="P735" s="109">
        <f t="shared" si="6"/>
        <v>0.01618510144</v>
      </c>
      <c r="Q735" s="111">
        <f t="shared" si="7"/>
        <v>0.03052870914</v>
      </c>
      <c r="R735" s="137">
        <f t="shared" si="282"/>
        <v>4643.37</v>
      </c>
      <c r="S735" s="113">
        <f t="shared" si="9"/>
        <v>25.84</v>
      </c>
      <c r="T735" s="114"/>
      <c r="U735" s="114"/>
      <c r="V735" s="114"/>
      <c r="W735" s="114"/>
      <c r="X735" s="115"/>
      <c r="Y735" s="98"/>
      <c r="Z735" s="98"/>
    </row>
    <row r="736" hidden="1" outlineLevel="1">
      <c r="A736" s="98"/>
      <c r="B736" s="116"/>
      <c r="C736" s="100" t="s">
        <v>44</v>
      </c>
      <c r="D736" s="138">
        <v>317.77</v>
      </c>
      <c r="E736" s="103">
        <v>9.0</v>
      </c>
      <c r="F736" s="103">
        <v>8.0</v>
      </c>
      <c r="G736" s="104">
        <f t="shared" si="1"/>
        <v>1.125</v>
      </c>
      <c r="H736" s="105">
        <f t="shared" si="2"/>
        <v>35.30777778</v>
      </c>
      <c r="I736" s="106">
        <f t="shared" si="3"/>
        <v>31.38469136</v>
      </c>
      <c r="J736" s="138">
        <v>92.06</v>
      </c>
      <c r="K736" s="103">
        <v>31307.0</v>
      </c>
      <c r="L736" s="103">
        <v>3.0</v>
      </c>
      <c r="M736" s="139">
        <v>128.92</v>
      </c>
      <c r="N736" s="109">
        <f t="shared" si="283"/>
        <v>0.714086255</v>
      </c>
      <c r="O736" s="110">
        <f t="shared" si="5"/>
        <v>1.400391049</v>
      </c>
      <c r="P736" s="109">
        <f t="shared" si="6"/>
        <v>0.2897063914</v>
      </c>
      <c r="Q736" s="111">
        <f t="shared" si="7"/>
        <v>0.4057022375</v>
      </c>
      <c r="R736" s="140">
        <f t="shared" si="282"/>
        <v>188.85</v>
      </c>
      <c r="S736" s="113">
        <f t="shared" si="9"/>
        <v>30.68666667</v>
      </c>
      <c r="T736" s="114"/>
      <c r="U736" s="114"/>
      <c r="V736" s="114"/>
      <c r="W736" s="114"/>
      <c r="X736" s="115"/>
      <c r="Y736" s="98"/>
      <c r="Z736" s="98"/>
    </row>
    <row r="737" hidden="1" outlineLevel="1">
      <c r="A737" s="141"/>
      <c r="B737" s="116"/>
      <c r="C737" s="142" t="s">
        <v>45</v>
      </c>
      <c r="D737" s="101">
        <v>0.0</v>
      </c>
      <c r="E737" s="103">
        <v>0.0</v>
      </c>
      <c r="F737" s="103">
        <v>0.0</v>
      </c>
      <c r="G737" s="104" t="str">
        <f t="shared" si="1"/>
        <v>#DIV/0!</v>
      </c>
      <c r="H737" s="105" t="str">
        <f t="shared" si="2"/>
        <v>#DIV/0!</v>
      </c>
      <c r="I737" s="106" t="str">
        <f t="shared" si="3"/>
        <v>#DIV/0!</v>
      </c>
      <c r="J737" s="101">
        <v>0.0</v>
      </c>
      <c r="K737" s="103">
        <v>0.0</v>
      </c>
      <c r="L737" s="103">
        <v>0.0</v>
      </c>
      <c r="M737" s="108">
        <v>0.0</v>
      </c>
      <c r="N737" s="109" t="str">
        <f t="shared" si="283"/>
        <v>#DIV/0!</v>
      </c>
      <c r="O737" s="110" t="str">
        <f t="shared" si="5"/>
        <v>#DIV/0!</v>
      </c>
      <c r="P737" s="109" t="str">
        <f t="shared" si="6"/>
        <v>#DIV/0!</v>
      </c>
      <c r="Q737" s="111" t="str">
        <f t="shared" si="7"/>
        <v>#DIV/0!</v>
      </c>
      <c r="R737" s="112">
        <f t="shared" si="282"/>
        <v>0</v>
      </c>
      <c r="S737" s="113" t="str">
        <f t="shared" si="9"/>
        <v>#DIV/0!</v>
      </c>
      <c r="T737" s="143"/>
      <c r="U737" s="143"/>
      <c r="V737" s="143"/>
      <c r="W737" s="144"/>
      <c r="X737" s="145"/>
      <c r="Y737" s="98"/>
      <c r="Z737" s="98"/>
    </row>
    <row r="738" hidden="1" outlineLevel="1">
      <c r="A738" s="98"/>
      <c r="B738" s="116"/>
      <c r="C738" s="100" t="s">
        <v>46</v>
      </c>
      <c r="D738" s="146">
        <v>2299.2</v>
      </c>
      <c r="E738" s="103">
        <v>66.0</v>
      </c>
      <c r="F738" s="103">
        <v>63.0</v>
      </c>
      <c r="G738" s="104">
        <f t="shared" si="1"/>
        <v>1.047619048</v>
      </c>
      <c r="H738" s="105">
        <f t="shared" si="2"/>
        <v>34.83636364</v>
      </c>
      <c r="I738" s="106">
        <f t="shared" si="3"/>
        <v>33.25289256</v>
      </c>
      <c r="J738" s="146">
        <v>177.1</v>
      </c>
      <c r="K738" s="103">
        <v>25398.0</v>
      </c>
      <c r="L738" s="103">
        <v>21.0</v>
      </c>
      <c r="M738" s="147">
        <v>579.74</v>
      </c>
      <c r="N738" s="109">
        <f t="shared" si="283"/>
        <v>0.3054817677</v>
      </c>
      <c r="O738" s="110">
        <f t="shared" si="5"/>
        <v>3.273517787</v>
      </c>
      <c r="P738" s="109">
        <f t="shared" si="6"/>
        <v>0.07702679193</v>
      </c>
      <c r="Q738" s="111">
        <f t="shared" si="7"/>
        <v>0.2521485734</v>
      </c>
      <c r="R738" s="112">
        <f t="shared" si="282"/>
        <v>1719.46</v>
      </c>
      <c r="S738" s="113">
        <f t="shared" si="9"/>
        <v>8.433333333</v>
      </c>
      <c r="T738" s="114"/>
      <c r="U738" s="114"/>
      <c r="V738" s="114"/>
      <c r="W738" s="114"/>
      <c r="X738" s="115"/>
      <c r="Y738" s="98"/>
      <c r="Z738" s="98"/>
    </row>
    <row r="739" hidden="1" outlineLevel="1">
      <c r="A739" s="98"/>
      <c r="B739" s="116"/>
      <c r="C739" s="100" t="s">
        <v>47</v>
      </c>
      <c r="D739" s="117">
        <v>149.75</v>
      </c>
      <c r="E739" s="103">
        <v>5.0</v>
      </c>
      <c r="F739" s="103">
        <v>2.0</v>
      </c>
      <c r="G739" s="104">
        <f t="shared" si="1"/>
        <v>2.5</v>
      </c>
      <c r="H739" s="105">
        <f t="shared" si="2"/>
        <v>29.95</v>
      </c>
      <c r="I739" s="106">
        <f t="shared" si="3"/>
        <v>11.98</v>
      </c>
      <c r="J739" s="117">
        <v>0.0</v>
      </c>
      <c r="K739" s="103">
        <v>0.0</v>
      </c>
      <c r="L739" s="103">
        <v>0.0</v>
      </c>
      <c r="M739" s="118">
        <v>0.0</v>
      </c>
      <c r="N739" s="109" t="str">
        <f t="shared" si="283"/>
        <v>#DIV/0!</v>
      </c>
      <c r="O739" s="110" t="str">
        <f t="shared" si="5"/>
        <v>#DIV/0!</v>
      </c>
      <c r="P739" s="109">
        <f t="shared" si="6"/>
        <v>0</v>
      </c>
      <c r="Q739" s="111">
        <f t="shared" si="7"/>
        <v>0</v>
      </c>
      <c r="R739" s="112">
        <f t="shared" si="282"/>
        <v>149.75</v>
      </c>
      <c r="S739" s="113" t="str">
        <f t="shared" si="9"/>
        <v>#DIV/0!</v>
      </c>
      <c r="T739" s="114"/>
      <c r="U739" s="114"/>
      <c r="V739" s="114"/>
      <c r="W739" s="114"/>
      <c r="X739" s="115"/>
      <c r="Y739" s="98"/>
      <c r="Z739" s="98"/>
    </row>
    <row r="740" hidden="1" outlineLevel="1">
      <c r="A740" s="98"/>
      <c r="B740" s="116"/>
      <c r="C740" s="100" t="s">
        <v>48</v>
      </c>
      <c r="D740" s="132">
        <v>6311.75</v>
      </c>
      <c r="E740" s="103">
        <v>43.0</v>
      </c>
      <c r="F740" s="103">
        <v>43.0</v>
      </c>
      <c r="G740" s="104">
        <f t="shared" si="1"/>
        <v>1</v>
      </c>
      <c r="H740" s="105">
        <f t="shared" si="2"/>
        <v>146.7848837</v>
      </c>
      <c r="I740" s="106">
        <f t="shared" si="3"/>
        <v>146.7848837</v>
      </c>
      <c r="J740" s="132">
        <v>718.92</v>
      </c>
      <c r="K740" s="103">
        <v>39216.0</v>
      </c>
      <c r="L740" s="103">
        <v>15.0</v>
      </c>
      <c r="M740" s="133">
        <v>2033.55</v>
      </c>
      <c r="N740" s="109">
        <f t="shared" si="283"/>
        <v>0.3535295419</v>
      </c>
      <c r="O740" s="110">
        <f t="shared" si="5"/>
        <v>2.828617927</v>
      </c>
      <c r="P740" s="109">
        <f t="shared" si="6"/>
        <v>0.1139018497</v>
      </c>
      <c r="Q740" s="111">
        <f t="shared" si="7"/>
        <v>0.322184814</v>
      </c>
      <c r="R740" s="112">
        <f t="shared" si="282"/>
        <v>4278.2</v>
      </c>
      <c r="S740" s="113">
        <f t="shared" si="9"/>
        <v>47.928</v>
      </c>
      <c r="T740" s="114"/>
      <c r="U740" s="114"/>
      <c r="V740" s="114"/>
      <c r="W740" s="114"/>
      <c r="X740" s="115"/>
      <c r="Y740" s="98"/>
      <c r="Z740" s="98"/>
    </row>
    <row r="741" hidden="1" outlineLevel="1">
      <c r="A741" s="98"/>
      <c r="B741" s="116"/>
      <c r="C741" s="100" t="s">
        <v>49</v>
      </c>
      <c r="D741" s="146">
        <v>81.75</v>
      </c>
      <c r="E741" s="103">
        <v>1.0</v>
      </c>
      <c r="F741" s="103">
        <v>1.0</v>
      </c>
      <c r="G741" s="104">
        <f t="shared" si="1"/>
        <v>1</v>
      </c>
      <c r="H741" s="105">
        <f t="shared" si="2"/>
        <v>81.75</v>
      </c>
      <c r="I741" s="106">
        <f t="shared" si="3"/>
        <v>81.75</v>
      </c>
      <c r="J741" s="146">
        <v>15.9</v>
      </c>
      <c r="K741" s="103">
        <v>9569.0</v>
      </c>
      <c r="L741" s="103">
        <v>0.0</v>
      </c>
      <c r="M741" s="147">
        <v>0.0</v>
      </c>
      <c r="N741" s="109" t="str">
        <f t="shared" si="283"/>
        <v>#DIV/0!</v>
      </c>
      <c r="O741" s="110">
        <f t="shared" si="5"/>
        <v>0</v>
      </c>
      <c r="P741" s="109">
        <f t="shared" si="6"/>
        <v>0.1944954128</v>
      </c>
      <c r="Q741" s="111">
        <f t="shared" si="7"/>
        <v>0</v>
      </c>
      <c r="R741" s="112">
        <f t="shared" si="282"/>
        <v>81.75</v>
      </c>
      <c r="S741" s="113" t="str">
        <f t="shared" si="9"/>
        <v>#DIV/0!</v>
      </c>
      <c r="T741" s="114"/>
      <c r="U741" s="114"/>
      <c r="V741" s="114"/>
      <c r="W741" s="114"/>
      <c r="X741" s="115"/>
      <c r="Y741" s="98"/>
      <c r="Z741" s="98"/>
    </row>
    <row r="742" hidden="1" outlineLevel="1">
      <c r="A742" s="148" t="str">
        <f t="shared" ref="A742:A743" si="284">iferror(if(B742&gt;0,month(B742)&amp;"-"&amp;year(B742),B742),)</f>
        <v>11-2025</v>
      </c>
      <c r="B742" s="99">
        <v>45990.0</v>
      </c>
      <c r="C742" s="277" t="s">
        <v>67</v>
      </c>
      <c r="D742" s="146">
        <v>0.0</v>
      </c>
      <c r="E742" s="103">
        <v>0.0</v>
      </c>
      <c r="F742" s="103">
        <v>0.0</v>
      </c>
      <c r="G742" s="104" t="str">
        <f t="shared" si="1"/>
        <v>#DIV/0!</v>
      </c>
      <c r="H742" s="105" t="str">
        <f t="shared" si="2"/>
        <v>#DIV/0!</v>
      </c>
      <c r="I742" s="106" t="str">
        <f t="shared" si="3"/>
        <v>#DIV/0!</v>
      </c>
      <c r="J742" s="117">
        <v>4957.009999999999</v>
      </c>
      <c r="K742" s="278">
        <v>315237.0</v>
      </c>
      <c r="L742" s="103">
        <v>0.0</v>
      </c>
      <c r="M742" s="118">
        <v>34658.96</v>
      </c>
      <c r="N742" s="109">
        <f t="shared" si="283"/>
        <v>0.1430224681</v>
      </c>
      <c r="O742" s="110">
        <f t="shared" si="5"/>
        <v>6.991908429</v>
      </c>
      <c r="P742" s="109" t="str">
        <f t="shared" si="6"/>
        <v>#DIV/0!</v>
      </c>
      <c r="Q742" s="111" t="str">
        <f t="shared" si="7"/>
        <v>#DIV/0!</v>
      </c>
      <c r="R742" s="112">
        <f t="shared" si="282"/>
        <v>-34658.96</v>
      </c>
      <c r="S742" s="113" t="str">
        <f t="shared" si="9"/>
        <v>#DIV/0!</v>
      </c>
      <c r="T742" s="114"/>
      <c r="U742" s="114"/>
      <c r="V742" s="114"/>
      <c r="W742" s="114"/>
      <c r="X742" s="115"/>
      <c r="Y742" s="98"/>
      <c r="Z742" s="98"/>
    </row>
    <row r="743" collapsed="1">
      <c r="A743" s="98" t="str">
        <f t="shared" si="284"/>
        <v/>
      </c>
      <c r="B743" s="80" t="s">
        <v>135</v>
      </c>
      <c r="C743" s="150"/>
      <c r="D743" s="151">
        <f t="shared" ref="D743:F743" si="285">SUM(D725:D742)</f>
        <v>90697.2</v>
      </c>
      <c r="E743" s="153">
        <f t="shared" si="285"/>
        <v>574</v>
      </c>
      <c r="F743" s="153">
        <f t="shared" si="285"/>
        <v>539</v>
      </c>
      <c r="G743" s="154">
        <f t="shared" si="1"/>
        <v>1.064935065</v>
      </c>
      <c r="H743" s="155">
        <f t="shared" si="2"/>
        <v>158.0090592</v>
      </c>
      <c r="I743" s="156">
        <f t="shared" si="3"/>
        <v>148.3743605</v>
      </c>
      <c r="J743" s="151">
        <f t="shared" ref="J743:M743" si="286">SUM(J725:J742)</f>
        <v>12269.9</v>
      </c>
      <c r="K743" s="153">
        <f t="shared" si="286"/>
        <v>3346609</v>
      </c>
      <c r="L743" s="153">
        <f t="shared" si="286"/>
        <v>182</v>
      </c>
      <c r="M743" s="157">
        <f t="shared" si="286"/>
        <v>54449.53</v>
      </c>
      <c r="N743" s="158">
        <f t="shared" si="283"/>
        <v>0.2253444612</v>
      </c>
      <c r="O743" s="159">
        <f t="shared" si="5"/>
        <v>4.437650674</v>
      </c>
      <c r="P743" s="158">
        <f t="shared" si="6"/>
        <v>0.1352842205</v>
      </c>
      <c r="Q743" s="160">
        <f t="shared" si="7"/>
        <v>0.6003441121</v>
      </c>
      <c r="R743" s="161">
        <f>SUM(R725:R742)</f>
        <v>36247.67</v>
      </c>
      <c r="S743" s="162">
        <f t="shared" si="9"/>
        <v>67.41703297</v>
      </c>
      <c r="T743" s="163">
        <f t="shared" ref="T743:U743" si="287">IFERROR((D743-D69)/D743,)</f>
        <v>0.9164106499</v>
      </c>
      <c r="U743" s="163">
        <f t="shared" si="287"/>
        <v>0.8362369338</v>
      </c>
      <c r="V743" s="164" t="str">
        <f t="shared" ref="V743:W743" si="288">IFERROR((D743-monthly_reporting_2021!D534)/D743, )</f>
        <v/>
      </c>
      <c r="W743" s="164" t="str">
        <f t="shared" si="288"/>
        <v/>
      </c>
      <c r="X743" s="98"/>
      <c r="Y743" s="98"/>
      <c r="Z743" s="98"/>
    </row>
    <row r="744" hidden="1" outlineLevel="1">
      <c r="A744" s="98"/>
      <c r="B744" s="99">
        <v>45991.0</v>
      </c>
      <c r="C744" s="100" t="s">
        <v>32</v>
      </c>
      <c r="D744" s="101">
        <v>13062.62</v>
      </c>
      <c r="E744" s="103">
        <v>52.0</v>
      </c>
      <c r="F744" s="103">
        <v>48.0</v>
      </c>
      <c r="G744" s="104">
        <f t="shared" si="1"/>
        <v>1.083333333</v>
      </c>
      <c r="H744" s="105">
        <f t="shared" si="2"/>
        <v>251.2042308</v>
      </c>
      <c r="I744" s="106">
        <f t="shared" si="3"/>
        <v>231.8808284</v>
      </c>
      <c r="J744" s="107">
        <v>3476.06</v>
      </c>
      <c r="K744" s="103">
        <v>789555.0</v>
      </c>
      <c r="L744" s="103">
        <v>25.0</v>
      </c>
      <c r="M744" s="108">
        <v>5744.61</v>
      </c>
      <c r="N744" s="109">
        <f t="shared" si="283"/>
        <v>0.6050993888</v>
      </c>
      <c r="O744" s="110">
        <f t="shared" si="5"/>
        <v>1.652621071</v>
      </c>
      <c r="P744" s="109">
        <f t="shared" si="6"/>
        <v>0.2661074118</v>
      </c>
      <c r="Q744" s="111">
        <f t="shared" si="7"/>
        <v>0.4397747159</v>
      </c>
      <c r="R744" s="112">
        <f t="shared" ref="R744:R761" si="289">D744-M744</f>
        <v>7318.01</v>
      </c>
      <c r="S744" s="113">
        <f t="shared" si="9"/>
        <v>139.0424</v>
      </c>
      <c r="T744" s="114"/>
      <c r="U744" s="114"/>
      <c r="V744" s="114"/>
      <c r="W744" s="114"/>
      <c r="X744" s="115"/>
      <c r="Y744" s="98"/>
      <c r="Z744" s="98"/>
    </row>
    <row r="745" hidden="1" outlineLevel="1">
      <c r="A745" s="98"/>
      <c r="B745" s="116"/>
      <c r="C745" s="100" t="s">
        <v>33</v>
      </c>
      <c r="D745" s="117">
        <v>46091.89</v>
      </c>
      <c r="E745" s="103">
        <v>185.0</v>
      </c>
      <c r="F745" s="103">
        <v>189.0</v>
      </c>
      <c r="G745" s="104">
        <f t="shared" si="1"/>
        <v>0.9788359788</v>
      </c>
      <c r="H745" s="105">
        <f t="shared" si="2"/>
        <v>249.1453514</v>
      </c>
      <c r="I745" s="106">
        <f t="shared" si="3"/>
        <v>254.5322779</v>
      </c>
      <c r="J745" s="117">
        <v>1711.79</v>
      </c>
      <c r="K745" s="103">
        <v>2002846.0</v>
      </c>
      <c r="L745" s="103">
        <v>63.0</v>
      </c>
      <c r="M745" s="118">
        <v>8752.78</v>
      </c>
      <c r="N745" s="109">
        <f t="shared" si="283"/>
        <v>0.1955710072</v>
      </c>
      <c r="O745" s="110">
        <f t="shared" si="5"/>
        <v>5.113232347</v>
      </c>
      <c r="P745" s="109">
        <f t="shared" si="6"/>
        <v>0.03713863762</v>
      </c>
      <c r="Q745" s="111">
        <f t="shared" si="7"/>
        <v>0.1898984832</v>
      </c>
      <c r="R745" s="119">
        <f t="shared" si="289"/>
        <v>37339.11</v>
      </c>
      <c r="S745" s="113">
        <f t="shared" si="9"/>
        <v>27.17126984</v>
      </c>
      <c r="T745" s="114"/>
      <c r="U745" s="114"/>
      <c r="V745" s="114"/>
      <c r="W745" s="114"/>
      <c r="X745" s="115"/>
      <c r="Y745" s="98"/>
      <c r="Z745" s="98"/>
    </row>
    <row r="746" hidden="1" outlineLevel="1">
      <c r="A746" s="98"/>
      <c r="B746" s="116"/>
      <c r="C746" s="100" t="s">
        <v>34</v>
      </c>
      <c r="D746" s="120">
        <v>69.95</v>
      </c>
      <c r="E746" s="103">
        <v>1.0</v>
      </c>
      <c r="F746" s="103">
        <v>1.0</v>
      </c>
      <c r="G746" s="104">
        <f t="shared" si="1"/>
        <v>1</v>
      </c>
      <c r="H746" s="105">
        <f t="shared" si="2"/>
        <v>69.95</v>
      </c>
      <c r="I746" s="106">
        <f t="shared" si="3"/>
        <v>69.95</v>
      </c>
      <c r="J746" s="120">
        <v>0.0</v>
      </c>
      <c r="K746" s="103">
        <v>229.0</v>
      </c>
      <c r="L746" s="103">
        <v>0.0</v>
      </c>
      <c r="M746" s="121">
        <v>0.0</v>
      </c>
      <c r="N746" s="109" t="str">
        <f>(J746/M746)</f>
        <v>#DIV/0!</v>
      </c>
      <c r="O746" s="110" t="str">
        <f t="shared" si="5"/>
        <v>#DIV/0!</v>
      </c>
      <c r="P746" s="109">
        <f t="shared" si="6"/>
        <v>0</v>
      </c>
      <c r="Q746" s="111">
        <f t="shared" si="7"/>
        <v>0</v>
      </c>
      <c r="R746" s="122">
        <f t="shared" si="289"/>
        <v>69.95</v>
      </c>
      <c r="S746" s="113" t="str">
        <f t="shared" si="9"/>
        <v>#DIV/0!</v>
      </c>
      <c r="T746" s="114"/>
      <c r="U746" s="114"/>
      <c r="V746" s="114"/>
      <c r="W746" s="114"/>
      <c r="X746" s="115"/>
      <c r="Y746" s="98"/>
      <c r="Z746" s="98"/>
    </row>
    <row r="747" hidden="1" outlineLevel="1">
      <c r="A747" s="98"/>
      <c r="B747" s="116"/>
      <c r="C747" s="100" t="s">
        <v>35</v>
      </c>
      <c r="D747" s="120">
        <v>926.27</v>
      </c>
      <c r="E747" s="103">
        <v>19.0</v>
      </c>
      <c r="F747" s="103">
        <v>15.0</v>
      </c>
      <c r="G747" s="104">
        <f t="shared" si="1"/>
        <v>1.266666667</v>
      </c>
      <c r="H747" s="105">
        <f t="shared" si="2"/>
        <v>48.75105263</v>
      </c>
      <c r="I747" s="106">
        <f t="shared" si="3"/>
        <v>38.48767313</v>
      </c>
      <c r="J747" s="120">
        <v>258.76</v>
      </c>
      <c r="K747" s="103">
        <v>17785.0</v>
      </c>
      <c r="L747" s="103">
        <v>17.0</v>
      </c>
      <c r="M747" s="121">
        <v>635.47</v>
      </c>
      <c r="N747" s="109">
        <f t="shared" ref="N747:N764" si="290">J747/M747</f>
        <v>0.4071946748</v>
      </c>
      <c r="O747" s="110">
        <f t="shared" si="5"/>
        <v>2.455827794</v>
      </c>
      <c r="P747" s="109">
        <f t="shared" si="6"/>
        <v>0.2793569909</v>
      </c>
      <c r="Q747" s="111">
        <f t="shared" si="7"/>
        <v>0.6860526628</v>
      </c>
      <c r="R747" s="122">
        <f t="shared" si="289"/>
        <v>290.8</v>
      </c>
      <c r="S747" s="113">
        <f t="shared" si="9"/>
        <v>15.22117647</v>
      </c>
      <c r="T747" s="114"/>
      <c r="U747" s="114"/>
      <c r="V747" s="114"/>
      <c r="W747" s="114"/>
      <c r="X747" s="115"/>
      <c r="Y747" s="98"/>
      <c r="Z747" s="98"/>
    </row>
    <row r="748" hidden="1" outlineLevel="1">
      <c r="A748" s="98"/>
      <c r="B748" s="116"/>
      <c r="C748" s="100" t="s">
        <v>36</v>
      </c>
      <c r="D748" s="120">
        <v>688.46</v>
      </c>
      <c r="E748" s="103">
        <v>14.0</v>
      </c>
      <c r="F748" s="103">
        <v>13.0</v>
      </c>
      <c r="G748" s="104">
        <f t="shared" si="1"/>
        <v>1.076923077</v>
      </c>
      <c r="H748" s="105">
        <f t="shared" si="2"/>
        <v>49.17571429</v>
      </c>
      <c r="I748" s="106">
        <f t="shared" si="3"/>
        <v>45.66316327</v>
      </c>
      <c r="J748" s="120">
        <v>41.14</v>
      </c>
      <c r="K748" s="103">
        <v>11966.0</v>
      </c>
      <c r="L748" s="103">
        <v>3.0</v>
      </c>
      <c r="M748" s="121">
        <v>119.91</v>
      </c>
      <c r="N748" s="109">
        <f t="shared" si="290"/>
        <v>0.3430906513</v>
      </c>
      <c r="O748" s="110">
        <f t="shared" si="5"/>
        <v>2.914681575</v>
      </c>
      <c r="P748" s="109">
        <f t="shared" si="6"/>
        <v>0.05975655812</v>
      </c>
      <c r="Q748" s="111">
        <f t="shared" si="7"/>
        <v>0.1741713389</v>
      </c>
      <c r="R748" s="122">
        <f t="shared" si="289"/>
        <v>568.55</v>
      </c>
      <c r="S748" s="113">
        <f t="shared" si="9"/>
        <v>13.71333333</v>
      </c>
      <c r="T748" s="114"/>
      <c r="U748" s="114"/>
      <c r="V748" s="114"/>
      <c r="W748" s="114"/>
      <c r="X748" s="115"/>
      <c r="Y748" s="98"/>
      <c r="Z748" s="98"/>
    </row>
    <row r="749" hidden="1" outlineLevel="1">
      <c r="A749" s="98"/>
      <c r="B749" s="99" t="s">
        <v>37</v>
      </c>
      <c r="C749" s="100" t="s">
        <v>38</v>
      </c>
      <c r="D749" s="123">
        <v>919.9</v>
      </c>
      <c r="E749" s="103">
        <v>21.0</v>
      </c>
      <c r="F749" s="103">
        <v>20.0</v>
      </c>
      <c r="G749" s="104">
        <f t="shared" si="1"/>
        <v>1.05</v>
      </c>
      <c r="H749" s="105">
        <f t="shared" si="2"/>
        <v>43.8047619</v>
      </c>
      <c r="I749" s="106">
        <f t="shared" si="3"/>
        <v>41.71882086</v>
      </c>
      <c r="J749" s="123">
        <v>49.76</v>
      </c>
      <c r="K749" s="103">
        <v>12426.0</v>
      </c>
      <c r="L749" s="103">
        <v>4.0</v>
      </c>
      <c r="M749" s="124">
        <v>89.92</v>
      </c>
      <c r="N749" s="109">
        <f t="shared" si="290"/>
        <v>0.5533807829</v>
      </c>
      <c r="O749" s="110">
        <f t="shared" si="5"/>
        <v>1.807073955</v>
      </c>
      <c r="P749" s="109">
        <f t="shared" si="6"/>
        <v>0.05409283618</v>
      </c>
      <c r="Q749" s="111">
        <f t="shared" si="7"/>
        <v>0.09774975541</v>
      </c>
      <c r="R749" s="125">
        <f t="shared" si="289"/>
        <v>829.98</v>
      </c>
      <c r="S749" s="113">
        <f t="shared" si="9"/>
        <v>12.44</v>
      </c>
      <c r="T749" s="114"/>
      <c r="U749" s="114"/>
      <c r="V749" s="114"/>
      <c r="W749" s="114"/>
      <c r="X749" s="115"/>
      <c r="Y749" s="98"/>
      <c r="Z749" s="98"/>
    </row>
    <row r="750" hidden="1" outlineLevel="1">
      <c r="A750" s="98"/>
      <c r="B750" s="116"/>
      <c r="C750" s="100" t="s">
        <v>39</v>
      </c>
      <c r="D750" s="126">
        <v>0.0</v>
      </c>
      <c r="E750" s="103">
        <v>0.0</v>
      </c>
      <c r="F750" s="103">
        <v>0.0</v>
      </c>
      <c r="G750" s="104" t="str">
        <f t="shared" si="1"/>
        <v>#DIV/0!</v>
      </c>
      <c r="H750" s="105" t="str">
        <f t="shared" si="2"/>
        <v>#DIV/0!</v>
      </c>
      <c r="I750" s="106" t="str">
        <f t="shared" si="3"/>
        <v>#DIV/0!</v>
      </c>
      <c r="J750" s="126">
        <v>0.0</v>
      </c>
      <c r="K750" s="103">
        <v>0.0</v>
      </c>
      <c r="L750" s="103">
        <v>0.0</v>
      </c>
      <c r="M750" s="127">
        <v>0.0</v>
      </c>
      <c r="N750" s="109" t="str">
        <f t="shared" si="290"/>
        <v>#DIV/0!</v>
      </c>
      <c r="O750" s="110" t="str">
        <f t="shared" si="5"/>
        <v>#DIV/0!</v>
      </c>
      <c r="P750" s="109" t="str">
        <f t="shared" si="6"/>
        <v>#DIV/0!</v>
      </c>
      <c r="Q750" s="111" t="str">
        <f t="shared" si="7"/>
        <v>#DIV/0!</v>
      </c>
      <c r="R750" s="128">
        <f t="shared" si="289"/>
        <v>0</v>
      </c>
      <c r="S750" s="113" t="str">
        <f t="shared" si="9"/>
        <v>#DIV/0!</v>
      </c>
      <c r="T750" s="114"/>
      <c r="U750" s="114"/>
      <c r="V750" s="114"/>
      <c r="W750" s="114"/>
      <c r="X750" s="115"/>
      <c r="Y750" s="98"/>
      <c r="Z750" s="98"/>
    </row>
    <row r="751" hidden="1" outlineLevel="1">
      <c r="A751" s="98"/>
      <c r="B751" s="116"/>
      <c r="C751" s="100" t="s">
        <v>40</v>
      </c>
      <c r="D751" s="129">
        <v>0.0</v>
      </c>
      <c r="E751" s="103">
        <v>0.0</v>
      </c>
      <c r="F751" s="103">
        <v>0.0</v>
      </c>
      <c r="G751" s="104" t="str">
        <f t="shared" si="1"/>
        <v>#DIV/0!</v>
      </c>
      <c r="H751" s="105" t="str">
        <f t="shared" si="2"/>
        <v>#DIV/0!</v>
      </c>
      <c r="I751" s="106" t="str">
        <f t="shared" si="3"/>
        <v>#DIV/0!</v>
      </c>
      <c r="J751" s="129">
        <v>0.0</v>
      </c>
      <c r="K751" s="103">
        <v>0.0</v>
      </c>
      <c r="L751" s="103">
        <v>0.0</v>
      </c>
      <c r="M751" s="130">
        <v>0.0</v>
      </c>
      <c r="N751" s="109" t="str">
        <f t="shared" si="290"/>
        <v>#DIV/0!</v>
      </c>
      <c r="O751" s="110" t="str">
        <f t="shared" si="5"/>
        <v>#DIV/0!</v>
      </c>
      <c r="P751" s="109" t="str">
        <f t="shared" si="6"/>
        <v>#DIV/0!</v>
      </c>
      <c r="Q751" s="111" t="str">
        <f t="shared" si="7"/>
        <v>#DIV/0!</v>
      </c>
      <c r="R751" s="131">
        <f t="shared" si="289"/>
        <v>0</v>
      </c>
      <c r="S751" s="113" t="str">
        <f t="shared" si="9"/>
        <v>#DIV/0!</v>
      </c>
      <c r="T751" s="114"/>
      <c r="U751" s="114"/>
      <c r="V751" s="114"/>
      <c r="W751" s="114"/>
      <c r="X751" s="115"/>
      <c r="Y751" s="98"/>
      <c r="Z751" s="98"/>
    </row>
    <row r="752" hidden="1" outlineLevel="1">
      <c r="A752" s="98"/>
      <c r="B752" s="116"/>
      <c r="C752" s="100" t="s">
        <v>41</v>
      </c>
      <c r="D752" s="132">
        <v>2863.55</v>
      </c>
      <c r="E752" s="103">
        <v>59.0</v>
      </c>
      <c r="F752" s="103">
        <v>46.0</v>
      </c>
      <c r="G752" s="104">
        <f t="shared" si="1"/>
        <v>1.282608696</v>
      </c>
      <c r="H752" s="105">
        <f t="shared" si="2"/>
        <v>48.53474576</v>
      </c>
      <c r="I752" s="106">
        <f t="shared" si="3"/>
        <v>37.84064924</v>
      </c>
      <c r="J752" s="132">
        <v>586.68</v>
      </c>
      <c r="K752" s="103">
        <v>37948.0</v>
      </c>
      <c r="L752" s="103">
        <v>25.0</v>
      </c>
      <c r="M752" s="133">
        <v>1499.48</v>
      </c>
      <c r="N752" s="109">
        <f t="shared" si="290"/>
        <v>0.3912556353</v>
      </c>
      <c r="O752" s="110">
        <f t="shared" si="5"/>
        <v>2.55587373</v>
      </c>
      <c r="P752" s="109">
        <f t="shared" si="6"/>
        <v>0.2048785598</v>
      </c>
      <c r="Q752" s="111">
        <f t="shared" si="7"/>
        <v>0.5236437289</v>
      </c>
      <c r="R752" s="134">
        <f t="shared" si="289"/>
        <v>1364.07</v>
      </c>
      <c r="S752" s="113">
        <f t="shared" si="9"/>
        <v>23.4672</v>
      </c>
      <c r="T752" s="114"/>
      <c r="U752" s="114"/>
      <c r="V752" s="114"/>
      <c r="W752" s="114"/>
      <c r="X752" s="115"/>
      <c r="Y752" s="98"/>
      <c r="Z752" s="98"/>
    </row>
    <row r="753" hidden="1" outlineLevel="1">
      <c r="A753" s="98"/>
      <c r="B753" s="116"/>
      <c r="C753" s="100" t="s">
        <v>42</v>
      </c>
      <c r="D753" s="120">
        <v>259.78</v>
      </c>
      <c r="E753" s="103">
        <v>14.0</v>
      </c>
      <c r="F753" s="103">
        <v>8.0</v>
      </c>
      <c r="G753" s="104">
        <f t="shared" si="1"/>
        <v>1.75</v>
      </c>
      <c r="H753" s="105">
        <f t="shared" si="2"/>
        <v>18.55571429</v>
      </c>
      <c r="I753" s="106">
        <f t="shared" si="3"/>
        <v>10.60326531</v>
      </c>
      <c r="J753" s="120">
        <v>107.2</v>
      </c>
      <c r="K753" s="103">
        <v>37986.0</v>
      </c>
      <c r="L753" s="103">
        <v>3.0</v>
      </c>
      <c r="M753" s="121">
        <v>59.97</v>
      </c>
      <c r="N753" s="109">
        <f t="shared" si="290"/>
        <v>1.787560447</v>
      </c>
      <c r="O753" s="110">
        <f t="shared" si="5"/>
        <v>0.5594216418</v>
      </c>
      <c r="P753" s="109">
        <f t="shared" si="6"/>
        <v>0.4126568635</v>
      </c>
      <c r="Q753" s="111">
        <f t="shared" si="7"/>
        <v>0.2308491801</v>
      </c>
      <c r="R753" s="122">
        <f t="shared" si="289"/>
        <v>199.81</v>
      </c>
      <c r="S753" s="113">
        <f t="shared" si="9"/>
        <v>35.73333333</v>
      </c>
      <c r="T753" s="114"/>
      <c r="U753" s="114"/>
      <c r="V753" s="114"/>
      <c r="W753" s="114"/>
      <c r="X753" s="115"/>
      <c r="Y753" s="98"/>
      <c r="Z753" s="98"/>
    </row>
    <row r="754" hidden="1" outlineLevel="1">
      <c r="A754" s="98"/>
      <c r="B754" s="116"/>
      <c r="C754" s="100" t="s">
        <v>43</v>
      </c>
      <c r="D754" s="135">
        <v>3401.36</v>
      </c>
      <c r="E754" s="103">
        <v>28.0</v>
      </c>
      <c r="F754" s="103">
        <v>29.0</v>
      </c>
      <c r="G754" s="104">
        <f t="shared" si="1"/>
        <v>0.9655172414</v>
      </c>
      <c r="H754" s="105">
        <f t="shared" si="2"/>
        <v>121.4771429</v>
      </c>
      <c r="I754" s="106">
        <f t="shared" si="3"/>
        <v>125.8156122</v>
      </c>
      <c r="J754" s="135">
        <v>77.52</v>
      </c>
      <c r="K754" s="103">
        <v>15141.0</v>
      </c>
      <c r="L754" s="103">
        <v>3.0</v>
      </c>
      <c r="M754" s="136">
        <v>146.22</v>
      </c>
      <c r="N754" s="109">
        <f t="shared" si="290"/>
        <v>0.5301600328</v>
      </c>
      <c r="O754" s="110">
        <f t="shared" si="5"/>
        <v>1.88622291</v>
      </c>
      <c r="P754" s="109">
        <f t="shared" si="6"/>
        <v>0.02279088365</v>
      </c>
      <c r="Q754" s="111">
        <f t="shared" si="7"/>
        <v>0.04298868688</v>
      </c>
      <c r="R754" s="137">
        <f t="shared" si="289"/>
        <v>3255.14</v>
      </c>
      <c r="S754" s="113">
        <f t="shared" si="9"/>
        <v>25.84</v>
      </c>
      <c r="T754" s="114"/>
      <c r="U754" s="114"/>
      <c r="V754" s="114"/>
      <c r="W754" s="114"/>
      <c r="X754" s="115"/>
      <c r="Y754" s="98"/>
      <c r="Z754" s="98"/>
    </row>
    <row r="755" hidden="1" outlineLevel="1">
      <c r="A755" s="98"/>
      <c r="B755" s="116"/>
      <c r="C755" s="100" t="s">
        <v>44</v>
      </c>
      <c r="D755" s="138">
        <v>36.95</v>
      </c>
      <c r="E755" s="103">
        <v>2.0</v>
      </c>
      <c r="F755" s="103">
        <v>3.0</v>
      </c>
      <c r="G755" s="104">
        <f t="shared" si="1"/>
        <v>0.6666666667</v>
      </c>
      <c r="H755" s="105">
        <f t="shared" si="2"/>
        <v>18.475</v>
      </c>
      <c r="I755" s="106">
        <f t="shared" si="3"/>
        <v>27.7125</v>
      </c>
      <c r="J755" s="138">
        <v>92.06</v>
      </c>
      <c r="K755" s="103">
        <v>31307.0</v>
      </c>
      <c r="L755" s="103">
        <v>3.0</v>
      </c>
      <c r="M755" s="139">
        <v>128.92</v>
      </c>
      <c r="N755" s="109">
        <f t="shared" si="290"/>
        <v>0.714086255</v>
      </c>
      <c r="O755" s="110">
        <f t="shared" si="5"/>
        <v>1.400391049</v>
      </c>
      <c r="P755" s="109">
        <f t="shared" si="6"/>
        <v>2.491474966</v>
      </c>
      <c r="Q755" s="111">
        <f t="shared" si="7"/>
        <v>3.489039242</v>
      </c>
      <c r="R755" s="140">
        <f t="shared" si="289"/>
        <v>-91.97</v>
      </c>
      <c r="S755" s="113">
        <f t="shared" si="9"/>
        <v>30.68666667</v>
      </c>
      <c r="T755" s="114"/>
      <c r="U755" s="114"/>
      <c r="V755" s="114"/>
      <c r="W755" s="114"/>
      <c r="X755" s="115"/>
      <c r="Y755" s="98"/>
      <c r="Z755" s="98"/>
    </row>
    <row r="756" hidden="1" outlineLevel="1">
      <c r="A756" s="141"/>
      <c r="B756" s="116"/>
      <c r="C756" s="142" t="s">
        <v>45</v>
      </c>
      <c r="D756" s="101">
        <v>0.0</v>
      </c>
      <c r="E756" s="103">
        <v>0.0</v>
      </c>
      <c r="F756" s="103">
        <v>0.0</v>
      </c>
      <c r="G756" s="104" t="str">
        <f t="shared" si="1"/>
        <v>#DIV/0!</v>
      </c>
      <c r="H756" s="105" t="str">
        <f t="shared" si="2"/>
        <v>#DIV/0!</v>
      </c>
      <c r="I756" s="106" t="str">
        <f t="shared" si="3"/>
        <v>#DIV/0!</v>
      </c>
      <c r="J756" s="101">
        <v>0.0</v>
      </c>
      <c r="K756" s="103">
        <v>0.0</v>
      </c>
      <c r="L756" s="103">
        <v>0.0</v>
      </c>
      <c r="M756" s="108">
        <v>0.0</v>
      </c>
      <c r="N756" s="109" t="str">
        <f t="shared" si="290"/>
        <v>#DIV/0!</v>
      </c>
      <c r="O756" s="110" t="str">
        <f t="shared" si="5"/>
        <v>#DIV/0!</v>
      </c>
      <c r="P756" s="109" t="str">
        <f t="shared" si="6"/>
        <v>#DIV/0!</v>
      </c>
      <c r="Q756" s="111" t="str">
        <f t="shared" si="7"/>
        <v>#DIV/0!</v>
      </c>
      <c r="R756" s="112">
        <f t="shared" si="289"/>
        <v>0</v>
      </c>
      <c r="S756" s="113" t="str">
        <f t="shared" si="9"/>
        <v>#DIV/0!</v>
      </c>
      <c r="T756" s="143"/>
      <c r="U756" s="143"/>
      <c r="V756" s="143"/>
      <c r="W756" s="144"/>
      <c r="X756" s="145"/>
      <c r="Y756" s="98"/>
      <c r="Z756" s="98"/>
    </row>
    <row r="757" hidden="1" outlineLevel="1">
      <c r="A757" s="98"/>
      <c r="B757" s="116"/>
      <c r="C757" s="100" t="s">
        <v>46</v>
      </c>
      <c r="D757" s="146">
        <v>1933.96</v>
      </c>
      <c r="E757" s="103">
        <v>51.0</v>
      </c>
      <c r="F757" s="103">
        <v>53.0</v>
      </c>
      <c r="G757" s="104">
        <f t="shared" si="1"/>
        <v>0.9622641509</v>
      </c>
      <c r="H757" s="105">
        <f t="shared" si="2"/>
        <v>37.92078431</v>
      </c>
      <c r="I757" s="106">
        <f t="shared" si="3"/>
        <v>39.40787389</v>
      </c>
      <c r="J757" s="146">
        <v>177.1</v>
      </c>
      <c r="K757" s="103">
        <v>25398.0</v>
      </c>
      <c r="L757" s="103">
        <v>21.0</v>
      </c>
      <c r="M757" s="147">
        <v>579.74</v>
      </c>
      <c r="N757" s="109">
        <f t="shared" si="290"/>
        <v>0.3054817677</v>
      </c>
      <c r="O757" s="110">
        <f t="shared" si="5"/>
        <v>3.273517787</v>
      </c>
      <c r="P757" s="109">
        <f t="shared" si="6"/>
        <v>0.09157376574</v>
      </c>
      <c r="Q757" s="111">
        <f t="shared" si="7"/>
        <v>0.2997683509</v>
      </c>
      <c r="R757" s="112">
        <f t="shared" si="289"/>
        <v>1354.22</v>
      </c>
      <c r="S757" s="113">
        <f t="shared" si="9"/>
        <v>8.433333333</v>
      </c>
      <c r="T757" s="114"/>
      <c r="U757" s="114"/>
      <c r="V757" s="114"/>
      <c r="W757" s="114"/>
      <c r="X757" s="115"/>
      <c r="Y757" s="98"/>
      <c r="Z757" s="98"/>
    </row>
    <row r="758" hidden="1" outlineLevel="1">
      <c r="A758" s="98"/>
      <c r="B758" s="116"/>
      <c r="C758" s="100" t="s">
        <v>47</v>
      </c>
      <c r="D758" s="117">
        <v>0.0</v>
      </c>
      <c r="E758" s="103">
        <v>0.0</v>
      </c>
      <c r="F758" s="103">
        <v>0.0</v>
      </c>
      <c r="G758" s="104" t="str">
        <f t="shared" si="1"/>
        <v>#DIV/0!</v>
      </c>
      <c r="H758" s="105" t="str">
        <f t="shared" si="2"/>
        <v>#DIV/0!</v>
      </c>
      <c r="I758" s="106" t="str">
        <f t="shared" si="3"/>
        <v>#DIV/0!</v>
      </c>
      <c r="J758" s="117">
        <v>0.0</v>
      </c>
      <c r="K758" s="103">
        <v>0.0</v>
      </c>
      <c r="L758" s="103">
        <v>0.0</v>
      </c>
      <c r="M758" s="118">
        <v>0.0</v>
      </c>
      <c r="N758" s="109" t="str">
        <f t="shared" si="290"/>
        <v>#DIV/0!</v>
      </c>
      <c r="O758" s="110" t="str">
        <f t="shared" si="5"/>
        <v>#DIV/0!</v>
      </c>
      <c r="P758" s="109" t="str">
        <f t="shared" si="6"/>
        <v>#DIV/0!</v>
      </c>
      <c r="Q758" s="111" t="str">
        <f t="shared" si="7"/>
        <v>#DIV/0!</v>
      </c>
      <c r="R758" s="112">
        <f t="shared" si="289"/>
        <v>0</v>
      </c>
      <c r="S758" s="113" t="str">
        <f t="shared" si="9"/>
        <v>#DIV/0!</v>
      </c>
      <c r="T758" s="114"/>
      <c r="U758" s="114"/>
      <c r="V758" s="114"/>
      <c r="W758" s="114"/>
      <c r="X758" s="115"/>
      <c r="Y758" s="98"/>
      <c r="Z758" s="98"/>
    </row>
    <row r="759" hidden="1" outlineLevel="1">
      <c r="A759" s="98"/>
      <c r="B759" s="116"/>
      <c r="C759" s="100" t="s">
        <v>48</v>
      </c>
      <c r="D759" s="132">
        <v>8398.25</v>
      </c>
      <c r="E759" s="103">
        <v>35.0</v>
      </c>
      <c r="F759" s="103">
        <v>34.0</v>
      </c>
      <c r="G759" s="104">
        <f t="shared" si="1"/>
        <v>1.029411765</v>
      </c>
      <c r="H759" s="105">
        <f t="shared" si="2"/>
        <v>239.95</v>
      </c>
      <c r="I759" s="106">
        <f t="shared" si="3"/>
        <v>233.0942857</v>
      </c>
      <c r="J759" s="132">
        <v>718.92</v>
      </c>
      <c r="K759" s="103">
        <v>39216.0</v>
      </c>
      <c r="L759" s="103">
        <v>15.0</v>
      </c>
      <c r="M759" s="133">
        <v>2033.55</v>
      </c>
      <c r="N759" s="109">
        <f t="shared" si="290"/>
        <v>0.3535295419</v>
      </c>
      <c r="O759" s="110">
        <f t="shared" si="5"/>
        <v>2.828617927</v>
      </c>
      <c r="P759" s="109">
        <f t="shared" si="6"/>
        <v>0.08560354836</v>
      </c>
      <c r="Q759" s="111">
        <f t="shared" si="7"/>
        <v>0.2421397315</v>
      </c>
      <c r="R759" s="112">
        <f t="shared" si="289"/>
        <v>6364.7</v>
      </c>
      <c r="S759" s="113">
        <f t="shared" si="9"/>
        <v>47.928</v>
      </c>
      <c r="T759" s="114"/>
      <c r="U759" s="114"/>
      <c r="V759" s="114"/>
      <c r="W759" s="114"/>
      <c r="X759" s="115"/>
      <c r="Y759" s="98"/>
      <c r="Z759" s="98"/>
    </row>
    <row r="760" hidden="1" outlineLevel="1">
      <c r="A760" s="98"/>
      <c r="B760" s="116"/>
      <c r="C760" s="100" t="s">
        <v>49</v>
      </c>
      <c r="D760" s="146">
        <v>27.0</v>
      </c>
      <c r="E760" s="103">
        <v>1.0</v>
      </c>
      <c r="F760" s="103">
        <v>2.0</v>
      </c>
      <c r="G760" s="104">
        <f t="shared" si="1"/>
        <v>0.5</v>
      </c>
      <c r="H760" s="105">
        <f t="shared" si="2"/>
        <v>27</v>
      </c>
      <c r="I760" s="106">
        <f t="shared" si="3"/>
        <v>54</v>
      </c>
      <c r="J760" s="146">
        <v>15.9</v>
      </c>
      <c r="K760" s="103">
        <v>9569.0</v>
      </c>
      <c r="L760" s="103">
        <v>0.0</v>
      </c>
      <c r="M760" s="147">
        <v>0.0</v>
      </c>
      <c r="N760" s="109" t="str">
        <f t="shared" si="290"/>
        <v>#DIV/0!</v>
      </c>
      <c r="O760" s="110">
        <f t="shared" si="5"/>
        <v>0</v>
      </c>
      <c r="P760" s="109">
        <f t="shared" si="6"/>
        <v>0.5888888889</v>
      </c>
      <c r="Q760" s="111">
        <f t="shared" si="7"/>
        <v>0</v>
      </c>
      <c r="R760" s="112">
        <f t="shared" si="289"/>
        <v>27</v>
      </c>
      <c r="S760" s="113" t="str">
        <f t="shared" si="9"/>
        <v>#DIV/0!</v>
      </c>
      <c r="T760" s="114"/>
      <c r="U760" s="114"/>
      <c r="V760" s="114"/>
      <c r="W760" s="114"/>
      <c r="X760" s="115"/>
      <c r="Y760" s="98"/>
      <c r="Z760" s="98"/>
    </row>
    <row r="761" hidden="1" outlineLevel="1">
      <c r="A761" s="148" t="str">
        <f t="shared" ref="A761:A762" si="291">iferror(if(B761&gt;0,month(B761)&amp;"-"&amp;year(B761),B761),)</f>
        <v>12-2025</v>
      </c>
      <c r="B761" s="99">
        <v>45997.0</v>
      </c>
      <c r="C761" s="277" t="s">
        <v>67</v>
      </c>
      <c r="D761" s="146">
        <v>0.0</v>
      </c>
      <c r="E761" s="103">
        <v>0.0</v>
      </c>
      <c r="F761" s="103">
        <v>0.0</v>
      </c>
      <c r="G761" s="104" t="str">
        <f t="shared" si="1"/>
        <v>#DIV/0!</v>
      </c>
      <c r="H761" s="105" t="str">
        <f t="shared" si="2"/>
        <v>#DIV/0!</v>
      </c>
      <c r="I761" s="106" t="str">
        <f t="shared" si="3"/>
        <v>#DIV/0!</v>
      </c>
      <c r="J761" s="117">
        <v>6707.110000000001</v>
      </c>
      <c r="K761" s="278">
        <v>399292.0</v>
      </c>
      <c r="L761" s="103">
        <v>0.0</v>
      </c>
      <c r="M761" s="118">
        <v>23111.6</v>
      </c>
      <c r="N761" s="109">
        <f t="shared" si="290"/>
        <v>0.2902053514</v>
      </c>
      <c r="O761" s="110">
        <f t="shared" si="5"/>
        <v>3.445835837</v>
      </c>
      <c r="P761" s="109" t="str">
        <f t="shared" si="6"/>
        <v>#DIV/0!</v>
      </c>
      <c r="Q761" s="111" t="str">
        <f t="shared" si="7"/>
        <v>#DIV/0!</v>
      </c>
      <c r="R761" s="112">
        <f t="shared" si="289"/>
        <v>-23111.6</v>
      </c>
      <c r="S761" s="113" t="str">
        <f t="shared" si="9"/>
        <v>#DIV/0!</v>
      </c>
      <c r="T761" s="114"/>
      <c r="U761" s="114"/>
      <c r="V761" s="114"/>
      <c r="W761" s="114"/>
      <c r="X761" s="115"/>
      <c r="Y761" s="98"/>
      <c r="Z761" s="98"/>
    </row>
    <row r="762" collapsed="1">
      <c r="A762" s="98" t="str">
        <f t="shared" si="291"/>
        <v/>
      </c>
      <c r="B762" s="80" t="s">
        <v>136</v>
      </c>
      <c r="C762" s="150"/>
      <c r="D762" s="151">
        <f t="shared" ref="D762:F762" si="292">SUM(D744:D761)</f>
        <v>78679.94</v>
      </c>
      <c r="E762" s="153">
        <f t="shared" si="292"/>
        <v>482</v>
      </c>
      <c r="F762" s="153">
        <f t="shared" si="292"/>
        <v>461</v>
      </c>
      <c r="G762" s="154">
        <f t="shared" si="1"/>
        <v>1.045553145</v>
      </c>
      <c r="H762" s="155">
        <f t="shared" si="2"/>
        <v>163.23639</v>
      </c>
      <c r="I762" s="156">
        <f t="shared" si="3"/>
        <v>156.1244311</v>
      </c>
      <c r="J762" s="151">
        <f t="shared" ref="J762:M762" si="293">SUM(J744:J761)</f>
        <v>14020</v>
      </c>
      <c r="K762" s="153">
        <f t="shared" si="293"/>
        <v>3430664</v>
      </c>
      <c r="L762" s="153">
        <f t="shared" si="293"/>
        <v>182</v>
      </c>
      <c r="M762" s="157">
        <f t="shared" si="293"/>
        <v>42902.17</v>
      </c>
      <c r="N762" s="158">
        <f t="shared" si="290"/>
        <v>0.3267899969</v>
      </c>
      <c r="O762" s="159">
        <f t="shared" si="5"/>
        <v>3.060069187</v>
      </c>
      <c r="P762" s="158">
        <f t="shared" si="6"/>
        <v>0.1781902731</v>
      </c>
      <c r="Q762" s="160">
        <f t="shared" si="7"/>
        <v>0.5452745643</v>
      </c>
      <c r="R762" s="161">
        <f>SUM(R744:R761)</f>
        <v>35777.77</v>
      </c>
      <c r="S762" s="162">
        <f t="shared" si="9"/>
        <v>77.03296703</v>
      </c>
      <c r="T762" s="163">
        <f t="shared" ref="T762:U762" si="294">IFERROR((D762-D69)/D762,)</f>
        <v>0.9036435462</v>
      </c>
      <c r="U762" s="163">
        <f t="shared" si="294"/>
        <v>0.8049792531</v>
      </c>
      <c r="V762" s="164" t="str">
        <f t="shared" ref="V762:W762" si="295">IFERROR((D762-monthly_reporting_2021!D553)/D762, )</f>
        <v/>
      </c>
      <c r="W762" s="164" t="str">
        <f t="shared" si="295"/>
        <v/>
      </c>
      <c r="X762" s="98"/>
      <c r="Y762" s="98"/>
      <c r="Z762" s="98"/>
    </row>
    <row r="763" hidden="1" outlineLevel="1">
      <c r="A763" s="98"/>
      <c r="B763" s="99">
        <v>45998.0</v>
      </c>
      <c r="C763" s="100" t="s">
        <v>32</v>
      </c>
      <c r="D763" s="101">
        <v>2779.06</v>
      </c>
      <c r="E763" s="103">
        <v>18.0</v>
      </c>
      <c r="F763" s="103">
        <v>22.0</v>
      </c>
      <c r="G763" s="104">
        <f t="shared" si="1"/>
        <v>0.8181818182</v>
      </c>
      <c r="H763" s="105">
        <f t="shared" si="2"/>
        <v>154.3922222</v>
      </c>
      <c r="I763" s="106">
        <f t="shared" si="3"/>
        <v>188.7016049</v>
      </c>
      <c r="J763" s="107">
        <v>1515.86</v>
      </c>
      <c r="K763" s="103">
        <v>442990.0</v>
      </c>
      <c r="L763" s="103">
        <v>10.0</v>
      </c>
      <c r="M763" s="108">
        <v>2537.0</v>
      </c>
      <c r="N763" s="109">
        <f t="shared" si="290"/>
        <v>0.5975009854</v>
      </c>
      <c r="O763" s="110">
        <f t="shared" si="5"/>
        <v>1.673637407</v>
      </c>
      <c r="P763" s="109">
        <f t="shared" si="6"/>
        <v>0.5454578167</v>
      </c>
      <c r="Q763" s="111">
        <f t="shared" si="7"/>
        <v>0.912898606</v>
      </c>
      <c r="R763" s="112">
        <f t="shared" ref="R763:R780" si="296">D763-M763</f>
        <v>242.06</v>
      </c>
      <c r="S763" s="113">
        <f t="shared" si="9"/>
        <v>151.586</v>
      </c>
      <c r="T763" s="114"/>
      <c r="U763" s="114"/>
      <c r="V763" s="114"/>
      <c r="W763" s="114"/>
      <c r="X763" s="115"/>
      <c r="Y763" s="98"/>
      <c r="Z763" s="98"/>
    </row>
    <row r="764" hidden="1" outlineLevel="1">
      <c r="A764" s="98"/>
      <c r="B764" s="116"/>
      <c r="C764" s="100" t="s">
        <v>33</v>
      </c>
      <c r="D764" s="117">
        <v>10333.4</v>
      </c>
      <c r="E764" s="103">
        <v>56.0</v>
      </c>
      <c r="F764" s="103">
        <v>63.0</v>
      </c>
      <c r="G764" s="104">
        <f t="shared" si="1"/>
        <v>0.8888888889</v>
      </c>
      <c r="H764" s="105">
        <f t="shared" si="2"/>
        <v>184.525</v>
      </c>
      <c r="I764" s="106">
        <f t="shared" si="3"/>
        <v>207.590625</v>
      </c>
      <c r="J764" s="117">
        <v>903.95</v>
      </c>
      <c r="K764" s="103">
        <v>1948034.0</v>
      </c>
      <c r="L764" s="103">
        <v>19.0</v>
      </c>
      <c r="M764" s="118">
        <v>4442.0</v>
      </c>
      <c r="N764" s="109">
        <f t="shared" si="290"/>
        <v>0.2035006754</v>
      </c>
      <c r="O764" s="110">
        <f t="shared" si="5"/>
        <v>4.913988606</v>
      </c>
      <c r="P764" s="109">
        <f t="shared" si="6"/>
        <v>0.08747846788</v>
      </c>
      <c r="Q764" s="111">
        <f t="shared" si="7"/>
        <v>0.4298681944</v>
      </c>
      <c r="R764" s="119">
        <f t="shared" si="296"/>
        <v>5891.4</v>
      </c>
      <c r="S764" s="113">
        <f t="shared" si="9"/>
        <v>47.57631579</v>
      </c>
      <c r="T764" s="114"/>
      <c r="U764" s="114"/>
      <c r="V764" s="114"/>
      <c r="W764" s="114"/>
      <c r="X764" s="115"/>
      <c r="Y764" s="98"/>
      <c r="Z764" s="98"/>
    </row>
    <row r="765" hidden="1" outlineLevel="1">
      <c r="A765" s="98"/>
      <c r="B765" s="116"/>
      <c r="C765" s="100" t="s">
        <v>34</v>
      </c>
      <c r="D765" s="120">
        <v>0.0</v>
      </c>
      <c r="E765" s="103">
        <v>0.0</v>
      </c>
      <c r="F765" s="103">
        <v>0.0</v>
      </c>
      <c r="G765" s="104" t="str">
        <f t="shared" si="1"/>
        <v>#DIV/0!</v>
      </c>
      <c r="H765" s="105" t="str">
        <f t="shared" si="2"/>
        <v>#DIV/0!</v>
      </c>
      <c r="I765" s="106" t="str">
        <f t="shared" si="3"/>
        <v>#DIV/0!</v>
      </c>
      <c r="J765" s="120">
        <v>15.0</v>
      </c>
      <c r="K765" s="103">
        <v>262.0</v>
      </c>
      <c r="L765" s="103">
        <v>0.0</v>
      </c>
      <c r="M765" s="121">
        <v>0.0</v>
      </c>
      <c r="N765" s="109" t="str">
        <f>(J765/M765)</f>
        <v>#DIV/0!</v>
      </c>
      <c r="O765" s="110">
        <f t="shared" si="5"/>
        <v>0</v>
      </c>
      <c r="P765" s="109" t="str">
        <f t="shared" si="6"/>
        <v>#DIV/0!</v>
      </c>
      <c r="Q765" s="111" t="str">
        <f t="shared" si="7"/>
        <v>#DIV/0!</v>
      </c>
      <c r="R765" s="122">
        <f t="shared" si="296"/>
        <v>0</v>
      </c>
      <c r="S765" s="113" t="str">
        <f t="shared" si="9"/>
        <v>#DIV/0!</v>
      </c>
      <c r="T765" s="114"/>
      <c r="U765" s="114"/>
      <c r="V765" s="114"/>
      <c r="W765" s="114"/>
      <c r="X765" s="115"/>
      <c r="Y765" s="98"/>
      <c r="Z765" s="98"/>
    </row>
    <row r="766" hidden="1" outlineLevel="1">
      <c r="A766" s="98"/>
      <c r="B766" s="116"/>
      <c r="C766" s="100" t="s">
        <v>35</v>
      </c>
      <c r="D766" s="120">
        <v>368.7</v>
      </c>
      <c r="E766" s="103">
        <v>6.0</v>
      </c>
      <c r="F766" s="103">
        <v>7.0</v>
      </c>
      <c r="G766" s="104">
        <f t="shared" si="1"/>
        <v>0.8571428571</v>
      </c>
      <c r="H766" s="105">
        <f t="shared" si="2"/>
        <v>61.45</v>
      </c>
      <c r="I766" s="106">
        <f t="shared" si="3"/>
        <v>71.69166667</v>
      </c>
      <c r="J766" s="120">
        <v>70.57</v>
      </c>
      <c r="K766" s="103">
        <v>6350.0</v>
      </c>
      <c r="L766" s="103">
        <v>2.0</v>
      </c>
      <c r="M766" s="121">
        <v>119.9</v>
      </c>
      <c r="N766" s="109">
        <f t="shared" ref="N766:N783" si="297">J766/M766</f>
        <v>0.5885738115</v>
      </c>
      <c r="O766" s="110">
        <f t="shared" si="5"/>
        <v>1.699022247</v>
      </c>
      <c r="P766" s="109">
        <f t="shared" si="6"/>
        <v>0.191402224</v>
      </c>
      <c r="Q766" s="111">
        <f t="shared" si="7"/>
        <v>0.3251966368</v>
      </c>
      <c r="R766" s="122">
        <f t="shared" si="296"/>
        <v>248.8</v>
      </c>
      <c r="S766" s="113">
        <f t="shared" si="9"/>
        <v>35.285</v>
      </c>
      <c r="T766" s="114"/>
      <c r="U766" s="114"/>
      <c r="V766" s="114"/>
      <c r="W766" s="114"/>
      <c r="X766" s="115"/>
      <c r="Y766" s="98"/>
      <c r="Z766" s="98"/>
    </row>
    <row r="767" hidden="1" outlineLevel="1">
      <c r="A767" s="98"/>
      <c r="B767" s="116"/>
      <c r="C767" s="100" t="s">
        <v>36</v>
      </c>
      <c r="D767" s="120">
        <v>429.65</v>
      </c>
      <c r="E767" s="103">
        <v>7.0</v>
      </c>
      <c r="F767" s="103">
        <v>7.0</v>
      </c>
      <c r="G767" s="104">
        <f t="shared" si="1"/>
        <v>1</v>
      </c>
      <c r="H767" s="105">
        <f t="shared" si="2"/>
        <v>61.37857143</v>
      </c>
      <c r="I767" s="106">
        <f t="shared" si="3"/>
        <v>61.37857143</v>
      </c>
      <c r="J767" s="120">
        <v>69.17</v>
      </c>
      <c r="K767" s="103">
        <v>14933.0</v>
      </c>
      <c r="L767" s="103">
        <v>3.0</v>
      </c>
      <c r="M767" s="121">
        <v>189.85</v>
      </c>
      <c r="N767" s="109">
        <f t="shared" si="297"/>
        <v>0.3643402686</v>
      </c>
      <c r="O767" s="110">
        <f t="shared" si="5"/>
        <v>2.744687003</v>
      </c>
      <c r="P767" s="109">
        <f t="shared" si="6"/>
        <v>0.1609915047</v>
      </c>
      <c r="Q767" s="111">
        <f t="shared" si="7"/>
        <v>0.4418712906</v>
      </c>
      <c r="R767" s="122">
        <f t="shared" si="296"/>
        <v>239.8</v>
      </c>
      <c r="S767" s="113">
        <f t="shared" si="9"/>
        <v>23.05666667</v>
      </c>
      <c r="T767" s="114"/>
      <c r="U767" s="114"/>
      <c r="V767" s="114"/>
      <c r="W767" s="114"/>
      <c r="X767" s="115"/>
      <c r="Y767" s="98"/>
      <c r="Z767" s="98"/>
    </row>
    <row r="768" hidden="1" outlineLevel="1">
      <c r="A768" s="98"/>
      <c r="B768" s="99" t="s">
        <v>37</v>
      </c>
      <c r="C768" s="100" t="s">
        <v>38</v>
      </c>
      <c r="D768" s="123">
        <v>292.09</v>
      </c>
      <c r="E768" s="103">
        <v>8.0</v>
      </c>
      <c r="F768" s="103">
        <v>9.0</v>
      </c>
      <c r="G768" s="104">
        <f t="shared" si="1"/>
        <v>0.8888888889</v>
      </c>
      <c r="H768" s="105">
        <f t="shared" si="2"/>
        <v>36.51125</v>
      </c>
      <c r="I768" s="106">
        <f t="shared" si="3"/>
        <v>41.07515625</v>
      </c>
      <c r="J768" s="123">
        <v>45.94</v>
      </c>
      <c r="K768" s="103">
        <v>8435.0</v>
      </c>
      <c r="L768" s="103">
        <v>1.0</v>
      </c>
      <c r="M768" s="124">
        <v>29.95</v>
      </c>
      <c r="N768" s="109">
        <f t="shared" si="297"/>
        <v>1.533889816</v>
      </c>
      <c r="O768" s="110">
        <f t="shared" si="5"/>
        <v>0.6519373095</v>
      </c>
      <c r="P768" s="109">
        <f t="shared" si="6"/>
        <v>0.1572802903</v>
      </c>
      <c r="Q768" s="111">
        <f t="shared" si="7"/>
        <v>0.1025368893</v>
      </c>
      <c r="R768" s="125">
        <f t="shared" si="296"/>
        <v>262.14</v>
      </c>
      <c r="S768" s="113">
        <f t="shared" si="9"/>
        <v>45.94</v>
      </c>
      <c r="T768" s="114"/>
      <c r="U768" s="114"/>
      <c r="V768" s="114"/>
      <c r="W768" s="114"/>
      <c r="X768" s="115"/>
      <c r="Y768" s="98"/>
      <c r="Z768" s="98"/>
    </row>
    <row r="769" hidden="1" outlineLevel="1">
      <c r="A769" s="98"/>
      <c r="B769" s="116"/>
      <c r="C769" s="100" t="s">
        <v>39</v>
      </c>
      <c r="D769" s="126">
        <v>0.0</v>
      </c>
      <c r="E769" s="103">
        <v>0.0</v>
      </c>
      <c r="F769" s="103">
        <v>0.0</v>
      </c>
      <c r="G769" s="104" t="str">
        <f t="shared" si="1"/>
        <v>#DIV/0!</v>
      </c>
      <c r="H769" s="105" t="str">
        <f t="shared" si="2"/>
        <v>#DIV/0!</v>
      </c>
      <c r="I769" s="106" t="str">
        <f t="shared" si="3"/>
        <v>#DIV/0!</v>
      </c>
      <c r="J769" s="126">
        <v>0.0</v>
      </c>
      <c r="K769" s="103">
        <v>0.0</v>
      </c>
      <c r="L769" s="103">
        <v>0.0</v>
      </c>
      <c r="M769" s="127">
        <v>0.0</v>
      </c>
      <c r="N769" s="109" t="str">
        <f t="shared" si="297"/>
        <v>#DIV/0!</v>
      </c>
      <c r="O769" s="110" t="str">
        <f t="shared" si="5"/>
        <v>#DIV/0!</v>
      </c>
      <c r="P769" s="109" t="str">
        <f t="shared" si="6"/>
        <v>#DIV/0!</v>
      </c>
      <c r="Q769" s="111" t="str">
        <f t="shared" si="7"/>
        <v>#DIV/0!</v>
      </c>
      <c r="R769" s="128">
        <f t="shared" si="296"/>
        <v>0</v>
      </c>
      <c r="S769" s="113" t="str">
        <f t="shared" si="9"/>
        <v>#DIV/0!</v>
      </c>
      <c r="T769" s="114"/>
      <c r="U769" s="114"/>
      <c r="V769" s="114"/>
      <c r="W769" s="114"/>
      <c r="X769" s="115"/>
      <c r="Y769" s="98"/>
      <c r="Z769" s="98"/>
    </row>
    <row r="770" hidden="1" outlineLevel="1">
      <c r="A770" s="98"/>
      <c r="B770" s="116"/>
      <c r="C770" s="100" t="s">
        <v>40</v>
      </c>
      <c r="D770" s="129">
        <v>0.0</v>
      </c>
      <c r="E770" s="103">
        <v>0.0</v>
      </c>
      <c r="F770" s="103">
        <v>0.0</v>
      </c>
      <c r="G770" s="104" t="str">
        <f t="shared" si="1"/>
        <v>#DIV/0!</v>
      </c>
      <c r="H770" s="105" t="str">
        <f t="shared" si="2"/>
        <v>#DIV/0!</v>
      </c>
      <c r="I770" s="106" t="str">
        <f t="shared" si="3"/>
        <v>#DIV/0!</v>
      </c>
      <c r="J770" s="129">
        <v>0.0</v>
      </c>
      <c r="K770" s="103">
        <v>0.0</v>
      </c>
      <c r="L770" s="103">
        <v>0.0</v>
      </c>
      <c r="M770" s="130">
        <v>0.0</v>
      </c>
      <c r="N770" s="109" t="str">
        <f t="shared" si="297"/>
        <v>#DIV/0!</v>
      </c>
      <c r="O770" s="110" t="str">
        <f t="shared" si="5"/>
        <v>#DIV/0!</v>
      </c>
      <c r="P770" s="109" t="str">
        <f t="shared" si="6"/>
        <v>#DIV/0!</v>
      </c>
      <c r="Q770" s="111" t="str">
        <f t="shared" si="7"/>
        <v>#DIV/0!</v>
      </c>
      <c r="R770" s="131">
        <f t="shared" si="296"/>
        <v>0</v>
      </c>
      <c r="S770" s="113" t="str">
        <f t="shared" si="9"/>
        <v>#DIV/0!</v>
      </c>
      <c r="T770" s="114"/>
      <c r="U770" s="114"/>
      <c r="V770" s="114"/>
      <c r="W770" s="114"/>
      <c r="X770" s="115"/>
      <c r="Y770" s="98"/>
      <c r="Z770" s="98"/>
    </row>
    <row r="771" hidden="1" outlineLevel="1">
      <c r="A771" s="98"/>
      <c r="B771" s="116"/>
      <c r="C771" s="100" t="s">
        <v>41</v>
      </c>
      <c r="D771" s="132">
        <v>1725.85</v>
      </c>
      <c r="E771" s="103">
        <v>20.0</v>
      </c>
      <c r="F771" s="103">
        <v>18.0</v>
      </c>
      <c r="G771" s="104">
        <f t="shared" si="1"/>
        <v>1.111111111</v>
      </c>
      <c r="H771" s="105">
        <f t="shared" si="2"/>
        <v>86.2925</v>
      </c>
      <c r="I771" s="106">
        <f t="shared" si="3"/>
        <v>77.66325</v>
      </c>
      <c r="J771" s="132">
        <v>265.5</v>
      </c>
      <c r="K771" s="103">
        <v>24715.0</v>
      </c>
      <c r="L771" s="103">
        <v>8.0</v>
      </c>
      <c r="M771" s="133">
        <v>632.95</v>
      </c>
      <c r="N771" s="109">
        <f t="shared" si="297"/>
        <v>0.4194644127</v>
      </c>
      <c r="O771" s="110">
        <f t="shared" si="5"/>
        <v>2.383992467</v>
      </c>
      <c r="P771" s="109">
        <f t="shared" si="6"/>
        <v>0.1538372396</v>
      </c>
      <c r="Q771" s="111">
        <f t="shared" si="7"/>
        <v>0.3667468204</v>
      </c>
      <c r="R771" s="134">
        <f t="shared" si="296"/>
        <v>1092.9</v>
      </c>
      <c r="S771" s="113">
        <f t="shared" si="9"/>
        <v>33.1875</v>
      </c>
      <c r="T771" s="114"/>
      <c r="U771" s="114"/>
      <c r="V771" s="114"/>
      <c r="W771" s="114"/>
      <c r="X771" s="115"/>
      <c r="Y771" s="98"/>
      <c r="Z771" s="98"/>
    </row>
    <row r="772" hidden="1" outlineLevel="1">
      <c r="A772" s="98"/>
      <c r="B772" s="116"/>
      <c r="C772" s="100" t="s">
        <v>42</v>
      </c>
      <c r="D772" s="120">
        <v>-19.99</v>
      </c>
      <c r="E772" s="103">
        <v>-1.0</v>
      </c>
      <c r="F772" s="103">
        <v>2.0</v>
      </c>
      <c r="G772" s="104">
        <f t="shared" si="1"/>
        <v>-0.5</v>
      </c>
      <c r="H772" s="105">
        <f t="shared" si="2"/>
        <v>19.99</v>
      </c>
      <c r="I772" s="106">
        <f t="shared" si="3"/>
        <v>-39.98</v>
      </c>
      <c r="J772" s="120">
        <v>99.45</v>
      </c>
      <c r="K772" s="103">
        <v>51883.0</v>
      </c>
      <c r="L772" s="103">
        <v>2.0</v>
      </c>
      <c r="M772" s="121">
        <v>39.98</v>
      </c>
      <c r="N772" s="109">
        <f t="shared" si="297"/>
        <v>2.487493747</v>
      </c>
      <c r="O772" s="110">
        <f t="shared" si="5"/>
        <v>0.4020110608</v>
      </c>
      <c r="P772" s="109">
        <f t="shared" si="6"/>
        <v>-4.974987494</v>
      </c>
      <c r="Q772" s="111">
        <f t="shared" si="7"/>
        <v>-2</v>
      </c>
      <c r="R772" s="122">
        <f t="shared" si="296"/>
        <v>-59.97</v>
      </c>
      <c r="S772" s="113">
        <f t="shared" si="9"/>
        <v>49.725</v>
      </c>
      <c r="T772" s="114"/>
      <c r="U772" s="114"/>
      <c r="V772" s="114"/>
      <c r="W772" s="114"/>
      <c r="X772" s="115"/>
      <c r="Y772" s="98"/>
      <c r="Z772" s="98"/>
    </row>
    <row r="773" hidden="1" outlineLevel="1">
      <c r="A773" s="98"/>
      <c r="B773" s="116"/>
      <c r="C773" s="100" t="s">
        <v>43</v>
      </c>
      <c r="D773" s="135">
        <v>2338.97</v>
      </c>
      <c r="E773" s="103">
        <v>19.0</v>
      </c>
      <c r="F773" s="103">
        <v>20.0</v>
      </c>
      <c r="G773" s="104">
        <f t="shared" si="1"/>
        <v>0.95</v>
      </c>
      <c r="H773" s="105">
        <f t="shared" si="2"/>
        <v>123.1036842</v>
      </c>
      <c r="I773" s="106">
        <f t="shared" si="3"/>
        <v>129.5828255</v>
      </c>
      <c r="J773" s="135">
        <v>49.88</v>
      </c>
      <c r="K773" s="103">
        <v>12418.0</v>
      </c>
      <c r="L773" s="103">
        <v>1.0</v>
      </c>
      <c r="M773" s="136">
        <v>0.0</v>
      </c>
      <c r="N773" s="109" t="str">
        <f t="shared" si="297"/>
        <v>#DIV/0!</v>
      </c>
      <c r="O773" s="110">
        <f t="shared" si="5"/>
        <v>0</v>
      </c>
      <c r="P773" s="109">
        <f t="shared" si="6"/>
        <v>0.02132562624</v>
      </c>
      <c r="Q773" s="111">
        <f t="shared" si="7"/>
        <v>0</v>
      </c>
      <c r="R773" s="137">
        <f t="shared" si="296"/>
        <v>2338.97</v>
      </c>
      <c r="S773" s="113">
        <f t="shared" si="9"/>
        <v>49.88</v>
      </c>
      <c r="T773" s="114"/>
      <c r="U773" s="114"/>
      <c r="V773" s="114"/>
      <c r="W773" s="114"/>
      <c r="X773" s="115"/>
      <c r="Y773" s="98"/>
      <c r="Z773" s="98"/>
    </row>
    <row r="774" hidden="1" outlineLevel="1">
      <c r="A774" s="98"/>
      <c r="B774" s="116"/>
      <c r="C774" s="100" t="s">
        <v>44</v>
      </c>
      <c r="D774" s="138">
        <v>169.88</v>
      </c>
      <c r="E774" s="103">
        <v>2.0</v>
      </c>
      <c r="F774" s="103">
        <v>3.0</v>
      </c>
      <c r="G774" s="104">
        <f t="shared" si="1"/>
        <v>0.6666666667</v>
      </c>
      <c r="H774" s="105">
        <f t="shared" si="2"/>
        <v>84.94</v>
      </c>
      <c r="I774" s="106">
        <f t="shared" si="3"/>
        <v>127.41</v>
      </c>
      <c r="J774" s="138">
        <v>79.81</v>
      </c>
      <c r="K774" s="103">
        <v>46887.0</v>
      </c>
      <c r="L774" s="103">
        <v>0.0</v>
      </c>
      <c r="M774" s="139">
        <v>0.0</v>
      </c>
      <c r="N774" s="109" t="str">
        <f t="shared" si="297"/>
        <v>#DIV/0!</v>
      </c>
      <c r="O774" s="110">
        <f t="shared" si="5"/>
        <v>0</v>
      </c>
      <c r="P774" s="109">
        <f t="shared" si="6"/>
        <v>0.4698022133</v>
      </c>
      <c r="Q774" s="111">
        <f t="shared" si="7"/>
        <v>0</v>
      </c>
      <c r="R774" s="140">
        <f t="shared" si="296"/>
        <v>169.88</v>
      </c>
      <c r="S774" s="113" t="str">
        <f t="shared" si="9"/>
        <v>#DIV/0!</v>
      </c>
      <c r="T774" s="114"/>
      <c r="U774" s="114"/>
      <c r="V774" s="114"/>
      <c r="W774" s="114"/>
      <c r="X774" s="115"/>
      <c r="Y774" s="98"/>
      <c r="Z774" s="98"/>
    </row>
    <row r="775" hidden="1" outlineLevel="1">
      <c r="A775" s="141"/>
      <c r="B775" s="116"/>
      <c r="C775" s="142" t="s">
        <v>45</v>
      </c>
      <c r="D775" s="101">
        <v>0.0</v>
      </c>
      <c r="E775" s="103">
        <v>0.0</v>
      </c>
      <c r="F775" s="103">
        <v>0.0</v>
      </c>
      <c r="G775" s="104" t="str">
        <f t="shared" si="1"/>
        <v>#DIV/0!</v>
      </c>
      <c r="H775" s="105" t="str">
        <f t="shared" si="2"/>
        <v>#DIV/0!</v>
      </c>
      <c r="I775" s="106" t="str">
        <f t="shared" si="3"/>
        <v>#DIV/0!</v>
      </c>
      <c r="J775" s="101">
        <v>0.0</v>
      </c>
      <c r="K775" s="103">
        <v>0.0</v>
      </c>
      <c r="L775" s="103">
        <v>0.0</v>
      </c>
      <c r="M775" s="108">
        <v>0.0</v>
      </c>
      <c r="N775" s="109" t="str">
        <f t="shared" si="297"/>
        <v>#DIV/0!</v>
      </c>
      <c r="O775" s="110" t="str">
        <f t="shared" si="5"/>
        <v>#DIV/0!</v>
      </c>
      <c r="P775" s="109" t="str">
        <f t="shared" si="6"/>
        <v>#DIV/0!</v>
      </c>
      <c r="Q775" s="111" t="str">
        <f t="shared" si="7"/>
        <v>#DIV/0!</v>
      </c>
      <c r="R775" s="112">
        <f t="shared" si="296"/>
        <v>0</v>
      </c>
      <c r="S775" s="113" t="str">
        <f t="shared" si="9"/>
        <v>#DIV/0!</v>
      </c>
      <c r="T775" s="143"/>
      <c r="U775" s="143"/>
      <c r="V775" s="143"/>
      <c r="W775" s="144"/>
      <c r="X775" s="145"/>
      <c r="Y775" s="98"/>
      <c r="Z775" s="98"/>
    </row>
    <row r="776" hidden="1" outlineLevel="1">
      <c r="A776" s="98"/>
      <c r="B776" s="116"/>
      <c r="C776" s="100" t="s">
        <v>46</v>
      </c>
      <c r="D776" s="146">
        <v>1597.15</v>
      </c>
      <c r="E776" s="103">
        <v>37.0</v>
      </c>
      <c r="F776" s="103">
        <v>31.0</v>
      </c>
      <c r="G776" s="104">
        <f t="shared" si="1"/>
        <v>1.193548387</v>
      </c>
      <c r="H776" s="105">
        <f t="shared" si="2"/>
        <v>43.16621622</v>
      </c>
      <c r="I776" s="106">
        <f t="shared" si="3"/>
        <v>36.16628926</v>
      </c>
      <c r="J776" s="146">
        <v>267.49</v>
      </c>
      <c r="K776" s="103">
        <v>56359.0</v>
      </c>
      <c r="L776" s="103">
        <v>9.0</v>
      </c>
      <c r="M776" s="147">
        <v>390.55</v>
      </c>
      <c r="N776" s="109">
        <f t="shared" si="297"/>
        <v>0.6849059019</v>
      </c>
      <c r="O776" s="110">
        <f t="shared" si="5"/>
        <v>1.460054581</v>
      </c>
      <c r="P776" s="109">
        <f t="shared" si="6"/>
        <v>0.167479573</v>
      </c>
      <c r="Q776" s="111">
        <f t="shared" si="7"/>
        <v>0.2445293178</v>
      </c>
      <c r="R776" s="112">
        <f t="shared" si="296"/>
        <v>1206.6</v>
      </c>
      <c r="S776" s="113">
        <f t="shared" si="9"/>
        <v>29.72111111</v>
      </c>
      <c r="T776" s="114"/>
      <c r="U776" s="114"/>
      <c r="V776" s="114"/>
      <c r="W776" s="114"/>
      <c r="X776" s="115"/>
      <c r="Y776" s="98"/>
      <c r="Z776" s="98"/>
    </row>
    <row r="777" hidden="1" outlineLevel="1">
      <c r="A777" s="98"/>
      <c r="B777" s="116"/>
      <c r="C777" s="100" t="s">
        <v>47</v>
      </c>
      <c r="D777" s="117">
        <v>0.0</v>
      </c>
      <c r="E777" s="103">
        <v>0.0</v>
      </c>
      <c r="F777" s="103">
        <v>0.0</v>
      </c>
      <c r="G777" s="104" t="str">
        <f t="shared" si="1"/>
        <v>#DIV/0!</v>
      </c>
      <c r="H777" s="105" t="str">
        <f t="shared" si="2"/>
        <v>#DIV/0!</v>
      </c>
      <c r="I777" s="106" t="str">
        <f t="shared" si="3"/>
        <v>#DIV/0!</v>
      </c>
      <c r="J777" s="117">
        <v>0.0</v>
      </c>
      <c r="K777" s="103">
        <v>0.0</v>
      </c>
      <c r="L777" s="103">
        <v>0.0</v>
      </c>
      <c r="M777" s="118">
        <v>0.0</v>
      </c>
      <c r="N777" s="109" t="str">
        <f t="shared" si="297"/>
        <v>#DIV/0!</v>
      </c>
      <c r="O777" s="110" t="str">
        <f t="shared" si="5"/>
        <v>#DIV/0!</v>
      </c>
      <c r="P777" s="109" t="str">
        <f t="shared" si="6"/>
        <v>#DIV/0!</v>
      </c>
      <c r="Q777" s="111" t="str">
        <f t="shared" si="7"/>
        <v>#DIV/0!</v>
      </c>
      <c r="R777" s="112">
        <f t="shared" si="296"/>
        <v>0</v>
      </c>
      <c r="S777" s="113" t="str">
        <f t="shared" si="9"/>
        <v>#DIV/0!</v>
      </c>
      <c r="T777" s="114"/>
      <c r="U777" s="114"/>
      <c r="V777" s="114"/>
      <c r="W777" s="114"/>
      <c r="X777" s="115"/>
      <c r="Y777" s="98"/>
      <c r="Z777" s="98"/>
    </row>
    <row r="778" hidden="1" outlineLevel="1">
      <c r="A778" s="98"/>
      <c r="B778" s="116"/>
      <c r="C778" s="100" t="s">
        <v>48</v>
      </c>
      <c r="D778" s="132">
        <v>4980.4</v>
      </c>
      <c r="E778" s="103">
        <v>21.0</v>
      </c>
      <c r="F778" s="103">
        <v>21.0</v>
      </c>
      <c r="G778" s="104">
        <f t="shared" si="1"/>
        <v>1</v>
      </c>
      <c r="H778" s="105">
        <f t="shared" si="2"/>
        <v>237.1619048</v>
      </c>
      <c r="I778" s="106">
        <f t="shared" si="3"/>
        <v>237.1619048</v>
      </c>
      <c r="J778" s="132">
        <v>435.99</v>
      </c>
      <c r="K778" s="103">
        <v>30871.0</v>
      </c>
      <c r="L778" s="103">
        <v>13.0</v>
      </c>
      <c r="M778" s="133">
        <v>2459.4</v>
      </c>
      <c r="N778" s="109">
        <f t="shared" si="297"/>
        <v>0.1772749451</v>
      </c>
      <c r="O778" s="110">
        <f t="shared" si="5"/>
        <v>5.640955068</v>
      </c>
      <c r="P778" s="109">
        <f t="shared" si="6"/>
        <v>0.08754116135</v>
      </c>
      <c r="Q778" s="111">
        <f t="shared" si="7"/>
        <v>0.4938157578</v>
      </c>
      <c r="R778" s="112">
        <f t="shared" si="296"/>
        <v>2521</v>
      </c>
      <c r="S778" s="113">
        <f t="shared" si="9"/>
        <v>33.53769231</v>
      </c>
      <c r="T778" s="114"/>
      <c r="U778" s="114"/>
      <c r="V778" s="114"/>
      <c r="W778" s="114"/>
      <c r="X778" s="115"/>
      <c r="Y778" s="98"/>
      <c r="Z778" s="98"/>
    </row>
    <row r="779" hidden="1" outlineLevel="1">
      <c r="A779" s="98"/>
      <c r="B779" s="116"/>
      <c r="C779" s="100" t="s">
        <v>49</v>
      </c>
      <c r="D779" s="146">
        <v>0.0</v>
      </c>
      <c r="E779" s="103">
        <v>0.0</v>
      </c>
      <c r="F779" s="103">
        <v>0.0</v>
      </c>
      <c r="G779" s="104" t="str">
        <f t="shared" si="1"/>
        <v>#DIV/0!</v>
      </c>
      <c r="H779" s="105" t="str">
        <f t="shared" si="2"/>
        <v>#DIV/0!</v>
      </c>
      <c r="I779" s="106" t="str">
        <f t="shared" si="3"/>
        <v>#DIV/0!</v>
      </c>
      <c r="J779" s="146">
        <v>5.88</v>
      </c>
      <c r="K779" s="103">
        <v>14559.0</v>
      </c>
      <c r="L779" s="103">
        <v>0.0</v>
      </c>
      <c r="M779" s="147">
        <v>0.0</v>
      </c>
      <c r="N779" s="109" t="str">
        <f t="shared" si="297"/>
        <v>#DIV/0!</v>
      </c>
      <c r="O779" s="110">
        <f t="shared" si="5"/>
        <v>0</v>
      </c>
      <c r="P779" s="109" t="str">
        <f t="shared" si="6"/>
        <v>#DIV/0!</v>
      </c>
      <c r="Q779" s="111" t="str">
        <f t="shared" si="7"/>
        <v>#DIV/0!</v>
      </c>
      <c r="R779" s="112">
        <f t="shared" si="296"/>
        <v>0</v>
      </c>
      <c r="S779" s="113" t="str">
        <f t="shared" si="9"/>
        <v>#DIV/0!</v>
      </c>
      <c r="T779" s="114"/>
      <c r="U779" s="114"/>
      <c r="V779" s="114"/>
      <c r="W779" s="114"/>
      <c r="X779" s="115"/>
      <c r="Y779" s="98"/>
      <c r="Z779" s="98"/>
    </row>
    <row r="780" hidden="1" outlineLevel="1">
      <c r="A780" s="148" t="str">
        <f t="shared" ref="A780:A781" si="298">iferror(if(B780&gt;0,month(B780)&amp;"-"&amp;year(B780),B780),)</f>
        <v>12-2025</v>
      </c>
      <c r="B780" s="99">
        <v>46004.0</v>
      </c>
      <c r="C780" s="277" t="s">
        <v>67</v>
      </c>
      <c r="D780" s="146">
        <v>0.0</v>
      </c>
      <c r="E780" s="103">
        <v>0.0</v>
      </c>
      <c r="F780" s="103">
        <v>0.0</v>
      </c>
      <c r="G780" s="104" t="str">
        <f t="shared" si="1"/>
        <v>#DIV/0!</v>
      </c>
      <c r="H780" s="105" t="str">
        <f t="shared" si="2"/>
        <v>#DIV/0!</v>
      </c>
      <c r="I780" s="106" t="str">
        <f t="shared" si="3"/>
        <v>#DIV/0!</v>
      </c>
      <c r="J780" s="117">
        <v>2304.17</v>
      </c>
      <c r="K780" s="278">
        <v>214545.0</v>
      </c>
      <c r="L780" s="103">
        <v>0.0</v>
      </c>
      <c r="M780" s="118">
        <v>10900.400000000001</v>
      </c>
      <c r="N780" s="109">
        <f t="shared" si="297"/>
        <v>0.2113839859</v>
      </c>
      <c r="O780" s="110">
        <f t="shared" si="5"/>
        <v>4.730727333</v>
      </c>
      <c r="P780" s="109" t="str">
        <f t="shared" si="6"/>
        <v>#DIV/0!</v>
      </c>
      <c r="Q780" s="111" t="str">
        <f t="shared" si="7"/>
        <v>#DIV/0!</v>
      </c>
      <c r="R780" s="112">
        <f t="shared" si="296"/>
        <v>-10900.4</v>
      </c>
      <c r="S780" s="113" t="str">
        <f t="shared" si="9"/>
        <v>#DIV/0!</v>
      </c>
      <c r="T780" s="114"/>
      <c r="U780" s="114"/>
      <c r="V780" s="114"/>
      <c r="W780" s="114"/>
      <c r="X780" s="115"/>
      <c r="Y780" s="98"/>
      <c r="Z780" s="98"/>
    </row>
    <row r="781" collapsed="1">
      <c r="A781" s="98" t="str">
        <f t="shared" si="298"/>
        <v/>
      </c>
      <c r="B781" s="80" t="s">
        <v>137</v>
      </c>
      <c r="C781" s="150"/>
      <c r="D781" s="151">
        <f t="shared" ref="D781:F781" si="299">SUM(D763:D780)</f>
        <v>24995.16</v>
      </c>
      <c r="E781" s="153">
        <f t="shared" si="299"/>
        <v>193</v>
      </c>
      <c r="F781" s="153">
        <f t="shared" si="299"/>
        <v>203</v>
      </c>
      <c r="G781" s="154">
        <f t="shared" si="1"/>
        <v>0.9507389163</v>
      </c>
      <c r="H781" s="155">
        <f t="shared" si="2"/>
        <v>129.508601</v>
      </c>
      <c r="I781" s="156">
        <f t="shared" si="3"/>
        <v>136.2188912</v>
      </c>
      <c r="J781" s="151">
        <f t="shared" ref="J781:M781" si="300">SUM(J763:J780)</f>
        <v>6128.66</v>
      </c>
      <c r="K781" s="153">
        <f t="shared" si="300"/>
        <v>2873241</v>
      </c>
      <c r="L781" s="153">
        <f t="shared" si="300"/>
        <v>68</v>
      </c>
      <c r="M781" s="157">
        <f t="shared" si="300"/>
        <v>21741.98</v>
      </c>
      <c r="N781" s="158">
        <f t="shared" si="297"/>
        <v>0.281881411</v>
      </c>
      <c r="O781" s="159">
        <f t="shared" si="5"/>
        <v>3.547591154</v>
      </c>
      <c r="P781" s="158">
        <f t="shared" si="6"/>
        <v>0.2451938695</v>
      </c>
      <c r="Q781" s="160">
        <f t="shared" si="7"/>
        <v>0.8698476025</v>
      </c>
      <c r="R781" s="161">
        <f>SUM(R763:R780)</f>
        <v>3253.18</v>
      </c>
      <c r="S781" s="162">
        <f t="shared" si="9"/>
        <v>90.12735294</v>
      </c>
      <c r="T781" s="163">
        <f t="shared" ref="T781:U781" si="301">IFERROR((D781-D69)/D781,)</f>
        <v>0.6966884789</v>
      </c>
      <c r="U781" s="163">
        <f t="shared" si="301"/>
        <v>0.5129533679</v>
      </c>
      <c r="V781" s="164" t="str">
        <f t="shared" ref="V781:W781" si="302">IFERROR((D781-monthly_reporting_2021!D572)/D781, )</f>
        <v/>
      </c>
      <c r="W781" s="164" t="str">
        <f t="shared" si="302"/>
        <v/>
      </c>
      <c r="X781" s="98"/>
      <c r="Y781" s="98"/>
      <c r="Z781" s="98"/>
    </row>
    <row r="782" hidden="1" outlineLevel="1">
      <c r="A782" s="98"/>
      <c r="B782" s="99">
        <v>46005.0</v>
      </c>
      <c r="C782" s="100" t="s">
        <v>32</v>
      </c>
      <c r="D782" s="101">
        <v>15879.79</v>
      </c>
      <c r="E782" s="103">
        <v>46.0</v>
      </c>
      <c r="F782" s="103">
        <v>43.0</v>
      </c>
      <c r="G782" s="104">
        <f t="shared" si="1"/>
        <v>1.069767442</v>
      </c>
      <c r="H782" s="105">
        <f t="shared" si="2"/>
        <v>345.2128261</v>
      </c>
      <c r="I782" s="106">
        <f t="shared" si="3"/>
        <v>322.6989461</v>
      </c>
      <c r="J782" s="107">
        <v>1935.87</v>
      </c>
      <c r="K782" s="103">
        <v>307514.0</v>
      </c>
      <c r="L782" s="103">
        <v>24.0</v>
      </c>
      <c r="M782" s="108">
        <v>3946.46</v>
      </c>
      <c r="N782" s="109">
        <f t="shared" si="297"/>
        <v>0.4905332881</v>
      </c>
      <c r="O782" s="110">
        <f t="shared" si="5"/>
        <v>2.038597633</v>
      </c>
      <c r="P782" s="109">
        <f t="shared" si="6"/>
        <v>0.1219077834</v>
      </c>
      <c r="Q782" s="111">
        <f t="shared" si="7"/>
        <v>0.2485209187</v>
      </c>
      <c r="R782" s="112">
        <f t="shared" ref="R782:R799" si="303">D782-M782</f>
        <v>11933.33</v>
      </c>
      <c r="S782" s="113">
        <f t="shared" si="9"/>
        <v>80.66125</v>
      </c>
      <c r="T782" s="114"/>
      <c r="U782" s="114"/>
      <c r="V782" s="114"/>
      <c r="W782" s="114"/>
      <c r="X782" s="115"/>
      <c r="Y782" s="98"/>
      <c r="Z782" s="98"/>
    </row>
    <row r="783" hidden="1" outlineLevel="1">
      <c r="A783" s="98"/>
      <c r="B783" s="116"/>
      <c r="C783" s="100" t="s">
        <v>33</v>
      </c>
      <c r="D783" s="117">
        <v>30591.79</v>
      </c>
      <c r="E783" s="103">
        <v>135.0</v>
      </c>
      <c r="F783" s="103">
        <v>141.0</v>
      </c>
      <c r="G783" s="104">
        <f t="shared" si="1"/>
        <v>0.9574468085</v>
      </c>
      <c r="H783" s="105">
        <f t="shared" si="2"/>
        <v>226.6058519</v>
      </c>
      <c r="I783" s="106">
        <f t="shared" si="3"/>
        <v>236.677223</v>
      </c>
      <c r="J783" s="117">
        <v>1009.3</v>
      </c>
      <c r="K783" s="103">
        <v>394188.0</v>
      </c>
      <c r="L783" s="103">
        <v>47.0</v>
      </c>
      <c r="M783" s="118">
        <v>7893.63</v>
      </c>
      <c r="N783" s="109">
        <f t="shared" si="297"/>
        <v>0.127862593</v>
      </c>
      <c r="O783" s="110">
        <f t="shared" si="5"/>
        <v>7.82089567</v>
      </c>
      <c r="P783" s="109">
        <f t="shared" si="6"/>
        <v>0.03299251204</v>
      </c>
      <c r="Q783" s="111">
        <f t="shared" si="7"/>
        <v>0.2580309946</v>
      </c>
      <c r="R783" s="119">
        <f t="shared" si="303"/>
        <v>22698.16</v>
      </c>
      <c r="S783" s="113">
        <f t="shared" si="9"/>
        <v>21.47446809</v>
      </c>
      <c r="T783" s="114"/>
      <c r="U783" s="114"/>
      <c r="V783" s="114"/>
      <c r="W783" s="114"/>
      <c r="X783" s="115"/>
      <c r="Y783" s="98"/>
      <c r="Z783" s="98"/>
    </row>
    <row r="784" hidden="1" outlineLevel="1">
      <c r="A784" s="98"/>
      <c r="B784" s="116"/>
      <c r="C784" s="100" t="s">
        <v>34</v>
      </c>
      <c r="D784" s="120">
        <v>0.0</v>
      </c>
      <c r="E784" s="103">
        <v>0.0</v>
      </c>
      <c r="F784" s="103">
        <v>0.0</v>
      </c>
      <c r="G784" s="104" t="str">
        <f t="shared" si="1"/>
        <v>#DIV/0!</v>
      </c>
      <c r="H784" s="105" t="str">
        <f t="shared" si="2"/>
        <v>#DIV/0!</v>
      </c>
      <c r="I784" s="106" t="str">
        <f t="shared" si="3"/>
        <v>#DIV/0!</v>
      </c>
      <c r="J784" s="120">
        <v>0.0</v>
      </c>
      <c r="K784" s="103">
        <v>273.0</v>
      </c>
      <c r="L784" s="103">
        <v>0.0</v>
      </c>
      <c r="M784" s="121">
        <v>0.0</v>
      </c>
      <c r="N784" s="109" t="str">
        <f>(J784/M784)</f>
        <v>#DIV/0!</v>
      </c>
      <c r="O784" s="110" t="str">
        <f t="shared" si="5"/>
        <v>#DIV/0!</v>
      </c>
      <c r="P784" s="109" t="str">
        <f t="shared" si="6"/>
        <v>#DIV/0!</v>
      </c>
      <c r="Q784" s="111" t="str">
        <f t="shared" si="7"/>
        <v>#DIV/0!</v>
      </c>
      <c r="R784" s="122">
        <f t="shared" si="303"/>
        <v>0</v>
      </c>
      <c r="S784" s="113" t="str">
        <f t="shared" si="9"/>
        <v>#DIV/0!</v>
      </c>
      <c r="T784" s="114"/>
      <c r="U784" s="114"/>
      <c r="V784" s="114"/>
      <c r="W784" s="114"/>
      <c r="X784" s="115"/>
      <c r="Y784" s="98"/>
      <c r="Z784" s="98"/>
    </row>
    <row r="785" hidden="1" outlineLevel="1">
      <c r="A785" s="98"/>
      <c r="B785" s="116"/>
      <c r="C785" s="100" t="s">
        <v>35</v>
      </c>
      <c r="D785" s="120">
        <v>125.9</v>
      </c>
      <c r="E785" s="103">
        <v>2.0</v>
      </c>
      <c r="F785" s="103">
        <v>2.0</v>
      </c>
      <c r="G785" s="104">
        <f t="shared" si="1"/>
        <v>1</v>
      </c>
      <c r="H785" s="105">
        <f t="shared" si="2"/>
        <v>62.95</v>
      </c>
      <c r="I785" s="106">
        <f t="shared" si="3"/>
        <v>62.95</v>
      </c>
      <c r="J785" s="120">
        <v>0.0</v>
      </c>
      <c r="K785" s="103">
        <v>13.0</v>
      </c>
      <c r="L785" s="103">
        <v>0.0</v>
      </c>
      <c r="M785" s="121">
        <v>0.0</v>
      </c>
      <c r="N785" s="109" t="str">
        <f t="shared" ref="N785:N802" si="304">J785/M785</f>
        <v>#DIV/0!</v>
      </c>
      <c r="O785" s="110" t="str">
        <f t="shared" si="5"/>
        <v>#DIV/0!</v>
      </c>
      <c r="P785" s="109">
        <f t="shared" si="6"/>
        <v>0</v>
      </c>
      <c r="Q785" s="111">
        <f t="shared" si="7"/>
        <v>0</v>
      </c>
      <c r="R785" s="122">
        <f t="shared" si="303"/>
        <v>125.9</v>
      </c>
      <c r="S785" s="113" t="str">
        <f t="shared" si="9"/>
        <v>#DIV/0!</v>
      </c>
      <c r="T785" s="114"/>
      <c r="U785" s="114"/>
      <c r="V785" s="114"/>
      <c r="W785" s="114"/>
      <c r="X785" s="115"/>
      <c r="Y785" s="98"/>
      <c r="Z785" s="98"/>
    </row>
    <row r="786" hidden="1" outlineLevel="1">
      <c r="A786" s="98"/>
      <c r="B786" s="116"/>
      <c r="C786" s="100" t="s">
        <v>36</v>
      </c>
      <c r="D786" s="120">
        <v>729.4</v>
      </c>
      <c r="E786" s="103">
        <v>12.0</v>
      </c>
      <c r="F786" s="103">
        <v>10.0</v>
      </c>
      <c r="G786" s="104">
        <f t="shared" si="1"/>
        <v>1.2</v>
      </c>
      <c r="H786" s="105">
        <f t="shared" si="2"/>
        <v>60.78333333</v>
      </c>
      <c r="I786" s="106">
        <f t="shared" si="3"/>
        <v>50.65277778</v>
      </c>
      <c r="J786" s="120">
        <v>69.07</v>
      </c>
      <c r="K786" s="103">
        <v>19238.0</v>
      </c>
      <c r="L786" s="103">
        <v>3.0</v>
      </c>
      <c r="M786" s="121">
        <v>199.85</v>
      </c>
      <c r="N786" s="109">
        <f t="shared" si="304"/>
        <v>0.3456092069</v>
      </c>
      <c r="O786" s="110">
        <f t="shared" si="5"/>
        <v>2.893441436</v>
      </c>
      <c r="P786" s="109">
        <f t="shared" si="6"/>
        <v>0.09469426926</v>
      </c>
      <c r="Q786" s="111">
        <f t="shared" si="7"/>
        <v>0.2739923225</v>
      </c>
      <c r="R786" s="122">
        <f t="shared" si="303"/>
        <v>529.55</v>
      </c>
      <c r="S786" s="113">
        <f t="shared" si="9"/>
        <v>23.02333333</v>
      </c>
      <c r="T786" s="114"/>
      <c r="U786" s="114"/>
      <c r="V786" s="114"/>
      <c r="W786" s="114"/>
      <c r="X786" s="115"/>
      <c r="Y786" s="98"/>
      <c r="Z786" s="98"/>
    </row>
    <row r="787" hidden="1" outlineLevel="1">
      <c r="A787" s="98"/>
      <c r="B787" s="99" t="s">
        <v>37</v>
      </c>
      <c r="C787" s="100" t="s">
        <v>38</v>
      </c>
      <c r="D787" s="123">
        <v>328.09</v>
      </c>
      <c r="E787" s="103">
        <v>9.0</v>
      </c>
      <c r="F787" s="103">
        <v>10.0</v>
      </c>
      <c r="G787" s="104">
        <f t="shared" si="1"/>
        <v>0.9</v>
      </c>
      <c r="H787" s="105">
        <f t="shared" si="2"/>
        <v>36.45444444</v>
      </c>
      <c r="I787" s="106">
        <f t="shared" si="3"/>
        <v>40.50493827</v>
      </c>
      <c r="J787" s="123">
        <v>62.78</v>
      </c>
      <c r="K787" s="103">
        <v>10619.0</v>
      </c>
      <c r="L787" s="103">
        <v>3.0</v>
      </c>
      <c r="M787" s="124">
        <v>99.85</v>
      </c>
      <c r="N787" s="109">
        <f t="shared" si="304"/>
        <v>0.6287431147</v>
      </c>
      <c r="O787" s="110">
        <f t="shared" si="5"/>
        <v>1.590474673</v>
      </c>
      <c r="P787" s="109">
        <f t="shared" si="6"/>
        <v>0.1913499345</v>
      </c>
      <c r="Q787" s="111">
        <f t="shared" si="7"/>
        <v>0.3043372245</v>
      </c>
      <c r="R787" s="125">
        <f t="shared" si="303"/>
        <v>228.24</v>
      </c>
      <c r="S787" s="113">
        <f t="shared" si="9"/>
        <v>20.92666667</v>
      </c>
      <c r="T787" s="114"/>
      <c r="U787" s="114"/>
      <c r="V787" s="114"/>
      <c r="W787" s="114"/>
      <c r="X787" s="115"/>
      <c r="Y787" s="98"/>
      <c r="Z787" s="98"/>
    </row>
    <row r="788" hidden="1" outlineLevel="1">
      <c r="A788" s="98"/>
      <c r="B788" s="116"/>
      <c r="C788" s="100" t="s">
        <v>39</v>
      </c>
      <c r="D788" s="126">
        <v>0.0</v>
      </c>
      <c r="E788" s="103">
        <v>0.0</v>
      </c>
      <c r="F788" s="103">
        <v>0.0</v>
      </c>
      <c r="G788" s="104" t="str">
        <f t="shared" si="1"/>
        <v>#DIV/0!</v>
      </c>
      <c r="H788" s="105" t="str">
        <f t="shared" si="2"/>
        <v>#DIV/0!</v>
      </c>
      <c r="I788" s="106" t="str">
        <f t="shared" si="3"/>
        <v>#DIV/0!</v>
      </c>
      <c r="J788" s="126">
        <v>0.0</v>
      </c>
      <c r="K788" s="103">
        <v>0.0</v>
      </c>
      <c r="L788" s="103">
        <v>0.0</v>
      </c>
      <c r="M788" s="127">
        <v>0.0</v>
      </c>
      <c r="N788" s="109" t="str">
        <f t="shared" si="304"/>
        <v>#DIV/0!</v>
      </c>
      <c r="O788" s="110" t="str">
        <f t="shared" si="5"/>
        <v>#DIV/0!</v>
      </c>
      <c r="P788" s="109" t="str">
        <f t="shared" si="6"/>
        <v>#DIV/0!</v>
      </c>
      <c r="Q788" s="111" t="str">
        <f t="shared" si="7"/>
        <v>#DIV/0!</v>
      </c>
      <c r="R788" s="128">
        <f t="shared" si="303"/>
        <v>0</v>
      </c>
      <c r="S788" s="113" t="str">
        <f t="shared" si="9"/>
        <v>#DIV/0!</v>
      </c>
      <c r="T788" s="114"/>
      <c r="U788" s="114"/>
      <c r="V788" s="114"/>
      <c r="W788" s="114"/>
      <c r="X788" s="115"/>
      <c r="Y788" s="98"/>
      <c r="Z788" s="98"/>
    </row>
    <row r="789" hidden="1" outlineLevel="1">
      <c r="A789" s="98"/>
      <c r="B789" s="116"/>
      <c r="C789" s="100" t="s">
        <v>40</v>
      </c>
      <c r="D789" s="129">
        <v>0.0</v>
      </c>
      <c r="E789" s="103">
        <v>0.0</v>
      </c>
      <c r="F789" s="103">
        <v>0.0</v>
      </c>
      <c r="G789" s="104" t="str">
        <f t="shared" si="1"/>
        <v>#DIV/0!</v>
      </c>
      <c r="H789" s="105" t="str">
        <f t="shared" si="2"/>
        <v>#DIV/0!</v>
      </c>
      <c r="I789" s="106" t="str">
        <f t="shared" si="3"/>
        <v>#DIV/0!</v>
      </c>
      <c r="J789" s="129">
        <v>0.0</v>
      </c>
      <c r="K789" s="103">
        <v>0.0</v>
      </c>
      <c r="L789" s="103">
        <v>0.0</v>
      </c>
      <c r="M789" s="130">
        <v>0.0</v>
      </c>
      <c r="N789" s="109" t="str">
        <f t="shared" si="304"/>
        <v>#DIV/0!</v>
      </c>
      <c r="O789" s="110" t="str">
        <f t="shared" si="5"/>
        <v>#DIV/0!</v>
      </c>
      <c r="P789" s="109" t="str">
        <f t="shared" si="6"/>
        <v>#DIV/0!</v>
      </c>
      <c r="Q789" s="111" t="str">
        <f t="shared" si="7"/>
        <v>#DIV/0!</v>
      </c>
      <c r="R789" s="131">
        <f t="shared" si="303"/>
        <v>0</v>
      </c>
      <c r="S789" s="113" t="str">
        <f t="shared" si="9"/>
        <v>#DIV/0!</v>
      </c>
      <c r="T789" s="114"/>
      <c r="U789" s="114"/>
      <c r="V789" s="114"/>
      <c r="W789" s="114"/>
      <c r="X789" s="115"/>
      <c r="Y789" s="98"/>
      <c r="Z789" s="98"/>
    </row>
    <row r="790" hidden="1" outlineLevel="1">
      <c r="A790" s="98"/>
      <c r="B790" s="116"/>
      <c r="C790" s="100" t="s">
        <v>41</v>
      </c>
      <c r="D790" s="132">
        <v>1334.56</v>
      </c>
      <c r="E790" s="103">
        <v>16.0</v>
      </c>
      <c r="F790" s="103">
        <v>15.0</v>
      </c>
      <c r="G790" s="104">
        <f t="shared" si="1"/>
        <v>1.066666667</v>
      </c>
      <c r="H790" s="105">
        <f t="shared" si="2"/>
        <v>83.41</v>
      </c>
      <c r="I790" s="106">
        <f t="shared" si="3"/>
        <v>78.196875</v>
      </c>
      <c r="J790" s="132">
        <v>562.42</v>
      </c>
      <c r="K790" s="103">
        <v>34705.0</v>
      </c>
      <c r="L790" s="103">
        <v>9.0</v>
      </c>
      <c r="M790" s="133">
        <v>874.63</v>
      </c>
      <c r="N790" s="109">
        <f t="shared" si="304"/>
        <v>0.6430376273</v>
      </c>
      <c r="O790" s="110">
        <f t="shared" si="5"/>
        <v>1.55511895</v>
      </c>
      <c r="P790" s="109">
        <f t="shared" si="6"/>
        <v>0.4214272869</v>
      </c>
      <c r="Q790" s="111">
        <f t="shared" si="7"/>
        <v>0.65536956</v>
      </c>
      <c r="R790" s="134">
        <f t="shared" si="303"/>
        <v>459.93</v>
      </c>
      <c r="S790" s="113">
        <f t="shared" si="9"/>
        <v>62.49111111</v>
      </c>
      <c r="T790" s="114"/>
      <c r="U790" s="114"/>
      <c r="V790" s="114"/>
      <c r="W790" s="114"/>
      <c r="X790" s="115"/>
      <c r="Y790" s="98"/>
      <c r="Z790" s="98"/>
    </row>
    <row r="791" hidden="1" outlineLevel="1">
      <c r="A791" s="98"/>
      <c r="B791" s="116"/>
      <c r="C791" s="100" t="s">
        <v>42</v>
      </c>
      <c r="D791" s="120">
        <v>99.95</v>
      </c>
      <c r="E791" s="103">
        <v>5.0</v>
      </c>
      <c r="F791" s="103">
        <v>5.0</v>
      </c>
      <c r="G791" s="104">
        <f t="shared" si="1"/>
        <v>1</v>
      </c>
      <c r="H791" s="105">
        <f t="shared" si="2"/>
        <v>19.99</v>
      </c>
      <c r="I791" s="106">
        <f t="shared" si="3"/>
        <v>19.99</v>
      </c>
      <c r="J791" s="120">
        <v>115.07</v>
      </c>
      <c r="K791" s="103">
        <v>46481.0</v>
      </c>
      <c r="L791" s="103">
        <v>2.0</v>
      </c>
      <c r="M791" s="121">
        <v>39.98</v>
      </c>
      <c r="N791" s="109">
        <f t="shared" si="304"/>
        <v>2.878189095</v>
      </c>
      <c r="O791" s="110">
        <f t="shared" si="5"/>
        <v>0.3474406883</v>
      </c>
      <c r="P791" s="109">
        <f t="shared" si="6"/>
        <v>1.151275638</v>
      </c>
      <c r="Q791" s="111">
        <f t="shared" si="7"/>
        <v>0.4</v>
      </c>
      <c r="R791" s="122">
        <f t="shared" si="303"/>
        <v>59.97</v>
      </c>
      <c r="S791" s="113">
        <f t="shared" si="9"/>
        <v>57.535</v>
      </c>
      <c r="T791" s="114"/>
      <c r="U791" s="114"/>
      <c r="V791" s="114"/>
      <c r="W791" s="114"/>
      <c r="X791" s="115"/>
      <c r="Y791" s="98"/>
      <c r="Z791" s="98"/>
    </row>
    <row r="792" hidden="1" outlineLevel="1">
      <c r="A792" s="98"/>
      <c r="B792" s="116"/>
      <c r="C792" s="100" t="s">
        <v>43</v>
      </c>
      <c r="D792" s="135">
        <v>-278.34</v>
      </c>
      <c r="E792" s="103">
        <v>0.0</v>
      </c>
      <c r="F792" s="103">
        <v>2.0</v>
      </c>
      <c r="G792" s="104">
        <f t="shared" si="1"/>
        <v>0</v>
      </c>
      <c r="H792" s="105" t="str">
        <f t="shared" si="2"/>
        <v>#DIV/0!</v>
      </c>
      <c r="I792" s="106" t="str">
        <f t="shared" si="3"/>
        <v>#DIV/0!</v>
      </c>
      <c r="J792" s="135">
        <v>67.23</v>
      </c>
      <c r="K792" s="103">
        <v>11874.0</v>
      </c>
      <c r="L792" s="103">
        <v>0.0</v>
      </c>
      <c r="M792" s="136">
        <v>0.0</v>
      </c>
      <c r="N792" s="109" t="str">
        <f t="shared" si="304"/>
        <v>#DIV/0!</v>
      </c>
      <c r="O792" s="110">
        <f t="shared" si="5"/>
        <v>0</v>
      </c>
      <c r="P792" s="109">
        <f t="shared" si="6"/>
        <v>-0.2415391248</v>
      </c>
      <c r="Q792" s="111">
        <f t="shared" si="7"/>
        <v>0</v>
      </c>
      <c r="R792" s="137">
        <f t="shared" si="303"/>
        <v>-278.34</v>
      </c>
      <c r="S792" s="113" t="str">
        <f t="shared" si="9"/>
        <v>#DIV/0!</v>
      </c>
      <c r="T792" s="114"/>
      <c r="U792" s="114"/>
      <c r="V792" s="114"/>
      <c r="W792" s="114"/>
      <c r="X792" s="115"/>
      <c r="Y792" s="98"/>
      <c r="Z792" s="98"/>
    </row>
    <row r="793" hidden="1" outlineLevel="1">
      <c r="A793" s="98"/>
      <c r="B793" s="116"/>
      <c r="C793" s="100" t="s">
        <v>44</v>
      </c>
      <c r="D793" s="138">
        <v>-139.9</v>
      </c>
      <c r="E793" s="103">
        <v>-2.0</v>
      </c>
      <c r="F793" s="103">
        <v>0.0</v>
      </c>
      <c r="G793" s="104" t="str">
        <f t="shared" si="1"/>
        <v>#DIV/0!</v>
      </c>
      <c r="H793" s="105">
        <f t="shared" si="2"/>
        <v>69.95</v>
      </c>
      <c r="I793" s="106" t="str">
        <f t="shared" si="3"/>
        <v>#DIV/0!</v>
      </c>
      <c r="J793" s="138">
        <v>91.08</v>
      </c>
      <c r="K793" s="103">
        <v>54140.0</v>
      </c>
      <c r="L793" s="103">
        <v>0.0</v>
      </c>
      <c r="M793" s="139">
        <v>0.0</v>
      </c>
      <c r="N793" s="109" t="str">
        <f t="shared" si="304"/>
        <v>#DIV/0!</v>
      </c>
      <c r="O793" s="110">
        <f t="shared" si="5"/>
        <v>0</v>
      </c>
      <c r="P793" s="109">
        <f t="shared" si="6"/>
        <v>-0.6510364546</v>
      </c>
      <c r="Q793" s="111">
        <f t="shared" si="7"/>
        <v>0</v>
      </c>
      <c r="R793" s="140">
        <f t="shared" si="303"/>
        <v>-139.9</v>
      </c>
      <c r="S793" s="113" t="str">
        <f t="shared" si="9"/>
        <v>#DIV/0!</v>
      </c>
      <c r="T793" s="114"/>
      <c r="U793" s="114"/>
      <c r="V793" s="114"/>
      <c r="W793" s="114"/>
      <c r="X793" s="115"/>
      <c r="Y793" s="98"/>
      <c r="Z793" s="98"/>
    </row>
    <row r="794" hidden="1" outlineLevel="1">
      <c r="A794" s="141"/>
      <c r="B794" s="116"/>
      <c r="C794" s="142" t="s">
        <v>45</v>
      </c>
      <c r="D794" s="101">
        <v>-191.84</v>
      </c>
      <c r="E794" s="103">
        <v>-4.0</v>
      </c>
      <c r="F794" s="103">
        <v>1.0</v>
      </c>
      <c r="G794" s="104">
        <f t="shared" si="1"/>
        <v>-4</v>
      </c>
      <c r="H794" s="105">
        <f t="shared" si="2"/>
        <v>47.96</v>
      </c>
      <c r="I794" s="106">
        <f t="shared" si="3"/>
        <v>-11.99</v>
      </c>
      <c r="J794" s="101">
        <v>0.0</v>
      </c>
      <c r="K794" s="103">
        <v>0.0</v>
      </c>
      <c r="L794" s="103">
        <v>0.0</v>
      </c>
      <c r="M794" s="108">
        <v>0.0</v>
      </c>
      <c r="N794" s="109" t="str">
        <f t="shared" si="304"/>
        <v>#DIV/0!</v>
      </c>
      <c r="O794" s="110" t="str">
        <f t="shared" si="5"/>
        <v>#DIV/0!</v>
      </c>
      <c r="P794" s="109">
        <f t="shared" si="6"/>
        <v>0</v>
      </c>
      <c r="Q794" s="111">
        <f t="shared" si="7"/>
        <v>0</v>
      </c>
      <c r="R794" s="112">
        <f t="shared" si="303"/>
        <v>-191.84</v>
      </c>
      <c r="S794" s="113" t="str">
        <f t="shared" si="9"/>
        <v>#DIV/0!</v>
      </c>
      <c r="T794" s="143"/>
      <c r="U794" s="143"/>
      <c r="V794" s="143"/>
      <c r="W794" s="144"/>
      <c r="X794" s="145"/>
      <c r="Y794" s="98"/>
      <c r="Z794" s="98"/>
    </row>
    <row r="795" hidden="1" outlineLevel="1">
      <c r="A795" s="98"/>
      <c r="B795" s="116"/>
      <c r="C795" s="100" t="s">
        <v>46</v>
      </c>
      <c r="D795" s="146">
        <v>941.43</v>
      </c>
      <c r="E795" s="103">
        <v>24.0</v>
      </c>
      <c r="F795" s="103">
        <v>28.0</v>
      </c>
      <c r="G795" s="104">
        <f t="shared" si="1"/>
        <v>0.8571428571</v>
      </c>
      <c r="H795" s="105">
        <f t="shared" si="2"/>
        <v>39.22625</v>
      </c>
      <c r="I795" s="106">
        <f t="shared" si="3"/>
        <v>45.76395833</v>
      </c>
      <c r="J795" s="146">
        <v>228.05</v>
      </c>
      <c r="K795" s="103">
        <v>64037.0</v>
      </c>
      <c r="L795" s="103">
        <v>13.0</v>
      </c>
      <c r="M795" s="147">
        <v>485.63</v>
      </c>
      <c r="N795" s="109">
        <f t="shared" si="304"/>
        <v>0.4695961946</v>
      </c>
      <c r="O795" s="110">
        <f t="shared" si="5"/>
        <v>2.129489147</v>
      </c>
      <c r="P795" s="109">
        <f t="shared" si="6"/>
        <v>0.2422378722</v>
      </c>
      <c r="Q795" s="111">
        <f t="shared" si="7"/>
        <v>0.5158429198</v>
      </c>
      <c r="R795" s="112">
        <f t="shared" si="303"/>
        <v>455.8</v>
      </c>
      <c r="S795" s="113">
        <f t="shared" si="9"/>
        <v>17.54230769</v>
      </c>
      <c r="T795" s="114"/>
      <c r="U795" s="114"/>
      <c r="V795" s="114"/>
      <c r="W795" s="114"/>
      <c r="X795" s="115"/>
      <c r="Y795" s="98"/>
      <c r="Z795" s="98"/>
    </row>
    <row r="796" hidden="1" outlineLevel="1">
      <c r="A796" s="98"/>
      <c r="B796" s="116"/>
      <c r="C796" s="100" t="s">
        <v>47</v>
      </c>
      <c r="D796" s="117">
        <v>0.0</v>
      </c>
      <c r="E796" s="103">
        <v>0.0</v>
      </c>
      <c r="F796" s="103">
        <v>0.0</v>
      </c>
      <c r="G796" s="104" t="str">
        <f t="shared" si="1"/>
        <v>#DIV/0!</v>
      </c>
      <c r="H796" s="105" t="str">
        <f t="shared" si="2"/>
        <v>#DIV/0!</v>
      </c>
      <c r="I796" s="106" t="str">
        <f t="shared" si="3"/>
        <v>#DIV/0!</v>
      </c>
      <c r="J796" s="117">
        <v>0.0</v>
      </c>
      <c r="K796" s="103">
        <v>0.0</v>
      </c>
      <c r="L796" s="103">
        <v>0.0</v>
      </c>
      <c r="M796" s="118">
        <v>0.0</v>
      </c>
      <c r="N796" s="109" t="str">
        <f t="shared" si="304"/>
        <v>#DIV/0!</v>
      </c>
      <c r="O796" s="110" t="str">
        <f t="shared" si="5"/>
        <v>#DIV/0!</v>
      </c>
      <c r="P796" s="109" t="str">
        <f t="shared" si="6"/>
        <v>#DIV/0!</v>
      </c>
      <c r="Q796" s="111" t="str">
        <f t="shared" si="7"/>
        <v>#DIV/0!</v>
      </c>
      <c r="R796" s="112">
        <f t="shared" si="303"/>
        <v>0</v>
      </c>
      <c r="S796" s="113" t="str">
        <f t="shared" si="9"/>
        <v>#DIV/0!</v>
      </c>
      <c r="T796" s="114"/>
      <c r="U796" s="114"/>
      <c r="V796" s="114"/>
      <c r="W796" s="114"/>
      <c r="X796" s="115"/>
      <c r="Y796" s="98"/>
      <c r="Z796" s="98"/>
    </row>
    <row r="797" hidden="1" outlineLevel="1">
      <c r="A797" s="98"/>
      <c r="B797" s="116"/>
      <c r="C797" s="100" t="s">
        <v>48</v>
      </c>
      <c r="D797" s="132">
        <v>5272.8</v>
      </c>
      <c r="E797" s="103">
        <v>31.0</v>
      </c>
      <c r="F797" s="103">
        <v>37.0</v>
      </c>
      <c r="G797" s="104">
        <f t="shared" si="1"/>
        <v>0.8378378378</v>
      </c>
      <c r="H797" s="105">
        <f t="shared" si="2"/>
        <v>170.0903226</v>
      </c>
      <c r="I797" s="106">
        <f t="shared" si="3"/>
        <v>203.0110302</v>
      </c>
      <c r="J797" s="132">
        <v>707.83</v>
      </c>
      <c r="K797" s="103">
        <v>42629.0</v>
      </c>
      <c r="L797" s="103">
        <v>17.0</v>
      </c>
      <c r="M797" s="133">
        <v>2600.61</v>
      </c>
      <c r="N797" s="109">
        <f t="shared" si="304"/>
        <v>0.2721784504</v>
      </c>
      <c r="O797" s="110">
        <f t="shared" si="5"/>
        <v>3.674060156</v>
      </c>
      <c r="P797" s="109">
        <f t="shared" si="6"/>
        <v>0.1342417691</v>
      </c>
      <c r="Q797" s="111">
        <f t="shared" si="7"/>
        <v>0.493212335</v>
      </c>
      <c r="R797" s="112">
        <f t="shared" si="303"/>
        <v>2672.19</v>
      </c>
      <c r="S797" s="113">
        <f t="shared" si="9"/>
        <v>41.63705882</v>
      </c>
      <c r="T797" s="114"/>
      <c r="U797" s="114"/>
      <c r="V797" s="114"/>
      <c r="W797" s="114"/>
      <c r="X797" s="115"/>
      <c r="Y797" s="98"/>
      <c r="Z797" s="98"/>
    </row>
    <row r="798" hidden="1" outlineLevel="1">
      <c r="A798" s="98"/>
      <c r="B798" s="116"/>
      <c r="C798" s="100" t="s">
        <v>49</v>
      </c>
      <c r="D798" s="146">
        <v>0.0</v>
      </c>
      <c r="E798" s="103">
        <v>0.0</v>
      </c>
      <c r="F798" s="103">
        <v>0.0</v>
      </c>
      <c r="G798" s="104" t="str">
        <f t="shared" si="1"/>
        <v>#DIV/0!</v>
      </c>
      <c r="H798" s="105" t="str">
        <f t="shared" si="2"/>
        <v>#DIV/0!</v>
      </c>
      <c r="I798" s="106" t="str">
        <f t="shared" si="3"/>
        <v>#DIV/0!</v>
      </c>
      <c r="J798" s="146">
        <v>16.17</v>
      </c>
      <c r="K798" s="103">
        <v>18679.0</v>
      </c>
      <c r="L798" s="103">
        <v>0.0</v>
      </c>
      <c r="M798" s="147">
        <v>0.0</v>
      </c>
      <c r="N798" s="109" t="str">
        <f t="shared" si="304"/>
        <v>#DIV/0!</v>
      </c>
      <c r="O798" s="110">
        <f t="shared" si="5"/>
        <v>0</v>
      </c>
      <c r="P798" s="109" t="str">
        <f t="shared" si="6"/>
        <v>#DIV/0!</v>
      </c>
      <c r="Q798" s="111" t="str">
        <f t="shared" si="7"/>
        <v>#DIV/0!</v>
      </c>
      <c r="R798" s="112">
        <f t="shared" si="303"/>
        <v>0</v>
      </c>
      <c r="S798" s="113" t="str">
        <f t="shared" si="9"/>
        <v>#DIV/0!</v>
      </c>
      <c r="T798" s="114"/>
      <c r="U798" s="114"/>
      <c r="V798" s="114"/>
      <c r="W798" s="114"/>
      <c r="X798" s="115"/>
      <c r="Y798" s="98"/>
      <c r="Z798" s="98"/>
    </row>
    <row r="799" hidden="1" outlineLevel="1">
      <c r="A799" s="148" t="str">
        <f t="shared" ref="A799:A800" si="305">iferror(if(B799&gt;0,month(B799)&amp;"-"&amp;year(B799),B799),)</f>
        <v>12-2025</v>
      </c>
      <c r="B799" s="99">
        <v>46011.0</v>
      </c>
      <c r="C799" s="277" t="s">
        <v>67</v>
      </c>
      <c r="D799" s="146">
        <v>0.0</v>
      </c>
      <c r="E799" s="103">
        <v>0.0</v>
      </c>
      <c r="F799" s="103">
        <v>0.0</v>
      </c>
      <c r="G799" s="104" t="str">
        <f t="shared" si="1"/>
        <v>#DIV/0!</v>
      </c>
      <c r="H799" s="105" t="str">
        <f t="shared" si="2"/>
        <v>#DIV/0!</v>
      </c>
      <c r="I799" s="106" t="str">
        <f t="shared" si="3"/>
        <v>#DIV/0!</v>
      </c>
      <c r="J799" s="117">
        <v>5751.249999999998</v>
      </c>
      <c r="K799" s="278">
        <v>346867.0</v>
      </c>
      <c r="L799" s="103">
        <v>0.0</v>
      </c>
      <c r="M799" s="118">
        <v>24478.89</v>
      </c>
      <c r="N799" s="109">
        <f t="shared" si="304"/>
        <v>0.2349473363</v>
      </c>
      <c r="O799" s="110">
        <f t="shared" si="5"/>
        <v>4.256272984</v>
      </c>
      <c r="P799" s="109" t="str">
        <f t="shared" si="6"/>
        <v>#DIV/0!</v>
      </c>
      <c r="Q799" s="111" t="str">
        <f t="shared" si="7"/>
        <v>#DIV/0!</v>
      </c>
      <c r="R799" s="112">
        <f t="shared" si="303"/>
        <v>-24478.89</v>
      </c>
      <c r="S799" s="113" t="str">
        <f t="shared" si="9"/>
        <v>#DIV/0!</v>
      </c>
      <c r="T799" s="114"/>
      <c r="U799" s="114"/>
      <c r="V799" s="114"/>
      <c r="W799" s="114"/>
      <c r="X799" s="115"/>
      <c r="Y799" s="98"/>
      <c r="Z799" s="98"/>
    </row>
    <row r="800" collapsed="1">
      <c r="A800" s="98" t="str">
        <f t="shared" si="305"/>
        <v/>
      </c>
      <c r="B800" s="80" t="s">
        <v>138</v>
      </c>
      <c r="C800" s="150"/>
      <c r="D800" s="151">
        <f t="shared" ref="D800:F800" si="306">SUM(D782:D799)</f>
        <v>54693.63</v>
      </c>
      <c r="E800" s="153">
        <f t="shared" si="306"/>
        <v>274</v>
      </c>
      <c r="F800" s="153">
        <f t="shared" si="306"/>
        <v>294</v>
      </c>
      <c r="G800" s="154">
        <f t="shared" si="1"/>
        <v>0.9319727891</v>
      </c>
      <c r="H800" s="155">
        <f t="shared" si="2"/>
        <v>199.6117883</v>
      </c>
      <c r="I800" s="156">
        <f t="shared" si="3"/>
        <v>214.1819918</v>
      </c>
      <c r="J800" s="151">
        <f t="shared" ref="J800:M800" si="307">SUM(J782:J799)</f>
        <v>10616.12</v>
      </c>
      <c r="K800" s="153">
        <f t="shared" si="307"/>
        <v>1351257</v>
      </c>
      <c r="L800" s="153">
        <f t="shared" si="307"/>
        <v>118</v>
      </c>
      <c r="M800" s="157">
        <f t="shared" si="307"/>
        <v>40619.53</v>
      </c>
      <c r="N800" s="158">
        <f t="shared" si="304"/>
        <v>0.2613550674</v>
      </c>
      <c r="O800" s="159">
        <f t="shared" si="5"/>
        <v>3.826212402</v>
      </c>
      <c r="P800" s="158">
        <f t="shared" si="6"/>
        <v>0.19410158</v>
      </c>
      <c r="Q800" s="160">
        <f t="shared" si="7"/>
        <v>0.7426738726</v>
      </c>
      <c r="R800" s="161">
        <f>SUM(R782:R799)</f>
        <v>14074.1</v>
      </c>
      <c r="S800" s="162">
        <f t="shared" si="9"/>
        <v>89.96711864</v>
      </c>
      <c r="T800" s="163">
        <f t="shared" ref="T800:U800" si="308">IFERROR((D800-D69)/D800,)</f>
        <v>0.861385686</v>
      </c>
      <c r="U800" s="163">
        <f t="shared" si="308"/>
        <v>0.6569343066</v>
      </c>
      <c r="V800" s="164" t="str">
        <f t="shared" ref="V800:W800" si="309">IFERROR((D800-monthly_reporting_2021!D591)/D800, )</f>
        <v/>
      </c>
      <c r="W800" s="164" t="str">
        <f t="shared" si="309"/>
        <v/>
      </c>
      <c r="X800" s="98"/>
      <c r="Y800" s="98"/>
      <c r="Z800" s="98"/>
    </row>
    <row r="801" hidden="1" outlineLevel="1">
      <c r="A801" s="165"/>
      <c r="B801" s="166">
        <v>46012.0</v>
      </c>
      <c r="C801" s="100" t="s">
        <v>32</v>
      </c>
      <c r="D801" s="167">
        <v>7936.51</v>
      </c>
      <c r="E801" s="169">
        <v>30.0</v>
      </c>
      <c r="F801" s="169">
        <v>30.0</v>
      </c>
      <c r="G801" s="104">
        <f t="shared" si="1"/>
        <v>1</v>
      </c>
      <c r="H801" s="105">
        <f t="shared" si="2"/>
        <v>264.5503333</v>
      </c>
      <c r="I801" s="106">
        <f t="shared" si="3"/>
        <v>264.5503333</v>
      </c>
      <c r="J801" s="170">
        <v>1654.24</v>
      </c>
      <c r="K801" s="169">
        <v>263207.0</v>
      </c>
      <c r="L801" s="169">
        <v>16.0</v>
      </c>
      <c r="M801" s="171">
        <v>4466.73</v>
      </c>
      <c r="N801" s="109">
        <f t="shared" si="304"/>
        <v>0.3703469876</v>
      </c>
      <c r="O801" s="110">
        <f t="shared" si="5"/>
        <v>2.700170471</v>
      </c>
      <c r="P801" s="109">
        <f t="shared" si="6"/>
        <v>0.2084341858</v>
      </c>
      <c r="Q801" s="111">
        <f t="shared" si="7"/>
        <v>0.5628078337</v>
      </c>
      <c r="R801" s="112">
        <f t="shared" ref="R801:R818" si="310">D801-M801</f>
        <v>3469.78</v>
      </c>
      <c r="S801" s="113">
        <f t="shared" si="9"/>
        <v>103.39</v>
      </c>
      <c r="T801" s="172"/>
      <c r="U801" s="172"/>
      <c r="V801" s="172"/>
      <c r="W801" s="172"/>
      <c r="X801" s="173"/>
      <c r="Y801" s="165"/>
      <c r="Z801" s="165"/>
    </row>
    <row r="802" hidden="1" outlineLevel="1">
      <c r="A802" s="165"/>
      <c r="B802" s="174"/>
      <c r="C802" s="100" t="s">
        <v>33</v>
      </c>
      <c r="D802" s="175">
        <v>19206.39</v>
      </c>
      <c r="E802" s="169">
        <v>104.0</v>
      </c>
      <c r="F802" s="169">
        <v>119.0</v>
      </c>
      <c r="G802" s="104">
        <f t="shared" si="1"/>
        <v>0.8739495798</v>
      </c>
      <c r="H802" s="105">
        <f t="shared" si="2"/>
        <v>184.6768269</v>
      </c>
      <c r="I802" s="106">
        <f t="shared" si="3"/>
        <v>211.3129077</v>
      </c>
      <c r="J802" s="175">
        <v>1288.08</v>
      </c>
      <c r="K802" s="169">
        <v>442713.0</v>
      </c>
      <c r="L802" s="169">
        <v>37.0</v>
      </c>
      <c r="M802" s="176">
        <v>6713.65</v>
      </c>
      <c r="N802" s="109">
        <f t="shared" si="304"/>
        <v>0.1918598676</v>
      </c>
      <c r="O802" s="110">
        <f t="shared" si="5"/>
        <v>5.212137445</v>
      </c>
      <c r="P802" s="109">
        <f t="shared" si="6"/>
        <v>0.06706517987</v>
      </c>
      <c r="Q802" s="111">
        <f t="shared" si="7"/>
        <v>0.3495529352</v>
      </c>
      <c r="R802" s="119">
        <f t="shared" si="310"/>
        <v>12492.74</v>
      </c>
      <c r="S802" s="113">
        <f t="shared" si="9"/>
        <v>34.81297297</v>
      </c>
      <c r="T802" s="172"/>
      <c r="U802" s="172"/>
      <c r="V802" s="172"/>
      <c r="W802" s="172"/>
      <c r="X802" s="173"/>
      <c r="Y802" s="165"/>
      <c r="Z802" s="165"/>
    </row>
    <row r="803" hidden="1" outlineLevel="1">
      <c r="A803" s="165"/>
      <c r="B803" s="174"/>
      <c r="C803" s="100" t="s">
        <v>34</v>
      </c>
      <c r="D803" s="177">
        <v>0.0</v>
      </c>
      <c r="E803" s="169">
        <v>0.0</v>
      </c>
      <c r="F803" s="169">
        <v>0.0</v>
      </c>
      <c r="G803" s="104" t="str">
        <f t="shared" si="1"/>
        <v>#DIV/0!</v>
      </c>
      <c r="H803" s="105" t="str">
        <f t="shared" si="2"/>
        <v>#DIV/0!</v>
      </c>
      <c r="I803" s="106" t="str">
        <f t="shared" si="3"/>
        <v>#DIV/0!</v>
      </c>
      <c r="J803" s="177">
        <v>7.5</v>
      </c>
      <c r="K803" s="169">
        <v>288.0</v>
      </c>
      <c r="L803" s="169">
        <v>0.0</v>
      </c>
      <c r="M803" s="178">
        <v>0.0</v>
      </c>
      <c r="N803" s="109" t="str">
        <f>(J803/M803)</f>
        <v>#DIV/0!</v>
      </c>
      <c r="O803" s="110">
        <f t="shared" si="5"/>
        <v>0</v>
      </c>
      <c r="P803" s="109" t="str">
        <f t="shared" si="6"/>
        <v>#DIV/0!</v>
      </c>
      <c r="Q803" s="111" t="str">
        <f t="shared" si="7"/>
        <v>#DIV/0!</v>
      </c>
      <c r="R803" s="122">
        <f t="shared" si="310"/>
        <v>0</v>
      </c>
      <c r="S803" s="113" t="str">
        <f t="shared" si="9"/>
        <v>#DIV/0!</v>
      </c>
      <c r="T803" s="172"/>
      <c r="U803" s="172"/>
      <c r="V803" s="172"/>
      <c r="W803" s="172"/>
      <c r="X803" s="173"/>
      <c r="Y803" s="165"/>
      <c r="Z803" s="165"/>
    </row>
    <row r="804" hidden="1" outlineLevel="1">
      <c r="A804" s="165"/>
      <c r="B804" s="174"/>
      <c r="C804" s="100" t="s">
        <v>35</v>
      </c>
      <c r="D804" s="177">
        <v>545.55</v>
      </c>
      <c r="E804" s="169">
        <v>9.0</v>
      </c>
      <c r="F804" s="169">
        <v>10.0</v>
      </c>
      <c r="G804" s="104">
        <f t="shared" si="1"/>
        <v>0.9</v>
      </c>
      <c r="H804" s="105">
        <f t="shared" si="2"/>
        <v>60.61666667</v>
      </c>
      <c r="I804" s="106">
        <f t="shared" si="3"/>
        <v>67.35185185</v>
      </c>
      <c r="J804" s="177">
        <v>184.21</v>
      </c>
      <c r="K804" s="169">
        <v>16259.0</v>
      </c>
      <c r="L804" s="169">
        <v>1.0</v>
      </c>
      <c r="M804" s="178">
        <v>59.95</v>
      </c>
      <c r="N804" s="109">
        <f t="shared" ref="N804:N821" si="311">J804/M804</f>
        <v>3.072727273</v>
      </c>
      <c r="O804" s="110">
        <f t="shared" si="5"/>
        <v>0.325443787</v>
      </c>
      <c r="P804" s="109">
        <f t="shared" si="6"/>
        <v>0.337659243</v>
      </c>
      <c r="Q804" s="111">
        <f t="shared" si="7"/>
        <v>0.1098891027</v>
      </c>
      <c r="R804" s="122">
        <f t="shared" si="310"/>
        <v>485.6</v>
      </c>
      <c r="S804" s="113">
        <f t="shared" si="9"/>
        <v>184.21</v>
      </c>
      <c r="T804" s="172"/>
      <c r="U804" s="172"/>
      <c r="V804" s="172"/>
      <c r="W804" s="172"/>
      <c r="X804" s="173"/>
      <c r="Y804" s="165"/>
      <c r="Z804" s="165"/>
    </row>
    <row r="805" hidden="1" outlineLevel="1">
      <c r="A805" s="165"/>
      <c r="B805" s="174"/>
      <c r="C805" s="100" t="s">
        <v>36</v>
      </c>
      <c r="D805" s="177">
        <v>589.55</v>
      </c>
      <c r="E805" s="169">
        <v>9.0</v>
      </c>
      <c r="F805" s="169">
        <v>9.0</v>
      </c>
      <c r="G805" s="104">
        <f t="shared" si="1"/>
        <v>1</v>
      </c>
      <c r="H805" s="105">
        <f t="shared" si="2"/>
        <v>65.50555556</v>
      </c>
      <c r="I805" s="106">
        <f t="shared" si="3"/>
        <v>65.50555556</v>
      </c>
      <c r="J805" s="177">
        <v>52.21</v>
      </c>
      <c r="K805" s="169">
        <v>18056.0</v>
      </c>
      <c r="L805" s="169">
        <v>7.0</v>
      </c>
      <c r="M805" s="178">
        <v>479.65</v>
      </c>
      <c r="N805" s="109">
        <f t="shared" si="311"/>
        <v>0.1088502033</v>
      </c>
      <c r="O805" s="110">
        <f t="shared" si="5"/>
        <v>9.186937368</v>
      </c>
      <c r="P805" s="109">
        <f t="shared" si="6"/>
        <v>0.08855907048</v>
      </c>
      <c r="Q805" s="111">
        <f t="shared" si="7"/>
        <v>0.8135866339</v>
      </c>
      <c r="R805" s="122">
        <f t="shared" si="310"/>
        <v>109.9</v>
      </c>
      <c r="S805" s="113">
        <f t="shared" si="9"/>
        <v>7.458571429</v>
      </c>
      <c r="T805" s="172"/>
      <c r="U805" s="172"/>
      <c r="V805" s="172"/>
      <c r="W805" s="172"/>
      <c r="X805" s="173"/>
      <c r="Y805" s="165"/>
      <c r="Z805" s="165"/>
    </row>
    <row r="806" hidden="1" outlineLevel="1">
      <c r="A806" s="165"/>
      <c r="B806" s="179" t="s">
        <v>37</v>
      </c>
      <c r="C806" s="100" t="s">
        <v>38</v>
      </c>
      <c r="D806" s="180">
        <v>-70.63</v>
      </c>
      <c r="E806" s="169">
        <v>-2.0</v>
      </c>
      <c r="F806" s="169">
        <v>1.0</v>
      </c>
      <c r="G806" s="104">
        <f t="shared" si="1"/>
        <v>-2</v>
      </c>
      <c r="H806" s="105">
        <f t="shared" si="2"/>
        <v>35.315</v>
      </c>
      <c r="I806" s="106">
        <f t="shared" si="3"/>
        <v>-17.6575</v>
      </c>
      <c r="J806" s="180">
        <v>8.48</v>
      </c>
      <c r="K806" s="169">
        <v>697.0</v>
      </c>
      <c r="L806" s="169">
        <v>0.0</v>
      </c>
      <c r="M806" s="181">
        <v>0.0</v>
      </c>
      <c r="N806" s="109" t="str">
        <f t="shared" si="311"/>
        <v>#DIV/0!</v>
      </c>
      <c r="O806" s="110">
        <f t="shared" si="5"/>
        <v>0</v>
      </c>
      <c r="P806" s="109">
        <f t="shared" si="6"/>
        <v>-0.1200622965</v>
      </c>
      <c r="Q806" s="111">
        <f t="shared" si="7"/>
        <v>0</v>
      </c>
      <c r="R806" s="125">
        <f t="shared" si="310"/>
        <v>-70.63</v>
      </c>
      <c r="S806" s="113" t="str">
        <f t="shared" si="9"/>
        <v>#DIV/0!</v>
      </c>
      <c r="T806" s="172"/>
      <c r="U806" s="172"/>
      <c r="V806" s="172"/>
      <c r="W806" s="172"/>
      <c r="X806" s="173"/>
      <c r="Y806" s="165"/>
      <c r="Z806" s="165"/>
    </row>
    <row r="807" hidden="1" outlineLevel="1">
      <c r="A807" s="165"/>
      <c r="B807" s="174"/>
      <c r="C807" s="100" t="s">
        <v>39</v>
      </c>
      <c r="D807" s="182">
        <v>0.0</v>
      </c>
      <c r="E807" s="169">
        <v>0.0</v>
      </c>
      <c r="F807" s="169">
        <v>0.0</v>
      </c>
      <c r="G807" s="104" t="str">
        <f t="shared" si="1"/>
        <v>#DIV/0!</v>
      </c>
      <c r="H807" s="105" t="str">
        <f t="shared" si="2"/>
        <v>#DIV/0!</v>
      </c>
      <c r="I807" s="106" t="str">
        <f t="shared" si="3"/>
        <v>#DIV/0!</v>
      </c>
      <c r="J807" s="182">
        <v>0.0</v>
      </c>
      <c r="K807" s="169">
        <v>0.0</v>
      </c>
      <c r="L807" s="169">
        <v>0.0</v>
      </c>
      <c r="M807" s="183">
        <v>0.0</v>
      </c>
      <c r="N807" s="109" t="str">
        <f t="shared" si="311"/>
        <v>#DIV/0!</v>
      </c>
      <c r="O807" s="110" t="str">
        <f t="shared" si="5"/>
        <v>#DIV/0!</v>
      </c>
      <c r="P807" s="109" t="str">
        <f t="shared" si="6"/>
        <v>#DIV/0!</v>
      </c>
      <c r="Q807" s="111" t="str">
        <f t="shared" si="7"/>
        <v>#DIV/0!</v>
      </c>
      <c r="R807" s="128">
        <f t="shared" si="310"/>
        <v>0</v>
      </c>
      <c r="S807" s="113" t="str">
        <f t="shared" si="9"/>
        <v>#DIV/0!</v>
      </c>
      <c r="T807" s="172"/>
      <c r="U807" s="172"/>
      <c r="V807" s="172"/>
      <c r="W807" s="172"/>
      <c r="X807" s="173"/>
      <c r="Y807" s="165"/>
      <c r="Z807" s="165"/>
    </row>
    <row r="808" hidden="1" outlineLevel="1">
      <c r="A808" s="165"/>
      <c r="B808" s="174"/>
      <c r="C808" s="100" t="s">
        <v>40</v>
      </c>
      <c r="D808" s="184">
        <v>0.0</v>
      </c>
      <c r="E808" s="169">
        <v>0.0</v>
      </c>
      <c r="F808" s="169">
        <v>0.0</v>
      </c>
      <c r="G808" s="104" t="str">
        <f t="shared" si="1"/>
        <v>#DIV/0!</v>
      </c>
      <c r="H808" s="105" t="str">
        <f t="shared" si="2"/>
        <v>#DIV/0!</v>
      </c>
      <c r="I808" s="106" t="str">
        <f t="shared" si="3"/>
        <v>#DIV/0!</v>
      </c>
      <c r="J808" s="184">
        <v>0.0</v>
      </c>
      <c r="K808" s="169">
        <v>0.0</v>
      </c>
      <c r="L808" s="169">
        <v>0.0</v>
      </c>
      <c r="M808" s="185">
        <v>0.0</v>
      </c>
      <c r="N808" s="109" t="str">
        <f t="shared" si="311"/>
        <v>#DIV/0!</v>
      </c>
      <c r="O808" s="110" t="str">
        <f t="shared" si="5"/>
        <v>#DIV/0!</v>
      </c>
      <c r="P808" s="109" t="str">
        <f t="shared" si="6"/>
        <v>#DIV/0!</v>
      </c>
      <c r="Q808" s="111" t="str">
        <f t="shared" si="7"/>
        <v>#DIV/0!</v>
      </c>
      <c r="R808" s="131">
        <f t="shared" si="310"/>
        <v>0</v>
      </c>
      <c r="S808" s="113" t="str">
        <f t="shared" si="9"/>
        <v>#DIV/0!</v>
      </c>
      <c r="T808" s="172"/>
      <c r="U808" s="172"/>
      <c r="V808" s="172"/>
      <c r="W808" s="172"/>
      <c r="X808" s="173"/>
      <c r="Y808" s="165"/>
      <c r="Z808" s="165"/>
    </row>
    <row r="809" hidden="1" outlineLevel="1">
      <c r="A809" s="165"/>
      <c r="B809" s="174"/>
      <c r="C809" s="100" t="s">
        <v>41</v>
      </c>
      <c r="D809" s="186">
        <v>2629.8</v>
      </c>
      <c r="E809" s="169">
        <v>29.0</v>
      </c>
      <c r="F809" s="169">
        <v>28.0</v>
      </c>
      <c r="G809" s="104">
        <f t="shared" si="1"/>
        <v>1.035714286</v>
      </c>
      <c r="H809" s="105">
        <f t="shared" si="2"/>
        <v>90.68275862</v>
      </c>
      <c r="I809" s="106">
        <f t="shared" si="3"/>
        <v>87.55576694</v>
      </c>
      <c r="J809" s="186">
        <v>668.15</v>
      </c>
      <c r="K809" s="169">
        <v>36463.0</v>
      </c>
      <c r="L809" s="169">
        <v>17.0</v>
      </c>
      <c r="M809" s="187">
        <v>1466.87</v>
      </c>
      <c r="N809" s="109">
        <f t="shared" si="311"/>
        <v>0.4554936702</v>
      </c>
      <c r="O809" s="110">
        <f t="shared" si="5"/>
        <v>2.19542019</v>
      </c>
      <c r="P809" s="109">
        <f t="shared" si="6"/>
        <v>0.2540687505</v>
      </c>
      <c r="Q809" s="111">
        <f t="shared" si="7"/>
        <v>0.5577876645</v>
      </c>
      <c r="R809" s="134">
        <f t="shared" si="310"/>
        <v>1162.93</v>
      </c>
      <c r="S809" s="113">
        <f t="shared" si="9"/>
        <v>39.30294118</v>
      </c>
      <c r="T809" s="172"/>
      <c r="U809" s="172"/>
      <c r="V809" s="172"/>
      <c r="W809" s="172"/>
      <c r="X809" s="173"/>
      <c r="Y809" s="165"/>
      <c r="Z809" s="165"/>
    </row>
    <row r="810" hidden="1" outlineLevel="1">
      <c r="A810" s="165"/>
      <c r="B810" s="174"/>
      <c r="C810" s="100" t="s">
        <v>42</v>
      </c>
      <c r="D810" s="177">
        <v>59.97</v>
      </c>
      <c r="E810" s="169">
        <v>3.0</v>
      </c>
      <c r="F810" s="169">
        <v>4.0</v>
      </c>
      <c r="G810" s="104">
        <f t="shared" si="1"/>
        <v>0.75</v>
      </c>
      <c r="H810" s="105">
        <f t="shared" si="2"/>
        <v>19.99</v>
      </c>
      <c r="I810" s="106">
        <f t="shared" si="3"/>
        <v>26.65333333</v>
      </c>
      <c r="J810" s="177">
        <v>136.24</v>
      </c>
      <c r="K810" s="169">
        <v>47577.0</v>
      </c>
      <c r="L810" s="169">
        <v>2.0</v>
      </c>
      <c r="M810" s="178">
        <v>39.98</v>
      </c>
      <c r="N810" s="109">
        <f t="shared" si="311"/>
        <v>3.407703852</v>
      </c>
      <c r="O810" s="110">
        <f t="shared" si="5"/>
        <v>0.2934527305</v>
      </c>
      <c r="P810" s="109">
        <f t="shared" si="6"/>
        <v>2.271802568</v>
      </c>
      <c r="Q810" s="111">
        <f t="shared" si="7"/>
        <v>0.6666666667</v>
      </c>
      <c r="R810" s="122">
        <f t="shared" si="310"/>
        <v>19.99</v>
      </c>
      <c r="S810" s="113">
        <f t="shared" si="9"/>
        <v>68.12</v>
      </c>
      <c r="T810" s="172"/>
      <c r="U810" s="172"/>
      <c r="V810" s="172"/>
      <c r="W810" s="172"/>
      <c r="X810" s="173"/>
      <c r="Y810" s="165"/>
      <c r="Z810" s="165"/>
    </row>
    <row r="811" hidden="1" outlineLevel="1">
      <c r="A811" s="165"/>
      <c r="B811" s="174"/>
      <c r="C811" s="100" t="s">
        <v>43</v>
      </c>
      <c r="D811" s="188">
        <v>78.59</v>
      </c>
      <c r="E811" s="169">
        <v>0.0</v>
      </c>
      <c r="F811" s="169">
        <v>2.0</v>
      </c>
      <c r="G811" s="104">
        <f t="shared" si="1"/>
        <v>0</v>
      </c>
      <c r="H811" s="105" t="str">
        <f t="shared" si="2"/>
        <v>#DIV/0!</v>
      </c>
      <c r="I811" s="106" t="str">
        <f t="shared" si="3"/>
        <v>#DIV/0!</v>
      </c>
      <c r="J811" s="188">
        <v>36.36</v>
      </c>
      <c r="K811" s="169">
        <v>10972.0</v>
      </c>
      <c r="L811" s="169">
        <v>1.0</v>
      </c>
      <c r="M811" s="189">
        <v>154.46</v>
      </c>
      <c r="N811" s="109">
        <f t="shared" si="311"/>
        <v>0.235400751</v>
      </c>
      <c r="O811" s="110">
        <f t="shared" si="5"/>
        <v>4.248074807</v>
      </c>
      <c r="P811" s="109">
        <f t="shared" si="6"/>
        <v>0.4626542817</v>
      </c>
      <c r="Q811" s="111">
        <f t="shared" si="7"/>
        <v>1.965389999</v>
      </c>
      <c r="R811" s="137">
        <f t="shared" si="310"/>
        <v>-75.87</v>
      </c>
      <c r="S811" s="113">
        <f t="shared" si="9"/>
        <v>36.36</v>
      </c>
      <c r="T811" s="172"/>
      <c r="U811" s="172"/>
      <c r="V811" s="172"/>
      <c r="W811" s="172"/>
      <c r="X811" s="173"/>
      <c r="Y811" s="165"/>
      <c r="Z811" s="165"/>
    </row>
    <row r="812" hidden="1" outlineLevel="1">
      <c r="A812" s="165"/>
      <c r="B812" s="174"/>
      <c r="C812" s="100" t="s">
        <v>44</v>
      </c>
      <c r="D812" s="190">
        <v>190.8</v>
      </c>
      <c r="E812" s="169">
        <v>4.0</v>
      </c>
      <c r="F812" s="169">
        <v>4.0</v>
      </c>
      <c r="G812" s="104">
        <f t="shared" si="1"/>
        <v>1</v>
      </c>
      <c r="H812" s="105">
        <f t="shared" si="2"/>
        <v>47.7</v>
      </c>
      <c r="I812" s="106">
        <f t="shared" si="3"/>
        <v>47.7</v>
      </c>
      <c r="J812" s="190">
        <v>80.52</v>
      </c>
      <c r="K812" s="169">
        <v>40401.0</v>
      </c>
      <c r="L812" s="169">
        <v>3.0</v>
      </c>
      <c r="M812" s="191">
        <v>134.85</v>
      </c>
      <c r="N812" s="109">
        <f t="shared" si="311"/>
        <v>0.5971078977</v>
      </c>
      <c r="O812" s="110">
        <f t="shared" si="5"/>
        <v>1.674739195</v>
      </c>
      <c r="P812" s="109">
        <f t="shared" si="6"/>
        <v>0.4220125786</v>
      </c>
      <c r="Q812" s="111">
        <f t="shared" si="7"/>
        <v>0.7067610063</v>
      </c>
      <c r="R812" s="140">
        <f t="shared" si="310"/>
        <v>55.95</v>
      </c>
      <c r="S812" s="113">
        <f t="shared" si="9"/>
        <v>26.84</v>
      </c>
      <c r="T812" s="172"/>
      <c r="U812" s="172"/>
      <c r="V812" s="172"/>
      <c r="W812" s="172"/>
      <c r="X812" s="173"/>
      <c r="Y812" s="165"/>
      <c r="Z812" s="165"/>
    </row>
    <row r="813" hidden="1" outlineLevel="1">
      <c r="A813" s="192"/>
      <c r="B813" s="174"/>
      <c r="C813" s="142" t="s">
        <v>45</v>
      </c>
      <c r="D813" s="167">
        <v>0.0</v>
      </c>
      <c r="E813" s="169">
        <v>0.0</v>
      </c>
      <c r="F813" s="169">
        <v>0.0</v>
      </c>
      <c r="G813" s="104" t="str">
        <f t="shared" si="1"/>
        <v>#DIV/0!</v>
      </c>
      <c r="H813" s="105" t="str">
        <f t="shared" si="2"/>
        <v>#DIV/0!</v>
      </c>
      <c r="I813" s="106" t="str">
        <f t="shared" si="3"/>
        <v>#DIV/0!</v>
      </c>
      <c r="J813" s="167">
        <v>0.0</v>
      </c>
      <c r="K813" s="169">
        <v>0.0</v>
      </c>
      <c r="L813" s="169">
        <v>0.0</v>
      </c>
      <c r="M813" s="171">
        <v>0.0</v>
      </c>
      <c r="N813" s="109" t="str">
        <f t="shared" si="311"/>
        <v>#DIV/0!</v>
      </c>
      <c r="O813" s="110" t="str">
        <f t="shared" si="5"/>
        <v>#DIV/0!</v>
      </c>
      <c r="P813" s="109" t="str">
        <f t="shared" si="6"/>
        <v>#DIV/0!</v>
      </c>
      <c r="Q813" s="111" t="str">
        <f t="shared" si="7"/>
        <v>#DIV/0!</v>
      </c>
      <c r="R813" s="112">
        <f t="shared" si="310"/>
        <v>0</v>
      </c>
      <c r="S813" s="113" t="str">
        <f t="shared" si="9"/>
        <v>#DIV/0!</v>
      </c>
      <c r="T813" s="193"/>
      <c r="U813" s="193"/>
      <c r="V813" s="193"/>
      <c r="W813" s="194"/>
      <c r="X813" s="195"/>
      <c r="Y813" s="165"/>
      <c r="Z813" s="165"/>
    </row>
    <row r="814" hidden="1" outlineLevel="1">
      <c r="A814" s="165"/>
      <c r="B814" s="174"/>
      <c r="C814" s="100" t="s">
        <v>46</v>
      </c>
      <c r="D814" s="196">
        <v>1312.67</v>
      </c>
      <c r="E814" s="169">
        <v>34.0</v>
      </c>
      <c r="F814" s="169">
        <v>31.0</v>
      </c>
      <c r="G814" s="104">
        <f t="shared" si="1"/>
        <v>1.096774194</v>
      </c>
      <c r="H814" s="105">
        <f t="shared" si="2"/>
        <v>38.60794118</v>
      </c>
      <c r="I814" s="106">
        <f t="shared" si="3"/>
        <v>35.20135813</v>
      </c>
      <c r="J814" s="196">
        <v>269.35</v>
      </c>
      <c r="K814" s="169">
        <v>50705.0</v>
      </c>
      <c r="L814" s="169">
        <v>13.0</v>
      </c>
      <c r="M814" s="197">
        <v>403.73</v>
      </c>
      <c r="N814" s="109">
        <f t="shared" si="311"/>
        <v>0.6671537909</v>
      </c>
      <c r="O814" s="110">
        <f t="shared" si="5"/>
        <v>1.498904771</v>
      </c>
      <c r="P814" s="109">
        <f t="shared" si="6"/>
        <v>0.2051924703</v>
      </c>
      <c r="Q814" s="111">
        <f t="shared" si="7"/>
        <v>0.3075639727</v>
      </c>
      <c r="R814" s="112">
        <f t="shared" si="310"/>
        <v>908.94</v>
      </c>
      <c r="S814" s="113">
        <f t="shared" si="9"/>
        <v>20.71923077</v>
      </c>
      <c r="T814" s="172"/>
      <c r="U814" s="172"/>
      <c r="V814" s="172"/>
      <c r="W814" s="172"/>
      <c r="X814" s="173"/>
      <c r="Y814" s="165"/>
      <c r="Z814" s="165"/>
    </row>
    <row r="815" hidden="1" outlineLevel="1">
      <c r="A815" s="165"/>
      <c r="B815" s="174"/>
      <c r="C815" s="200" t="s">
        <v>47</v>
      </c>
      <c r="D815" s="175">
        <v>-29.95</v>
      </c>
      <c r="E815" s="169">
        <v>-1.0</v>
      </c>
      <c r="F815" s="169">
        <v>0.0</v>
      </c>
      <c r="G815" s="104" t="str">
        <f t="shared" si="1"/>
        <v>#DIV/0!</v>
      </c>
      <c r="H815" s="105">
        <f t="shared" si="2"/>
        <v>29.95</v>
      </c>
      <c r="I815" s="106" t="str">
        <f t="shared" si="3"/>
        <v>#DIV/0!</v>
      </c>
      <c r="J815" s="175">
        <v>0.0</v>
      </c>
      <c r="K815" s="169">
        <v>0.0</v>
      </c>
      <c r="L815" s="169">
        <v>0.0</v>
      </c>
      <c r="M815" s="176">
        <v>0.0</v>
      </c>
      <c r="N815" s="109" t="str">
        <f t="shared" si="311"/>
        <v>#DIV/0!</v>
      </c>
      <c r="O815" s="110" t="str">
        <f t="shared" si="5"/>
        <v>#DIV/0!</v>
      </c>
      <c r="P815" s="109">
        <f t="shared" si="6"/>
        <v>0</v>
      </c>
      <c r="Q815" s="111">
        <f t="shared" si="7"/>
        <v>0</v>
      </c>
      <c r="R815" s="112">
        <f t="shared" si="310"/>
        <v>-29.95</v>
      </c>
      <c r="S815" s="113" t="str">
        <f t="shared" si="9"/>
        <v>#DIV/0!</v>
      </c>
      <c r="T815" s="172"/>
      <c r="U815" s="172"/>
      <c r="V815" s="172"/>
      <c r="W815" s="172"/>
      <c r="X815" s="173"/>
      <c r="Y815" s="165"/>
      <c r="Z815" s="165"/>
    </row>
    <row r="816" hidden="1" outlineLevel="1">
      <c r="A816" s="165"/>
      <c r="B816" s="174"/>
      <c r="C816" s="200" t="s">
        <v>48</v>
      </c>
      <c r="D816" s="186">
        <v>4625.06</v>
      </c>
      <c r="E816" s="169">
        <v>26.0</v>
      </c>
      <c r="F816" s="169">
        <v>28.0</v>
      </c>
      <c r="G816" s="104">
        <f t="shared" si="1"/>
        <v>0.9285714286</v>
      </c>
      <c r="H816" s="105">
        <f t="shared" si="2"/>
        <v>177.8869231</v>
      </c>
      <c r="I816" s="106">
        <f t="shared" si="3"/>
        <v>191.5705325</v>
      </c>
      <c r="J816" s="186">
        <v>692.49</v>
      </c>
      <c r="K816" s="169">
        <v>44157.0</v>
      </c>
      <c r="L816" s="169">
        <v>11.0</v>
      </c>
      <c r="M816" s="187">
        <v>1670.89</v>
      </c>
      <c r="N816" s="109">
        <f t="shared" si="311"/>
        <v>0.4144437994</v>
      </c>
      <c r="O816" s="110">
        <f t="shared" si="5"/>
        <v>2.412872388</v>
      </c>
      <c r="P816" s="109">
        <f t="shared" si="6"/>
        <v>0.1497256252</v>
      </c>
      <c r="Q816" s="111">
        <f t="shared" si="7"/>
        <v>0.3612688268</v>
      </c>
      <c r="R816" s="112">
        <f t="shared" si="310"/>
        <v>2954.17</v>
      </c>
      <c r="S816" s="113">
        <f t="shared" si="9"/>
        <v>62.95363636</v>
      </c>
      <c r="T816" s="172"/>
      <c r="U816" s="172"/>
      <c r="V816" s="172"/>
      <c r="W816" s="172"/>
      <c r="X816" s="173"/>
      <c r="Y816" s="165"/>
      <c r="Z816" s="165"/>
    </row>
    <row r="817" hidden="1" outlineLevel="1">
      <c r="A817" s="148"/>
      <c r="B817" s="166"/>
      <c r="C817" s="100" t="s">
        <v>49</v>
      </c>
      <c r="D817" s="196">
        <v>0.0</v>
      </c>
      <c r="E817" s="169">
        <v>0.0</v>
      </c>
      <c r="F817" s="169">
        <v>0.0</v>
      </c>
      <c r="G817" s="104" t="str">
        <f t="shared" si="1"/>
        <v>#DIV/0!</v>
      </c>
      <c r="H817" s="105" t="str">
        <f t="shared" si="2"/>
        <v>#DIV/0!</v>
      </c>
      <c r="I817" s="106" t="str">
        <f t="shared" si="3"/>
        <v>#DIV/0!</v>
      </c>
      <c r="J817" s="196">
        <v>16.97</v>
      </c>
      <c r="K817" s="169">
        <v>17393.0</v>
      </c>
      <c r="L817" s="169">
        <v>0.0</v>
      </c>
      <c r="M817" s="197">
        <v>0.0</v>
      </c>
      <c r="N817" s="109" t="str">
        <f t="shared" si="311"/>
        <v>#DIV/0!</v>
      </c>
      <c r="O817" s="110">
        <f t="shared" si="5"/>
        <v>0</v>
      </c>
      <c r="P817" s="109" t="str">
        <f t="shared" si="6"/>
        <v>#DIV/0!</v>
      </c>
      <c r="Q817" s="111" t="str">
        <f t="shared" si="7"/>
        <v>#DIV/0!</v>
      </c>
      <c r="R817" s="112">
        <f t="shared" si="310"/>
        <v>0</v>
      </c>
      <c r="S817" s="113" t="str">
        <f t="shared" si="9"/>
        <v>#DIV/0!</v>
      </c>
      <c r="T817" s="172"/>
      <c r="U817" s="172"/>
      <c r="V817" s="172"/>
      <c r="W817" s="172"/>
      <c r="X817" s="173"/>
      <c r="Y817" s="165"/>
      <c r="Z817" s="165"/>
    </row>
    <row r="818" hidden="1" outlineLevel="1">
      <c r="A818" s="148" t="str">
        <f t="shared" ref="A818:A819" si="312">iferror(if(B818&gt;0,month(B818)&amp;"-"&amp;year(B818),B818),)</f>
        <v>12-2025</v>
      </c>
      <c r="B818" s="166">
        <v>46018.0</v>
      </c>
      <c r="C818" s="279" t="s">
        <v>67</v>
      </c>
      <c r="D818" s="196">
        <v>0.0</v>
      </c>
      <c r="E818" s="169">
        <v>0.0</v>
      </c>
      <c r="F818" s="169">
        <v>0.0</v>
      </c>
      <c r="G818" s="104" t="str">
        <f t="shared" si="1"/>
        <v>#DIV/0!</v>
      </c>
      <c r="H818" s="105" t="str">
        <f t="shared" si="2"/>
        <v>#DIV/0!</v>
      </c>
      <c r="I818" s="106" t="str">
        <f t="shared" si="3"/>
        <v>#DIV/0!</v>
      </c>
      <c r="J818" s="117">
        <v>6654.4400000000005</v>
      </c>
      <c r="K818" s="278">
        <v>465451.0</v>
      </c>
      <c r="L818" s="280">
        <v>0.0</v>
      </c>
      <c r="M818" s="118">
        <v>18889.62</v>
      </c>
      <c r="N818" s="109">
        <f t="shared" si="311"/>
        <v>0.352280247</v>
      </c>
      <c r="O818" s="110">
        <f t="shared" si="5"/>
        <v>2.838649082</v>
      </c>
      <c r="P818" s="109" t="str">
        <f t="shared" si="6"/>
        <v>#DIV/0!</v>
      </c>
      <c r="Q818" s="111" t="str">
        <f t="shared" si="7"/>
        <v>#DIV/0!</v>
      </c>
      <c r="R818" s="112">
        <f t="shared" si="310"/>
        <v>-18889.62</v>
      </c>
      <c r="S818" s="113" t="str">
        <f t="shared" si="9"/>
        <v>#DIV/0!</v>
      </c>
      <c r="T818" s="172"/>
      <c r="U818" s="172"/>
      <c r="V818" s="172"/>
      <c r="W818" s="172"/>
      <c r="X818" s="173"/>
      <c r="Y818" s="165"/>
      <c r="Z818" s="165"/>
    </row>
    <row r="819" collapsed="1">
      <c r="A819" s="165" t="str">
        <f t="shared" si="312"/>
        <v/>
      </c>
      <c r="B819" s="149" t="s">
        <v>61</v>
      </c>
      <c r="C819" s="201"/>
      <c r="D819" s="151">
        <f t="shared" ref="D819:F819" si="313">SUM(D801:D818)</f>
        <v>37074.31</v>
      </c>
      <c r="E819" s="202">
        <f t="shared" si="313"/>
        <v>245</v>
      </c>
      <c r="F819" s="202">
        <f t="shared" si="313"/>
        <v>266</v>
      </c>
      <c r="G819" s="154">
        <f t="shared" si="1"/>
        <v>0.9210526316</v>
      </c>
      <c r="H819" s="155">
        <f t="shared" si="2"/>
        <v>151.3237143</v>
      </c>
      <c r="I819" s="156">
        <f t="shared" si="3"/>
        <v>164.2943184</v>
      </c>
      <c r="J819" s="151">
        <f t="shared" ref="J819:M819" si="314">SUM(J801:J818)</f>
        <v>11749.24</v>
      </c>
      <c r="K819" s="202">
        <f t="shared" si="314"/>
        <v>1454339</v>
      </c>
      <c r="L819" s="202">
        <f t="shared" si="314"/>
        <v>108</v>
      </c>
      <c r="M819" s="157">
        <f t="shared" si="314"/>
        <v>34480.38</v>
      </c>
      <c r="N819" s="158">
        <f t="shared" si="311"/>
        <v>0.340751465</v>
      </c>
      <c r="O819" s="159">
        <f t="shared" si="5"/>
        <v>2.934690244</v>
      </c>
      <c r="P819" s="158">
        <f t="shared" si="6"/>
        <v>0.3169105507</v>
      </c>
      <c r="Q819" s="160">
        <f t="shared" si="7"/>
        <v>0.9300343014</v>
      </c>
      <c r="R819" s="161">
        <f>SUM(R801:R818)</f>
        <v>2593.93</v>
      </c>
      <c r="S819" s="162">
        <f t="shared" si="9"/>
        <v>108.7892593</v>
      </c>
      <c r="T819" s="163">
        <f t="shared" ref="T819:U819" si="315">IFERROR((D819-D69)/D819,)</f>
        <v>0.7955101524</v>
      </c>
      <c r="U819" s="163">
        <f t="shared" si="315"/>
        <v>0.6163265306</v>
      </c>
      <c r="V819" s="163" t="str">
        <f t="shared" ref="V819:W819" si="316">IFERROR((D819-monthly_reporting_2021!D610)/D819, )</f>
        <v/>
      </c>
      <c r="W819" s="163" t="str">
        <f t="shared" si="316"/>
        <v/>
      </c>
      <c r="X819" s="165"/>
      <c r="Y819" s="165"/>
      <c r="Z819" s="165"/>
    </row>
    <row r="820" outlineLevel="1">
      <c r="A820" s="165"/>
      <c r="B820" s="166">
        <v>46019.0</v>
      </c>
      <c r="C820" s="100" t="s">
        <v>32</v>
      </c>
      <c r="D820" s="167">
        <v>13519.5</v>
      </c>
      <c r="E820" s="169">
        <v>57.0</v>
      </c>
      <c r="F820" s="169">
        <v>57.0</v>
      </c>
      <c r="G820" s="104">
        <f t="shared" si="1"/>
        <v>1</v>
      </c>
      <c r="H820" s="105">
        <f t="shared" si="2"/>
        <v>237.1842105</v>
      </c>
      <c r="I820" s="106">
        <f t="shared" si="3"/>
        <v>237.1842105</v>
      </c>
      <c r="J820" s="170">
        <v>1867.63</v>
      </c>
      <c r="K820" s="169">
        <v>249548.0</v>
      </c>
      <c r="L820" s="169">
        <v>23.0</v>
      </c>
      <c r="M820" s="171">
        <v>5019.44</v>
      </c>
      <c r="N820" s="109">
        <f t="shared" si="311"/>
        <v>0.3720793555</v>
      </c>
      <c r="O820" s="110">
        <f t="shared" si="5"/>
        <v>2.687598721</v>
      </c>
      <c r="P820" s="109">
        <f t="shared" si="6"/>
        <v>0.1381434225</v>
      </c>
      <c r="Q820" s="111">
        <f t="shared" si="7"/>
        <v>0.3712740856</v>
      </c>
      <c r="R820" s="112">
        <f t="shared" ref="R820:R837" si="317">D820-M820</f>
        <v>8500.06</v>
      </c>
      <c r="S820" s="113">
        <f t="shared" si="9"/>
        <v>81.20130435</v>
      </c>
      <c r="T820" s="172"/>
      <c r="U820" s="172"/>
      <c r="V820" s="172"/>
      <c r="W820" s="172"/>
      <c r="X820" s="173"/>
      <c r="Y820" s="165"/>
      <c r="Z820" s="165"/>
    </row>
    <row r="821" outlineLevel="1">
      <c r="A821" s="165"/>
      <c r="B821" s="174"/>
      <c r="C821" s="100" t="s">
        <v>33</v>
      </c>
      <c r="D821" s="175">
        <v>18767.79</v>
      </c>
      <c r="E821" s="169">
        <v>145.0</v>
      </c>
      <c r="F821" s="169">
        <v>161.0</v>
      </c>
      <c r="G821" s="104">
        <f t="shared" si="1"/>
        <v>0.900621118</v>
      </c>
      <c r="H821" s="105">
        <f t="shared" si="2"/>
        <v>129.4330345</v>
      </c>
      <c r="I821" s="106">
        <f t="shared" si="3"/>
        <v>143.7153004</v>
      </c>
      <c r="J821" s="175">
        <v>1072.07</v>
      </c>
      <c r="K821" s="169">
        <v>465644.0</v>
      </c>
      <c r="L821" s="169">
        <v>32.0</v>
      </c>
      <c r="M821" s="176">
        <v>3923.85</v>
      </c>
      <c r="N821" s="109">
        <f t="shared" si="311"/>
        <v>0.2732189049</v>
      </c>
      <c r="O821" s="110">
        <f t="shared" si="5"/>
        <v>3.660068839</v>
      </c>
      <c r="P821" s="109">
        <f t="shared" si="6"/>
        <v>0.05712286849</v>
      </c>
      <c r="Q821" s="111">
        <f t="shared" si="7"/>
        <v>0.2090736309</v>
      </c>
      <c r="R821" s="119">
        <f t="shared" si="317"/>
        <v>14843.94</v>
      </c>
      <c r="S821" s="113">
        <f t="shared" si="9"/>
        <v>33.5021875</v>
      </c>
      <c r="T821" s="172"/>
      <c r="U821" s="172"/>
      <c r="V821" s="172"/>
      <c r="W821" s="172"/>
      <c r="X821" s="173"/>
      <c r="Y821" s="165"/>
      <c r="Z821" s="165"/>
    </row>
    <row r="822" outlineLevel="1">
      <c r="A822" s="165"/>
      <c r="B822" s="174"/>
      <c r="C822" s="100" t="s">
        <v>34</v>
      </c>
      <c r="D822" s="177">
        <v>0.0</v>
      </c>
      <c r="E822" s="169">
        <v>0.0</v>
      </c>
      <c r="F822" s="169">
        <v>0.0</v>
      </c>
      <c r="G822" s="104" t="str">
        <f t="shared" si="1"/>
        <v>#DIV/0!</v>
      </c>
      <c r="H822" s="105" t="str">
        <f t="shared" si="2"/>
        <v>#DIV/0!</v>
      </c>
      <c r="I822" s="106" t="str">
        <f t="shared" si="3"/>
        <v>#DIV/0!</v>
      </c>
      <c r="J822" s="177">
        <v>0.0</v>
      </c>
      <c r="K822" s="169">
        <v>376.0</v>
      </c>
      <c r="L822" s="169">
        <v>0.0</v>
      </c>
      <c r="M822" s="178">
        <v>0.0</v>
      </c>
      <c r="N822" s="109" t="str">
        <f>(J822/M822)</f>
        <v>#DIV/0!</v>
      </c>
      <c r="O822" s="110" t="str">
        <f t="shared" si="5"/>
        <v>#DIV/0!</v>
      </c>
      <c r="P822" s="109" t="str">
        <f t="shared" si="6"/>
        <v>#DIV/0!</v>
      </c>
      <c r="Q822" s="111" t="str">
        <f t="shared" si="7"/>
        <v>#DIV/0!</v>
      </c>
      <c r="R822" s="122">
        <f t="shared" si="317"/>
        <v>0</v>
      </c>
      <c r="S822" s="113" t="str">
        <f t="shared" si="9"/>
        <v>#DIV/0!</v>
      </c>
      <c r="T822" s="172"/>
      <c r="U822" s="172"/>
      <c r="V822" s="172"/>
      <c r="W822" s="172"/>
      <c r="X822" s="173"/>
      <c r="Y822" s="165"/>
      <c r="Z822" s="165"/>
    </row>
    <row r="823" outlineLevel="1">
      <c r="A823" s="165"/>
      <c r="B823" s="174"/>
      <c r="C823" s="100" t="s">
        <v>35</v>
      </c>
      <c r="D823" s="177">
        <v>125.9</v>
      </c>
      <c r="E823" s="169">
        <v>2.0</v>
      </c>
      <c r="F823" s="169">
        <v>2.0</v>
      </c>
      <c r="G823" s="104">
        <f t="shared" si="1"/>
        <v>1</v>
      </c>
      <c r="H823" s="105">
        <f t="shared" si="2"/>
        <v>62.95</v>
      </c>
      <c r="I823" s="106">
        <f t="shared" si="3"/>
        <v>62.95</v>
      </c>
      <c r="J823" s="177">
        <v>298.8</v>
      </c>
      <c r="K823" s="169">
        <v>26455.0</v>
      </c>
      <c r="L823" s="169">
        <v>5.0</v>
      </c>
      <c r="M823" s="178">
        <v>299.75</v>
      </c>
      <c r="N823" s="109">
        <f t="shared" ref="N823:N838" si="318">J823/M823</f>
        <v>0.9968306922</v>
      </c>
      <c r="O823" s="110">
        <f t="shared" si="5"/>
        <v>1.003179384</v>
      </c>
      <c r="P823" s="109">
        <f t="shared" si="6"/>
        <v>2.373312153</v>
      </c>
      <c r="Q823" s="111">
        <f t="shared" si="7"/>
        <v>2.380857824</v>
      </c>
      <c r="R823" s="122">
        <f t="shared" si="317"/>
        <v>-173.85</v>
      </c>
      <c r="S823" s="113">
        <f t="shared" si="9"/>
        <v>59.76</v>
      </c>
      <c r="T823" s="172"/>
      <c r="U823" s="172"/>
      <c r="V823" s="172"/>
      <c r="W823" s="172"/>
      <c r="X823" s="173"/>
      <c r="Y823" s="165"/>
      <c r="Z823" s="165"/>
    </row>
    <row r="824" outlineLevel="1">
      <c r="A824" s="165"/>
      <c r="B824" s="174"/>
      <c r="C824" s="100" t="s">
        <v>36</v>
      </c>
      <c r="D824" s="177">
        <v>359.7</v>
      </c>
      <c r="E824" s="169">
        <v>6.0</v>
      </c>
      <c r="F824" s="169">
        <v>6.0</v>
      </c>
      <c r="G824" s="104">
        <f t="shared" si="1"/>
        <v>1</v>
      </c>
      <c r="H824" s="105">
        <f t="shared" si="2"/>
        <v>59.95</v>
      </c>
      <c r="I824" s="106">
        <f t="shared" si="3"/>
        <v>59.95</v>
      </c>
      <c r="J824" s="177">
        <v>105.72</v>
      </c>
      <c r="K824" s="169">
        <v>27117.0</v>
      </c>
      <c r="L824" s="169">
        <v>2.0</v>
      </c>
      <c r="M824" s="178">
        <v>129.9</v>
      </c>
      <c r="N824" s="109">
        <f t="shared" si="318"/>
        <v>0.8138568129</v>
      </c>
      <c r="O824" s="110">
        <f t="shared" si="5"/>
        <v>1.228717367</v>
      </c>
      <c r="P824" s="109">
        <f t="shared" si="6"/>
        <v>0.293911593</v>
      </c>
      <c r="Q824" s="111">
        <f t="shared" si="7"/>
        <v>0.3611342786</v>
      </c>
      <c r="R824" s="122">
        <f t="shared" si="317"/>
        <v>229.8</v>
      </c>
      <c r="S824" s="113">
        <f t="shared" si="9"/>
        <v>52.86</v>
      </c>
      <c r="T824" s="172"/>
      <c r="U824" s="172"/>
      <c r="V824" s="172"/>
      <c r="W824" s="172"/>
      <c r="X824" s="173"/>
      <c r="Y824" s="165"/>
      <c r="Z824" s="165"/>
    </row>
    <row r="825" outlineLevel="1">
      <c r="A825" s="165"/>
      <c r="B825" s="179" t="s">
        <v>37</v>
      </c>
      <c r="C825" s="100" t="s">
        <v>38</v>
      </c>
      <c r="D825" s="180">
        <v>-60.73</v>
      </c>
      <c r="E825" s="169">
        <v>0.0</v>
      </c>
      <c r="F825" s="169">
        <v>1.0</v>
      </c>
      <c r="G825" s="104">
        <f t="shared" si="1"/>
        <v>0</v>
      </c>
      <c r="H825" s="105" t="str">
        <f t="shared" si="2"/>
        <v>#DIV/0!</v>
      </c>
      <c r="I825" s="106" t="str">
        <f t="shared" si="3"/>
        <v>#DIV/0!</v>
      </c>
      <c r="J825" s="180">
        <v>83.88</v>
      </c>
      <c r="K825" s="169">
        <v>253679.0</v>
      </c>
      <c r="L825" s="169">
        <v>0.0</v>
      </c>
      <c r="M825" s="181">
        <v>0.0</v>
      </c>
      <c r="N825" s="109" t="str">
        <f t="shared" si="318"/>
        <v>#DIV/0!</v>
      </c>
      <c r="O825" s="110">
        <f t="shared" si="5"/>
        <v>0</v>
      </c>
      <c r="P825" s="109">
        <f t="shared" si="6"/>
        <v>-1.381195455</v>
      </c>
      <c r="Q825" s="111">
        <f t="shared" si="7"/>
        <v>0</v>
      </c>
      <c r="R825" s="125">
        <f t="shared" si="317"/>
        <v>-60.73</v>
      </c>
      <c r="S825" s="113" t="str">
        <f t="shared" si="9"/>
        <v>#DIV/0!</v>
      </c>
      <c r="T825" s="172"/>
      <c r="U825" s="172"/>
      <c r="V825" s="172"/>
      <c r="W825" s="172"/>
      <c r="X825" s="173"/>
      <c r="Y825" s="165"/>
      <c r="Z825" s="165"/>
    </row>
    <row r="826" outlineLevel="1">
      <c r="A826" s="165"/>
      <c r="B826" s="174"/>
      <c r="C826" s="100" t="s">
        <v>39</v>
      </c>
      <c r="D826" s="182">
        <v>0.0</v>
      </c>
      <c r="E826" s="169">
        <v>0.0</v>
      </c>
      <c r="F826" s="169">
        <v>0.0</v>
      </c>
      <c r="G826" s="104" t="str">
        <f t="shared" si="1"/>
        <v>#DIV/0!</v>
      </c>
      <c r="H826" s="105" t="str">
        <f t="shared" si="2"/>
        <v>#DIV/0!</v>
      </c>
      <c r="I826" s="106" t="str">
        <f t="shared" si="3"/>
        <v>#DIV/0!</v>
      </c>
      <c r="J826" s="182">
        <v>0.0</v>
      </c>
      <c r="K826" s="169">
        <v>0.0</v>
      </c>
      <c r="L826" s="169">
        <v>0.0</v>
      </c>
      <c r="M826" s="183">
        <v>0.0</v>
      </c>
      <c r="N826" s="109" t="str">
        <f t="shared" si="318"/>
        <v>#DIV/0!</v>
      </c>
      <c r="O826" s="110" t="str">
        <f t="shared" si="5"/>
        <v>#DIV/0!</v>
      </c>
      <c r="P826" s="109" t="str">
        <f t="shared" si="6"/>
        <v>#DIV/0!</v>
      </c>
      <c r="Q826" s="111" t="str">
        <f t="shared" si="7"/>
        <v>#DIV/0!</v>
      </c>
      <c r="R826" s="128">
        <f t="shared" si="317"/>
        <v>0</v>
      </c>
      <c r="S826" s="113" t="str">
        <f t="shared" si="9"/>
        <v>#DIV/0!</v>
      </c>
      <c r="T826" s="172"/>
      <c r="U826" s="172"/>
      <c r="V826" s="172"/>
      <c r="W826" s="172"/>
      <c r="X826" s="173"/>
      <c r="Y826" s="165"/>
      <c r="Z826" s="165"/>
    </row>
    <row r="827" outlineLevel="1">
      <c r="A827" s="165"/>
      <c r="B827" s="174"/>
      <c r="C827" s="100" t="s">
        <v>40</v>
      </c>
      <c r="D827" s="184">
        <v>0.0</v>
      </c>
      <c r="E827" s="169">
        <v>0.0</v>
      </c>
      <c r="F827" s="169">
        <v>0.0</v>
      </c>
      <c r="G827" s="104" t="str">
        <f t="shared" si="1"/>
        <v>#DIV/0!</v>
      </c>
      <c r="H827" s="105" t="str">
        <f t="shared" si="2"/>
        <v>#DIV/0!</v>
      </c>
      <c r="I827" s="106" t="str">
        <f t="shared" si="3"/>
        <v>#DIV/0!</v>
      </c>
      <c r="J827" s="184">
        <v>0.0</v>
      </c>
      <c r="K827" s="169">
        <v>0.0</v>
      </c>
      <c r="L827" s="169">
        <v>0.0</v>
      </c>
      <c r="M827" s="185">
        <v>0.0</v>
      </c>
      <c r="N827" s="109" t="str">
        <f t="shared" si="318"/>
        <v>#DIV/0!</v>
      </c>
      <c r="O827" s="110" t="str">
        <f t="shared" si="5"/>
        <v>#DIV/0!</v>
      </c>
      <c r="P827" s="109" t="str">
        <f t="shared" si="6"/>
        <v>#DIV/0!</v>
      </c>
      <c r="Q827" s="111" t="str">
        <f t="shared" si="7"/>
        <v>#DIV/0!</v>
      </c>
      <c r="R827" s="131">
        <f t="shared" si="317"/>
        <v>0</v>
      </c>
      <c r="S827" s="113" t="str">
        <f t="shared" si="9"/>
        <v>#DIV/0!</v>
      </c>
      <c r="T827" s="172"/>
      <c r="U827" s="172"/>
      <c r="V827" s="172"/>
      <c r="W827" s="172"/>
      <c r="X827" s="173"/>
      <c r="Y827" s="165"/>
      <c r="Z827" s="165"/>
    </row>
    <row r="828" outlineLevel="1">
      <c r="A828" s="165"/>
      <c r="B828" s="174"/>
      <c r="C828" s="100" t="s">
        <v>41</v>
      </c>
      <c r="D828" s="186">
        <v>3534.27</v>
      </c>
      <c r="E828" s="169">
        <v>49.0</v>
      </c>
      <c r="F828" s="169">
        <v>51.0</v>
      </c>
      <c r="G828" s="104">
        <f t="shared" si="1"/>
        <v>0.9607843137</v>
      </c>
      <c r="H828" s="105">
        <f t="shared" si="2"/>
        <v>72.12795918</v>
      </c>
      <c r="I828" s="106">
        <f t="shared" si="3"/>
        <v>75.07195752</v>
      </c>
      <c r="J828" s="186">
        <v>799.06</v>
      </c>
      <c r="K828" s="169">
        <v>59789.0</v>
      </c>
      <c r="L828" s="169">
        <v>14.0</v>
      </c>
      <c r="M828" s="187">
        <v>877.86</v>
      </c>
      <c r="N828" s="109">
        <f t="shared" si="318"/>
        <v>0.9102362564</v>
      </c>
      <c r="O828" s="110">
        <f t="shared" si="5"/>
        <v>1.098615874</v>
      </c>
      <c r="P828" s="109">
        <f t="shared" si="6"/>
        <v>0.2260891217</v>
      </c>
      <c r="Q828" s="111">
        <f t="shared" si="7"/>
        <v>0.2483850979</v>
      </c>
      <c r="R828" s="134">
        <f t="shared" si="317"/>
        <v>2656.41</v>
      </c>
      <c r="S828" s="113">
        <f t="shared" si="9"/>
        <v>57.07571429</v>
      </c>
      <c r="T828" s="172"/>
      <c r="U828" s="172"/>
      <c r="V828" s="172"/>
      <c r="W828" s="172"/>
      <c r="X828" s="173"/>
      <c r="Y828" s="165"/>
      <c r="Z828" s="165"/>
    </row>
    <row r="829" outlineLevel="1">
      <c r="A829" s="165"/>
      <c r="B829" s="174"/>
      <c r="C829" s="100" t="s">
        <v>42</v>
      </c>
      <c r="D829" s="177">
        <v>59.97</v>
      </c>
      <c r="E829" s="169">
        <v>3.0</v>
      </c>
      <c r="F829" s="169">
        <v>3.0</v>
      </c>
      <c r="G829" s="104">
        <f t="shared" si="1"/>
        <v>1</v>
      </c>
      <c r="H829" s="105">
        <f t="shared" si="2"/>
        <v>19.99</v>
      </c>
      <c r="I829" s="106">
        <f t="shared" si="3"/>
        <v>19.99</v>
      </c>
      <c r="J829" s="177">
        <v>356.37</v>
      </c>
      <c r="K829" s="169">
        <v>105893.0</v>
      </c>
      <c r="L829" s="169">
        <v>2.0</v>
      </c>
      <c r="M829" s="178">
        <v>39.98</v>
      </c>
      <c r="N829" s="109">
        <f t="shared" si="318"/>
        <v>8.913706853</v>
      </c>
      <c r="O829" s="110">
        <f t="shared" si="5"/>
        <v>0.1121867722</v>
      </c>
      <c r="P829" s="109">
        <f t="shared" si="6"/>
        <v>5.942471236</v>
      </c>
      <c r="Q829" s="111">
        <f t="shared" si="7"/>
        <v>0.6666666667</v>
      </c>
      <c r="R829" s="122">
        <f t="shared" si="317"/>
        <v>19.99</v>
      </c>
      <c r="S829" s="113">
        <f t="shared" si="9"/>
        <v>178.185</v>
      </c>
      <c r="T829" s="172"/>
      <c r="U829" s="172"/>
      <c r="V829" s="172"/>
      <c r="W829" s="172"/>
      <c r="X829" s="173"/>
      <c r="Y829" s="165"/>
      <c r="Z829" s="165"/>
    </row>
    <row r="830" outlineLevel="1">
      <c r="A830" s="165"/>
      <c r="B830" s="174"/>
      <c r="C830" s="100" t="s">
        <v>43</v>
      </c>
      <c r="D830" s="188">
        <v>1547.97</v>
      </c>
      <c r="E830" s="169">
        <v>13.0</v>
      </c>
      <c r="F830" s="169">
        <v>13.0</v>
      </c>
      <c r="G830" s="104">
        <f t="shared" si="1"/>
        <v>1</v>
      </c>
      <c r="H830" s="105">
        <f t="shared" si="2"/>
        <v>119.0746154</v>
      </c>
      <c r="I830" s="106">
        <f t="shared" si="3"/>
        <v>119.0746154</v>
      </c>
      <c r="J830" s="188">
        <v>74.14</v>
      </c>
      <c r="K830" s="169">
        <v>10788.0</v>
      </c>
      <c r="L830" s="169">
        <v>1.0</v>
      </c>
      <c r="M830" s="189">
        <v>0.0</v>
      </c>
      <c r="N830" s="109" t="str">
        <f t="shared" si="318"/>
        <v>#DIV/0!</v>
      </c>
      <c r="O830" s="110">
        <f t="shared" si="5"/>
        <v>0</v>
      </c>
      <c r="P830" s="109">
        <f t="shared" si="6"/>
        <v>0.04789498504</v>
      </c>
      <c r="Q830" s="111">
        <f t="shared" si="7"/>
        <v>0</v>
      </c>
      <c r="R830" s="137">
        <f t="shared" si="317"/>
        <v>1547.97</v>
      </c>
      <c r="S830" s="113">
        <f t="shared" si="9"/>
        <v>74.14</v>
      </c>
      <c r="T830" s="172"/>
      <c r="U830" s="172"/>
      <c r="V830" s="172"/>
      <c r="W830" s="172"/>
      <c r="X830" s="173"/>
      <c r="Y830" s="165"/>
      <c r="Z830" s="165"/>
    </row>
    <row r="831" outlineLevel="1">
      <c r="A831" s="165"/>
      <c r="B831" s="174"/>
      <c r="C831" s="100" t="s">
        <v>44</v>
      </c>
      <c r="D831" s="190">
        <v>209.8</v>
      </c>
      <c r="E831" s="169">
        <v>4.0</v>
      </c>
      <c r="F831" s="169">
        <v>4.0</v>
      </c>
      <c r="G831" s="104">
        <f t="shared" si="1"/>
        <v>1</v>
      </c>
      <c r="H831" s="105">
        <f t="shared" si="2"/>
        <v>52.45</v>
      </c>
      <c r="I831" s="106">
        <f t="shared" si="3"/>
        <v>52.45</v>
      </c>
      <c r="J831" s="190">
        <v>72.7</v>
      </c>
      <c r="K831" s="169">
        <v>40190.0</v>
      </c>
      <c r="L831" s="169">
        <v>3.0</v>
      </c>
      <c r="M831" s="191">
        <v>164.85</v>
      </c>
      <c r="N831" s="109">
        <f t="shared" si="318"/>
        <v>0.441006976</v>
      </c>
      <c r="O831" s="110">
        <f t="shared" si="5"/>
        <v>2.267537827</v>
      </c>
      <c r="P831" s="109">
        <f t="shared" si="6"/>
        <v>0.3465204957</v>
      </c>
      <c r="Q831" s="111">
        <f t="shared" si="7"/>
        <v>0.7857483317</v>
      </c>
      <c r="R831" s="140">
        <f t="shared" si="317"/>
        <v>44.95</v>
      </c>
      <c r="S831" s="113">
        <f t="shared" si="9"/>
        <v>24.23333333</v>
      </c>
      <c r="T831" s="172"/>
      <c r="U831" s="172"/>
      <c r="V831" s="172"/>
      <c r="W831" s="172"/>
      <c r="X831" s="173"/>
      <c r="Y831" s="165"/>
      <c r="Z831" s="165"/>
    </row>
    <row r="832" outlineLevel="1">
      <c r="A832" s="192"/>
      <c r="B832" s="174"/>
      <c r="C832" s="142" t="s">
        <v>45</v>
      </c>
      <c r="D832" s="167">
        <v>0.0</v>
      </c>
      <c r="E832" s="169">
        <v>0.0</v>
      </c>
      <c r="F832" s="169">
        <v>0.0</v>
      </c>
      <c r="G832" s="104" t="str">
        <f t="shared" si="1"/>
        <v>#DIV/0!</v>
      </c>
      <c r="H832" s="105" t="str">
        <f t="shared" si="2"/>
        <v>#DIV/0!</v>
      </c>
      <c r="I832" s="106" t="str">
        <f t="shared" si="3"/>
        <v>#DIV/0!</v>
      </c>
      <c r="J832" s="167">
        <v>0.0</v>
      </c>
      <c r="K832" s="169">
        <v>0.0</v>
      </c>
      <c r="L832" s="169">
        <v>0.0</v>
      </c>
      <c r="M832" s="171">
        <v>0.0</v>
      </c>
      <c r="N832" s="109" t="str">
        <f t="shared" si="318"/>
        <v>#DIV/0!</v>
      </c>
      <c r="O832" s="110" t="str">
        <f t="shared" si="5"/>
        <v>#DIV/0!</v>
      </c>
      <c r="P832" s="109" t="str">
        <f t="shared" si="6"/>
        <v>#DIV/0!</v>
      </c>
      <c r="Q832" s="111" t="str">
        <f t="shared" si="7"/>
        <v>#DIV/0!</v>
      </c>
      <c r="R832" s="112">
        <f t="shared" si="317"/>
        <v>0</v>
      </c>
      <c r="S832" s="113" t="str">
        <f t="shared" si="9"/>
        <v>#DIV/0!</v>
      </c>
      <c r="T832" s="193"/>
      <c r="U832" s="193"/>
      <c r="V832" s="193"/>
      <c r="W832" s="194"/>
      <c r="X832" s="195"/>
      <c r="Y832" s="165"/>
      <c r="Z832" s="165"/>
    </row>
    <row r="833" outlineLevel="1">
      <c r="A833" s="165"/>
      <c r="B833" s="174"/>
      <c r="C833" s="100" t="s">
        <v>46</v>
      </c>
      <c r="D833" s="196">
        <v>1218.39</v>
      </c>
      <c r="E833" s="169">
        <v>31.0</v>
      </c>
      <c r="F833" s="169">
        <v>31.0</v>
      </c>
      <c r="G833" s="104">
        <f t="shared" si="1"/>
        <v>1</v>
      </c>
      <c r="H833" s="105">
        <f t="shared" si="2"/>
        <v>39.30290323</v>
      </c>
      <c r="I833" s="106">
        <f t="shared" si="3"/>
        <v>39.30290323</v>
      </c>
      <c r="J833" s="196">
        <v>258.05</v>
      </c>
      <c r="K833" s="169">
        <v>66414.0</v>
      </c>
      <c r="L833" s="169">
        <v>25.0</v>
      </c>
      <c r="M833" s="197">
        <v>985.26</v>
      </c>
      <c r="N833" s="109">
        <f t="shared" si="318"/>
        <v>0.2619105617</v>
      </c>
      <c r="O833" s="110">
        <f t="shared" si="5"/>
        <v>3.818097268</v>
      </c>
      <c r="P833" s="109">
        <f t="shared" si="6"/>
        <v>0.2117958946</v>
      </c>
      <c r="Q833" s="111">
        <f t="shared" si="7"/>
        <v>0.8086573265</v>
      </c>
      <c r="R833" s="112">
        <f t="shared" si="317"/>
        <v>233.13</v>
      </c>
      <c r="S833" s="113">
        <f t="shared" si="9"/>
        <v>10.322</v>
      </c>
      <c r="T833" s="172"/>
      <c r="U833" s="172"/>
      <c r="V833" s="172"/>
      <c r="W833" s="172"/>
      <c r="X833" s="173"/>
      <c r="Y833" s="165"/>
      <c r="Z833" s="165"/>
    </row>
    <row r="834" outlineLevel="1">
      <c r="A834" s="165"/>
      <c r="B834" s="174"/>
      <c r="C834" s="200" t="s">
        <v>47</v>
      </c>
      <c r="D834" s="175">
        <v>59.9</v>
      </c>
      <c r="E834" s="169">
        <v>2.0</v>
      </c>
      <c r="F834" s="169">
        <v>2.0</v>
      </c>
      <c r="G834" s="104">
        <f t="shared" si="1"/>
        <v>1</v>
      </c>
      <c r="H834" s="105">
        <f t="shared" si="2"/>
        <v>29.95</v>
      </c>
      <c r="I834" s="106">
        <f t="shared" si="3"/>
        <v>29.95</v>
      </c>
      <c r="J834" s="175">
        <v>0.0</v>
      </c>
      <c r="K834" s="169">
        <v>0.0</v>
      </c>
      <c r="L834" s="169">
        <v>0.0</v>
      </c>
      <c r="M834" s="176">
        <v>0.0</v>
      </c>
      <c r="N834" s="109" t="str">
        <f t="shared" si="318"/>
        <v>#DIV/0!</v>
      </c>
      <c r="O834" s="110" t="str">
        <f t="shared" si="5"/>
        <v>#DIV/0!</v>
      </c>
      <c r="P834" s="109">
        <f t="shared" si="6"/>
        <v>0</v>
      </c>
      <c r="Q834" s="111">
        <f t="shared" si="7"/>
        <v>0</v>
      </c>
      <c r="R834" s="112">
        <f t="shared" si="317"/>
        <v>59.9</v>
      </c>
      <c r="S834" s="113" t="str">
        <f t="shared" si="9"/>
        <v>#DIV/0!</v>
      </c>
      <c r="T834" s="172"/>
      <c r="U834" s="172"/>
      <c r="V834" s="172"/>
      <c r="W834" s="172"/>
      <c r="X834" s="173"/>
      <c r="Y834" s="165"/>
      <c r="Z834" s="165"/>
    </row>
    <row r="835" outlineLevel="1">
      <c r="A835" s="165"/>
      <c r="B835" s="174"/>
      <c r="C835" s="200" t="s">
        <v>48</v>
      </c>
      <c r="D835" s="186">
        <v>6535.42</v>
      </c>
      <c r="E835" s="169">
        <v>31.0</v>
      </c>
      <c r="F835" s="169">
        <v>31.0</v>
      </c>
      <c r="G835" s="104">
        <f t="shared" si="1"/>
        <v>1</v>
      </c>
      <c r="H835" s="105">
        <f t="shared" si="2"/>
        <v>210.82</v>
      </c>
      <c r="I835" s="106">
        <f t="shared" si="3"/>
        <v>210.82</v>
      </c>
      <c r="J835" s="186">
        <v>807.83</v>
      </c>
      <c r="K835" s="169">
        <v>55281.0</v>
      </c>
      <c r="L835" s="169">
        <v>15.0</v>
      </c>
      <c r="M835" s="187">
        <v>2922.51</v>
      </c>
      <c r="N835" s="109">
        <f t="shared" si="318"/>
        <v>0.276416505</v>
      </c>
      <c r="O835" s="110">
        <f t="shared" si="5"/>
        <v>3.617728978</v>
      </c>
      <c r="P835" s="109">
        <f t="shared" si="6"/>
        <v>0.1236079701</v>
      </c>
      <c r="Q835" s="111">
        <f t="shared" si="7"/>
        <v>0.4471801353</v>
      </c>
      <c r="R835" s="112">
        <f t="shared" si="317"/>
        <v>3612.91</v>
      </c>
      <c r="S835" s="113">
        <f t="shared" si="9"/>
        <v>53.85533333</v>
      </c>
      <c r="T835" s="172"/>
      <c r="U835" s="172"/>
      <c r="V835" s="172"/>
      <c r="W835" s="172"/>
      <c r="X835" s="173"/>
      <c r="Y835" s="165"/>
      <c r="Z835" s="165"/>
    </row>
    <row r="836" outlineLevel="1">
      <c r="A836" s="148"/>
      <c r="B836" s="166"/>
      <c r="C836" s="100" t="s">
        <v>49</v>
      </c>
      <c r="D836" s="196">
        <v>-27.0</v>
      </c>
      <c r="E836" s="169">
        <v>-1.0</v>
      </c>
      <c r="F836" s="169">
        <v>0.0</v>
      </c>
      <c r="G836" s="104" t="str">
        <f t="shared" si="1"/>
        <v>#DIV/0!</v>
      </c>
      <c r="H836" s="105">
        <f t="shared" si="2"/>
        <v>27</v>
      </c>
      <c r="I836" s="106" t="str">
        <f t="shared" si="3"/>
        <v>#DIV/0!</v>
      </c>
      <c r="J836" s="196">
        <v>10.46</v>
      </c>
      <c r="K836" s="169">
        <v>14576.0</v>
      </c>
      <c r="L836" s="169">
        <v>0.0</v>
      </c>
      <c r="M836" s="197">
        <v>0.0</v>
      </c>
      <c r="N836" s="109" t="str">
        <f t="shared" si="318"/>
        <v>#DIV/0!</v>
      </c>
      <c r="O836" s="110">
        <f t="shared" si="5"/>
        <v>0</v>
      </c>
      <c r="P836" s="109">
        <f t="shared" si="6"/>
        <v>-0.3874074074</v>
      </c>
      <c r="Q836" s="111">
        <f t="shared" si="7"/>
        <v>0</v>
      </c>
      <c r="R836" s="112">
        <f t="shared" si="317"/>
        <v>-27</v>
      </c>
      <c r="S836" s="113" t="str">
        <f t="shared" si="9"/>
        <v>#DIV/0!</v>
      </c>
      <c r="T836" s="172"/>
      <c r="U836" s="172"/>
      <c r="V836" s="172"/>
      <c r="W836" s="172"/>
      <c r="X836" s="173"/>
      <c r="Y836" s="165"/>
      <c r="Z836" s="165"/>
    </row>
    <row r="837" outlineLevel="1">
      <c r="A837" s="148" t="str">
        <f t="shared" ref="A837:A838" si="319">iferror(if(B837&gt;0,month(B837)&amp;"-"&amp;year(B837),B837),)</f>
        <v>1-2026</v>
      </c>
      <c r="B837" s="166">
        <v>46025.0</v>
      </c>
      <c r="C837" s="279" t="s">
        <v>67</v>
      </c>
      <c r="D837" s="196">
        <v>0.0</v>
      </c>
      <c r="E837" s="169">
        <v>0.0</v>
      </c>
      <c r="F837" s="169">
        <v>0.0</v>
      </c>
      <c r="G837" s="104" t="str">
        <f t="shared" si="1"/>
        <v>#DIV/0!</v>
      </c>
      <c r="H837" s="105" t="str">
        <f t="shared" si="2"/>
        <v>#DIV/0!</v>
      </c>
      <c r="I837" s="106" t="str">
        <f t="shared" si="3"/>
        <v>#DIV/0!</v>
      </c>
      <c r="J837" s="117">
        <v>4879.89</v>
      </c>
      <c r="K837" s="278">
        <v>507182.0</v>
      </c>
      <c r="L837" s="280">
        <v>0.0</v>
      </c>
      <c r="M837" s="118">
        <v>18214.0</v>
      </c>
      <c r="N837" s="109">
        <f t="shared" si="318"/>
        <v>0.2679197321</v>
      </c>
      <c r="O837" s="110">
        <f t="shared" si="5"/>
        <v>3.732461183</v>
      </c>
      <c r="P837" s="109" t="str">
        <f t="shared" si="6"/>
        <v>#DIV/0!</v>
      </c>
      <c r="Q837" s="111" t="str">
        <f t="shared" si="7"/>
        <v>#DIV/0!</v>
      </c>
      <c r="R837" s="112">
        <f t="shared" si="317"/>
        <v>-18214</v>
      </c>
      <c r="S837" s="113" t="str">
        <f t="shared" si="9"/>
        <v>#DIV/0!</v>
      </c>
      <c r="T837" s="172"/>
      <c r="U837" s="172"/>
      <c r="V837" s="172"/>
      <c r="W837" s="172"/>
      <c r="X837" s="173"/>
      <c r="Y837" s="165"/>
      <c r="Z837" s="165"/>
    </row>
    <row r="838">
      <c r="A838" s="165" t="str">
        <f t="shared" si="319"/>
        <v/>
      </c>
      <c r="B838" s="203" t="s">
        <v>62</v>
      </c>
      <c r="C838" s="201"/>
      <c r="D838" s="151">
        <f t="shared" ref="D838:F838" si="320">SUM(D820:D837)</f>
        <v>45850.88</v>
      </c>
      <c r="E838" s="202">
        <f t="shared" si="320"/>
        <v>342</v>
      </c>
      <c r="F838" s="202">
        <f t="shared" si="320"/>
        <v>362</v>
      </c>
      <c r="G838" s="154">
        <f t="shared" si="1"/>
        <v>0.9447513812</v>
      </c>
      <c r="H838" s="155">
        <f t="shared" si="2"/>
        <v>134.0669006</v>
      </c>
      <c r="I838" s="156">
        <f t="shared" si="3"/>
        <v>141.9070702</v>
      </c>
      <c r="J838" s="151">
        <f t="shared" ref="J838:M838" si="321">SUM(J820:J837)</f>
        <v>10686.6</v>
      </c>
      <c r="K838" s="202">
        <f t="shared" si="321"/>
        <v>1882932</v>
      </c>
      <c r="L838" s="202">
        <f t="shared" si="321"/>
        <v>122</v>
      </c>
      <c r="M838" s="157">
        <f t="shared" si="321"/>
        <v>32577.4</v>
      </c>
      <c r="N838" s="158">
        <f t="shared" si="318"/>
        <v>0.3280372283</v>
      </c>
      <c r="O838" s="159">
        <f t="shared" si="5"/>
        <v>3.048434488</v>
      </c>
      <c r="P838" s="158">
        <f t="shared" si="6"/>
        <v>0.233072953</v>
      </c>
      <c r="Q838" s="160">
        <f t="shared" si="7"/>
        <v>0.7105076282</v>
      </c>
      <c r="R838" s="161">
        <f>SUM(R820:R837)</f>
        <v>13273.48</v>
      </c>
      <c r="S838" s="162">
        <f t="shared" si="9"/>
        <v>87.59508197</v>
      </c>
      <c r="T838" s="163">
        <f t="shared" ref="T838:U838" si="322">IFERROR((D838-D819)/D838,)</f>
        <v>0.1914155192</v>
      </c>
      <c r="U838" s="163">
        <f t="shared" si="322"/>
        <v>0.283625731</v>
      </c>
      <c r="V838" s="163" t="str">
        <f t="shared" ref="V838:W838" si="323">IFERROR((D838-monthly_reporting_2021!D611)/D838, )</f>
        <v/>
      </c>
      <c r="W838" s="163" t="str">
        <f t="shared" si="323"/>
        <v/>
      </c>
      <c r="X838" s="165"/>
      <c r="Y838" s="165"/>
      <c r="Z838" s="165"/>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row>
    <row r="1027">
      <c r="A1027" s="78"/>
      <c r="B1027" s="78"/>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row>
    <row r="1028">
      <c r="A1028" s="78"/>
      <c r="B1028" s="78"/>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row>
    <row r="1029">
      <c r="A1029" s="78"/>
      <c r="B1029" s="78"/>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row>
    <row r="1030">
      <c r="A1030" s="78"/>
      <c r="B1030" s="78"/>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row>
    <row r="1031">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row>
    <row r="1032">
      <c r="A1032" s="78"/>
      <c r="B1032" s="78"/>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row>
    <row r="1033">
      <c r="A1033" s="78"/>
      <c r="B1033" s="78"/>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row>
    <row r="1034">
      <c r="A1034" s="78"/>
      <c r="B1034" s="78"/>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row>
    <row r="1035">
      <c r="A1035" s="78"/>
      <c r="B1035" s="78"/>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row>
    <row r="1036">
      <c r="A1036" s="78"/>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row>
    <row r="1037">
      <c r="A1037" s="78"/>
      <c r="B1037" s="78"/>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row>
    <row r="1038">
      <c r="A1038" s="78"/>
      <c r="B1038" s="78"/>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row>
    <row r="1039">
      <c r="A1039" s="78"/>
      <c r="B1039" s="78"/>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row>
    <row r="1040">
      <c r="A1040" s="78"/>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row>
    <row r="1041">
      <c r="A1041" s="78"/>
      <c r="B1041" s="78"/>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row>
    <row r="1042">
      <c r="A1042" s="78"/>
      <c r="B1042" s="78"/>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row>
    <row r="1043">
      <c r="A1043" s="78"/>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row>
    <row r="1044">
      <c r="A1044" s="78"/>
      <c r="B1044" s="78"/>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row>
    <row r="1045">
      <c r="A1045" s="78"/>
      <c r="B1045" s="78"/>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row>
    <row r="1046">
      <c r="A1046" s="78"/>
      <c r="B1046" s="78"/>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row>
    <row r="104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row>
    <row r="1048">
      <c r="A1048" s="78"/>
      <c r="B1048" s="78"/>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row>
    <row r="1049">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row>
    <row r="1050">
      <c r="A1050" s="78"/>
      <c r="B1050" s="78"/>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row>
    <row r="1051">
      <c r="A1051" s="78"/>
      <c r="B1051" s="78"/>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row>
    <row r="1052">
      <c r="A1052" s="78"/>
      <c r="B1052" s="78"/>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row>
    <row r="1053">
      <c r="A1053" s="78"/>
      <c r="B1053" s="78"/>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row>
    <row r="1054">
      <c r="A1054" s="78"/>
      <c r="B1054" s="78"/>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row>
    <row r="1055">
      <c r="A1055" s="78"/>
      <c r="B1055" s="78"/>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row>
    <row r="1056">
      <c r="A1056" s="78"/>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row>
    <row r="1057">
      <c r="A1057" s="78"/>
      <c r="B1057" s="78"/>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row>
    <row r="1058">
      <c r="A1058" s="78"/>
      <c r="B1058" s="78"/>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row>
    <row r="1059">
      <c r="A1059" s="78"/>
      <c r="B1059" s="78"/>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row>
    <row r="1060">
      <c r="A1060" s="78"/>
      <c r="B1060" s="78"/>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row>
    <row r="1061">
      <c r="A1061" s="78"/>
      <c r="B1061" s="78"/>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row>
    <row r="1062">
      <c r="A1062" s="78"/>
      <c r="B1062" s="78"/>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row>
    <row r="1063">
      <c r="A1063" s="78"/>
      <c r="B1063" s="78"/>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row>
    <row r="1064">
      <c r="A1064" s="78"/>
      <c r="B1064" s="78"/>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row>
    <row r="1065">
      <c r="A1065" s="78"/>
      <c r="B1065" s="78"/>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row>
    <row r="1066">
      <c r="A1066" s="78"/>
      <c r="B1066" s="78"/>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row>
    <row r="1067">
      <c r="A1067" s="78"/>
      <c r="B1067" s="78"/>
      <c r="C1067" s="78"/>
      <c r="D1067" s="78"/>
      <c r="E1067" s="78"/>
      <c r="F1067" s="78"/>
      <c r="G1067" s="78"/>
      <c r="H1067" s="78"/>
      <c r="I1067" s="78"/>
      <c r="J1067" s="78"/>
      <c r="K1067" s="78"/>
      <c r="L1067" s="78"/>
      <c r="M1067" s="78"/>
      <c r="N1067" s="78"/>
      <c r="O1067" s="78"/>
      <c r="P1067" s="78"/>
      <c r="Q1067" s="78"/>
      <c r="R1067" s="78"/>
      <c r="S1067" s="78"/>
      <c r="T1067" s="78"/>
      <c r="U1067" s="78"/>
      <c r="V1067" s="78"/>
      <c r="W1067" s="78"/>
      <c r="X1067" s="78"/>
      <c r="Y1067" s="78"/>
      <c r="Z1067" s="78"/>
    </row>
    <row r="1068">
      <c r="A1068" s="78"/>
      <c r="B1068" s="78"/>
      <c r="C1068" s="78"/>
      <c r="D1068" s="78"/>
      <c r="E1068" s="78"/>
      <c r="F1068" s="78"/>
      <c r="G1068" s="78"/>
      <c r="H1068" s="78"/>
      <c r="I1068" s="78"/>
      <c r="J1068" s="78"/>
      <c r="K1068" s="78"/>
      <c r="L1068" s="78"/>
      <c r="M1068" s="78"/>
      <c r="N1068" s="78"/>
      <c r="O1068" s="78"/>
      <c r="P1068" s="78"/>
      <c r="Q1068" s="78"/>
      <c r="R1068" s="78"/>
      <c r="S1068" s="78"/>
      <c r="T1068" s="78"/>
      <c r="U1068" s="78"/>
      <c r="V1068" s="78"/>
      <c r="W1068" s="78"/>
      <c r="X1068" s="78"/>
      <c r="Y1068" s="78"/>
      <c r="Z1068" s="78"/>
    </row>
    <row r="1069">
      <c r="A1069" s="78"/>
      <c r="B1069" s="78"/>
      <c r="C1069" s="78"/>
      <c r="D1069" s="78"/>
      <c r="E1069" s="78"/>
      <c r="F1069" s="78"/>
      <c r="G1069" s="78"/>
      <c r="H1069" s="78"/>
      <c r="I1069" s="78"/>
      <c r="J1069" s="78"/>
      <c r="K1069" s="78"/>
      <c r="L1069" s="78"/>
      <c r="M1069" s="78"/>
      <c r="N1069" s="78"/>
      <c r="O1069" s="78"/>
      <c r="P1069" s="78"/>
      <c r="Q1069" s="78"/>
      <c r="R1069" s="78"/>
      <c r="S1069" s="78"/>
      <c r="T1069" s="78"/>
      <c r="U1069" s="78"/>
      <c r="V1069" s="78"/>
      <c r="W1069" s="78"/>
      <c r="X1069" s="78"/>
      <c r="Y1069" s="78"/>
      <c r="Z1069" s="78"/>
    </row>
    <row r="1070">
      <c r="A1070" s="78"/>
      <c r="B1070" s="78"/>
      <c r="C1070" s="78"/>
      <c r="D1070" s="78"/>
      <c r="E1070" s="78"/>
      <c r="F1070" s="78"/>
      <c r="G1070" s="78"/>
      <c r="H1070" s="78"/>
      <c r="I1070" s="78"/>
      <c r="J1070" s="78"/>
      <c r="K1070" s="78"/>
      <c r="L1070" s="78"/>
      <c r="M1070" s="78"/>
      <c r="N1070" s="78"/>
      <c r="O1070" s="78"/>
      <c r="P1070" s="78"/>
      <c r="Q1070" s="78"/>
      <c r="R1070" s="78"/>
      <c r="S1070" s="78"/>
      <c r="T1070" s="78"/>
      <c r="U1070" s="78"/>
      <c r="V1070" s="78"/>
      <c r="W1070" s="78"/>
      <c r="X1070" s="78"/>
      <c r="Y1070" s="78"/>
      <c r="Z1070" s="78"/>
    </row>
    <row r="1071">
      <c r="A1071" s="78"/>
      <c r="B1071" s="78"/>
      <c r="C1071" s="78"/>
      <c r="D1071" s="78"/>
      <c r="E1071" s="78"/>
      <c r="F1071" s="78"/>
      <c r="G1071" s="78"/>
      <c r="H1071" s="78"/>
      <c r="I1071" s="78"/>
      <c r="J1071" s="78"/>
      <c r="K1071" s="78"/>
      <c r="L1071" s="78"/>
      <c r="M1071" s="78"/>
      <c r="N1071" s="78"/>
      <c r="O1071" s="78"/>
      <c r="P1071" s="78"/>
      <c r="Q1071" s="78"/>
      <c r="R1071" s="78"/>
      <c r="S1071" s="78"/>
      <c r="T1071" s="78"/>
      <c r="U1071" s="78"/>
      <c r="V1071" s="78"/>
      <c r="W1071" s="78"/>
      <c r="X1071" s="78"/>
      <c r="Y1071" s="78"/>
      <c r="Z1071" s="78"/>
    </row>
    <row r="1072">
      <c r="A1072" s="78"/>
      <c r="B1072" s="78"/>
      <c r="C1072" s="78"/>
      <c r="D1072" s="78"/>
      <c r="E1072" s="78"/>
      <c r="F1072" s="78"/>
      <c r="G1072" s="78"/>
      <c r="H1072" s="78"/>
      <c r="I1072" s="78"/>
      <c r="J1072" s="78"/>
      <c r="K1072" s="78"/>
      <c r="L1072" s="78"/>
      <c r="M1072" s="78"/>
      <c r="N1072" s="78"/>
      <c r="O1072" s="78"/>
      <c r="P1072" s="78"/>
      <c r="Q1072" s="78"/>
      <c r="R1072" s="78"/>
      <c r="S1072" s="78"/>
      <c r="T1072" s="78"/>
      <c r="U1072" s="78"/>
      <c r="V1072" s="78"/>
      <c r="W1072" s="78"/>
      <c r="X1072" s="78"/>
      <c r="Y1072" s="78"/>
      <c r="Z1072" s="78"/>
    </row>
    <row r="1073">
      <c r="A1073" s="78"/>
      <c r="B1073" s="78"/>
      <c r="C1073" s="78"/>
      <c r="D1073" s="78"/>
      <c r="E1073" s="78"/>
      <c r="F1073" s="78"/>
      <c r="G1073" s="78"/>
      <c r="H1073" s="78"/>
      <c r="I1073" s="78"/>
      <c r="J1073" s="78"/>
      <c r="K1073" s="78"/>
      <c r="L1073" s="78"/>
      <c r="M1073" s="78"/>
      <c r="N1073" s="78"/>
      <c r="O1073" s="78"/>
      <c r="P1073" s="78"/>
      <c r="Q1073" s="78"/>
      <c r="R1073" s="78"/>
      <c r="S1073" s="78"/>
      <c r="T1073" s="78"/>
      <c r="U1073" s="78"/>
      <c r="V1073" s="78"/>
      <c r="W1073" s="78"/>
      <c r="X1073" s="78"/>
      <c r="Y1073" s="78"/>
      <c r="Z1073" s="78"/>
    </row>
    <row r="1074">
      <c r="A1074" s="78"/>
      <c r="B1074" s="78"/>
      <c r="C1074" s="78"/>
      <c r="D1074" s="78"/>
      <c r="E1074" s="78"/>
      <c r="F1074" s="78"/>
      <c r="G1074" s="78"/>
      <c r="H1074" s="78"/>
      <c r="I1074" s="78"/>
      <c r="J1074" s="78"/>
      <c r="K1074" s="78"/>
      <c r="L1074" s="78"/>
      <c r="M1074" s="78"/>
      <c r="N1074" s="78"/>
      <c r="O1074" s="78"/>
      <c r="P1074" s="78"/>
      <c r="Q1074" s="78"/>
      <c r="R1074" s="78"/>
      <c r="S1074" s="78"/>
      <c r="T1074" s="78"/>
      <c r="U1074" s="78"/>
      <c r="V1074" s="78"/>
      <c r="W1074" s="78"/>
      <c r="X1074" s="78"/>
      <c r="Y1074" s="78"/>
      <c r="Z1074" s="78"/>
    </row>
    <row r="1075">
      <c r="A1075" s="78"/>
      <c r="B1075" s="78"/>
      <c r="C1075" s="78"/>
      <c r="D1075" s="78"/>
      <c r="E1075" s="78"/>
      <c r="F1075" s="78"/>
      <c r="G1075" s="78"/>
      <c r="H1075" s="78"/>
      <c r="I1075" s="78"/>
      <c r="J1075" s="78"/>
      <c r="K1075" s="78"/>
      <c r="L1075" s="78"/>
      <c r="M1075" s="78"/>
      <c r="N1075" s="78"/>
      <c r="O1075" s="78"/>
      <c r="P1075" s="78"/>
      <c r="Q1075" s="78"/>
      <c r="R1075" s="78"/>
      <c r="S1075" s="78"/>
      <c r="T1075" s="78"/>
      <c r="U1075" s="78"/>
      <c r="V1075" s="78"/>
      <c r="W1075" s="78"/>
      <c r="X1075" s="78"/>
      <c r="Y1075" s="78"/>
      <c r="Z1075" s="78"/>
    </row>
    <row r="1076">
      <c r="A1076" s="78"/>
      <c r="B1076" s="78"/>
      <c r="C1076" s="78"/>
      <c r="D1076" s="78"/>
      <c r="E1076" s="78"/>
      <c r="F1076" s="78"/>
      <c r="G1076" s="78"/>
      <c r="H1076" s="78"/>
      <c r="I1076" s="78"/>
      <c r="J1076" s="78"/>
      <c r="K1076" s="78"/>
      <c r="L1076" s="78"/>
      <c r="M1076" s="78"/>
      <c r="N1076" s="78"/>
      <c r="O1076" s="78"/>
      <c r="P1076" s="78"/>
      <c r="Q1076" s="78"/>
      <c r="R1076" s="78"/>
      <c r="S1076" s="78"/>
      <c r="T1076" s="78"/>
      <c r="U1076" s="78"/>
      <c r="V1076" s="78"/>
      <c r="W1076" s="78"/>
      <c r="X1076" s="78"/>
      <c r="Y1076" s="78"/>
      <c r="Z1076" s="78"/>
    </row>
    <row r="1077">
      <c r="A1077" s="78"/>
      <c r="B1077" s="78"/>
      <c r="C1077" s="78"/>
      <c r="D1077" s="78"/>
      <c r="E1077" s="78"/>
      <c r="F1077" s="78"/>
      <c r="G1077" s="78"/>
      <c r="H1077" s="78"/>
      <c r="I1077" s="78"/>
      <c r="J1077" s="78"/>
      <c r="K1077" s="78"/>
      <c r="L1077" s="78"/>
      <c r="M1077" s="78"/>
      <c r="N1077" s="78"/>
      <c r="O1077" s="78"/>
      <c r="P1077" s="78"/>
      <c r="Q1077" s="78"/>
      <c r="R1077" s="78"/>
      <c r="S1077" s="78"/>
      <c r="T1077" s="78"/>
      <c r="U1077" s="78"/>
      <c r="V1077" s="78"/>
      <c r="W1077" s="78"/>
      <c r="X1077" s="78"/>
      <c r="Y1077" s="78"/>
      <c r="Z1077" s="78"/>
    </row>
    <row r="1078">
      <c r="A1078" s="78"/>
      <c r="B1078" s="78"/>
      <c r="C1078" s="78"/>
      <c r="D1078" s="78"/>
      <c r="E1078" s="78"/>
      <c r="F1078" s="78"/>
      <c r="G1078" s="78"/>
      <c r="H1078" s="78"/>
      <c r="I1078" s="78"/>
      <c r="J1078" s="78"/>
      <c r="K1078" s="78"/>
      <c r="L1078" s="78"/>
      <c r="M1078" s="78"/>
      <c r="N1078" s="78"/>
      <c r="O1078" s="78"/>
      <c r="P1078" s="78"/>
      <c r="Q1078" s="78"/>
      <c r="R1078" s="78"/>
      <c r="S1078" s="78"/>
      <c r="T1078" s="78"/>
      <c r="U1078" s="78"/>
      <c r="V1078" s="78"/>
      <c r="W1078" s="78"/>
      <c r="X1078" s="78"/>
      <c r="Y1078" s="78"/>
      <c r="Z1078" s="78"/>
    </row>
    <row r="1079">
      <c r="A1079" s="78"/>
      <c r="B1079" s="78"/>
      <c r="C1079" s="78"/>
      <c r="D1079" s="78"/>
      <c r="E1079" s="78"/>
      <c r="F1079" s="78"/>
      <c r="G1079" s="78"/>
      <c r="H1079" s="78"/>
      <c r="I1079" s="78"/>
      <c r="J1079" s="78"/>
      <c r="K1079" s="78"/>
      <c r="L1079" s="78"/>
      <c r="M1079" s="78"/>
      <c r="N1079" s="78"/>
      <c r="O1079" s="78"/>
      <c r="P1079" s="78"/>
      <c r="Q1079" s="78"/>
      <c r="R1079" s="78"/>
      <c r="S1079" s="78"/>
      <c r="T1079" s="78"/>
      <c r="U1079" s="78"/>
      <c r="V1079" s="78"/>
      <c r="W1079" s="78"/>
      <c r="X1079" s="78"/>
      <c r="Y1079" s="78"/>
      <c r="Z1079" s="78"/>
    </row>
    <row r="1080">
      <c r="A1080" s="78"/>
      <c r="B1080" s="78"/>
      <c r="C1080" s="78"/>
      <c r="D1080" s="78"/>
      <c r="E1080" s="78"/>
      <c r="F1080" s="78"/>
      <c r="G1080" s="78"/>
      <c r="H1080" s="78"/>
      <c r="I1080" s="78"/>
      <c r="J1080" s="78"/>
      <c r="K1080" s="78"/>
      <c r="L1080" s="78"/>
      <c r="M1080" s="78"/>
      <c r="N1080" s="78"/>
      <c r="O1080" s="78"/>
      <c r="P1080" s="78"/>
      <c r="Q1080" s="78"/>
      <c r="R1080" s="78"/>
      <c r="S1080" s="78"/>
      <c r="T1080" s="78"/>
      <c r="U1080" s="78"/>
      <c r="V1080" s="78"/>
      <c r="W1080" s="78"/>
      <c r="X1080" s="78"/>
      <c r="Y1080" s="78"/>
      <c r="Z1080" s="78"/>
    </row>
    <row r="1081">
      <c r="A1081" s="78"/>
      <c r="B1081" s="78"/>
      <c r="C1081" s="78"/>
      <c r="D1081" s="78"/>
      <c r="E1081" s="78"/>
      <c r="F1081" s="78"/>
      <c r="G1081" s="78"/>
      <c r="H1081" s="78"/>
      <c r="I1081" s="78"/>
      <c r="J1081" s="78"/>
      <c r="K1081" s="78"/>
      <c r="L1081" s="78"/>
      <c r="M1081" s="78"/>
      <c r="N1081" s="78"/>
      <c r="O1081" s="78"/>
      <c r="P1081" s="78"/>
      <c r="Q1081" s="78"/>
      <c r="R1081" s="78"/>
      <c r="S1081" s="78"/>
      <c r="T1081" s="78"/>
      <c r="U1081" s="78"/>
      <c r="V1081" s="78"/>
      <c r="W1081" s="78"/>
      <c r="X1081" s="78"/>
      <c r="Y1081" s="78"/>
      <c r="Z1081" s="78"/>
    </row>
    <row r="1082">
      <c r="A1082" s="78"/>
      <c r="B1082" s="78"/>
      <c r="C1082" s="78"/>
      <c r="D1082" s="78"/>
      <c r="E1082" s="78"/>
      <c r="F1082" s="78"/>
      <c r="G1082" s="78"/>
      <c r="H1082" s="78"/>
      <c r="I1082" s="78"/>
      <c r="J1082" s="78"/>
      <c r="K1082" s="78"/>
      <c r="L1082" s="78"/>
      <c r="M1082" s="78"/>
      <c r="N1082" s="78"/>
      <c r="O1082" s="78"/>
      <c r="P1082" s="78"/>
      <c r="Q1082" s="78"/>
      <c r="R1082" s="78"/>
      <c r="S1082" s="78"/>
      <c r="T1082" s="78"/>
      <c r="U1082" s="78"/>
      <c r="V1082" s="78"/>
      <c r="W1082" s="78"/>
      <c r="X1082" s="78"/>
      <c r="Y1082" s="78"/>
      <c r="Z1082" s="78"/>
    </row>
    <row r="1083">
      <c r="A1083" s="78"/>
      <c r="B1083" s="78"/>
      <c r="C1083" s="78"/>
      <c r="D1083" s="78"/>
      <c r="E1083" s="78"/>
      <c r="F1083" s="78"/>
      <c r="G1083" s="78"/>
      <c r="H1083" s="78"/>
      <c r="I1083" s="78"/>
      <c r="J1083" s="78"/>
      <c r="K1083" s="78"/>
      <c r="L1083" s="78"/>
      <c r="M1083" s="78"/>
      <c r="N1083" s="78"/>
      <c r="O1083" s="78"/>
      <c r="P1083" s="78"/>
      <c r="Q1083" s="78"/>
      <c r="R1083" s="78"/>
      <c r="S1083" s="78"/>
      <c r="T1083" s="78"/>
      <c r="U1083" s="78"/>
      <c r="V1083" s="78"/>
      <c r="W1083" s="78"/>
      <c r="X1083" s="78"/>
      <c r="Y1083" s="78"/>
      <c r="Z1083" s="78"/>
    </row>
    <row r="1084">
      <c r="A1084" s="78"/>
      <c r="B1084" s="78"/>
      <c r="C1084" s="78"/>
      <c r="D1084" s="78"/>
      <c r="E1084" s="78"/>
      <c r="F1084" s="78"/>
      <c r="G1084" s="78"/>
      <c r="H1084" s="78"/>
      <c r="I1084" s="78"/>
      <c r="J1084" s="78"/>
      <c r="K1084" s="78"/>
      <c r="L1084" s="78"/>
      <c r="M1084" s="78"/>
      <c r="N1084" s="78"/>
      <c r="O1084" s="78"/>
      <c r="P1084" s="78"/>
      <c r="Q1084" s="78"/>
      <c r="R1084" s="78"/>
      <c r="S1084" s="78"/>
      <c r="T1084" s="78"/>
      <c r="U1084" s="78"/>
      <c r="V1084" s="78"/>
      <c r="W1084" s="78"/>
      <c r="X1084" s="78"/>
      <c r="Y1084" s="78"/>
      <c r="Z1084" s="78"/>
    </row>
    <row r="1085">
      <c r="A1085" s="78"/>
      <c r="B1085" s="78"/>
      <c r="C1085" s="78"/>
      <c r="D1085" s="78"/>
      <c r="E1085" s="78"/>
      <c r="F1085" s="78"/>
      <c r="G1085" s="78"/>
      <c r="H1085" s="78"/>
      <c r="I1085" s="78"/>
      <c r="J1085" s="78"/>
      <c r="K1085" s="78"/>
      <c r="L1085" s="78"/>
      <c r="M1085" s="78"/>
      <c r="N1085" s="78"/>
      <c r="O1085" s="78"/>
      <c r="P1085" s="78"/>
      <c r="Q1085" s="78"/>
      <c r="R1085" s="78"/>
      <c r="S1085" s="78"/>
      <c r="T1085" s="78"/>
      <c r="U1085" s="78"/>
      <c r="V1085" s="78"/>
      <c r="W1085" s="78"/>
      <c r="X1085" s="78"/>
      <c r="Y1085" s="78"/>
      <c r="Z1085" s="78"/>
    </row>
    <row r="1086">
      <c r="A1086" s="78"/>
      <c r="B1086" s="78"/>
      <c r="C1086" s="78"/>
      <c r="D1086" s="78"/>
      <c r="E1086" s="78"/>
      <c r="F1086" s="78"/>
      <c r="G1086" s="78"/>
      <c r="H1086" s="78"/>
      <c r="I1086" s="78"/>
      <c r="J1086" s="78"/>
      <c r="K1086" s="78"/>
      <c r="L1086" s="78"/>
      <c r="M1086" s="78"/>
      <c r="N1086" s="78"/>
      <c r="O1086" s="78"/>
      <c r="P1086" s="78"/>
      <c r="Q1086" s="78"/>
      <c r="R1086" s="78"/>
      <c r="S1086" s="78"/>
      <c r="T1086" s="78"/>
      <c r="U1086" s="78"/>
      <c r="V1086" s="78"/>
      <c r="W1086" s="78"/>
      <c r="X1086" s="78"/>
      <c r="Y1086" s="78"/>
      <c r="Z1086" s="78"/>
    </row>
    <row r="1087">
      <c r="A1087" s="78"/>
      <c r="B1087" s="78"/>
      <c r="C1087" s="78"/>
      <c r="D1087" s="78"/>
      <c r="E1087" s="78"/>
      <c r="F1087" s="78"/>
      <c r="G1087" s="78"/>
      <c r="H1087" s="78"/>
      <c r="I1087" s="78"/>
      <c r="J1087" s="78"/>
      <c r="K1087" s="78"/>
      <c r="L1087" s="78"/>
      <c r="M1087" s="78"/>
      <c r="N1087" s="78"/>
      <c r="O1087" s="78"/>
      <c r="P1087" s="78"/>
      <c r="Q1087" s="78"/>
      <c r="R1087" s="78"/>
      <c r="S1087" s="78"/>
      <c r="T1087" s="78"/>
      <c r="U1087" s="78"/>
      <c r="V1087" s="78"/>
      <c r="W1087" s="78"/>
      <c r="X1087" s="78"/>
      <c r="Y1087" s="78"/>
      <c r="Z1087" s="78"/>
    </row>
    <row r="1088">
      <c r="A1088" s="78"/>
      <c r="B1088" s="78"/>
      <c r="C1088" s="78"/>
      <c r="D1088" s="78"/>
      <c r="E1088" s="78"/>
      <c r="F1088" s="78"/>
      <c r="G1088" s="78"/>
      <c r="H1088" s="78"/>
      <c r="I1088" s="78"/>
      <c r="J1088" s="78"/>
      <c r="K1088" s="78"/>
      <c r="L1088" s="78"/>
      <c r="M1088" s="78"/>
      <c r="N1088" s="78"/>
      <c r="O1088" s="78"/>
      <c r="P1088" s="78"/>
      <c r="Q1088" s="78"/>
      <c r="R1088" s="78"/>
      <c r="S1088" s="78"/>
      <c r="T1088" s="78"/>
      <c r="U1088" s="78"/>
      <c r="V1088" s="78"/>
      <c r="W1088" s="78"/>
      <c r="X1088" s="78"/>
      <c r="Y1088" s="78"/>
      <c r="Z1088" s="78"/>
    </row>
    <row r="1089">
      <c r="A1089" s="78"/>
      <c r="B1089" s="78"/>
      <c r="C1089" s="78"/>
      <c r="D1089" s="78"/>
      <c r="E1089" s="78"/>
      <c r="F1089" s="78"/>
      <c r="G1089" s="78"/>
      <c r="H1089" s="78"/>
      <c r="I1089" s="78"/>
      <c r="J1089" s="78"/>
      <c r="K1089" s="78"/>
      <c r="L1089" s="78"/>
      <c r="M1089" s="78"/>
      <c r="N1089" s="78"/>
      <c r="O1089" s="78"/>
      <c r="P1089" s="78"/>
      <c r="Q1089" s="78"/>
      <c r="R1089" s="78"/>
      <c r="S1089" s="78"/>
      <c r="T1089" s="78"/>
      <c r="U1089" s="78"/>
      <c r="V1089" s="78"/>
      <c r="W1089" s="78"/>
      <c r="X1089" s="78"/>
      <c r="Y1089" s="78"/>
      <c r="Z1089" s="78"/>
    </row>
    <row r="1090">
      <c r="A1090" s="78"/>
      <c r="B1090" s="78"/>
      <c r="C1090" s="78"/>
      <c r="D1090" s="78"/>
      <c r="E1090" s="78"/>
      <c r="F1090" s="78"/>
      <c r="G1090" s="78"/>
      <c r="H1090" s="78"/>
      <c r="I1090" s="78"/>
      <c r="J1090" s="78"/>
      <c r="K1090" s="78"/>
      <c r="L1090" s="78"/>
      <c r="M1090" s="78"/>
      <c r="N1090" s="78"/>
      <c r="O1090" s="78"/>
      <c r="P1090" s="78"/>
      <c r="Q1090" s="78"/>
      <c r="R1090" s="78"/>
      <c r="S1090" s="78"/>
      <c r="T1090" s="78"/>
      <c r="U1090" s="78"/>
      <c r="V1090" s="78"/>
      <c r="W1090" s="78"/>
      <c r="X1090" s="78"/>
      <c r="Y1090" s="78"/>
      <c r="Z1090" s="78"/>
    </row>
    <row r="1091">
      <c r="A1091" s="78"/>
      <c r="B1091" s="78"/>
      <c r="C1091" s="78"/>
      <c r="D1091" s="78"/>
      <c r="E1091" s="78"/>
      <c r="F1091" s="78"/>
      <c r="G1091" s="78"/>
      <c r="H1091" s="78"/>
      <c r="I1091" s="78"/>
      <c r="J1091" s="78"/>
      <c r="K1091" s="78"/>
      <c r="L1091" s="78"/>
      <c r="M1091" s="78"/>
      <c r="N1091" s="78"/>
      <c r="O1091" s="78"/>
      <c r="P1091" s="78"/>
      <c r="Q1091" s="78"/>
      <c r="R1091" s="78"/>
      <c r="S1091" s="78"/>
      <c r="T1091" s="78"/>
      <c r="U1091" s="78"/>
      <c r="V1091" s="78"/>
      <c r="W1091" s="78"/>
      <c r="X1091" s="78"/>
      <c r="Y1091" s="78"/>
      <c r="Z1091" s="78"/>
    </row>
    <row r="1092">
      <c r="A1092" s="78"/>
      <c r="B1092" s="78"/>
      <c r="C1092" s="78"/>
      <c r="D1092" s="78"/>
      <c r="E1092" s="78"/>
      <c r="F1092" s="78"/>
      <c r="G1092" s="78"/>
      <c r="H1092" s="78"/>
      <c r="I1092" s="78"/>
      <c r="J1092" s="78"/>
      <c r="K1092" s="78"/>
      <c r="L1092" s="78"/>
      <c r="M1092" s="78"/>
      <c r="N1092" s="78"/>
      <c r="O1092" s="78"/>
      <c r="P1092" s="78"/>
      <c r="Q1092" s="78"/>
      <c r="R1092" s="78"/>
      <c r="S1092" s="78"/>
      <c r="T1092" s="78"/>
      <c r="U1092" s="78"/>
      <c r="V1092" s="78"/>
      <c r="W1092" s="78"/>
      <c r="X1092" s="78"/>
      <c r="Y1092" s="78"/>
      <c r="Z1092" s="78"/>
    </row>
    <row r="1093">
      <c r="A1093" s="78"/>
      <c r="B1093" s="78"/>
      <c r="C1093" s="78"/>
      <c r="D1093" s="78"/>
      <c r="E1093" s="78"/>
      <c r="F1093" s="78"/>
      <c r="G1093" s="78"/>
      <c r="H1093" s="78"/>
      <c r="I1093" s="78"/>
      <c r="J1093" s="78"/>
      <c r="K1093" s="78"/>
      <c r="L1093" s="78"/>
      <c r="M1093" s="78"/>
      <c r="N1093" s="78"/>
      <c r="O1093" s="78"/>
      <c r="P1093" s="78"/>
      <c r="Q1093" s="78"/>
      <c r="R1093" s="78"/>
      <c r="S1093" s="78"/>
      <c r="T1093" s="78"/>
      <c r="U1093" s="78"/>
      <c r="V1093" s="78"/>
      <c r="W1093" s="78"/>
      <c r="X1093" s="78"/>
      <c r="Y1093" s="78"/>
      <c r="Z1093" s="78"/>
    </row>
    <row r="1094">
      <c r="A1094" s="78"/>
      <c r="B1094" s="78"/>
      <c r="C1094" s="78"/>
      <c r="D1094" s="78"/>
      <c r="E1094" s="78"/>
      <c r="F1094" s="78"/>
      <c r="G1094" s="78"/>
      <c r="H1094" s="78"/>
      <c r="I1094" s="78"/>
      <c r="J1094" s="78"/>
      <c r="K1094" s="78"/>
      <c r="L1094" s="78"/>
      <c r="M1094" s="78"/>
      <c r="N1094" s="78"/>
      <c r="O1094" s="78"/>
      <c r="P1094" s="78"/>
      <c r="Q1094" s="78"/>
      <c r="R1094" s="78"/>
      <c r="S1094" s="78"/>
      <c r="T1094" s="78"/>
      <c r="U1094" s="78"/>
      <c r="V1094" s="78"/>
      <c r="W1094" s="78"/>
      <c r="X1094" s="78"/>
      <c r="Y1094" s="78"/>
      <c r="Z1094" s="78"/>
    </row>
    <row r="1095">
      <c r="A1095" s="78"/>
      <c r="B1095" s="78"/>
      <c r="C1095" s="78"/>
      <c r="D1095" s="78"/>
      <c r="E1095" s="78"/>
      <c r="F1095" s="78"/>
      <c r="G1095" s="78"/>
      <c r="H1095" s="78"/>
      <c r="I1095" s="78"/>
      <c r="J1095" s="78"/>
      <c r="K1095" s="78"/>
      <c r="L1095" s="78"/>
      <c r="M1095" s="78"/>
      <c r="N1095" s="78"/>
      <c r="O1095" s="78"/>
      <c r="P1095" s="78"/>
      <c r="Q1095" s="78"/>
      <c r="R1095" s="78"/>
      <c r="S1095" s="78"/>
      <c r="T1095" s="78"/>
      <c r="U1095" s="78"/>
      <c r="V1095" s="78"/>
      <c r="W1095" s="78"/>
      <c r="X1095" s="78"/>
      <c r="Y1095" s="78"/>
      <c r="Z1095" s="78"/>
    </row>
    <row r="1096">
      <c r="A1096" s="78"/>
      <c r="B1096" s="78"/>
      <c r="C1096" s="78"/>
      <c r="D1096" s="78"/>
      <c r="E1096" s="78"/>
      <c r="F1096" s="78"/>
      <c r="G1096" s="78"/>
      <c r="H1096" s="78"/>
      <c r="I1096" s="78"/>
      <c r="J1096" s="78"/>
      <c r="K1096" s="78"/>
      <c r="L1096" s="78"/>
      <c r="M1096" s="78"/>
      <c r="N1096" s="78"/>
      <c r="O1096" s="78"/>
      <c r="P1096" s="78"/>
      <c r="Q1096" s="78"/>
      <c r="R1096" s="78"/>
      <c r="S1096" s="78"/>
      <c r="T1096" s="78"/>
      <c r="U1096" s="78"/>
      <c r="V1096" s="78"/>
      <c r="W1096" s="78"/>
      <c r="X1096" s="78"/>
      <c r="Y1096" s="78"/>
      <c r="Z1096" s="78"/>
    </row>
    <row r="1097">
      <c r="A1097" s="78"/>
      <c r="B1097" s="78"/>
      <c r="C1097" s="78"/>
      <c r="D1097" s="78"/>
      <c r="E1097" s="78"/>
      <c r="F1097" s="78"/>
      <c r="G1097" s="78"/>
      <c r="H1097" s="78"/>
      <c r="I1097" s="78"/>
      <c r="J1097" s="78"/>
      <c r="K1097" s="78"/>
      <c r="L1097" s="78"/>
      <c r="M1097" s="78"/>
      <c r="N1097" s="78"/>
      <c r="O1097" s="78"/>
      <c r="P1097" s="78"/>
      <c r="Q1097" s="78"/>
      <c r="R1097" s="78"/>
      <c r="S1097" s="78"/>
      <c r="T1097" s="78"/>
      <c r="U1097" s="78"/>
      <c r="V1097" s="78"/>
      <c r="W1097" s="78"/>
      <c r="X1097" s="78"/>
      <c r="Y1097" s="78"/>
      <c r="Z1097" s="78"/>
    </row>
    <row r="1098">
      <c r="A1098" s="78"/>
      <c r="B1098" s="78"/>
      <c r="C1098" s="78"/>
      <c r="D1098" s="78"/>
      <c r="E1098" s="78"/>
      <c r="F1098" s="78"/>
      <c r="G1098" s="78"/>
      <c r="H1098" s="78"/>
      <c r="I1098" s="78"/>
      <c r="J1098" s="78"/>
      <c r="K1098" s="78"/>
      <c r="L1098" s="78"/>
      <c r="M1098" s="78"/>
      <c r="N1098" s="78"/>
      <c r="O1098" s="78"/>
      <c r="P1098" s="78"/>
      <c r="Q1098" s="78"/>
      <c r="R1098" s="78"/>
      <c r="S1098" s="78"/>
      <c r="T1098" s="78"/>
      <c r="U1098" s="78"/>
      <c r="V1098" s="78"/>
      <c r="W1098" s="78"/>
      <c r="X1098" s="78"/>
      <c r="Y1098" s="78"/>
      <c r="Z1098" s="78"/>
    </row>
    <row r="1099">
      <c r="A1099" s="78"/>
      <c r="B1099" s="78"/>
      <c r="C1099" s="78"/>
      <c r="D1099" s="78"/>
      <c r="E1099" s="78"/>
      <c r="F1099" s="78"/>
      <c r="G1099" s="78"/>
      <c r="H1099" s="78"/>
      <c r="I1099" s="78"/>
      <c r="J1099" s="78"/>
      <c r="K1099" s="78"/>
      <c r="L1099" s="78"/>
      <c r="M1099" s="78"/>
      <c r="N1099" s="78"/>
      <c r="O1099" s="78"/>
      <c r="P1099" s="78"/>
      <c r="Q1099" s="78"/>
      <c r="R1099" s="78"/>
      <c r="S1099" s="78"/>
      <c r="T1099" s="78"/>
      <c r="U1099" s="78"/>
      <c r="V1099" s="78"/>
      <c r="W1099" s="78"/>
      <c r="X1099" s="78"/>
      <c r="Y1099" s="78"/>
      <c r="Z1099" s="78"/>
    </row>
    <row r="1100">
      <c r="A1100" s="78"/>
      <c r="B1100" s="78"/>
      <c r="C1100" s="78"/>
      <c r="D1100" s="78"/>
      <c r="E1100" s="78"/>
      <c r="F1100" s="78"/>
      <c r="G1100" s="78"/>
      <c r="H1100" s="78"/>
      <c r="I1100" s="78"/>
      <c r="J1100" s="78"/>
      <c r="K1100" s="78"/>
      <c r="L1100" s="78"/>
      <c r="M1100" s="78"/>
      <c r="N1100" s="78"/>
      <c r="O1100" s="78"/>
      <c r="P1100" s="78"/>
      <c r="Q1100" s="78"/>
      <c r="R1100" s="78"/>
      <c r="S1100" s="78"/>
      <c r="T1100" s="78"/>
      <c r="U1100" s="78"/>
      <c r="V1100" s="78"/>
      <c r="W1100" s="78"/>
      <c r="X1100" s="78"/>
      <c r="Y1100" s="78"/>
      <c r="Z1100" s="78"/>
    </row>
    <row r="1101">
      <c r="A1101" s="78"/>
      <c r="B1101" s="78"/>
      <c r="C1101" s="78"/>
      <c r="D1101" s="78"/>
      <c r="E1101" s="78"/>
      <c r="F1101" s="78"/>
      <c r="G1101" s="78"/>
      <c r="H1101" s="78"/>
      <c r="I1101" s="78"/>
      <c r="J1101" s="78"/>
      <c r="K1101" s="78"/>
      <c r="L1101" s="78"/>
      <c r="M1101" s="78"/>
      <c r="N1101" s="78"/>
      <c r="O1101" s="78"/>
      <c r="P1101" s="78"/>
      <c r="Q1101" s="78"/>
      <c r="R1101" s="78"/>
      <c r="S1101" s="78"/>
      <c r="T1101" s="78"/>
      <c r="U1101" s="78"/>
      <c r="V1101" s="78"/>
      <c r="W1101" s="78"/>
      <c r="X1101" s="78"/>
      <c r="Y1101" s="78"/>
      <c r="Z1101" s="78"/>
    </row>
    <row r="1102">
      <c r="A1102" s="78"/>
      <c r="B1102" s="78"/>
      <c r="C1102" s="78"/>
      <c r="D1102" s="78"/>
      <c r="E1102" s="78"/>
      <c r="F1102" s="78"/>
      <c r="G1102" s="78"/>
      <c r="H1102" s="78"/>
      <c r="I1102" s="78"/>
      <c r="J1102" s="78"/>
      <c r="K1102" s="78"/>
      <c r="L1102" s="78"/>
      <c r="M1102" s="78"/>
      <c r="N1102" s="78"/>
      <c r="O1102" s="78"/>
      <c r="P1102" s="78"/>
      <c r="Q1102" s="78"/>
      <c r="R1102" s="78"/>
      <c r="S1102" s="78"/>
      <c r="T1102" s="78"/>
      <c r="U1102" s="78"/>
      <c r="V1102" s="78"/>
      <c r="W1102" s="78"/>
      <c r="X1102" s="78"/>
      <c r="Y1102" s="78"/>
      <c r="Z1102" s="78"/>
    </row>
    <row r="1103">
      <c r="A1103" s="78"/>
      <c r="B1103" s="78"/>
      <c r="C1103" s="78"/>
      <c r="D1103" s="78"/>
      <c r="E1103" s="78"/>
      <c r="F1103" s="78"/>
      <c r="G1103" s="78"/>
      <c r="H1103" s="78"/>
      <c r="I1103" s="78"/>
      <c r="J1103" s="78"/>
      <c r="K1103" s="78"/>
      <c r="L1103" s="78"/>
      <c r="M1103" s="78"/>
      <c r="N1103" s="78"/>
      <c r="O1103" s="78"/>
      <c r="P1103" s="78"/>
      <c r="Q1103" s="78"/>
      <c r="R1103" s="78"/>
      <c r="S1103" s="78"/>
      <c r="T1103" s="78"/>
      <c r="U1103" s="78"/>
      <c r="V1103" s="78"/>
      <c r="W1103" s="78"/>
      <c r="X1103" s="78"/>
      <c r="Y1103" s="78"/>
      <c r="Z1103" s="78"/>
    </row>
    <row r="1104">
      <c r="A1104" s="78"/>
      <c r="B1104" s="78"/>
      <c r="C1104" s="78"/>
      <c r="D1104" s="78"/>
      <c r="E1104" s="78"/>
      <c r="F1104" s="78"/>
      <c r="G1104" s="78"/>
      <c r="H1104" s="78"/>
      <c r="I1104" s="78"/>
      <c r="J1104" s="78"/>
      <c r="K1104" s="78"/>
      <c r="L1104" s="78"/>
      <c r="M1104" s="78"/>
      <c r="N1104" s="78"/>
      <c r="O1104" s="78"/>
      <c r="P1104" s="78"/>
      <c r="Q1104" s="78"/>
      <c r="R1104" s="78"/>
      <c r="S1104" s="78"/>
      <c r="T1104" s="78"/>
      <c r="U1104" s="78"/>
      <c r="V1104" s="78"/>
      <c r="W1104" s="78"/>
      <c r="X1104" s="78"/>
      <c r="Y1104" s="78"/>
      <c r="Z1104" s="78"/>
    </row>
    <row r="1105">
      <c r="A1105" s="78"/>
      <c r="B1105" s="78"/>
      <c r="C1105" s="78"/>
      <c r="D1105" s="78"/>
      <c r="E1105" s="78"/>
      <c r="F1105" s="78"/>
      <c r="G1105" s="78"/>
      <c r="H1105" s="78"/>
      <c r="I1105" s="78"/>
      <c r="J1105" s="78"/>
      <c r="K1105" s="78"/>
      <c r="L1105" s="78"/>
      <c r="M1105" s="78"/>
      <c r="N1105" s="78"/>
      <c r="O1105" s="78"/>
      <c r="P1105" s="78"/>
      <c r="Q1105" s="78"/>
      <c r="R1105" s="78"/>
      <c r="S1105" s="78"/>
      <c r="T1105" s="78"/>
      <c r="U1105" s="78"/>
      <c r="V1105" s="78"/>
      <c r="W1105" s="78"/>
      <c r="X1105" s="78"/>
      <c r="Y1105" s="78"/>
      <c r="Z1105" s="78"/>
    </row>
    <row r="1106">
      <c r="A1106" s="78"/>
      <c r="B1106" s="78"/>
      <c r="C1106" s="78"/>
      <c r="D1106" s="78"/>
      <c r="E1106" s="78"/>
      <c r="F1106" s="78"/>
      <c r="G1106" s="78"/>
      <c r="H1106" s="78"/>
      <c r="I1106" s="78"/>
      <c r="J1106" s="78"/>
      <c r="K1106" s="78"/>
      <c r="L1106" s="78"/>
      <c r="M1106" s="78"/>
      <c r="N1106" s="78"/>
      <c r="O1106" s="78"/>
      <c r="P1106" s="78"/>
      <c r="Q1106" s="78"/>
      <c r="R1106" s="78"/>
      <c r="S1106" s="78"/>
      <c r="T1106" s="78"/>
      <c r="U1106" s="78"/>
      <c r="V1106" s="78"/>
      <c r="W1106" s="78"/>
      <c r="X1106" s="78"/>
      <c r="Y1106" s="78"/>
      <c r="Z1106" s="78"/>
    </row>
    <row r="1107">
      <c r="A1107" s="78"/>
      <c r="B1107" s="78"/>
      <c r="C1107" s="78"/>
      <c r="D1107" s="78"/>
      <c r="E1107" s="78"/>
      <c r="F1107" s="78"/>
      <c r="G1107" s="78"/>
      <c r="H1107" s="78"/>
      <c r="I1107" s="78"/>
      <c r="J1107" s="78"/>
      <c r="K1107" s="78"/>
      <c r="L1107" s="78"/>
      <c r="M1107" s="78"/>
      <c r="N1107" s="78"/>
      <c r="O1107" s="78"/>
      <c r="P1107" s="78"/>
      <c r="Q1107" s="78"/>
      <c r="R1107" s="78"/>
      <c r="S1107" s="78"/>
      <c r="T1107" s="78"/>
      <c r="U1107" s="78"/>
      <c r="V1107" s="78"/>
      <c r="W1107" s="78"/>
      <c r="X1107" s="78"/>
      <c r="Y1107" s="78"/>
      <c r="Z1107" s="78"/>
    </row>
    <row r="1108">
      <c r="A1108" s="78"/>
      <c r="B1108" s="78"/>
      <c r="C1108" s="78"/>
      <c r="D1108" s="78"/>
      <c r="E1108" s="78"/>
      <c r="F1108" s="78"/>
      <c r="G1108" s="78"/>
      <c r="H1108" s="78"/>
      <c r="I1108" s="78"/>
      <c r="J1108" s="78"/>
      <c r="K1108" s="78"/>
      <c r="L1108" s="78"/>
      <c r="M1108" s="78"/>
      <c r="N1108" s="78"/>
      <c r="O1108" s="78"/>
      <c r="P1108" s="78"/>
      <c r="Q1108" s="78"/>
      <c r="R1108" s="78"/>
      <c r="S1108" s="78"/>
      <c r="T1108" s="78"/>
      <c r="U1108" s="78"/>
      <c r="V1108" s="78"/>
      <c r="W1108" s="78"/>
      <c r="X1108" s="78"/>
      <c r="Y1108" s="78"/>
      <c r="Z1108" s="78"/>
    </row>
    <row r="1109">
      <c r="A1109" s="78"/>
      <c r="B1109" s="78"/>
      <c r="C1109" s="78"/>
      <c r="D1109" s="78"/>
      <c r="E1109" s="78"/>
      <c r="F1109" s="78"/>
      <c r="G1109" s="78"/>
      <c r="H1109" s="78"/>
      <c r="I1109" s="78"/>
      <c r="J1109" s="78"/>
      <c r="K1109" s="78"/>
      <c r="L1109" s="78"/>
      <c r="M1109" s="78"/>
      <c r="N1109" s="78"/>
      <c r="O1109" s="78"/>
      <c r="P1109" s="78"/>
      <c r="Q1109" s="78"/>
      <c r="R1109" s="78"/>
      <c r="S1109" s="78"/>
      <c r="T1109" s="78"/>
      <c r="U1109" s="78"/>
      <c r="V1109" s="78"/>
      <c r="W1109" s="78"/>
      <c r="X1109" s="78"/>
      <c r="Y1109" s="78"/>
      <c r="Z1109" s="78"/>
    </row>
    <row r="1110">
      <c r="A1110" s="78"/>
      <c r="B1110" s="78"/>
      <c r="C1110" s="78"/>
      <c r="D1110" s="78"/>
      <c r="E1110" s="78"/>
      <c r="F1110" s="78"/>
      <c r="G1110" s="78"/>
      <c r="H1110" s="78"/>
      <c r="I1110" s="78"/>
      <c r="J1110" s="78"/>
      <c r="K1110" s="78"/>
      <c r="L1110" s="78"/>
      <c r="M1110" s="78"/>
      <c r="N1110" s="78"/>
      <c r="O1110" s="78"/>
      <c r="P1110" s="78"/>
      <c r="Q1110" s="78"/>
      <c r="R1110" s="78"/>
      <c r="S1110" s="78"/>
      <c r="T1110" s="78"/>
      <c r="U1110" s="78"/>
      <c r="V1110" s="78"/>
      <c r="W1110" s="78"/>
      <c r="X1110" s="78"/>
      <c r="Y1110" s="78"/>
      <c r="Z1110" s="78"/>
    </row>
    <row r="1111">
      <c r="A1111" s="78"/>
      <c r="B1111" s="78"/>
      <c r="C1111" s="78"/>
      <c r="D1111" s="78"/>
      <c r="E1111" s="78"/>
      <c r="F1111" s="78"/>
      <c r="G1111" s="78"/>
      <c r="H1111" s="78"/>
      <c r="I1111" s="78"/>
      <c r="J1111" s="78"/>
      <c r="K1111" s="78"/>
      <c r="L1111" s="78"/>
      <c r="M1111" s="78"/>
      <c r="N1111" s="78"/>
      <c r="O1111" s="78"/>
      <c r="P1111" s="78"/>
      <c r="Q1111" s="78"/>
      <c r="R1111" s="78"/>
      <c r="S1111" s="78"/>
      <c r="T1111" s="78"/>
      <c r="U1111" s="78"/>
      <c r="V1111" s="78"/>
      <c r="W1111" s="78"/>
      <c r="X1111" s="78"/>
      <c r="Y1111" s="78"/>
      <c r="Z1111" s="78"/>
    </row>
    <row r="1112">
      <c r="A1112" s="78"/>
      <c r="B1112" s="78"/>
      <c r="C1112" s="78"/>
      <c r="D1112" s="78"/>
      <c r="E1112" s="78"/>
      <c r="F1112" s="78"/>
      <c r="G1112" s="78"/>
      <c r="H1112" s="78"/>
      <c r="I1112" s="78"/>
      <c r="J1112" s="78"/>
      <c r="K1112" s="78"/>
      <c r="L1112" s="78"/>
      <c r="M1112" s="78"/>
      <c r="N1112" s="78"/>
      <c r="O1112" s="78"/>
      <c r="P1112" s="78"/>
      <c r="Q1112" s="78"/>
      <c r="R1112" s="78"/>
      <c r="S1112" s="78"/>
      <c r="T1112" s="78"/>
      <c r="U1112" s="78"/>
      <c r="V1112" s="78"/>
      <c r="W1112" s="78"/>
      <c r="X1112" s="78"/>
      <c r="Y1112" s="78"/>
      <c r="Z1112" s="78"/>
    </row>
    <row r="1113">
      <c r="A1113" s="78"/>
      <c r="B1113" s="78"/>
      <c r="C1113" s="78"/>
      <c r="D1113" s="78"/>
      <c r="E1113" s="78"/>
      <c r="F1113" s="78"/>
      <c r="G1113" s="78"/>
      <c r="H1113" s="78"/>
      <c r="I1113" s="78"/>
      <c r="J1113" s="78"/>
      <c r="K1113" s="78"/>
      <c r="L1113" s="78"/>
      <c r="M1113" s="78"/>
      <c r="N1113" s="78"/>
      <c r="O1113" s="78"/>
      <c r="P1113" s="78"/>
      <c r="Q1113" s="78"/>
      <c r="R1113" s="78"/>
      <c r="S1113" s="78"/>
      <c r="T1113" s="78"/>
      <c r="U1113" s="78"/>
      <c r="V1113" s="78"/>
      <c r="W1113" s="78"/>
      <c r="X1113" s="78"/>
      <c r="Y1113" s="78"/>
      <c r="Z1113" s="78"/>
    </row>
    <row r="1114">
      <c r="A1114" s="78"/>
      <c r="B1114" s="78"/>
      <c r="C1114" s="78"/>
      <c r="D1114" s="78"/>
      <c r="E1114" s="78"/>
      <c r="F1114" s="78"/>
      <c r="G1114" s="78"/>
      <c r="H1114" s="78"/>
      <c r="I1114" s="78"/>
      <c r="J1114" s="78"/>
      <c r="K1114" s="78"/>
      <c r="L1114" s="78"/>
      <c r="M1114" s="78"/>
      <c r="N1114" s="78"/>
      <c r="O1114" s="78"/>
      <c r="P1114" s="78"/>
      <c r="Q1114" s="78"/>
      <c r="R1114" s="78"/>
      <c r="S1114" s="78"/>
      <c r="T1114" s="78"/>
      <c r="U1114" s="78"/>
      <c r="V1114" s="78"/>
      <c r="W1114" s="78"/>
      <c r="X1114" s="78"/>
      <c r="Y1114" s="78"/>
      <c r="Z1114" s="78"/>
    </row>
    <row r="1115">
      <c r="A1115" s="78"/>
      <c r="B1115" s="78"/>
      <c r="C1115" s="78"/>
      <c r="D1115" s="78"/>
      <c r="E1115" s="78"/>
      <c r="F1115" s="78"/>
      <c r="G1115" s="78"/>
      <c r="H1115" s="78"/>
      <c r="I1115" s="78"/>
      <c r="J1115" s="78"/>
      <c r="K1115" s="78"/>
      <c r="L1115" s="78"/>
      <c r="M1115" s="78"/>
      <c r="N1115" s="78"/>
      <c r="O1115" s="78"/>
      <c r="P1115" s="78"/>
      <c r="Q1115" s="78"/>
      <c r="R1115" s="78"/>
      <c r="S1115" s="78"/>
      <c r="T1115" s="78"/>
      <c r="U1115" s="78"/>
      <c r="V1115" s="78"/>
      <c r="W1115" s="78"/>
      <c r="X1115" s="78"/>
      <c r="Y1115" s="78"/>
      <c r="Z1115" s="78"/>
    </row>
    <row r="1116">
      <c r="A1116" s="78"/>
      <c r="B1116" s="78"/>
      <c r="C1116" s="78"/>
      <c r="D1116" s="78"/>
      <c r="E1116" s="78"/>
      <c r="F1116" s="78"/>
      <c r="G1116" s="78"/>
      <c r="H1116" s="78"/>
      <c r="I1116" s="78"/>
      <c r="J1116" s="78"/>
      <c r="K1116" s="78"/>
      <c r="L1116" s="78"/>
      <c r="M1116" s="78"/>
      <c r="N1116" s="78"/>
      <c r="O1116" s="78"/>
      <c r="P1116" s="78"/>
      <c r="Q1116" s="78"/>
      <c r="R1116" s="78"/>
      <c r="S1116" s="78"/>
      <c r="T1116" s="78"/>
      <c r="U1116" s="78"/>
      <c r="V1116" s="78"/>
      <c r="W1116" s="78"/>
      <c r="X1116" s="78"/>
      <c r="Y1116" s="78"/>
      <c r="Z1116" s="78"/>
    </row>
    <row r="1117">
      <c r="A1117" s="78"/>
      <c r="B1117" s="78"/>
      <c r="C1117" s="78"/>
      <c r="D1117" s="78"/>
      <c r="E1117" s="78"/>
      <c r="F1117" s="78"/>
      <c r="G1117" s="78"/>
      <c r="H1117" s="78"/>
      <c r="I1117" s="78"/>
      <c r="J1117" s="78"/>
      <c r="K1117" s="78"/>
      <c r="L1117" s="78"/>
      <c r="M1117" s="78"/>
      <c r="N1117" s="78"/>
      <c r="O1117" s="78"/>
      <c r="P1117" s="78"/>
      <c r="Q1117" s="78"/>
      <c r="R1117" s="78"/>
      <c r="S1117" s="78"/>
      <c r="T1117" s="78"/>
      <c r="U1117" s="78"/>
      <c r="V1117" s="78"/>
      <c r="W1117" s="78"/>
      <c r="X1117" s="78"/>
      <c r="Y1117" s="78"/>
      <c r="Z1117" s="78"/>
    </row>
    <row r="1118">
      <c r="A1118" s="78"/>
      <c r="B1118" s="78"/>
      <c r="C1118" s="78"/>
      <c r="D1118" s="78"/>
      <c r="E1118" s="78"/>
      <c r="F1118" s="78"/>
      <c r="G1118" s="78"/>
      <c r="H1118" s="78"/>
      <c r="I1118" s="78"/>
      <c r="J1118" s="78"/>
      <c r="K1118" s="78"/>
      <c r="L1118" s="78"/>
      <c r="M1118" s="78"/>
      <c r="N1118" s="78"/>
      <c r="O1118" s="78"/>
      <c r="P1118" s="78"/>
      <c r="Q1118" s="78"/>
      <c r="R1118" s="78"/>
      <c r="S1118" s="78"/>
      <c r="T1118" s="78"/>
      <c r="U1118" s="78"/>
      <c r="V1118" s="78"/>
      <c r="W1118" s="78"/>
      <c r="X1118" s="78"/>
      <c r="Y1118" s="78"/>
      <c r="Z1118" s="78"/>
    </row>
    <row r="1119">
      <c r="A1119" s="78"/>
      <c r="B1119" s="78"/>
      <c r="C1119" s="78"/>
      <c r="D1119" s="78"/>
      <c r="E1119" s="78"/>
      <c r="F1119" s="78"/>
      <c r="G1119" s="78"/>
      <c r="H1119" s="78"/>
      <c r="I1119" s="78"/>
      <c r="J1119" s="78"/>
      <c r="K1119" s="78"/>
      <c r="L1119" s="78"/>
      <c r="M1119" s="78"/>
      <c r="N1119" s="78"/>
      <c r="O1119" s="78"/>
      <c r="P1119" s="78"/>
      <c r="Q1119" s="78"/>
      <c r="R1119" s="78"/>
      <c r="S1119" s="78"/>
      <c r="T1119" s="78"/>
      <c r="U1119" s="78"/>
      <c r="V1119" s="78"/>
      <c r="W1119" s="78"/>
      <c r="X1119" s="78"/>
      <c r="Y1119" s="78"/>
      <c r="Z1119" s="78"/>
    </row>
    <row r="1120">
      <c r="A1120" s="78"/>
      <c r="B1120" s="78"/>
      <c r="C1120" s="78"/>
      <c r="D1120" s="78"/>
      <c r="E1120" s="78"/>
      <c r="F1120" s="78"/>
      <c r="G1120" s="78"/>
      <c r="H1120" s="78"/>
      <c r="I1120" s="78"/>
      <c r="J1120" s="78"/>
      <c r="K1120" s="78"/>
      <c r="L1120" s="78"/>
      <c r="M1120" s="78"/>
      <c r="N1120" s="78"/>
      <c r="O1120" s="78"/>
      <c r="P1120" s="78"/>
      <c r="Q1120" s="78"/>
      <c r="R1120" s="78"/>
      <c r="S1120" s="78"/>
      <c r="T1120" s="78"/>
      <c r="U1120" s="78"/>
      <c r="V1120" s="78"/>
      <c r="W1120" s="78"/>
      <c r="X1120" s="78"/>
      <c r="Y1120" s="78"/>
      <c r="Z1120" s="78"/>
    </row>
    <row r="1121">
      <c r="A1121" s="78"/>
      <c r="B1121" s="78"/>
      <c r="C1121" s="78"/>
      <c r="D1121" s="78"/>
      <c r="E1121" s="78"/>
      <c r="F1121" s="78"/>
      <c r="G1121" s="78"/>
      <c r="H1121" s="78"/>
      <c r="I1121" s="78"/>
      <c r="J1121" s="78"/>
      <c r="K1121" s="78"/>
      <c r="L1121" s="78"/>
      <c r="M1121" s="78"/>
      <c r="N1121" s="78"/>
      <c r="O1121" s="78"/>
      <c r="P1121" s="78"/>
      <c r="Q1121" s="78"/>
      <c r="R1121" s="78"/>
      <c r="S1121" s="78"/>
      <c r="T1121" s="78"/>
      <c r="U1121" s="78"/>
      <c r="V1121" s="78"/>
      <c r="W1121" s="78"/>
      <c r="X1121" s="78"/>
      <c r="Y1121" s="78"/>
      <c r="Z1121" s="78"/>
    </row>
    <row r="1122">
      <c r="A1122" s="78"/>
      <c r="B1122" s="78"/>
      <c r="C1122" s="78"/>
      <c r="D1122" s="78"/>
      <c r="E1122" s="78"/>
      <c r="F1122" s="78"/>
      <c r="G1122" s="78"/>
      <c r="H1122" s="78"/>
      <c r="I1122" s="78"/>
      <c r="J1122" s="78"/>
      <c r="K1122" s="78"/>
      <c r="L1122" s="78"/>
      <c r="M1122" s="78"/>
      <c r="N1122" s="78"/>
      <c r="O1122" s="78"/>
      <c r="P1122" s="78"/>
      <c r="Q1122" s="78"/>
      <c r="R1122" s="78"/>
      <c r="S1122" s="78"/>
      <c r="T1122" s="78"/>
      <c r="U1122" s="78"/>
      <c r="V1122" s="78"/>
      <c r="W1122" s="78"/>
      <c r="X1122" s="78"/>
      <c r="Y1122" s="78"/>
      <c r="Z1122" s="78"/>
    </row>
    <row r="1123">
      <c r="A1123" s="78"/>
      <c r="B1123" s="78"/>
      <c r="C1123" s="78"/>
      <c r="D1123" s="78"/>
      <c r="E1123" s="78"/>
      <c r="F1123" s="78"/>
      <c r="G1123" s="78"/>
      <c r="H1123" s="78"/>
      <c r="I1123" s="78"/>
      <c r="J1123" s="78"/>
      <c r="K1123" s="78"/>
      <c r="L1123" s="78"/>
      <c r="M1123" s="78"/>
      <c r="N1123" s="78"/>
      <c r="O1123" s="78"/>
      <c r="P1123" s="78"/>
      <c r="Q1123" s="78"/>
      <c r="R1123" s="78"/>
      <c r="S1123" s="78"/>
      <c r="T1123" s="78"/>
      <c r="U1123" s="78"/>
      <c r="V1123" s="78"/>
      <c r="W1123" s="78"/>
      <c r="X1123" s="78"/>
      <c r="Y1123" s="78"/>
      <c r="Z1123" s="78"/>
    </row>
    <row r="1124">
      <c r="A1124" s="78"/>
      <c r="B1124" s="78"/>
      <c r="C1124" s="78"/>
      <c r="D1124" s="78"/>
      <c r="E1124" s="78"/>
      <c r="F1124" s="78"/>
      <c r="G1124" s="78"/>
      <c r="H1124" s="78"/>
      <c r="I1124" s="78"/>
      <c r="J1124" s="78"/>
      <c r="K1124" s="78"/>
      <c r="L1124" s="78"/>
      <c r="M1124" s="78"/>
      <c r="N1124" s="78"/>
      <c r="O1124" s="78"/>
      <c r="P1124" s="78"/>
      <c r="Q1124" s="78"/>
      <c r="R1124" s="78"/>
      <c r="S1124" s="78"/>
      <c r="T1124" s="78"/>
      <c r="U1124" s="78"/>
      <c r="V1124" s="78"/>
      <c r="W1124" s="78"/>
      <c r="X1124" s="78"/>
      <c r="Y1124" s="78"/>
      <c r="Z1124" s="78"/>
    </row>
    <row r="1125">
      <c r="A1125" s="78"/>
      <c r="B1125" s="78"/>
      <c r="C1125" s="78"/>
      <c r="D1125" s="78"/>
      <c r="E1125" s="78"/>
      <c r="F1125" s="78"/>
      <c r="G1125" s="78"/>
      <c r="H1125" s="78"/>
      <c r="I1125" s="78"/>
      <c r="J1125" s="78"/>
      <c r="K1125" s="78"/>
      <c r="L1125" s="78"/>
      <c r="M1125" s="78"/>
      <c r="N1125" s="78"/>
      <c r="O1125" s="78"/>
      <c r="P1125" s="78"/>
      <c r="Q1125" s="78"/>
      <c r="R1125" s="78"/>
      <c r="S1125" s="78"/>
      <c r="T1125" s="78"/>
      <c r="U1125" s="78"/>
      <c r="V1125" s="78"/>
      <c r="W1125" s="78"/>
      <c r="X1125" s="78"/>
      <c r="Y1125" s="78"/>
      <c r="Z1125" s="78"/>
    </row>
    <row r="1126">
      <c r="A1126" s="78"/>
      <c r="B1126" s="78"/>
      <c r="C1126" s="78"/>
      <c r="D1126" s="78"/>
      <c r="E1126" s="78"/>
      <c r="F1126" s="78"/>
      <c r="G1126" s="78"/>
      <c r="H1126" s="78"/>
      <c r="I1126" s="78"/>
      <c r="J1126" s="78"/>
      <c r="K1126" s="78"/>
      <c r="L1126" s="78"/>
      <c r="M1126" s="78"/>
      <c r="N1126" s="78"/>
      <c r="O1126" s="78"/>
      <c r="P1126" s="78"/>
      <c r="Q1126" s="78"/>
      <c r="R1126" s="78"/>
      <c r="S1126" s="78"/>
      <c r="T1126" s="78"/>
      <c r="U1126" s="78"/>
      <c r="V1126" s="78"/>
      <c r="W1126" s="78"/>
      <c r="X1126" s="78"/>
      <c r="Y1126" s="78"/>
      <c r="Z1126" s="78"/>
    </row>
    <row r="1127">
      <c r="A1127" s="78"/>
      <c r="B1127" s="78"/>
      <c r="C1127" s="78"/>
      <c r="D1127" s="78"/>
      <c r="E1127" s="78"/>
      <c r="F1127" s="78"/>
      <c r="G1127" s="78"/>
      <c r="H1127" s="78"/>
      <c r="I1127" s="78"/>
      <c r="J1127" s="78"/>
      <c r="K1127" s="78"/>
      <c r="L1127" s="78"/>
      <c r="M1127" s="78"/>
      <c r="N1127" s="78"/>
      <c r="O1127" s="78"/>
      <c r="P1127" s="78"/>
      <c r="Q1127" s="78"/>
      <c r="R1127" s="78"/>
      <c r="S1127" s="78"/>
      <c r="T1127" s="78"/>
      <c r="U1127" s="78"/>
      <c r="V1127" s="78"/>
      <c r="W1127" s="78"/>
      <c r="X1127" s="78"/>
      <c r="Y1127" s="78"/>
      <c r="Z1127" s="78"/>
    </row>
    <row r="1128">
      <c r="A1128" s="78"/>
      <c r="B1128" s="78"/>
      <c r="C1128" s="78"/>
      <c r="D1128" s="78"/>
      <c r="E1128" s="78"/>
      <c r="F1128" s="78"/>
      <c r="G1128" s="78"/>
      <c r="H1128" s="78"/>
      <c r="I1128" s="78"/>
      <c r="J1128" s="78"/>
      <c r="K1128" s="78"/>
      <c r="L1128" s="78"/>
      <c r="M1128" s="78"/>
      <c r="N1128" s="78"/>
      <c r="O1128" s="78"/>
      <c r="P1128" s="78"/>
      <c r="Q1128" s="78"/>
      <c r="R1128" s="78"/>
      <c r="S1128" s="78"/>
      <c r="T1128" s="78"/>
      <c r="U1128" s="78"/>
      <c r="V1128" s="78"/>
      <c r="W1128" s="78"/>
      <c r="X1128" s="78"/>
      <c r="Y1128" s="78"/>
      <c r="Z1128" s="78"/>
    </row>
    <row r="1129">
      <c r="A1129" s="78"/>
      <c r="B1129" s="78"/>
      <c r="C1129" s="78"/>
      <c r="D1129" s="78"/>
      <c r="E1129" s="78"/>
      <c r="F1129" s="78"/>
      <c r="G1129" s="78"/>
      <c r="H1129" s="78"/>
      <c r="I1129" s="78"/>
      <c r="J1129" s="78"/>
      <c r="K1129" s="78"/>
      <c r="L1129" s="78"/>
      <c r="M1129" s="78"/>
      <c r="N1129" s="78"/>
      <c r="O1129" s="78"/>
      <c r="P1129" s="78"/>
      <c r="Q1129" s="78"/>
      <c r="R1129" s="78"/>
      <c r="S1129" s="78"/>
      <c r="T1129" s="78"/>
      <c r="U1129" s="78"/>
      <c r="V1129" s="78"/>
      <c r="W1129" s="78"/>
      <c r="X1129" s="78"/>
      <c r="Y1129" s="78"/>
      <c r="Z1129" s="78"/>
    </row>
    <row r="1130">
      <c r="A1130" s="78"/>
      <c r="B1130" s="78"/>
      <c r="C1130" s="78"/>
      <c r="D1130" s="78"/>
      <c r="E1130" s="78"/>
      <c r="F1130" s="78"/>
      <c r="G1130" s="78"/>
      <c r="H1130" s="78"/>
      <c r="I1130" s="78"/>
      <c r="J1130" s="78"/>
      <c r="K1130" s="78"/>
      <c r="L1130" s="78"/>
      <c r="M1130" s="78"/>
      <c r="N1130" s="78"/>
      <c r="O1130" s="78"/>
      <c r="P1130" s="78"/>
      <c r="Q1130" s="78"/>
      <c r="R1130" s="78"/>
      <c r="S1130" s="78"/>
      <c r="T1130" s="78"/>
      <c r="U1130" s="78"/>
      <c r="V1130" s="78"/>
      <c r="W1130" s="78"/>
      <c r="X1130" s="78"/>
      <c r="Y1130" s="78"/>
      <c r="Z1130" s="78"/>
    </row>
    <row r="1131">
      <c r="A1131" s="78"/>
      <c r="B1131" s="78"/>
      <c r="C1131" s="78"/>
      <c r="D1131" s="78"/>
      <c r="E1131" s="78"/>
      <c r="F1131" s="78"/>
      <c r="G1131" s="78"/>
      <c r="H1131" s="78"/>
      <c r="I1131" s="78"/>
      <c r="J1131" s="78"/>
      <c r="K1131" s="78"/>
      <c r="L1131" s="78"/>
      <c r="M1131" s="78"/>
      <c r="N1131" s="78"/>
      <c r="O1131" s="78"/>
      <c r="P1131" s="78"/>
      <c r="Q1131" s="78"/>
      <c r="R1131" s="78"/>
      <c r="S1131" s="78"/>
      <c r="T1131" s="78"/>
      <c r="U1131" s="78"/>
      <c r="V1131" s="78"/>
      <c r="W1131" s="78"/>
      <c r="X1131" s="78"/>
      <c r="Y1131" s="78"/>
      <c r="Z1131" s="78"/>
    </row>
    <row r="1132">
      <c r="A1132" s="78"/>
      <c r="B1132" s="78"/>
      <c r="C1132" s="78"/>
      <c r="D1132" s="78"/>
      <c r="E1132" s="78"/>
      <c r="F1132" s="78"/>
      <c r="G1132" s="78"/>
      <c r="H1132" s="78"/>
      <c r="I1132" s="78"/>
      <c r="J1132" s="78"/>
      <c r="K1132" s="78"/>
      <c r="L1132" s="78"/>
      <c r="M1132" s="78"/>
      <c r="N1132" s="78"/>
      <c r="O1132" s="78"/>
      <c r="P1132" s="78"/>
      <c r="Q1132" s="78"/>
      <c r="R1132" s="78"/>
      <c r="S1132" s="78"/>
      <c r="T1132" s="78"/>
      <c r="U1132" s="78"/>
      <c r="V1132" s="78"/>
      <c r="W1132" s="78"/>
      <c r="X1132" s="78"/>
      <c r="Y1132" s="78"/>
      <c r="Z1132" s="78"/>
    </row>
    <row r="1133">
      <c r="A1133" s="78"/>
      <c r="B1133" s="78"/>
      <c r="C1133" s="78"/>
      <c r="D1133" s="78"/>
      <c r="E1133" s="78"/>
      <c r="F1133" s="78"/>
      <c r="G1133" s="78"/>
      <c r="H1133" s="78"/>
      <c r="I1133" s="78"/>
      <c r="J1133" s="78"/>
      <c r="K1133" s="78"/>
      <c r="L1133" s="78"/>
      <c r="M1133" s="78"/>
      <c r="N1133" s="78"/>
      <c r="O1133" s="78"/>
      <c r="P1133" s="78"/>
      <c r="Q1133" s="78"/>
      <c r="R1133" s="78"/>
      <c r="S1133" s="78"/>
      <c r="T1133" s="78"/>
      <c r="U1133" s="78"/>
      <c r="V1133" s="78"/>
      <c r="W1133" s="78"/>
      <c r="X1133" s="78"/>
      <c r="Y1133" s="78"/>
      <c r="Z1133" s="78"/>
    </row>
    <row r="1134">
      <c r="A1134" s="78"/>
      <c r="B1134" s="78"/>
      <c r="C1134" s="78"/>
      <c r="D1134" s="78"/>
      <c r="E1134" s="78"/>
      <c r="F1134" s="78"/>
      <c r="G1134" s="78"/>
      <c r="H1134" s="78"/>
      <c r="I1134" s="78"/>
      <c r="J1134" s="78"/>
      <c r="K1134" s="78"/>
      <c r="L1134" s="78"/>
      <c r="M1134" s="78"/>
      <c r="N1134" s="78"/>
      <c r="O1134" s="78"/>
      <c r="P1134" s="78"/>
      <c r="Q1134" s="78"/>
      <c r="R1134" s="78"/>
      <c r="S1134" s="78"/>
      <c r="T1134" s="78"/>
      <c r="U1134" s="78"/>
      <c r="V1134" s="78"/>
      <c r="W1134" s="78"/>
      <c r="X1134" s="78"/>
      <c r="Y1134" s="78"/>
      <c r="Z1134" s="78"/>
    </row>
    <row r="1135">
      <c r="A1135" s="78"/>
      <c r="B1135" s="78"/>
      <c r="C1135" s="78"/>
      <c r="D1135" s="78"/>
      <c r="E1135" s="78"/>
      <c r="F1135" s="78"/>
      <c r="G1135" s="78"/>
      <c r="H1135" s="78"/>
      <c r="I1135" s="78"/>
      <c r="J1135" s="78"/>
      <c r="K1135" s="78"/>
      <c r="L1135" s="78"/>
      <c r="M1135" s="78"/>
      <c r="N1135" s="78"/>
      <c r="O1135" s="78"/>
      <c r="P1135" s="78"/>
      <c r="Q1135" s="78"/>
      <c r="R1135" s="78"/>
      <c r="S1135" s="78"/>
      <c r="T1135" s="78"/>
      <c r="U1135" s="78"/>
      <c r="V1135" s="78"/>
      <c r="W1135" s="78"/>
      <c r="X1135" s="78"/>
      <c r="Y1135" s="78"/>
      <c r="Z1135" s="78"/>
    </row>
    <row r="1136">
      <c r="A1136" s="78"/>
      <c r="B1136" s="78"/>
      <c r="C1136" s="78"/>
      <c r="D1136" s="78"/>
      <c r="E1136" s="78"/>
      <c r="F1136" s="78"/>
      <c r="G1136" s="78"/>
      <c r="H1136" s="78"/>
      <c r="I1136" s="78"/>
      <c r="J1136" s="78"/>
      <c r="K1136" s="78"/>
      <c r="L1136" s="78"/>
      <c r="M1136" s="78"/>
      <c r="N1136" s="78"/>
      <c r="O1136" s="78"/>
      <c r="P1136" s="78"/>
      <c r="Q1136" s="78"/>
      <c r="R1136" s="78"/>
      <c r="S1136" s="78"/>
      <c r="T1136" s="78"/>
      <c r="U1136" s="78"/>
      <c r="V1136" s="78"/>
      <c r="W1136" s="78"/>
      <c r="X1136" s="78"/>
      <c r="Y1136" s="78"/>
      <c r="Z1136" s="78"/>
    </row>
    <row r="1137">
      <c r="A1137" s="78"/>
      <c r="B1137" s="78"/>
      <c r="C1137" s="78"/>
      <c r="D1137" s="78"/>
      <c r="E1137" s="78"/>
      <c r="F1137" s="78"/>
      <c r="G1137" s="78"/>
      <c r="H1137" s="78"/>
      <c r="I1137" s="78"/>
      <c r="J1137" s="78"/>
      <c r="K1137" s="78"/>
      <c r="L1137" s="78"/>
      <c r="M1137" s="78"/>
      <c r="N1137" s="78"/>
      <c r="O1137" s="78"/>
      <c r="P1137" s="78"/>
      <c r="Q1137" s="78"/>
      <c r="R1137" s="78"/>
      <c r="S1137" s="78"/>
      <c r="T1137" s="78"/>
      <c r="U1137" s="78"/>
      <c r="V1137" s="78"/>
      <c r="W1137" s="78"/>
      <c r="X1137" s="78"/>
      <c r="Y1137" s="78"/>
      <c r="Z1137" s="78"/>
    </row>
    <row r="1138">
      <c r="A1138" s="78"/>
      <c r="B1138" s="78"/>
      <c r="C1138" s="78"/>
      <c r="D1138" s="78"/>
      <c r="E1138" s="78"/>
      <c r="F1138" s="78"/>
      <c r="G1138" s="78"/>
      <c r="H1138" s="78"/>
      <c r="I1138" s="78"/>
      <c r="J1138" s="78"/>
      <c r="K1138" s="78"/>
      <c r="L1138" s="78"/>
      <c r="M1138" s="78"/>
      <c r="N1138" s="78"/>
      <c r="O1138" s="78"/>
      <c r="P1138" s="78"/>
      <c r="Q1138" s="78"/>
      <c r="R1138" s="78"/>
      <c r="S1138" s="78"/>
      <c r="T1138" s="78"/>
      <c r="U1138" s="78"/>
      <c r="V1138" s="78"/>
      <c r="W1138" s="78"/>
      <c r="X1138" s="78"/>
      <c r="Y1138" s="78"/>
      <c r="Z1138" s="78"/>
    </row>
    <row r="1139">
      <c r="A1139" s="78"/>
      <c r="B1139" s="78"/>
      <c r="C1139" s="78"/>
      <c r="D1139" s="78"/>
      <c r="E1139" s="78"/>
      <c r="F1139" s="78"/>
      <c r="G1139" s="78"/>
      <c r="H1139" s="78"/>
      <c r="I1139" s="78"/>
      <c r="J1139" s="78"/>
      <c r="K1139" s="78"/>
      <c r="L1139" s="78"/>
      <c r="M1139" s="78"/>
      <c r="N1139" s="78"/>
      <c r="O1139" s="78"/>
      <c r="P1139" s="78"/>
      <c r="Q1139" s="78"/>
      <c r="R1139" s="78"/>
      <c r="S1139" s="78"/>
      <c r="T1139" s="78"/>
      <c r="U1139" s="78"/>
      <c r="V1139" s="78"/>
      <c r="W1139" s="78"/>
      <c r="X1139" s="78"/>
      <c r="Y1139" s="78"/>
      <c r="Z1139" s="78"/>
    </row>
    <row r="1140">
      <c r="A1140" s="78"/>
      <c r="B1140" s="78"/>
      <c r="C1140" s="78"/>
      <c r="D1140" s="78"/>
      <c r="E1140" s="78"/>
      <c r="F1140" s="78"/>
      <c r="G1140" s="78"/>
      <c r="H1140" s="78"/>
      <c r="I1140" s="78"/>
      <c r="J1140" s="78"/>
      <c r="K1140" s="78"/>
      <c r="L1140" s="78"/>
      <c r="M1140" s="78"/>
      <c r="N1140" s="78"/>
      <c r="O1140" s="78"/>
      <c r="P1140" s="78"/>
      <c r="Q1140" s="78"/>
      <c r="R1140" s="78"/>
      <c r="S1140" s="78"/>
      <c r="T1140" s="78"/>
      <c r="U1140" s="78"/>
      <c r="V1140" s="78"/>
      <c r="W1140" s="78"/>
      <c r="X1140" s="78"/>
      <c r="Y1140" s="78"/>
      <c r="Z1140" s="78"/>
    </row>
    <row r="1141">
      <c r="A1141" s="78"/>
      <c r="B1141" s="78"/>
      <c r="C1141" s="78"/>
      <c r="D1141" s="78"/>
      <c r="E1141" s="78"/>
      <c r="F1141" s="78"/>
      <c r="G1141" s="78"/>
      <c r="H1141" s="78"/>
      <c r="I1141" s="78"/>
      <c r="J1141" s="78"/>
      <c r="K1141" s="78"/>
      <c r="L1141" s="78"/>
      <c r="M1141" s="78"/>
      <c r="N1141" s="78"/>
      <c r="O1141" s="78"/>
      <c r="P1141" s="78"/>
      <c r="Q1141" s="78"/>
      <c r="R1141" s="78"/>
      <c r="S1141" s="78"/>
      <c r="T1141" s="78"/>
      <c r="U1141" s="78"/>
      <c r="V1141" s="78"/>
      <c r="W1141" s="78"/>
      <c r="X1141" s="78"/>
      <c r="Y1141" s="78"/>
      <c r="Z1141" s="78"/>
    </row>
    <row r="1142">
      <c r="A1142" s="78"/>
      <c r="B1142" s="78"/>
      <c r="C1142" s="78"/>
      <c r="D1142" s="78"/>
      <c r="E1142" s="78"/>
      <c r="F1142" s="78"/>
      <c r="G1142" s="78"/>
      <c r="H1142" s="78"/>
      <c r="I1142" s="78"/>
      <c r="J1142" s="78"/>
      <c r="K1142" s="78"/>
      <c r="L1142" s="78"/>
      <c r="M1142" s="78"/>
      <c r="N1142" s="78"/>
      <c r="O1142" s="78"/>
      <c r="P1142" s="78"/>
      <c r="Q1142" s="78"/>
      <c r="R1142" s="78"/>
      <c r="S1142" s="78"/>
      <c r="T1142" s="78"/>
      <c r="U1142" s="78"/>
      <c r="V1142" s="78"/>
      <c r="W1142" s="78"/>
      <c r="X1142" s="78"/>
      <c r="Y1142" s="78"/>
      <c r="Z1142" s="78"/>
    </row>
    <row r="1143">
      <c r="A1143" s="78"/>
      <c r="B1143" s="78"/>
      <c r="C1143" s="78"/>
      <c r="D1143" s="78"/>
      <c r="E1143" s="78"/>
      <c r="F1143" s="78"/>
      <c r="G1143" s="78"/>
      <c r="H1143" s="78"/>
      <c r="I1143" s="78"/>
      <c r="J1143" s="78"/>
      <c r="K1143" s="78"/>
      <c r="L1143" s="78"/>
      <c r="M1143" s="78"/>
      <c r="N1143" s="78"/>
      <c r="O1143" s="78"/>
      <c r="P1143" s="78"/>
      <c r="Q1143" s="78"/>
      <c r="R1143" s="78"/>
      <c r="S1143" s="78"/>
      <c r="T1143" s="78"/>
      <c r="U1143" s="78"/>
      <c r="V1143" s="78"/>
      <c r="W1143" s="78"/>
      <c r="X1143" s="78"/>
      <c r="Y1143" s="78"/>
      <c r="Z1143" s="78"/>
    </row>
    <row r="1144">
      <c r="A1144" s="78"/>
      <c r="B1144" s="78"/>
      <c r="C1144" s="78"/>
      <c r="D1144" s="78"/>
      <c r="E1144" s="78"/>
      <c r="F1144" s="78"/>
      <c r="G1144" s="78"/>
      <c r="H1144" s="78"/>
      <c r="I1144" s="78"/>
      <c r="J1144" s="78"/>
      <c r="K1144" s="78"/>
      <c r="L1144" s="78"/>
      <c r="M1144" s="78"/>
      <c r="N1144" s="78"/>
      <c r="O1144" s="78"/>
      <c r="P1144" s="78"/>
      <c r="Q1144" s="78"/>
      <c r="R1144" s="78"/>
      <c r="S1144" s="78"/>
      <c r="T1144" s="78"/>
      <c r="U1144" s="78"/>
      <c r="V1144" s="78"/>
      <c r="W1144" s="78"/>
      <c r="X1144" s="78"/>
      <c r="Y1144" s="78"/>
      <c r="Z1144" s="78"/>
    </row>
    <row r="1145">
      <c r="A1145" s="78"/>
      <c r="B1145" s="78"/>
      <c r="C1145" s="78"/>
      <c r="D1145" s="78"/>
      <c r="E1145" s="78"/>
      <c r="F1145" s="78"/>
      <c r="G1145" s="78"/>
      <c r="H1145" s="78"/>
      <c r="I1145" s="78"/>
      <c r="J1145" s="78"/>
      <c r="K1145" s="78"/>
      <c r="L1145" s="78"/>
      <c r="M1145" s="78"/>
      <c r="N1145" s="78"/>
      <c r="O1145" s="78"/>
      <c r="P1145" s="78"/>
      <c r="Q1145" s="78"/>
      <c r="R1145" s="78"/>
      <c r="S1145" s="78"/>
      <c r="T1145" s="78"/>
      <c r="U1145" s="78"/>
      <c r="V1145" s="78"/>
      <c r="W1145" s="78"/>
      <c r="X1145" s="78"/>
      <c r="Y1145" s="78"/>
      <c r="Z1145" s="78"/>
    </row>
    <row r="1146">
      <c r="A1146" s="78"/>
      <c r="B1146" s="78"/>
      <c r="C1146" s="78"/>
      <c r="D1146" s="78"/>
      <c r="E1146" s="78"/>
      <c r="F1146" s="78"/>
      <c r="G1146" s="78"/>
      <c r="H1146" s="78"/>
      <c r="I1146" s="78"/>
      <c r="J1146" s="78"/>
      <c r="K1146" s="78"/>
      <c r="L1146" s="78"/>
      <c r="M1146" s="78"/>
      <c r="N1146" s="78"/>
      <c r="O1146" s="78"/>
      <c r="P1146" s="78"/>
      <c r="Q1146" s="78"/>
      <c r="R1146" s="78"/>
      <c r="S1146" s="78"/>
      <c r="T1146" s="78"/>
      <c r="U1146" s="78"/>
      <c r="V1146" s="78"/>
      <c r="W1146" s="78"/>
      <c r="X1146" s="78"/>
      <c r="Y1146" s="78"/>
      <c r="Z1146" s="78"/>
    </row>
    <row r="1147">
      <c r="A1147" s="78"/>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row>
    <row r="1148">
      <c r="A1148" s="78"/>
      <c r="B1148" s="78"/>
      <c r="C1148" s="78"/>
      <c r="D1148" s="78"/>
      <c r="E1148" s="78"/>
      <c r="F1148" s="78"/>
      <c r="G1148" s="78"/>
      <c r="H1148" s="78"/>
      <c r="I1148" s="78"/>
      <c r="J1148" s="78"/>
      <c r="K1148" s="78"/>
      <c r="L1148" s="78"/>
      <c r="M1148" s="78"/>
      <c r="N1148" s="78"/>
      <c r="O1148" s="78"/>
      <c r="P1148" s="78"/>
      <c r="Q1148" s="78"/>
      <c r="R1148" s="78"/>
      <c r="S1148" s="78"/>
      <c r="T1148" s="78"/>
      <c r="U1148" s="78"/>
      <c r="V1148" s="78"/>
      <c r="W1148" s="78"/>
      <c r="X1148" s="78"/>
      <c r="Y1148" s="78"/>
      <c r="Z1148" s="78"/>
    </row>
    <row r="1149">
      <c r="A1149" s="78"/>
      <c r="B1149" s="78"/>
      <c r="C1149" s="78"/>
      <c r="D1149" s="78"/>
      <c r="E1149" s="78"/>
      <c r="F1149" s="78"/>
      <c r="G1149" s="78"/>
      <c r="H1149" s="78"/>
      <c r="I1149" s="78"/>
      <c r="J1149" s="78"/>
      <c r="K1149" s="78"/>
      <c r="L1149" s="78"/>
      <c r="M1149" s="78"/>
      <c r="N1149" s="78"/>
      <c r="O1149" s="78"/>
      <c r="P1149" s="78"/>
      <c r="Q1149" s="78"/>
      <c r="R1149" s="78"/>
      <c r="S1149" s="78"/>
      <c r="T1149" s="78"/>
      <c r="U1149" s="78"/>
      <c r="V1149" s="78"/>
      <c r="W1149" s="78"/>
      <c r="X1149" s="78"/>
      <c r="Y1149" s="78"/>
      <c r="Z1149" s="78"/>
    </row>
    <row r="1150">
      <c r="A1150" s="78"/>
      <c r="B1150" s="78"/>
      <c r="C1150" s="78"/>
      <c r="D1150" s="78"/>
      <c r="E1150" s="78"/>
      <c r="F1150" s="78"/>
      <c r="G1150" s="78"/>
      <c r="H1150" s="78"/>
      <c r="I1150" s="78"/>
      <c r="J1150" s="78"/>
      <c r="K1150" s="78"/>
      <c r="L1150" s="78"/>
      <c r="M1150" s="78"/>
      <c r="N1150" s="78"/>
      <c r="O1150" s="78"/>
      <c r="P1150" s="78"/>
      <c r="Q1150" s="78"/>
      <c r="R1150" s="78"/>
      <c r="S1150" s="78"/>
      <c r="T1150" s="78"/>
      <c r="U1150" s="78"/>
      <c r="V1150" s="78"/>
      <c r="W1150" s="78"/>
      <c r="X1150" s="78"/>
      <c r="Y1150" s="78"/>
      <c r="Z1150" s="78"/>
    </row>
    <row r="1151">
      <c r="A1151" s="78"/>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row>
    <row r="1152">
      <c r="A1152" s="78"/>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row>
    <row r="1153">
      <c r="A1153" s="78"/>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row>
    <row r="1154">
      <c r="A1154" s="78"/>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row>
    <row r="1155">
      <c r="A1155" s="78"/>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row>
    <row r="1156">
      <c r="A1156" s="78"/>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row>
    <row r="1157">
      <c r="A1157" s="78"/>
      <c r="B1157" s="78"/>
      <c r="C1157" s="78"/>
      <c r="D1157" s="78"/>
      <c r="E1157" s="78"/>
      <c r="F1157" s="78"/>
      <c r="G1157" s="78"/>
      <c r="H1157" s="78"/>
      <c r="I1157" s="78"/>
      <c r="J1157" s="78"/>
      <c r="K1157" s="78"/>
      <c r="L1157" s="78"/>
      <c r="M1157" s="78"/>
      <c r="N1157" s="78"/>
      <c r="O1157" s="78"/>
      <c r="P1157" s="78"/>
      <c r="Q1157" s="78"/>
      <c r="R1157" s="78"/>
      <c r="S1157" s="78"/>
      <c r="T1157" s="78"/>
      <c r="U1157" s="78"/>
      <c r="V1157" s="78"/>
      <c r="W1157" s="78"/>
      <c r="X1157" s="78"/>
      <c r="Y1157" s="78"/>
      <c r="Z1157" s="78"/>
    </row>
    <row r="1158">
      <c r="A1158" s="78"/>
      <c r="B1158" s="78"/>
      <c r="C1158" s="78"/>
      <c r="D1158" s="78"/>
      <c r="E1158" s="78"/>
      <c r="F1158" s="78"/>
      <c r="G1158" s="78"/>
      <c r="H1158" s="78"/>
      <c r="I1158" s="78"/>
      <c r="J1158" s="78"/>
      <c r="K1158" s="78"/>
      <c r="L1158" s="78"/>
      <c r="M1158" s="78"/>
      <c r="N1158" s="78"/>
      <c r="O1158" s="78"/>
      <c r="P1158" s="78"/>
      <c r="Q1158" s="78"/>
      <c r="R1158" s="78"/>
      <c r="S1158" s="78"/>
      <c r="T1158" s="78"/>
      <c r="U1158" s="78"/>
      <c r="V1158" s="78"/>
      <c r="W1158" s="78"/>
      <c r="X1158" s="78"/>
      <c r="Y1158" s="78"/>
      <c r="Z1158" s="78"/>
    </row>
    <row r="1159">
      <c r="A1159" s="78"/>
      <c r="B1159" s="78"/>
      <c r="C1159" s="78"/>
      <c r="D1159" s="78"/>
      <c r="E1159" s="78"/>
      <c r="F1159" s="78"/>
      <c r="G1159" s="78"/>
      <c r="H1159" s="78"/>
      <c r="I1159" s="78"/>
      <c r="J1159" s="78"/>
      <c r="K1159" s="78"/>
      <c r="L1159" s="78"/>
      <c r="M1159" s="78"/>
      <c r="N1159" s="78"/>
      <c r="O1159" s="78"/>
      <c r="P1159" s="78"/>
      <c r="Q1159" s="78"/>
      <c r="R1159" s="78"/>
      <c r="S1159" s="78"/>
      <c r="T1159" s="78"/>
      <c r="U1159" s="78"/>
      <c r="V1159" s="78"/>
      <c r="W1159" s="78"/>
      <c r="X1159" s="78"/>
      <c r="Y1159" s="78"/>
      <c r="Z1159" s="78"/>
    </row>
    <row r="1160">
      <c r="A1160" s="78"/>
      <c r="B1160" s="78"/>
      <c r="C1160" s="78"/>
      <c r="D1160" s="78"/>
      <c r="E1160" s="78"/>
      <c r="F1160" s="78"/>
      <c r="G1160" s="78"/>
      <c r="H1160" s="78"/>
      <c r="I1160" s="78"/>
      <c r="J1160" s="78"/>
      <c r="K1160" s="78"/>
      <c r="L1160" s="78"/>
      <c r="M1160" s="78"/>
      <c r="N1160" s="78"/>
      <c r="O1160" s="78"/>
      <c r="P1160" s="78"/>
      <c r="Q1160" s="78"/>
      <c r="R1160" s="78"/>
      <c r="S1160" s="78"/>
      <c r="T1160" s="78"/>
      <c r="U1160" s="78"/>
      <c r="V1160" s="78"/>
      <c r="W1160" s="78"/>
      <c r="X1160" s="78"/>
      <c r="Y1160" s="78"/>
      <c r="Z1160" s="78"/>
    </row>
    <row r="1161">
      <c r="A1161" s="78"/>
      <c r="B1161" s="78"/>
      <c r="C1161" s="78"/>
      <c r="D1161" s="78"/>
      <c r="E1161" s="78"/>
      <c r="F1161" s="78"/>
      <c r="G1161" s="78"/>
      <c r="H1161" s="78"/>
      <c r="I1161" s="78"/>
      <c r="J1161" s="78"/>
      <c r="K1161" s="78"/>
      <c r="L1161" s="78"/>
      <c r="M1161" s="78"/>
      <c r="N1161" s="78"/>
      <c r="O1161" s="78"/>
      <c r="P1161" s="78"/>
      <c r="Q1161" s="78"/>
      <c r="R1161" s="78"/>
      <c r="S1161" s="78"/>
      <c r="T1161" s="78"/>
      <c r="U1161" s="78"/>
      <c r="V1161" s="78"/>
      <c r="W1161" s="78"/>
      <c r="X1161" s="78"/>
      <c r="Y1161" s="78"/>
      <c r="Z1161" s="78"/>
    </row>
    <row r="1162">
      <c r="A1162" s="78"/>
      <c r="B1162" s="78"/>
      <c r="C1162" s="78"/>
      <c r="D1162" s="78"/>
      <c r="E1162" s="78"/>
      <c r="F1162" s="78"/>
      <c r="G1162" s="78"/>
      <c r="H1162" s="78"/>
      <c r="I1162" s="78"/>
      <c r="J1162" s="78"/>
      <c r="K1162" s="78"/>
      <c r="L1162" s="78"/>
      <c r="M1162" s="78"/>
      <c r="N1162" s="78"/>
      <c r="O1162" s="78"/>
      <c r="P1162" s="78"/>
      <c r="Q1162" s="78"/>
      <c r="R1162" s="78"/>
      <c r="S1162" s="78"/>
      <c r="T1162" s="78"/>
      <c r="U1162" s="78"/>
      <c r="V1162" s="78"/>
      <c r="W1162" s="78"/>
      <c r="X1162" s="78"/>
      <c r="Y1162" s="78"/>
      <c r="Z1162" s="78"/>
    </row>
    <row r="1163">
      <c r="A1163" s="78"/>
      <c r="B1163" s="78"/>
      <c r="C1163" s="78"/>
      <c r="D1163" s="78"/>
      <c r="E1163" s="78"/>
      <c r="F1163" s="78"/>
      <c r="G1163" s="78"/>
      <c r="H1163" s="78"/>
      <c r="I1163" s="78"/>
      <c r="J1163" s="78"/>
      <c r="K1163" s="78"/>
      <c r="L1163" s="78"/>
      <c r="M1163" s="78"/>
      <c r="N1163" s="78"/>
      <c r="O1163" s="78"/>
      <c r="P1163" s="78"/>
      <c r="Q1163" s="78"/>
      <c r="R1163" s="78"/>
      <c r="S1163" s="78"/>
      <c r="T1163" s="78"/>
      <c r="U1163" s="78"/>
      <c r="V1163" s="78"/>
      <c r="W1163" s="78"/>
      <c r="X1163" s="78"/>
      <c r="Y1163" s="78"/>
      <c r="Z1163" s="78"/>
    </row>
    <row r="1164">
      <c r="A1164" s="78"/>
      <c r="B1164" s="78"/>
      <c r="C1164" s="78"/>
      <c r="D1164" s="78"/>
      <c r="E1164" s="78"/>
      <c r="F1164" s="78"/>
      <c r="G1164" s="78"/>
      <c r="H1164" s="78"/>
      <c r="I1164" s="78"/>
      <c r="J1164" s="78"/>
      <c r="K1164" s="78"/>
      <c r="L1164" s="78"/>
      <c r="M1164" s="78"/>
      <c r="N1164" s="78"/>
      <c r="O1164" s="78"/>
      <c r="P1164" s="78"/>
      <c r="Q1164" s="78"/>
      <c r="R1164" s="78"/>
      <c r="S1164" s="78"/>
      <c r="T1164" s="78"/>
      <c r="U1164" s="78"/>
      <c r="V1164" s="78"/>
      <c r="W1164" s="78"/>
      <c r="X1164" s="78"/>
      <c r="Y1164" s="78"/>
      <c r="Z1164" s="78"/>
    </row>
    <row r="1165">
      <c r="A1165" s="78"/>
      <c r="B1165" s="78"/>
      <c r="C1165" s="78"/>
      <c r="D1165" s="78"/>
      <c r="E1165" s="78"/>
      <c r="F1165" s="78"/>
      <c r="G1165" s="78"/>
      <c r="H1165" s="78"/>
      <c r="I1165" s="78"/>
      <c r="J1165" s="78"/>
      <c r="K1165" s="78"/>
      <c r="L1165" s="78"/>
      <c r="M1165" s="78"/>
      <c r="N1165" s="78"/>
      <c r="O1165" s="78"/>
      <c r="P1165" s="78"/>
      <c r="Q1165" s="78"/>
      <c r="R1165" s="78"/>
      <c r="S1165" s="78"/>
      <c r="T1165" s="78"/>
      <c r="U1165" s="78"/>
      <c r="V1165" s="78"/>
      <c r="W1165" s="78"/>
      <c r="X1165" s="78"/>
      <c r="Y1165" s="78"/>
      <c r="Z1165" s="78"/>
    </row>
    <row r="1166">
      <c r="A1166" s="78"/>
      <c r="B1166" s="78"/>
      <c r="C1166" s="78"/>
      <c r="D1166" s="78"/>
      <c r="E1166" s="78"/>
      <c r="F1166" s="78"/>
      <c r="G1166" s="78"/>
      <c r="H1166" s="78"/>
      <c r="I1166" s="78"/>
      <c r="J1166" s="78"/>
      <c r="K1166" s="78"/>
      <c r="L1166" s="78"/>
      <c r="M1166" s="78"/>
      <c r="N1166" s="78"/>
      <c r="O1166" s="78"/>
      <c r="P1166" s="78"/>
      <c r="Q1166" s="78"/>
      <c r="R1166" s="78"/>
      <c r="S1166" s="78"/>
      <c r="T1166" s="78"/>
      <c r="U1166" s="78"/>
      <c r="V1166" s="78"/>
      <c r="W1166" s="78"/>
      <c r="X1166" s="78"/>
      <c r="Y1166" s="78"/>
      <c r="Z1166" s="78"/>
    </row>
    <row r="1167">
      <c r="A1167" s="78"/>
      <c r="B1167" s="78"/>
      <c r="C1167" s="78"/>
      <c r="D1167" s="78"/>
      <c r="E1167" s="78"/>
      <c r="F1167" s="78"/>
      <c r="G1167" s="78"/>
      <c r="H1167" s="78"/>
      <c r="I1167" s="78"/>
      <c r="J1167" s="78"/>
      <c r="K1167" s="78"/>
      <c r="L1167" s="78"/>
      <c r="M1167" s="78"/>
      <c r="N1167" s="78"/>
      <c r="O1167" s="78"/>
      <c r="P1167" s="78"/>
      <c r="Q1167" s="78"/>
      <c r="R1167" s="78"/>
      <c r="S1167" s="78"/>
      <c r="T1167" s="78"/>
      <c r="U1167" s="78"/>
      <c r="V1167" s="78"/>
      <c r="W1167" s="78"/>
      <c r="X1167" s="78"/>
      <c r="Y1167" s="78"/>
      <c r="Z1167" s="78"/>
    </row>
    <row r="1168">
      <c r="A1168" s="78"/>
      <c r="B1168" s="78"/>
      <c r="C1168" s="78"/>
      <c r="D1168" s="78"/>
      <c r="E1168" s="78"/>
      <c r="F1168" s="78"/>
      <c r="G1168" s="78"/>
      <c r="H1168" s="78"/>
      <c r="I1168" s="78"/>
      <c r="J1168" s="78"/>
      <c r="K1168" s="78"/>
      <c r="L1168" s="78"/>
      <c r="M1168" s="78"/>
      <c r="N1168" s="78"/>
      <c r="O1168" s="78"/>
      <c r="P1168" s="78"/>
      <c r="Q1168" s="78"/>
      <c r="R1168" s="78"/>
      <c r="S1168" s="78"/>
      <c r="T1168" s="78"/>
      <c r="U1168" s="78"/>
      <c r="V1168" s="78"/>
      <c r="W1168" s="78"/>
      <c r="X1168" s="78"/>
      <c r="Y1168" s="78"/>
      <c r="Z1168" s="78"/>
    </row>
    <row r="1169">
      <c r="A1169" s="78"/>
      <c r="B1169" s="78"/>
      <c r="C1169" s="78"/>
      <c r="D1169" s="78"/>
      <c r="E1169" s="78"/>
      <c r="F1169" s="78"/>
      <c r="G1169" s="78"/>
      <c r="H1169" s="78"/>
      <c r="I1169" s="78"/>
      <c r="J1169" s="78"/>
      <c r="K1169" s="78"/>
      <c r="L1169" s="78"/>
      <c r="M1169" s="78"/>
      <c r="N1169" s="78"/>
      <c r="O1169" s="78"/>
      <c r="P1169" s="78"/>
      <c r="Q1169" s="78"/>
      <c r="R1169" s="78"/>
      <c r="S1169" s="78"/>
      <c r="T1169" s="78"/>
      <c r="U1169" s="78"/>
      <c r="V1169" s="78"/>
      <c r="W1169" s="78"/>
      <c r="X1169" s="78"/>
      <c r="Y1169" s="78"/>
      <c r="Z1169" s="78"/>
    </row>
    <row r="1170">
      <c r="A1170" s="78"/>
      <c r="B1170" s="78"/>
      <c r="C1170" s="78"/>
      <c r="D1170" s="78"/>
      <c r="E1170" s="78"/>
      <c r="F1170" s="78"/>
      <c r="G1170" s="78"/>
      <c r="H1170" s="78"/>
      <c r="I1170" s="78"/>
      <c r="J1170" s="78"/>
      <c r="K1170" s="78"/>
      <c r="L1170" s="78"/>
      <c r="M1170" s="78"/>
      <c r="N1170" s="78"/>
      <c r="O1170" s="78"/>
      <c r="P1170" s="78"/>
      <c r="Q1170" s="78"/>
      <c r="R1170" s="78"/>
      <c r="S1170" s="78"/>
      <c r="T1170" s="78"/>
      <c r="U1170" s="78"/>
      <c r="V1170" s="78"/>
      <c r="W1170" s="78"/>
      <c r="X1170" s="78"/>
      <c r="Y1170" s="78"/>
      <c r="Z1170" s="78"/>
    </row>
    <row r="1171">
      <c r="A1171" s="78"/>
      <c r="B1171" s="78"/>
      <c r="C1171" s="78"/>
      <c r="D1171" s="78"/>
      <c r="E1171" s="78"/>
      <c r="F1171" s="78"/>
      <c r="G1171" s="78"/>
      <c r="H1171" s="78"/>
      <c r="I1171" s="78"/>
      <c r="J1171" s="78"/>
      <c r="K1171" s="78"/>
      <c r="L1171" s="78"/>
      <c r="M1171" s="78"/>
      <c r="N1171" s="78"/>
      <c r="O1171" s="78"/>
      <c r="P1171" s="78"/>
      <c r="Q1171" s="78"/>
      <c r="R1171" s="78"/>
      <c r="S1171" s="78"/>
      <c r="T1171" s="78"/>
      <c r="U1171" s="78"/>
      <c r="V1171" s="78"/>
      <c r="W1171" s="78"/>
      <c r="X1171" s="78"/>
      <c r="Y1171" s="78"/>
      <c r="Z1171" s="78"/>
    </row>
    <row r="1172">
      <c r="A1172" s="78"/>
      <c r="B1172" s="78"/>
      <c r="C1172" s="78"/>
      <c r="D1172" s="78"/>
      <c r="E1172" s="78"/>
      <c r="F1172" s="78"/>
      <c r="G1172" s="78"/>
      <c r="H1172" s="78"/>
      <c r="I1172" s="78"/>
      <c r="J1172" s="78"/>
      <c r="K1172" s="78"/>
      <c r="L1172" s="78"/>
      <c r="M1172" s="78"/>
      <c r="N1172" s="78"/>
      <c r="O1172" s="78"/>
      <c r="P1172" s="78"/>
      <c r="Q1172" s="78"/>
      <c r="R1172" s="78"/>
      <c r="S1172" s="78"/>
      <c r="T1172" s="78"/>
      <c r="U1172" s="78"/>
      <c r="V1172" s="78"/>
      <c r="W1172" s="78"/>
      <c r="X1172" s="78"/>
      <c r="Y1172" s="78"/>
      <c r="Z1172" s="78"/>
    </row>
    <row r="1173">
      <c r="A1173" s="78"/>
      <c r="B1173" s="78"/>
      <c r="C1173" s="78"/>
      <c r="D1173" s="78"/>
      <c r="E1173" s="78"/>
      <c r="F1173" s="78"/>
      <c r="G1173" s="78"/>
      <c r="H1173" s="78"/>
      <c r="I1173" s="78"/>
      <c r="J1173" s="78"/>
      <c r="K1173" s="78"/>
      <c r="L1173" s="78"/>
      <c r="M1173" s="78"/>
      <c r="N1173" s="78"/>
      <c r="O1173" s="78"/>
      <c r="P1173" s="78"/>
      <c r="Q1173" s="78"/>
      <c r="R1173" s="78"/>
      <c r="S1173" s="78"/>
      <c r="T1173" s="78"/>
      <c r="U1173" s="78"/>
      <c r="V1173" s="78"/>
      <c r="W1173" s="78"/>
      <c r="X1173" s="78"/>
      <c r="Y1173" s="78"/>
      <c r="Z1173" s="78"/>
    </row>
    <row r="1174">
      <c r="A1174" s="78"/>
      <c r="B1174" s="78"/>
      <c r="C1174" s="78"/>
      <c r="D1174" s="78"/>
      <c r="E1174" s="78"/>
      <c r="F1174" s="78"/>
      <c r="G1174" s="78"/>
      <c r="H1174" s="78"/>
      <c r="I1174" s="78"/>
      <c r="J1174" s="78"/>
      <c r="K1174" s="78"/>
      <c r="L1174" s="78"/>
      <c r="M1174" s="78"/>
      <c r="N1174" s="78"/>
      <c r="O1174" s="78"/>
      <c r="P1174" s="78"/>
      <c r="Q1174" s="78"/>
      <c r="R1174" s="78"/>
      <c r="S1174" s="78"/>
      <c r="T1174" s="78"/>
      <c r="U1174" s="78"/>
      <c r="V1174" s="78"/>
      <c r="W1174" s="78"/>
      <c r="X1174" s="78"/>
      <c r="Y1174" s="78"/>
      <c r="Z1174" s="78"/>
    </row>
    <row r="1175">
      <c r="A1175" s="78"/>
      <c r="B1175" s="78"/>
      <c r="C1175" s="78"/>
      <c r="D1175" s="78"/>
      <c r="E1175" s="78"/>
      <c r="F1175" s="78"/>
      <c r="G1175" s="78"/>
      <c r="H1175" s="78"/>
      <c r="I1175" s="78"/>
      <c r="J1175" s="78"/>
      <c r="K1175" s="78"/>
      <c r="L1175" s="78"/>
      <c r="M1175" s="78"/>
      <c r="N1175" s="78"/>
      <c r="O1175" s="78"/>
      <c r="P1175" s="78"/>
      <c r="Q1175" s="78"/>
      <c r="R1175" s="78"/>
      <c r="S1175" s="78"/>
      <c r="T1175" s="78"/>
      <c r="U1175" s="78"/>
      <c r="V1175" s="78"/>
      <c r="W1175" s="78"/>
      <c r="X1175" s="78"/>
      <c r="Y1175" s="78"/>
      <c r="Z1175" s="78"/>
    </row>
    <row r="1176">
      <c r="A1176" s="78"/>
      <c r="B1176" s="78"/>
      <c r="C1176" s="78"/>
      <c r="D1176" s="78"/>
      <c r="E1176" s="78"/>
      <c r="F1176" s="78"/>
      <c r="G1176" s="78"/>
      <c r="H1176" s="78"/>
      <c r="I1176" s="78"/>
      <c r="J1176" s="78"/>
      <c r="K1176" s="78"/>
      <c r="L1176" s="78"/>
      <c r="M1176" s="78"/>
      <c r="N1176" s="78"/>
      <c r="O1176" s="78"/>
      <c r="P1176" s="78"/>
      <c r="Q1176" s="78"/>
      <c r="R1176" s="78"/>
      <c r="S1176" s="78"/>
      <c r="T1176" s="78"/>
      <c r="U1176" s="78"/>
      <c r="V1176" s="78"/>
      <c r="W1176" s="78"/>
      <c r="X1176" s="78"/>
      <c r="Y1176" s="78"/>
      <c r="Z1176" s="78"/>
    </row>
    <row r="1177">
      <c r="A1177" s="78"/>
      <c r="B1177" s="78"/>
      <c r="C1177" s="78"/>
      <c r="D1177" s="78"/>
      <c r="E1177" s="78"/>
      <c r="F1177" s="78"/>
      <c r="G1177" s="78"/>
      <c r="H1177" s="78"/>
      <c r="I1177" s="78"/>
      <c r="J1177" s="78"/>
      <c r="K1177" s="78"/>
      <c r="L1177" s="78"/>
      <c r="M1177" s="78"/>
      <c r="N1177" s="78"/>
      <c r="O1177" s="78"/>
      <c r="P1177" s="78"/>
      <c r="Q1177" s="78"/>
      <c r="R1177" s="78"/>
      <c r="S1177" s="78"/>
      <c r="T1177" s="78"/>
      <c r="U1177" s="78"/>
      <c r="V1177" s="78"/>
      <c r="W1177" s="78"/>
      <c r="X1177" s="78"/>
      <c r="Y1177" s="78"/>
      <c r="Z1177" s="78"/>
    </row>
    <row r="1178">
      <c r="A1178" s="78"/>
      <c r="B1178" s="78"/>
      <c r="C1178" s="78"/>
      <c r="D1178" s="78"/>
      <c r="E1178" s="78"/>
      <c r="F1178" s="78"/>
      <c r="G1178" s="78"/>
      <c r="H1178" s="78"/>
      <c r="I1178" s="78"/>
      <c r="J1178" s="78"/>
      <c r="K1178" s="78"/>
      <c r="L1178" s="78"/>
      <c r="M1178" s="78"/>
      <c r="N1178" s="78"/>
      <c r="O1178" s="78"/>
      <c r="P1178" s="78"/>
      <c r="Q1178" s="78"/>
      <c r="R1178" s="78"/>
      <c r="S1178" s="78"/>
      <c r="T1178" s="78"/>
      <c r="U1178" s="78"/>
      <c r="V1178" s="78"/>
      <c r="W1178" s="78"/>
      <c r="X1178" s="78"/>
      <c r="Y1178" s="78"/>
      <c r="Z1178" s="78"/>
    </row>
    <row r="1179">
      <c r="A1179" s="78"/>
      <c r="B1179" s="78"/>
      <c r="C1179" s="78"/>
      <c r="D1179" s="78"/>
      <c r="E1179" s="78"/>
      <c r="F1179" s="78"/>
      <c r="G1179" s="78"/>
      <c r="H1179" s="78"/>
      <c r="I1179" s="78"/>
      <c r="J1179" s="78"/>
      <c r="K1179" s="78"/>
      <c r="L1179" s="78"/>
      <c r="M1179" s="78"/>
      <c r="N1179" s="78"/>
      <c r="O1179" s="78"/>
      <c r="P1179" s="78"/>
      <c r="Q1179" s="78"/>
      <c r="R1179" s="78"/>
      <c r="S1179" s="78"/>
      <c r="T1179" s="78"/>
      <c r="U1179" s="78"/>
      <c r="V1179" s="78"/>
      <c r="W1179" s="78"/>
      <c r="X1179" s="78"/>
      <c r="Y1179" s="78"/>
      <c r="Z1179" s="78"/>
    </row>
    <row r="1180">
      <c r="A1180" s="78"/>
      <c r="B1180" s="78"/>
      <c r="C1180" s="78"/>
      <c r="D1180" s="78"/>
      <c r="E1180" s="78"/>
      <c r="F1180" s="78"/>
      <c r="G1180" s="78"/>
      <c r="H1180" s="78"/>
      <c r="I1180" s="78"/>
      <c r="J1180" s="78"/>
      <c r="K1180" s="78"/>
      <c r="L1180" s="78"/>
      <c r="M1180" s="78"/>
      <c r="N1180" s="78"/>
      <c r="O1180" s="78"/>
      <c r="P1180" s="78"/>
      <c r="Q1180" s="78"/>
      <c r="R1180" s="78"/>
      <c r="S1180" s="78"/>
      <c r="T1180" s="78"/>
      <c r="U1180" s="78"/>
      <c r="V1180" s="78"/>
      <c r="W1180" s="78"/>
      <c r="X1180" s="78"/>
      <c r="Y1180" s="78"/>
      <c r="Z1180" s="78"/>
    </row>
    <row r="1181">
      <c r="A1181" s="78"/>
      <c r="B1181" s="78"/>
      <c r="C1181" s="78"/>
      <c r="D1181" s="78"/>
      <c r="E1181" s="78"/>
      <c r="F1181" s="78"/>
      <c r="G1181" s="78"/>
      <c r="H1181" s="78"/>
      <c r="I1181" s="78"/>
      <c r="J1181" s="78"/>
      <c r="K1181" s="78"/>
      <c r="L1181" s="78"/>
      <c r="M1181" s="78"/>
      <c r="N1181" s="78"/>
      <c r="O1181" s="78"/>
      <c r="P1181" s="78"/>
      <c r="Q1181" s="78"/>
      <c r="R1181" s="78"/>
      <c r="S1181" s="78"/>
      <c r="T1181" s="78"/>
      <c r="U1181" s="78"/>
      <c r="V1181" s="78"/>
      <c r="W1181" s="78"/>
      <c r="X1181" s="78"/>
      <c r="Y1181" s="78"/>
      <c r="Z1181" s="78"/>
    </row>
    <row r="1182">
      <c r="A1182" s="78"/>
      <c r="B1182" s="78"/>
      <c r="C1182" s="78"/>
      <c r="D1182" s="78"/>
      <c r="E1182" s="78"/>
      <c r="F1182" s="78"/>
      <c r="G1182" s="78"/>
      <c r="H1182" s="78"/>
      <c r="I1182" s="78"/>
      <c r="J1182" s="78"/>
      <c r="K1182" s="78"/>
      <c r="L1182" s="78"/>
      <c r="M1182" s="78"/>
      <c r="N1182" s="78"/>
      <c r="O1182" s="78"/>
      <c r="P1182" s="78"/>
      <c r="Q1182" s="78"/>
      <c r="R1182" s="78"/>
      <c r="S1182" s="78"/>
      <c r="T1182" s="78"/>
      <c r="U1182" s="78"/>
      <c r="V1182" s="78"/>
      <c r="W1182" s="78"/>
      <c r="X1182" s="78"/>
      <c r="Y1182" s="78"/>
      <c r="Z1182" s="78"/>
    </row>
    <row r="1183">
      <c r="A1183" s="78"/>
      <c r="B1183" s="78"/>
      <c r="C1183" s="78"/>
      <c r="D1183" s="78"/>
      <c r="E1183" s="78"/>
      <c r="F1183" s="78"/>
      <c r="G1183" s="78"/>
      <c r="H1183" s="78"/>
      <c r="I1183" s="78"/>
      <c r="J1183" s="78"/>
      <c r="K1183" s="78"/>
      <c r="L1183" s="78"/>
      <c r="M1183" s="78"/>
      <c r="N1183" s="78"/>
      <c r="O1183" s="78"/>
      <c r="P1183" s="78"/>
      <c r="Q1183" s="78"/>
      <c r="R1183" s="78"/>
      <c r="S1183" s="78"/>
      <c r="T1183" s="78"/>
      <c r="U1183" s="78"/>
      <c r="V1183" s="78"/>
      <c r="W1183" s="78"/>
      <c r="X1183" s="78"/>
      <c r="Y1183" s="78"/>
      <c r="Z1183" s="78"/>
    </row>
    <row r="1184">
      <c r="A1184" s="78"/>
      <c r="B1184" s="78"/>
      <c r="C1184" s="78"/>
      <c r="D1184" s="78"/>
      <c r="E1184" s="78"/>
      <c r="F1184" s="78"/>
      <c r="G1184" s="78"/>
      <c r="H1184" s="78"/>
      <c r="I1184" s="78"/>
      <c r="J1184" s="78"/>
      <c r="K1184" s="78"/>
      <c r="L1184" s="78"/>
      <c r="M1184" s="78"/>
      <c r="N1184" s="78"/>
      <c r="O1184" s="78"/>
      <c r="P1184" s="78"/>
      <c r="Q1184" s="78"/>
      <c r="R1184" s="78"/>
      <c r="S1184" s="78"/>
      <c r="T1184" s="78"/>
      <c r="U1184" s="78"/>
      <c r="V1184" s="78"/>
      <c r="W1184" s="78"/>
      <c r="X1184" s="78"/>
      <c r="Y1184" s="78"/>
      <c r="Z1184" s="78"/>
    </row>
    <row r="1185">
      <c r="A1185" s="78"/>
      <c r="B1185" s="78"/>
      <c r="C1185" s="78"/>
      <c r="D1185" s="78"/>
      <c r="E1185" s="78"/>
      <c r="F1185" s="78"/>
      <c r="G1185" s="78"/>
      <c r="H1185" s="78"/>
      <c r="I1185" s="78"/>
      <c r="J1185" s="78"/>
      <c r="K1185" s="78"/>
      <c r="L1185" s="78"/>
      <c r="M1185" s="78"/>
      <c r="N1185" s="78"/>
      <c r="O1185" s="78"/>
      <c r="P1185" s="78"/>
      <c r="Q1185" s="78"/>
      <c r="R1185" s="78"/>
      <c r="S1185" s="78"/>
      <c r="T1185" s="78"/>
      <c r="U1185" s="78"/>
      <c r="V1185" s="78"/>
      <c r="W1185" s="78"/>
      <c r="X1185" s="78"/>
      <c r="Y1185" s="78"/>
      <c r="Z1185" s="78"/>
    </row>
    <row r="1186">
      <c r="A1186" s="78"/>
      <c r="B1186" s="78"/>
      <c r="C1186" s="78"/>
      <c r="D1186" s="78"/>
      <c r="E1186" s="78"/>
      <c r="F1186" s="78"/>
      <c r="G1186" s="78"/>
      <c r="H1186" s="78"/>
      <c r="I1186" s="78"/>
      <c r="J1186" s="78"/>
      <c r="K1186" s="78"/>
      <c r="L1186" s="78"/>
      <c r="M1186" s="78"/>
      <c r="N1186" s="78"/>
      <c r="O1186" s="78"/>
      <c r="P1186" s="78"/>
      <c r="Q1186" s="78"/>
      <c r="R1186" s="78"/>
      <c r="S1186" s="78"/>
      <c r="T1186" s="78"/>
      <c r="U1186" s="78"/>
      <c r="V1186" s="78"/>
      <c r="W1186" s="78"/>
      <c r="X1186" s="78"/>
      <c r="Y1186" s="78"/>
      <c r="Z1186" s="78"/>
    </row>
    <row r="1187">
      <c r="A1187" s="78"/>
      <c r="B1187" s="78"/>
      <c r="C1187" s="78"/>
      <c r="D1187" s="78"/>
      <c r="E1187" s="78"/>
      <c r="F1187" s="78"/>
      <c r="G1187" s="78"/>
      <c r="H1187" s="78"/>
      <c r="I1187" s="78"/>
      <c r="J1187" s="78"/>
      <c r="K1187" s="78"/>
      <c r="L1187" s="78"/>
      <c r="M1187" s="78"/>
      <c r="N1187" s="78"/>
      <c r="O1187" s="78"/>
      <c r="P1187" s="78"/>
      <c r="Q1187" s="78"/>
      <c r="R1187" s="78"/>
      <c r="S1187" s="78"/>
      <c r="T1187" s="78"/>
      <c r="U1187" s="78"/>
      <c r="V1187" s="78"/>
      <c r="W1187" s="78"/>
      <c r="X1187" s="78"/>
      <c r="Y1187" s="78"/>
      <c r="Z1187" s="78"/>
    </row>
    <row r="1188">
      <c r="A1188" s="78"/>
      <c r="B1188" s="78"/>
      <c r="C1188" s="78"/>
      <c r="D1188" s="78"/>
      <c r="E1188" s="78"/>
      <c r="F1188" s="78"/>
      <c r="G1188" s="78"/>
      <c r="H1188" s="78"/>
      <c r="I1188" s="78"/>
      <c r="J1188" s="78"/>
      <c r="K1188" s="78"/>
      <c r="L1188" s="78"/>
      <c r="M1188" s="78"/>
      <c r="N1188" s="78"/>
      <c r="O1188" s="78"/>
      <c r="P1188" s="78"/>
      <c r="Q1188" s="78"/>
      <c r="R1188" s="78"/>
      <c r="S1188" s="78"/>
      <c r="T1188" s="78"/>
      <c r="U1188" s="78"/>
      <c r="V1188" s="78"/>
      <c r="W1188" s="78"/>
      <c r="X1188" s="78"/>
      <c r="Y1188" s="78"/>
      <c r="Z1188" s="78"/>
    </row>
    <row r="1189">
      <c r="A1189" s="78"/>
      <c r="B1189" s="78"/>
      <c r="C1189" s="78"/>
      <c r="D1189" s="78"/>
      <c r="E1189" s="78"/>
      <c r="F1189" s="78"/>
      <c r="G1189" s="78"/>
      <c r="H1189" s="78"/>
      <c r="I1189" s="78"/>
      <c r="J1189" s="78"/>
      <c r="K1189" s="78"/>
      <c r="L1189" s="78"/>
      <c r="M1189" s="78"/>
      <c r="N1189" s="78"/>
      <c r="O1189" s="78"/>
      <c r="P1189" s="78"/>
      <c r="Q1189" s="78"/>
      <c r="R1189" s="78"/>
      <c r="S1189" s="78"/>
      <c r="T1189" s="78"/>
      <c r="U1189" s="78"/>
      <c r="V1189" s="78"/>
      <c r="W1189" s="78"/>
      <c r="X1189" s="78"/>
      <c r="Y1189" s="78"/>
      <c r="Z1189" s="78"/>
    </row>
    <row r="1190">
      <c r="A1190" s="78"/>
      <c r="B1190" s="78"/>
      <c r="C1190" s="78"/>
      <c r="D1190" s="78"/>
      <c r="E1190" s="78"/>
      <c r="F1190" s="78"/>
      <c r="G1190" s="78"/>
      <c r="H1190" s="78"/>
      <c r="I1190" s="78"/>
      <c r="J1190" s="78"/>
      <c r="K1190" s="78"/>
      <c r="L1190" s="78"/>
      <c r="M1190" s="78"/>
      <c r="N1190" s="78"/>
      <c r="O1190" s="78"/>
      <c r="P1190" s="78"/>
      <c r="Q1190" s="78"/>
      <c r="R1190" s="78"/>
      <c r="S1190" s="78"/>
      <c r="T1190" s="78"/>
      <c r="U1190" s="78"/>
      <c r="V1190" s="78"/>
      <c r="W1190" s="78"/>
      <c r="X1190" s="78"/>
      <c r="Y1190" s="78"/>
      <c r="Z1190" s="78"/>
    </row>
    <row r="1191">
      <c r="A1191" s="78"/>
      <c r="B1191" s="78"/>
      <c r="C1191" s="78"/>
      <c r="D1191" s="78"/>
      <c r="E1191" s="78"/>
      <c r="F1191" s="78"/>
      <c r="G1191" s="78"/>
      <c r="H1191" s="78"/>
      <c r="I1191" s="78"/>
      <c r="J1191" s="78"/>
      <c r="K1191" s="78"/>
      <c r="L1191" s="78"/>
      <c r="M1191" s="78"/>
      <c r="N1191" s="78"/>
      <c r="O1191" s="78"/>
      <c r="P1191" s="78"/>
      <c r="Q1191" s="78"/>
      <c r="R1191" s="78"/>
      <c r="S1191" s="78"/>
      <c r="T1191" s="78"/>
      <c r="U1191" s="78"/>
      <c r="V1191" s="78"/>
      <c r="W1191" s="78"/>
      <c r="X1191" s="78"/>
      <c r="Y1191" s="78"/>
      <c r="Z1191" s="78"/>
    </row>
    <row r="1192">
      <c r="A1192" s="78"/>
      <c r="B1192" s="78"/>
      <c r="C1192" s="78"/>
      <c r="D1192" s="78"/>
      <c r="E1192" s="78"/>
      <c r="F1192" s="78"/>
      <c r="G1192" s="78"/>
      <c r="H1192" s="78"/>
      <c r="I1192" s="78"/>
      <c r="J1192" s="78"/>
      <c r="K1192" s="78"/>
      <c r="L1192" s="78"/>
      <c r="M1192" s="78"/>
      <c r="N1192" s="78"/>
      <c r="O1192" s="78"/>
      <c r="P1192" s="78"/>
      <c r="Q1192" s="78"/>
      <c r="R1192" s="78"/>
      <c r="S1192" s="78"/>
      <c r="T1192" s="78"/>
      <c r="U1192" s="78"/>
      <c r="V1192" s="78"/>
      <c r="W1192" s="78"/>
      <c r="X1192" s="78"/>
      <c r="Y1192" s="78"/>
      <c r="Z1192" s="78"/>
    </row>
    <row r="1193">
      <c r="A1193" s="78"/>
      <c r="B1193" s="78"/>
      <c r="C1193" s="78"/>
      <c r="D1193" s="78"/>
      <c r="E1193" s="78"/>
      <c r="F1193" s="78"/>
      <c r="G1193" s="78"/>
      <c r="H1193" s="78"/>
      <c r="I1193" s="78"/>
      <c r="J1193" s="78"/>
      <c r="K1193" s="78"/>
      <c r="L1193" s="78"/>
      <c r="M1193" s="78"/>
      <c r="N1193" s="78"/>
      <c r="O1193" s="78"/>
      <c r="P1193" s="78"/>
      <c r="Q1193" s="78"/>
      <c r="R1193" s="78"/>
      <c r="S1193" s="78"/>
      <c r="T1193" s="78"/>
      <c r="U1193" s="78"/>
      <c r="V1193" s="78"/>
      <c r="W1193" s="78"/>
      <c r="X1193" s="78"/>
      <c r="Y1193" s="78"/>
      <c r="Z1193" s="78"/>
    </row>
    <row r="1194">
      <c r="A1194" s="78"/>
      <c r="B1194" s="78"/>
      <c r="C1194" s="78"/>
      <c r="D1194" s="78"/>
      <c r="E1194" s="78"/>
      <c r="F1194" s="78"/>
      <c r="G1194" s="78"/>
      <c r="H1194" s="78"/>
      <c r="I1194" s="78"/>
      <c r="J1194" s="78"/>
      <c r="K1194" s="78"/>
      <c r="L1194" s="78"/>
      <c r="M1194" s="78"/>
      <c r="N1194" s="78"/>
      <c r="O1194" s="78"/>
      <c r="P1194" s="78"/>
      <c r="Q1194" s="78"/>
      <c r="R1194" s="78"/>
      <c r="S1194" s="78"/>
      <c r="T1194" s="78"/>
      <c r="U1194" s="78"/>
      <c r="V1194" s="78"/>
      <c r="W1194" s="78"/>
      <c r="X1194" s="78"/>
      <c r="Y1194" s="78"/>
      <c r="Z1194" s="78"/>
    </row>
    <row r="1195">
      <c r="A1195" s="78"/>
      <c r="B1195" s="78"/>
      <c r="C1195" s="78"/>
      <c r="D1195" s="78"/>
      <c r="E1195" s="78"/>
      <c r="F1195" s="78"/>
      <c r="G1195" s="78"/>
      <c r="H1195" s="78"/>
      <c r="I1195" s="78"/>
      <c r="J1195" s="78"/>
      <c r="K1195" s="78"/>
      <c r="L1195" s="78"/>
      <c r="M1195" s="78"/>
      <c r="N1195" s="78"/>
      <c r="O1195" s="78"/>
      <c r="P1195" s="78"/>
      <c r="Q1195" s="78"/>
      <c r="R1195" s="78"/>
      <c r="S1195" s="78"/>
      <c r="T1195" s="78"/>
      <c r="U1195" s="78"/>
      <c r="V1195" s="78"/>
      <c r="W1195" s="78"/>
      <c r="X1195" s="78"/>
      <c r="Y1195" s="78"/>
      <c r="Z1195" s="78"/>
    </row>
    <row r="1196">
      <c r="A1196" s="78"/>
      <c r="B1196" s="78"/>
      <c r="C1196" s="78"/>
      <c r="D1196" s="78"/>
      <c r="E1196" s="78"/>
      <c r="F1196" s="78"/>
      <c r="G1196" s="78"/>
      <c r="H1196" s="78"/>
      <c r="I1196" s="78"/>
      <c r="J1196" s="78"/>
      <c r="K1196" s="78"/>
      <c r="L1196" s="78"/>
      <c r="M1196" s="78"/>
      <c r="N1196" s="78"/>
      <c r="O1196" s="78"/>
      <c r="P1196" s="78"/>
      <c r="Q1196" s="78"/>
      <c r="R1196" s="78"/>
      <c r="S1196" s="78"/>
      <c r="T1196" s="78"/>
      <c r="U1196" s="78"/>
      <c r="V1196" s="78"/>
      <c r="W1196" s="78"/>
      <c r="X1196" s="78"/>
      <c r="Y1196" s="78"/>
      <c r="Z1196" s="78"/>
    </row>
    <row r="1197">
      <c r="A1197" s="78"/>
      <c r="B1197" s="78"/>
      <c r="C1197" s="78"/>
      <c r="D1197" s="78"/>
      <c r="E1197" s="78"/>
      <c r="F1197" s="78"/>
      <c r="G1197" s="78"/>
      <c r="H1197" s="78"/>
      <c r="I1197" s="78"/>
      <c r="J1197" s="78"/>
      <c r="K1197" s="78"/>
      <c r="L1197" s="78"/>
      <c r="M1197" s="78"/>
      <c r="N1197" s="78"/>
      <c r="O1197" s="78"/>
      <c r="P1197" s="78"/>
      <c r="Q1197" s="78"/>
      <c r="R1197" s="78"/>
      <c r="S1197" s="78"/>
      <c r="T1197" s="78"/>
      <c r="U1197" s="78"/>
      <c r="V1197" s="78"/>
      <c r="W1197" s="78"/>
      <c r="X1197" s="78"/>
      <c r="Y1197" s="78"/>
      <c r="Z1197" s="78"/>
    </row>
    <row r="1198">
      <c r="A1198" s="78"/>
      <c r="B1198" s="78"/>
      <c r="C1198" s="78"/>
      <c r="D1198" s="78"/>
      <c r="E1198" s="78"/>
      <c r="F1198" s="78"/>
      <c r="G1198" s="78"/>
      <c r="H1198" s="78"/>
      <c r="I1198" s="78"/>
      <c r="J1198" s="78"/>
      <c r="K1198" s="78"/>
      <c r="L1198" s="78"/>
      <c r="M1198" s="78"/>
      <c r="N1198" s="78"/>
      <c r="O1198" s="78"/>
      <c r="P1198" s="78"/>
      <c r="Q1198" s="78"/>
      <c r="R1198" s="78"/>
      <c r="S1198" s="78"/>
      <c r="T1198" s="78"/>
      <c r="U1198" s="78"/>
      <c r="V1198" s="78"/>
      <c r="W1198" s="78"/>
      <c r="X1198" s="78"/>
      <c r="Y1198" s="78"/>
      <c r="Z1198" s="78"/>
    </row>
    <row r="1199">
      <c r="A1199" s="78"/>
      <c r="B1199" s="78"/>
      <c r="C1199" s="78"/>
      <c r="D1199" s="78"/>
      <c r="E1199" s="78"/>
      <c r="F1199" s="78"/>
      <c r="G1199" s="78"/>
      <c r="H1199" s="78"/>
      <c r="I1199" s="78"/>
      <c r="J1199" s="78"/>
      <c r="K1199" s="78"/>
      <c r="L1199" s="78"/>
      <c r="M1199" s="78"/>
      <c r="N1199" s="78"/>
      <c r="O1199" s="78"/>
      <c r="P1199" s="78"/>
      <c r="Q1199" s="78"/>
      <c r="R1199" s="78"/>
      <c r="S1199" s="78"/>
      <c r="T1199" s="78"/>
      <c r="U1199" s="78"/>
      <c r="V1199" s="78"/>
      <c r="W1199" s="78"/>
      <c r="X1199" s="78"/>
      <c r="Y1199" s="78"/>
      <c r="Z1199" s="78"/>
    </row>
    <row r="1200">
      <c r="A1200" s="78"/>
      <c r="B1200" s="78"/>
      <c r="C1200" s="78"/>
      <c r="D1200" s="78"/>
      <c r="E1200" s="78"/>
      <c r="F1200" s="78"/>
      <c r="G1200" s="78"/>
      <c r="H1200" s="78"/>
      <c r="I1200" s="78"/>
      <c r="J1200" s="78"/>
      <c r="K1200" s="78"/>
      <c r="L1200" s="78"/>
      <c r="M1200" s="78"/>
      <c r="N1200" s="78"/>
      <c r="O1200" s="78"/>
      <c r="P1200" s="78"/>
      <c r="Q1200" s="78"/>
      <c r="R1200" s="78"/>
      <c r="S1200" s="78"/>
      <c r="T1200" s="78"/>
      <c r="U1200" s="78"/>
      <c r="V1200" s="78"/>
      <c r="W1200" s="78"/>
      <c r="X1200" s="78"/>
      <c r="Y1200" s="78"/>
      <c r="Z1200" s="78"/>
    </row>
    <row r="1201">
      <c r="A1201" s="78"/>
      <c r="B1201" s="78"/>
      <c r="C1201" s="78"/>
      <c r="D1201" s="78"/>
      <c r="E1201" s="78"/>
      <c r="F1201" s="78"/>
      <c r="G1201" s="78"/>
      <c r="H1201" s="78"/>
      <c r="I1201" s="78"/>
      <c r="J1201" s="78"/>
      <c r="K1201" s="78"/>
      <c r="L1201" s="78"/>
      <c r="M1201" s="78"/>
      <c r="N1201" s="78"/>
      <c r="O1201" s="78"/>
      <c r="P1201" s="78"/>
      <c r="Q1201" s="78"/>
      <c r="R1201" s="78"/>
      <c r="S1201" s="78"/>
      <c r="T1201" s="78"/>
      <c r="U1201" s="78"/>
      <c r="V1201" s="78"/>
      <c r="W1201" s="78"/>
      <c r="X1201" s="78"/>
      <c r="Y1201" s="78"/>
      <c r="Z1201" s="78"/>
    </row>
    <row r="1202">
      <c r="A1202" s="78"/>
      <c r="B1202" s="78"/>
      <c r="C1202" s="78"/>
      <c r="D1202" s="78"/>
      <c r="E1202" s="78"/>
      <c r="F1202" s="78"/>
      <c r="G1202" s="78"/>
      <c r="H1202" s="78"/>
      <c r="I1202" s="78"/>
      <c r="J1202" s="78"/>
      <c r="K1202" s="78"/>
      <c r="L1202" s="78"/>
      <c r="M1202" s="78"/>
      <c r="N1202" s="78"/>
      <c r="O1202" s="78"/>
      <c r="P1202" s="78"/>
      <c r="Q1202" s="78"/>
      <c r="R1202" s="78"/>
      <c r="S1202" s="78"/>
      <c r="T1202" s="78"/>
      <c r="U1202" s="78"/>
      <c r="V1202" s="78"/>
      <c r="W1202" s="78"/>
      <c r="X1202" s="78"/>
      <c r="Y1202" s="78"/>
      <c r="Z1202" s="78"/>
    </row>
    <row r="1203">
      <c r="A1203" s="78"/>
      <c r="B1203" s="78"/>
      <c r="C1203" s="78"/>
      <c r="D1203" s="78"/>
      <c r="E1203" s="78"/>
      <c r="F1203" s="78"/>
      <c r="G1203" s="78"/>
      <c r="H1203" s="78"/>
      <c r="I1203" s="78"/>
      <c r="J1203" s="78"/>
      <c r="K1203" s="78"/>
      <c r="L1203" s="78"/>
      <c r="M1203" s="78"/>
      <c r="N1203" s="78"/>
      <c r="O1203" s="78"/>
      <c r="P1203" s="78"/>
      <c r="Q1203" s="78"/>
      <c r="R1203" s="78"/>
      <c r="S1203" s="78"/>
      <c r="T1203" s="78"/>
      <c r="U1203" s="78"/>
      <c r="V1203" s="78"/>
      <c r="W1203" s="78"/>
      <c r="X1203" s="78"/>
      <c r="Y1203" s="78"/>
      <c r="Z1203" s="78"/>
    </row>
    <row r="1204">
      <c r="A1204" s="78"/>
      <c r="B1204" s="78"/>
      <c r="C1204" s="78"/>
      <c r="D1204" s="78"/>
      <c r="E1204" s="78"/>
      <c r="F1204" s="78"/>
      <c r="G1204" s="78"/>
      <c r="H1204" s="78"/>
      <c r="I1204" s="78"/>
      <c r="J1204" s="78"/>
      <c r="K1204" s="78"/>
      <c r="L1204" s="78"/>
      <c r="M1204" s="78"/>
      <c r="N1204" s="78"/>
      <c r="O1204" s="78"/>
      <c r="P1204" s="78"/>
      <c r="Q1204" s="78"/>
      <c r="R1204" s="78"/>
      <c r="S1204" s="78"/>
      <c r="T1204" s="78"/>
      <c r="U1204" s="78"/>
      <c r="V1204" s="78"/>
      <c r="W1204" s="78"/>
      <c r="X1204" s="78"/>
      <c r="Y1204" s="78"/>
      <c r="Z1204" s="78"/>
    </row>
    <row r="1205">
      <c r="A1205" s="78"/>
      <c r="B1205" s="78"/>
      <c r="C1205" s="78"/>
      <c r="D1205" s="78"/>
      <c r="E1205" s="78"/>
      <c r="F1205" s="78"/>
      <c r="G1205" s="78"/>
      <c r="H1205" s="78"/>
      <c r="I1205" s="78"/>
      <c r="J1205" s="78"/>
      <c r="K1205" s="78"/>
      <c r="L1205" s="78"/>
      <c r="M1205" s="78"/>
      <c r="N1205" s="78"/>
      <c r="O1205" s="78"/>
      <c r="P1205" s="78"/>
      <c r="Q1205" s="78"/>
      <c r="R1205" s="78"/>
      <c r="S1205" s="78"/>
      <c r="T1205" s="78"/>
      <c r="U1205" s="78"/>
      <c r="V1205" s="78"/>
      <c r="W1205" s="78"/>
      <c r="X1205" s="78"/>
      <c r="Y1205" s="78"/>
      <c r="Z1205" s="78"/>
    </row>
    <row r="1206">
      <c r="A1206" s="78"/>
      <c r="B1206" s="78"/>
      <c r="C1206" s="78"/>
      <c r="D1206" s="78"/>
      <c r="E1206" s="78"/>
      <c r="F1206" s="78"/>
      <c r="G1206" s="78"/>
      <c r="H1206" s="78"/>
      <c r="I1206" s="78"/>
      <c r="J1206" s="78"/>
      <c r="K1206" s="78"/>
      <c r="L1206" s="78"/>
      <c r="M1206" s="78"/>
      <c r="N1206" s="78"/>
      <c r="O1206" s="78"/>
      <c r="P1206" s="78"/>
      <c r="Q1206" s="78"/>
      <c r="R1206" s="78"/>
      <c r="S1206" s="78"/>
      <c r="T1206" s="78"/>
      <c r="U1206" s="78"/>
      <c r="V1206" s="78"/>
      <c r="W1206" s="78"/>
      <c r="X1206" s="78"/>
      <c r="Y1206" s="78"/>
      <c r="Z1206" s="78"/>
    </row>
    <row r="1207">
      <c r="A1207" s="78"/>
      <c r="B1207" s="78"/>
      <c r="C1207" s="78"/>
      <c r="D1207" s="78"/>
      <c r="E1207" s="78"/>
      <c r="F1207" s="78"/>
      <c r="G1207" s="78"/>
      <c r="H1207" s="78"/>
      <c r="I1207" s="78"/>
      <c r="J1207" s="78"/>
      <c r="K1207" s="78"/>
      <c r="L1207" s="78"/>
      <c r="M1207" s="78"/>
      <c r="N1207" s="78"/>
      <c r="O1207" s="78"/>
      <c r="P1207" s="78"/>
      <c r="Q1207" s="78"/>
      <c r="R1207" s="78"/>
      <c r="S1207" s="78"/>
      <c r="T1207" s="78"/>
      <c r="U1207" s="78"/>
      <c r="V1207" s="78"/>
      <c r="W1207" s="78"/>
      <c r="X1207" s="78"/>
      <c r="Y1207" s="78"/>
      <c r="Z1207" s="78"/>
    </row>
    <row r="1208">
      <c r="A1208" s="78"/>
      <c r="B1208" s="78"/>
      <c r="C1208" s="78"/>
      <c r="D1208" s="78"/>
      <c r="E1208" s="78"/>
      <c r="F1208" s="78"/>
      <c r="G1208" s="78"/>
      <c r="H1208" s="78"/>
      <c r="I1208" s="78"/>
      <c r="J1208" s="78"/>
      <c r="K1208" s="78"/>
      <c r="L1208" s="78"/>
      <c r="M1208" s="78"/>
      <c r="N1208" s="78"/>
      <c r="O1208" s="78"/>
      <c r="P1208" s="78"/>
      <c r="Q1208" s="78"/>
      <c r="R1208" s="78"/>
      <c r="S1208" s="78"/>
      <c r="T1208" s="78"/>
      <c r="U1208" s="78"/>
      <c r="V1208" s="78"/>
      <c r="W1208" s="78"/>
      <c r="X1208" s="78"/>
      <c r="Y1208" s="78"/>
      <c r="Z1208" s="78"/>
    </row>
    <row r="1209">
      <c r="A1209" s="78"/>
      <c r="B1209" s="78"/>
      <c r="C1209" s="78"/>
      <c r="D1209" s="78"/>
      <c r="E1209" s="78"/>
      <c r="F1209" s="78"/>
      <c r="G1209" s="78"/>
      <c r="H1209" s="78"/>
      <c r="I1209" s="78"/>
      <c r="J1209" s="78"/>
      <c r="K1209" s="78"/>
      <c r="L1209" s="78"/>
      <c r="M1209" s="78"/>
      <c r="N1209" s="78"/>
      <c r="O1209" s="78"/>
      <c r="P1209" s="78"/>
      <c r="Q1209" s="78"/>
      <c r="R1209" s="78"/>
      <c r="S1209" s="78"/>
      <c r="T1209" s="78"/>
      <c r="U1209" s="78"/>
      <c r="V1209" s="78"/>
      <c r="W1209" s="78"/>
      <c r="X1209" s="78"/>
      <c r="Y1209" s="78"/>
      <c r="Z1209" s="78"/>
    </row>
    <row r="1210">
      <c r="A1210" s="78"/>
      <c r="B1210" s="78"/>
      <c r="C1210" s="78"/>
      <c r="D1210" s="78"/>
      <c r="E1210" s="78"/>
      <c r="F1210" s="78"/>
      <c r="G1210" s="78"/>
      <c r="H1210" s="78"/>
      <c r="I1210" s="78"/>
      <c r="J1210" s="78"/>
      <c r="K1210" s="78"/>
      <c r="L1210" s="78"/>
      <c r="M1210" s="78"/>
      <c r="N1210" s="78"/>
      <c r="O1210" s="78"/>
      <c r="P1210" s="78"/>
      <c r="Q1210" s="78"/>
      <c r="R1210" s="78"/>
      <c r="S1210" s="78"/>
      <c r="T1210" s="78"/>
      <c r="U1210" s="78"/>
      <c r="V1210" s="78"/>
      <c r="W1210" s="78"/>
      <c r="X1210" s="78"/>
      <c r="Y1210" s="78"/>
      <c r="Z1210" s="78"/>
    </row>
    <row r="1211">
      <c r="A1211" s="78"/>
      <c r="B1211" s="78"/>
      <c r="C1211" s="78"/>
      <c r="D1211" s="78"/>
      <c r="E1211" s="78"/>
      <c r="F1211" s="78"/>
      <c r="G1211" s="78"/>
      <c r="H1211" s="78"/>
      <c r="I1211" s="78"/>
      <c r="J1211" s="78"/>
      <c r="K1211" s="78"/>
      <c r="L1211" s="78"/>
      <c r="M1211" s="78"/>
      <c r="N1211" s="78"/>
      <c r="O1211" s="78"/>
      <c r="P1211" s="78"/>
      <c r="Q1211" s="78"/>
      <c r="R1211" s="78"/>
      <c r="S1211" s="78"/>
      <c r="T1211" s="78"/>
      <c r="U1211" s="78"/>
      <c r="V1211" s="78"/>
      <c r="W1211" s="78"/>
      <c r="X1211" s="78"/>
      <c r="Y1211" s="78"/>
      <c r="Z1211" s="78"/>
    </row>
    <row r="1212">
      <c r="A1212" s="78"/>
      <c r="B1212" s="78"/>
      <c r="C1212" s="78"/>
      <c r="D1212" s="78"/>
      <c r="E1212" s="78"/>
      <c r="F1212" s="78"/>
      <c r="G1212" s="78"/>
      <c r="H1212" s="78"/>
      <c r="I1212" s="78"/>
      <c r="J1212" s="78"/>
      <c r="K1212" s="78"/>
      <c r="L1212" s="78"/>
      <c r="M1212" s="78"/>
      <c r="N1212" s="78"/>
      <c r="O1212" s="78"/>
      <c r="P1212" s="78"/>
      <c r="Q1212" s="78"/>
      <c r="R1212" s="78"/>
      <c r="S1212" s="78"/>
      <c r="T1212" s="78"/>
      <c r="U1212" s="78"/>
      <c r="V1212" s="78"/>
      <c r="W1212" s="78"/>
      <c r="X1212" s="78"/>
      <c r="Y1212" s="78"/>
      <c r="Z1212" s="78"/>
    </row>
    <row r="1213">
      <c r="A1213" s="78"/>
      <c r="B1213" s="78"/>
      <c r="C1213" s="78"/>
      <c r="D1213" s="78"/>
      <c r="E1213" s="78"/>
      <c r="F1213" s="78"/>
      <c r="G1213" s="78"/>
      <c r="H1213" s="78"/>
      <c r="I1213" s="78"/>
      <c r="J1213" s="78"/>
      <c r="K1213" s="78"/>
      <c r="L1213" s="78"/>
      <c r="M1213" s="78"/>
      <c r="N1213" s="78"/>
      <c r="O1213" s="78"/>
      <c r="P1213" s="78"/>
      <c r="Q1213" s="78"/>
      <c r="R1213" s="78"/>
      <c r="S1213" s="78"/>
      <c r="T1213" s="78"/>
      <c r="U1213" s="78"/>
      <c r="V1213" s="78"/>
      <c r="W1213" s="78"/>
      <c r="X1213" s="78"/>
      <c r="Y1213" s="78"/>
      <c r="Z1213" s="78"/>
    </row>
    <row r="1214">
      <c r="A1214" s="78"/>
      <c r="B1214" s="78"/>
      <c r="C1214" s="78"/>
      <c r="D1214" s="78"/>
      <c r="E1214" s="78"/>
      <c r="F1214" s="78"/>
      <c r="G1214" s="78"/>
      <c r="H1214" s="78"/>
      <c r="I1214" s="78"/>
      <c r="J1214" s="78"/>
      <c r="K1214" s="78"/>
      <c r="L1214" s="78"/>
      <c r="M1214" s="78"/>
      <c r="N1214" s="78"/>
      <c r="O1214" s="78"/>
      <c r="P1214" s="78"/>
      <c r="Q1214" s="78"/>
      <c r="R1214" s="78"/>
      <c r="S1214" s="78"/>
      <c r="T1214" s="78"/>
      <c r="U1214" s="78"/>
      <c r="V1214" s="78"/>
      <c r="W1214" s="78"/>
      <c r="X1214" s="78"/>
      <c r="Y1214" s="78"/>
      <c r="Z1214" s="78"/>
    </row>
    <row r="1215">
      <c r="A1215" s="78"/>
      <c r="B1215" s="78"/>
      <c r="C1215" s="78"/>
      <c r="D1215" s="78"/>
      <c r="E1215" s="78"/>
      <c r="F1215" s="78"/>
      <c r="G1215" s="78"/>
      <c r="H1215" s="78"/>
      <c r="I1215" s="78"/>
      <c r="J1215" s="78"/>
      <c r="K1215" s="78"/>
      <c r="L1215" s="78"/>
      <c r="M1215" s="78"/>
      <c r="N1215" s="78"/>
      <c r="O1215" s="78"/>
      <c r="P1215" s="78"/>
      <c r="Q1215" s="78"/>
      <c r="R1215" s="78"/>
      <c r="S1215" s="78"/>
      <c r="T1215" s="78"/>
      <c r="U1215" s="78"/>
      <c r="V1215" s="78"/>
      <c r="W1215" s="78"/>
      <c r="X1215" s="78"/>
      <c r="Y1215" s="78"/>
      <c r="Z1215" s="78"/>
    </row>
    <row r="1216">
      <c r="A1216" s="78"/>
      <c r="B1216" s="78"/>
      <c r="C1216" s="78"/>
      <c r="D1216" s="78"/>
      <c r="E1216" s="78"/>
      <c r="F1216" s="78"/>
      <c r="G1216" s="78"/>
      <c r="H1216" s="78"/>
      <c r="I1216" s="78"/>
      <c r="J1216" s="78"/>
      <c r="K1216" s="78"/>
      <c r="L1216" s="78"/>
      <c r="M1216" s="78"/>
      <c r="N1216" s="78"/>
      <c r="O1216" s="78"/>
      <c r="P1216" s="78"/>
      <c r="Q1216" s="78"/>
      <c r="R1216" s="78"/>
      <c r="S1216" s="78"/>
      <c r="T1216" s="78"/>
      <c r="U1216" s="78"/>
      <c r="V1216" s="78"/>
      <c r="W1216" s="78"/>
      <c r="X1216" s="78"/>
      <c r="Y1216" s="78"/>
      <c r="Z1216" s="78"/>
    </row>
    <row r="1217">
      <c r="A1217" s="78"/>
      <c r="B1217" s="78"/>
      <c r="C1217" s="78"/>
      <c r="D1217" s="78"/>
      <c r="E1217" s="78"/>
      <c r="F1217" s="78"/>
      <c r="G1217" s="78"/>
      <c r="H1217" s="78"/>
      <c r="I1217" s="78"/>
      <c r="J1217" s="78"/>
      <c r="K1217" s="78"/>
      <c r="L1217" s="78"/>
      <c r="M1217" s="78"/>
      <c r="N1217" s="78"/>
      <c r="O1217" s="78"/>
      <c r="P1217" s="78"/>
      <c r="Q1217" s="78"/>
      <c r="R1217" s="78"/>
      <c r="S1217" s="78"/>
      <c r="T1217" s="78"/>
      <c r="U1217" s="78"/>
      <c r="V1217" s="78"/>
      <c r="W1217" s="78"/>
      <c r="X1217" s="78"/>
      <c r="Y1217" s="78"/>
      <c r="Z1217" s="78"/>
    </row>
    <row r="1218">
      <c r="A1218" s="78"/>
      <c r="B1218" s="78"/>
      <c r="C1218" s="78"/>
      <c r="D1218" s="78"/>
      <c r="E1218" s="78"/>
      <c r="F1218" s="78"/>
      <c r="G1218" s="78"/>
      <c r="H1218" s="78"/>
      <c r="I1218" s="78"/>
      <c r="J1218" s="78"/>
      <c r="K1218" s="78"/>
      <c r="L1218" s="78"/>
      <c r="M1218" s="78"/>
      <c r="N1218" s="78"/>
      <c r="O1218" s="78"/>
      <c r="P1218" s="78"/>
      <c r="Q1218" s="78"/>
      <c r="R1218" s="78"/>
      <c r="S1218" s="78"/>
      <c r="T1218" s="78"/>
      <c r="U1218" s="78"/>
      <c r="V1218" s="78"/>
      <c r="W1218" s="78"/>
      <c r="X1218" s="78"/>
      <c r="Y1218" s="78"/>
      <c r="Z1218" s="78"/>
    </row>
    <row r="1219">
      <c r="A1219" s="78"/>
      <c r="B1219" s="78"/>
      <c r="C1219" s="78"/>
      <c r="D1219" s="78"/>
      <c r="E1219" s="78"/>
      <c r="F1219" s="78"/>
      <c r="G1219" s="78"/>
      <c r="H1219" s="78"/>
      <c r="I1219" s="78"/>
      <c r="J1219" s="78"/>
      <c r="K1219" s="78"/>
      <c r="L1219" s="78"/>
      <c r="M1219" s="78"/>
      <c r="N1219" s="78"/>
      <c r="O1219" s="78"/>
      <c r="P1219" s="78"/>
      <c r="Q1219" s="78"/>
      <c r="R1219" s="78"/>
      <c r="S1219" s="78"/>
      <c r="T1219" s="78"/>
      <c r="U1219" s="78"/>
      <c r="V1219" s="78"/>
      <c r="W1219" s="78"/>
      <c r="X1219" s="78"/>
      <c r="Y1219" s="78"/>
      <c r="Z1219" s="78"/>
    </row>
    <row r="1220">
      <c r="A1220" s="78"/>
      <c r="B1220" s="78"/>
      <c r="C1220" s="78"/>
      <c r="D1220" s="78"/>
      <c r="E1220" s="78"/>
      <c r="F1220" s="78"/>
      <c r="G1220" s="78"/>
      <c r="H1220" s="78"/>
      <c r="I1220" s="78"/>
      <c r="J1220" s="78"/>
      <c r="K1220" s="78"/>
      <c r="L1220" s="78"/>
      <c r="M1220" s="78"/>
      <c r="N1220" s="78"/>
      <c r="O1220" s="78"/>
      <c r="P1220" s="78"/>
      <c r="Q1220" s="78"/>
      <c r="R1220" s="78"/>
      <c r="S1220" s="78"/>
      <c r="T1220" s="78"/>
      <c r="U1220" s="78"/>
      <c r="V1220" s="78"/>
      <c r="W1220" s="78"/>
      <c r="X1220" s="78"/>
      <c r="Y1220" s="78"/>
      <c r="Z1220" s="78"/>
    </row>
    <row r="1221">
      <c r="A1221" s="78"/>
      <c r="B1221" s="78"/>
      <c r="C1221" s="78"/>
      <c r="D1221" s="78"/>
      <c r="E1221" s="78"/>
      <c r="F1221" s="78"/>
      <c r="G1221" s="78"/>
      <c r="H1221" s="78"/>
      <c r="I1221" s="78"/>
      <c r="J1221" s="78"/>
      <c r="K1221" s="78"/>
      <c r="L1221" s="78"/>
      <c r="M1221" s="78"/>
      <c r="N1221" s="78"/>
      <c r="O1221" s="78"/>
      <c r="P1221" s="78"/>
      <c r="Q1221" s="78"/>
      <c r="R1221" s="78"/>
      <c r="S1221" s="78"/>
      <c r="T1221" s="78"/>
      <c r="U1221" s="78"/>
      <c r="V1221" s="78"/>
      <c r="W1221" s="78"/>
      <c r="X1221" s="78"/>
      <c r="Y1221" s="78"/>
      <c r="Z1221" s="78"/>
    </row>
    <row r="1222">
      <c r="A1222" s="78"/>
      <c r="B1222" s="78"/>
      <c r="C1222" s="78"/>
      <c r="D1222" s="78"/>
      <c r="E1222" s="78"/>
      <c r="F1222" s="78"/>
      <c r="G1222" s="78"/>
      <c r="H1222" s="78"/>
      <c r="I1222" s="78"/>
      <c r="J1222" s="78"/>
      <c r="K1222" s="78"/>
      <c r="L1222" s="78"/>
      <c r="M1222" s="78"/>
      <c r="N1222" s="78"/>
      <c r="O1222" s="78"/>
      <c r="P1222" s="78"/>
      <c r="Q1222" s="78"/>
      <c r="R1222" s="78"/>
      <c r="S1222" s="78"/>
      <c r="T1222" s="78"/>
      <c r="U1222" s="78"/>
      <c r="V1222" s="78"/>
      <c r="W1222" s="78"/>
      <c r="X1222" s="78"/>
      <c r="Y1222" s="78"/>
      <c r="Z1222" s="78"/>
    </row>
    <row r="1223">
      <c r="A1223" s="78"/>
      <c r="B1223" s="78"/>
      <c r="C1223" s="78"/>
      <c r="D1223" s="78"/>
      <c r="E1223" s="78"/>
      <c r="F1223" s="78"/>
      <c r="G1223" s="78"/>
      <c r="H1223" s="78"/>
      <c r="I1223" s="78"/>
      <c r="J1223" s="78"/>
      <c r="K1223" s="78"/>
      <c r="L1223" s="78"/>
      <c r="M1223" s="78"/>
      <c r="N1223" s="78"/>
      <c r="O1223" s="78"/>
      <c r="P1223" s="78"/>
      <c r="Q1223" s="78"/>
      <c r="R1223" s="78"/>
      <c r="S1223" s="78"/>
      <c r="T1223" s="78"/>
      <c r="U1223" s="78"/>
      <c r="V1223" s="78"/>
      <c r="W1223" s="78"/>
      <c r="X1223" s="78"/>
      <c r="Y1223" s="78"/>
      <c r="Z1223" s="78"/>
    </row>
    <row r="1224">
      <c r="A1224" s="78"/>
      <c r="B1224" s="78"/>
      <c r="C1224" s="78"/>
      <c r="D1224" s="78"/>
      <c r="E1224" s="78"/>
      <c r="F1224" s="78"/>
      <c r="G1224" s="78"/>
      <c r="H1224" s="78"/>
      <c r="I1224" s="78"/>
      <c r="J1224" s="78"/>
      <c r="K1224" s="78"/>
      <c r="L1224" s="78"/>
      <c r="M1224" s="78"/>
      <c r="N1224" s="78"/>
      <c r="O1224" s="78"/>
      <c r="P1224" s="78"/>
      <c r="Q1224" s="78"/>
      <c r="R1224" s="78"/>
      <c r="S1224" s="78"/>
      <c r="T1224" s="78"/>
      <c r="U1224" s="78"/>
      <c r="V1224" s="78"/>
      <c r="W1224" s="78"/>
      <c r="X1224" s="78"/>
      <c r="Y1224" s="78"/>
      <c r="Z1224" s="78"/>
    </row>
    <row r="1225">
      <c r="A1225" s="78"/>
      <c r="B1225" s="78"/>
      <c r="C1225" s="78"/>
      <c r="D1225" s="78"/>
      <c r="E1225" s="78"/>
      <c r="F1225" s="78"/>
      <c r="G1225" s="78"/>
      <c r="H1225" s="78"/>
      <c r="I1225" s="78"/>
      <c r="J1225" s="78"/>
      <c r="K1225" s="78"/>
      <c r="L1225" s="78"/>
      <c r="M1225" s="78"/>
      <c r="N1225" s="78"/>
      <c r="O1225" s="78"/>
      <c r="P1225" s="78"/>
      <c r="Q1225" s="78"/>
      <c r="R1225" s="78"/>
      <c r="S1225" s="78"/>
      <c r="T1225" s="78"/>
      <c r="U1225" s="78"/>
      <c r="V1225" s="78"/>
      <c r="W1225" s="78"/>
      <c r="X1225" s="78"/>
      <c r="Y1225" s="78"/>
      <c r="Z1225" s="78"/>
    </row>
    <row r="1226">
      <c r="A1226" s="78"/>
      <c r="B1226" s="78"/>
      <c r="C1226" s="78"/>
      <c r="D1226" s="78"/>
      <c r="E1226" s="78"/>
      <c r="F1226" s="78"/>
      <c r="G1226" s="78"/>
      <c r="H1226" s="78"/>
      <c r="I1226" s="78"/>
      <c r="J1226" s="78"/>
      <c r="K1226" s="78"/>
      <c r="L1226" s="78"/>
      <c r="M1226" s="78"/>
      <c r="N1226" s="78"/>
      <c r="O1226" s="78"/>
      <c r="P1226" s="78"/>
      <c r="Q1226" s="78"/>
      <c r="R1226" s="78"/>
      <c r="S1226" s="78"/>
      <c r="T1226" s="78"/>
      <c r="U1226" s="78"/>
      <c r="V1226" s="78"/>
      <c r="W1226" s="78"/>
      <c r="X1226" s="78"/>
      <c r="Y1226" s="78"/>
      <c r="Z1226" s="78"/>
    </row>
    <row r="1227">
      <c r="A1227" s="78"/>
      <c r="B1227" s="78"/>
      <c r="C1227" s="78"/>
      <c r="D1227" s="78"/>
      <c r="E1227" s="78"/>
      <c r="F1227" s="78"/>
      <c r="G1227" s="78"/>
      <c r="H1227" s="78"/>
      <c r="I1227" s="78"/>
      <c r="J1227" s="78"/>
      <c r="K1227" s="78"/>
      <c r="L1227" s="78"/>
      <c r="M1227" s="78"/>
      <c r="N1227" s="78"/>
      <c r="O1227" s="78"/>
      <c r="P1227" s="78"/>
      <c r="Q1227" s="78"/>
      <c r="R1227" s="78"/>
      <c r="S1227" s="78"/>
      <c r="T1227" s="78"/>
      <c r="U1227" s="78"/>
      <c r="V1227" s="78"/>
      <c r="W1227" s="78"/>
      <c r="X1227" s="78"/>
      <c r="Y1227" s="78"/>
      <c r="Z1227" s="78"/>
    </row>
    <row r="1228">
      <c r="A1228" s="78"/>
      <c r="B1228" s="78"/>
      <c r="C1228" s="78"/>
      <c r="D1228" s="78"/>
      <c r="E1228" s="78"/>
      <c r="F1228" s="78"/>
      <c r="G1228" s="78"/>
      <c r="H1228" s="78"/>
      <c r="I1228" s="78"/>
      <c r="J1228" s="78"/>
      <c r="K1228" s="78"/>
      <c r="L1228" s="78"/>
      <c r="M1228" s="78"/>
      <c r="N1228" s="78"/>
      <c r="O1228" s="78"/>
      <c r="P1228" s="78"/>
      <c r="Q1228" s="78"/>
      <c r="R1228" s="78"/>
      <c r="S1228" s="78"/>
      <c r="T1228" s="78"/>
      <c r="U1228" s="78"/>
      <c r="V1228" s="78"/>
      <c r="W1228" s="78"/>
      <c r="X1228" s="78"/>
      <c r="Y1228" s="78"/>
      <c r="Z1228" s="78"/>
    </row>
    <row r="1229">
      <c r="A1229" s="78"/>
      <c r="B1229" s="78"/>
      <c r="C1229" s="78"/>
      <c r="D1229" s="78"/>
      <c r="E1229" s="78"/>
      <c r="F1229" s="78"/>
      <c r="G1229" s="78"/>
      <c r="H1229" s="78"/>
      <c r="I1229" s="78"/>
      <c r="J1229" s="78"/>
      <c r="K1229" s="78"/>
      <c r="L1229" s="78"/>
      <c r="M1229" s="78"/>
      <c r="N1229" s="78"/>
      <c r="O1229" s="78"/>
      <c r="P1229" s="78"/>
      <c r="Q1229" s="78"/>
      <c r="R1229" s="78"/>
      <c r="S1229" s="78"/>
      <c r="T1229" s="78"/>
      <c r="U1229" s="78"/>
      <c r="V1229" s="78"/>
      <c r="W1229" s="78"/>
      <c r="X1229" s="78"/>
      <c r="Y1229" s="78"/>
      <c r="Z1229" s="78"/>
    </row>
    <row r="1230">
      <c r="A1230" s="78"/>
      <c r="B1230" s="78"/>
      <c r="C1230" s="78"/>
      <c r="D1230" s="78"/>
      <c r="E1230" s="78"/>
      <c r="F1230" s="78"/>
      <c r="G1230" s="78"/>
      <c r="H1230" s="78"/>
      <c r="I1230" s="78"/>
      <c r="J1230" s="78"/>
      <c r="K1230" s="78"/>
      <c r="L1230" s="78"/>
      <c r="M1230" s="78"/>
      <c r="N1230" s="78"/>
      <c r="O1230" s="78"/>
      <c r="P1230" s="78"/>
      <c r="Q1230" s="78"/>
      <c r="R1230" s="78"/>
      <c r="S1230" s="78"/>
      <c r="T1230" s="78"/>
      <c r="U1230" s="78"/>
      <c r="V1230" s="78"/>
      <c r="W1230" s="78"/>
      <c r="X1230" s="78"/>
      <c r="Y1230" s="78"/>
      <c r="Z1230" s="78"/>
    </row>
    <row r="1231">
      <c r="A1231" s="78"/>
      <c r="B1231" s="78"/>
      <c r="C1231" s="78"/>
      <c r="D1231" s="78"/>
      <c r="E1231" s="78"/>
      <c r="F1231" s="78"/>
      <c r="G1231" s="78"/>
      <c r="H1231" s="78"/>
      <c r="I1231" s="78"/>
      <c r="J1231" s="78"/>
      <c r="K1231" s="78"/>
      <c r="L1231" s="78"/>
      <c r="M1231" s="78"/>
      <c r="N1231" s="78"/>
      <c r="O1231" s="78"/>
      <c r="P1231" s="78"/>
      <c r="Q1231" s="78"/>
      <c r="R1231" s="78"/>
      <c r="S1231" s="78"/>
      <c r="T1231" s="78"/>
      <c r="U1231" s="78"/>
      <c r="V1231" s="78"/>
      <c r="W1231" s="78"/>
      <c r="X1231" s="78"/>
      <c r="Y1231" s="78"/>
      <c r="Z1231" s="78"/>
    </row>
    <row r="1232">
      <c r="A1232" s="78"/>
      <c r="B1232" s="78"/>
      <c r="C1232" s="78"/>
      <c r="D1232" s="78"/>
      <c r="E1232" s="78"/>
      <c r="F1232" s="78"/>
      <c r="G1232" s="78"/>
      <c r="H1232" s="78"/>
      <c r="I1232" s="78"/>
      <c r="J1232" s="78"/>
      <c r="K1232" s="78"/>
      <c r="L1232" s="78"/>
      <c r="M1232" s="78"/>
      <c r="N1232" s="78"/>
      <c r="O1232" s="78"/>
      <c r="P1232" s="78"/>
      <c r="Q1232" s="78"/>
      <c r="R1232" s="78"/>
      <c r="S1232" s="78"/>
      <c r="T1232" s="78"/>
      <c r="U1232" s="78"/>
      <c r="V1232" s="78"/>
      <c r="W1232" s="78"/>
      <c r="X1232" s="78"/>
      <c r="Y1232" s="78"/>
      <c r="Z1232" s="78"/>
    </row>
    <row r="1233">
      <c r="A1233" s="78"/>
      <c r="B1233" s="78"/>
      <c r="C1233" s="78"/>
      <c r="D1233" s="78"/>
      <c r="E1233" s="78"/>
      <c r="F1233" s="78"/>
      <c r="G1233" s="78"/>
      <c r="H1233" s="78"/>
      <c r="I1233" s="78"/>
      <c r="J1233" s="78"/>
      <c r="K1233" s="78"/>
      <c r="L1233" s="78"/>
      <c r="M1233" s="78"/>
      <c r="N1233" s="78"/>
      <c r="O1233" s="78"/>
      <c r="P1233" s="78"/>
      <c r="Q1233" s="78"/>
      <c r="R1233" s="78"/>
      <c r="S1233" s="78"/>
      <c r="T1233" s="78"/>
      <c r="U1233" s="78"/>
      <c r="V1233" s="78"/>
      <c r="W1233" s="78"/>
      <c r="X1233" s="78"/>
      <c r="Y1233" s="78"/>
      <c r="Z1233" s="78"/>
    </row>
    <row r="1234">
      <c r="A1234" s="78"/>
      <c r="B1234" s="78"/>
      <c r="C1234" s="78"/>
      <c r="D1234" s="78"/>
      <c r="E1234" s="78"/>
      <c r="F1234" s="78"/>
      <c r="G1234" s="78"/>
      <c r="H1234" s="78"/>
      <c r="I1234" s="78"/>
      <c r="J1234" s="78"/>
      <c r="K1234" s="78"/>
      <c r="L1234" s="78"/>
      <c r="M1234" s="78"/>
      <c r="N1234" s="78"/>
      <c r="O1234" s="78"/>
      <c r="P1234" s="78"/>
      <c r="Q1234" s="78"/>
      <c r="R1234" s="78"/>
      <c r="S1234" s="78"/>
      <c r="T1234" s="78"/>
      <c r="U1234" s="78"/>
      <c r="V1234" s="78"/>
      <c r="W1234" s="78"/>
      <c r="X1234" s="78"/>
      <c r="Y1234" s="78"/>
      <c r="Z1234" s="78"/>
    </row>
    <row r="1235">
      <c r="A1235" s="78"/>
      <c r="B1235" s="78"/>
      <c r="C1235" s="78"/>
      <c r="D1235" s="78"/>
      <c r="E1235" s="78"/>
      <c r="F1235" s="78"/>
      <c r="G1235" s="78"/>
      <c r="H1235" s="78"/>
      <c r="I1235" s="78"/>
      <c r="J1235" s="78"/>
      <c r="K1235" s="78"/>
      <c r="L1235" s="78"/>
      <c r="M1235" s="78"/>
      <c r="N1235" s="78"/>
      <c r="O1235" s="78"/>
      <c r="P1235" s="78"/>
      <c r="Q1235" s="78"/>
      <c r="R1235" s="78"/>
      <c r="S1235" s="78"/>
      <c r="T1235" s="78"/>
      <c r="U1235" s="78"/>
      <c r="V1235" s="78"/>
      <c r="W1235" s="78"/>
      <c r="X1235" s="78"/>
      <c r="Y1235" s="78"/>
      <c r="Z1235" s="78"/>
    </row>
    <row r="1236">
      <c r="A1236" s="78"/>
      <c r="B1236" s="78"/>
      <c r="C1236" s="78"/>
      <c r="D1236" s="78"/>
      <c r="E1236" s="78"/>
      <c r="F1236" s="78"/>
      <c r="G1236" s="78"/>
      <c r="H1236" s="78"/>
      <c r="I1236" s="78"/>
      <c r="J1236" s="78"/>
      <c r="K1236" s="78"/>
      <c r="L1236" s="78"/>
      <c r="M1236" s="78"/>
      <c r="N1236" s="78"/>
      <c r="O1236" s="78"/>
      <c r="P1236" s="78"/>
      <c r="Q1236" s="78"/>
      <c r="R1236" s="78"/>
      <c r="S1236" s="78"/>
      <c r="T1236" s="78"/>
      <c r="U1236" s="78"/>
      <c r="V1236" s="78"/>
      <c r="W1236" s="78"/>
      <c r="X1236" s="78"/>
      <c r="Y1236" s="78"/>
      <c r="Z1236" s="78"/>
    </row>
    <row r="1237">
      <c r="A1237" s="78"/>
      <c r="B1237" s="78"/>
      <c r="C1237" s="78"/>
      <c r="D1237" s="78"/>
      <c r="E1237" s="78"/>
      <c r="F1237" s="78"/>
      <c r="G1237" s="78"/>
      <c r="H1237" s="78"/>
      <c r="I1237" s="78"/>
      <c r="J1237" s="78"/>
      <c r="K1237" s="78"/>
      <c r="L1237" s="78"/>
      <c r="M1237" s="78"/>
      <c r="N1237" s="78"/>
      <c r="O1237" s="78"/>
      <c r="P1237" s="78"/>
      <c r="Q1237" s="78"/>
      <c r="R1237" s="78"/>
      <c r="S1237" s="78"/>
      <c r="T1237" s="78"/>
      <c r="U1237" s="78"/>
      <c r="V1237" s="78"/>
      <c r="W1237" s="78"/>
      <c r="X1237" s="78"/>
      <c r="Y1237" s="78"/>
      <c r="Z1237" s="78"/>
    </row>
    <row r="1238">
      <c r="A1238" s="78"/>
      <c r="B1238" s="78"/>
      <c r="C1238" s="78"/>
      <c r="D1238" s="78"/>
      <c r="E1238" s="78"/>
      <c r="F1238" s="78"/>
      <c r="G1238" s="78"/>
      <c r="H1238" s="78"/>
      <c r="I1238" s="78"/>
      <c r="J1238" s="78"/>
      <c r="K1238" s="78"/>
      <c r="L1238" s="78"/>
      <c r="M1238" s="78"/>
      <c r="N1238" s="78"/>
      <c r="O1238" s="78"/>
      <c r="P1238" s="78"/>
      <c r="Q1238" s="78"/>
      <c r="R1238" s="78"/>
      <c r="S1238" s="78"/>
      <c r="T1238" s="78"/>
      <c r="U1238" s="78"/>
      <c r="V1238" s="78"/>
      <c r="W1238" s="78"/>
      <c r="X1238" s="78"/>
      <c r="Y1238" s="78"/>
      <c r="Z1238" s="78"/>
    </row>
    <row r="1239">
      <c r="A1239" s="78"/>
      <c r="B1239" s="78"/>
      <c r="C1239" s="78"/>
      <c r="D1239" s="78"/>
      <c r="E1239" s="78"/>
      <c r="F1239" s="78"/>
      <c r="G1239" s="78"/>
      <c r="H1239" s="78"/>
      <c r="I1239" s="78"/>
      <c r="J1239" s="78"/>
      <c r="K1239" s="78"/>
      <c r="L1239" s="78"/>
      <c r="M1239" s="78"/>
      <c r="N1239" s="78"/>
      <c r="O1239" s="78"/>
      <c r="P1239" s="78"/>
      <c r="Q1239" s="78"/>
      <c r="R1239" s="78"/>
      <c r="S1239" s="78"/>
      <c r="T1239" s="78"/>
      <c r="U1239" s="78"/>
      <c r="V1239" s="78"/>
      <c r="W1239" s="78"/>
      <c r="X1239" s="78"/>
      <c r="Y1239" s="78"/>
      <c r="Z1239" s="78"/>
    </row>
    <row r="1240">
      <c r="A1240" s="78"/>
      <c r="B1240" s="78"/>
      <c r="C1240" s="78"/>
      <c r="D1240" s="78"/>
      <c r="E1240" s="78"/>
      <c r="F1240" s="78"/>
      <c r="G1240" s="78"/>
      <c r="H1240" s="78"/>
      <c r="I1240" s="78"/>
      <c r="J1240" s="78"/>
      <c r="K1240" s="78"/>
      <c r="L1240" s="78"/>
      <c r="M1240" s="78"/>
      <c r="N1240" s="78"/>
      <c r="O1240" s="78"/>
      <c r="P1240" s="78"/>
      <c r="Q1240" s="78"/>
      <c r="R1240" s="78"/>
      <c r="S1240" s="78"/>
      <c r="T1240" s="78"/>
      <c r="U1240" s="78"/>
      <c r="V1240" s="78"/>
      <c r="W1240" s="78"/>
      <c r="X1240" s="78"/>
      <c r="Y1240" s="78"/>
      <c r="Z1240" s="78"/>
    </row>
    <row r="1241">
      <c r="A1241" s="78"/>
      <c r="B1241" s="78"/>
      <c r="C1241" s="78"/>
      <c r="D1241" s="78"/>
      <c r="E1241" s="78"/>
      <c r="F1241" s="78"/>
      <c r="G1241" s="78"/>
      <c r="H1241" s="78"/>
      <c r="I1241" s="78"/>
      <c r="J1241" s="78"/>
      <c r="K1241" s="78"/>
      <c r="L1241" s="78"/>
      <c r="M1241" s="78"/>
      <c r="N1241" s="78"/>
      <c r="O1241" s="78"/>
      <c r="P1241" s="78"/>
      <c r="Q1241" s="78"/>
      <c r="R1241" s="78"/>
      <c r="S1241" s="78"/>
      <c r="T1241" s="78"/>
      <c r="U1241" s="78"/>
      <c r="V1241" s="78"/>
      <c r="W1241" s="78"/>
      <c r="X1241" s="78"/>
      <c r="Y1241" s="78"/>
      <c r="Z1241" s="78"/>
    </row>
    <row r="1242">
      <c r="A1242" s="78"/>
      <c r="B1242" s="78"/>
      <c r="C1242" s="78"/>
      <c r="D1242" s="78"/>
      <c r="E1242" s="78"/>
      <c r="F1242" s="78"/>
      <c r="G1242" s="78"/>
      <c r="H1242" s="78"/>
      <c r="I1242" s="78"/>
      <c r="J1242" s="78"/>
      <c r="K1242" s="78"/>
      <c r="L1242" s="78"/>
      <c r="M1242" s="78"/>
      <c r="N1242" s="78"/>
      <c r="O1242" s="78"/>
      <c r="P1242" s="78"/>
      <c r="Q1242" s="78"/>
      <c r="R1242" s="78"/>
      <c r="S1242" s="78"/>
      <c r="T1242" s="78"/>
      <c r="U1242" s="78"/>
      <c r="V1242" s="78"/>
      <c r="W1242" s="78"/>
      <c r="X1242" s="78"/>
      <c r="Y1242" s="78"/>
      <c r="Z1242" s="78"/>
    </row>
    <row r="1243">
      <c r="A1243" s="78"/>
      <c r="B1243" s="78"/>
      <c r="C1243" s="78"/>
      <c r="D1243" s="78"/>
      <c r="E1243" s="78"/>
      <c r="F1243" s="78"/>
      <c r="G1243" s="78"/>
      <c r="H1243" s="78"/>
      <c r="I1243" s="78"/>
      <c r="J1243" s="78"/>
      <c r="K1243" s="78"/>
      <c r="L1243" s="78"/>
      <c r="M1243" s="78"/>
      <c r="N1243" s="78"/>
      <c r="O1243" s="78"/>
      <c r="P1243" s="78"/>
      <c r="Q1243" s="78"/>
      <c r="R1243" s="78"/>
      <c r="S1243" s="78"/>
      <c r="T1243" s="78"/>
      <c r="U1243" s="78"/>
      <c r="V1243" s="78"/>
      <c r="W1243" s="78"/>
      <c r="X1243" s="78"/>
      <c r="Y1243" s="78"/>
      <c r="Z1243" s="78"/>
    </row>
    <row r="1244">
      <c r="A1244" s="78"/>
      <c r="B1244" s="78"/>
      <c r="C1244" s="78"/>
      <c r="D1244" s="78"/>
      <c r="E1244" s="78"/>
      <c r="F1244" s="78"/>
      <c r="G1244" s="78"/>
      <c r="H1244" s="78"/>
      <c r="I1244" s="78"/>
      <c r="J1244" s="78"/>
      <c r="K1244" s="78"/>
      <c r="L1244" s="78"/>
      <c r="M1244" s="78"/>
      <c r="N1244" s="78"/>
      <c r="O1244" s="78"/>
      <c r="P1244" s="78"/>
      <c r="Q1244" s="78"/>
      <c r="R1244" s="78"/>
      <c r="S1244" s="78"/>
      <c r="T1244" s="78"/>
      <c r="U1244" s="78"/>
      <c r="V1244" s="78"/>
      <c r="W1244" s="78"/>
      <c r="X1244" s="78"/>
      <c r="Y1244" s="78"/>
      <c r="Z1244" s="78"/>
    </row>
    <row r="1245">
      <c r="A1245" s="78"/>
      <c r="B1245" s="78"/>
      <c r="C1245" s="78"/>
      <c r="D1245" s="78"/>
      <c r="E1245" s="78"/>
      <c r="F1245" s="78"/>
      <c r="G1245" s="78"/>
      <c r="H1245" s="78"/>
      <c r="I1245" s="78"/>
      <c r="J1245" s="78"/>
      <c r="K1245" s="78"/>
      <c r="L1245" s="78"/>
      <c r="M1245" s="78"/>
      <c r="N1245" s="78"/>
      <c r="O1245" s="78"/>
      <c r="P1245" s="78"/>
      <c r="Q1245" s="78"/>
      <c r="R1245" s="78"/>
      <c r="S1245" s="78"/>
      <c r="T1245" s="78"/>
      <c r="U1245" s="78"/>
      <c r="V1245" s="78"/>
      <c r="W1245" s="78"/>
      <c r="X1245" s="78"/>
      <c r="Y1245" s="78"/>
      <c r="Z1245" s="78"/>
    </row>
    <row r="1246">
      <c r="A1246" s="78"/>
      <c r="B1246" s="78"/>
      <c r="C1246" s="78"/>
      <c r="D1246" s="78"/>
      <c r="E1246" s="78"/>
      <c r="F1246" s="78"/>
      <c r="G1246" s="78"/>
      <c r="H1246" s="78"/>
      <c r="I1246" s="78"/>
      <c r="J1246" s="78"/>
      <c r="K1246" s="78"/>
      <c r="L1246" s="78"/>
      <c r="M1246" s="78"/>
      <c r="N1246" s="78"/>
      <c r="O1246" s="78"/>
      <c r="P1246" s="78"/>
      <c r="Q1246" s="78"/>
      <c r="R1246" s="78"/>
      <c r="S1246" s="78"/>
      <c r="T1246" s="78"/>
      <c r="U1246" s="78"/>
      <c r="V1246" s="78"/>
      <c r="W1246" s="78"/>
      <c r="X1246" s="78"/>
      <c r="Y1246" s="78"/>
      <c r="Z1246" s="78"/>
    </row>
    <row r="1247">
      <c r="A1247" s="78"/>
      <c r="B1247" s="78"/>
      <c r="C1247" s="78"/>
      <c r="D1247" s="78"/>
      <c r="E1247" s="78"/>
      <c r="F1247" s="78"/>
      <c r="G1247" s="78"/>
      <c r="H1247" s="78"/>
      <c r="I1247" s="78"/>
      <c r="J1247" s="78"/>
      <c r="K1247" s="78"/>
      <c r="L1247" s="78"/>
      <c r="M1247" s="78"/>
      <c r="N1247" s="78"/>
      <c r="O1247" s="78"/>
      <c r="P1247" s="78"/>
      <c r="Q1247" s="78"/>
      <c r="R1247" s="78"/>
      <c r="S1247" s="78"/>
      <c r="T1247" s="78"/>
      <c r="U1247" s="78"/>
      <c r="V1247" s="78"/>
      <c r="W1247" s="78"/>
      <c r="X1247" s="78"/>
      <c r="Y1247" s="78"/>
      <c r="Z1247" s="78"/>
    </row>
    <row r="1248">
      <c r="A1248" s="78"/>
      <c r="B1248" s="78"/>
      <c r="C1248" s="78"/>
      <c r="D1248" s="78"/>
      <c r="E1248" s="78"/>
      <c r="F1248" s="78"/>
      <c r="G1248" s="78"/>
      <c r="H1248" s="78"/>
      <c r="I1248" s="78"/>
      <c r="J1248" s="78"/>
      <c r="K1248" s="78"/>
      <c r="L1248" s="78"/>
      <c r="M1248" s="78"/>
      <c r="N1248" s="78"/>
      <c r="O1248" s="78"/>
      <c r="P1248" s="78"/>
      <c r="Q1248" s="78"/>
      <c r="R1248" s="78"/>
      <c r="S1248" s="78"/>
      <c r="T1248" s="78"/>
      <c r="U1248" s="78"/>
      <c r="V1248" s="78"/>
      <c r="W1248" s="78"/>
      <c r="X1248" s="78"/>
      <c r="Y1248" s="78"/>
      <c r="Z1248" s="78"/>
    </row>
    <row r="1249">
      <c r="A1249" s="78"/>
      <c r="B1249" s="78"/>
      <c r="C1249" s="78"/>
      <c r="D1249" s="78"/>
      <c r="E1249" s="78"/>
      <c r="F1249" s="78"/>
      <c r="G1249" s="78"/>
      <c r="H1249" s="78"/>
      <c r="I1249" s="78"/>
      <c r="J1249" s="78"/>
      <c r="K1249" s="78"/>
      <c r="L1249" s="78"/>
      <c r="M1249" s="78"/>
      <c r="N1249" s="78"/>
      <c r="O1249" s="78"/>
      <c r="P1249" s="78"/>
      <c r="Q1249" s="78"/>
      <c r="R1249" s="78"/>
      <c r="S1249" s="78"/>
      <c r="T1249" s="78"/>
      <c r="U1249" s="78"/>
      <c r="V1249" s="78"/>
      <c r="W1249" s="78"/>
      <c r="X1249" s="78"/>
      <c r="Y1249" s="78"/>
      <c r="Z1249" s="78"/>
    </row>
    <row r="1250">
      <c r="A1250" s="78"/>
      <c r="B1250" s="78"/>
      <c r="C1250" s="78"/>
      <c r="D1250" s="78"/>
      <c r="E1250" s="78"/>
      <c r="F1250" s="78"/>
      <c r="G1250" s="78"/>
      <c r="H1250" s="78"/>
      <c r="I1250" s="78"/>
      <c r="J1250" s="78"/>
      <c r="K1250" s="78"/>
      <c r="L1250" s="78"/>
      <c r="M1250" s="78"/>
      <c r="N1250" s="78"/>
      <c r="O1250" s="78"/>
      <c r="P1250" s="78"/>
      <c r="Q1250" s="78"/>
      <c r="R1250" s="78"/>
      <c r="S1250" s="78"/>
      <c r="T1250" s="78"/>
      <c r="U1250" s="78"/>
      <c r="V1250" s="78"/>
      <c r="W1250" s="78"/>
      <c r="X1250" s="78"/>
      <c r="Y1250" s="78"/>
      <c r="Z1250" s="78"/>
    </row>
    <row r="1251">
      <c r="A1251" s="78"/>
      <c r="B1251" s="78"/>
      <c r="C1251" s="78"/>
      <c r="D1251" s="78"/>
      <c r="E1251" s="78"/>
      <c r="F1251" s="78"/>
      <c r="G1251" s="78"/>
      <c r="H1251" s="78"/>
      <c r="I1251" s="78"/>
      <c r="J1251" s="78"/>
      <c r="K1251" s="78"/>
      <c r="L1251" s="78"/>
      <c r="M1251" s="78"/>
      <c r="N1251" s="78"/>
      <c r="O1251" s="78"/>
      <c r="P1251" s="78"/>
      <c r="Q1251" s="78"/>
      <c r="R1251" s="78"/>
      <c r="S1251" s="78"/>
      <c r="T1251" s="78"/>
      <c r="U1251" s="78"/>
      <c r="V1251" s="78"/>
      <c r="W1251" s="78"/>
      <c r="X1251" s="78"/>
      <c r="Y1251" s="78"/>
      <c r="Z1251" s="78"/>
    </row>
    <row r="1252">
      <c r="A1252" s="78"/>
      <c r="B1252" s="78"/>
      <c r="C1252" s="78"/>
      <c r="D1252" s="78"/>
      <c r="E1252" s="78"/>
      <c r="F1252" s="78"/>
      <c r="G1252" s="78"/>
      <c r="H1252" s="78"/>
      <c r="I1252" s="78"/>
      <c r="J1252" s="78"/>
      <c r="K1252" s="78"/>
      <c r="L1252" s="78"/>
      <c r="M1252" s="78"/>
      <c r="N1252" s="78"/>
      <c r="O1252" s="78"/>
      <c r="P1252" s="78"/>
      <c r="Q1252" s="78"/>
      <c r="R1252" s="78"/>
      <c r="S1252" s="78"/>
      <c r="T1252" s="78"/>
      <c r="U1252" s="78"/>
      <c r="V1252" s="78"/>
      <c r="W1252" s="78"/>
      <c r="X1252" s="78"/>
      <c r="Y1252" s="78"/>
      <c r="Z1252" s="78"/>
    </row>
    <row r="1253">
      <c r="A1253" s="78"/>
      <c r="B1253" s="78"/>
      <c r="C1253" s="78"/>
      <c r="D1253" s="78"/>
      <c r="E1253" s="78"/>
      <c r="F1253" s="78"/>
      <c r="G1253" s="78"/>
      <c r="H1253" s="78"/>
      <c r="I1253" s="78"/>
      <c r="J1253" s="78"/>
      <c r="K1253" s="78"/>
      <c r="L1253" s="78"/>
      <c r="M1253" s="78"/>
      <c r="N1253" s="78"/>
      <c r="O1253" s="78"/>
      <c r="P1253" s="78"/>
      <c r="Q1253" s="78"/>
      <c r="R1253" s="78"/>
      <c r="S1253" s="78"/>
      <c r="T1253" s="78"/>
      <c r="U1253" s="78"/>
      <c r="V1253" s="78"/>
      <c r="W1253" s="78"/>
      <c r="X1253" s="78"/>
      <c r="Y1253" s="78"/>
      <c r="Z1253" s="78"/>
    </row>
    <row r="1254">
      <c r="A1254" s="78"/>
      <c r="B1254" s="78"/>
      <c r="C1254" s="78"/>
      <c r="D1254" s="78"/>
      <c r="E1254" s="78"/>
      <c r="F1254" s="78"/>
      <c r="G1254" s="78"/>
      <c r="H1254" s="78"/>
      <c r="I1254" s="78"/>
      <c r="J1254" s="78"/>
      <c r="K1254" s="78"/>
      <c r="L1254" s="78"/>
      <c r="M1254" s="78"/>
      <c r="N1254" s="78"/>
      <c r="O1254" s="78"/>
      <c r="P1254" s="78"/>
      <c r="Q1254" s="78"/>
      <c r="R1254" s="78"/>
      <c r="S1254" s="78"/>
      <c r="T1254" s="78"/>
      <c r="U1254" s="78"/>
      <c r="V1254" s="78"/>
      <c r="W1254" s="78"/>
      <c r="X1254" s="78"/>
      <c r="Y1254" s="78"/>
      <c r="Z1254" s="78"/>
    </row>
    <row r="1255">
      <c r="A1255" s="78"/>
      <c r="B1255" s="78"/>
      <c r="C1255" s="78"/>
      <c r="D1255" s="78"/>
      <c r="E1255" s="78"/>
      <c r="F1255" s="78"/>
      <c r="G1255" s="78"/>
      <c r="H1255" s="78"/>
      <c r="I1255" s="78"/>
      <c r="J1255" s="78"/>
      <c r="K1255" s="78"/>
      <c r="L1255" s="78"/>
      <c r="M1255" s="78"/>
      <c r="N1255" s="78"/>
      <c r="O1255" s="78"/>
      <c r="P1255" s="78"/>
      <c r="Q1255" s="78"/>
      <c r="R1255" s="78"/>
      <c r="S1255" s="78"/>
      <c r="T1255" s="78"/>
      <c r="U1255" s="78"/>
      <c r="V1255" s="78"/>
      <c r="W1255" s="78"/>
      <c r="X1255" s="78"/>
      <c r="Y1255" s="78"/>
      <c r="Z1255" s="78"/>
    </row>
    <row r="1256">
      <c r="A1256" s="78"/>
      <c r="B1256" s="78"/>
      <c r="C1256" s="78"/>
      <c r="D1256" s="78"/>
      <c r="E1256" s="78"/>
      <c r="F1256" s="78"/>
      <c r="G1256" s="78"/>
      <c r="H1256" s="78"/>
      <c r="I1256" s="78"/>
      <c r="J1256" s="78"/>
      <c r="K1256" s="78"/>
      <c r="L1256" s="78"/>
      <c r="M1256" s="78"/>
      <c r="N1256" s="78"/>
      <c r="O1256" s="78"/>
      <c r="P1256" s="78"/>
      <c r="Q1256" s="78"/>
      <c r="R1256" s="78"/>
      <c r="S1256" s="78"/>
      <c r="T1256" s="78"/>
      <c r="U1256" s="78"/>
      <c r="V1256" s="78"/>
      <c r="W1256" s="78"/>
      <c r="X1256" s="78"/>
      <c r="Y1256" s="78"/>
      <c r="Z1256" s="78"/>
    </row>
    <row r="1257">
      <c r="A1257" s="78"/>
      <c r="B1257" s="78"/>
      <c r="C1257" s="78"/>
      <c r="D1257" s="78"/>
      <c r="E1257" s="78"/>
      <c r="F1257" s="78"/>
      <c r="G1257" s="78"/>
      <c r="H1257" s="78"/>
      <c r="I1257" s="78"/>
      <c r="J1257" s="78"/>
      <c r="K1257" s="78"/>
      <c r="L1257" s="78"/>
      <c r="M1257" s="78"/>
      <c r="N1257" s="78"/>
      <c r="O1257" s="78"/>
      <c r="P1257" s="78"/>
      <c r="Q1257" s="78"/>
      <c r="R1257" s="78"/>
      <c r="S1257" s="78"/>
      <c r="T1257" s="78"/>
      <c r="U1257" s="78"/>
      <c r="V1257" s="78"/>
      <c r="W1257" s="78"/>
      <c r="X1257" s="78"/>
      <c r="Y1257" s="78"/>
      <c r="Z1257" s="78"/>
    </row>
    <row r="1258">
      <c r="A1258" s="78"/>
      <c r="B1258" s="78"/>
      <c r="C1258" s="78"/>
      <c r="D1258" s="78"/>
      <c r="E1258" s="78"/>
      <c r="F1258" s="78"/>
      <c r="G1258" s="78"/>
      <c r="H1258" s="78"/>
      <c r="I1258" s="78"/>
      <c r="J1258" s="78"/>
      <c r="K1258" s="78"/>
      <c r="L1258" s="78"/>
      <c r="M1258" s="78"/>
      <c r="N1258" s="78"/>
      <c r="O1258" s="78"/>
      <c r="P1258" s="78"/>
      <c r="Q1258" s="78"/>
      <c r="R1258" s="78"/>
      <c r="S1258" s="78"/>
      <c r="T1258" s="78"/>
      <c r="U1258" s="78"/>
      <c r="V1258" s="78"/>
      <c r="W1258" s="78"/>
      <c r="X1258" s="78"/>
      <c r="Y1258" s="78"/>
      <c r="Z1258" s="78"/>
    </row>
    <row r="1259">
      <c r="A1259" s="78"/>
      <c r="B1259" s="78"/>
      <c r="C1259" s="78"/>
      <c r="D1259" s="78"/>
      <c r="E1259" s="78"/>
      <c r="F1259" s="78"/>
      <c r="G1259" s="78"/>
      <c r="H1259" s="78"/>
      <c r="I1259" s="78"/>
      <c r="J1259" s="78"/>
      <c r="K1259" s="78"/>
      <c r="L1259" s="78"/>
      <c r="M1259" s="78"/>
      <c r="N1259" s="78"/>
      <c r="O1259" s="78"/>
      <c r="P1259" s="78"/>
      <c r="Q1259" s="78"/>
      <c r="R1259" s="78"/>
      <c r="S1259" s="78"/>
      <c r="T1259" s="78"/>
      <c r="U1259" s="78"/>
      <c r="V1259" s="78"/>
      <c r="W1259" s="78"/>
      <c r="X1259" s="78"/>
      <c r="Y1259" s="78"/>
      <c r="Z1259" s="78"/>
    </row>
    <row r="1260">
      <c r="A1260" s="78"/>
      <c r="B1260" s="78"/>
      <c r="C1260" s="78"/>
      <c r="D1260" s="78"/>
      <c r="E1260" s="78"/>
      <c r="F1260" s="78"/>
      <c r="G1260" s="78"/>
      <c r="H1260" s="78"/>
      <c r="I1260" s="78"/>
      <c r="J1260" s="78"/>
      <c r="K1260" s="78"/>
      <c r="L1260" s="78"/>
      <c r="M1260" s="78"/>
      <c r="N1260" s="78"/>
      <c r="O1260" s="78"/>
      <c r="P1260" s="78"/>
      <c r="Q1260" s="78"/>
      <c r="R1260" s="78"/>
      <c r="S1260" s="78"/>
      <c r="T1260" s="78"/>
      <c r="U1260" s="78"/>
      <c r="V1260" s="78"/>
      <c r="W1260" s="78"/>
      <c r="X1260" s="78"/>
      <c r="Y1260" s="78"/>
      <c r="Z1260" s="78"/>
    </row>
    <row r="1261">
      <c r="A1261" s="78"/>
      <c r="B1261" s="78"/>
      <c r="C1261" s="78"/>
      <c r="D1261" s="78"/>
      <c r="E1261" s="78"/>
      <c r="F1261" s="78"/>
      <c r="G1261" s="78"/>
      <c r="H1261" s="78"/>
      <c r="I1261" s="78"/>
      <c r="J1261" s="78"/>
      <c r="K1261" s="78"/>
      <c r="L1261" s="78"/>
      <c r="M1261" s="78"/>
      <c r="N1261" s="78"/>
      <c r="O1261" s="78"/>
      <c r="P1261" s="78"/>
      <c r="Q1261" s="78"/>
      <c r="R1261" s="78"/>
      <c r="S1261" s="78"/>
      <c r="T1261" s="78"/>
      <c r="U1261" s="78"/>
      <c r="V1261" s="78"/>
      <c r="W1261" s="78"/>
      <c r="X1261" s="78"/>
      <c r="Y1261" s="78"/>
      <c r="Z1261" s="78"/>
    </row>
    <row r="1262">
      <c r="A1262" s="78"/>
      <c r="B1262" s="78"/>
      <c r="C1262" s="78"/>
      <c r="D1262" s="78"/>
      <c r="E1262" s="78"/>
      <c r="F1262" s="78"/>
      <c r="G1262" s="78"/>
      <c r="H1262" s="78"/>
      <c r="I1262" s="78"/>
      <c r="J1262" s="78"/>
      <c r="K1262" s="78"/>
      <c r="L1262" s="78"/>
      <c r="M1262" s="78"/>
      <c r="N1262" s="78"/>
      <c r="O1262" s="78"/>
      <c r="P1262" s="78"/>
      <c r="Q1262" s="78"/>
      <c r="R1262" s="78"/>
      <c r="S1262" s="78"/>
      <c r="T1262" s="78"/>
      <c r="U1262" s="78"/>
      <c r="V1262" s="78"/>
      <c r="W1262" s="78"/>
      <c r="X1262" s="78"/>
      <c r="Y1262" s="78"/>
      <c r="Z1262" s="78"/>
    </row>
    <row r="1263">
      <c r="A1263" s="78"/>
      <c r="B1263" s="78"/>
      <c r="C1263" s="78"/>
      <c r="D1263" s="78"/>
      <c r="E1263" s="78"/>
      <c r="F1263" s="78"/>
      <c r="G1263" s="78"/>
      <c r="H1263" s="78"/>
      <c r="I1263" s="78"/>
      <c r="J1263" s="78"/>
      <c r="K1263" s="78"/>
      <c r="L1263" s="78"/>
      <c r="M1263" s="78"/>
      <c r="N1263" s="78"/>
      <c r="O1263" s="78"/>
      <c r="P1263" s="78"/>
      <c r="Q1263" s="78"/>
      <c r="R1263" s="78"/>
      <c r="S1263" s="78"/>
      <c r="T1263" s="78"/>
      <c r="U1263" s="78"/>
      <c r="V1263" s="78"/>
      <c r="W1263" s="78"/>
      <c r="X1263" s="78"/>
      <c r="Y1263" s="78"/>
      <c r="Z1263" s="78"/>
    </row>
    <row r="1264">
      <c r="A1264" s="78"/>
      <c r="B1264" s="78"/>
      <c r="C1264" s="78"/>
      <c r="D1264" s="78"/>
      <c r="E1264" s="78"/>
      <c r="F1264" s="78"/>
      <c r="G1264" s="78"/>
      <c r="H1264" s="78"/>
      <c r="I1264" s="78"/>
      <c r="J1264" s="78"/>
      <c r="K1264" s="78"/>
      <c r="L1264" s="78"/>
      <c r="M1264" s="78"/>
      <c r="N1264" s="78"/>
      <c r="O1264" s="78"/>
      <c r="P1264" s="78"/>
      <c r="Q1264" s="78"/>
      <c r="R1264" s="78"/>
      <c r="S1264" s="78"/>
      <c r="T1264" s="78"/>
      <c r="U1264" s="78"/>
      <c r="V1264" s="78"/>
      <c r="W1264" s="78"/>
      <c r="X1264" s="78"/>
      <c r="Y1264" s="78"/>
      <c r="Z1264" s="78"/>
    </row>
    <row r="1265">
      <c r="A1265" s="78"/>
      <c r="B1265" s="78"/>
      <c r="C1265" s="78"/>
      <c r="D1265" s="78"/>
      <c r="E1265" s="78"/>
      <c r="F1265" s="78"/>
      <c r="G1265" s="78"/>
      <c r="H1265" s="78"/>
      <c r="I1265" s="78"/>
      <c r="J1265" s="78"/>
      <c r="K1265" s="78"/>
      <c r="L1265" s="78"/>
      <c r="M1265" s="78"/>
      <c r="N1265" s="78"/>
      <c r="O1265" s="78"/>
      <c r="P1265" s="78"/>
      <c r="Q1265" s="78"/>
      <c r="R1265" s="78"/>
      <c r="S1265" s="78"/>
      <c r="T1265" s="78"/>
      <c r="U1265" s="78"/>
      <c r="V1265" s="78"/>
      <c r="W1265" s="78"/>
      <c r="X1265" s="78"/>
      <c r="Y1265" s="78"/>
      <c r="Z1265" s="78"/>
    </row>
    <row r="1266">
      <c r="A1266" s="78"/>
      <c r="B1266" s="78"/>
      <c r="C1266" s="78"/>
      <c r="D1266" s="78"/>
      <c r="E1266" s="78"/>
      <c r="F1266" s="78"/>
      <c r="G1266" s="78"/>
      <c r="H1266" s="78"/>
      <c r="I1266" s="78"/>
      <c r="J1266" s="78"/>
      <c r="K1266" s="78"/>
      <c r="L1266" s="78"/>
      <c r="M1266" s="78"/>
      <c r="N1266" s="78"/>
      <c r="O1266" s="78"/>
      <c r="P1266" s="78"/>
      <c r="Q1266" s="78"/>
      <c r="R1266" s="78"/>
      <c r="S1266" s="78"/>
      <c r="T1266" s="78"/>
      <c r="U1266" s="78"/>
      <c r="V1266" s="78"/>
      <c r="W1266" s="78"/>
      <c r="X1266" s="78"/>
      <c r="Y1266" s="78"/>
      <c r="Z1266" s="78"/>
    </row>
    <row r="1267">
      <c r="A1267" s="78"/>
      <c r="B1267" s="78"/>
      <c r="C1267" s="78"/>
      <c r="D1267" s="78"/>
      <c r="E1267" s="78"/>
      <c r="F1267" s="78"/>
      <c r="G1267" s="78"/>
      <c r="H1267" s="78"/>
      <c r="I1267" s="78"/>
      <c r="J1267" s="78"/>
      <c r="K1267" s="78"/>
      <c r="L1267" s="78"/>
      <c r="M1267" s="78"/>
      <c r="N1267" s="78"/>
      <c r="O1267" s="78"/>
      <c r="P1267" s="78"/>
      <c r="Q1267" s="78"/>
      <c r="R1267" s="78"/>
      <c r="S1267" s="78"/>
      <c r="T1267" s="78"/>
      <c r="U1267" s="78"/>
      <c r="V1267" s="78"/>
      <c r="W1267" s="78"/>
      <c r="X1267" s="78"/>
      <c r="Y1267" s="78"/>
      <c r="Z1267" s="78"/>
    </row>
    <row r="1268">
      <c r="A1268" s="78"/>
      <c r="B1268" s="78"/>
      <c r="C1268" s="78"/>
      <c r="D1268" s="78"/>
      <c r="E1268" s="78"/>
      <c r="F1268" s="78"/>
      <c r="G1268" s="78"/>
      <c r="H1268" s="78"/>
      <c r="I1268" s="78"/>
      <c r="J1268" s="78"/>
      <c r="K1268" s="78"/>
      <c r="L1268" s="78"/>
      <c r="M1268" s="78"/>
      <c r="N1268" s="78"/>
      <c r="O1268" s="78"/>
      <c r="P1268" s="78"/>
      <c r="Q1268" s="78"/>
      <c r="R1268" s="78"/>
      <c r="S1268" s="78"/>
      <c r="T1268" s="78"/>
      <c r="U1268" s="78"/>
      <c r="V1268" s="78"/>
      <c r="W1268" s="78"/>
      <c r="X1268" s="78"/>
      <c r="Y1268" s="78"/>
      <c r="Z1268" s="78"/>
    </row>
    <row r="1269">
      <c r="A1269" s="78"/>
      <c r="B1269" s="78"/>
      <c r="C1269" s="78"/>
      <c r="D1269" s="78"/>
      <c r="E1269" s="78"/>
      <c r="F1269" s="78"/>
      <c r="G1269" s="78"/>
      <c r="H1269" s="78"/>
      <c r="I1269" s="78"/>
      <c r="J1269" s="78"/>
      <c r="K1269" s="78"/>
      <c r="L1269" s="78"/>
      <c r="M1269" s="78"/>
      <c r="N1269" s="78"/>
      <c r="O1269" s="78"/>
      <c r="P1269" s="78"/>
      <c r="Q1269" s="78"/>
      <c r="R1269" s="78"/>
      <c r="S1269" s="78"/>
      <c r="T1269" s="78"/>
      <c r="U1269" s="78"/>
      <c r="V1269" s="78"/>
      <c r="W1269" s="78"/>
      <c r="X1269" s="78"/>
      <c r="Y1269" s="78"/>
      <c r="Z1269" s="78"/>
    </row>
    <row r="1270">
      <c r="A1270" s="78"/>
      <c r="B1270" s="78"/>
      <c r="C1270" s="78"/>
      <c r="D1270" s="78"/>
      <c r="E1270" s="78"/>
      <c r="F1270" s="78"/>
      <c r="G1270" s="78"/>
      <c r="H1270" s="78"/>
      <c r="I1270" s="78"/>
      <c r="J1270" s="78"/>
      <c r="K1270" s="78"/>
      <c r="L1270" s="78"/>
      <c r="M1270" s="78"/>
      <c r="N1270" s="78"/>
      <c r="O1270" s="78"/>
      <c r="P1270" s="78"/>
      <c r="Q1270" s="78"/>
      <c r="R1270" s="78"/>
      <c r="S1270" s="78"/>
      <c r="T1270" s="78"/>
      <c r="U1270" s="78"/>
      <c r="V1270" s="78"/>
      <c r="W1270" s="78"/>
      <c r="X1270" s="78"/>
      <c r="Y1270" s="78"/>
      <c r="Z1270" s="78"/>
    </row>
    <row r="1271">
      <c r="A1271" s="78"/>
      <c r="B1271" s="78"/>
      <c r="C1271" s="78"/>
      <c r="D1271" s="78"/>
      <c r="E1271" s="78"/>
      <c r="F1271" s="78"/>
      <c r="G1271" s="78"/>
      <c r="H1271" s="78"/>
      <c r="I1271" s="78"/>
      <c r="J1271" s="78"/>
      <c r="K1271" s="78"/>
      <c r="L1271" s="78"/>
      <c r="M1271" s="78"/>
      <c r="N1271" s="78"/>
      <c r="O1271" s="78"/>
      <c r="P1271" s="78"/>
      <c r="Q1271" s="78"/>
      <c r="R1271" s="78"/>
      <c r="S1271" s="78"/>
      <c r="T1271" s="78"/>
      <c r="U1271" s="78"/>
      <c r="V1271" s="78"/>
      <c r="W1271" s="78"/>
      <c r="X1271" s="78"/>
      <c r="Y1271" s="78"/>
      <c r="Z1271" s="78"/>
    </row>
    <row r="1272">
      <c r="A1272" s="78"/>
      <c r="B1272" s="78"/>
      <c r="C1272" s="78"/>
      <c r="D1272" s="78"/>
      <c r="E1272" s="78"/>
      <c r="F1272" s="78"/>
      <c r="G1272" s="78"/>
      <c r="H1272" s="78"/>
      <c r="I1272" s="78"/>
      <c r="J1272" s="78"/>
      <c r="K1272" s="78"/>
      <c r="L1272" s="78"/>
      <c r="M1272" s="78"/>
      <c r="N1272" s="78"/>
      <c r="O1272" s="78"/>
      <c r="P1272" s="78"/>
      <c r="Q1272" s="78"/>
      <c r="R1272" s="78"/>
      <c r="S1272" s="78"/>
      <c r="T1272" s="78"/>
      <c r="U1272" s="78"/>
      <c r="V1272" s="78"/>
      <c r="W1272" s="78"/>
      <c r="X1272" s="78"/>
      <c r="Y1272" s="78"/>
      <c r="Z1272" s="78"/>
    </row>
    <row r="1273">
      <c r="A1273" s="78"/>
      <c r="B1273" s="78"/>
      <c r="C1273" s="78"/>
      <c r="D1273" s="78"/>
      <c r="E1273" s="78"/>
      <c r="F1273" s="78"/>
      <c r="G1273" s="78"/>
      <c r="H1273" s="78"/>
      <c r="I1273" s="78"/>
      <c r="J1273" s="78"/>
      <c r="K1273" s="78"/>
      <c r="L1273" s="78"/>
      <c r="M1273" s="78"/>
      <c r="N1273" s="78"/>
      <c r="O1273" s="78"/>
      <c r="P1273" s="78"/>
      <c r="Q1273" s="78"/>
      <c r="R1273" s="78"/>
      <c r="S1273" s="78"/>
      <c r="T1273" s="78"/>
      <c r="U1273" s="78"/>
      <c r="V1273" s="78"/>
      <c r="W1273" s="78"/>
      <c r="X1273" s="78"/>
      <c r="Y1273" s="78"/>
      <c r="Z1273" s="78"/>
    </row>
    <row r="1274">
      <c r="A1274" s="78"/>
      <c r="B1274" s="78"/>
      <c r="C1274" s="78"/>
      <c r="D1274" s="78"/>
      <c r="E1274" s="78"/>
      <c r="F1274" s="78"/>
      <c r="G1274" s="78"/>
      <c r="H1274" s="78"/>
      <c r="I1274" s="78"/>
      <c r="J1274" s="78"/>
      <c r="K1274" s="78"/>
      <c r="L1274" s="78"/>
      <c r="M1274" s="78"/>
      <c r="N1274" s="78"/>
      <c r="O1274" s="78"/>
      <c r="P1274" s="78"/>
      <c r="Q1274" s="78"/>
      <c r="R1274" s="78"/>
      <c r="S1274" s="78"/>
      <c r="T1274" s="78"/>
      <c r="U1274" s="78"/>
      <c r="V1274" s="78"/>
      <c r="W1274" s="78"/>
      <c r="X1274" s="78"/>
      <c r="Y1274" s="78"/>
      <c r="Z1274" s="78"/>
    </row>
    <row r="1275">
      <c r="A1275" s="78"/>
      <c r="B1275" s="78"/>
      <c r="C1275" s="78"/>
      <c r="D1275" s="78"/>
      <c r="E1275" s="78"/>
      <c r="F1275" s="78"/>
      <c r="G1275" s="78"/>
      <c r="H1275" s="78"/>
      <c r="I1275" s="78"/>
      <c r="J1275" s="78"/>
      <c r="K1275" s="78"/>
      <c r="L1275" s="78"/>
      <c r="M1275" s="78"/>
      <c r="N1275" s="78"/>
      <c r="O1275" s="78"/>
      <c r="P1275" s="78"/>
      <c r="Q1275" s="78"/>
      <c r="R1275" s="78"/>
      <c r="S1275" s="78"/>
      <c r="T1275" s="78"/>
      <c r="U1275" s="78"/>
      <c r="V1275" s="78"/>
      <c r="W1275" s="78"/>
      <c r="X1275" s="78"/>
      <c r="Y1275" s="78"/>
      <c r="Z1275" s="78"/>
    </row>
    <row r="1276">
      <c r="A1276" s="78"/>
      <c r="B1276" s="78"/>
      <c r="C1276" s="78"/>
      <c r="D1276" s="78"/>
      <c r="E1276" s="78"/>
      <c r="F1276" s="78"/>
      <c r="G1276" s="78"/>
      <c r="H1276" s="78"/>
      <c r="I1276" s="78"/>
      <c r="J1276" s="78"/>
      <c r="K1276" s="78"/>
      <c r="L1276" s="78"/>
      <c r="M1276" s="78"/>
      <c r="N1276" s="78"/>
      <c r="O1276" s="78"/>
      <c r="P1276" s="78"/>
      <c r="Q1276" s="78"/>
      <c r="R1276" s="78"/>
      <c r="S1276" s="78"/>
      <c r="T1276" s="78"/>
      <c r="U1276" s="78"/>
      <c r="V1276" s="78"/>
      <c r="W1276" s="78"/>
      <c r="X1276" s="78"/>
      <c r="Y1276" s="78"/>
      <c r="Z1276" s="78"/>
    </row>
    <row r="1277">
      <c r="A1277" s="78"/>
      <c r="B1277" s="78"/>
      <c r="C1277" s="78"/>
      <c r="D1277" s="78"/>
      <c r="E1277" s="78"/>
      <c r="F1277" s="78"/>
      <c r="G1277" s="78"/>
      <c r="H1277" s="78"/>
      <c r="I1277" s="78"/>
      <c r="J1277" s="78"/>
      <c r="K1277" s="78"/>
      <c r="L1277" s="78"/>
      <c r="M1277" s="78"/>
      <c r="N1277" s="78"/>
      <c r="O1277" s="78"/>
      <c r="P1277" s="78"/>
      <c r="Q1277" s="78"/>
      <c r="R1277" s="78"/>
      <c r="S1277" s="78"/>
      <c r="T1277" s="78"/>
      <c r="U1277" s="78"/>
      <c r="V1277" s="78"/>
      <c r="W1277" s="78"/>
      <c r="X1277" s="78"/>
      <c r="Y1277" s="78"/>
      <c r="Z1277" s="78"/>
    </row>
    <row r="1278">
      <c r="A1278" s="78"/>
      <c r="B1278" s="78"/>
      <c r="C1278" s="78"/>
      <c r="D1278" s="78"/>
      <c r="E1278" s="78"/>
      <c r="F1278" s="78"/>
      <c r="G1278" s="78"/>
      <c r="H1278" s="78"/>
      <c r="I1278" s="78"/>
      <c r="J1278" s="78"/>
      <c r="K1278" s="78"/>
      <c r="L1278" s="78"/>
      <c r="M1278" s="78"/>
      <c r="N1278" s="78"/>
      <c r="O1278" s="78"/>
      <c r="P1278" s="78"/>
      <c r="Q1278" s="78"/>
      <c r="R1278" s="78"/>
      <c r="S1278" s="78"/>
      <c r="T1278" s="78"/>
      <c r="U1278" s="78"/>
      <c r="V1278" s="78"/>
      <c r="W1278" s="78"/>
      <c r="X1278" s="78"/>
      <c r="Y1278" s="78"/>
      <c r="Z1278" s="78"/>
    </row>
    <row r="1279">
      <c r="A1279" s="78"/>
      <c r="B1279" s="78"/>
      <c r="C1279" s="78"/>
      <c r="D1279" s="78"/>
      <c r="E1279" s="78"/>
      <c r="F1279" s="78"/>
      <c r="G1279" s="78"/>
      <c r="H1279" s="78"/>
      <c r="I1279" s="78"/>
      <c r="J1279" s="78"/>
      <c r="K1279" s="78"/>
      <c r="L1279" s="78"/>
      <c r="M1279" s="78"/>
      <c r="N1279" s="78"/>
      <c r="O1279" s="78"/>
      <c r="P1279" s="78"/>
      <c r="Q1279" s="78"/>
      <c r="R1279" s="78"/>
      <c r="S1279" s="78"/>
      <c r="T1279" s="78"/>
      <c r="U1279" s="78"/>
      <c r="V1279" s="78"/>
      <c r="W1279" s="78"/>
      <c r="X1279" s="78"/>
      <c r="Y1279" s="78"/>
      <c r="Z1279" s="78"/>
    </row>
    <row r="1280">
      <c r="A1280" s="78"/>
      <c r="B1280" s="78"/>
      <c r="C1280" s="78"/>
      <c r="D1280" s="78"/>
      <c r="E1280" s="78"/>
      <c r="F1280" s="78"/>
      <c r="G1280" s="78"/>
      <c r="H1280" s="78"/>
      <c r="I1280" s="78"/>
      <c r="J1280" s="78"/>
      <c r="K1280" s="78"/>
      <c r="L1280" s="78"/>
      <c r="M1280" s="78"/>
      <c r="N1280" s="78"/>
      <c r="O1280" s="78"/>
      <c r="P1280" s="78"/>
      <c r="Q1280" s="78"/>
      <c r="R1280" s="78"/>
      <c r="S1280" s="78"/>
      <c r="T1280" s="78"/>
      <c r="U1280" s="78"/>
      <c r="V1280" s="78"/>
      <c r="W1280" s="78"/>
      <c r="X1280" s="78"/>
      <c r="Y1280" s="78"/>
      <c r="Z1280" s="78"/>
    </row>
    <row r="1281">
      <c r="A1281" s="78"/>
      <c r="B1281" s="78"/>
      <c r="C1281" s="78"/>
      <c r="D1281" s="78"/>
      <c r="E1281" s="78"/>
      <c r="F1281" s="78"/>
      <c r="G1281" s="78"/>
      <c r="H1281" s="78"/>
      <c r="I1281" s="78"/>
      <c r="J1281" s="78"/>
      <c r="K1281" s="78"/>
      <c r="L1281" s="78"/>
      <c r="M1281" s="78"/>
      <c r="N1281" s="78"/>
      <c r="O1281" s="78"/>
      <c r="P1281" s="78"/>
      <c r="Q1281" s="78"/>
      <c r="R1281" s="78"/>
      <c r="S1281" s="78"/>
      <c r="T1281" s="78"/>
      <c r="U1281" s="78"/>
      <c r="V1281" s="78"/>
      <c r="W1281" s="78"/>
      <c r="X1281" s="78"/>
      <c r="Y1281" s="78"/>
      <c r="Z1281" s="78"/>
    </row>
    <row r="1282">
      <c r="A1282" s="78"/>
      <c r="B1282" s="78"/>
      <c r="C1282" s="78"/>
      <c r="D1282" s="78"/>
      <c r="E1282" s="78"/>
      <c r="F1282" s="78"/>
      <c r="G1282" s="78"/>
      <c r="H1282" s="78"/>
      <c r="I1282" s="78"/>
      <c r="J1282" s="78"/>
      <c r="K1282" s="78"/>
      <c r="L1282" s="78"/>
      <c r="M1282" s="78"/>
      <c r="N1282" s="78"/>
      <c r="O1282" s="78"/>
      <c r="P1282" s="78"/>
      <c r="Q1282" s="78"/>
      <c r="R1282" s="78"/>
      <c r="S1282" s="78"/>
      <c r="T1282" s="78"/>
      <c r="U1282" s="78"/>
      <c r="V1282" s="78"/>
      <c r="W1282" s="78"/>
      <c r="X1282" s="78"/>
      <c r="Y1282" s="78"/>
      <c r="Z1282" s="78"/>
    </row>
    <row r="1283">
      <c r="A1283" s="78"/>
      <c r="B1283" s="78"/>
      <c r="C1283" s="78"/>
      <c r="D1283" s="78"/>
      <c r="E1283" s="78"/>
      <c r="F1283" s="78"/>
      <c r="G1283" s="78"/>
      <c r="H1283" s="78"/>
      <c r="I1283" s="78"/>
      <c r="J1283" s="78"/>
      <c r="K1283" s="78"/>
      <c r="L1283" s="78"/>
      <c r="M1283" s="78"/>
      <c r="N1283" s="78"/>
      <c r="O1283" s="78"/>
      <c r="P1283" s="78"/>
      <c r="Q1283" s="78"/>
      <c r="R1283" s="78"/>
      <c r="S1283" s="78"/>
      <c r="T1283" s="78"/>
      <c r="U1283" s="78"/>
      <c r="V1283" s="78"/>
      <c r="W1283" s="78"/>
      <c r="X1283" s="78"/>
      <c r="Y1283" s="78"/>
      <c r="Z1283" s="78"/>
    </row>
    <row r="1284">
      <c r="A1284" s="78"/>
      <c r="B1284" s="78"/>
      <c r="C1284" s="78"/>
      <c r="D1284" s="78"/>
      <c r="E1284" s="78"/>
      <c r="F1284" s="78"/>
      <c r="G1284" s="78"/>
      <c r="H1284" s="78"/>
      <c r="I1284" s="78"/>
      <c r="J1284" s="78"/>
      <c r="K1284" s="78"/>
      <c r="L1284" s="78"/>
      <c r="M1284" s="78"/>
      <c r="N1284" s="78"/>
      <c r="O1284" s="78"/>
      <c r="P1284" s="78"/>
      <c r="Q1284" s="78"/>
      <c r="R1284" s="78"/>
      <c r="S1284" s="78"/>
      <c r="T1284" s="78"/>
      <c r="U1284" s="78"/>
      <c r="V1284" s="78"/>
      <c r="W1284" s="78"/>
      <c r="X1284" s="78"/>
      <c r="Y1284" s="78"/>
      <c r="Z1284" s="78"/>
    </row>
    <row r="1285">
      <c r="A1285" s="78"/>
      <c r="B1285" s="78"/>
      <c r="C1285" s="78"/>
      <c r="D1285" s="78"/>
      <c r="E1285" s="78"/>
      <c r="F1285" s="78"/>
      <c r="G1285" s="78"/>
      <c r="H1285" s="78"/>
      <c r="I1285" s="78"/>
      <c r="J1285" s="78"/>
      <c r="K1285" s="78"/>
      <c r="L1285" s="78"/>
      <c r="M1285" s="78"/>
      <c r="N1285" s="78"/>
      <c r="O1285" s="78"/>
      <c r="P1285" s="78"/>
      <c r="Q1285" s="78"/>
      <c r="R1285" s="78"/>
      <c r="S1285" s="78"/>
      <c r="T1285" s="78"/>
      <c r="U1285" s="78"/>
      <c r="V1285" s="78"/>
      <c r="W1285" s="78"/>
      <c r="X1285" s="78"/>
      <c r="Y1285" s="78"/>
      <c r="Z1285" s="78"/>
    </row>
    <row r="1286">
      <c r="A1286" s="78"/>
      <c r="B1286" s="78"/>
      <c r="C1286" s="78"/>
      <c r="D1286" s="78"/>
      <c r="E1286" s="78"/>
      <c r="F1286" s="78"/>
      <c r="G1286" s="78"/>
      <c r="H1286" s="78"/>
      <c r="I1286" s="78"/>
      <c r="J1286" s="78"/>
      <c r="K1286" s="78"/>
      <c r="L1286" s="78"/>
      <c r="M1286" s="78"/>
      <c r="N1286" s="78"/>
      <c r="O1286" s="78"/>
      <c r="P1286" s="78"/>
      <c r="Q1286" s="78"/>
      <c r="R1286" s="78"/>
      <c r="S1286" s="78"/>
      <c r="T1286" s="78"/>
      <c r="U1286" s="78"/>
      <c r="V1286" s="78"/>
      <c r="W1286" s="78"/>
      <c r="X1286" s="78"/>
      <c r="Y1286" s="78"/>
      <c r="Z1286" s="78"/>
    </row>
    <row r="1287">
      <c r="A1287" s="78"/>
      <c r="B1287" s="78"/>
      <c r="C1287" s="78"/>
      <c r="D1287" s="78"/>
      <c r="E1287" s="78"/>
      <c r="F1287" s="78"/>
      <c r="G1287" s="78"/>
      <c r="H1287" s="78"/>
      <c r="I1287" s="78"/>
      <c r="J1287" s="78"/>
      <c r="K1287" s="78"/>
      <c r="L1287" s="78"/>
      <c r="M1287" s="78"/>
      <c r="N1287" s="78"/>
      <c r="O1287" s="78"/>
      <c r="P1287" s="78"/>
      <c r="Q1287" s="78"/>
      <c r="R1287" s="78"/>
      <c r="S1287" s="78"/>
      <c r="T1287" s="78"/>
      <c r="U1287" s="78"/>
      <c r="V1287" s="78"/>
      <c r="W1287" s="78"/>
      <c r="X1287" s="78"/>
      <c r="Y1287" s="78"/>
      <c r="Z1287" s="78"/>
    </row>
    <row r="1288">
      <c r="A1288" s="78"/>
      <c r="B1288" s="78"/>
      <c r="C1288" s="78"/>
      <c r="D1288" s="78"/>
      <c r="E1288" s="78"/>
      <c r="F1288" s="78"/>
      <c r="G1288" s="78"/>
      <c r="H1288" s="78"/>
      <c r="I1288" s="78"/>
      <c r="J1288" s="78"/>
      <c r="K1288" s="78"/>
      <c r="L1288" s="78"/>
      <c r="M1288" s="78"/>
      <c r="N1288" s="78"/>
      <c r="O1288" s="78"/>
      <c r="P1288" s="78"/>
      <c r="Q1288" s="78"/>
      <c r="R1288" s="78"/>
      <c r="S1288" s="78"/>
      <c r="T1288" s="78"/>
      <c r="U1288" s="78"/>
      <c r="V1288" s="78"/>
      <c r="W1288" s="78"/>
      <c r="X1288" s="78"/>
      <c r="Y1288" s="78"/>
      <c r="Z1288" s="78"/>
    </row>
    <row r="1289">
      <c r="A1289" s="78"/>
      <c r="B1289" s="78"/>
      <c r="C1289" s="78"/>
      <c r="D1289" s="78"/>
      <c r="E1289" s="78"/>
      <c r="F1289" s="78"/>
      <c r="G1289" s="78"/>
      <c r="H1289" s="78"/>
      <c r="I1289" s="78"/>
      <c r="J1289" s="78"/>
      <c r="K1289" s="78"/>
      <c r="L1289" s="78"/>
      <c r="M1289" s="78"/>
      <c r="N1289" s="78"/>
      <c r="O1289" s="78"/>
      <c r="P1289" s="78"/>
      <c r="Q1289" s="78"/>
      <c r="R1289" s="78"/>
      <c r="S1289" s="78"/>
      <c r="T1289" s="78"/>
      <c r="U1289" s="78"/>
      <c r="V1289" s="78"/>
      <c r="W1289" s="78"/>
      <c r="X1289" s="78"/>
      <c r="Y1289" s="78"/>
      <c r="Z1289" s="78"/>
    </row>
    <row r="1290">
      <c r="A1290" s="78"/>
      <c r="B1290" s="78"/>
      <c r="C1290" s="78"/>
      <c r="D1290" s="78"/>
      <c r="E1290" s="78"/>
      <c r="F1290" s="78"/>
      <c r="G1290" s="78"/>
      <c r="H1290" s="78"/>
      <c r="I1290" s="78"/>
      <c r="J1290" s="78"/>
      <c r="K1290" s="78"/>
      <c r="L1290" s="78"/>
      <c r="M1290" s="78"/>
      <c r="N1290" s="78"/>
      <c r="O1290" s="78"/>
      <c r="P1290" s="78"/>
      <c r="Q1290" s="78"/>
      <c r="R1290" s="78"/>
      <c r="S1290" s="78"/>
      <c r="T1290" s="78"/>
      <c r="U1290" s="78"/>
      <c r="V1290" s="78"/>
      <c r="W1290" s="78"/>
      <c r="X1290" s="78"/>
      <c r="Y1290" s="78"/>
      <c r="Z1290" s="78"/>
    </row>
    <row r="1291">
      <c r="A1291" s="78"/>
      <c r="B1291" s="78"/>
      <c r="C1291" s="78"/>
      <c r="D1291" s="78"/>
      <c r="E1291" s="78"/>
      <c r="F1291" s="78"/>
      <c r="G1291" s="78"/>
      <c r="H1291" s="78"/>
      <c r="I1291" s="78"/>
      <c r="J1291" s="78"/>
      <c r="K1291" s="78"/>
      <c r="L1291" s="78"/>
      <c r="M1291" s="78"/>
      <c r="N1291" s="78"/>
      <c r="O1291" s="78"/>
      <c r="P1291" s="78"/>
      <c r="Q1291" s="78"/>
      <c r="R1291" s="78"/>
      <c r="S1291" s="78"/>
      <c r="T1291" s="78"/>
      <c r="U1291" s="78"/>
      <c r="V1291" s="78"/>
      <c r="W1291" s="78"/>
      <c r="X1291" s="78"/>
      <c r="Y1291" s="78"/>
      <c r="Z1291" s="78"/>
    </row>
    <row r="1292">
      <c r="A1292" s="78"/>
      <c r="B1292" s="78"/>
      <c r="C1292" s="78"/>
      <c r="D1292" s="78"/>
      <c r="E1292" s="78"/>
      <c r="F1292" s="78"/>
      <c r="G1292" s="78"/>
      <c r="H1292" s="78"/>
      <c r="I1292" s="78"/>
      <c r="J1292" s="78"/>
      <c r="K1292" s="78"/>
      <c r="L1292" s="78"/>
      <c r="M1292" s="78"/>
      <c r="N1292" s="78"/>
      <c r="O1292" s="78"/>
      <c r="P1292" s="78"/>
      <c r="Q1292" s="78"/>
      <c r="R1292" s="78"/>
      <c r="S1292" s="78"/>
      <c r="T1292" s="78"/>
      <c r="U1292" s="78"/>
      <c r="V1292" s="78"/>
      <c r="W1292" s="78"/>
      <c r="X1292" s="78"/>
      <c r="Y1292" s="78"/>
      <c r="Z1292" s="78"/>
    </row>
    <row r="1293">
      <c r="A1293" s="78"/>
      <c r="B1293" s="78"/>
      <c r="C1293" s="78"/>
      <c r="D1293" s="78"/>
      <c r="E1293" s="78"/>
      <c r="F1293" s="78"/>
      <c r="G1293" s="78"/>
      <c r="H1293" s="78"/>
      <c r="I1293" s="78"/>
      <c r="J1293" s="78"/>
      <c r="K1293" s="78"/>
      <c r="L1293" s="78"/>
      <c r="M1293" s="78"/>
      <c r="N1293" s="78"/>
      <c r="O1293" s="78"/>
      <c r="P1293" s="78"/>
      <c r="Q1293" s="78"/>
      <c r="R1293" s="78"/>
      <c r="S1293" s="78"/>
      <c r="T1293" s="78"/>
      <c r="U1293" s="78"/>
      <c r="V1293" s="78"/>
      <c r="W1293" s="78"/>
      <c r="X1293" s="78"/>
      <c r="Y1293" s="78"/>
      <c r="Z1293" s="78"/>
    </row>
    <row r="1294">
      <c r="A1294" s="78"/>
      <c r="B1294" s="78"/>
      <c r="C1294" s="78"/>
      <c r="D1294" s="78"/>
      <c r="E1294" s="78"/>
      <c r="F1294" s="78"/>
      <c r="G1294" s="78"/>
      <c r="H1294" s="78"/>
      <c r="I1294" s="78"/>
      <c r="J1294" s="78"/>
      <c r="K1294" s="78"/>
      <c r="L1294" s="78"/>
      <c r="M1294" s="78"/>
      <c r="N1294" s="78"/>
      <c r="O1294" s="78"/>
      <c r="P1294" s="78"/>
      <c r="Q1294" s="78"/>
      <c r="R1294" s="78"/>
      <c r="S1294" s="78"/>
      <c r="T1294" s="78"/>
      <c r="U1294" s="78"/>
      <c r="V1294" s="78"/>
      <c r="W1294" s="78"/>
      <c r="X1294" s="78"/>
      <c r="Y1294" s="78"/>
      <c r="Z1294" s="78"/>
    </row>
    <row r="1295">
      <c r="A1295" s="78"/>
      <c r="B1295" s="78"/>
      <c r="C1295" s="78"/>
      <c r="D1295" s="78"/>
      <c r="E1295" s="78"/>
      <c r="F1295" s="78"/>
      <c r="G1295" s="78"/>
      <c r="H1295" s="78"/>
      <c r="I1295" s="78"/>
      <c r="J1295" s="78"/>
      <c r="K1295" s="78"/>
      <c r="L1295" s="78"/>
      <c r="M1295" s="78"/>
      <c r="N1295" s="78"/>
      <c r="O1295" s="78"/>
      <c r="P1295" s="78"/>
      <c r="Q1295" s="78"/>
      <c r="R1295" s="78"/>
      <c r="S1295" s="78"/>
      <c r="T1295" s="78"/>
      <c r="U1295" s="78"/>
      <c r="V1295" s="78"/>
      <c r="W1295" s="78"/>
      <c r="X1295" s="78"/>
      <c r="Y1295" s="78"/>
      <c r="Z1295" s="78"/>
    </row>
    <row r="1296">
      <c r="A1296" s="78"/>
      <c r="B1296" s="78"/>
      <c r="C1296" s="78"/>
      <c r="D1296" s="78"/>
      <c r="E1296" s="78"/>
      <c r="F1296" s="78"/>
      <c r="G1296" s="78"/>
      <c r="H1296" s="78"/>
      <c r="I1296" s="78"/>
      <c r="J1296" s="78"/>
      <c r="K1296" s="78"/>
      <c r="L1296" s="78"/>
      <c r="M1296" s="78"/>
      <c r="N1296" s="78"/>
      <c r="O1296" s="78"/>
      <c r="P1296" s="78"/>
      <c r="Q1296" s="78"/>
      <c r="R1296" s="78"/>
      <c r="S1296" s="78"/>
      <c r="T1296" s="78"/>
      <c r="U1296" s="78"/>
      <c r="V1296" s="78"/>
      <c r="W1296" s="78"/>
      <c r="X1296" s="78"/>
      <c r="Y1296" s="78"/>
      <c r="Z1296" s="78"/>
    </row>
    <row r="1297">
      <c r="A1297" s="78"/>
      <c r="B1297" s="78"/>
      <c r="C1297" s="78"/>
      <c r="D1297" s="78"/>
      <c r="E1297" s="78"/>
      <c r="F1297" s="78"/>
      <c r="G1297" s="78"/>
      <c r="H1297" s="78"/>
      <c r="I1297" s="78"/>
      <c r="J1297" s="78"/>
      <c r="K1297" s="78"/>
      <c r="L1297" s="78"/>
      <c r="M1297" s="78"/>
      <c r="N1297" s="78"/>
      <c r="O1297" s="78"/>
      <c r="P1297" s="78"/>
      <c r="Q1297" s="78"/>
      <c r="R1297" s="78"/>
      <c r="S1297" s="78"/>
      <c r="T1297" s="78"/>
      <c r="U1297" s="78"/>
      <c r="V1297" s="78"/>
      <c r="W1297" s="78"/>
      <c r="X1297" s="78"/>
      <c r="Y1297" s="78"/>
      <c r="Z1297" s="78"/>
    </row>
    <row r="1298">
      <c r="A1298" s="78"/>
      <c r="B1298" s="78"/>
      <c r="C1298" s="78"/>
      <c r="D1298" s="78"/>
      <c r="E1298" s="78"/>
      <c r="F1298" s="78"/>
      <c r="G1298" s="78"/>
      <c r="H1298" s="78"/>
      <c r="I1298" s="78"/>
      <c r="J1298" s="78"/>
      <c r="K1298" s="78"/>
      <c r="L1298" s="78"/>
      <c r="M1298" s="78"/>
      <c r="N1298" s="78"/>
      <c r="O1298" s="78"/>
      <c r="P1298" s="78"/>
      <c r="Q1298" s="78"/>
      <c r="R1298" s="78"/>
      <c r="S1298" s="78"/>
      <c r="T1298" s="78"/>
      <c r="U1298" s="78"/>
      <c r="V1298" s="78"/>
      <c r="W1298" s="78"/>
      <c r="X1298" s="78"/>
      <c r="Y1298" s="78"/>
      <c r="Z1298" s="78"/>
    </row>
    <row r="1299">
      <c r="A1299" s="78"/>
      <c r="B1299" s="78"/>
      <c r="C1299" s="78"/>
      <c r="D1299" s="78"/>
      <c r="E1299" s="78"/>
      <c r="F1299" s="78"/>
      <c r="G1299" s="78"/>
      <c r="H1299" s="78"/>
      <c r="I1299" s="78"/>
      <c r="J1299" s="78"/>
      <c r="K1299" s="78"/>
      <c r="L1299" s="78"/>
      <c r="M1299" s="78"/>
      <c r="N1299" s="78"/>
      <c r="O1299" s="78"/>
      <c r="P1299" s="78"/>
      <c r="Q1299" s="78"/>
      <c r="R1299" s="78"/>
      <c r="S1299" s="78"/>
      <c r="T1299" s="78"/>
      <c r="U1299" s="78"/>
      <c r="V1299" s="78"/>
      <c r="W1299" s="78"/>
      <c r="X1299" s="78"/>
      <c r="Y1299" s="78"/>
      <c r="Z1299" s="78"/>
    </row>
    <row r="1300">
      <c r="A1300" s="78"/>
      <c r="B1300" s="78"/>
      <c r="C1300" s="78"/>
      <c r="D1300" s="78"/>
      <c r="E1300" s="78"/>
      <c r="F1300" s="78"/>
      <c r="G1300" s="78"/>
      <c r="H1300" s="78"/>
      <c r="I1300" s="78"/>
      <c r="J1300" s="78"/>
      <c r="K1300" s="78"/>
      <c r="L1300" s="78"/>
      <c r="M1300" s="78"/>
      <c r="N1300" s="78"/>
      <c r="O1300" s="78"/>
      <c r="P1300" s="78"/>
      <c r="Q1300" s="78"/>
      <c r="R1300" s="78"/>
      <c r="S1300" s="78"/>
      <c r="T1300" s="78"/>
      <c r="U1300" s="78"/>
      <c r="V1300" s="78"/>
      <c r="W1300" s="78"/>
      <c r="X1300" s="78"/>
      <c r="Y1300" s="78"/>
      <c r="Z1300" s="78"/>
    </row>
    <row r="1301">
      <c r="A1301" s="78"/>
      <c r="B1301" s="78"/>
      <c r="C1301" s="78"/>
      <c r="D1301" s="78"/>
      <c r="E1301" s="78"/>
      <c r="F1301" s="78"/>
      <c r="G1301" s="78"/>
      <c r="H1301" s="78"/>
      <c r="I1301" s="78"/>
      <c r="J1301" s="78"/>
      <c r="K1301" s="78"/>
      <c r="L1301" s="78"/>
      <c r="M1301" s="78"/>
      <c r="N1301" s="78"/>
      <c r="O1301" s="78"/>
      <c r="P1301" s="78"/>
      <c r="Q1301" s="78"/>
      <c r="R1301" s="78"/>
      <c r="S1301" s="78"/>
      <c r="T1301" s="78"/>
      <c r="U1301" s="78"/>
      <c r="V1301" s="78"/>
      <c r="W1301" s="78"/>
      <c r="X1301" s="78"/>
      <c r="Y1301" s="78"/>
      <c r="Z1301" s="78"/>
    </row>
    <row r="1302">
      <c r="A1302" s="78"/>
      <c r="B1302" s="78"/>
      <c r="C1302" s="78"/>
      <c r="D1302" s="78"/>
      <c r="E1302" s="78"/>
      <c r="F1302" s="78"/>
      <c r="G1302" s="78"/>
      <c r="H1302" s="78"/>
      <c r="I1302" s="78"/>
      <c r="J1302" s="78"/>
      <c r="K1302" s="78"/>
      <c r="L1302" s="78"/>
      <c r="M1302" s="78"/>
      <c r="N1302" s="78"/>
      <c r="O1302" s="78"/>
      <c r="P1302" s="78"/>
      <c r="Q1302" s="78"/>
      <c r="R1302" s="78"/>
      <c r="S1302" s="78"/>
      <c r="T1302" s="78"/>
      <c r="U1302" s="78"/>
      <c r="V1302" s="78"/>
      <c r="W1302" s="78"/>
      <c r="X1302" s="78"/>
      <c r="Y1302" s="78"/>
      <c r="Z1302" s="78"/>
    </row>
    <row r="1303">
      <c r="A1303" s="78"/>
      <c r="B1303" s="78"/>
      <c r="C1303" s="78"/>
      <c r="D1303" s="78"/>
      <c r="E1303" s="78"/>
      <c r="F1303" s="78"/>
      <c r="G1303" s="78"/>
      <c r="H1303" s="78"/>
      <c r="I1303" s="78"/>
      <c r="J1303" s="78"/>
      <c r="K1303" s="78"/>
      <c r="L1303" s="78"/>
      <c r="M1303" s="78"/>
      <c r="N1303" s="78"/>
      <c r="O1303" s="78"/>
      <c r="P1303" s="78"/>
      <c r="Q1303" s="78"/>
      <c r="R1303" s="78"/>
      <c r="S1303" s="78"/>
      <c r="T1303" s="78"/>
      <c r="U1303" s="78"/>
      <c r="V1303" s="78"/>
      <c r="W1303" s="78"/>
      <c r="X1303" s="78"/>
      <c r="Y1303" s="78"/>
      <c r="Z1303" s="78"/>
    </row>
    <row r="1304">
      <c r="A1304" s="78"/>
      <c r="B1304" s="78"/>
      <c r="C1304" s="78"/>
      <c r="D1304" s="78"/>
      <c r="E1304" s="78"/>
      <c r="F1304" s="78"/>
      <c r="G1304" s="78"/>
      <c r="H1304" s="78"/>
      <c r="I1304" s="78"/>
      <c r="J1304" s="78"/>
      <c r="K1304" s="78"/>
      <c r="L1304" s="78"/>
      <c r="M1304" s="78"/>
      <c r="N1304" s="78"/>
      <c r="O1304" s="78"/>
      <c r="P1304" s="78"/>
      <c r="Q1304" s="78"/>
      <c r="R1304" s="78"/>
      <c r="S1304" s="78"/>
      <c r="T1304" s="78"/>
      <c r="U1304" s="78"/>
      <c r="V1304" s="78"/>
      <c r="W1304" s="78"/>
      <c r="X1304" s="78"/>
      <c r="Y1304" s="78"/>
      <c r="Z1304" s="78"/>
    </row>
    <row r="1305">
      <c r="A1305" s="78"/>
      <c r="B1305" s="78"/>
      <c r="C1305" s="78"/>
      <c r="D1305" s="78"/>
      <c r="E1305" s="78"/>
      <c r="F1305" s="78"/>
      <c r="G1305" s="78"/>
      <c r="H1305" s="78"/>
      <c r="I1305" s="78"/>
      <c r="J1305" s="78"/>
      <c r="K1305" s="78"/>
      <c r="L1305" s="78"/>
      <c r="M1305" s="78"/>
      <c r="N1305" s="78"/>
      <c r="O1305" s="78"/>
      <c r="P1305" s="78"/>
      <c r="Q1305" s="78"/>
      <c r="R1305" s="78"/>
      <c r="S1305" s="78"/>
      <c r="T1305" s="78"/>
      <c r="U1305" s="78"/>
      <c r="V1305" s="78"/>
      <c r="W1305" s="78"/>
      <c r="X1305" s="78"/>
      <c r="Y1305" s="78"/>
      <c r="Z1305" s="78"/>
    </row>
    <row r="1306">
      <c r="A1306" s="78"/>
      <c r="B1306" s="78"/>
      <c r="C1306" s="78"/>
      <c r="D1306" s="78"/>
      <c r="E1306" s="78"/>
      <c r="F1306" s="78"/>
      <c r="G1306" s="78"/>
      <c r="H1306" s="78"/>
      <c r="I1306" s="78"/>
      <c r="J1306" s="78"/>
      <c r="K1306" s="78"/>
      <c r="L1306" s="78"/>
      <c r="M1306" s="78"/>
      <c r="N1306" s="78"/>
      <c r="O1306" s="78"/>
      <c r="P1306" s="78"/>
      <c r="Q1306" s="78"/>
      <c r="R1306" s="78"/>
      <c r="S1306" s="78"/>
      <c r="T1306" s="78"/>
      <c r="U1306" s="78"/>
      <c r="V1306" s="78"/>
      <c r="W1306" s="78"/>
      <c r="X1306" s="78"/>
      <c r="Y1306" s="78"/>
      <c r="Z1306" s="78"/>
    </row>
    <row r="1307">
      <c r="A1307" s="78"/>
      <c r="B1307" s="78"/>
      <c r="C1307" s="78"/>
      <c r="D1307" s="78"/>
      <c r="E1307" s="78"/>
      <c r="F1307" s="78"/>
      <c r="G1307" s="78"/>
      <c r="H1307" s="78"/>
      <c r="I1307" s="78"/>
      <c r="J1307" s="78"/>
      <c r="K1307" s="78"/>
      <c r="L1307" s="78"/>
      <c r="M1307" s="78"/>
      <c r="N1307" s="78"/>
      <c r="O1307" s="78"/>
      <c r="P1307" s="78"/>
      <c r="Q1307" s="78"/>
      <c r="R1307" s="78"/>
      <c r="S1307" s="78"/>
      <c r="T1307" s="78"/>
      <c r="U1307" s="78"/>
      <c r="V1307" s="78"/>
      <c r="W1307" s="78"/>
      <c r="X1307" s="78"/>
      <c r="Y1307" s="78"/>
      <c r="Z1307" s="78"/>
    </row>
    <row r="1308">
      <c r="A1308" s="78"/>
      <c r="B1308" s="78"/>
      <c r="C1308" s="78"/>
      <c r="D1308" s="78"/>
      <c r="E1308" s="78"/>
      <c r="F1308" s="78"/>
      <c r="G1308" s="78"/>
      <c r="H1308" s="78"/>
      <c r="I1308" s="78"/>
      <c r="J1308" s="78"/>
      <c r="K1308" s="78"/>
      <c r="L1308" s="78"/>
      <c r="M1308" s="78"/>
      <c r="N1308" s="78"/>
      <c r="O1308" s="78"/>
      <c r="P1308" s="78"/>
      <c r="Q1308" s="78"/>
      <c r="R1308" s="78"/>
      <c r="S1308" s="78"/>
      <c r="T1308" s="78"/>
      <c r="U1308" s="78"/>
      <c r="V1308" s="78"/>
      <c r="W1308" s="78"/>
      <c r="X1308" s="78"/>
      <c r="Y1308" s="78"/>
      <c r="Z1308" s="78"/>
    </row>
    <row r="1309">
      <c r="A1309" s="78"/>
      <c r="B1309" s="78"/>
      <c r="C1309" s="78"/>
      <c r="D1309" s="78"/>
      <c r="E1309" s="78"/>
      <c r="F1309" s="78"/>
      <c r="G1309" s="78"/>
      <c r="H1309" s="78"/>
      <c r="I1309" s="78"/>
      <c r="J1309" s="78"/>
      <c r="K1309" s="78"/>
      <c r="L1309" s="78"/>
      <c r="M1309" s="78"/>
      <c r="N1309" s="78"/>
      <c r="O1309" s="78"/>
      <c r="P1309" s="78"/>
      <c r="Q1309" s="78"/>
      <c r="R1309" s="78"/>
      <c r="S1309" s="78"/>
      <c r="T1309" s="78"/>
      <c r="U1309" s="78"/>
      <c r="V1309" s="78"/>
      <c r="W1309" s="78"/>
      <c r="X1309" s="78"/>
      <c r="Y1309" s="78"/>
      <c r="Z1309" s="78"/>
    </row>
    <row r="1310">
      <c r="A1310" s="78"/>
      <c r="B1310" s="78"/>
      <c r="C1310" s="78"/>
      <c r="D1310" s="78"/>
      <c r="E1310" s="78"/>
      <c r="F1310" s="78"/>
      <c r="G1310" s="78"/>
      <c r="H1310" s="78"/>
      <c r="I1310" s="78"/>
      <c r="J1310" s="78"/>
      <c r="K1310" s="78"/>
      <c r="L1310" s="78"/>
      <c r="M1310" s="78"/>
      <c r="N1310" s="78"/>
      <c r="O1310" s="78"/>
      <c r="P1310" s="78"/>
      <c r="Q1310" s="78"/>
      <c r="R1310" s="78"/>
      <c r="S1310" s="78"/>
      <c r="T1310" s="78"/>
      <c r="U1310" s="78"/>
      <c r="V1310" s="78"/>
      <c r="W1310" s="78"/>
      <c r="X1310" s="78"/>
      <c r="Y1310" s="78"/>
      <c r="Z1310" s="78"/>
    </row>
    <row r="1311">
      <c r="A1311" s="78"/>
      <c r="B1311" s="78"/>
      <c r="C1311" s="78"/>
      <c r="D1311" s="78"/>
      <c r="E1311" s="78"/>
      <c r="F1311" s="78"/>
      <c r="G1311" s="78"/>
      <c r="H1311" s="78"/>
      <c r="I1311" s="78"/>
      <c r="J1311" s="78"/>
      <c r="K1311" s="78"/>
      <c r="L1311" s="78"/>
      <c r="M1311" s="78"/>
      <c r="N1311" s="78"/>
      <c r="O1311" s="78"/>
      <c r="P1311" s="78"/>
      <c r="Q1311" s="78"/>
      <c r="R1311" s="78"/>
      <c r="S1311" s="78"/>
      <c r="T1311" s="78"/>
      <c r="U1311" s="78"/>
      <c r="V1311" s="78"/>
      <c r="W1311" s="78"/>
      <c r="X1311" s="78"/>
      <c r="Y1311" s="78"/>
      <c r="Z1311" s="78"/>
    </row>
    <row r="1312">
      <c r="A1312" s="78"/>
      <c r="B1312" s="78"/>
      <c r="C1312" s="78"/>
      <c r="D1312" s="78"/>
      <c r="E1312" s="78"/>
      <c r="F1312" s="78"/>
      <c r="G1312" s="78"/>
      <c r="H1312" s="78"/>
      <c r="I1312" s="78"/>
      <c r="J1312" s="78"/>
      <c r="K1312" s="78"/>
      <c r="L1312" s="78"/>
      <c r="M1312" s="78"/>
      <c r="N1312" s="78"/>
      <c r="O1312" s="78"/>
      <c r="P1312" s="78"/>
      <c r="Q1312" s="78"/>
      <c r="R1312" s="78"/>
      <c r="S1312" s="78"/>
      <c r="T1312" s="78"/>
      <c r="U1312" s="78"/>
      <c r="V1312" s="78"/>
      <c r="W1312" s="78"/>
      <c r="X1312" s="78"/>
      <c r="Y1312" s="78"/>
      <c r="Z1312" s="78"/>
    </row>
    <row r="1313">
      <c r="A1313" s="78"/>
      <c r="B1313" s="78"/>
      <c r="C1313" s="78"/>
      <c r="D1313" s="78"/>
      <c r="E1313" s="78"/>
      <c r="F1313" s="78"/>
      <c r="G1313" s="78"/>
      <c r="H1313" s="78"/>
      <c r="I1313" s="78"/>
      <c r="J1313" s="78"/>
      <c r="K1313" s="78"/>
      <c r="L1313" s="78"/>
      <c r="M1313" s="78"/>
      <c r="N1313" s="78"/>
      <c r="O1313" s="78"/>
      <c r="P1313" s="78"/>
      <c r="Q1313" s="78"/>
      <c r="R1313" s="78"/>
      <c r="S1313" s="78"/>
      <c r="T1313" s="78"/>
      <c r="U1313" s="78"/>
      <c r="V1313" s="78"/>
      <c r="W1313" s="78"/>
      <c r="X1313" s="78"/>
      <c r="Y1313" s="78"/>
      <c r="Z1313" s="78"/>
    </row>
    <row r="1314">
      <c r="A1314" s="78"/>
      <c r="B1314" s="78"/>
      <c r="C1314" s="78"/>
      <c r="D1314" s="78"/>
      <c r="E1314" s="78"/>
      <c r="F1314" s="78"/>
      <c r="G1314" s="78"/>
      <c r="H1314" s="78"/>
      <c r="I1314" s="78"/>
      <c r="J1314" s="78"/>
      <c r="K1314" s="78"/>
      <c r="L1314" s="78"/>
      <c r="M1314" s="78"/>
      <c r="N1314" s="78"/>
      <c r="O1314" s="78"/>
      <c r="P1314" s="78"/>
      <c r="Q1314" s="78"/>
      <c r="R1314" s="78"/>
      <c r="S1314" s="78"/>
      <c r="T1314" s="78"/>
      <c r="U1314" s="78"/>
      <c r="V1314" s="78"/>
      <c r="W1314" s="78"/>
      <c r="X1314" s="78"/>
      <c r="Y1314" s="78"/>
      <c r="Z1314" s="78"/>
    </row>
    <row r="1315">
      <c r="A1315" s="78"/>
      <c r="B1315" s="78"/>
      <c r="C1315" s="78"/>
      <c r="D1315" s="78"/>
      <c r="E1315" s="78"/>
      <c r="F1315" s="78"/>
      <c r="G1315" s="78"/>
      <c r="H1315" s="78"/>
      <c r="I1315" s="78"/>
      <c r="J1315" s="78"/>
      <c r="K1315" s="78"/>
      <c r="L1315" s="78"/>
      <c r="M1315" s="78"/>
      <c r="N1315" s="78"/>
      <c r="O1315" s="78"/>
      <c r="P1315" s="78"/>
      <c r="Q1315" s="78"/>
      <c r="R1315" s="78"/>
      <c r="S1315" s="78"/>
      <c r="T1315" s="78"/>
      <c r="U1315" s="78"/>
      <c r="V1315" s="78"/>
      <c r="W1315" s="78"/>
      <c r="X1315" s="78"/>
      <c r="Y1315" s="78"/>
      <c r="Z1315" s="78"/>
    </row>
    <row r="1316">
      <c r="A1316" s="78"/>
      <c r="B1316" s="78"/>
      <c r="C1316" s="78"/>
      <c r="D1316" s="78"/>
      <c r="E1316" s="78"/>
      <c r="F1316" s="78"/>
      <c r="G1316" s="78"/>
      <c r="H1316" s="78"/>
      <c r="I1316" s="78"/>
      <c r="J1316" s="78"/>
      <c r="K1316" s="78"/>
      <c r="L1316" s="78"/>
      <c r="M1316" s="78"/>
      <c r="N1316" s="78"/>
      <c r="O1316" s="78"/>
      <c r="P1316" s="78"/>
      <c r="Q1316" s="78"/>
      <c r="R1316" s="78"/>
      <c r="S1316" s="78"/>
      <c r="T1316" s="78"/>
      <c r="U1316" s="78"/>
      <c r="V1316" s="78"/>
      <c r="W1316" s="78"/>
      <c r="X1316" s="78"/>
      <c r="Y1316" s="78"/>
      <c r="Z1316" s="78"/>
    </row>
    <row r="1317">
      <c r="A1317" s="78"/>
      <c r="B1317" s="78"/>
      <c r="C1317" s="78"/>
      <c r="D1317" s="78"/>
      <c r="E1317" s="78"/>
      <c r="F1317" s="78"/>
      <c r="G1317" s="78"/>
      <c r="H1317" s="78"/>
      <c r="I1317" s="78"/>
      <c r="J1317" s="78"/>
      <c r="K1317" s="78"/>
      <c r="L1317" s="78"/>
      <c r="M1317" s="78"/>
      <c r="N1317" s="78"/>
      <c r="O1317" s="78"/>
      <c r="P1317" s="78"/>
      <c r="Q1317" s="78"/>
      <c r="R1317" s="78"/>
      <c r="S1317" s="78"/>
      <c r="T1317" s="78"/>
      <c r="U1317" s="78"/>
      <c r="V1317" s="78"/>
      <c r="W1317" s="78"/>
      <c r="X1317" s="78"/>
      <c r="Y1317" s="78"/>
      <c r="Z1317" s="78"/>
    </row>
    <row r="1318">
      <c r="A1318" s="78"/>
      <c r="B1318" s="78"/>
      <c r="C1318" s="78"/>
      <c r="D1318" s="78"/>
      <c r="E1318" s="78"/>
      <c r="F1318" s="78"/>
      <c r="G1318" s="78"/>
      <c r="H1318" s="78"/>
      <c r="I1318" s="78"/>
      <c r="J1318" s="78"/>
      <c r="K1318" s="78"/>
      <c r="L1318" s="78"/>
      <c r="M1318" s="78"/>
      <c r="N1318" s="78"/>
      <c r="O1318" s="78"/>
      <c r="P1318" s="78"/>
      <c r="Q1318" s="78"/>
      <c r="R1318" s="78"/>
      <c r="S1318" s="78"/>
      <c r="T1318" s="78"/>
      <c r="U1318" s="78"/>
      <c r="V1318" s="78"/>
      <c r="W1318" s="78"/>
      <c r="X1318" s="78"/>
      <c r="Y1318" s="78"/>
      <c r="Z1318" s="78"/>
    </row>
    <row r="1319">
      <c r="A1319" s="78"/>
      <c r="B1319" s="78"/>
      <c r="C1319" s="78"/>
      <c r="D1319" s="78"/>
      <c r="E1319" s="78"/>
      <c r="F1319" s="78"/>
      <c r="G1319" s="78"/>
      <c r="H1319" s="78"/>
      <c r="I1319" s="78"/>
      <c r="J1319" s="78"/>
      <c r="K1319" s="78"/>
      <c r="L1319" s="78"/>
      <c r="M1319" s="78"/>
      <c r="N1319" s="78"/>
      <c r="O1319" s="78"/>
      <c r="P1319" s="78"/>
      <c r="Q1319" s="78"/>
      <c r="R1319" s="78"/>
      <c r="S1319" s="78"/>
      <c r="T1319" s="78"/>
      <c r="U1319" s="78"/>
      <c r="V1319" s="78"/>
      <c r="W1319" s="78"/>
      <c r="X1319" s="78"/>
      <c r="Y1319" s="78"/>
      <c r="Z1319" s="78"/>
    </row>
    <row r="1320">
      <c r="A1320" s="78"/>
      <c r="B1320" s="78"/>
      <c r="C1320" s="78"/>
      <c r="D1320" s="78"/>
      <c r="E1320" s="78"/>
      <c r="F1320" s="78"/>
      <c r="G1320" s="78"/>
      <c r="H1320" s="78"/>
      <c r="I1320" s="78"/>
      <c r="J1320" s="78"/>
      <c r="K1320" s="78"/>
      <c r="L1320" s="78"/>
      <c r="M1320" s="78"/>
      <c r="N1320" s="78"/>
      <c r="O1320" s="78"/>
      <c r="P1320" s="78"/>
      <c r="Q1320" s="78"/>
      <c r="R1320" s="78"/>
      <c r="S1320" s="78"/>
      <c r="T1320" s="78"/>
      <c r="U1320" s="78"/>
      <c r="V1320" s="78"/>
      <c r="W1320" s="78"/>
      <c r="X1320" s="78"/>
      <c r="Y1320" s="78"/>
      <c r="Z1320" s="78"/>
    </row>
    <row r="1321">
      <c r="A1321" s="78"/>
      <c r="B1321" s="78"/>
      <c r="C1321" s="78"/>
      <c r="D1321" s="78"/>
      <c r="E1321" s="78"/>
      <c r="F1321" s="78"/>
      <c r="G1321" s="78"/>
      <c r="H1321" s="78"/>
      <c r="I1321" s="78"/>
      <c r="J1321" s="78"/>
      <c r="K1321" s="78"/>
      <c r="L1321" s="78"/>
      <c r="M1321" s="78"/>
      <c r="N1321" s="78"/>
      <c r="O1321" s="78"/>
      <c r="P1321" s="78"/>
      <c r="Q1321" s="78"/>
      <c r="R1321" s="78"/>
      <c r="S1321" s="78"/>
      <c r="T1321" s="78"/>
      <c r="U1321" s="78"/>
      <c r="V1321" s="78"/>
      <c r="W1321" s="78"/>
      <c r="X1321" s="78"/>
      <c r="Y1321" s="78"/>
      <c r="Z1321" s="78"/>
    </row>
    <row r="1322">
      <c r="A1322" s="78"/>
      <c r="B1322" s="78"/>
      <c r="C1322" s="78"/>
      <c r="D1322" s="78"/>
      <c r="E1322" s="78"/>
      <c r="F1322" s="78"/>
      <c r="G1322" s="78"/>
      <c r="H1322" s="78"/>
      <c r="I1322" s="78"/>
      <c r="J1322" s="78"/>
      <c r="K1322" s="78"/>
      <c r="L1322" s="78"/>
      <c r="M1322" s="78"/>
      <c r="N1322" s="78"/>
      <c r="O1322" s="78"/>
      <c r="P1322" s="78"/>
      <c r="Q1322" s="78"/>
      <c r="R1322" s="78"/>
      <c r="S1322" s="78"/>
      <c r="T1322" s="78"/>
      <c r="U1322" s="78"/>
      <c r="V1322" s="78"/>
      <c r="W1322" s="78"/>
      <c r="X1322" s="78"/>
      <c r="Y1322" s="78"/>
      <c r="Z1322" s="78"/>
    </row>
    <row r="1323">
      <c r="A1323" s="78"/>
      <c r="B1323" s="78"/>
      <c r="C1323" s="78"/>
      <c r="D1323" s="78"/>
      <c r="E1323" s="78"/>
      <c r="F1323" s="78"/>
      <c r="G1323" s="78"/>
      <c r="H1323" s="78"/>
      <c r="I1323" s="78"/>
      <c r="J1323" s="78"/>
      <c r="K1323" s="78"/>
      <c r="L1323" s="78"/>
      <c r="M1323" s="78"/>
      <c r="N1323" s="78"/>
      <c r="O1323" s="78"/>
      <c r="P1323" s="78"/>
      <c r="Q1323" s="78"/>
      <c r="R1323" s="78"/>
      <c r="S1323" s="78"/>
      <c r="T1323" s="78"/>
      <c r="U1323" s="78"/>
      <c r="V1323" s="78"/>
      <c r="W1323" s="78"/>
      <c r="X1323" s="78"/>
      <c r="Y1323" s="78"/>
      <c r="Z1323" s="78"/>
    </row>
    <row r="1324">
      <c r="A1324" s="78"/>
      <c r="B1324" s="78"/>
      <c r="C1324" s="78"/>
      <c r="D1324" s="78"/>
      <c r="E1324" s="78"/>
      <c r="F1324" s="78"/>
      <c r="G1324" s="78"/>
      <c r="H1324" s="78"/>
      <c r="I1324" s="78"/>
      <c r="J1324" s="78"/>
      <c r="K1324" s="78"/>
      <c r="L1324" s="78"/>
      <c r="M1324" s="78"/>
      <c r="N1324" s="78"/>
      <c r="O1324" s="78"/>
      <c r="P1324" s="78"/>
      <c r="Q1324" s="78"/>
      <c r="R1324" s="78"/>
      <c r="S1324" s="78"/>
      <c r="T1324" s="78"/>
      <c r="U1324" s="78"/>
      <c r="V1324" s="78"/>
      <c r="W1324" s="78"/>
      <c r="X1324" s="78"/>
      <c r="Y1324" s="78"/>
      <c r="Z1324" s="78"/>
    </row>
    <row r="1325">
      <c r="A1325" s="78"/>
      <c r="B1325" s="78"/>
      <c r="C1325" s="78"/>
      <c r="D1325" s="78"/>
      <c r="E1325" s="78"/>
      <c r="F1325" s="78"/>
      <c r="G1325" s="78"/>
      <c r="H1325" s="78"/>
      <c r="I1325" s="78"/>
      <c r="J1325" s="78"/>
      <c r="K1325" s="78"/>
      <c r="L1325" s="78"/>
      <c r="M1325" s="78"/>
      <c r="N1325" s="78"/>
      <c r="O1325" s="78"/>
      <c r="P1325" s="78"/>
      <c r="Q1325" s="78"/>
      <c r="R1325" s="78"/>
      <c r="S1325" s="78"/>
      <c r="T1325" s="78"/>
      <c r="U1325" s="78"/>
      <c r="V1325" s="78"/>
      <c r="W1325" s="78"/>
      <c r="X1325" s="78"/>
      <c r="Y1325" s="78"/>
      <c r="Z1325" s="78"/>
    </row>
    <row r="1326">
      <c r="A1326" s="78"/>
      <c r="B1326" s="78"/>
      <c r="C1326" s="78"/>
      <c r="D1326" s="78"/>
      <c r="E1326" s="78"/>
      <c r="F1326" s="78"/>
      <c r="G1326" s="78"/>
      <c r="H1326" s="78"/>
      <c r="I1326" s="78"/>
      <c r="J1326" s="78"/>
      <c r="K1326" s="78"/>
      <c r="L1326" s="78"/>
      <c r="M1326" s="78"/>
      <c r="N1326" s="78"/>
      <c r="O1326" s="78"/>
      <c r="P1326" s="78"/>
      <c r="Q1326" s="78"/>
      <c r="R1326" s="78"/>
      <c r="S1326" s="78"/>
      <c r="T1326" s="78"/>
      <c r="U1326" s="78"/>
      <c r="V1326" s="78"/>
      <c r="W1326" s="78"/>
      <c r="X1326" s="78"/>
      <c r="Y1326" s="78"/>
      <c r="Z1326" s="78"/>
    </row>
    <row r="1327">
      <c r="A1327" s="78"/>
      <c r="B1327" s="78"/>
      <c r="C1327" s="78"/>
      <c r="D1327" s="78"/>
      <c r="E1327" s="78"/>
      <c r="F1327" s="78"/>
      <c r="G1327" s="78"/>
      <c r="H1327" s="78"/>
      <c r="I1327" s="78"/>
      <c r="J1327" s="78"/>
      <c r="K1327" s="78"/>
      <c r="L1327" s="78"/>
      <c r="M1327" s="78"/>
      <c r="N1327" s="78"/>
      <c r="O1327" s="78"/>
      <c r="P1327" s="78"/>
      <c r="Q1327" s="78"/>
      <c r="R1327" s="78"/>
      <c r="S1327" s="78"/>
      <c r="T1327" s="78"/>
      <c r="U1327" s="78"/>
      <c r="V1327" s="78"/>
      <c r="W1327" s="78"/>
      <c r="X1327" s="78"/>
      <c r="Y1327" s="78"/>
      <c r="Z1327" s="78"/>
    </row>
    <row r="1328">
      <c r="A1328" s="78"/>
      <c r="B1328" s="78"/>
      <c r="C1328" s="78"/>
      <c r="D1328" s="78"/>
      <c r="E1328" s="78"/>
      <c r="F1328" s="78"/>
      <c r="G1328" s="78"/>
      <c r="H1328" s="78"/>
      <c r="I1328" s="78"/>
      <c r="J1328" s="78"/>
      <c r="K1328" s="78"/>
      <c r="L1328" s="78"/>
      <c r="M1328" s="78"/>
      <c r="N1328" s="78"/>
      <c r="O1328" s="78"/>
      <c r="P1328" s="78"/>
      <c r="Q1328" s="78"/>
      <c r="R1328" s="78"/>
      <c r="S1328" s="78"/>
      <c r="T1328" s="78"/>
      <c r="U1328" s="78"/>
      <c r="V1328" s="78"/>
      <c r="W1328" s="78"/>
      <c r="X1328" s="78"/>
      <c r="Y1328" s="78"/>
      <c r="Z1328" s="78"/>
    </row>
    <row r="1329">
      <c r="A1329" s="78"/>
      <c r="B1329" s="78"/>
      <c r="C1329" s="78"/>
      <c r="D1329" s="78"/>
      <c r="E1329" s="78"/>
      <c r="F1329" s="78"/>
      <c r="G1329" s="78"/>
      <c r="H1329" s="78"/>
      <c r="I1329" s="78"/>
      <c r="J1329" s="78"/>
      <c r="K1329" s="78"/>
      <c r="L1329" s="78"/>
      <c r="M1329" s="78"/>
      <c r="N1329" s="78"/>
      <c r="O1329" s="78"/>
      <c r="P1329" s="78"/>
      <c r="Q1329" s="78"/>
      <c r="R1329" s="78"/>
      <c r="S1329" s="78"/>
      <c r="T1329" s="78"/>
      <c r="U1329" s="78"/>
      <c r="V1329" s="78"/>
      <c r="W1329" s="78"/>
      <c r="X1329" s="78"/>
      <c r="Y1329" s="78"/>
      <c r="Z1329" s="78"/>
    </row>
    <row r="1330">
      <c r="A1330" s="78"/>
      <c r="B1330" s="78"/>
      <c r="C1330" s="78"/>
      <c r="D1330" s="78"/>
      <c r="E1330" s="78"/>
      <c r="F1330" s="78"/>
      <c r="G1330" s="78"/>
      <c r="H1330" s="78"/>
      <c r="I1330" s="78"/>
      <c r="J1330" s="78"/>
      <c r="K1330" s="78"/>
      <c r="L1330" s="78"/>
      <c r="M1330" s="78"/>
      <c r="N1330" s="78"/>
      <c r="O1330" s="78"/>
      <c r="P1330" s="78"/>
      <c r="Q1330" s="78"/>
      <c r="R1330" s="78"/>
      <c r="S1330" s="78"/>
      <c r="T1330" s="78"/>
      <c r="U1330" s="78"/>
      <c r="V1330" s="78"/>
      <c r="W1330" s="78"/>
      <c r="X1330" s="78"/>
      <c r="Y1330" s="78"/>
      <c r="Z1330" s="78"/>
    </row>
    <row r="1331">
      <c r="A1331" s="78"/>
      <c r="B1331" s="78"/>
      <c r="C1331" s="78"/>
      <c r="D1331" s="78"/>
      <c r="E1331" s="78"/>
      <c r="F1331" s="78"/>
      <c r="G1331" s="78"/>
      <c r="H1331" s="78"/>
      <c r="I1331" s="78"/>
      <c r="J1331" s="78"/>
      <c r="K1331" s="78"/>
      <c r="L1331" s="78"/>
      <c r="M1331" s="78"/>
      <c r="N1331" s="78"/>
      <c r="O1331" s="78"/>
      <c r="P1331" s="78"/>
      <c r="Q1331" s="78"/>
      <c r="R1331" s="78"/>
      <c r="S1331" s="78"/>
      <c r="T1331" s="78"/>
      <c r="U1331" s="78"/>
      <c r="V1331" s="78"/>
      <c r="W1331" s="78"/>
      <c r="X1331" s="78"/>
      <c r="Y1331" s="78"/>
      <c r="Z1331" s="78"/>
    </row>
    <row r="1332">
      <c r="A1332" s="78"/>
      <c r="B1332" s="78"/>
      <c r="C1332" s="78"/>
      <c r="D1332" s="78"/>
      <c r="E1332" s="78"/>
      <c r="F1332" s="78"/>
      <c r="G1332" s="78"/>
      <c r="H1332" s="78"/>
      <c r="I1332" s="78"/>
      <c r="J1332" s="78"/>
      <c r="K1332" s="78"/>
      <c r="L1332" s="78"/>
      <c r="M1332" s="78"/>
      <c r="N1332" s="78"/>
      <c r="O1332" s="78"/>
      <c r="P1332" s="78"/>
      <c r="Q1332" s="78"/>
      <c r="R1332" s="78"/>
      <c r="S1332" s="78"/>
      <c r="T1332" s="78"/>
      <c r="U1332" s="78"/>
      <c r="V1332" s="78"/>
      <c r="W1332" s="78"/>
      <c r="X1332" s="78"/>
      <c r="Y1332" s="78"/>
      <c r="Z1332" s="78"/>
    </row>
    <row r="1333">
      <c r="A1333" s="78"/>
      <c r="B1333" s="78"/>
      <c r="C1333" s="78"/>
      <c r="D1333" s="78"/>
      <c r="E1333" s="78"/>
      <c r="F1333" s="78"/>
      <c r="G1333" s="78"/>
      <c r="H1333" s="78"/>
      <c r="I1333" s="78"/>
      <c r="J1333" s="78"/>
      <c r="K1333" s="78"/>
      <c r="L1333" s="78"/>
      <c r="M1333" s="78"/>
      <c r="N1333" s="78"/>
      <c r="O1333" s="78"/>
      <c r="P1333" s="78"/>
      <c r="Q1333" s="78"/>
      <c r="R1333" s="78"/>
      <c r="S1333" s="78"/>
      <c r="T1333" s="78"/>
      <c r="U1333" s="78"/>
      <c r="V1333" s="78"/>
      <c r="W1333" s="78"/>
      <c r="X1333" s="78"/>
      <c r="Y1333" s="78"/>
      <c r="Z1333" s="78"/>
    </row>
    <row r="1334">
      <c r="A1334" s="78"/>
      <c r="B1334" s="78"/>
      <c r="C1334" s="78"/>
      <c r="D1334" s="78"/>
      <c r="E1334" s="78"/>
      <c r="F1334" s="78"/>
      <c r="G1334" s="78"/>
      <c r="H1334" s="78"/>
      <c r="I1334" s="78"/>
      <c r="J1334" s="78"/>
      <c r="K1334" s="78"/>
      <c r="L1334" s="78"/>
      <c r="M1334" s="78"/>
      <c r="N1334" s="78"/>
      <c r="O1334" s="78"/>
      <c r="P1334" s="78"/>
      <c r="Q1334" s="78"/>
      <c r="R1334" s="78"/>
      <c r="S1334" s="78"/>
      <c r="T1334" s="78"/>
      <c r="U1334" s="78"/>
      <c r="V1334" s="78"/>
      <c r="W1334" s="78"/>
      <c r="X1334" s="78"/>
      <c r="Y1334" s="78"/>
      <c r="Z1334" s="78"/>
    </row>
    <row r="1335">
      <c r="A1335" s="78"/>
      <c r="B1335" s="78"/>
      <c r="C1335" s="78"/>
      <c r="D1335" s="78"/>
      <c r="E1335" s="78"/>
      <c r="F1335" s="78"/>
      <c r="G1335" s="78"/>
      <c r="H1335" s="78"/>
      <c r="I1335" s="78"/>
      <c r="J1335" s="78"/>
      <c r="K1335" s="78"/>
      <c r="L1335" s="78"/>
      <c r="M1335" s="78"/>
      <c r="N1335" s="78"/>
      <c r="O1335" s="78"/>
      <c r="P1335" s="78"/>
      <c r="Q1335" s="78"/>
      <c r="R1335" s="78"/>
      <c r="S1335" s="78"/>
      <c r="T1335" s="78"/>
      <c r="U1335" s="78"/>
      <c r="V1335" s="78"/>
      <c r="W1335" s="78"/>
      <c r="X1335" s="78"/>
      <c r="Y1335" s="78"/>
      <c r="Z1335" s="78"/>
    </row>
    <row r="1336">
      <c r="A1336" s="78"/>
      <c r="B1336" s="78"/>
      <c r="C1336" s="78"/>
      <c r="D1336" s="78"/>
      <c r="E1336" s="78"/>
      <c r="F1336" s="78"/>
      <c r="G1336" s="78"/>
      <c r="H1336" s="78"/>
      <c r="I1336" s="78"/>
      <c r="J1336" s="78"/>
      <c r="K1336" s="78"/>
      <c r="L1336" s="78"/>
      <c r="M1336" s="78"/>
      <c r="N1336" s="78"/>
      <c r="O1336" s="78"/>
      <c r="P1336" s="78"/>
      <c r="Q1336" s="78"/>
      <c r="R1336" s="78"/>
      <c r="S1336" s="78"/>
      <c r="T1336" s="78"/>
      <c r="U1336" s="78"/>
      <c r="V1336" s="78"/>
      <c r="W1336" s="78"/>
      <c r="X1336" s="78"/>
      <c r="Y1336" s="78"/>
      <c r="Z1336" s="78"/>
    </row>
    <row r="1337">
      <c r="A1337" s="78"/>
      <c r="B1337" s="78"/>
      <c r="C1337" s="78"/>
      <c r="D1337" s="78"/>
      <c r="E1337" s="78"/>
      <c r="F1337" s="78"/>
      <c r="G1337" s="78"/>
      <c r="H1337" s="78"/>
      <c r="I1337" s="78"/>
      <c r="J1337" s="78"/>
      <c r="K1337" s="78"/>
      <c r="L1337" s="78"/>
      <c r="M1337" s="78"/>
      <c r="N1337" s="78"/>
      <c r="O1337" s="78"/>
      <c r="P1337" s="78"/>
      <c r="Q1337" s="78"/>
      <c r="R1337" s="78"/>
      <c r="S1337" s="78"/>
      <c r="T1337" s="78"/>
      <c r="U1337" s="78"/>
      <c r="V1337" s="78"/>
      <c r="W1337" s="78"/>
      <c r="X1337" s="78"/>
      <c r="Y1337" s="78"/>
      <c r="Z1337" s="78"/>
    </row>
    <row r="1338">
      <c r="A1338" s="78"/>
      <c r="B1338" s="78"/>
      <c r="C1338" s="78"/>
      <c r="D1338" s="78"/>
      <c r="E1338" s="78"/>
      <c r="F1338" s="78"/>
      <c r="G1338" s="78"/>
      <c r="H1338" s="78"/>
      <c r="I1338" s="78"/>
      <c r="J1338" s="78"/>
      <c r="K1338" s="78"/>
      <c r="L1338" s="78"/>
      <c r="M1338" s="78"/>
      <c r="N1338" s="78"/>
      <c r="O1338" s="78"/>
      <c r="P1338" s="78"/>
      <c r="Q1338" s="78"/>
      <c r="R1338" s="78"/>
      <c r="S1338" s="78"/>
      <c r="T1338" s="78"/>
      <c r="U1338" s="78"/>
      <c r="V1338" s="78"/>
      <c r="W1338" s="78"/>
      <c r="X1338" s="78"/>
      <c r="Y1338" s="78"/>
      <c r="Z1338" s="78"/>
    </row>
    <row r="1339">
      <c r="A1339" s="78"/>
      <c r="B1339" s="78"/>
      <c r="C1339" s="78"/>
      <c r="D1339" s="78"/>
      <c r="E1339" s="78"/>
      <c r="F1339" s="78"/>
      <c r="G1339" s="78"/>
      <c r="H1339" s="78"/>
      <c r="I1339" s="78"/>
      <c r="J1339" s="78"/>
      <c r="K1339" s="78"/>
      <c r="L1339" s="78"/>
      <c r="M1339" s="78"/>
      <c r="N1339" s="78"/>
      <c r="O1339" s="78"/>
      <c r="P1339" s="78"/>
      <c r="Q1339" s="78"/>
      <c r="R1339" s="78"/>
      <c r="S1339" s="78"/>
      <c r="T1339" s="78"/>
      <c r="U1339" s="78"/>
      <c r="V1339" s="78"/>
      <c r="W1339" s="78"/>
      <c r="X1339" s="78"/>
      <c r="Y1339" s="78"/>
      <c r="Z1339" s="78"/>
    </row>
    <row r="1340">
      <c r="A1340" s="78"/>
      <c r="B1340" s="78"/>
      <c r="C1340" s="78"/>
      <c r="D1340" s="78"/>
      <c r="E1340" s="78"/>
      <c r="F1340" s="78"/>
      <c r="G1340" s="78"/>
      <c r="H1340" s="78"/>
      <c r="I1340" s="78"/>
      <c r="J1340" s="78"/>
      <c r="K1340" s="78"/>
      <c r="L1340" s="78"/>
      <c r="M1340" s="78"/>
      <c r="N1340" s="78"/>
      <c r="O1340" s="78"/>
      <c r="P1340" s="78"/>
      <c r="Q1340" s="78"/>
      <c r="R1340" s="78"/>
      <c r="S1340" s="78"/>
      <c r="T1340" s="78"/>
      <c r="U1340" s="78"/>
      <c r="V1340" s="78"/>
      <c r="W1340" s="78"/>
      <c r="X1340" s="78"/>
      <c r="Y1340" s="78"/>
      <c r="Z1340" s="78"/>
    </row>
    <row r="1341">
      <c r="A1341" s="78"/>
      <c r="B1341" s="78"/>
      <c r="C1341" s="78"/>
      <c r="D1341" s="78"/>
      <c r="E1341" s="78"/>
      <c r="F1341" s="78"/>
      <c r="G1341" s="78"/>
      <c r="H1341" s="78"/>
      <c r="I1341" s="78"/>
      <c r="J1341" s="78"/>
      <c r="K1341" s="78"/>
      <c r="L1341" s="78"/>
      <c r="M1341" s="78"/>
      <c r="N1341" s="78"/>
      <c r="O1341" s="78"/>
      <c r="P1341" s="78"/>
      <c r="Q1341" s="78"/>
      <c r="R1341" s="78"/>
      <c r="S1341" s="78"/>
      <c r="T1341" s="78"/>
      <c r="U1341" s="78"/>
      <c r="V1341" s="78"/>
      <c r="W1341" s="78"/>
      <c r="X1341" s="78"/>
      <c r="Y1341" s="78"/>
      <c r="Z1341" s="78"/>
    </row>
    <row r="1342">
      <c r="A1342" s="78"/>
      <c r="B1342" s="78"/>
      <c r="C1342" s="78"/>
      <c r="D1342" s="78"/>
      <c r="E1342" s="78"/>
      <c r="F1342" s="78"/>
      <c r="G1342" s="78"/>
      <c r="H1342" s="78"/>
      <c r="I1342" s="78"/>
      <c r="J1342" s="78"/>
      <c r="K1342" s="78"/>
      <c r="L1342" s="78"/>
      <c r="M1342" s="78"/>
      <c r="N1342" s="78"/>
      <c r="O1342" s="78"/>
      <c r="P1342" s="78"/>
      <c r="Q1342" s="78"/>
      <c r="R1342" s="78"/>
      <c r="S1342" s="78"/>
      <c r="T1342" s="78"/>
      <c r="U1342" s="78"/>
      <c r="V1342" s="78"/>
      <c r="W1342" s="78"/>
      <c r="X1342" s="78"/>
      <c r="Y1342" s="78"/>
      <c r="Z1342" s="78"/>
    </row>
    <row r="1343">
      <c r="A1343" s="78"/>
      <c r="B1343" s="78"/>
      <c r="C1343" s="78"/>
      <c r="D1343" s="78"/>
      <c r="E1343" s="78"/>
      <c r="F1343" s="78"/>
      <c r="G1343" s="78"/>
      <c r="H1343" s="78"/>
      <c r="I1343" s="78"/>
      <c r="J1343" s="78"/>
      <c r="K1343" s="78"/>
      <c r="L1343" s="78"/>
      <c r="M1343" s="78"/>
      <c r="N1343" s="78"/>
      <c r="O1343" s="78"/>
      <c r="P1343" s="78"/>
      <c r="Q1343" s="78"/>
      <c r="R1343" s="78"/>
      <c r="S1343" s="78"/>
      <c r="T1343" s="78"/>
      <c r="U1343" s="78"/>
      <c r="V1343" s="78"/>
      <c r="W1343" s="78"/>
      <c r="X1343" s="78"/>
      <c r="Y1343" s="78"/>
      <c r="Z1343" s="78"/>
    </row>
    <row r="1344">
      <c r="A1344" s="78"/>
      <c r="B1344" s="78"/>
      <c r="C1344" s="78"/>
      <c r="D1344" s="78"/>
      <c r="E1344" s="78"/>
      <c r="F1344" s="78"/>
      <c r="G1344" s="78"/>
      <c r="H1344" s="78"/>
      <c r="I1344" s="78"/>
      <c r="J1344" s="78"/>
      <c r="K1344" s="78"/>
      <c r="L1344" s="78"/>
      <c r="M1344" s="78"/>
      <c r="N1344" s="78"/>
      <c r="O1344" s="78"/>
      <c r="P1344" s="78"/>
      <c r="Q1344" s="78"/>
      <c r="R1344" s="78"/>
      <c r="S1344" s="78"/>
      <c r="T1344" s="78"/>
      <c r="U1344" s="78"/>
      <c r="V1344" s="78"/>
      <c r="W1344" s="78"/>
      <c r="X1344" s="78"/>
      <c r="Y1344" s="78"/>
      <c r="Z1344" s="78"/>
    </row>
    <row r="1345">
      <c r="A1345" s="78"/>
      <c r="B1345" s="78"/>
      <c r="C1345" s="78"/>
      <c r="D1345" s="78"/>
      <c r="E1345" s="78"/>
      <c r="F1345" s="78"/>
      <c r="G1345" s="78"/>
      <c r="H1345" s="78"/>
      <c r="I1345" s="78"/>
      <c r="J1345" s="78"/>
      <c r="K1345" s="78"/>
      <c r="L1345" s="78"/>
      <c r="M1345" s="78"/>
      <c r="N1345" s="78"/>
      <c r="O1345" s="78"/>
      <c r="P1345" s="78"/>
      <c r="Q1345" s="78"/>
      <c r="R1345" s="78"/>
      <c r="S1345" s="78"/>
      <c r="T1345" s="78"/>
      <c r="U1345" s="78"/>
      <c r="V1345" s="78"/>
      <c r="W1345" s="78"/>
      <c r="X1345" s="78"/>
      <c r="Y1345" s="78"/>
      <c r="Z1345" s="78"/>
    </row>
    <row r="1346">
      <c r="A1346" s="78"/>
      <c r="B1346" s="78"/>
      <c r="C1346" s="78"/>
      <c r="D1346" s="78"/>
      <c r="E1346" s="78"/>
      <c r="F1346" s="78"/>
      <c r="G1346" s="78"/>
      <c r="H1346" s="78"/>
      <c r="I1346" s="78"/>
      <c r="J1346" s="78"/>
      <c r="K1346" s="78"/>
      <c r="L1346" s="78"/>
      <c r="M1346" s="78"/>
      <c r="N1346" s="78"/>
      <c r="O1346" s="78"/>
      <c r="P1346" s="78"/>
      <c r="Q1346" s="78"/>
      <c r="R1346" s="78"/>
      <c r="S1346" s="78"/>
      <c r="T1346" s="78"/>
      <c r="U1346" s="78"/>
      <c r="V1346" s="78"/>
      <c r="W1346" s="78"/>
      <c r="X1346" s="78"/>
      <c r="Y1346" s="78"/>
      <c r="Z1346" s="78"/>
    </row>
    <row r="1347">
      <c r="A1347" s="78"/>
      <c r="B1347" s="78"/>
      <c r="C1347" s="78"/>
      <c r="D1347" s="78"/>
      <c r="E1347" s="78"/>
      <c r="F1347" s="78"/>
      <c r="G1347" s="78"/>
      <c r="H1347" s="78"/>
      <c r="I1347" s="78"/>
      <c r="J1347" s="78"/>
      <c r="K1347" s="78"/>
      <c r="L1347" s="78"/>
      <c r="M1347" s="78"/>
      <c r="N1347" s="78"/>
      <c r="O1347" s="78"/>
      <c r="P1347" s="78"/>
      <c r="Q1347" s="78"/>
      <c r="R1347" s="78"/>
      <c r="S1347" s="78"/>
      <c r="T1347" s="78"/>
      <c r="U1347" s="78"/>
      <c r="V1347" s="78"/>
      <c r="W1347" s="78"/>
      <c r="X1347" s="78"/>
      <c r="Y1347" s="78"/>
      <c r="Z1347" s="78"/>
    </row>
    <row r="1348">
      <c r="A1348" s="78"/>
      <c r="B1348" s="78"/>
      <c r="C1348" s="78"/>
      <c r="D1348" s="78"/>
      <c r="E1348" s="78"/>
      <c r="F1348" s="78"/>
      <c r="G1348" s="78"/>
      <c r="H1348" s="78"/>
      <c r="I1348" s="78"/>
      <c r="J1348" s="78"/>
      <c r="K1348" s="78"/>
      <c r="L1348" s="78"/>
      <c r="M1348" s="78"/>
      <c r="N1348" s="78"/>
      <c r="O1348" s="78"/>
      <c r="P1348" s="78"/>
      <c r="Q1348" s="78"/>
      <c r="R1348" s="78"/>
      <c r="S1348" s="78"/>
      <c r="T1348" s="78"/>
      <c r="U1348" s="78"/>
      <c r="V1348" s="78"/>
      <c r="W1348" s="78"/>
      <c r="X1348" s="78"/>
      <c r="Y1348" s="78"/>
      <c r="Z1348" s="78"/>
    </row>
    <row r="1349">
      <c r="A1349" s="78"/>
      <c r="B1349" s="78"/>
      <c r="C1349" s="78"/>
      <c r="D1349" s="78"/>
      <c r="E1349" s="78"/>
      <c r="F1349" s="78"/>
      <c r="G1349" s="78"/>
      <c r="H1349" s="78"/>
      <c r="I1349" s="78"/>
      <c r="J1349" s="78"/>
      <c r="K1349" s="78"/>
      <c r="L1349" s="78"/>
      <c r="M1349" s="78"/>
      <c r="N1349" s="78"/>
      <c r="O1349" s="78"/>
      <c r="P1349" s="78"/>
      <c r="Q1349" s="78"/>
      <c r="R1349" s="78"/>
      <c r="S1349" s="78"/>
      <c r="T1349" s="78"/>
      <c r="U1349" s="78"/>
      <c r="V1349" s="78"/>
      <c r="W1349" s="78"/>
      <c r="X1349" s="78"/>
      <c r="Y1349" s="78"/>
      <c r="Z1349" s="78"/>
    </row>
    <row r="1350">
      <c r="A1350" s="78"/>
      <c r="B1350" s="78"/>
      <c r="C1350" s="78"/>
      <c r="D1350" s="78"/>
      <c r="E1350" s="78"/>
      <c r="F1350" s="78"/>
      <c r="G1350" s="78"/>
      <c r="H1350" s="78"/>
      <c r="I1350" s="78"/>
      <c r="J1350" s="78"/>
      <c r="K1350" s="78"/>
      <c r="L1350" s="78"/>
      <c r="M1350" s="78"/>
      <c r="N1350" s="78"/>
      <c r="O1350" s="78"/>
      <c r="P1350" s="78"/>
      <c r="Q1350" s="78"/>
      <c r="R1350" s="78"/>
      <c r="S1350" s="78"/>
      <c r="T1350" s="78"/>
      <c r="U1350" s="78"/>
      <c r="V1350" s="78"/>
      <c r="W1350" s="78"/>
      <c r="X1350" s="78"/>
      <c r="Y1350" s="78"/>
      <c r="Z1350" s="78"/>
    </row>
    <row r="1351">
      <c r="A1351" s="78"/>
      <c r="B1351" s="78"/>
      <c r="C1351" s="78"/>
      <c r="D1351" s="78"/>
      <c r="E1351" s="78"/>
      <c r="F1351" s="78"/>
      <c r="G1351" s="78"/>
      <c r="H1351" s="78"/>
      <c r="I1351" s="78"/>
      <c r="J1351" s="78"/>
      <c r="K1351" s="78"/>
      <c r="L1351" s="78"/>
      <c r="M1351" s="78"/>
      <c r="N1351" s="78"/>
      <c r="O1351" s="78"/>
      <c r="P1351" s="78"/>
      <c r="Q1351" s="78"/>
      <c r="R1351" s="78"/>
      <c r="S1351" s="78"/>
      <c r="T1351" s="78"/>
      <c r="U1351" s="78"/>
      <c r="V1351" s="78"/>
      <c r="W1351" s="78"/>
      <c r="X1351" s="78"/>
      <c r="Y1351" s="78"/>
      <c r="Z1351" s="78"/>
    </row>
    <row r="1352">
      <c r="A1352" s="78"/>
      <c r="B1352" s="78"/>
      <c r="C1352" s="78"/>
      <c r="D1352" s="78"/>
      <c r="E1352" s="78"/>
      <c r="F1352" s="78"/>
      <c r="G1352" s="78"/>
      <c r="H1352" s="78"/>
      <c r="I1352" s="78"/>
      <c r="J1352" s="78"/>
      <c r="K1352" s="78"/>
      <c r="L1352" s="78"/>
      <c r="M1352" s="78"/>
      <c r="N1352" s="78"/>
      <c r="O1352" s="78"/>
      <c r="P1352" s="78"/>
      <c r="Q1352" s="78"/>
      <c r="R1352" s="78"/>
      <c r="S1352" s="78"/>
      <c r="T1352" s="78"/>
      <c r="U1352" s="78"/>
      <c r="V1352" s="78"/>
      <c r="W1352" s="78"/>
      <c r="X1352" s="78"/>
      <c r="Y1352" s="78"/>
      <c r="Z1352" s="78"/>
    </row>
    <row r="1353">
      <c r="A1353" s="78"/>
      <c r="B1353" s="78"/>
      <c r="C1353" s="78"/>
      <c r="D1353" s="78"/>
      <c r="E1353" s="78"/>
      <c r="F1353" s="78"/>
      <c r="G1353" s="78"/>
      <c r="H1353" s="78"/>
      <c r="I1353" s="78"/>
      <c r="J1353" s="78"/>
      <c r="K1353" s="78"/>
      <c r="L1353" s="78"/>
      <c r="M1353" s="78"/>
      <c r="N1353" s="78"/>
      <c r="O1353" s="78"/>
      <c r="P1353" s="78"/>
      <c r="Q1353" s="78"/>
      <c r="R1353" s="78"/>
      <c r="S1353" s="78"/>
      <c r="T1353" s="78"/>
      <c r="U1353" s="78"/>
      <c r="V1353" s="78"/>
      <c r="W1353" s="78"/>
      <c r="X1353" s="78"/>
      <c r="Y1353" s="78"/>
      <c r="Z1353" s="78"/>
    </row>
    <row r="1354">
      <c r="A1354" s="78"/>
      <c r="B1354" s="78"/>
      <c r="C1354" s="78"/>
      <c r="D1354" s="78"/>
      <c r="E1354" s="78"/>
      <c r="F1354" s="78"/>
      <c r="G1354" s="78"/>
      <c r="H1354" s="78"/>
      <c r="I1354" s="78"/>
      <c r="J1354" s="78"/>
      <c r="K1354" s="78"/>
      <c r="L1354" s="78"/>
      <c r="M1354" s="78"/>
      <c r="N1354" s="78"/>
      <c r="O1354" s="78"/>
      <c r="P1354" s="78"/>
      <c r="Q1354" s="78"/>
      <c r="R1354" s="78"/>
      <c r="S1354" s="78"/>
      <c r="T1354" s="78"/>
      <c r="U1354" s="78"/>
      <c r="V1354" s="78"/>
      <c r="W1354" s="78"/>
      <c r="X1354" s="78"/>
      <c r="Y1354" s="78"/>
      <c r="Z1354" s="78"/>
    </row>
    <row r="1355">
      <c r="A1355" s="78"/>
      <c r="B1355" s="78"/>
      <c r="C1355" s="78"/>
      <c r="D1355" s="78"/>
      <c r="E1355" s="78"/>
      <c r="F1355" s="78"/>
      <c r="G1355" s="78"/>
      <c r="H1355" s="78"/>
      <c r="I1355" s="78"/>
      <c r="J1355" s="78"/>
      <c r="K1355" s="78"/>
      <c r="L1355" s="78"/>
      <c r="M1355" s="78"/>
      <c r="N1355" s="78"/>
      <c r="O1355" s="78"/>
      <c r="P1355" s="78"/>
      <c r="Q1355" s="78"/>
      <c r="R1355" s="78"/>
      <c r="S1355" s="78"/>
      <c r="T1355" s="78"/>
      <c r="U1355" s="78"/>
      <c r="V1355" s="78"/>
      <c r="W1355" s="78"/>
      <c r="X1355" s="78"/>
      <c r="Y1355" s="78"/>
      <c r="Z1355" s="78"/>
    </row>
    <row r="1356">
      <c r="A1356" s="78"/>
      <c r="B1356" s="78"/>
      <c r="C1356" s="78"/>
      <c r="D1356" s="78"/>
      <c r="E1356" s="78"/>
      <c r="F1356" s="78"/>
      <c r="G1356" s="78"/>
      <c r="H1356" s="78"/>
      <c r="I1356" s="78"/>
      <c r="J1356" s="78"/>
      <c r="K1356" s="78"/>
      <c r="L1356" s="78"/>
      <c r="M1356" s="78"/>
      <c r="N1356" s="78"/>
      <c r="O1356" s="78"/>
      <c r="P1356" s="78"/>
      <c r="Q1356" s="78"/>
      <c r="R1356" s="78"/>
      <c r="S1356" s="78"/>
      <c r="T1356" s="78"/>
      <c r="U1356" s="78"/>
      <c r="V1356" s="78"/>
      <c r="W1356" s="78"/>
      <c r="X1356" s="78"/>
      <c r="Y1356" s="78"/>
      <c r="Z1356" s="78"/>
    </row>
    <row r="1357">
      <c r="A1357" s="78"/>
      <c r="B1357" s="78"/>
      <c r="C1357" s="78"/>
      <c r="D1357" s="78"/>
      <c r="E1357" s="78"/>
      <c r="F1357" s="78"/>
      <c r="G1357" s="78"/>
      <c r="H1357" s="78"/>
      <c r="I1357" s="78"/>
      <c r="J1357" s="78"/>
      <c r="K1357" s="78"/>
      <c r="L1357" s="78"/>
      <c r="M1357" s="78"/>
      <c r="N1357" s="78"/>
      <c r="O1357" s="78"/>
      <c r="P1357" s="78"/>
      <c r="Q1357" s="78"/>
      <c r="R1357" s="78"/>
      <c r="S1357" s="78"/>
      <c r="T1357" s="78"/>
      <c r="U1357" s="78"/>
      <c r="V1357" s="78"/>
      <c r="W1357" s="78"/>
      <c r="X1357" s="78"/>
      <c r="Y1357" s="78"/>
      <c r="Z1357" s="78"/>
    </row>
    <row r="1358">
      <c r="A1358" s="78"/>
      <c r="B1358" s="78"/>
      <c r="C1358" s="78"/>
      <c r="D1358" s="78"/>
      <c r="E1358" s="78"/>
      <c r="F1358" s="78"/>
      <c r="G1358" s="78"/>
      <c r="H1358" s="78"/>
      <c r="I1358" s="78"/>
      <c r="J1358" s="78"/>
      <c r="K1358" s="78"/>
      <c r="L1358" s="78"/>
      <c r="M1358" s="78"/>
      <c r="N1358" s="78"/>
      <c r="O1358" s="78"/>
      <c r="P1358" s="78"/>
      <c r="Q1358" s="78"/>
      <c r="R1358" s="78"/>
      <c r="S1358" s="78"/>
      <c r="T1358" s="78"/>
      <c r="U1358" s="78"/>
      <c r="V1358" s="78"/>
      <c r="W1358" s="78"/>
      <c r="X1358" s="78"/>
      <c r="Y1358" s="78"/>
      <c r="Z1358" s="78"/>
    </row>
    <row r="1359">
      <c r="A1359" s="78"/>
      <c r="B1359" s="78"/>
      <c r="C1359" s="78"/>
      <c r="D1359" s="78"/>
      <c r="E1359" s="78"/>
      <c r="F1359" s="78"/>
      <c r="G1359" s="78"/>
      <c r="H1359" s="78"/>
      <c r="I1359" s="78"/>
      <c r="J1359" s="78"/>
      <c r="K1359" s="78"/>
      <c r="L1359" s="78"/>
      <c r="M1359" s="78"/>
      <c r="N1359" s="78"/>
      <c r="O1359" s="78"/>
      <c r="P1359" s="78"/>
      <c r="Q1359" s="78"/>
      <c r="R1359" s="78"/>
      <c r="S1359" s="78"/>
      <c r="T1359" s="78"/>
      <c r="U1359" s="78"/>
      <c r="V1359" s="78"/>
      <c r="W1359" s="78"/>
      <c r="X1359" s="78"/>
      <c r="Y1359" s="78"/>
      <c r="Z1359" s="78"/>
    </row>
    <row r="1360">
      <c r="A1360" s="78"/>
      <c r="B1360" s="78"/>
      <c r="C1360" s="78"/>
      <c r="D1360" s="78"/>
      <c r="E1360" s="78"/>
      <c r="F1360" s="78"/>
      <c r="G1360" s="78"/>
      <c r="H1360" s="78"/>
      <c r="I1360" s="78"/>
      <c r="J1360" s="78"/>
      <c r="K1360" s="78"/>
      <c r="L1360" s="78"/>
      <c r="M1360" s="78"/>
      <c r="N1360" s="78"/>
      <c r="O1360" s="78"/>
      <c r="P1360" s="78"/>
      <c r="Q1360" s="78"/>
      <c r="R1360" s="78"/>
      <c r="S1360" s="78"/>
      <c r="T1360" s="78"/>
      <c r="U1360" s="78"/>
      <c r="V1360" s="78"/>
      <c r="W1360" s="78"/>
      <c r="X1360" s="78"/>
      <c r="Y1360" s="78"/>
      <c r="Z1360" s="78"/>
    </row>
    <row r="1361">
      <c r="A1361" s="78"/>
      <c r="B1361" s="78"/>
      <c r="C1361" s="78"/>
      <c r="D1361" s="78"/>
      <c r="E1361" s="78"/>
      <c r="F1361" s="78"/>
      <c r="G1361" s="78"/>
      <c r="H1361" s="78"/>
      <c r="I1361" s="78"/>
      <c r="J1361" s="78"/>
      <c r="K1361" s="78"/>
      <c r="L1361" s="78"/>
      <c r="M1361" s="78"/>
      <c r="N1361" s="78"/>
      <c r="O1361" s="78"/>
      <c r="P1361" s="78"/>
      <c r="Q1361" s="78"/>
      <c r="R1361" s="78"/>
      <c r="S1361" s="78"/>
      <c r="T1361" s="78"/>
      <c r="U1361" s="78"/>
      <c r="V1361" s="78"/>
      <c r="W1361" s="78"/>
      <c r="X1361" s="78"/>
      <c r="Y1361" s="78"/>
      <c r="Z1361" s="78"/>
    </row>
    <row r="1362">
      <c r="A1362" s="78"/>
      <c r="B1362" s="78"/>
      <c r="C1362" s="78"/>
      <c r="D1362" s="78"/>
      <c r="E1362" s="78"/>
      <c r="F1362" s="78"/>
      <c r="G1362" s="78"/>
      <c r="H1362" s="78"/>
      <c r="I1362" s="78"/>
      <c r="J1362" s="78"/>
      <c r="K1362" s="78"/>
      <c r="L1362" s="78"/>
      <c r="M1362" s="78"/>
      <c r="N1362" s="78"/>
      <c r="O1362" s="78"/>
      <c r="P1362" s="78"/>
      <c r="Q1362" s="78"/>
      <c r="R1362" s="78"/>
      <c r="S1362" s="78"/>
      <c r="T1362" s="78"/>
      <c r="U1362" s="78"/>
      <c r="V1362" s="78"/>
      <c r="W1362" s="78"/>
      <c r="X1362" s="78"/>
      <c r="Y1362" s="78"/>
      <c r="Z1362" s="78"/>
    </row>
    <row r="1363">
      <c r="A1363" s="78"/>
      <c r="B1363" s="78"/>
      <c r="C1363" s="78"/>
      <c r="D1363" s="78"/>
      <c r="E1363" s="78"/>
      <c r="F1363" s="78"/>
      <c r="G1363" s="78"/>
      <c r="H1363" s="78"/>
      <c r="I1363" s="78"/>
      <c r="J1363" s="78"/>
      <c r="K1363" s="78"/>
      <c r="L1363" s="78"/>
      <c r="M1363" s="78"/>
      <c r="N1363" s="78"/>
      <c r="O1363" s="78"/>
      <c r="P1363" s="78"/>
      <c r="Q1363" s="78"/>
      <c r="R1363" s="78"/>
      <c r="S1363" s="78"/>
      <c r="T1363" s="78"/>
      <c r="U1363" s="78"/>
      <c r="V1363" s="78"/>
      <c r="W1363" s="78"/>
      <c r="X1363" s="78"/>
      <c r="Y1363" s="78"/>
      <c r="Z1363" s="78"/>
    </row>
    <row r="1364">
      <c r="A1364" s="78"/>
      <c r="B1364" s="78"/>
      <c r="C1364" s="78"/>
      <c r="D1364" s="78"/>
      <c r="E1364" s="78"/>
      <c r="F1364" s="78"/>
      <c r="G1364" s="78"/>
      <c r="H1364" s="78"/>
      <c r="I1364" s="78"/>
      <c r="J1364" s="78"/>
      <c r="K1364" s="78"/>
      <c r="L1364" s="78"/>
      <c r="M1364" s="78"/>
      <c r="N1364" s="78"/>
      <c r="O1364" s="78"/>
      <c r="P1364" s="78"/>
      <c r="Q1364" s="78"/>
      <c r="R1364" s="78"/>
      <c r="S1364" s="78"/>
      <c r="T1364" s="78"/>
      <c r="U1364" s="78"/>
      <c r="V1364" s="78"/>
      <c r="W1364" s="78"/>
      <c r="X1364" s="78"/>
      <c r="Y1364" s="78"/>
      <c r="Z1364" s="78"/>
    </row>
    <row r="1365">
      <c r="A1365" s="78"/>
      <c r="B1365" s="78"/>
      <c r="C1365" s="78"/>
      <c r="D1365" s="78"/>
      <c r="E1365" s="78"/>
      <c r="F1365" s="78"/>
      <c r="G1365" s="78"/>
      <c r="H1365" s="78"/>
      <c r="I1365" s="78"/>
      <c r="J1365" s="78"/>
      <c r="K1365" s="78"/>
      <c r="L1365" s="78"/>
      <c r="M1365" s="78"/>
      <c r="N1365" s="78"/>
      <c r="O1365" s="78"/>
      <c r="P1365" s="78"/>
      <c r="Q1365" s="78"/>
      <c r="R1365" s="78"/>
      <c r="S1365" s="78"/>
      <c r="T1365" s="78"/>
      <c r="U1365" s="78"/>
      <c r="V1365" s="78"/>
      <c r="W1365" s="78"/>
      <c r="X1365" s="78"/>
      <c r="Y1365" s="78"/>
      <c r="Z1365" s="78"/>
    </row>
    <row r="1366">
      <c r="A1366" s="78"/>
      <c r="B1366" s="78"/>
      <c r="C1366" s="78"/>
      <c r="D1366" s="78"/>
      <c r="E1366" s="78"/>
      <c r="F1366" s="78"/>
      <c r="G1366" s="78"/>
      <c r="H1366" s="78"/>
      <c r="I1366" s="78"/>
      <c r="J1366" s="78"/>
      <c r="K1366" s="78"/>
      <c r="L1366" s="78"/>
      <c r="M1366" s="78"/>
      <c r="N1366" s="78"/>
      <c r="O1366" s="78"/>
      <c r="P1366" s="78"/>
      <c r="Q1366" s="78"/>
      <c r="R1366" s="78"/>
      <c r="S1366" s="78"/>
      <c r="T1366" s="78"/>
      <c r="U1366" s="78"/>
      <c r="V1366" s="78"/>
      <c r="W1366" s="78"/>
      <c r="X1366" s="78"/>
      <c r="Y1366" s="78"/>
      <c r="Z1366" s="78"/>
    </row>
    <row r="1367">
      <c r="A1367" s="78"/>
      <c r="B1367" s="78"/>
      <c r="C1367" s="78"/>
      <c r="D1367" s="78"/>
      <c r="E1367" s="78"/>
      <c r="F1367" s="78"/>
      <c r="G1367" s="78"/>
      <c r="H1367" s="78"/>
      <c r="I1367" s="78"/>
      <c r="J1367" s="78"/>
      <c r="K1367" s="78"/>
      <c r="L1367" s="78"/>
      <c r="M1367" s="78"/>
      <c r="N1367" s="78"/>
      <c r="O1367" s="78"/>
      <c r="P1367" s="78"/>
      <c r="Q1367" s="78"/>
      <c r="R1367" s="78"/>
      <c r="S1367" s="78"/>
      <c r="T1367" s="78"/>
      <c r="U1367" s="78"/>
      <c r="V1367" s="78"/>
      <c r="W1367" s="78"/>
      <c r="X1367" s="78"/>
      <c r="Y1367" s="78"/>
      <c r="Z1367" s="78"/>
    </row>
    <row r="1368">
      <c r="A1368" s="78"/>
      <c r="B1368" s="78"/>
      <c r="C1368" s="78"/>
      <c r="D1368" s="78"/>
      <c r="E1368" s="78"/>
      <c r="F1368" s="78"/>
      <c r="G1368" s="78"/>
      <c r="H1368" s="78"/>
      <c r="I1368" s="78"/>
      <c r="J1368" s="78"/>
      <c r="K1368" s="78"/>
      <c r="L1368" s="78"/>
      <c r="M1368" s="78"/>
      <c r="N1368" s="78"/>
      <c r="O1368" s="78"/>
      <c r="P1368" s="78"/>
      <c r="Q1368" s="78"/>
      <c r="R1368" s="78"/>
      <c r="S1368" s="78"/>
      <c r="T1368" s="78"/>
      <c r="U1368" s="78"/>
      <c r="V1368" s="78"/>
      <c r="W1368" s="78"/>
      <c r="X1368" s="78"/>
      <c r="Y1368" s="78"/>
      <c r="Z1368" s="78"/>
    </row>
    <row r="1369">
      <c r="A1369" s="78"/>
      <c r="B1369" s="78"/>
      <c r="C1369" s="78"/>
      <c r="D1369" s="78"/>
      <c r="E1369" s="78"/>
      <c r="F1369" s="78"/>
      <c r="G1369" s="78"/>
      <c r="H1369" s="78"/>
      <c r="I1369" s="78"/>
      <c r="J1369" s="78"/>
      <c r="K1369" s="78"/>
      <c r="L1369" s="78"/>
      <c r="M1369" s="78"/>
      <c r="N1369" s="78"/>
      <c r="O1369" s="78"/>
      <c r="P1369" s="78"/>
      <c r="Q1369" s="78"/>
      <c r="R1369" s="78"/>
      <c r="S1369" s="78"/>
      <c r="T1369" s="78"/>
      <c r="U1369" s="78"/>
      <c r="V1369" s="78"/>
      <c r="W1369" s="78"/>
      <c r="X1369" s="78"/>
      <c r="Y1369" s="78"/>
      <c r="Z1369" s="78"/>
    </row>
    <row r="1370">
      <c r="A1370" s="78"/>
      <c r="B1370" s="78"/>
      <c r="C1370" s="78"/>
      <c r="D1370" s="78"/>
      <c r="E1370" s="78"/>
      <c r="F1370" s="78"/>
      <c r="G1370" s="78"/>
      <c r="H1370" s="78"/>
      <c r="I1370" s="78"/>
      <c r="J1370" s="78"/>
      <c r="K1370" s="78"/>
      <c r="L1370" s="78"/>
      <c r="M1370" s="78"/>
      <c r="N1370" s="78"/>
      <c r="O1370" s="78"/>
      <c r="P1370" s="78"/>
      <c r="Q1370" s="78"/>
      <c r="R1370" s="78"/>
      <c r="S1370" s="78"/>
      <c r="T1370" s="78"/>
      <c r="U1370" s="78"/>
      <c r="V1370" s="78"/>
      <c r="W1370" s="78"/>
      <c r="X1370" s="78"/>
      <c r="Y1370" s="78"/>
      <c r="Z1370" s="78"/>
    </row>
    <row r="1371">
      <c r="A1371" s="78"/>
      <c r="B1371" s="78"/>
      <c r="C1371" s="78"/>
      <c r="D1371" s="78"/>
      <c r="E1371" s="78"/>
      <c r="F1371" s="78"/>
      <c r="G1371" s="78"/>
      <c r="H1371" s="78"/>
      <c r="I1371" s="78"/>
      <c r="J1371" s="78"/>
      <c r="K1371" s="78"/>
      <c r="L1371" s="78"/>
      <c r="M1371" s="78"/>
      <c r="N1371" s="78"/>
      <c r="O1371" s="78"/>
      <c r="P1371" s="78"/>
      <c r="Q1371" s="78"/>
      <c r="R1371" s="78"/>
      <c r="S1371" s="78"/>
      <c r="T1371" s="78"/>
      <c r="U1371" s="78"/>
      <c r="V1371" s="78"/>
      <c r="W1371" s="78"/>
      <c r="X1371" s="78"/>
      <c r="Y1371" s="78"/>
      <c r="Z1371" s="78"/>
    </row>
    <row r="1372">
      <c r="A1372" s="78"/>
      <c r="B1372" s="78"/>
      <c r="C1372" s="78"/>
      <c r="D1372" s="78"/>
      <c r="E1372" s="78"/>
      <c r="F1372" s="78"/>
      <c r="G1372" s="78"/>
      <c r="H1372" s="78"/>
      <c r="I1372" s="78"/>
      <c r="J1372" s="78"/>
      <c r="K1372" s="78"/>
      <c r="L1372" s="78"/>
      <c r="M1372" s="78"/>
      <c r="N1372" s="78"/>
      <c r="O1372" s="78"/>
      <c r="P1372" s="78"/>
      <c r="Q1372" s="78"/>
      <c r="R1372" s="78"/>
      <c r="S1372" s="78"/>
      <c r="T1372" s="78"/>
      <c r="U1372" s="78"/>
      <c r="V1372" s="78"/>
      <c r="W1372" s="78"/>
      <c r="X1372" s="78"/>
      <c r="Y1372" s="78"/>
      <c r="Z1372" s="78"/>
    </row>
    <row r="1373">
      <c r="A1373" s="78"/>
      <c r="B1373" s="78"/>
      <c r="C1373" s="78"/>
      <c r="D1373" s="78"/>
      <c r="E1373" s="78"/>
      <c r="F1373" s="78"/>
      <c r="G1373" s="78"/>
      <c r="H1373" s="78"/>
      <c r="I1373" s="78"/>
      <c r="J1373" s="78"/>
      <c r="K1373" s="78"/>
      <c r="L1373" s="78"/>
      <c r="M1373" s="78"/>
      <c r="N1373" s="78"/>
      <c r="O1373" s="78"/>
      <c r="P1373" s="78"/>
      <c r="Q1373" s="78"/>
      <c r="R1373" s="78"/>
      <c r="S1373" s="78"/>
      <c r="T1373" s="78"/>
      <c r="U1373" s="78"/>
      <c r="V1373" s="78"/>
      <c r="W1373" s="78"/>
      <c r="X1373" s="78"/>
      <c r="Y1373" s="78"/>
      <c r="Z1373" s="78"/>
    </row>
    <row r="1374">
      <c r="A1374" s="78"/>
      <c r="B1374" s="78"/>
      <c r="C1374" s="78"/>
      <c r="D1374" s="78"/>
      <c r="E1374" s="78"/>
      <c r="F1374" s="78"/>
      <c r="G1374" s="78"/>
      <c r="H1374" s="78"/>
      <c r="I1374" s="78"/>
      <c r="J1374" s="78"/>
      <c r="K1374" s="78"/>
      <c r="L1374" s="78"/>
      <c r="M1374" s="78"/>
      <c r="N1374" s="78"/>
      <c r="O1374" s="78"/>
      <c r="P1374" s="78"/>
      <c r="Q1374" s="78"/>
      <c r="R1374" s="78"/>
      <c r="S1374" s="78"/>
      <c r="T1374" s="78"/>
      <c r="U1374" s="78"/>
      <c r="V1374" s="78"/>
      <c r="W1374" s="78"/>
      <c r="X1374" s="78"/>
      <c r="Y1374" s="78"/>
      <c r="Z1374" s="78"/>
    </row>
    <row r="1375">
      <c r="A1375" s="78"/>
      <c r="B1375" s="78"/>
      <c r="C1375" s="78"/>
      <c r="D1375" s="78"/>
      <c r="E1375" s="78"/>
      <c r="F1375" s="78"/>
      <c r="G1375" s="78"/>
      <c r="H1375" s="78"/>
      <c r="I1375" s="78"/>
      <c r="J1375" s="78"/>
      <c r="K1375" s="78"/>
      <c r="L1375" s="78"/>
      <c r="M1375" s="78"/>
      <c r="N1375" s="78"/>
      <c r="O1375" s="78"/>
      <c r="P1375" s="78"/>
      <c r="Q1375" s="78"/>
      <c r="R1375" s="78"/>
      <c r="S1375" s="78"/>
      <c r="T1375" s="78"/>
      <c r="U1375" s="78"/>
      <c r="V1375" s="78"/>
      <c r="W1375" s="78"/>
      <c r="X1375" s="78"/>
      <c r="Y1375" s="78"/>
      <c r="Z1375" s="78"/>
    </row>
    <row r="1376">
      <c r="A1376" s="78"/>
      <c r="B1376" s="78"/>
      <c r="C1376" s="78"/>
      <c r="D1376" s="78"/>
      <c r="E1376" s="78"/>
      <c r="F1376" s="78"/>
      <c r="G1376" s="78"/>
      <c r="H1376" s="78"/>
      <c r="I1376" s="78"/>
      <c r="J1376" s="78"/>
      <c r="K1376" s="78"/>
      <c r="L1376" s="78"/>
      <c r="M1376" s="78"/>
      <c r="N1376" s="78"/>
      <c r="O1376" s="78"/>
      <c r="P1376" s="78"/>
      <c r="Q1376" s="78"/>
      <c r="R1376" s="78"/>
      <c r="S1376" s="78"/>
      <c r="T1376" s="78"/>
      <c r="U1376" s="78"/>
      <c r="V1376" s="78"/>
      <c r="W1376" s="78"/>
      <c r="X1376" s="78"/>
      <c r="Y1376" s="78"/>
      <c r="Z1376" s="78"/>
    </row>
    <row r="1377">
      <c r="A1377" s="78"/>
      <c r="B1377" s="78"/>
      <c r="C1377" s="78"/>
      <c r="D1377" s="78"/>
      <c r="E1377" s="78"/>
      <c r="F1377" s="78"/>
      <c r="G1377" s="78"/>
      <c r="H1377" s="78"/>
      <c r="I1377" s="78"/>
      <c r="J1377" s="78"/>
      <c r="K1377" s="78"/>
      <c r="L1377" s="78"/>
      <c r="M1377" s="78"/>
      <c r="N1377" s="78"/>
      <c r="O1377" s="78"/>
      <c r="P1377" s="78"/>
      <c r="Q1377" s="78"/>
      <c r="R1377" s="78"/>
      <c r="S1377" s="78"/>
      <c r="T1377" s="78"/>
      <c r="U1377" s="78"/>
      <c r="V1377" s="78"/>
      <c r="W1377" s="78"/>
      <c r="X1377" s="78"/>
      <c r="Y1377" s="78"/>
      <c r="Z1377" s="78"/>
    </row>
    <row r="1378">
      <c r="A1378" s="78"/>
      <c r="B1378" s="78"/>
      <c r="C1378" s="78"/>
      <c r="D1378" s="78"/>
      <c r="E1378" s="78"/>
      <c r="F1378" s="78"/>
      <c r="G1378" s="78"/>
      <c r="H1378" s="78"/>
      <c r="I1378" s="78"/>
      <c r="J1378" s="78"/>
      <c r="K1378" s="78"/>
      <c r="L1378" s="78"/>
      <c r="M1378" s="78"/>
      <c r="N1378" s="78"/>
      <c r="O1378" s="78"/>
      <c r="P1378" s="78"/>
      <c r="Q1378" s="78"/>
      <c r="R1378" s="78"/>
      <c r="S1378" s="78"/>
      <c r="T1378" s="78"/>
      <c r="U1378" s="78"/>
      <c r="V1378" s="78"/>
      <c r="W1378" s="78"/>
      <c r="X1378" s="78"/>
      <c r="Y1378" s="78"/>
      <c r="Z1378" s="78"/>
    </row>
    <row r="1379">
      <c r="A1379" s="78"/>
      <c r="B1379" s="78"/>
      <c r="C1379" s="78"/>
      <c r="D1379" s="78"/>
      <c r="E1379" s="78"/>
      <c r="F1379" s="78"/>
      <c r="G1379" s="78"/>
      <c r="H1379" s="78"/>
      <c r="I1379" s="78"/>
      <c r="J1379" s="78"/>
      <c r="K1379" s="78"/>
      <c r="L1379" s="78"/>
      <c r="M1379" s="78"/>
      <c r="N1379" s="78"/>
      <c r="O1379" s="78"/>
      <c r="P1379" s="78"/>
      <c r="Q1379" s="78"/>
      <c r="R1379" s="78"/>
      <c r="S1379" s="78"/>
      <c r="T1379" s="78"/>
      <c r="U1379" s="78"/>
      <c r="V1379" s="78"/>
      <c r="W1379" s="78"/>
      <c r="X1379" s="78"/>
      <c r="Y1379" s="78"/>
      <c r="Z1379" s="78"/>
    </row>
    <row r="1380">
      <c r="A1380" s="78"/>
      <c r="B1380" s="78"/>
      <c r="C1380" s="78"/>
      <c r="D1380" s="78"/>
      <c r="E1380" s="78"/>
      <c r="F1380" s="78"/>
      <c r="G1380" s="78"/>
      <c r="H1380" s="78"/>
      <c r="I1380" s="78"/>
      <c r="J1380" s="78"/>
      <c r="K1380" s="78"/>
      <c r="L1380" s="78"/>
      <c r="M1380" s="78"/>
      <c r="N1380" s="78"/>
      <c r="O1380" s="78"/>
      <c r="P1380" s="78"/>
      <c r="Q1380" s="78"/>
      <c r="R1380" s="78"/>
      <c r="S1380" s="78"/>
      <c r="T1380" s="78"/>
      <c r="U1380" s="78"/>
      <c r="V1380" s="78"/>
      <c r="W1380" s="78"/>
      <c r="X1380" s="78"/>
      <c r="Y1380" s="78"/>
      <c r="Z1380" s="78"/>
    </row>
    <row r="1381">
      <c r="A1381" s="78"/>
      <c r="B1381" s="78"/>
      <c r="C1381" s="78"/>
      <c r="D1381" s="78"/>
      <c r="E1381" s="78"/>
      <c r="F1381" s="78"/>
      <c r="G1381" s="78"/>
      <c r="H1381" s="78"/>
      <c r="I1381" s="78"/>
      <c r="J1381" s="78"/>
      <c r="K1381" s="78"/>
      <c r="L1381" s="78"/>
      <c r="M1381" s="78"/>
      <c r="N1381" s="78"/>
      <c r="O1381" s="78"/>
      <c r="P1381" s="78"/>
      <c r="Q1381" s="78"/>
      <c r="R1381" s="78"/>
      <c r="S1381" s="78"/>
      <c r="T1381" s="78"/>
      <c r="U1381" s="78"/>
      <c r="V1381" s="78"/>
      <c r="W1381" s="78"/>
      <c r="X1381" s="78"/>
      <c r="Y1381" s="78"/>
      <c r="Z1381" s="78"/>
    </row>
    <row r="1382">
      <c r="A1382" s="78"/>
      <c r="B1382" s="78"/>
      <c r="C1382" s="78"/>
      <c r="D1382" s="78"/>
      <c r="E1382" s="78"/>
      <c r="F1382" s="78"/>
      <c r="G1382" s="78"/>
      <c r="H1382" s="78"/>
      <c r="I1382" s="78"/>
      <c r="J1382" s="78"/>
      <c r="K1382" s="78"/>
      <c r="L1382" s="78"/>
      <c r="M1382" s="78"/>
      <c r="N1382" s="78"/>
      <c r="O1382" s="78"/>
      <c r="P1382" s="78"/>
      <c r="Q1382" s="78"/>
      <c r="R1382" s="78"/>
      <c r="S1382" s="78"/>
      <c r="T1382" s="78"/>
      <c r="U1382" s="78"/>
      <c r="V1382" s="78"/>
      <c r="W1382" s="78"/>
      <c r="X1382" s="78"/>
      <c r="Y1382" s="78"/>
      <c r="Z1382" s="78"/>
    </row>
    <row r="1383">
      <c r="A1383" s="78"/>
      <c r="B1383" s="78"/>
      <c r="C1383" s="78"/>
      <c r="D1383" s="78"/>
      <c r="E1383" s="78"/>
      <c r="F1383" s="78"/>
      <c r="G1383" s="78"/>
      <c r="H1383" s="78"/>
      <c r="I1383" s="78"/>
      <c r="J1383" s="78"/>
      <c r="K1383" s="78"/>
      <c r="L1383" s="78"/>
      <c r="M1383" s="78"/>
      <c r="N1383" s="78"/>
      <c r="O1383" s="78"/>
      <c r="P1383" s="78"/>
      <c r="Q1383" s="78"/>
      <c r="R1383" s="78"/>
      <c r="S1383" s="78"/>
      <c r="T1383" s="78"/>
      <c r="U1383" s="78"/>
      <c r="V1383" s="78"/>
      <c r="W1383" s="78"/>
      <c r="X1383" s="78"/>
      <c r="Y1383" s="78"/>
      <c r="Z1383" s="78"/>
    </row>
    <row r="1384">
      <c r="A1384" s="78"/>
      <c r="B1384" s="78"/>
      <c r="C1384" s="78"/>
      <c r="D1384" s="78"/>
      <c r="E1384" s="78"/>
      <c r="F1384" s="78"/>
      <c r="G1384" s="78"/>
      <c r="H1384" s="78"/>
      <c r="I1384" s="78"/>
      <c r="J1384" s="78"/>
      <c r="K1384" s="78"/>
      <c r="L1384" s="78"/>
      <c r="M1384" s="78"/>
      <c r="N1384" s="78"/>
      <c r="O1384" s="78"/>
      <c r="P1384" s="78"/>
      <c r="Q1384" s="78"/>
      <c r="R1384" s="78"/>
      <c r="S1384" s="78"/>
      <c r="T1384" s="78"/>
      <c r="U1384" s="78"/>
      <c r="V1384" s="78"/>
      <c r="W1384" s="78"/>
      <c r="X1384" s="78"/>
      <c r="Y1384" s="78"/>
      <c r="Z1384" s="78"/>
    </row>
    <row r="1385">
      <c r="A1385" s="78"/>
      <c r="B1385" s="78"/>
      <c r="C1385" s="78"/>
      <c r="D1385" s="78"/>
      <c r="E1385" s="78"/>
      <c r="F1385" s="78"/>
      <c r="G1385" s="78"/>
      <c r="H1385" s="78"/>
      <c r="I1385" s="78"/>
      <c r="J1385" s="78"/>
      <c r="K1385" s="78"/>
      <c r="L1385" s="78"/>
      <c r="M1385" s="78"/>
      <c r="N1385" s="78"/>
      <c r="O1385" s="78"/>
      <c r="P1385" s="78"/>
      <c r="Q1385" s="78"/>
      <c r="R1385" s="78"/>
      <c r="S1385" s="78"/>
      <c r="T1385" s="78"/>
      <c r="U1385" s="78"/>
      <c r="V1385" s="78"/>
      <c r="W1385" s="78"/>
      <c r="X1385" s="78"/>
      <c r="Y1385" s="78"/>
      <c r="Z1385" s="78"/>
    </row>
    <row r="1386">
      <c r="A1386" s="78"/>
      <c r="B1386" s="78"/>
      <c r="C1386" s="78"/>
      <c r="D1386" s="78"/>
      <c r="E1386" s="78"/>
      <c r="F1386" s="78"/>
      <c r="G1386" s="78"/>
      <c r="H1386" s="78"/>
      <c r="I1386" s="78"/>
      <c r="J1386" s="78"/>
      <c r="K1386" s="78"/>
      <c r="L1386" s="78"/>
      <c r="M1386" s="78"/>
      <c r="N1386" s="78"/>
      <c r="O1386" s="78"/>
      <c r="P1386" s="78"/>
      <c r="Q1386" s="78"/>
      <c r="R1386" s="78"/>
      <c r="S1386" s="78"/>
      <c r="T1386" s="78"/>
      <c r="U1386" s="78"/>
      <c r="V1386" s="78"/>
      <c r="W1386" s="78"/>
      <c r="X1386" s="78"/>
      <c r="Y1386" s="78"/>
      <c r="Z1386" s="78"/>
    </row>
    <row r="1387">
      <c r="A1387" s="78"/>
      <c r="B1387" s="78"/>
      <c r="C1387" s="78"/>
      <c r="D1387" s="78"/>
      <c r="E1387" s="78"/>
      <c r="F1387" s="78"/>
      <c r="G1387" s="78"/>
      <c r="H1387" s="78"/>
      <c r="I1387" s="78"/>
      <c r="J1387" s="78"/>
      <c r="K1387" s="78"/>
      <c r="L1387" s="78"/>
      <c r="M1387" s="78"/>
      <c r="N1387" s="78"/>
      <c r="O1387" s="78"/>
      <c r="P1387" s="78"/>
      <c r="Q1387" s="78"/>
      <c r="R1387" s="78"/>
      <c r="S1387" s="78"/>
      <c r="T1387" s="78"/>
      <c r="U1387" s="78"/>
      <c r="V1387" s="78"/>
      <c r="W1387" s="78"/>
      <c r="X1387" s="78"/>
      <c r="Y1387" s="78"/>
      <c r="Z1387" s="78"/>
    </row>
    <row r="1388">
      <c r="A1388" s="78"/>
      <c r="B1388" s="78"/>
      <c r="C1388" s="78"/>
      <c r="D1388" s="78"/>
      <c r="E1388" s="78"/>
      <c r="F1388" s="78"/>
      <c r="G1388" s="78"/>
      <c r="H1388" s="78"/>
      <c r="I1388" s="78"/>
      <c r="J1388" s="78"/>
      <c r="K1388" s="78"/>
      <c r="L1388" s="78"/>
      <c r="M1388" s="78"/>
      <c r="N1388" s="78"/>
      <c r="O1388" s="78"/>
      <c r="P1388" s="78"/>
      <c r="Q1388" s="78"/>
      <c r="R1388" s="78"/>
      <c r="S1388" s="78"/>
      <c r="T1388" s="78"/>
      <c r="U1388" s="78"/>
      <c r="V1388" s="78"/>
      <c r="W1388" s="78"/>
      <c r="X1388" s="78"/>
      <c r="Y1388" s="78"/>
      <c r="Z1388" s="78"/>
    </row>
    <row r="1389">
      <c r="A1389" s="78"/>
      <c r="B1389" s="78"/>
      <c r="C1389" s="78"/>
      <c r="D1389" s="78"/>
      <c r="E1389" s="78"/>
      <c r="F1389" s="78"/>
      <c r="G1389" s="78"/>
      <c r="H1389" s="78"/>
      <c r="I1389" s="78"/>
      <c r="J1389" s="78"/>
      <c r="K1389" s="78"/>
      <c r="L1389" s="78"/>
      <c r="M1389" s="78"/>
      <c r="N1389" s="78"/>
      <c r="O1389" s="78"/>
      <c r="P1389" s="78"/>
      <c r="Q1389" s="78"/>
      <c r="R1389" s="78"/>
      <c r="S1389" s="78"/>
      <c r="T1389" s="78"/>
      <c r="U1389" s="78"/>
      <c r="V1389" s="78"/>
      <c r="W1389" s="78"/>
      <c r="X1389" s="78"/>
      <c r="Y1389" s="78"/>
      <c r="Z1389" s="78"/>
    </row>
    <row r="1390">
      <c r="A1390" s="78"/>
      <c r="B1390" s="78"/>
      <c r="C1390" s="78"/>
      <c r="D1390" s="78"/>
      <c r="E1390" s="78"/>
      <c r="F1390" s="78"/>
      <c r="G1390" s="78"/>
      <c r="H1390" s="78"/>
      <c r="I1390" s="78"/>
      <c r="J1390" s="78"/>
      <c r="K1390" s="78"/>
      <c r="L1390" s="78"/>
      <c r="M1390" s="78"/>
      <c r="N1390" s="78"/>
      <c r="O1390" s="78"/>
      <c r="P1390" s="78"/>
      <c r="Q1390" s="78"/>
      <c r="R1390" s="78"/>
      <c r="S1390" s="78"/>
      <c r="T1390" s="78"/>
      <c r="U1390" s="78"/>
      <c r="V1390" s="78"/>
      <c r="W1390" s="78"/>
      <c r="X1390" s="78"/>
      <c r="Y1390" s="78"/>
      <c r="Z1390" s="78"/>
    </row>
    <row r="1391">
      <c r="A1391" s="78"/>
      <c r="B1391" s="78"/>
      <c r="C1391" s="78"/>
      <c r="D1391" s="78"/>
      <c r="E1391" s="78"/>
      <c r="F1391" s="78"/>
      <c r="G1391" s="78"/>
      <c r="H1391" s="78"/>
      <c r="I1391" s="78"/>
      <c r="J1391" s="78"/>
      <c r="K1391" s="78"/>
      <c r="L1391" s="78"/>
      <c r="M1391" s="78"/>
      <c r="N1391" s="78"/>
      <c r="O1391" s="78"/>
      <c r="P1391" s="78"/>
      <c r="Q1391" s="78"/>
      <c r="R1391" s="78"/>
      <c r="S1391" s="78"/>
      <c r="T1391" s="78"/>
      <c r="U1391" s="78"/>
      <c r="V1391" s="78"/>
      <c r="W1391" s="78"/>
      <c r="X1391" s="78"/>
      <c r="Y1391" s="78"/>
      <c r="Z1391" s="78"/>
    </row>
    <row r="1392">
      <c r="A1392" s="78"/>
      <c r="B1392" s="78"/>
      <c r="C1392" s="78"/>
      <c r="D1392" s="78"/>
      <c r="E1392" s="78"/>
      <c r="F1392" s="78"/>
      <c r="G1392" s="78"/>
      <c r="H1392" s="78"/>
      <c r="I1392" s="78"/>
      <c r="J1392" s="78"/>
      <c r="K1392" s="78"/>
      <c r="L1392" s="78"/>
      <c r="M1392" s="78"/>
      <c r="N1392" s="78"/>
      <c r="O1392" s="78"/>
      <c r="P1392" s="78"/>
      <c r="Q1392" s="78"/>
      <c r="R1392" s="78"/>
      <c r="S1392" s="78"/>
      <c r="T1392" s="78"/>
      <c r="U1392" s="78"/>
      <c r="V1392" s="78"/>
      <c r="W1392" s="78"/>
      <c r="X1392" s="78"/>
      <c r="Y1392" s="78"/>
      <c r="Z1392" s="78"/>
    </row>
    <row r="1393">
      <c r="A1393" s="78"/>
      <c r="B1393" s="78"/>
      <c r="C1393" s="78"/>
      <c r="D1393" s="78"/>
      <c r="E1393" s="78"/>
      <c r="F1393" s="78"/>
      <c r="G1393" s="78"/>
      <c r="H1393" s="78"/>
      <c r="I1393" s="78"/>
      <c r="J1393" s="78"/>
      <c r="K1393" s="78"/>
      <c r="L1393" s="78"/>
      <c r="M1393" s="78"/>
      <c r="N1393" s="78"/>
      <c r="O1393" s="78"/>
      <c r="P1393" s="78"/>
      <c r="Q1393" s="78"/>
      <c r="R1393" s="78"/>
      <c r="S1393" s="78"/>
      <c r="T1393" s="78"/>
      <c r="U1393" s="78"/>
      <c r="V1393" s="78"/>
      <c r="W1393" s="78"/>
      <c r="X1393" s="78"/>
      <c r="Y1393" s="78"/>
      <c r="Z1393" s="78"/>
    </row>
    <row r="1394">
      <c r="A1394" s="78"/>
      <c r="B1394" s="78"/>
      <c r="C1394" s="78"/>
      <c r="D1394" s="78"/>
      <c r="E1394" s="78"/>
      <c r="F1394" s="78"/>
      <c r="G1394" s="78"/>
      <c r="H1394" s="78"/>
      <c r="I1394" s="78"/>
      <c r="J1394" s="78"/>
      <c r="K1394" s="78"/>
      <c r="L1394" s="78"/>
      <c r="M1394" s="78"/>
      <c r="N1394" s="78"/>
      <c r="O1394" s="78"/>
      <c r="P1394" s="78"/>
      <c r="Q1394" s="78"/>
      <c r="R1394" s="78"/>
      <c r="S1394" s="78"/>
      <c r="T1394" s="78"/>
      <c r="U1394" s="78"/>
      <c r="V1394" s="78"/>
      <c r="W1394" s="78"/>
      <c r="X1394" s="78"/>
      <c r="Y1394" s="78"/>
      <c r="Z1394" s="78"/>
    </row>
    <row r="1395">
      <c r="A1395" s="78"/>
      <c r="B1395" s="78"/>
      <c r="C1395" s="78"/>
      <c r="D1395" s="78"/>
      <c r="E1395" s="78"/>
      <c r="F1395" s="78"/>
      <c r="G1395" s="78"/>
      <c r="H1395" s="78"/>
      <c r="I1395" s="78"/>
      <c r="J1395" s="78"/>
      <c r="K1395" s="78"/>
      <c r="L1395" s="78"/>
      <c r="M1395" s="78"/>
      <c r="N1395" s="78"/>
      <c r="O1395" s="78"/>
      <c r="P1395" s="78"/>
      <c r="Q1395" s="78"/>
      <c r="R1395" s="78"/>
      <c r="S1395" s="78"/>
      <c r="T1395" s="78"/>
      <c r="U1395" s="78"/>
      <c r="V1395" s="78"/>
      <c r="W1395" s="78"/>
      <c r="X1395" s="78"/>
      <c r="Y1395" s="78"/>
      <c r="Z1395" s="78"/>
    </row>
    <row r="1396">
      <c r="A1396" s="78"/>
      <c r="B1396" s="78"/>
      <c r="C1396" s="78"/>
      <c r="D1396" s="78"/>
      <c r="E1396" s="78"/>
      <c r="F1396" s="78"/>
      <c r="G1396" s="78"/>
      <c r="H1396" s="78"/>
      <c r="I1396" s="78"/>
      <c r="J1396" s="78"/>
      <c r="K1396" s="78"/>
      <c r="L1396" s="78"/>
      <c r="M1396" s="78"/>
      <c r="N1396" s="78"/>
      <c r="O1396" s="78"/>
      <c r="P1396" s="78"/>
      <c r="Q1396" s="78"/>
      <c r="R1396" s="78"/>
      <c r="S1396" s="78"/>
      <c r="T1396" s="78"/>
      <c r="U1396" s="78"/>
      <c r="V1396" s="78"/>
      <c r="W1396" s="78"/>
      <c r="X1396" s="78"/>
      <c r="Y1396" s="78"/>
      <c r="Z1396" s="78"/>
    </row>
    <row r="1397">
      <c r="A1397" s="78"/>
      <c r="B1397" s="78"/>
      <c r="C1397" s="78"/>
      <c r="D1397" s="78"/>
      <c r="E1397" s="78"/>
      <c r="F1397" s="78"/>
      <c r="G1397" s="78"/>
      <c r="H1397" s="78"/>
      <c r="I1397" s="78"/>
      <c r="J1397" s="78"/>
      <c r="K1397" s="78"/>
      <c r="L1397" s="78"/>
      <c r="M1397" s="78"/>
      <c r="N1397" s="78"/>
      <c r="O1397" s="78"/>
      <c r="P1397" s="78"/>
      <c r="Q1397" s="78"/>
      <c r="R1397" s="78"/>
      <c r="S1397" s="78"/>
      <c r="T1397" s="78"/>
      <c r="U1397" s="78"/>
      <c r="V1397" s="78"/>
      <c r="W1397" s="78"/>
      <c r="X1397" s="78"/>
      <c r="Y1397" s="78"/>
      <c r="Z1397" s="78"/>
    </row>
    <row r="1398">
      <c r="A1398" s="78"/>
      <c r="B1398" s="78"/>
      <c r="C1398" s="78"/>
      <c r="D1398" s="78"/>
      <c r="E1398" s="78"/>
      <c r="F1398" s="78"/>
      <c r="G1398" s="78"/>
      <c r="H1398" s="78"/>
      <c r="I1398" s="78"/>
      <c r="J1398" s="78"/>
      <c r="K1398" s="78"/>
      <c r="L1398" s="78"/>
      <c r="M1398" s="78"/>
      <c r="N1398" s="78"/>
      <c r="O1398" s="78"/>
      <c r="P1398" s="78"/>
      <c r="Q1398" s="78"/>
      <c r="R1398" s="78"/>
      <c r="S1398" s="78"/>
      <c r="T1398" s="78"/>
      <c r="U1398" s="78"/>
      <c r="V1398" s="78"/>
      <c r="W1398" s="78"/>
      <c r="X1398" s="78"/>
      <c r="Y1398" s="78"/>
      <c r="Z1398" s="78"/>
    </row>
    <row r="1399">
      <c r="A1399" s="78"/>
      <c r="B1399" s="78"/>
      <c r="C1399" s="78"/>
      <c r="D1399" s="78"/>
      <c r="E1399" s="78"/>
      <c r="F1399" s="78"/>
      <c r="G1399" s="78"/>
      <c r="H1399" s="78"/>
      <c r="I1399" s="78"/>
      <c r="J1399" s="78"/>
      <c r="K1399" s="78"/>
      <c r="L1399" s="78"/>
      <c r="M1399" s="78"/>
      <c r="N1399" s="78"/>
      <c r="O1399" s="78"/>
      <c r="P1399" s="78"/>
      <c r="Q1399" s="78"/>
      <c r="R1399" s="78"/>
      <c r="S1399" s="78"/>
      <c r="T1399" s="78"/>
      <c r="U1399" s="78"/>
      <c r="V1399" s="78"/>
      <c r="W1399" s="78"/>
      <c r="X1399" s="78"/>
      <c r="Y1399" s="78"/>
      <c r="Z1399" s="78"/>
    </row>
    <row r="1400">
      <c r="A1400" s="78"/>
      <c r="B1400" s="78"/>
      <c r="C1400" s="78"/>
      <c r="D1400" s="78"/>
      <c r="E1400" s="78"/>
      <c r="F1400" s="78"/>
      <c r="G1400" s="78"/>
      <c r="H1400" s="78"/>
      <c r="I1400" s="78"/>
      <c r="J1400" s="78"/>
      <c r="K1400" s="78"/>
      <c r="L1400" s="78"/>
      <c r="M1400" s="78"/>
      <c r="N1400" s="78"/>
      <c r="O1400" s="78"/>
      <c r="P1400" s="78"/>
      <c r="Q1400" s="78"/>
      <c r="R1400" s="78"/>
      <c r="S1400" s="78"/>
      <c r="T1400" s="78"/>
      <c r="U1400" s="78"/>
      <c r="V1400" s="78"/>
      <c r="W1400" s="78"/>
      <c r="X1400" s="78"/>
      <c r="Y1400" s="78"/>
      <c r="Z1400" s="78"/>
    </row>
    <row r="1401">
      <c r="A1401" s="78"/>
      <c r="B1401" s="78"/>
      <c r="C1401" s="78"/>
      <c r="D1401" s="78"/>
      <c r="E1401" s="78"/>
      <c r="F1401" s="78"/>
      <c r="G1401" s="78"/>
      <c r="H1401" s="78"/>
      <c r="I1401" s="78"/>
      <c r="J1401" s="78"/>
      <c r="K1401" s="78"/>
      <c r="L1401" s="78"/>
      <c r="M1401" s="78"/>
      <c r="N1401" s="78"/>
      <c r="O1401" s="78"/>
      <c r="P1401" s="78"/>
      <c r="Q1401" s="78"/>
      <c r="R1401" s="78"/>
      <c r="S1401" s="78"/>
      <c r="T1401" s="78"/>
      <c r="U1401" s="78"/>
      <c r="V1401" s="78"/>
      <c r="W1401" s="78"/>
      <c r="X1401" s="78"/>
      <c r="Y1401" s="78"/>
      <c r="Z1401" s="78"/>
    </row>
    <row r="1402">
      <c r="A1402" s="78"/>
      <c r="B1402" s="78"/>
      <c r="C1402" s="78"/>
      <c r="D1402" s="78"/>
      <c r="E1402" s="78"/>
      <c r="F1402" s="78"/>
      <c r="G1402" s="78"/>
      <c r="H1402" s="78"/>
      <c r="I1402" s="78"/>
      <c r="J1402" s="78"/>
      <c r="K1402" s="78"/>
      <c r="L1402" s="78"/>
      <c r="M1402" s="78"/>
      <c r="N1402" s="78"/>
      <c r="O1402" s="78"/>
      <c r="P1402" s="78"/>
      <c r="Q1402" s="78"/>
      <c r="R1402" s="78"/>
      <c r="S1402" s="78"/>
      <c r="T1402" s="78"/>
      <c r="U1402" s="78"/>
      <c r="V1402" s="78"/>
      <c r="W1402" s="78"/>
      <c r="X1402" s="78"/>
      <c r="Y1402" s="78"/>
      <c r="Z1402" s="78"/>
    </row>
    <row r="1403">
      <c r="A1403" s="78"/>
      <c r="B1403" s="78"/>
      <c r="C1403" s="78"/>
      <c r="D1403" s="78"/>
      <c r="E1403" s="78"/>
      <c r="F1403" s="78"/>
      <c r="G1403" s="78"/>
      <c r="H1403" s="78"/>
      <c r="I1403" s="78"/>
      <c r="J1403" s="78"/>
      <c r="K1403" s="78"/>
      <c r="L1403" s="78"/>
      <c r="M1403" s="78"/>
      <c r="N1403" s="78"/>
      <c r="O1403" s="78"/>
      <c r="P1403" s="78"/>
      <c r="Q1403" s="78"/>
      <c r="R1403" s="78"/>
      <c r="S1403" s="78"/>
      <c r="T1403" s="78"/>
      <c r="U1403" s="78"/>
      <c r="V1403" s="78"/>
      <c r="W1403" s="78"/>
      <c r="X1403" s="78"/>
      <c r="Y1403" s="78"/>
      <c r="Z1403" s="78"/>
    </row>
    <row r="1404">
      <c r="A1404" s="78"/>
      <c r="B1404" s="78"/>
      <c r="C1404" s="78"/>
      <c r="D1404" s="78"/>
      <c r="E1404" s="78"/>
      <c r="F1404" s="78"/>
      <c r="G1404" s="78"/>
      <c r="H1404" s="78"/>
      <c r="I1404" s="78"/>
      <c r="J1404" s="78"/>
      <c r="K1404" s="78"/>
      <c r="L1404" s="78"/>
      <c r="M1404" s="78"/>
      <c r="N1404" s="78"/>
      <c r="O1404" s="78"/>
      <c r="P1404" s="78"/>
      <c r="Q1404" s="78"/>
      <c r="R1404" s="78"/>
      <c r="S1404" s="78"/>
      <c r="T1404" s="78"/>
      <c r="U1404" s="78"/>
      <c r="V1404" s="78"/>
      <c r="W1404" s="78"/>
      <c r="X1404" s="78"/>
      <c r="Y1404" s="78"/>
      <c r="Z1404" s="78"/>
    </row>
    <row r="1405">
      <c r="A1405" s="78"/>
      <c r="B1405" s="78"/>
      <c r="C1405" s="78"/>
      <c r="D1405" s="78"/>
      <c r="E1405" s="78"/>
      <c r="F1405" s="78"/>
      <c r="G1405" s="78"/>
      <c r="H1405" s="78"/>
      <c r="I1405" s="78"/>
      <c r="J1405" s="78"/>
      <c r="K1405" s="78"/>
      <c r="L1405" s="78"/>
      <c r="M1405" s="78"/>
      <c r="N1405" s="78"/>
      <c r="O1405" s="78"/>
      <c r="P1405" s="78"/>
      <c r="Q1405" s="78"/>
      <c r="R1405" s="78"/>
      <c r="S1405" s="78"/>
      <c r="T1405" s="78"/>
      <c r="U1405" s="78"/>
      <c r="V1405" s="78"/>
      <c r="W1405" s="78"/>
      <c r="X1405" s="78"/>
      <c r="Y1405" s="78"/>
      <c r="Z1405" s="78"/>
    </row>
    <row r="1406">
      <c r="A1406" s="78"/>
      <c r="B1406" s="78"/>
      <c r="C1406" s="78"/>
      <c r="D1406" s="78"/>
      <c r="E1406" s="78"/>
      <c r="F1406" s="78"/>
      <c r="G1406" s="78"/>
      <c r="H1406" s="78"/>
      <c r="I1406" s="78"/>
      <c r="J1406" s="78"/>
      <c r="K1406" s="78"/>
      <c r="L1406" s="78"/>
      <c r="M1406" s="78"/>
      <c r="N1406" s="78"/>
      <c r="O1406" s="78"/>
      <c r="P1406" s="78"/>
      <c r="Q1406" s="78"/>
      <c r="R1406" s="78"/>
      <c r="S1406" s="78"/>
      <c r="T1406" s="78"/>
      <c r="U1406" s="78"/>
      <c r="V1406" s="78"/>
      <c r="W1406" s="78"/>
      <c r="X1406" s="78"/>
      <c r="Y1406" s="78"/>
      <c r="Z1406" s="78"/>
    </row>
    <row r="1407">
      <c r="A1407" s="78"/>
      <c r="B1407" s="78"/>
      <c r="C1407" s="78"/>
      <c r="D1407" s="78"/>
      <c r="E1407" s="78"/>
      <c r="F1407" s="78"/>
      <c r="G1407" s="78"/>
      <c r="H1407" s="78"/>
      <c r="I1407" s="78"/>
      <c r="J1407" s="78"/>
      <c r="K1407" s="78"/>
      <c r="L1407" s="78"/>
      <c r="M1407" s="78"/>
      <c r="N1407" s="78"/>
      <c r="O1407" s="78"/>
      <c r="P1407" s="78"/>
      <c r="Q1407" s="78"/>
      <c r="R1407" s="78"/>
      <c r="S1407" s="78"/>
      <c r="T1407" s="78"/>
      <c r="U1407" s="78"/>
      <c r="V1407" s="78"/>
      <c r="W1407" s="78"/>
      <c r="X1407" s="78"/>
      <c r="Y1407" s="78"/>
      <c r="Z1407" s="78"/>
    </row>
    <row r="1408">
      <c r="A1408" s="78"/>
      <c r="B1408" s="78"/>
      <c r="C1408" s="78"/>
      <c r="D1408" s="78"/>
      <c r="E1408" s="78"/>
      <c r="F1408" s="78"/>
      <c r="G1408" s="78"/>
      <c r="H1408" s="78"/>
      <c r="I1408" s="78"/>
      <c r="J1408" s="78"/>
      <c r="K1408" s="78"/>
      <c r="L1408" s="78"/>
      <c r="M1408" s="78"/>
      <c r="N1408" s="78"/>
      <c r="O1408" s="78"/>
      <c r="P1408" s="78"/>
      <c r="Q1408" s="78"/>
      <c r="R1408" s="78"/>
      <c r="S1408" s="78"/>
      <c r="T1408" s="78"/>
      <c r="U1408" s="78"/>
      <c r="V1408" s="78"/>
      <c r="W1408" s="78"/>
      <c r="X1408" s="78"/>
      <c r="Y1408" s="78"/>
      <c r="Z1408" s="78"/>
    </row>
    <row r="1409">
      <c r="A1409" s="78"/>
      <c r="B1409" s="78"/>
      <c r="C1409" s="78"/>
      <c r="D1409" s="78"/>
      <c r="E1409" s="78"/>
      <c r="F1409" s="78"/>
      <c r="G1409" s="78"/>
      <c r="H1409" s="78"/>
      <c r="I1409" s="78"/>
      <c r="J1409" s="78"/>
      <c r="K1409" s="78"/>
      <c r="L1409" s="78"/>
      <c r="M1409" s="78"/>
      <c r="N1409" s="78"/>
      <c r="O1409" s="78"/>
      <c r="P1409" s="78"/>
      <c r="Q1409" s="78"/>
      <c r="R1409" s="78"/>
      <c r="S1409" s="78"/>
      <c r="T1409" s="78"/>
      <c r="U1409" s="78"/>
      <c r="V1409" s="78"/>
      <c r="W1409" s="78"/>
      <c r="X1409" s="78"/>
      <c r="Y1409" s="78"/>
      <c r="Z1409" s="78"/>
    </row>
    <row r="1410">
      <c r="A1410" s="78"/>
      <c r="B1410" s="78"/>
      <c r="C1410" s="78"/>
      <c r="D1410" s="78"/>
      <c r="E1410" s="78"/>
      <c r="F1410" s="78"/>
      <c r="G1410" s="78"/>
      <c r="H1410" s="78"/>
      <c r="I1410" s="78"/>
      <c r="J1410" s="78"/>
      <c r="K1410" s="78"/>
      <c r="L1410" s="78"/>
      <c r="M1410" s="78"/>
      <c r="N1410" s="78"/>
      <c r="O1410" s="78"/>
      <c r="P1410" s="78"/>
      <c r="Q1410" s="78"/>
      <c r="R1410" s="78"/>
      <c r="S1410" s="78"/>
      <c r="T1410" s="78"/>
      <c r="U1410" s="78"/>
      <c r="V1410" s="78"/>
      <c r="W1410" s="78"/>
      <c r="X1410" s="78"/>
      <c r="Y1410" s="78"/>
      <c r="Z1410" s="78"/>
    </row>
    <row r="1411">
      <c r="A1411" s="78"/>
      <c r="B1411" s="78"/>
      <c r="C1411" s="78"/>
      <c r="D1411" s="78"/>
      <c r="E1411" s="78"/>
      <c r="F1411" s="78"/>
      <c r="G1411" s="78"/>
      <c r="H1411" s="78"/>
      <c r="I1411" s="78"/>
      <c r="J1411" s="78"/>
      <c r="K1411" s="78"/>
      <c r="L1411" s="78"/>
      <c r="M1411" s="78"/>
      <c r="N1411" s="78"/>
      <c r="O1411" s="78"/>
      <c r="P1411" s="78"/>
      <c r="Q1411" s="78"/>
      <c r="R1411" s="78"/>
      <c r="S1411" s="78"/>
      <c r="T1411" s="78"/>
      <c r="U1411" s="78"/>
      <c r="V1411" s="78"/>
      <c r="W1411" s="78"/>
      <c r="X1411" s="78"/>
      <c r="Y1411" s="78"/>
      <c r="Z1411" s="78"/>
    </row>
    <row r="1412">
      <c r="A1412" s="78"/>
      <c r="B1412" s="78"/>
      <c r="C1412" s="78"/>
      <c r="D1412" s="78"/>
      <c r="E1412" s="78"/>
      <c r="F1412" s="78"/>
      <c r="G1412" s="78"/>
      <c r="H1412" s="78"/>
      <c r="I1412" s="78"/>
      <c r="J1412" s="78"/>
      <c r="K1412" s="78"/>
      <c r="L1412" s="78"/>
      <c r="M1412" s="78"/>
      <c r="N1412" s="78"/>
      <c r="O1412" s="78"/>
      <c r="P1412" s="78"/>
      <c r="Q1412" s="78"/>
      <c r="R1412" s="78"/>
      <c r="S1412" s="78"/>
      <c r="T1412" s="78"/>
      <c r="U1412" s="78"/>
      <c r="V1412" s="78"/>
      <c r="W1412" s="78"/>
      <c r="X1412" s="78"/>
      <c r="Y1412" s="78"/>
      <c r="Z1412" s="78"/>
    </row>
    <row r="1413">
      <c r="A1413" s="78"/>
      <c r="B1413" s="78"/>
      <c r="C1413" s="78"/>
      <c r="D1413" s="78"/>
      <c r="E1413" s="78"/>
      <c r="F1413" s="78"/>
      <c r="G1413" s="78"/>
      <c r="H1413" s="78"/>
      <c r="I1413" s="78"/>
      <c r="J1413" s="78"/>
      <c r="K1413" s="78"/>
      <c r="L1413" s="78"/>
      <c r="M1413" s="78"/>
      <c r="N1413" s="78"/>
      <c r="O1413" s="78"/>
      <c r="P1413" s="78"/>
      <c r="Q1413" s="78"/>
      <c r="R1413" s="78"/>
      <c r="S1413" s="78"/>
      <c r="T1413" s="78"/>
      <c r="U1413" s="78"/>
      <c r="V1413" s="78"/>
      <c r="W1413" s="78"/>
      <c r="X1413" s="78"/>
      <c r="Y1413" s="78"/>
      <c r="Z1413" s="78"/>
    </row>
    <row r="1414">
      <c r="A1414" s="78"/>
      <c r="B1414" s="78"/>
      <c r="C1414" s="78"/>
      <c r="D1414" s="78"/>
      <c r="E1414" s="78"/>
      <c r="F1414" s="78"/>
      <c r="G1414" s="78"/>
      <c r="H1414" s="78"/>
      <c r="I1414" s="78"/>
      <c r="J1414" s="78"/>
      <c r="K1414" s="78"/>
      <c r="L1414" s="78"/>
      <c r="M1414" s="78"/>
      <c r="N1414" s="78"/>
      <c r="O1414" s="78"/>
      <c r="P1414" s="78"/>
      <c r="Q1414" s="78"/>
      <c r="R1414" s="78"/>
      <c r="S1414" s="78"/>
      <c r="T1414" s="78"/>
      <c r="U1414" s="78"/>
      <c r="V1414" s="78"/>
      <c r="W1414" s="78"/>
      <c r="X1414" s="78"/>
      <c r="Y1414" s="78"/>
      <c r="Z1414" s="78"/>
    </row>
    <row r="1415">
      <c r="A1415" s="78"/>
      <c r="B1415" s="78"/>
      <c r="C1415" s="78"/>
      <c r="D1415" s="78"/>
      <c r="E1415" s="78"/>
      <c r="F1415" s="78"/>
      <c r="G1415" s="78"/>
      <c r="H1415" s="78"/>
      <c r="I1415" s="78"/>
      <c r="J1415" s="78"/>
      <c r="K1415" s="78"/>
      <c r="L1415" s="78"/>
      <c r="M1415" s="78"/>
      <c r="N1415" s="78"/>
      <c r="O1415" s="78"/>
      <c r="P1415" s="78"/>
      <c r="Q1415" s="78"/>
      <c r="R1415" s="78"/>
      <c r="S1415" s="78"/>
      <c r="T1415" s="78"/>
      <c r="U1415" s="78"/>
      <c r="V1415" s="78"/>
      <c r="W1415" s="78"/>
      <c r="X1415" s="78"/>
      <c r="Y1415" s="78"/>
      <c r="Z1415" s="78"/>
    </row>
    <row r="1416">
      <c r="A1416" s="78"/>
      <c r="B1416" s="78"/>
      <c r="C1416" s="78"/>
      <c r="D1416" s="78"/>
      <c r="E1416" s="78"/>
      <c r="F1416" s="78"/>
      <c r="G1416" s="78"/>
      <c r="H1416" s="78"/>
      <c r="I1416" s="78"/>
      <c r="J1416" s="78"/>
      <c r="K1416" s="78"/>
      <c r="L1416" s="78"/>
      <c r="M1416" s="78"/>
      <c r="N1416" s="78"/>
      <c r="O1416" s="78"/>
      <c r="P1416" s="78"/>
      <c r="Q1416" s="78"/>
      <c r="R1416" s="78"/>
      <c r="S1416" s="78"/>
      <c r="T1416" s="78"/>
      <c r="U1416" s="78"/>
      <c r="V1416" s="78"/>
      <c r="W1416" s="78"/>
      <c r="X1416" s="78"/>
      <c r="Y1416" s="78"/>
      <c r="Z1416" s="78"/>
    </row>
    <row r="1417">
      <c r="A1417" s="78"/>
      <c r="B1417" s="78"/>
      <c r="C1417" s="78"/>
      <c r="D1417" s="78"/>
      <c r="E1417" s="78"/>
      <c r="F1417" s="78"/>
      <c r="G1417" s="78"/>
      <c r="H1417" s="78"/>
      <c r="I1417" s="78"/>
      <c r="J1417" s="78"/>
      <c r="K1417" s="78"/>
      <c r="L1417" s="78"/>
      <c r="M1417" s="78"/>
      <c r="N1417" s="78"/>
      <c r="O1417" s="78"/>
      <c r="P1417" s="78"/>
      <c r="Q1417" s="78"/>
      <c r="R1417" s="78"/>
      <c r="S1417" s="78"/>
      <c r="T1417" s="78"/>
      <c r="U1417" s="78"/>
      <c r="V1417" s="78"/>
      <c r="W1417" s="78"/>
      <c r="X1417" s="78"/>
      <c r="Y1417" s="78"/>
      <c r="Z1417" s="78"/>
    </row>
    <row r="1418">
      <c r="A1418" s="78"/>
      <c r="B1418" s="78"/>
      <c r="C1418" s="78"/>
      <c r="D1418" s="78"/>
      <c r="E1418" s="78"/>
      <c r="F1418" s="78"/>
      <c r="G1418" s="78"/>
      <c r="H1418" s="78"/>
      <c r="I1418" s="78"/>
      <c r="J1418" s="78"/>
      <c r="K1418" s="78"/>
      <c r="L1418" s="78"/>
      <c r="M1418" s="78"/>
      <c r="N1418" s="78"/>
      <c r="O1418" s="78"/>
      <c r="P1418" s="78"/>
      <c r="Q1418" s="78"/>
      <c r="R1418" s="78"/>
      <c r="S1418" s="78"/>
      <c r="T1418" s="78"/>
      <c r="U1418" s="78"/>
      <c r="V1418" s="78"/>
      <c r="W1418" s="78"/>
      <c r="X1418" s="78"/>
      <c r="Y1418" s="78"/>
      <c r="Z1418" s="78"/>
    </row>
    <row r="1419">
      <c r="A1419" s="78"/>
      <c r="B1419" s="78"/>
      <c r="C1419" s="78"/>
      <c r="D1419" s="78"/>
      <c r="E1419" s="78"/>
      <c r="F1419" s="78"/>
      <c r="G1419" s="78"/>
      <c r="H1419" s="78"/>
      <c r="I1419" s="78"/>
      <c r="J1419" s="78"/>
      <c r="K1419" s="78"/>
      <c r="L1419" s="78"/>
      <c r="M1419" s="78"/>
      <c r="N1419" s="78"/>
      <c r="O1419" s="78"/>
      <c r="P1419" s="78"/>
      <c r="Q1419" s="78"/>
      <c r="R1419" s="78"/>
      <c r="S1419" s="78"/>
      <c r="T1419" s="78"/>
      <c r="U1419" s="78"/>
      <c r="V1419" s="78"/>
      <c r="W1419" s="78"/>
      <c r="X1419" s="78"/>
      <c r="Y1419" s="78"/>
      <c r="Z1419" s="78"/>
    </row>
    <row r="1420">
      <c r="A1420" s="78"/>
      <c r="B1420" s="78"/>
      <c r="C1420" s="78"/>
      <c r="D1420" s="78"/>
      <c r="E1420" s="78"/>
      <c r="F1420" s="78"/>
      <c r="G1420" s="78"/>
      <c r="H1420" s="78"/>
      <c r="I1420" s="78"/>
      <c r="J1420" s="78"/>
      <c r="K1420" s="78"/>
      <c r="L1420" s="78"/>
      <c r="M1420" s="78"/>
      <c r="N1420" s="78"/>
      <c r="O1420" s="78"/>
      <c r="P1420" s="78"/>
      <c r="Q1420" s="78"/>
      <c r="R1420" s="78"/>
      <c r="S1420" s="78"/>
      <c r="T1420" s="78"/>
      <c r="U1420" s="78"/>
      <c r="V1420" s="78"/>
      <c r="W1420" s="78"/>
      <c r="X1420" s="78"/>
      <c r="Y1420" s="78"/>
      <c r="Z1420" s="78"/>
    </row>
    <row r="1421">
      <c r="A1421" s="78"/>
      <c r="B1421" s="78"/>
      <c r="C1421" s="78"/>
      <c r="D1421" s="78"/>
      <c r="E1421" s="78"/>
      <c r="F1421" s="78"/>
      <c r="G1421" s="78"/>
      <c r="H1421" s="78"/>
      <c r="I1421" s="78"/>
      <c r="J1421" s="78"/>
      <c r="K1421" s="78"/>
      <c r="L1421" s="78"/>
      <c r="M1421" s="78"/>
      <c r="N1421" s="78"/>
      <c r="O1421" s="78"/>
      <c r="P1421" s="78"/>
      <c r="Q1421" s="78"/>
      <c r="R1421" s="78"/>
      <c r="S1421" s="78"/>
      <c r="T1421" s="78"/>
      <c r="U1421" s="78"/>
      <c r="V1421" s="78"/>
      <c r="W1421" s="78"/>
      <c r="X1421" s="78"/>
      <c r="Y1421" s="78"/>
      <c r="Z1421" s="78"/>
    </row>
    <row r="1422">
      <c r="A1422" s="78"/>
      <c r="B1422" s="78"/>
      <c r="C1422" s="78"/>
      <c r="D1422" s="78"/>
      <c r="E1422" s="78"/>
      <c r="F1422" s="78"/>
      <c r="G1422" s="78"/>
      <c r="H1422" s="78"/>
      <c r="I1422" s="78"/>
      <c r="J1422" s="78"/>
      <c r="K1422" s="78"/>
      <c r="L1422" s="78"/>
      <c r="M1422" s="78"/>
      <c r="N1422" s="78"/>
      <c r="O1422" s="78"/>
      <c r="P1422" s="78"/>
      <c r="Q1422" s="78"/>
      <c r="R1422" s="78"/>
      <c r="S1422" s="78"/>
      <c r="T1422" s="78"/>
      <c r="U1422" s="78"/>
      <c r="V1422" s="78"/>
      <c r="W1422" s="78"/>
      <c r="X1422" s="78"/>
      <c r="Y1422" s="78"/>
      <c r="Z1422" s="78"/>
    </row>
    <row r="1423">
      <c r="A1423" s="78"/>
      <c r="B1423" s="78"/>
      <c r="C1423" s="78"/>
      <c r="D1423" s="78"/>
      <c r="E1423" s="78"/>
      <c r="F1423" s="78"/>
      <c r="G1423" s="78"/>
      <c r="H1423" s="78"/>
      <c r="I1423" s="78"/>
      <c r="J1423" s="78"/>
      <c r="K1423" s="78"/>
      <c r="L1423" s="78"/>
      <c r="M1423" s="78"/>
      <c r="N1423" s="78"/>
      <c r="O1423" s="78"/>
      <c r="P1423" s="78"/>
      <c r="Q1423" s="78"/>
      <c r="R1423" s="78"/>
      <c r="S1423" s="78"/>
      <c r="T1423" s="78"/>
      <c r="U1423" s="78"/>
      <c r="V1423" s="78"/>
      <c r="W1423" s="78"/>
      <c r="X1423" s="78"/>
      <c r="Y1423" s="78"/>
      <c r="Z1423" s="78"/>
    </row>
    <row r="1424">
      <c r="A1424" s="78"/>
      <c r="B1424" s="78"/>
      <c r="C1424" s="78"/>
      <c r="D1424" s="78"/>
      <c r="E1424" s="78"/>
      <c r="F1424" s="78"/>
      <c r="G1424" s="78"/>
      <c r="H1424" s="78"/>
      <c r="I1424" s="78"/>
      <c r="J1424" s="78"/>
      <c r="K1424" s="78"/>
      <c r="L1424" s="78"/>
      <c r="M1424" s="78"/>
      <c r="N1424" s="78"/>
      <c r="O1424" s="78"/>
      <c r="P1424" s="78"/>
      <c r="Q1424" s="78"/>
      <c r="R1424" s="78"/>
      <c r="S1424" s="78"/>
      <c r="T1424" s="78"/>
      <c r="U1424" s="78"/>
      <c r="V1424" s="78"/>
      <c r="W1424" s="78"/>
      <c r="X1424" s="78"/>
      <c r="Y1424" s="78"/>
      <c r="Z1424" s="78"/>
    </row>
    <row r="1425">
      <c r="A1425" s="78"/>
      <c r="B1425" s="78"/>
      <c r="C1425" s="78"/>
      <c r="D1425" s="78"/>
      <c r="E1425" s="78"/>
      <c r="F1425" s="78"/>
      <c r="G1425" s="78"/>
      <c r="H1425" s="78"/>
      <c r="I1425" s="78"/>
      <c r="J1425" s="78"/>
      <c r="K1425" s="78"/>
      <c r="L1425" s="78"/>
      <c r="M1425" s="78"/>
      <c r="N1425" s="78"/>
      <c r="O1425" s="78"/>
      <c r="P1425" s="78"/>
      <c r="Q1425" s="78"/>
      <c r="R1425" s="78"/>
      <c r="S1425" s="78"/>
      <c r="T1425" s="78"/>
      <c r="U1425" s="78"/>
      <c r="V1425" s="78"/>
      <c r="W1425" s="78"/>
      <c r="X1425" s="78"/>
      <c r="Y1425" s="78"/>
      <c r="Z1425" s="78"/>
    </row>
    <row r="1426">
      <c r="A1426" s="78"/>
      <c r="B1426" s="78"/>
      <c r="C1426" s="78"/>
      <c r="D1426" s="78"/>
      <c r="E1426" s="78"/>
      <c r="F1426" s="78"/>
      <c r="G1426" s="78"/>
      <c r="H1426" s="78"/>
      <c r="I1426" s="78"/>
      <c r="J1426" s="78"/>
      <c r="K1426" s="78"/>
      <c r="L1426" s="78"/>
      <c r="M1426" s="78"/>
      <c r="N1426" s="78"/>
      <c r="O1426" s="78"/>
      <c r="P1426" s="78"/>
      <c r="Q1426" s="78"/>
      <c r="R1426" s="78"/>
      <c r="S1426" s="78"/>
      <c r="T1426" s="78"/>
      <c r="U1426" s="78"/>
      <c r="V1426" s="78"/>
      <c r="W1426" s="78"/>
      <c r="X1426" s="78"/>
      <c r="Y1426" s="78"/>
      <c r="Z1426" s="78"/>
    </row>
    <row r="1427">
      <c r="A1427" s="78"/>
      <c r="B1427" s="78"/>
      <c r="C1427" s="78"/>
      <c r="D1427" s="78"/>
      <c r="E1427" s="78"/>
      <c r="F1427" s="78"/>
      <c r="G1427" s="78"/>
      <c r="H1427" s="78"/>
      <c r="I1427" s="78"/>
      <c r="J1427" s="78"/>
      <c r="K1427" s="78"/>
      <c r="L1427" s="78"/>
      <c r="M1427" s="78"/>
      <c r="N1427" s="78"/>
      <c r="O1427" s="78"/>
      <c r="P1427" s="78"/>
      <c r="Q1427" s="78"/>
      <c r="R1427" s="78"/>
      <c r="S1427" s="78"/>
      <c r="T1427" s="78"/>
      <c r="U1427" s="78"/>
      <c r="V1427" s="78"/>
      <c r="W1427" s="78"/>
      <c r="X1427" s="78"/>
      <c r="Y1427" s="78"/>
      <c r="Z1427" s="78"/>
    </row>
    <row r="1428">
      <c r="A1428" s="78"/>
      <c r="B1428" s="78"/>
      <c r="C1428" s="78"/>
      <c r="D1428" s="78"/>
      <c r="E1428" s="78"/>
      <c r="F1428" s="78"/>
      <c r="G1428" s="78"/>
      <c r="H1428" s="78"/>
      <c r="I1428" s="78"/>
      <c r="J1428" s="78"/>
      <c r="K1428" s="78"/>
      <c r="L1428" s="78"/>
      <c r="M1428" s="78"/>
      <c r="N1428" s="78"/>
      <c r="O1428" s="78"/>
      <c r="P1428" s="78"/>
      <c r="Q1428" s="78"/>
      <c r="R1428" s="78"/>
      <c r="S1428" s="78"/>
      <c r="T1428" s="78"/>
      <c r="U1428" s="78"/>
      <c r="V1428" s="78"/>
      <c r="W1428" s="78"/>
      <c r="X1428" s="78"/>
      <c r="Y1428" s="78"/>
      <c r="Z1428" s="78"/>
    </row>
    <row r="1429">
      <c r="A1429" s="78"/>
      <c r="B1429" s="78"/>
      <c r="C1429" s="78"/>
      <c r="D1429" s="78"/>
      <c r="E1429" s="78"/>
      <c r="F1429" s="78"/>
      <c r="G1429" s="78"/>
      <c r="H1429" s="78"/>
      <c r="I1429" s="78"/>
      <c r="J1429" s="78"/>
      <c r="K1429" s="78"/>
      <c r="L1429" s="78"/>
      <c r="M1429" s="78"/>
      <c r="N1429" s="78"/>
      <c r="O1429" s="78"/>
      <c r="P1429" s="78"/>
      <c r="Q1429" s="78"/>
      <c r="R1429" s="78"/>
      <c r="S1429" s="78"/>
      <c r="T1429" s="78"/>
      <c r="U1429" s="78"/>
      <c r="V1429" s="78"/>
      <c r="W1429" s="78"/>
      <c r="X1429" s="78"/>
      <c r="Y1429" s="78"/>
      <c r="Z1429" s="78"/>
    </row>
    <row r="1430">
      <c r="A1430" s="78"/>
      <c r="B1430" s="78"/>
      <c r="C1430" s="78"/>
      <c r="D1430" s="78"/>
      <c r="E1430" s="78"/>
      <c r="F1430" s="78"/>
      <c r="G1430" s="78"/>
      <c r="H1430" s="78"/>
      <c r="I1430" s="78"/>
      <c r="J1430" s="78"/>
      <c r="K1430" s="78"/>
      <c r="L1430" s="78"/>
      <c r="M1430" s="78"/>
      <c r="N1430" s="78"/>
      <c r="O1430" s="78"/>
      <c r="P1430" s="78"/>
      <c r="Q1430" s="78"/>
      <c r="R1430" s="78"/>
      <c r="S1430" s="78"/>
      <c r="T1430" s="78"/>
      <c r="U1430" s="78"/>
      <c r="V1430" s="78"/>
      <c r="W1430" s="78"/>
      <c r="X1430" s="78"/>
      <c r="Y1430" s="78"/>
      <c r="Z1430" s="78"/>
    </row>
    <row r="1431">
      <c r="A1431" s="78"/>
      <c r="B1431" s="78"/>
      <c r="C1431" s="78"/>
      <c r="D1431" s="78"/>
      <c r="E1431" s="78"/>
      <c r="F1431" s="78"/>
      <c r="G1431" s="78"/>
      <c r="H1431" s="78"/>
      <c r="I1431" s="78"/>
      <c r="J1431" s="78"/>
      <c r="K1431" s="78"/>
      <c r="L1431" s="78"/>
      <c r="M1431" s="78"/>
      <c r="N1431" s="78"/>
      <c r="O1431" s="78"/>
      <c r="P1431" s="78"/>
      <c r="Q1431" s="78"/>
      <c r="R1431" s="78"/>
      <c r="S1431" s="78"/>
      <c r="T1431" s="78"/>
      <c r="U1431" s="78"/>
      <c r="V1431" s="78"/>
      <c r="W1431" s="78"/>
      <c r="X1431" s="78"/>
      <c r="Y1431" s="78"/>
      <c r="Z1431" s="78"/>
    </row>
    <row r="1432">
      <c r="A1432" s="78"/>
      <c r="B1432" s="78"/>
      <c r="C1432" s="78"/>
      <c r="D1432" s="78"/>
      <c r="E1432" s="78"/>
      <c r="F1432" s="78"/>
      <c r="G1432" s="78"/>
      <c r="H1432" s="78"/>
      <c r="I1432" s="78"/>
      <c r="J1432" s="78"/>
      <c r="K1432" s="78"/>
      <c r="L1432" s="78"/>
      <c r="M1432" s="78"/>
      <c r="N1432" s="78"/>
      <c r="O1432" s="78"/>
      <c r="P1432" s="78"/>
      <c r="Q1432" s="78"/>
      <c r="R1432" s="78"/>
      <c r="S1432" s="78"/>
      <c r="T1432" s="78"/>
      <c r="U1432" s="78"/>
      <c r="V1432" s="78"/>
      <c r="W1432" s="78"/>
      <c r="X1432" s="78"/>
      <c r="Y1432" s="78"/>
      <c r="Z1432" s="78"/>
    </row>
    <row r="1433">
      <c r="A1433" s="78"/>
      <c r="B1433" s="78"/>
      <c r="C1433" s="78"/>
      <c r="D1433" s="78"/>
      <c r="E1433" s="78"/>
      <c r="F1433" s="78"/>
      <c r="G1433" s="78"/>
      <c r="H1433" s="78"/>
      <c r="I1433" s="78"/>
      <c r="J1433" s="78"/>
      <c r="K1433" s="78"/>
      <c r="L1433" s="78"/>
      <c r="M1433" s="78"/>
      <c r="N1433" s="78"/>
      <c r="O1433" s="78"/>
      <c r="P1433" s="78"/>
      <c r="Q1433" s="78"/>
      <c r="R1433" s="78"/>
      <c r="S1433" s="78"/>
      <c r="T1433" s="78"/>
      <c r="U1433" s="78"/>
      <c r="V1433" s="78"/>
      <c r="W1433" s="78"/>
      <c r="X1433" s="78"/>
      <c r="Y1433" s="78"/>
      <c r="Z1433" s="78"/>
    </row>
    <row r="1434">
      <c r="A1434" s="78"/>
      <c r="B1434" s="78"/>
      <c r="C1434" s="78"/>
      <c r="D1434" s="78"/>
      <c r="E1434" s="78"/>
      <c r="F1434" s="78"/>
      <c r="G1434" s="78"/>
      <c r="H1434" s="78"/>
      <c r="I1434" s="78"/>
      <c r="J1434" s="78"/>
      <c r="K1434" s="78"/>
      <c r="L1434" s="78"/>
      <c r="M1434" s="78"/>
      <c r="N1434" s="78"/>
      <c r="O1434" s="78"/>
      <c r="P1434" s="78"/>
      <c r="Q1434" s="78"/>
      <c r="R1434" s="78"/>
      <c r="S1434" s="78"/>
      <c r="T1434" s="78"/>
      <c r="U1434" s="78"/>
      <c r="V1434" s="78"/>
      <c r="W1434" s="78"/>
      <c r="X1434" s="78"/>
      <c r="Y1434" s="78"/>
      <c r="Z1434" s="78"/>
    </row>
    <row r="1435">
      <c r="A1435" s="78"/>
      <c r="B1435" s="78"/>
      <c r="C1435" s="78"/>
      <c r="D1435" s="78"/>
      <c r="E1435" s="78"/>
      <c r="F1435" s="78"/>
      <c r="G1435" s="78"/>
      <c r="H1435" s="78"/>
      <c r="I1435" s="78"/>
      <c r="J1435" s="78"/>
      <c r="K1435" s="78"/>
      <c r="L1435" s="78"/>
      <c r="M1435" s="78"/>
      <c r="N1435" s="78"/>
      <c r="O1435" s="78"/>
      <c r="P1435" s="78"/>
      <c r="Q1435" s="78"/>
      <c r="R1435" s="78"/>
      <c r="S1435" s="78"/>
      <c r="T1435" s="78"/>
      <c r="U1435" s="78"/>
      <c r="V1435" s="78"/>
      <c r="W1435" s="78"/>
      <c r="X1435" s="78"/>
      <c r="Y1435" s="78"/>
      <c r="Z1435" s="78"/>
    </row>
    <row r="1436">
      <c r="A1436" s="78"/>
      <c r="B1436" s="78"/>
      <c r="C1436" s="78"/>
      <c r="D1436" s="78"/>
      <c r="E1436" s="78"/>
      <c r="F1436" s="78"/>
      <c r="G1436" s="78"/>
      <c r="H1436" s="78"/>
      <c r="I1436" s="78"/>
      <c r="J1436" s="78"/>
      <c r="K1436" s="78"/>
      <c r="L1436" s="78"/>
      <c r="M1436" s="78"/>
      <c r="N1436" s="78"/>
      <c r="O1436" s="78"/>
      <c r="P1436" s="78"/>
      <c r="Q1436" s="78"/>
      <c r="R1436" s="78"/>
      <c r="S1436" s="78"/>
      <c r="T1436" s="78"/>
      <c r="U1436" s="78"/>
      <c r="V1436" s="78"/>
      <c r="W1436" s="78"/>
      <c r="X1436" s="78"/>
      <c r="Y1436" s="78"/>
      <c r="Z1436" s="78"/>
    </row>
    <row r="1437">
      <c r="A1437" s="78"/>
      <c r="B1437" s="78"/>
      <c r="C1437" s="78"/>
      <c r="D1437" s="78"/>
      <c r="E1437" s="78"/>
      <c r="F1437" s="78"/>
      <c r="G1437" s="78"/>
      <c r="H1437" s="78"/>
      <c r="I1437" s="78"/>
      <c r="J1437" s="78"/>
      <c r="K1437" s="78"/>
      <c r="L1437" s="78"/>
      <c r="M1437" s="78"/>
      <c r="N1437" s="78"/>
      <c r="O1437" s="78"/>
      <c r="P1437" s="78"/>
      <c r="Q1437" s="78"/>
      <c r="R1437" s="78"/>
      <c r="S1437" s="78"/>
      <c r="T1437" s="78"/>
      <c r="U1437" s="78"/>
      <c r="V1437" s="78"/>
      <c r="W1437" s="78"/>
      <c r="X1437" s="78"/>
      <c r="Y1437" s="78"/>
      <c r="Z1437" s="78"/>
    </row>
    <row r="1438">
      <c r="A1438" s="78"/>
      <c r="B1438" s="78"/>
      <c r="C1438" s="78"/>
      <c r="D1438" s="78"/>
      <c r="E1438" s="78"/>
      <c r="F1438" s="78"/>
      <c r="G1438" s="78"/>
      <c r="H1438" s="78"/>
      <c r="I1438" s="78"/>
      <c r="J1438" s="78"/>
      <c r="K1438" s="78"/>
      <c r="L1438" s="78"/>
      <c r="M1438" s="78"/>
      <c r="N1438" s="78"/>
      <c r="O1438" s="78"/>
      <c r="P1438" s="78"/>
      <c r="Q1438" s="78"/>
      <c r="R1438" s="78"/>
      <c r="S1438" s="78"/>
      <c r="T1438" s="78"/>
      <c r="U1438" s="78"/>
      <c r="V1438" s="78"/>
      <c r="W1438" s="78"/>
      <c r="X1438" s="78"/>
      <c r="Y1438" s="78"/>
      <c r="Z1438" s="78"/>
    </row>
    <row r="1439">
      <c r="A1439" s="78"/>
      <c r="B1439" s="78"/>
      <c r="C1439" s="78"/>
      <c r="D1439" s="78"/>
      <c r="E1439" s="78"/>
      <c r="F1439" s="78"/>
      <c r="G1439" s="78"/>
      <c r="H1439" s="78"/>
      <c r="I1439" s="78"/>
      <c r="J1439" s="78"/>
      <c r="K1439" s="78"/>
      <c r="L1439" s="78"/>
      <c r="M1439" s="78"/>
      <c r="N1439" s="78"/>
      <c r="O1439" s="78"/>
      <c r="P1439" s="78"/>
      <c r="Q1439" s="78"/>
      <c r="R1439" s="78"/>
      <c r="S1439" s="78"/>
      <c r="T1439" s="78"/>
      <c r="U1439" s="78"/>
      <c r="V1439" s="78"/>
      <c r="W1439" s="78"/>
      <c r="X1439" s="78"/>
      <c r="Y1439" s="78"/>
      <c r="Z1439" s="78"/>
    </row>
    <row r="1440">
      <c r="A1440" s="78"/>
      <c r="B1440" s="78"/>
      <c r="C1440" s="78"/>
      <c r="D1440" s="78"/>
      <c r="E1440" s="78"/>
      <c r="F1440" s="78"/>
      <c r="G1440" s="78"/>
      <c r="H1440" s="78"/>
      <c r="I1440" s="78"/>
      <c r="J1440" s="78"/>
      <c r="K1440" s="78"/>
      <c r="L1440" s="78"/>
      <c r="M1440" s="78"/>
      <c r="N1440" s="78"/>
      <c r="O1440" s="78"/>
      <c r="P1440" s="78"/>
      <c r="Q1440" s="78"/>
      <c r="R1440" s="78"/>
      <c r="S1440" s="78"/>
      <c r="T1440" s="78"/>
      <c r="U1440" s="78"/>
      <c r="V1440" s="78"/>
      <c r="W1440" s="78"/>
      <c r="X1440" s="78"/>
      <c r="Y1440" s="78"/>
      <c r="Z1440" s="78"/>
    </row>
    <row r="1441">
      <c r="A1441" s="78"/>
      <c r="B1441" s="78"/>
      <c r="C1441" s="78"/>
      <c r="D1441" s="78"/>
      <c r="E1441" s="78"/>
      <c r="F1441" s="78"/>
      <c r="G1441" s="78"/>
      <c r="H1441" s="78"/>
      <c r="I1441" s="78"/>
      <c r="J1441" s="78"/>
      <c r="K1441" s="78"/>
      <c r="L1441" s="78"/>
      <c r="M1441" s="78"/>
      <c r="N1441" s="78"/>
      <c r="O1441" s="78"/>
      <c r="P1441" s="78"/>
      <c r="Q1441" s="78"/>
      <c r="R1441" s="78"/>
      <c r="S1441" s="78"/>
      <c r="T1441" s="78"/>
      <c r="U1441" s="78"/>
      <c r="V1441" s="78"/>
      <c r="W1441" s="78"/>
      <c r="X1441" s="78"/>
      <c r="Y1441" s="78"/>
      <c r="Z1441" s="78"/>
    </row>
    <row r="1442">
      <c r="A1442" s="78"/>
      <c r="B1442" s="78"/>
      <c r="C1442" s="78"/>
      <c r="D1442" s="78"/>
      <c r="E1442" s="78"/>
      <c r="F1442" s="78"/>
      <c r="G1442" s="78"/>
      <c r="H1442" s="78"/>
      <c r="I1442" s="78"/>
      <c r="J1442" s="78"/>
      <c r="K1442" s="78"/>
      <c r="L1442" s="78"/>
      <c r="M1442" s="78"/>
      <c r="N1442" s="78"/>
      <c r="O1442" s="78"/>
      <c r="P1442" s="78"/>
      <c r="Q1442" s="78"/>
      <c r="R1442" s="78"/>
      <c r="S1442" s="78"/>
      <c r="T1442" s="78"/>
      <c r="U1442" s="78"/>
      <c r="V1442" s="78"/>
      <c r="W1442" s="78"/>
      <c r="X1442" s="78"/>
      <c r="Y1442" s="78"/>
      <c r="Z1442" s="78"/>
    </row>
    <row r="1443">
      <c r="A1443" s="78"/>
      <c r="B1443" s="78"/>
      <c r="C1443" s="78"/>
      <c r="D1443" s="78"/>
      <c r="E1443" s="78"/>
      <c r="F1443" s="78"/>
      <c r="G1443" s="78"/>
      <c r="H1443" s="78"/>
      <c r="I1443" s="78"/>
      <c r="J1443" s="78"/>
      <c r="K1443" s="78"/>
      <c r="L1443" s="78"/>
      <c r="M1443" s="78"/>
      <c r="N1443" s="78"/>
      <c r="O1443" s="78"/>
      <c r="P1443" s="78"/>
      <c r="Q1443" s="78"/>
      <c r="R1443" s="78"/>
      <c r="S1443" s="78"/>
      <c r="T1443" s="78"/>
      <c r="U1443" s="78"/>
      <c r="V1443" s="78"/>
      <c r="W1443" s="78"/>
      <c r="X1443" s="78"/>
      <c r="Y1443" s="78"/>
      <c r="Z1443" s="78"/>
    </row>
    <row r="1444">
      <c r="A1444" s="78"/>
      <c r="B1444" s="78"/>
      <c r="C1444" s="78"/>
      <c r="D1444" s="78"/>
      <c r="E1444" s="78"/>
      <c r="F1444" s="78"/>
      <c r="G1444" s="78"/>
      <c r="H1444" s="78"/>
      <c r="I1444" s="78"/>
      <c r="J1444" s="78"/>
      <c r="K1444" s="78"/>
      <c r="L1444" s="78"/>
      <c r="M1444" s="78"/>
      <c r="N1444" s="78"/>
      <c r="O1444" s="78"/>
      <c r="P1444" s="78"/>
      <c r="Q1444" s="78"/>
      <c r="R1444" s="78"/>
      <c r="S1444" s="78"/>
      <c r="T1444" s="78"/>
      <c r="U1444" s="78"/>
      <c r="V1444" s="78"/>
      <c r="W1444" s="78"/>
      <c r="X1444" s="78"/>
      <c r="Y1444" s="78"/>
      <c r="Z1444" s="78"/>
    </row>
    <row r="1445">
      <c r="A1445" s="78"/>
      <c r="B1445" s="78"/>
      <c r="C1445" s="78"/>
      <c r="D1445" s="78"/>
      <c r="E1445" s="78"/>
      <c r="F1445" s="78"/>
      <c r="G1445" s="78"/>
      <c r="H1445" s="78"/>
      <c r="I1445" s="78"/>
      <c r="J1445" s="78"/>
      <c r="K1445" s="78"/>
      <c r="L1445" s="78"/>
      <c r="M1445" s="78"/>
      <c r="N1445" s="78"/>
      <c r="O1445" s="78"/>
      <c r="P1445" s="78"/>
      <c r="Q1445" s="78"/>
      <c r="R1445" s="78"/>
      <c r="S1445" s="78"/>
      <c r="T1445" s="78"/>
      <c r="U1445" s="78"/>
      <c r="V1445" s="78"/>
      <c r="W1445" s="78"/>
      <c r="X1445" s="78"/>
      <c r="Y1445" s="78"/>
      <c r="Z1445" s="78"/>
    </row>
    <row r="1446">
      <c r="A1446" s="78"/>
      <c r="B1446" s="78"/>
      <c r="C1446" s="78"/>
      <c r="D1446" s="78"/>
      <c r="E1446" s="78"/>
      <c r="F1446" s="78"/>
      <c r="G1446" s="78"/>
      <c r="H1446" s="78"/>
      <c r="I1446" s="78"/>
      <c r="J1446" s="78"/>
      <c r="K1446" s="78"/>
      <c r="L1446" s="78"/>
      <c r="M1446" s="78"/>
      <c r="N1446" s="78"/>
      <c r="O1446" s="78"/>
      <c r="P1446" s="78"/>
      <c r="Q1446" s="78"/>
      <c r="R1446" s="78"/>
      <c r="S1446" s="78"/>
      <c r="T1446" s="78"/>
      <c r="U1446" s="78"/>
      <c r="V1446" s="78"/>
      <c r="W1446" s="78"/>
      <c r="X1446" s="78"/>
      <c r="Y1446" s="78"/>
      <c r="Z1446" s="78"/>
    </row>
    <row r="1447">
      <c r="A1447" s="78"/>
      <c r="B1447" s="78"/>
      <c r="C1447" s="78"/>
      <c r="D1447" s="78"/>
      <c r="E1447" s="78"/>
      <c r="F1447" s="78"/>
      <c r="G1447" s="78"/>
      <c r="H1447" s="78"/>
      <c r="I1447" s="78"/>
      <c r="J1447" s="78"/>
      <c r="K1447" s="78"/>
      <c r="L1447" s="78"/>
      <c r="M1447" s="78"/>
      <c r="N1447" s="78"/>
      <c r="O1447" s="78"/>
      <c r="P1447" s="78"/>
      <c r="Q1447" s="78"/>
      <c r="R1447" s="78"/>
      <c r="S1447" s="78"/>
      <c r="T1447" s="78"/>
      <c r="U1447" s="78"/>
      <c r="V1447" s="78"/>
      <c r="W1447" s="78"/>
      <c r="X1447" s="78"/>
      <c r="Y1447" s="78"/>
      <c r="Z1447" s="78"/>
    </row>
    <row r="1448">
      <c r="A1448" s="78"/>
      <c r="B1448" s="78"/>
      <c r="C1448" s="78"/>
      <c r="D1448" s="78"/>
      <c r="E1448" s="78"/>
      <c r="F1448" s="78"/>
      <c r="G1448" s="78"/>
      <c r="H1448" s="78"/>
      <c r="I1448" s="78"/>
      <c r="J1448" s="78"/>
      <c r="K1448" s="78"/>
      <c r="L1448" s="78"/>
      <c r="M1448" s="78"/>
      <c r="N1448" s="78"/>
      <c r="O1448" s="78"/>
      <c r="P1448" s="78"/>
      <c r="Q1448" s="78"/>
      <c r="R1448" s="78"/>
      <c r="S1448" s="78"/>
      <c r="T1448" s="78"/>
      <c r="U1448" s="78"/>
      <c r="V1448" s="78"/>
      <c r="W1448" s="78"/>
      <c r="X1448" s="78"/>
      <c r="Y1448" s="78"/>
      <c r="Z1448" s="78"/>
    </row>
    <row r="1449">
      <c r="A1449" s="78"/>
      <c r="B1449" s="78"/>
      <c r="C1449" s="78"/>
      <c r="D1449" s="78"/>
      <c r="E1449" s="78"/>
      <c r="F1449" s="78"/>
      <c r="G1449" s="78"/>
      <c r="H1449" s="78"/>
      <c r="I1449" s="78"/>
      <c r="J1449" s="78"/>
      <c r="K1449" s="78"/>
      <c r="L1449" s="78"/>
      <c r="M1449" s="78"/>
      <c r="N1449" s="78"/>
      <c r="O1449" s="78"/>
      <c r="P1449" s="78"/>
      <c r="Q1449" s="78"/>
      <c r="R1449" s="78"/>
      <c r="S1449" s="78"/>
      <c r="T1449" s="78"/>
      <c r="U1449" s="78"/>
      <c r="V1449" s="78"/>
      <c r="W1449" s="78"/>
      <c r="X1449" s="78"/>
      <c r="Y1449" s="78"/>
      <c r="Z1449" s="78"/>
    </row>
    <row r="1450">
      <c r="A1450" s="78"/>
      <c r="B1450" s="78"/>
      <c r="C1450" s="78"/>
      <c r="D1450" s="78"/>
      <c r="E1450" s="78"/>
      <c r="F1450" s="78"/>
      <c r="G1450" s="78"/>
      <c r="H1450" s="78"/>
      <c r="I1450" s="78"/>
      <c r="J1450" s="78"/>
      <c r="K1450" s="78"/>
      <c r="L1450" s="78"/>
      <c r="M1450" s="78"/>
      <c r="N1450" s="78"/>
      <c r="O1450" s="78"/>
      <c r="P1450" s="78"/>
      <c r="Q1450" s="78"/>
      <c r="R1450" s="78"/>
      <c r="S1450" s="78"/>
      <c r="T1450" s="78"/>
      <c r="U1450" s="78"/>
      <c r="V1450" s="78"/>
      <c r="W1450" s="78"/>
      <c r="X1450" s="78"/>
      <c r="Y1450" s="78"/>
      <c r="Z1450" s="78"/>
    </row>
    <row r="1451">
      <c r="A1451" s="78"/>
      <c r="B1451" s="78"/>
      <c r="C1451" s="78"/>
      <c r="D1451" s="78"/>
      <c r="E1451" s="78"/>
      <c r="F1451" s="78"/>
      <c r="G1451" s="78"/>
      <c r="H1451" s="78"/>
      <c r="I1451" s="78"/>
      <c r="J1451" s="78"/>
      <c r="K1451" s="78"/>
      <c r="L1451" s="78"/>
      <c r="M1451" s="78"/>
      <c r="N1451" s="78"/>
      <c r="O1451" s="78"/>
      <c r="P1451" s="78"/>
      <c r="Q1451" s="78"/>
      <c r="R1451" s="78"/>
      <c r="S1451" s="78"/>
      <c r="T1451" s="78"/>
      <c r="U1451" s="78"/>
      <c r="V1451" s="78"/>
      <c r="W1451" s="78"/>
      <c r="X1451" s="78"/>
      <c r="Y1451" s="78"/>
      <c r="Z1451" s="78"/>
    </row>
    <row r="1452">
      <c r="A1452" s="78"/>
      <c r="B1452" s="78"/>
      <c r="C1452" s="78"/>
      <c r="D1452" s="78"/>
      <c r="E1452" s="78"/>
      <c r="F1452" s="78"/>
      <c r="G1452" s="78"/>
      <c r="H1452" s="78"/>
      <c r="I1452" s="78"/>
      <c r="J1452" s="78"/>
      <c r="K1452" s="78"/>
      <c r="L1452" s="78"/>
      <c r="M1452" s="78"/>
      <c r="N1452" s="78"/>
      <c r="O1452" s="78"/>
      <c r="P1452" s="78"/>
      <c r="Q1452" s="78"/>
      <c r="R1452" s="78"/>
      <c r="S1452" s="78"/>
      <c r="T1452" s="78"/>
      <c r="U1452" s="78"/>
      <c r="V1452" s="78"/>
      <c r="W1452" s="78"/>
      <c r="X1452" s="78"/>
      <c r="Y1452" s="78"/>
      <c r="Z1452" s="78"/>
    </row>
    <row r="1453">
      <c r="A1453" s="78"/>
      <c r="B1453" s="78"/>
      <c r="C1453" s="78"/>
      <c r="D1453" s="78"/>
      <c r="E1453" s="78"/>
      <c r="F1453" s="78"/>
      <c r="G1453" s="78"/>
      <c r="H1453" s="78"/>
      <c r="I1453" s="78"/>
      <c r="J1453" s="78"/>
      <c r="K1453" s="78"/>
      <c r="L1453" s="78"/>
      <c r="M1453" s="78"/>
      <c r="N1453" s="78"/>
      <c r="O1453" s="78"/>
      <c r="P1453" s="78"/>
      <c r="Q1453" s="78"/>
      <c r="R1453" s="78"/>
      <c r="S1453" s="78"/>
      <c r="T1453" s="78"/>
      <c r="U1453" s="78"/>
      <c r="V1453" s="78"/>
      <c r="W1453" s="78"/>
      <c r="X1453" s="78"/>
      <c r="Y1453" s="78"/>
      <c r="Z1453" s="78"/>
    </row>
    <row r="1454">
      <c r="A1454" s="78"/>
      <c r="B1454" s="78"/>
      <c r="C1454" s="78"/>
      <c r="D1454" s="78"/>
      <c r="E1454" s="78"/>
      <c r="F1454" s="78"/>
      <c r="G1454" s="78"/>
      <c r="H1454" s="78"/>
      <c r="I1454" s="78"/>
      <c r="J1454" s="78"/>
      <c r="K1454" s="78"/>
      <c r="L1454" s="78"/>
      <c r="M1454" s="78"/>
      <c r="N1454" s="78"/>
      <c r="O1454" s="78"/>
      <c r="P1454" s="78"/>
      <c r="Q1454" s="78"/>
      <c r="R1454" s="78"/>
      <c r="S1454" s="78"/>
      <c r="T1454" s="78"/>
      <c r="U1454" s="78"/>
      <c r="V1454" s="78"/>
      <c r="W1454" s="78"/>
      <c r="X1454" s="78"/>
      <c r="Y1454" s="78"/>
      <c r="Z1454" s="78"/>
    </row>
    <row r="1455">
      <c r="A1455" s="78"/>
      <c r="B1455" s="78"/>
      <c r="C1455" s="78"/>
      <c r="D1455" s="78"/>
      <c r="E1455" s="78"/>
      <c r="F1455" s="78"/>
      <c r="G1455" s="78"/>
      <c r="H1455" s="78"/>
      <c r="I1455" s="78"/>
      <c r="J1455" s="78"/>
      <c r="K1455" s="78"/>
      <c r="L1455" s="78"/>
      <c r="M1455" s="78"/>
      <c r="N1455" s="78"/>
      <c r="O1455" s="78"/>
      <c r="P1455" s="78"/>
      <c r="Q1455" s="78"/>
      <c r="R1455" s="78"/>
      <c r="S1455" s="78"/>
      <c r="T1455" s="78"/>
      <c r="U1455" s="78"/>
      <c r="V1455" s="78"/>
      <c r="W1455" s="78"/>
      <c r="X1455" s="78"/>
      <c r="Y1455" s="78"/>
      <c r="Z1455" s="78"/>
    </row>
    <row r="1456">
      <c r="A1456" s="78"/>
      <c r="B1456" s="78"/>
      <c r="C1456" s="78"/>
      <c r="D1456" s="78"/>
      <c r="E1456" s="78"/>
      <c r="F1456" s="78"/>
      <c r="G1456" s="78"/>
      <c r="H1456" s="78"/>
      <c r="I1456" s="78"/>
      <c r="J1456" s="78"/>
      <c r="K1456" s="78"/>
      <c r="L1456" s="78"/>
      <c r="M1456" s="78"/>
      <c r="N1456" s="78"/>
      <c r="O1456" s="78"/>
      <c r="P1456" s="78"/>
      <c r="Q1456" s="78"/>
      <c r="R1456" s="78"/>
      <c r="S1456" s="78"/>
      <c r="T1456" s="78"/>
      <c r="U1456" s="78"/>
      <c r="V1456" s="78"/>
      <c r="W1456" s="78"/>
      <c r="X1456" s="78"/>
      <c r="Y1456" s="78"/>
      <c r="Z1456" s="78"/>
    </row>
    <row r="1457">
      <c r="A1457" s="78"/>
      <c r="B1457" s="78"/>
      <c r="C1457" s="78"/>
      <c r="D1457" s="78"/>
      <c r="E1457" s="78"/>
      <c r="F1457" s="78"/>
      <c r="G1457" s="78"/>
      <c r="H1457" s="78"/>
      <c r="I1457" s="78"/>
      <c r="J1457" s="78"/>
      <c r="K1457" s="78"/>
      <c r="L1457" s="78"/>
      <c r="M1457" s="78"/>
      <c r="N1457" s="78"/>
      <c r="O1457" s="78"/>
      <c r="P1457" s="78"/>
      <c r="Q1457" s="78"/>
      <c r="R1457" s="78"/>
      <c r="S1457" s="78"/>
      <c r="T1457" s="78"/>
      <c r="U1457" s="78"/>
      <c r="V1457" s="78"/>
      <c r="W1457" s="78"/>
      <c r="X1457" s="78"/>
      <c r="Y1457" s="78"/>
      <c r="Z1457" s="78"/>
    </row>
    <row r="1458">
      <c r="A1458" s="78"/>
      <c r="B1458" s="78"/>
      <c r="C1458" s="78"/>
      <c r="D1458" s="78"/>
      <c r="E1458" s="78"/>
      <c r="F1458" s="78"/>
      <c r="G1458" s="78"/>
      <c r="H1458" s="78"/>
      <c r="I1458" s="78"/>
      <c r="J1458" s="78"/>
      <c r="K1458" s="78"/>
      <c r="L1458" s="78"/>
      <c r="M1458" s="78"/>
      <c r="N1458" s="78"/>
      <c r="O1458" s="78"/>
      <c r="P1458" s="78"/>
      <c r="Q1458" s="78"/>
      <c r="R1458" s="78"/>
      <c r="S1458" s="78"/>
      <c r="T1458" s="78"/>
      <c r="U1458" s="78"/>
      <c r="V1458" s="78"/>
      <c r="W1458" s="78"/>
      <c r="X1458" s="78"/>
      <c r="Y1458" s="78"/>
      <c r="Z1458" s="78"/>
    </row>
    <row r="1459">
      <c r="A1459" s="78"/>
      <c r="B1459" s="78"/>
      <c r="C1459" s="78"/>
      <c r="D1459" s="78"/>
      <c r="E1459" s="78"/>
      <c r="F1459" s="78"/>
      <c r="G1459" s="78"/>
      <c r="H1459" s="78"/>
      <c r="I1459" s="78"/>
      <c r="J1459" s="78"/>
      <c r="K1459" s="78"/>
      <c r="L1459" s="78"/>
      <c r="M1459" s="78"/>
      <c r="N1459" s="78"/>
      <c r="O1459" s="78"/>
      <c r="P1459" s="78"/>
      <c r="Q1459" s="78"/>
      <c r="R1459" s="78"/>
      <c r="S1459" s="78"/>
      <c r="T1459" s="78"/>
      <c r="U1459" s="78"/>
      <c r="V1459" s="78"/>
      <c r="W1459" s="78"/>
      <c r="X1459" s="78"/>
      <c r="Y1459" s="78"/>
      <c r="Z1459" s="78"/>
    </row>
    <row r="1460">
      <c r="A1460" s="78"/>
      <c r="B1460" s="78"/>
      <c r="C1460" s="78"/>
      <c r="D1460" s="78"/>
      <c r="E1460" s="78"/>
      <c r="F1460" s="78"/>
      <c r="G1460" s="78"/>
      <c r="H1460" s="78"/>
      <c r="I1460" s="78"/>
      <c r="J1460" s="78"/>
      <c r="K1460" s="78"/>
      <c r="L1460" s="78"/>
      <c r="M1460" s="78"/>
      <c r="N1460" s="78"/>
      <c r="O1460" s="78"/>
      <c r="P1460" s="78"/>
      <c r="Q1460" s="78"/>
      <c r="R1460" s="78"/>
      <c r="S1460" s="78"/>
      <c r="T1460" s="78"/>
      <c r="U1460" s="78"/>
      <c r="V1460" s="78"/>
      <c r="W1460" s="78"/>
      <c r="X1460" s="78"/>
      <c r="Y1460" s="78"/>
      <c r="Z1460" s="78"/>
    </row>
    <row r="1461">
      <c r="A1461" s="78"/>
      <c r="B1461" s="78"/>
      <c r="C1461" s="78"/>
      <c r="D1461" s="78"/>
      <c r="E1461" s="78"/>
      <c r="F1461" s="78"/>
      <c r="G1461" s="78"/>
      <c r="H1461" s="78"/>
      <c r="I1461" s="78"/>
      <c r="J1461" s="78"/>
      <c r="K1461" s="78"/>
      <c r="L1461" s="78"/>
      <c r="M1461" s="78"/>
      <c r="N1461" s="78"/>
      <c r="O1461" s="78"/>
      <c r="P1461" s="78"/>
      <c r="Q1461" s="78"/>
      <c r="R1461" s="78"/>
      <c r="S1461" s="78"/>
      <c r="T1461" s="78"/>
      <c r="U1461" s="78"/>
      <c r="V1461" s="78"/>
      <c r="W1461" s="78"/>
      <c r="X1461" s="78"/>
      <c r="Y1461" s="78"/>
      <c r="Z1461" s="78"/>
    </row>
    <row r="1462">
      <c r="A1462" s="78"/>
      <c r="B1462" s="78"/>
      <c r="C1462" s="78"/>
      <c r="D1462" s="78"/>
      <c r="E1462" s="78"/>
      <c r="F1462" s="78"/>
      <c r="G1462" s="78"/>
      <c r="H1462" s="78"/>
      <c r="I1462" s="78"/>
      <c r="J1462" s="78"/>
      <c r="K1462" s="78"/>
      <c r="L1462" s="78"/>
      <c r="M1462" s="78"/>
      <c r="N1462" s="78"/>
      <c r="O1462" s="78"/>
      <c r="P1462" s="78"/>
      <c r="Q1462" s="78"/>
      <c r="R1462" s="78"/>
      <c r="S1462" s="78"/>
      <c r="T1462" s="78"/>
      <c r="U1462" s="78"/>
      <c r="V1462" s="78"/>
      <c r="W1462" s="78"/>
      <c r="X1462" s="78"/>
      <c r="Y1462" s="78"/>
      <c r="Z1462" s="78"/>
    </row>
    <row r="1463">
      <c r="A1463" s="78"/>
      <c r="B1463" s="78"/>
      <c r="C1463" s="78"/>
      <c r="D1463" s="78"/>
      <c r="E1463" s="78"/>
      <c r="F1463" s="78"/>
      <c r="G1463" s="78"/>
      <c r="H1463" s="78"/>
      <c r="I1463" s="78"/>
      <c r="J1463" s="78"/>
      <c r="K1463" s="78"/>
      <c r="L1463" s="78"/>
      <c r="M1463" s="78"/>
      <c r="N1463" s="78"/>
      <c r="O1463" s="78"/>
      <c r="P1463" s="78"/>
      <c r="Q1463" s="78"/>
      <c r="R1463" s="78"/>
      <c r="S1463" s="78"/>
      <c r="T1463" s="78"/>
      <c r="U1463" s="78"/>
      <c r="V1463" s="78"/>
      <c r="W1463" s="78"/>
      <c r="X1463" s="78"/>
      <c r="Y1463" s="78"/>
      <c r="Z1463" s="78"/>
    </row>
    <row r="1464">
      <c r="A1464" s="78"/>
      <c r="B1464" s="78"/>
      <c r="C1464" s="78"/>
      <c r="D1464" s="78"/>
      <c r="E1464" s="78"/>
      <c r="F1464" s="78"/>
      <c r="G1464" s="78"/>
      <c r="H1464" s="78"/>
      <c r="I1464" s="78"/>
      <c r="J1464" s="78"/>
      <c r="K1464" s="78"/>
      <c r="L1464" s="78"/>
      <c r="M1464" s="78"/>
      <c r="N1464" s="78"/>
      <c r="O1464" s="78"/>
      <c r="P1464" s="78"/>
      <c r="Q1464" s="78"/>
      <c r="R1464" s="78"/>
      <c r="S1464" s="78"/>
      <c r="T1464" s="78"/>
      <c r="U1464" s="78"/>
      <c r="V1464" s="78"/>
      <c r="W1464" s="78"/>
      <c r="X1464" s="78"/>
      <c r="Y1464" s="78"/>
      <c r="Z1464" s="78"/>
    </row>
    <row r="1465">
      <c r="A1465" s="78"/>
      <c r="B1465" s="78"/>
      <c r="C1465" s="78"/>
      <c r="D1465" s="78"/>
      <c r="E1465" s="78"/>
      <c r="F1465" s="78"/>
      <c r="G1465" s="78"/>
      <c r="H1465" s="78"/>
      <c r="I1465" s="78"/>
      <c r="J1465" s="78"/>
      <c r="K1465" s="78"/>
      <c r="L1465" s="78"/>
      <c r="M1465" s="78"/>
      <c r="N1465" s="78"/>
      <c r="O1465" s="78"/>
      <c r="P1465" s="78"/>
      <c r="Q1465" s="78"/>
      <c r="R1465" s="78"/>
      <c r="S1465" s="78"/>
      <c r="T1465" s="78"/>
      <c r="U1465" s="78"/>
      <c r="V1465" s="78"/>
      <c r="W1465" s="78"/>
      <c r="X1465" s="78"/>
      <c r="Y1465" s="78"/>
      <c r="Z1465" s="78"/>
    </row>
    <row r="1466">
      <c r="A1466" s="78"/>
      <c r="B1466" s="78"/>
      <c r="C1466" s="78"/>
      <c r="D1466" s="78"/>
      <c r="E1466" s="78"/>
      <c r="F1466" s="78"/>
      <c r="G1466" s="78"/>
      <c r="H1466" s="78"/>
      <c r="I1466" s="78"/>
      <c r="J1466" s="78"/>
      <c r="K1466" s="78"/>
      <c r="L1466" s="78"/>
      <c r="M1466" s="78"/>
      <c r="N1466" s="78"/>
      <c r="O1466" s="78"/>
      <c r="P1466" s="78"/>
      <c r="Q1466" s="78"/>
      <c r="R1466" s="78"/>
      <c r="S1466" s="78"/>
      <c r="T1466" s="78"/>
      <c r="U1466" s="78"/>
      <c r="V1466" s="78"/>
      <c r="W1466" s="78"/>
      <c r="X1466" s="78"/>
      <c r="Y1466" s="78"/>
      <c r="Z1466" s="78"/>
    </row>
    <row r="1467">
      <c r="A1467" s="78"/>
      <c r="B1467" s="78"/>
      <c r="C1467" s="78"/>
      <c r="D1467" s="78"/>
      <c r="E1467" s="78"/>
      <c r="F1467" s="78"/>
      <c r="G1467" s="78"/>
      <c r="H1467" s="78"/>
      <c r="I1467" s="78"/>
      <c r="J1467" s="78"/>
      <c r="K1467" s="78"/>
      <c r="L1467" s="78"/>
      <c r="M1467" s="78"/>
      <c r="N1467" s="78"/>
      <c r="O1467" s="78"/>
      <c r="P1467" s="78"/>
      <c r="Q1467" s="78"/>
      <c r="R1467" s="78"/>
      <c r="S1467" s="78"/>
      <c r="T1467" s="78"/>
      <c r="U1467" s="78"/>
      <c r="V1467" s="78"/>
      <c r="W1467" s="78"/>
      <c r="X1467" s="78"/>
      <c r="Y1467" s="78"/>
      <c r="Z1467" s="78"/>
    </row>
    <row r="1468">
      <c r="A1468" s="78"/>
      <c r="B1468" s="78"/>
      <c r="C1468" s="78"/>
      <c r="D1468" s="78"/>
      <c r="E1468" s="78"/>
      <c r="F1468" s="78"/>
      <c r="G1468" s="78"/>
      <c r="H1468" s="78"/>
      <c r="I1468" s="78"/>
      <c r="J1468" s="78"/>
      <c r="K1468" s="78"/>
      <c r="L1468" s="78"/>
      <c r="M1468" s="78"/>
      <c r="N1468" s="78"/>
      <c r="O1468" s="78"/>
      <c r="P1468" s="78"/>
      <c r="Q1468" s="78"/>
      <c r="R1468" s="78"/>
      <c r="S1468" s="78"/>
      <c r="T1468" s="78"/>
      <c r="U1468" s="78"/>
      <c r="V1468" s="78"/>
      <c r="W1468" s="78"/>
      <c r="X1468" s="78"/>
      <c r="Y1468" s="78"/>
      <c r="Z1468" s="78"/>
    </row>
    <row r="1469">
      <c r="A1469" s="78"/>
      <c r="B1469" s="78"/>
      <c r="C1469" s="78"/>
      <c r="D1469" s="78"/>
      <c r="E1469" s="78"/>
      <c r="F1469" s="78"/>
      <c r="G1469" s="78"/>
      <c r="H1469" s="78"/>
      <c r="I1469" s="78"/>
      <c r="J1469" s="78"/>
      <c r="K1469" s="78"/>
      <c r="L1469" s="78"/>
      <c r="M1469" s="78"/>
      <c r="N1469" s="78"/>
      <c r="O1469" s="78"/>
      <c r="P1469" s="78"/>
      <c r="Q1469" s="78"/>
      <c r="R1469" s="78"/>
      <c r="S1469" s="78"/>
      <c r="T1469" s="78"/>
      <c r="U1469" s="78"/>
      <c r="V1469" s="78"/>
      <c r="W1469" s="78"/>
      <c r="X1469" s="78"/>
      <c r="Y1469" s="78"/>
      <c r="Z1469" s="78"/>
    </row>
    <row r="1470">
      <c r="A1470" s="78"/>
      <c r="B1470" s="78"/>
      <c r="C1470" s="78"/>
      <c r="D1470" s="78"/>
      <c r="E1470" s="78"/>
      <c r="F1470" s="78"/>
      <c r="G1470" s="78"/>
      <c r="H1470" s="78"/>
      <c r="I1470" s="78"/>
      <c r="J1470" s="78"/>
      <c r="K1470" s="78"/>
      <c r="L1470" s="78"/>
      <c r="M1470" s="78"/>
      <c r="N1470" s="78"/>
      <c r="O1470" s="78"/>
      <c r="P1470" s="78"/>
      <c r="Q1470" s="78"/>
      <c r="R1470" s="78"/>
      <c r="S1470" s="78"/>
      <c r="T1470" s="78"/>
      <c r="U1470" s="78"/>
      <c r="V1470" s="78"/>
      <c r="W1470" s="78"/>
      <c r="X1470" s="78"/>
      <c r="Y1470" s="78"/>
      <c r="Z1470" s="78"/>
    </row>
    <row r="1471">
      <c r="A1471" s="78"/>
      <c r="B1471" s="78"/>
      <c r="C1471" s="78"/>
      <c r="D1471" s="78"/>
      <c r="E1471" s="78"/>
      <c r="F1471" s="78"/>
      <c r="G1471" s="78"/>
      <c r="H1471" s="78"/>
      <c r="I1471" s="78"/>
      <c r="J1471" s="78"/>
      <c r="K1471" s="78"/>
      <c r="L1471" s="78"/>
      <c r="M1471" s="78"/>
      <c r="N1471" s="78"/>
      <c r="O1471" s="78"/>
      <c r="P1471" s="78"/>
      <c r="Q1471" s="78"/>
      <c r="R1471" s="78"/>
      <c r="S1471" s="78"/>
      <c r="T1471" s="78"/>
      <c r="U1471" s="78"/>
      <c r="V1471" s="78"/>
      <c r="W1471" s="78"/>
      <c r="X1471" s="78"/>
      <c r="Y1471" s="78"/>
      <c r="Z1471" s="78"/>
    </row>
    <row r="1472">
      <c r="A1472" s="78"/>
      <c r="B1472" s="78"/>
      <c r="C1472" s="78"/>
      <c r="D1472" s="78"/>
      <c r="E1472" s="78"/>
      <c r="F1472" s="78"/>
      <c r="G1472" s="78"/>
      <c r="H1472" s="78"/>
      <c r="I1472" s="78"/>
      <c r="J1472" s="78"/>
      <c r="K1472" s="78"/>
      <c r="L1472" s="78"/>
      <c r="M1472" s="78"/>
      <c r="N1472" s="78"/>
      <c r="O1472" s="78"/>
      <c r="P1472" s="78"/>
      <c r="Q1472" s="78"/>
      <c r="R1472" s="78"/>
      <c r="S1472" s="78"/>
      <c r="T1472" s="78"/>
      <c r="U1472" s="78"/>
      <c r="V1472" s="78"/>
      <c r="W1472" s="78"/>
      <c r="X1472" s="78"/>
      <c r="Y1472" s="78"/>
      <c r="Z1472" s="78"/>
    </row>
    <row r="1473">
      <c r="A1473" s="78"/>
      <c r="B1473" s="78"/>
      <c r="C1473" s="78"/>
      <c r="D1473" s="78"/>
      <c r="E1473" s="78"/>
      <c r="F1473" s="78"/>
      <c r="G1473" s="78"/>
      <c r="H1473" s="78"/>
      <c r="I1473" s="78"/>
      <c r="J1473" s="78"/>
      <c r="K1473" s="78"/>
      <c r="L1473" s="78"/>
      <c r="M1473" s="78"/>
      <c r="N1473" s="78"/>
      <c r="O1473" s="78"/>
      <c r="P1473" s="78"/>
      <c r="Q1473" s="78"/>
      <c r="R1473" s="78"/>
      <c r="S1473" s="78"/>
      <c r="T1473" s="78"/>
      <c r="U1473" s="78"/>
      <c r="V1473" s="78"/>
      <c r="W1473" s="78"/>
      <c r="X1473" s="78"/>
      <c r="Y1473" s="78"/>
      <c r="Z1473" s="78"/>
    </row>
    <row r="1474">
      <c r="A1474" s="78"/>
      <c r="B1474" s="78"/>
      <c r="C1474" s="78"/>
      <c r="D1474" s="78"/>
      <c r="E1474" s="78"/>
      <c r="F1474" s="78"/>
      <c r="G1474" s="78"/>
      <c r="H1474" s="78"/>
      <c r="I1474" s="78"/>
      <c r="J1474" s="78"/>
      <c r="K1474" s="78"/>
      <c r="L1474" s="78"/>
      <c r="M1474" s="78"/>
      <c r="N1474" s="78"/>
      <c r="O1474" s="78"/>
      <c r="P1474" s="78"/>
      <c r="Q1474" s="78"/>
      <c r="R1474" s="78"/>
      <c r="S1474" s="78"/>
      <c r="T1474" s="78"/>
      <c r="U1474" s="78"/>
      <c r="V1474" s="78"/>
      <c r="W1474" s="78"/>
      <c r="X1474" s="78"/>
      <c r="Y1474" s="78"/>
      <c r="Z1474" s="78"/>
    </row>
    <row r="1475">
      <c r="A1475" s="78"/>
      <c r="B1475" s="78"/>
      <c r="C1475" s="78"/>
      <c r="D1475" s="78"/>
      <c r="E1475" s="78"/>
      <c r="F1475" s="78"/>
      <c r="G1475" s="78"/>
      <c r="H1475" s="78"/>
      <c r="I1475" s="78"/>
      <c r="J1475" s="78"/>
      <c r="K1475" s="78"/>
      <c r="L1475" s="78"/>
      <c r="M1475" s="78"/>
      <c r="N1475" s="78"/>
      <c r="O1475" s="78"/>
      <c r="P1475" s="78"/>
      <c r="Q1475" s="78"/>
      <c r="R1475" s="78"/>
      <c r="S1475" s="78"/>
      <c r="T1475" s="78"/>
      <c r="U1475" s="78"/>
      <c r="V1475" s="78"/>
      <c r="W1475" s="78"/>
      <c r="X1475" s="78"/>
      <c r="Y1475" s="78"/>
      <c r="Z1475" s="78"/>
    </row>
    <row r="1476">
      <c r="A1476" s="78"/>
      <c r="B1476" s="78"/>
      <c r="C1476" s="78"/>
      <c r="D1476" s="78"/>
      <c r="E1476" s="78"/>
      <c r="F1476" s="78"/>
      <c r="G1476" s="78"/>
      <c r="H1476" s="78"/>
      <c r="I1476" s="78"/>
      <c r="J1476" s="78"/>
      <c r="K1476" s="78"/>
      <c r="L1476" s="78"/>
      <c r="M1476" s="78"/>
      <c r="N1476" s="78"/>
      <c r="O1476" s="78"/>
      <c r="P1476" s="78"/>
      <c r="Q1476" s="78"/>
      <c r="R1476" s="78"/>
      <c r="S1476" s="78"/>
      <c r="T1476" s="78"/>
      <c r="U1476" s="78"/>
      <c r="V1476" s="78"/>
      <c r="W1476" s="78"/>
      <c r="X1476" s="78"/>
      <c r="Y1476" s="78"/>
      <c r="Z1476" s="78"/>
    </row>
    <row r="1477">
      <c r="A1477" s="78"/>
      <c r="B1477" s="78"/>
      <c r="C1477" s="78"/>
      <c r="D1477" s="78"/>
      <c r="E1477" s="78"/>
      <c r="F1477" s="78"/>
      <c r="G1477" s="78"/>
      <c r="H1477" s="78"/>
      <c r="I1477" s="78"/>
      <c r="J1477" s="78"/>
      <c r="K1477" s="78"/>
      <c r="L1477" s="78"/>
      <c r="M1477" s="78"/>
      <c r="N1477" s="78"/>
      <c r="O1477" s="78"/>
      <c r="P1477" s="78"/>
      <c r="Q1477" s="78"/>
      <c r="R1477" s="78"/>
      <c r="S1477" s="78"/>
      <c r="T1477" s="78"/>
      <c r="U1477" s="78"/>
      <c r="V1477" s="78"/>
      <c r="W1477" s="78"/>
      <c r="X1477" s="78"/>
      <c r="Y1477" s="78"/>
      <c r="Z1477" s="78"/>
    </row>
    <row r="1478">
      <c r="A1478" s="78"/>
      <c r="B1478" s="78"/>
      <c r="C1478" s="78"/>
      <c r="D1478" s="78"/>
      <c r="E1478" s="78"/>
      <c r="F1478" s="78"/>
      <c r="G1478" s="78"/>
      <c r="H1478" s="78"/>
      <c r="I1478" s="78"/>
      <c r="J1478" s="78"/>
      <c r="K1478" s="78"/>
      <c r="L1478" s="78"/>
      <c r="M1478" s="78"/>
      <c r="N1478" s="78"/>
      <c r="O1478" s="78"/>
      <c r="P1478" s="78"/>
      <c r="Q1478" s="78"/>
      <c r="R1478" s="78"/>
      <c r="S1478" s="78"/>
      <c r="T1478" s="78"/>
      <c r="U1478" s="78"/>
      <c r="V1478" s="78"/>
      <c r="W1478" s="78"/>
      <c r="X1478" s="78"/>
      <c r="Y1478" s="78"/>
      <c r="Z1478" s="78"/>
    </row>
    <row r="1479">
      <c r="A1479" s="78"/>
      <c r="B1479" s="78"/>
      <c r="C1479" s="78"/>
      <c r="D1479" s="78"/>
      <c r="E1479" s="78"/>
      <c r="F1479" s="78"/>
      <c r="G1479" s="78"/>
      <c r="H1479" s="78"/>
      <c r="I1479" s="78"/>
      <c r="J1479" s="78"/>
      <c r="K1479" s="78"/>
      <c r="L1479" s="78"/>
      <c r="M1479" s="78"/>
      <c r="N1479" s="78"/>
      <c r="O1479" s="78"/>
      <c r="P1479" s="78"/>
      <c r="Q1479" s="78"/>
      <c r="R1479" s="78"/>
      <c r="S1479" s="78"/>
      <c r="T1479" s="78"/>
      <c r="U1479" s="78"/>
      <c r="V1479" s="78"/>
      <c r="W1479" s="78"/>
      <c r="X1479" s="78"/>
      <c r="Y1479" s="78"/>
      <c r="Z1479" s="78"/>
    </row>
    <row r="1480">
      <c r="A1480" s="78"/>
      <c r="B1480" s="78"/>
      <c r="C1480" s="78"/>
      <c r="D1480" s="78"/>
      <c r="E1480" s="78"/>
      <c r="F1480" s="78"/>
      <c r="G1480" s="78"/>
      <c r="H1480" s="78"/>
      <c r="I1480" s="78"/>
      <c r="J1480" s="78"/>
      <c r="K1480" s="78"/>
      <c r="L1480" s="78"/>
      <c r="M1480" s="78"/>
      <c r="N1480" s="78"/>
      <c r="O1480" s="78"/>
      <c r="P1480" s="78"/>
      <c r="Q1480" s="78"/>
      <c r="R1480" s="78"/>
      <c r="S1480" s="78"/>
      <c r="T1480" s="78"/>
      <c r="U1480" s="78"/>
      <c r="V1480" s="78"/>
      <c r="W1480" s="78"/>
      <c r="X1480" s="78"/>
      <c r="Y1480" s="78"/>
      <c r="Z1480" s="78"/>
    </row>
    <row r="1481">
      <c r="A1481" s="78"/>
      <c r="B1481" s="78"/>
      <c r="C1481" s="78"/>
      <c r="D1481" s="78"/>
      <c r="E1481" s="78"/>
      <c r="F1481" s="78"/>
      <c r="G1481" s="78"/>
      <c r="H1481" s="78"/>
      <c r="I1481" s="78"/>
      <c r="J1481" s="78"/>
      <c r="K1481" s="78"/>
      <c r="L1481" s="78"/>
      <c r="M1481" s="78"/>
      <c r="N1481" s="78"/>
      <c r="O1481" s="78"/>
      <c r="P1481" s="78"/>
      <c r="Q1481" s="78"/>
      <c r="R1481" s="78"/>
      <c r="S1481" s="78"/>
      <c r="T1481" s="78"/>
      <c r="U1481" s="78"/>
      <c r="V1481" s="78"/>
      <c r="W1481" s="78"/>
      <c r="X1481" s="78"/>
      <c r="Y1481" s="78"/>
      <c r="Z1481" s="78"/>
    </row>
    <row r="1482">
      <c r="A1482" s="78"/>
      <c r="B1482" s="78"/>
      <c r="C1482" s="78"/>
      <c r="D1482" s="78"/>
      <c r="E1482" s="78"/>
      <c r="F1482" s="78"/>
      <c r="G1482" s="78"/>
      <c r="H1482" s="78"/>
      <c r="I1482" s="78"/>
      <c r="J1482" s="78"/>
      <c r="K1482" s="78"/>
      <c r="L1482" s="78"/>
      <c r="M1482" s="78"/>
      <c r="N1482" s="78"/>
      <c r="O1482" s="78"/>
      <c r="P1482" s="78"/>
      <c r="Q1482" s="78"/>
      <c r="R1482" s="78"/>
      <c r="S1482" s="78"/>
      <c r="T1482" s="78"/>
      <c r="U1482" s="78"/>
      <c r="V1482" s="78"/>
      <c r="W1482" s="78"/>
      <c r="X1482" s="78"/>
      <c r="Y1482" s="78"/>
      <c r="Z1482" s="78"/>
    </row>
    <row r="1483">
      <c r="A1483" s="78"/>
      <c r="B1483" s="78"/>
      <c r="C1483" s="78"/>
      <c r="D1483" s="78"/>
      <c r="E1483" s="78"/>
      <c r="F1483" s="78"/>
      <c r="G1483" s="78"/>
      <c r="H1483" s="78"/>
      <c r="I1483" s="78"/>
      <c r="J1483" s="78"/>
      <c r="K1483" s="78"/>
      <c r="L1483" s="78"/>
      <c r="M1483" s="78"/>
      <c r="N1483" s="78"/>
      <c r="O1483" s="78"/>
      <c r="P1483" s="78"/>
      <c r="Q1483" s="78"/>
      <c r="R1483" s="78"/>
      <c r="S1483" s="78"/>
      <c r="T1483" s="78"/>
      <c r="U1483" s="78"/>
      <c r="V1483" s="78"/>
      <c r="W1483" s="78"/>
      <c r="X1483" s="78"/>
      <c r="Y1483" s="78"/>
      <c r="Z1483" s="78"/>
    </row>
    <row r="1484">
      <c r="A1484" s="78"/>
      <c r="B1484" s="78"/>
      <c r="C1484" s="78"/>
      <c r="D1484" s="78"/>
      <c r="E1484" s="78"/>
      <c r="F1484" s="78"/>
      <c r="G1484" s="78"/>
      <c r="H1484" s="78"/>
      <c r="I1484" s="78"/>
      <c r="J1484" s="78"/>
      <c r="K1484" s="78"/>
      <c r="L1484" s="78"/>
      <c r="M1484" s="78"/>
      <c r="N1484" s="78"/>
      <c r="O1484" s="78"/>
      <c r="P1484" s="78"/>
      <c r="Q1484" s="78"/>
      <c r="R1484" s="78"/>
      <c r="S1484" s="78"/>
      <c r="T1484" s="78"/>
      <c r="U1484" s="78"/>
      <c r="V1484" s="78"/>
      <c r="W1484" s="78"/>
      <c r="X1484" s="78"/>
      <c r="Y1484" s="78"/>
      <c r="Z1484" s="78"/>
    </row>
    <row r="1485">
      <c r="A1485" s="78"/>
      <c r="B1485" s="78"/>
      <c r="C1485" s="78"/>
      <c r="D1485" s="78"/>
      <c r="E1485" s="78"/>
      <c r="F1485" s="78"/>
      <c r="G1485" s="78"/>
      <c r="H1485" s="78"/>
      <c r="I1485" s="78"/>
      <c r="J1485" s="78"/>
      <c r="K1485" s="78"/>
      <c r="L1485" s="78"/>
      <c r="M1485" s="78"/>
      <c r="N1485" s="78"/>
      <c r="O1485" s="78"/>
      <c r="P1485" s="78"/>
      <c r="Q1485" s="78"/>
      <c r="R1485" s="78"/>
      <c r="S1485" s="78"/>
      <c r="T1485" s="78"/>
      <c r="U1485" s="78"/>
      <c r="V1485" s="78"/>
      <c r="W1485" s="78"/>
      <c r="X1485" s="78"/>
      <c r="Y1485" s="78"/>
      <c r="Z1485" s="78"/>
    </row>
    <row r="1486">
      <c r="A1486" s="78"/>
      <c r="B1486" s="78"/>
      <c r="C1486" s="78"/>
      <c r="D1486" s="78"/>
      <c r="E1486" s="78"/>
      <c r="F1486" s="78"/>
      <c r="G1486" s="78"/>
      <c r="H1486" s="78"/>
      <c r="I1486" s="78"/>
      <c r="J1486" s="78"/>
      <c r="K1486" s="78"/>
      <c r="L1486" s="78"/>
      <c r="M1486" s="78"/>
      <c r="N1486" s="78"/>
      <c r="O1486" s="78"/>
      <c r="P1486" s="78"/>
      <c r="Q1486" s="78"/>
      <c r="R1486" s="78"/>
      <c r="S1486" s="78"/>
      <c r="T1486" s="78"/>
      <c r="U1486" s="78"/>
      <c r="V1486" s="78"/>
      <c r="W1486" s="78"/>
      <c r="X1486" s="78"/>
      <c r="Y1486" s="78"/>
      <c r="Z1486" s="78"/>
    </row>
    <row r="1487">
      <c r="A1487" s="78"/>
      <c r="B1487" s="78"/>
      <c r="C1487" s="78"/>
      <c r="D1487" s="78"/>
      <c r="E1487" s="78"/>
      <c r="F1487" s="78"/>
      <c r="G1487" s="78"/>
      <c r="H1487" s="78"/>
      <c r="I1487" s="78"/>
      <c r="J1487" s="78"/>
      <c r="K1487" s="78"/>
      <c r="L1487" s="78"/>
      <c r="M1487" s="78"/>
      <c r="N1487" s="78"/>
      <c r="O1487" s="78"/>
      <c r="P1487" s="78"/>
      <c r="Q1487" s="78"/>
      <c r="R1487" s="78"/>
      <c r="S1487" s="78"/>
      <c r="T1487" s="78"/>
      <c r="U1487" s="78"/>
      <c r="V1487" s="78"/>
      <c r="W1487" s="78"/>
      <c r="X1487" s="78"/>
      <c r="Y1487" s="78"/>
      <c r="Z1487" s="78"/>
    </row>
    <row r="1488">
      <c r="A1488" s="78"/>
      <c r="B1488" s="78"/>
      <c r="C1488" s="78"/>
      <c r="D1488" s="78"/>
      <c r="E1488" s="78"/>
      <c r="F1488" s="78"/>
      <c r="G1488" s="78"/>
      <c r="H1488" s="78"/>
      <c r="I1488" s="78"/>
      <c r="J1488" s="78"/>
      <c r="K1488" s="78"/>
      <c r="L1488" s="78"/>
      <c r="M1488" s="78"/>
      <c r="N1488" s="78"/>
      <c r="O1488" s="78"/>
      <c r="P1488" s="78"/>
      <c r="Q1488" s="78"/>
      <c r="R1488" s="78"/>
      <c r="S1488" s="78"/>
      <c r="T1488" s="78"/>
      <c r="U1488" s="78"/>
      <c r="V1488" s="78"/>
      <c r="W1488" s="78"/>
      <c r="X1488" s="78"/>
      <c r="Y1488" s="78"/>
      <c r="Z1488" s="78"/>
    </row>
    <row r="1489">
      <c r="A1489" s="78"/>
      <c r="B1489" s="78"/>
      <c r="C1489" s="78"/>
      <c r="D1489" s="78"/>
      <c r="E1489" s="78"/>
      <c r="F1489" s="78"/>
      <c r="G1489" s="78"/>
      <c r="H1489" s="78"/>
      <c r="I1489" s="78"/>
      <c r="J1489" s="78"/>
      <c r="K1489" s="78"/>
      <c r="L1489" s="78"/>
      <c r="M1489" s="78"/>
      <c r="N1489" s="78"/>
      <c r="O1489" s="78"/>
      <c r="P1489" s="78"/>
      <c r="Q1489" s="78"/>
      <c r="R1489" s="78"/>
      <c r="S1489" s="78"/>
      <c r="T1489" s="78"/>
      <c r="U1489" s="78"/>
      <c r="V1489" s="78"/>
      <c r="W1489" s="78"/>
      <c r="X1489" s="78"/>
      <c r="Y1489" s="78"/>
      <c r="Z1489" s="78"/>
    </row>
    <row r="1490">
      <c r="A1490" s="78"/>
      <c r="B1490" s="78"/>
      <c r="C1490" s="78"/>
      <c r="D1490" s="78"/>
      <c r="E1490" s="78"/>
      <c r="F1490" s="78"/>
      <c r="G1490" s="78"/>
      <c r="H1490" s="78"/>
      <c r="I1490" s="78"/>
      <c r="J1490" s="78"/>
      <c r="K1490" s="78"/>
      <c r="L1490" s="78"/>
      <c r="M1490" s="78"/>
      <c r="N1490" s="78"/>
      <c r="O1490" s="78"/>
      <c r="P1490" s="78"/>
      <c r="Q1490" s="78"/>
      <c r="R1490" s="78"/>
      <c r="S1490" s="78"/>
      <c r="T1490" s="78"/>
      <c r="U1490" s="78"/>
      <c r="V1490" s="78"/>
      <c r="W1490" s="78"/>
      <c r="X1490" s="78"/>
      <c r="Y1490" s="78"/>
      <c r="Z1490" s="78"/>
    </row>
    <row r="1491">
      <c r="A1491" s="78"/>
      <c r="B1491" s="78"/>
      <c r="C1491" s="78"/>
      <c r="D1491" s="78"/>
      <c r="E1491" s="78"/>
      <c r="F1491" s="78"/>
      <c r="G1491" s="78"/>
      <c r="H1491" s="78"/>
      <c r="I1491" s="78"/>
      <c r="J1491" s="78"/>
      <c r="K1491" s="78"/>
      <c r="L1491" s="78"/>
      <c r="M1491" s="78"/>
      <c r="N1491" s="78"/>
      <c r="O1491" s="78"/>
      <c r="P1491" s="78"/>
      <c r="Q1491" s="78"/>
      <c r="R1491" s="78"/>
      <c r="S1491" s="78"/>
      <c r="T1491" s="78"/>
      <c r="U1491" s="78"/>
      <c r="V1491" s="78"/>
      <c r="W1491" s="78"/>
      <c r="X1491" s="78"/>
      <c r="Y1491" s="78"/>
      <c r="Z1491" s="78"/>
    </row>
    <row r="1492">
      <c r="A1492" s="78"/>
      <c r="B1492" s="78"/>
      <c r="C1492" s="78"/>
      <c r="D1492" s="78"/>
      <c r="E1492" s="78"/>
      <c r="F1492" s="78"/>
      <c r="G1492" s="78"/>
      <c r="H1492" s="78"/>
      <c r="I1492" s="78"/>
      <c r="J1492" s="78"/>
      <c r="K1492" s="78"/>
      <c r="L1492" s="78"/>
      <c r="M1492" s="78"/>
      <c r="N1492" s="78"/>
      <c r="O1492" s="78"/>
      <c r="P1492" s="78"/>
      <c r="Q1492" s="78"/>
      <c r="R1492" s="78"/>
      <c r="S1492" s="78"/>
      <c r="T1492" s="78"/>
      <c r="U1492" s="78"/>
      <c r="V1492" s="78"/>
      <c r="W1492" s="78"/>
      <c r="X1492" s="78"/>
      <c r="Y1492" s="78"/>
      <c r="Z1492" s="78"/>
    </row>
    <row r="1493">
      <c r="A1493" s="78"/>
      <c r="B1493" s="78"/>
      <c r="C1493" s="78"/>
      <c r="D1493" s="78"/>
      <c r="E1493" s="78"/>
      <c r="F1493" s="78"/>
      <c r="G1493" s="78"/>
      <c r="H1493" s="78"/>
      <c r="I1493" s="78"/>
      <c r="J1493" s="78"/>
      <c r="K1493" s="78"/>
      <c r="L1493" s="78"/>
      <c r="M1493" s="78"/>
      <c r="N1493" s="78"/>
      <c r="O1493" s="78"/>
      <c r="P1493" s="78"/>
      <c r="Q1493" s="78"/>
      <c r="R1493" s="78"/>
      <c r="S1493" s="78"/>
      <c r="T1493" s="78"/>
      <c r="U1493" s="78"/>
      <c r="V1493" s="78"/>
      <c r="W1493" s="78"/>
      <c r="X1493" s="78"/>
      <c r="Y1493" s="78"/>
      <c r="Z1493" s="78"/>
    </row>
    <row r="1494">
      <c r="A1494" s="78"/>
      <c r="B1494" s="78"/>
      <c r="C1494" s="78"/>
      <c r="D1494" s="78"/>
      <c r="E1494" s="78"/>
      <c r="F1494" s="78"/>
      <c r="G1494" s="78"/>
      <c r="H1494" s="78"/>
      <c r="I1494" s="78"/>
      <c r="J1494" s="78"/>
      <c r="K1494" s="78"/>
      <c r="L1494" s="78"/>
      <c r="M1494" s="78"/>
      <c r="N1494" s="78"/>
      <c r="O1494" s="78"/>
      <c r="P1494" s="78"/>
      <c r="Q1494" s="78"/>
      <c r="R1494" s="78"/>
      <c r="S1494" s="78"/>
      <c r="T1494" s="78"/>
      <c r="U1494" s="78"/>
      <c r="V1494" s="78"/>
      <c r="W1494" s="78"/>
      <c r="X1494" s="78"/>
      <c r="Y1494" s="78"/>
      <c r="Z1494" s="78"/>
    </row>
    <row r="1495">
      <c r="A1495" s="78"/>
      <c r="B1495" s="78"/>
      <c r="C1495" s="78"/>
      <c r="D1495" s="78"/>
      <c r="E1495" s="78"/>
      <c r="F1495" s="78"/>
      <c r="G1495" s="78"/>
      <c r="H1495" s="78"/>
      <c r="I1495" s="78"/>
      <c r="J1495" s="78"/>
      <c r="K1495" s="78"/>
      <c r="L1495" s="78"/>
      <c r="M1495" s="78"/>
      <c r="N1495" s="78"/>
      <c r="O1495" s="78"/>
      <c r="P1495" s="78"/>
      <c r="Q1495" s="78"/>
      <c r="R1495" s="78"/>
      <c r="S1495" s="78"/>
      <c r="T1495" s="78"/>
      <c r="U1495" s="78"/>
      <c r="V1495" s="78"/>
      <c r="W1495" s="78"/>
      <c r="X1495" s="78"/>
      <c r="Y1495" s="78"/>
      <c r="Z1495" s="78"/>
    </row>
    <row r="1496">
      <c r="A1496" s="78"/>
      <c r="B1496" s="78"/>
      <c r="C1496" s="78"/>
      <c r="D1496" s="78"/>
      <c r="E1496" s="78"/>
      <c r="F1496" s="78"/>
      <c r="G1496" s="78"/>
      <c r="H1496" s="78"/>
      <c r="I1496" s="78"/>
      <c r="J1496" s="78"/>
      <c r="K1496" s="78"/>
      <c r="L1496" s="78"/>
      <c r="M1496" s="78"/>
      <c r="N1496" s="78"/>
      <c r="O1496" s="78"/>
      <c r="P1496" s="78"/>
      <c r="Q1496" s="78"/>
      <c r="R1496" s="78"/>
      <c r="S1496" s="78"/>
      <c r="T1496" s="78"/>
      <c r="U1496" s="78"/>
      <c r="V1496" s="78"/>
      <c r="W1496" s="78"/>
      <c r="X1496" s="78"/>
      <c r="Y1496" s="78"/>
      <c r="Z1496" s="78"/>
    </row>
    <row r="1497">
      <c r="A1497" s="78"/>
      <c r="B1497" s="78"/>
      <c r="C1497" s="78"/>
      <c r="D1497" s="78"/>
      <c r="E1497" s="78"/>
      <c r="F1497" s="78"/>
      <c r="G1497" s="78"/>
      <c r="H1497" s="78"/>
      <c r="I1497" s="78"/>
      <c r="J1497" s="78"/>
      <c r="K1497" s="78"/>
      <c r="L1497" s="78"/>
      <c r="M1497" s="78"/>
      <c r="N1497" s="78"/>
      <c r="O1497" s="78"/>
      <c r="P1497" s="78"/>
      <c r="Q1497" s="78"/>
      <c r="R1497" s="78"/>
      <c r="S1497" s="78"/>
      <c r="T1497" s="78"/>
      <c r="U1497" s="78"/>
      <c r="V1497" s="78"/>
      <c r="W1497" s="78"/>
      <c r="X1497" s="78"/>
      <c r="Y1497" s="78"/>
      <c r="Z1497" s="78"/>
    </row>
    <row r="1498">
      <c r="A1498" s="78"/>
      <c r="B1498" s="78"/>
      <c r="C1498" s="78"/>
      <c r="D1498" s="78"/>
      <c r="E1498" s="78"/>
      <c r="F1498" s="78"/>
      <c r="G1498" s="78"/>
      <c r="H1498" s="78"/>
      <c r="I1498" s="78"/>
      <c r="J1498" s="78"/>
      <c r="K1498" s="78"/>
      <c r="L1498" s="78"/>
      <c r="M1498" s="78"/>
      <c r="N1498" s="78"/>
      <c r="O1498" s="78"/>
      <c r="P1498" s="78"/>
      <c r="Q1498" s="78"/>
      <c r="R1498" s="78"/>
      <c r="S1498" s="78"/>
      <c r="T1498" s="78"/>
      <c r="U1498" s="78"/>
      <c r="V1498" s="78"/>
      <c r="W1498" s="78"/>
      <c r="X1498" s="78"/>
      <c r="Y1498" s="78"/>
      <c r="Z1498" s="78"/>
    </row>
    <row r="1499">
      <c r="A1499" s="78"/>
      <c r="B1499" s="78"/>
      <c r="C1499" s="78"/>
      <c r="D1499" s="78"/>
      <c r="E1499" s="78"/>
      <c r="F1499" s="78"/>
      <c r="G1499" s="78"/>
      <c r="H1499" s="78"/>
      <c r="I1499" s="78"/>
      <c r="J1499" s="78"/>
      <c r="K1499" s="78"/>
      <c r="L1499" s="78"/>
      <c r="M1499" s="78"/>
      <c r="N1499" s="78"/>
      <c r="O1499" s="78"/>
      <c r="P1499" s="78"/>
      <c r="Q1499" s="78"/>
      <c r="R1499" s="78"/>
      <c r="S1499" s="78"/>
      <c r="T1499" s="78"/>
      <c r="U1499" s="78"/>
      <c r="V1499" s="78"/>
      <c r="W1499" s="78"/>
      <c r="X1499" s="78"/>
      <c r="Y1499" s="78"/>
      <c r="Z1499" s="78"/>
    </row>
    <row r="1500">
      <c r="A1500" s="78"/>
      <c r="B1500" s="78"/>
      <c r="C1500" s="78"/>
      <c r="D1500" s="78"/>
      <c r="E1500" s="78"/>
      <c r="F1500" s="78"/>
      <c r="G1500" s="78"/>
      <c r="H1500" s="78"/>
      <c r="I1500" s="78"/>
      <c r="J1500" s="78"/>
      <c r="K1500" s="78"/>
      <c r="L1500" s="78"/>
      <c r="M1500" s="78"/>
      <c r="N1500" s="78"/>
      <c r="O1500" s="78"/>
      <c r="P1500" s="78"/>
      <c r="Q1500" s="78"/>
      <c r="R1500" s="78"/>
      <c r="S1500" s="78"/>
      <c r="T1500" s="78"/>
      <c r="U1500" s="78"/>
      <c r="V1500" s="78"/>
      <c r="W1500" s="78"/>
      <c r="X1500" s="78"/>
      <c r="Y1500" s="78"/>
      <c r="Z1500" s="78"/>
    </row>
    <row r="1501">
      <c r="A1501" s="78"/>
      <c r="B1501" s="78"/>
      <c r="C1501" s="78"/>
      <c r="D1501" s="78"/>
      <c r="E1501" s="78"/>
      <c r="F1501" s="78"/>
      <c r="G1501" s="78"/>
      <c r="H1501" s="78"/>
      <c r="I1501" s="78"/>
      <c r="J1501" s="78"/>
      <c r="K1501" s="78"/>
      <c r="L1501" s="78"/>
      <c r="M1501" s="78"/>
      <c r="N1501" s="78"/>
      <c r="O1501" s="78"/>
      <c r="P1501" s="78"/>
      <c r="Q1501" s="78"/>
      <c r="R1501" s="78"/>
      <c r="S1501" s="78"/>
      <c r="T1501" s="78"/>
      <c r="U1501" s="78"/>
      <c r="V1501" s="78"/>
      <c r="W1501" s="78"/>
      <c r="X1501" s="78"/>
      <c r="Y1501" s="78"/>
      <c r="Z1501" s="78"/>
    </row>
    <row r="1502">
      <c r="A1502" s="78"/>
      <c r="B1502" s="78"/>
      <c r="C1502" s="78"/>
      <c r="D1502" s="78"/>
      <c r="E1502" s="78"/>
      <c r="F1502" s="78"/>
      <c r="G1502" s="78"/>
      <c r="H1502" s="78"/>
      <c r="I1502" s="78"/>
      <c r="J1502" s="78"/>
      <c r="K1502" s="78"/>
      <c r="L1502" s="78"/>
      <c r="M1502" s="78"/>
      <c r="N1502" s="78"/>
      <c r="O1502" s="78"/>
      <c r="P1502" s="78"/>
      <c r="Q1502" s="78"/>
      <c r="R1502" s="78"/>
      <c r="S1502" s="78"/>
      <c r="T1502" s="78"/>
      <c r="U1502" s="78"/>
      <c r="V1502" s="78"/>
      <c r="W1502" s="78"/>
      <c r="X1502" s="78"/>
      <c r="Y1502" s="78"/>
      <c r="Z1502" s="78"/>
    </row>
    <row r="1503">
      <c r="A1503" s="78"/>
      <c r="B1503" s="78"/>
      <c r="C1503" s="78"/>
      <c r="D1503" s="78"/>
      <c r="E1503" s="78"/>
      <c r="F1503" s="78"/>
      <c r="G1503" s="78"/>
      <c r="H1503" s="78"/>
      <c r="I1503" s="78"/>
      <c r="J1503" s="78"/>
      <c r="K1503" s="78"/>
      <c r="L1503" s="78"/>
      <c r="M1503" s="78"/>
      <c r="N1503" s="78"/>
      <c r="O1503" s="78"/>
      <c r="P1503" s="78"/>
      <c r="Q1503" s="78"/>
      <c r="R1503" s="78"/>
      <c r="S1503" s="78"/>
      <c r="T1503" s="78"/>
      <c r="U1503" s="78"/>
      <c r="V1503" s="78"/>
      <c r="W1503" s="78"/>
      <c r="X1503" s="78"/>
      <c r="Y1503" s="78"/>
      <c r="Z1503" s="78"/>
    </row>
    <row r="1504">
      <c r="A1504" s="78"/>
      <c r="B1504" s="78"/>
      <c r="C1504" s="78"/>
      <c r="D1504" s="78"/>
      <c r="E1504" s="78"/>
      <c r="F1504" s="78"/>
      <c r="G1504" s="78"/>
      <c r="H1504" s="78"/>
      <c r="I1504" s="78"/>
      <c r="J1504" s="78"/>
      <c r="K1504" s="78"/>
      <c r="L1504" s="78"/>
      <c r="M1504" s="78"/>
      <c r="N1504" s="78"/>
      <c r="O1504" s="78"/>
      <c r="P1504" s="78"/>
      <c r="Q1504" s="78"/>
      <c r="R1504" s="78"/>
      <c r="S1504" s="78"/>
      <c r="T1504" s="78"/>
      <c r="U1504" s="78"/>
      <c r="V1504" s="78"/>
      <c r="W1504" s="78"/>
      <c r="X1504" s="78"/>
      <c r="Y1504" s="78"/>
      <c r="Z1504" s="78"/>
    </row>
    <row r="1505">
      <c r="A1505" s="78"/>
      <c r="B1505" s="78"/>
      <c r="C1505" s="78"/>
      <c r="D1505" s="78"/>
      <c r="E1505" s="78"/>
      <c r="F1505" s="78"/>
      <c r="G1505" s="78"/>
      <c r="H1505" s="78"/>
      <c r="I1505" s="78"/>
      <c r="J1505" s="78"/>
      <c r="K1505" s="78"/>
      <c r="L1505" s="78"/>
      <c r="M1505" s="78"/>
      <c r="N1505" s="78"/>
      <c r="O1505" s="78"/>
      <c r="P1505" s="78"/>
      <c r="Q1505" s="78"/>
      <c r="R1505" s="78"/>
      <c r="S1505" s="78"/>
      <c r="T1505" s="78"/>
      <c r="U1505" s="78"/>
      <c r="V1505" s="78"/>
      <c r="W1505" s="78"/>
      <c r="X1505" s="78"/>
      <c r="Y1505" s="78"/>
      <c r="Z1505" s="78"/>
    </row>
    <row r="1506">
      <c r="A1506" s="78"/>
      <c r="B1506" s="78"/>
      <c r="C1506" s="78"/>
      <c r="D1506" s="78"/>
      <c r="E1506" s="78"/>
      <c r="F1506" s="78"/>
      <c r="G1506" s="78"/>
      <c r="H1506" s="78"/>
      <c r="I1506" s="78"/>
      <c r="J1506" s="78"/>
      <c r="K1506" s="78"/>
      <c r="L1506" s="78"/>
      <c r="M1506" s="78"/>
      <c r="N1506" s="78"/>
      <c r="O1506" s="78"/>
      <c r="P1506" s="78"/>
      <c r="Q1506" s="78"/>
      <c r="R1506" s="78"/>
      <c r="S1506" s="78"/>
      <c r="T1506" s="78"/>
      <c r="U1506" s="78"/>
      <c r="V1506" s="78"/>
      <c r="W1506" s="78"/>
      <c r="X1506" s="78"/>
      <c r="Y1506" s="78"/>
      <c r="Z1506" s="78"/>
    </row>
    <row r="1507">
      <c r="A1507" s="78"/>
      <c r="B1507" s="78"/>
      <c r="C1507" s="78"/>
      <c r="D1507" s="78"/>
      <c r="E1507" s="78"/>
      <c r="F1507" s="78"/>
      <c r="G1507" s="78"/>
      <c r="H1507" s="78"/>
      <c r="I1507" s="78"/>
      <c r="J1507" s="78"/>
      <c r="K1507" s="78"/>
      <c r="L1507" s="78"/>
      <c r="M1507" s="78"/>
      <c r="N1507" s="78"/>
      <c r="O1507" s="78"/>
      <c r="P1507" s="78"/>
      <c r="Q1507" s="78"/>
      <c r="R1507" s="78"/>
      <c r="S1507" s="78"/>
      <c r="T1507" s="78"/>
      <c r="U1507" s="78"/>
      <c r="V1507" s="78"/>
      <c r="W1507" s="78"/>
      <c r="X1507" s="78"/>
      <c r="Y1507" s="78"/>
      <c r="Z1507" s="78"/>
    </row>
    <row r="1508">
      <c r="A1508" s="78"/>
      <c r="B1508" s="78"/>
      <c r="C1508" s="78"/>
      <c r="D1508" s="78"/>
      <c r="E1508" s="78"/>
      <c r="F1508" s="78"/>
      <c r="G1508" s="78"/>
      <c r="H1508" s="78"/>
      <c r="I1508" s="78"/>
      <c r="J1508" s="78"/>
      <c r="K1508" s="78"/>
      <c r="L1508" s="78"/>
      <c r="M1508" s="78"/>
      <c r="N1508" s="78"/>
      <c r="O1508" s="78"/>
      <c r="P1508" s="78"/>
      <c r="Q1508" s="78"/>
      <c r="R1508" s="78"/>
      <c r="S1508" s="78"/>
      <c r="T1508" s="78"/>
      <c r="U1508" s="78"/>
      <c r="V1508" s="78"/>
      <c r="W1508" s="78"/>
      <c r="X1508" s="78"/>
      <c r="Y1508" s="78"/>
      <c r="Z1508" s="78"/>
    </row>
    <row r="1509">
      <c r="A1509" s="78"/>
      <c r="B1509" s="78"/>
      <c r="C1509" s="78"/>
      <c r="D1509" s="78"/>
      <c r="E1509" s="78"/>
      <c r="F1509" s="78"/>
      <c r="G1509" s="78"/>
      <c r="H1509" s="78"/>
      <c r="I1509" s="78"/>
      <c r="J1509" s="78"/>
      <c r="K1509" s="78"/>
      <c r="L1509" s="78"/>
      <c r="M1509" s="78"/>
      <c r="N1509" s="78"/>
      <c r="O1509" s="78"/>
      <c r="P1509" s="78"/>
      <c r="Q1509" s="78"/>
      <c r="R1509" s="78"/>
      <c r="S1509" s="78"/>
      <c r="T1509" s="78"/>
      <c r="U1509" s="78"/>
      <c r="V1509" s="78"/>
      <c r="W1509" s="78"/>
      <c r="X1509" s="78"/>
      <c r="Y1509" s="78"/>
      <c r="Z1509" s="78"/>
    </row>
    <row r="1510">
      <c r="A1510" s="78"/>
      <c r="B1510" s="78"/>
      <c r="C1510" s="78"/>
      <c r="D1510" s="78"/>
      <c r="E1510" s="78"/>
      <c r="F1510" s="78"/>
      <c r="G1510" s="78"/>
      <c r="H1510" s="78"/>
      <c r="I1510" s="78"/>
      <c r="J1510" s="78"/>
      <c r="K1510" s="78"/>
      <c r="L1510" s="78"/>
      <c r="M1510" s="78"/>
      <c r="N1510" s="78"/>
      <c r="O1510" s="78"/>
      <c r="P1510" s="78"/>
      <c r="Q1510" s="78"/>
      <c r="R1510" s="78"/>
      <c r="S1510" s="78"/>
      <c r="T1510" s="78"/>
      <c r="U1510" s="78"/>
      <c r="V1510" s="78"/>
      <c r="W1510" s="78"/>
      <c r="X1510" s="78"/>
      <c r="Y1510" s="78"/>
      <c r="Z1510" s="78"/>
    </row>
    <row r="1511">
      <c r="A1511" s="78"/>
      <c r="B1511" s="78"/>
      <c r="C1511" s="78"/>
      <c r="D1511" s="78"/>
      <c r="E1511" s="78"/>
      <c r="F1511" s="78"/>
      <c r="G1511" s="78"/>
      <c r="H1511" s="78"/>
      <c r="I1511" s="78"/>
      <c r="J1511" s="78"/>
      <c r="K1511" s="78"/>
      <c r="L1511" s="78"/>
      <c r="M1511" s="78"/>
      <c r="N1511" s="78"/>
      <c r="O1511" s="78"/>
      <c r="P1511" s="78"/>
      <c r="Q1511" s="78"/>
      <c r="R1511" s="78"/>
      <c r="S1511" s="78"/>
      <c r="T1511" s="78"/>
      <c r="U1511" s="78"/>
      <c r="V1511" s="78"/>
      <c r="W1511" s="78"/>
      <c r="X1511" s="78"/>
      <c r="Y1511" s="78"/>
      <c r="Z1511" s="78"/>
    </row>
    <row r="1512">
      <c r="A1512" s="78"/>
      <c r="B1512" s="78"/>
      <c r="C1512" s="78"/>
      <c r="D1512" s="78"/>
      <c r="E1512" s="78"/>
      <c r="F1512" s="78"/>
      <c r="G1512" s="78"/>
      <c r="H1512" s="78"/>
      <c r="I1512" s="78"/>
      <c r="J1512" s="78"/>
      <c r="K1512" s="78"/>
      <c r="L1512" s="78"/>
      <c r="M1512" s="78"/>
      <c r="N1512" s="78"/>
      <c r="O1512" s="78"/>
      <c r="P1512" s="78"/>
      <c r="Q1512" s="78"/>
      <c r="R1512" s="78"/>
      <c r="S1512" s="78"/>
      <c r="T1512" s="78"/>
      <c r="U1512" s="78"/>
      <c r="V1512" s="78"/>
      <c r="W1512" s="78"/>
      <c r="X1512" s="78"/>
      <c r="Y1512" s="78"/>
      <c r="Z1512" s="78"/>
    </row>
    <row r="1513">
      <c r="A1513" s="78"/>
      <c r="B1513" s="78"/>
      <c r="C1513" s="78"/>
      <c r="D1513" s="78"/>
      <c r="E1513" s="78"/>
      <c r="F1513" s="78"/>
      <c r="G1513" s="78"/>
      <c r="H1513" s="78"/>
      <c r="I1513" s="78"/>
      <c r="J1513" s="78"/>
      <c r="K1513" s="78"/>
      <c r="L1513" s="78"/>
      <c r="M1513" s="78"/>
      <c r="N1513" s="78"/>
      <c r="O1513" s="78"/>
      <c r="P1513" s="78"/>
      <c r="Q1513" s="78"/>
      <c r="R1513" s="78"/>
      <c r="S1513" s="78"/>
      <c r="T1513" s="78"/>
      <c r="U1513" s="78"/>
      <c r="V1513" s="78"/>
      <c r="W1513" s="78"/>
      <c r="X1513" s="78"/>
      <c r="Y1513" s="78"/>
      <c r="Z1513" s="78"/>
    </row>
    <row r="1514">
      <c r="A1514" s="78"/>
      <c r="B1514" s="78"/>
      <c r="C1514" s="78"/>
      <c r="D1514" s="78"/>
      <c r="E1514" s="78"/>
      <c r="F1514" s="78"/>
      <c r="G1514" s="78"/>
      <c r="H1514" s="78"/>
      <c r="I1514" s="78"/>
      <c r="J1514" s="78"/>
      <c r="K1514" s="78"/>
      <c r="L1514" s="78"/>
      <c r="M1514" s="78"/>
      <c r="N1514" s="78"/>
      <c r="O1514" s="78"/>
      <c r="P1514" s="78"/>
      <c r="Q1514" s="78"/>
      <c r="R1514" s="78"/>
      <c r="S1514" s="78"/>
      <c r="T1514" s="78"/>
      <c r="U1514" s="78"/>
      <c r="V1514" s="78"/>
      <c r="W1514" s="78"/>
      <c r="X1514" s="78"/>
      <c r="Y1514" s="78"/>
      <c r="Z1514" s="78"/>
    </row>
    <row r="1515">
      <c r="A1515" s="78"/>
      <c r="B1515" s="78"/>
      <c r="C1515" s="78"/>
      <c r="D1515" s="78"/>
      <c r="E1515" s="78"/>
      <c r="F1515" s="78"/>
      <c r="G1515" s="78"/>
      <c r="H1515" s="78"/>
      <c r="I1515" s="78"/>
      <c r="J1515" s="78"/>
      <c r="K1515" s="78"/>
      <c r="L1515" s="78"/>
      <c r="M1515" s="78"/>
      <c r="N1515" s="78"/>
      <c r="O1515" s="78"/>
      <c r="P1515" s="78"/>
      <c r="Q1515" s="78"/>
      <c r="R1515" s="78"/>
      <c r="S1515" s="78"/>
      <c r="T1515" s="78"/>
      <c r="U1515" s="78"/>
      <c r="V1515" s="78"/>
      <c r="W1515" s="78"/>
      <c r="X1515" s="78"/>
      <c r="Y1515" s="78"/>
      <c r="Z1515" s="78"/>
    </row>
    <row r="1516">
      <c r="A1516" s="78"/>
      <c r="B1516" s="78"/>
      <c r="C1516" s="78"/>
      <c r="D1516" s="78"/>
      <c r="E1516" s="78"/>
      <c r="F1516" s="78"/>
      <c r="G1516" s="78"/>
      <c r="H1516" s="78"/>
      <c r="I1516" s="78"/>
      <c r="J1516" s="78"/>
      <c r="K1516" s="78"/>
      <c r="L1516" s="78"/>
      <c r="M1516" s="78"/>
      <c r="N1516" s="78"/>
      <c r="O1516" s="78"/>
      <c r="P1516" s="78"/>
      <c r="Q1516" s="78"/>
      <c r="R1516" s="78"/>
      <c r="S1516" s="78"/>
      <c r="T1516" s="78"/>
      <c r="U1516" s="78"/>
      <c r="V1516" s="78"/>
      <c r="W1516" s="78"/>
      <c r="X1516" s="78"/>
      <c r="Y1516" s="78"/>
      <c r="Z1516" s="78"/>
    </row>
    <row r="1517">
      <c r="A1517" s="78"/>
      <c r="B1517" s="78"/>
      <c r="C1517" s="78"/>
      <c r="D1517" s="78"/>
      <c r="E1517" s="78"/>
      <c r="F1517" s="78"/>
      <c r="G1517" s="78"/>
      <c r="H1517" s="78"/>
      <c r="I1517" s="78"/>
      <c r="J1517" s="78"/>
      <c r="K1517" s="78"/>
      <c r="L1517" s="78"/>
      <c r="M1517" s="78"/>
      <c r="N1517" s="78"/>
      <c r="O1517" s="78"/>
      <c r="P1517" s="78"/>
      <c r="Q1517" s="78"/>
      <c r="R1517" s="78"/>
      <c r="S1517" s="78"/>
      <c r="T1517" s="78"/>
      <c r="U1517" s="78"/>
      <c r="V1517" s="78"/>
      <c r="W1517" s="78"/>
      <c r="X1517" s="78"/>
      <c r="Y1517" s="78"/>
      <c r="Z1517" s="78"/>
    </row>
    <row r="1518">
      <c r="A1518" s="78"/>
      <c r="B1518" s="78"/>
      <c r="C1518" s="78"/>
      <c r="D1518" s="78"/>
      <c r="E1518" s="78"/>
      <c r="F1518" s="78"/>
      <c r="G1518" s="78"/>
      <c r="H1518" s="78"/>
      <c r="I1518" s="78"/>
      <c r="J1518" s="78"/>
      <c r="K1518" s="78"/>
      <c r="L1518" s="78"/>
      <c r="M1518" s="78"/>
      <c r="N1518" s="78"/>
      <c r="O1518" s="78"/>
      <c r="P1518" s="78"/>
      <c r="Q1518" s="78"/>
      <c r="R1518" s="78"/>
      <c r="S1518" s="78"/>
      <c r="T1518" s="78"/>
      <c r="U1518" s="78"/>
      <c r="V1518" s="78"/>
      <c r="W1518" s="78"/>
      <c r="X1518" s="78"/>
      <c r="Y1518" s="78"/>
      <c r="Z1518" s="78"/>
    </row>
    <row r="1519">
      <c r="A1519" s="78"/>
      <c r="B1519" s="78"/>
      <c r="C1519" s="78"/>
      <c r="D1519" s="78"/>
      <c r="E1519" s="78"/>
      <c r="F1519" s="78"/>
      <c r="G1519" s="78"/>
      <c r="H1519" s="78"/>
      <c r="I1519" s="78"/>
      <c r="J1519" s="78"/>
      <c r="K1519" s="78"/>
      <c r="L1519" s="78"/>
      <c r="M1519" s="78"/>
      <c r="N1519" s="78"/>
      <c r="O1519" s="78"/>
      <c r="P1519" s="78"/>
      <c r="Q1519" s="78"/>
      <c r="R1519" s="78"/>
      <c r="S1519" s="78"/>
      <c r="T1519" s="78"/>
      <c r="U1519" s="78"/>
      <c r="V1519" s="78"/>
      <c r="W1519" s="78"/>
      <c r="X1519" s="78"/>
      <c r="Y1519" s="78"/>
      <c r="Z1519" s="78"/>
    </row>
    <row r="1520">
      <c r="A1520" s="78"/>
      <c r="B1520" s="78"/>
      <c r="C1520" s="78"/>
      <c r="D1520" s="78"/>
      <c r="E1520" s="78"/>
      <c r="F1520" s="78"/>
      <c r="G1520" s="78"/>
      <c r="H1520" s="78"/>
      <c r="I1520" s="78"/>
      <c r="J1520" s="78"/>
      <c r="K1520" s="78"/>
      <c r="L1520" s="78"/>
      <c r="M1520" s="78"/>
      <c r="N1520" s="78"/>
      <c r="O1520" s="78"/>
      <c r="P1520" s="78"/>
      <c r="Q1520" s="78"/>
      <c r="R1520" s="78"/>
      <c r="S1520" s="78"/>
      <c r="T1520" s="78"/>
      <c r="U1520" s="78"/>
      <c r="V1520" s="78"/>
      <c r="W1520" s="78"/>
      <c r="X1520" s="78"/>
      <c r="Y1520" s="78"/>
      <c r="Z1520" s="78"/>
    </row>
    <row r="1521">
      <c r="A1521" s="78"/>
      <c r="B1521" s="78"/>
      <c r="C1521" s="78"/>
      <c r="D1521" s="78"/>
      <c r="E1521" s="78"/>
      <c r="F1521" s="78"/>
      <c r="G1521" s="78"/>
      <c r="H1521" s="78"/>
      <c r="I1521" s="78"/>
      <c r="J1521" s="78"/>
      <c r="K1521" s="78"/>
      <c r="L1521" s="78"/>
      <c r="M1521" s="78"/>
      <c r="N1521" s="78"/>
      <c r="O1521" s="78"/>
      <c r="P1521" s="78"/>
      <c r="Q1521" s="78"/>
      <c r="R1521" s="78"/>
      <c r="S1521" s="78"/>
      <c r="T1521" s="78"/>
      <c r="U1521" s="78"/>
      <c r="V1521" s="78"/>
      <c r="W1521" s="78"/>
      <c r="X1521" s="78"/>
      <c r="Y1521" s="78"/>
      <c r="Z1521" s="78"/>
    </row>
    <row r="1522">
      <c r="A1522" s="78"/>
      <c r="B1522" s="78"/>
      <c r="C1522" s="78"/>
      <c r="D1522" s="78"/>
      <c r="E1522" s="78"/>
      <c r="F1522" s="78"/>
      <c r="G1522" s="78"/>
      <c r="H1522" s="78"/>
      <c r="I1522" s="78"/>
      <c r="J1522" s="78"/>
      <c r="K1522" s="78"/>
      <c r="L1522" s="78"/>
      <c r="M1522" s="78"/>
      <c r="N1522" s="78"/>
      <c r="O1522" s="78"/>
      <c r="P1522" s="78"/>
      <c r="Q1522" s="78"/>
      <c r="R1522" s="78"/>
      <c r="S1522" s="78"/>
      <c r="T1522" s="78"/>
      <c r="U1522" s="78"/>
      <c r="V1522" s="78"/>
      <c r="W1522" s="78"/>
      <c r="X1522" s="78"/>
      <c r="Y1522" s="78"/>
      <c r="Z1522" s="78"/>
    </row>
    <row r="1523">
      <c r="A1523" s="78"/>
      <c r="B1523" s="78"/>
      <c r="C1523" s="78"/>
      <c r="D1523" s="78"/>
      <c r="E1523" s="78"/>
      <c r="F1523" s="78"/>
      <c r="G1523" s="78"/>
      <c r="H1523" s="78"/>
      <c r="I1523" s="78"/>
      <c r="J1523" s="78"/>
      <c r="K1523" s="78"/>
      <c r="L1523" s="78"/>
      <c r="M1523" s="78"/>
      <c r="N1523" s="78"/>
      <c r="O1523" s="78"/>
      <c r="P1523" s="78"/>
      <c r="Q1523" s="78"/>
      <c r="R1523" s="78"/>
      <c r="S1523" s="78"/>
      <c r="T1523" s="78"/>
      <c r="U1523" s="78"/>
      <c r="V1523" s="78"/>
      <c r="W1523" s="78"/>
      <c r="X1523" s="78"/>
      <c r="Y1523" s="78"/>
      <c r="Z1523" s="78"/>
    </row>
    <row r="1524">
      <c r="A1524" s="78"/>
      <c r="B1524" s="78"/>
      <c r="C1524" s="78"/>
      <c r="D1524" s="78"/>
      <c r="E1524" s="78"/>
      <c r="F1524" s="78"/>
      <c r="G1524" s="78"/>
      <c r="H1524" s="78"/>
      <c r="I1524" s="78"/>
      <c r="J1524" s="78"/>
      <c r="K1524" s="78"/>
      <c r="L1524" s="78"/>
      <c r="M1524" s="78"/>
      <c r="N1524" s="78"/>
      <c r="O1524" s="78"/>
      <c r="P1524" s="78"/>
      <c r="Q1524" s="78"/>
      <c r="R1524" s="78"/>
      <c r="S1524" s="78"/>
      <c r="T1524" s="78"/>
      <c r="U1524" s="78"/>
      <c r="V1524" s="78"/>
      <c r="W1524" s="78"/>
      <c r="X1524" s="78"/>
      <c r="Y1524" s="78"/>
      <c r="Z1524" s="78"/>
    </row>
    <row r="1525">
      <c r="A1525" s="78"/>
      <c r="B1525" s="78"/>
      <c r="C1525" s="78"/>
      <c r="D1525" s="78"/>
      <c r="E1525" s="78"/>
      <c r="F1525" s="78"/>
      <c r="G1525" s="78"/>
      <c r="H1525" s="78"/>
      <c r="I1525" s="78"/>
      <c r="J1525" s="78"/>
      <c r="K1525" s="78"/>
      <c r="L1525" s="78"/>
      <c r="M1525" s="78"/>
      <c r="N1525" s="78"/>
      <c r="O1525" s="78"/>
      <c r="P1525" s="78"/>
      <c r="Q1525" s="78"/>
      <c r="R1525" s="78"/>
      <c r="S1525" s="78"/>
      <c r="T1525" s="78"/>
      <c r="U1525" s="78"/>
      <c r="V1525" s="78"/>
      <c r="W1525" s="78"/>
      <c r="X1525" s="78"/>
      <c r="Y1525" s="78"/>
      <c r="Z1525" s="78"/>
    </row>
    <row r="1526">
      <c r="A1526" s="78"/>
      <c r="B1526" s="78"/>
      <c r="C1526" s="78"/>
      <c r="D1526" s="78"/>
      <c r="E1526" s="78"/>
      <c r="F1526" s="78"/>
      <c r="G1526" s="78"/>
      <c r="H1526" s="78"/>
      <c r="I1526" s="78"/>
      <c r="J1526" s="78"/>
      <c r="K1526" s="78"/>
      <c r="L1526" s="78"/>
      <c r="M1526" s="78"/>
      <c r="N1526" s="78"/>
      <c r="O1526" s="78"/>
      <c r="P1526" s="78"/>
      <c r="Q1526" s="78"/>
      <c r="R1526" s="78"/>
      <c r="S1526" s="78"/>
      <c r="T1526" s="78"/>
      <c r="U1526" s="78"/>
      <c r="V1526" s="78"/>
      <c r="W1526" s="78"/>
      <c r="X1526" s="78"/>
      <c r="Y1526" s="78"/>
      <c r="Z1526" s="78"/>
    </row>
    <row r="1527">
      <c r="A1527" s="78"/>
      <c r="B1527" s="78"/>
      <c r="C1527" s="78"/>
      <c r="D1527" s="78"/>
      <c r="E1527" s="78"/>
      <c r="F1527" s="78"/>
      <c r="G1527" s="78"/>
      <c r="H1527" s="78"/>
      <c r="I1527" s="78"/>
      <c r="J1527" s="78"/>
      <c r="K1527" s="78"/>
      <c r="L1527" s="78"/>
      <c r="M1527" s="78"/>
      <c r="N1527" s="78"/>
      <c r="O1527" s="78"/>
      <c r="P1527" s="78"/>
      <c r="Q1527" s="78"/>
      <c r="R1527" s="78"/>
      <c r="S1527" s="78"/>
      <c r="T1527" s="78"/>
      <c r="U1527" s="78"/>
      <c r="V1527" s="78"/>
      <c r="W1527" s="78"/>
      <c r="X1527" s="78"/>
      <c r="Y1527" s="78"/>
      <c r="Z1527" s="78"/>
    </row>
    <row r="1528">
      <c r="A1528" s="78"/>
      <c r="B1528" s="78"/>
      <c r="C1528" s="78"/>
      <c r="D1528" s="78"/>
      <c r="E1528" s="78"/>
      <c r="F1528" s="78"/>
      <c r="G1528" s="78"/>
      <c r="H1528" s="78"/>
      <c r="I1528" s="78"/>
      <c r="J1528" s="78"/>
      <c r="K1528" s="78"/>
      <c r="L1528" s="78"/>
      <c r="M1528" s="78"/>
      <c r="N1528" s="78"/>
      <c r="O1528" s="78"/>
      <c r="P1528" s="78"/>
      <c r="Q1528" s="78"/>
      <c r="R1528" s="78"/>
      <c r="S1528" s="78"/>
      <c r="T1528" s="78"/>
      <c r="U1528" s="78"/>
      <c r="V1528" s="78"/>
      <c r="W1528" s="78"/>
      <c r="X1528" s="78"/>
      <c r="Y1528" s="78"/>
      <c r="Z1528" s="78"/>
    </row>
    <row r="1529">
      <c r="A1529" s="78"/>
      <c r="B1529" s="78"/>
      <c r="C1529" s="78"/>
      <c r="D1529" s="78"/>
      <c r="E1529" s="78"/>
      <c r="F1529" s="78"/>
      <c r="G1529" s="78"/>
      <c r="H1529" s="78"/>
      <c r="I1529" s="78"/>
      <c r="J1529" s="78"/>
      <c r="K1529" s="78"/>
      <c r="L1529" s="78"/>
      <c r="M1529" s="78"/>
      <c r="N1529" s="78"/>
      <c r="O1529" s="78"/>
      <c r="P1529" s="78"/>
      <c r="Q1529" s="78"/>
      <c r="R1529" s="78"/>
      <c r="S1529" s="78"/>
      <c r="T1529" s="78"/>
      <c r="U1529" s="78"/>
      <c r="V1529" s="78"/>
      <c r="W1529" s="78"/>
      <c r="X1529" s="78"/>
      <c r="Y1529" s="78"/>
      <c r="Z1529" s="78"/>
    </row>
    <row r="1530">
      <c r="A1530" s="78"/>
      <c r="B1530" s="78"/>
      <c r="C1530" s="78"/>
      <c r="D1530" s="78"/>
      <c r="E1530" s="78"/>
      <c r="F1530" s="78"/>
      <c r="G1530" s="78"/>
      <c r="H1530" s="78"/>
      <c r="I1530" s="78"/>
      <c r="J1530" s="78"/>
      <c r="K1530" s="78"/>
      <c r="L1530" s="78"/>
      <c r="M1530" s="78"/>
      <c r="N1530" s="78"/>
      <c r="O1530" s="78"/>
      <c r="P1530" s="78"/>
      <c r="Q1530" s="78"/>
      <c r="R1530" s="78"/>
      <c r="S1530" s="78"/>
      <c r="T1530" s="78"/>
      <c r="U1530" s="78"/>
      <c r="V1530" s="78"/>
      <c r="W1530" s="78"/>
      <c r="X1530" s="78"/>
      <c r="Y1530" s="78"/>
      <c r="Z1530" s="78"/>
    </row>
    <row r="1531">
      <c r="A1531" s="78"/>
      <c r="B1531" s="78"/>
      <c r="C1531" s="78"/>
      <c r="D1531" s="78"/>
      <c r="E1531" s="78"/>
      <c r="F1531" s="78"/>
      <c r="G1531" s="78"/>
      <c r="H1531" s="78"/>
      <c r="I1531" s="78"/>
      <c r="J1531" s="78"/>
      <c r="K1531" s="78"/>
      <c r="L1531" s="78"/>
      <c r="M1531" s="78"/>
      <c r="N1531" s="78"/>
      <c r="O1531" s="78"/>
      <c r="P1531" s="78"/>
      <c r="Q1531" s="78"/>
      <c r="R1531" s="78"/>
      <c r="S1531" s="78"/>
      <c r="T1531" s="78"/>
      <c r="U1531" s="78"/>
      <c r="V1531" s="78"/>
      <c r="W1531" s="78"/>
      <c r="X1531" s="78"/>
      <c r="Y1531" s="78"/>
      <c r="Z1531" s="78"/>
    </row>
    <row r="1532">
      <c r="A1532" s="78"/>
      <c r="B1532" s="78"/>
      <c r="C1532" s="78"/>
      <c r="D1532" s="78"/>
      <c r="E1532" s="78"/>
      <c r="F1532" s="78"/>
      <c r="G1532" s="78"/>
      <c r="H1532" s="78"/>
      <c r="I1532" s="78"/>
      <c r="J1532" s="78"/>
      <c r="K1532" s="78"/>
      <c r="L1532" s="78"/>
      <c r="M1532" s="78"/>
      <c r="N1532" s="78"/>
      <c r="O1532" s="78"/>
      <c r="P1532" s="78"/>
      <c r="Q1532" s="78"/>
      <c r="R1532" s="78"/>
      <c r="S1532" s="78"/>
      <c r="T1532" s="78"/>
      <c r="U1532" s="78"/>
      <c r="V1532" s="78"/>
      <c r="W1532" s="78"/>
      <c r="X1532" s="78"/>
      <c r="Y1532" s="78"/>
      <c r="Z1532" s="78"/>
    </row>
    <row r="1533">
      <c r="A1533" s="78"/>
      <c r="B1533" s="78"/>
      <c r="C1533" s="78"/>
      <c r="D1533" s="78"/>
      <c r="E1533" s="78"/>
      <c r="F1533" s="78"/>
      <c r="G1533" s="78"/>
      <c r="H1533" s="78"/>
      <c r="I1533" s="78"/>
      <c r="J1533" s="78"/>
      <c r="K1533" s="78"/>
      <c r="L1533" s="78"/>
      <c r="M1533" s="78"/>
      <c r="N1533" s="78"/>
      <c r="O1533" s="78"/>
      <c r="P1533" s="78"/>
      <c r="Q1533" s="78"/>
      <c r="R1533" s="78"/>
      <c r="S1533" s="78"/>
      <c r="T1533" s="78"/>
      <c r="U1533" s="78"/>
      <c r="V1533" s="78"/>
      <c r="W1533" s="78"/>
      <c r="X1533" s="78"/>
      <c r="Y1533" s="78"/>
      <c r="Z1533" s="78"/>
    </row>
    <row r="1534">
      <c r="A1534" s="78"/>
      <c r="B1534" s="78"/>
      <c r="C1534" s="78"/>
      <c r="D1534" s="78"/>
      <c r="E1534" s="78"/>
      <c r="F1534" s="78"/>
      <c r="G1534" s="78"/>
      <c r="H1534" s="78"/>
      <c r="I1534" s="78"/>
      <c r="J1534" s="78"/>
      <c r="K1534" s="78"/>
      <c r="L1534" s="78"/>
      <c r="M1534" s="78"/>
      <c r="N1534" s="78"/>
      <c r="O1534" s="78"/>
      <c r="P1534" s="78"/>
      <c r="Q1534" s="78"/>
      <c r="R1534" s="78"/>
      <c r="S1534" s="78"/>
      <c r="T1534" s="78"/>
      <c r="U1534" s="78"/>
      <c r="V1534" s="78"/>
      <c r="W1534" s="78"/>
      <c r="X1534" s="78"/>
      <c r="Y1534" s="78"/>
      <c r="Z1534" s="78"/>
    </row>
    <row r="1535">
      <c r="A1535" s="78"/>
      <c r="B1535" s="78"/>
      <c r="C1535" s="78"/>
      <c r="D1535" s="78"/>
      <c r="E1535" s="78"/>
      <c r="F1535" s="78"/>
      <c r="G1535" s="78"/>
      <c r="H1535" s="78"/>
      <c r="I1535" s="78"/>
      <c r="J1535" s="78"/>
      <c r="K1535" s="78"/>
      <c r="L1535" s="78"/>
      <c r="M1535" s="78"/>
      <c r="N1535" s="78"/>
      <c r="O1535" s="78"/>
      <c r="P1535" s="78"/>
      <c r="Q1535" s="78"/>
      <c r="R1535" s="78"/>
      <c r="S1535" s="78"/>
      <c r="T1535" s="78"/>
      <c r="U1535" s="78"/>
      <c r="V1535" s="78"/>
      <c r="W1535" s="78"/>
      <c r="X1535" s="78"/>
      <c r="Y1535" s="78"/>
      <c r="Z1535" s="78"/>
    </row>
    <row r="1536">
      <c r="A1536" s="78"/>
      <c r="B1536" s="78"/>
      <c r="C1536" s="78"/>
      <c r="D1536" s="78"/>
      <c r="E1536" s="78"/>
      <c r="F1536" s="78"/>
      <c r="G1536" s="78"/>
      <c r="H1536" s="78"/>
      <c r="I1536" s="78"/>
      <c r="J1536" s="78"/>
      <c r="K1536" s="78"/>
      <c r="L1536" s="78"/>
      <c r="M1536" s="78"/>
      <c r="N1536" s="78"/>
      <c r="O1536" s="78"/>
      <c r="P1536" s="78"/>
      <c r="Q1536" s="78"/>
      <c r="R1536" s="78"/>
      <c r="S1536" s="78"/>
      <c r="T1536" s="78"/>
      <c r="U1536" s="78"/>
      <c r="V1536" s="78"/>
      <c r="W1536" s="78"/>
      <c r="X1536" s="78"/>
      <c r="Y1536" s="78"/>
      <c r="Z1536" s="78"/>
    </row>
    <row r="1537">
      <c r="A1537" s="78"/>
      <c r="B1537" s="78"/>
      <c r="C1537" s="78"/>
      <c r="D1537" s="78"/>
      <c r="E1537" s="78"/>
      <c r="F1537" s="78"/>
      <c r="G1537" s="78"/>
      <c r="H1537" s="78"/>
      <c r="I1537" s="78"/>
      <c r="J1537" s="78"/>
      <c r="K1537" s="78"/>
      <c r="L1537" s="78"/>
      <c r="M1537" s="78"/>
      <c r="N1537" s="78"/>
      <c r="O1537" s="78"/>
      <c r="P1537" s="78"/>
      <c r="Q1537" s="78"/>
      <c r="R1537" s="78"/>
      <c r="S1537" s="78"/>
      <c r="T1537" s="78"/>
      <c r="U1537" s="78"/>
      <c r="V1537" s="78"/>
      <c r="W1537" s="78"/>
      <c r="X1537" s="78"/>
      <c r="Y1537" s="78"/>
      <c r="Z1537" s="78"/>
    </row>
    <row r="1538">
      <c r="A1538" s="78"/>
      <c r="B1538" s="78"/>
      <c r="C1538" s="78"/>
      <c r="D1538" s="78"/>
      <c r="E1538" s="78"/>
      <c r="F1538" s="78"/>
      <c r="G1538" s="78"/>
      <c r="H1538" s="78"/>
      <c r="I1538" s="78"/>
      <c r="J1538" s="78"/>
      <c r="K1538" s="78"/>
      <c r="L1538" s="78"/>
      <c r="M1538" s="78"/>
      <c r="N1538" s="78"/>
      <c r="O1538" s="78"/>
      <c r="P1538" s="78"/>
      <c r="Q1538" s="78"/>
      <c r="R1538" s="78"/>
      <c r="S1538" s="78"/>
      <c r="T1538" s="78"/>
      <c r="U1538" s="78"/>
      <c r="V1538" s="78"/>
      <c r="W1538" s="78"/>
      <c r="X1538" s="78"/>
      <c r="Y1538" s="78"/>
      <c r="Z1538" s="78"/>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838">
    <cfRule type="cellIs" dxfId="2" priority="5" operator="greaterThanOrEqual">
      <formula>0</formula>
    </cfRule>
  </conditionalFormatting>
  <conditionalFormatting sqref="T12:Y838">
    <cfRule type="cellIs" dxfId="3" priority="6" operator="lessThan">
      <formula>0</formula>
    </cfRule>
  </conditionalFormatting>
  <conditionalFormatting sqref="V12:W838">
    <cfRule type="cellIs" dxfId="0" priority="7" operator="greaterThanOrEqual">
      <formula>0</formula>
    </cfRule>
  </conditionalFormatting>
  <conditionalFormatting sqref="V12:W838">
    <cfRule type="cellIs" dxfId="4" priority="8" operator="lessThan">
      <formula>0</formula>
    </cfRule>
  </conditionalFormatting>
  <dataValidations>
    <dataValidation type="list" allowBlank="1" sqref="B12 B31 B50 B69 B88 B107 B126 B145 B164 B183 B202 B221 B240 B259 B278 B297 B316 B335 B354 B373 B392 B411 B430 B447 B464 B481 B498 B515 B532 B549 B566 B583 B600 B617 B634 B651 B668 B686 B705 B724 B743 B762 B781 B800 B819 B838">
      <formula1>"Previous Week,Current Week"</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1.0" topLeftCell="A12" activePane="bottomLeft" state="frozen"/>
      <selection activeCell="B13" sqref="B13" pane="bottomLeft"/>
    </sheetView>
  </sheetViews>
  <sheetFormatPr customHeight="1" defaultColWidth="12.63" defaultRowHeight="15.75" outlineLevelRow="1"/>
  <cols>
    <col customWidth="1" min="3" max="3" width="40.0"/>
    <col hidden="1" min="4" max="9" width="12.63"/>
  </cols>
  <sheetData>
    <row r="1" ht="93.75" customHeight="1">
      <c r="A1" s="1" t="s">
        <v>140</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15"/>
      <c r="B3" s="16"/>
      <c r="C3" s="17"/>
      <c r="D3" s="18"/>
      <c r="E3" s="18"/>
      <c r="F3" s="20"/>
      <c r="G3" s="11"/>
      <c r="H3" s="11"/>
      <c r="I3" s="9"/>
      <c r="J3" s="18"/>
      <c r="K3" s="17" t="s">
        <v>2</v>
      </c>
      <c r="L3" s="18"/>
      <c r="M3" s="18"/>
      <c r="N3" s="20" t="s">
        <v>3</v>
      </c>
      <c r="O3" s="11"/>
      <c r="P3" s="11"/>
      <c r="Q3" s="9"/>
      <c r="R3" s="18"/>
      <c r="S3" s="21" t="s">
        <v>4</v>
      </c>
      <c r="T3" s="11"/>
      <c r="U3" s="11"/>
      <c r="V3" s="9"/>
      <c r="W3" s="22"/>
      <c r="X3" s="22"/>
      <c r="Y3" s="22"/>
      <c r="Z3" s="22"/>
    </row>
    <row r="4" ht="21.0" customHeight="1">
      <c r="A4" s="24"/>
      <c r="B4" s="25"/>
      <c r="C4" s="26"/>
      <c r="D4" s="27"/>
      <c r="E4" s="27"/>
      <c r="F4" s="29"/>
      <c r="G4" s="11"/>
      <c r="H4" s="9"/>
      <c r="I4" s="30"/>
      <c r="J4" s="27"/>
      <c r="K4" s="26">
        <f>VLOOKUP("Current Week",$B$11:$X$570,match("SALES",$B$11:$X$11,0),FALSE)</f>
        <v>0</v>
      </c>
      <c r="L4" s="27"/>
      <c r="M4" s="27"/>
      <c r="N4" s="29">
        <f>VLOOKUP("Current Week",$B$11:$X$570,match("Units Sold",$B$11:$X$11,0),FALSE)</f>
        <v>0</v>
      </c>
      <c r="O4" s="11"/>
      <c r="P4" s="9"/>
      <c r="Q4" s="30"/>
      <c r="R4" s="27"/>
      <c r="S4" s="29">
        <f>VLOOKUP("Current Week",$B$11:$X$570,match("Ordered Items",$B$11:$X$11,0),FALSE)</f>
        <v>0</v>
      </c>
      <c r="T4" s="11"/>
      <c r="U4" s="9"/>
      <c r="V4" s="30"/>
      <c r="W4" s="30"/>
      <c r="X4" s="30"/>
      <c r="Y4" s="30"/>
      <c r="Z4" s="30"/>
    </row>
    <row r="5">
      <c r="A5" s="32"/>
      <c r="B5" s="33"/>
      <c r="C5" s="259"/>
      <c r="D5" s="271"/>
      <c r="E5" s="271"/>
      <c r="F5" s="263"/>
      <c r="G5" s="11"/>
      <c r="H5" s="11"/>
      <c r="I5" s="9"/>
      <c r="J5" s="271"/>
      <c r="K5" s="259" t="str">
        <f>(K4-(VLOOKUP("Previous Week",$B$11:$X$575,match("SALES",$B$11:$X$11,0),FALSE)))/K4</f>
        <v>#DIV/0!</v>
      </c>
      <c r="L5" s="271"/>
      <c r="M5" s="271"/>
      <c r="N5" s="263" t="str">
        <f>(N4-(VLOOKUP("Previous Week",$B$11:$X$575,match("Units Sold",$B$11:$X$11,0),FALSE)))/N4</f>
        <v>#DIV/0!</v>
      </c>
      <c r="O5" s="11"/>
      <c r="P5" s="11"/>
      <c r="Q5" s="9"/>
      <c r="R5" s="271"/>
      <c r="S5" s="263" t="str">
        <f>(S4-(VLOOKUP("Previous Week",$B$11:$X$575,match("Ordered Items",$B$11:$X$11,0),FALSE)))/S4</f>
        <v>#DIV/0!</v>
      </c>
      <c r="T5" s="11"/>
      <c r="U5" s="11"/>
      <c r="V5" s="9"/>
      <c r="W5" s="38"/>
      <c r="X5" s="38"/>
      <c r="Y5" s="38"/>
      <c r="Z5" s="38"/>
    </row>
    <row r="6" ht="6.0" customHeight="1">
      <c r="A6" s="24"/>
      <c r="B6" s="25"/>
      <c r="C6" s="39"/>
      <c r="D6" s="27"/>
      <c r="E6" s="27"/>
      <c r="F6" s="30"/>
      <c r="G6" s="30"/>
      <c r="H6" s="30"/>
      <c r="I6" s="30"/>
      <c r="J6" s="27"/>
      <c r="K6" s="39"/>
      <c r="L6" s="27"/>
      <c r="M6" s="27"/>
      <c r="N6" s="30"/>
      <c r="O6" s="30"/>
      <c r="P6" s="30"/>
      <c r="Q6" s="30"/>
      <c r="R6" s="27"/>
      <c r="S6" s="30"/>
      <c r="T6" s="30"/>
      <c r="U6" s="30"/>
      <c r="V6" s="30"/>
      <c r="W6" s="30"/>
      <c r="X6" s="30"/>
      <c r="Y6" s="30"/>
      <c r="Z6" s="30"/>
    </row>
    <row r="7" ht="22.5" customHeight="1">
      <c r="A7" s="15"/>
      <c r="B7" s="16"/>
      <c r="C7" s="17"/>
      <c r="D7" s="18"/>
      <c r="E7" s="18"/>
      <c r="F7" s="40"/>
      <c r="G7" s="11"/>
      <c r="H7" s="11"/>
      <c r="I7" s="9"/>
      <c r="J7" s="18"/>
      <c r="K7" s="17" t="s">
        <v>5</v>
      </c>
      <c r="L7" s="18"/>
      <c r="M7" s="18"/>
      <c r="N7" s="40" t="s">
        <v>6</v>
      </c>
      <c r="O7" s="11"/>
      <c r="P7" s="11"/>
      <c r="Q7" s="9"/>
      <c r="R7" s="18"/>
      <c r="S7" s="40" t="s">
        <v>7</v>
      </c>
      <c r="T7" s="11"/>
      <c r="U7" s="11"/>
      <c r="V7" s="9"/>
      <c r="W7" s="22"/>
      <c r="X7" s="22"/>
      <c r="Y7" s="22"/>
      <c r="Z7" s="22"/>
    </row>
    <row r="8" ht="21.0" customHeight="1">
      <c r="A8" s="24"/>
      <c r="B8" s="25"/>
      <c r="C8" s="26"/>
      <c r="D8" s="27"/>
      <c r="E8" s="27"/>
      <c r="F8" s="41"/>
      <c r="G8" s="11"/>
      <c r="H8" s="9"/>
      <c r="I8" s="30"/>
      <c r="J8" s="27"/>
      <c r="K8" s="26">
        <f>VLOOKUP("Current Week",$B$11:$X$570,match("AD SALES",$B$11:$X$11,0),FALSE)</f>
        <v>18214</v>
      </c>
      <c r="L8" s="27"/>
      <c r="M8" s="27"/>
      <c r="N8" s="41">
        <f>VLOOKUP("Current Week",$B$11:$X$570,match("SP AD SPEND",$B$11:$X$11,0),FALSE)</f>
        <v>4879.89</v>
      </c>
      <c r="O8" s="11"/>
      <c r="P8" s="9"/>
      <c r="Q8" s="30"/>
      <c r="R8" s="27"/>
      <c r="S8" s="42">
        <f>N8/K8</f>
        <v>0.2679197321</v>
      </c>
      <c r="T8" s="11"/>
      <c r="U8" s="9"/>
      <c r="V8" s="30"/>
      <c r="W8" s="30"/>
      <c r="X8" s="30"/>
      <c r="Y8" s="30"/>
      <c r="Z8" s="30"/>
    </row>
    <row r="9" ht="19.5" customHeight="1">
      <c r="A9" s="43"/>
      <c r="B9" s="44"/>
      <c r="C9" s="270"/>
      <c r="D9" s="271"/>
      <c r="E9" s="271"/>
      <c r="F9" s="273"/>
      <c r="I9" s="47"/>
      <c r="J9" s="271"/>
      <c r="K9" s="270">
        <f>(K8-(VLOOKUP("Previous Week",$B$11:$X$575,match("AD SALES",$B$11:$X$11,0),FALSE)))/K8</f>
        <v>-0.0370934446</v>
      </c>
      <c r="L9" s="271"/>
      <c r="M9" s="271"/>
      <c r="N9" s="273">
        <f>(N8-(VLOOKUP("Previous Week",$B$11:$X$575,match("SP AD SPEND",$B$11:$X$11,0),FALSE)))/N8</f>
        <v>-0.363645492</v>
      </c>
      <c r="Q9" s="47"/>
      <c r="R9" s="271"/>
      <c r="S9" s="275">
        <f>(S8-(VLOOKUP("Previous Week",$B$11:$X$575,match("ACOS",$B$11:$X$11,0),FALSE)))/S8</f>
        <v>-0.3148723474</v>
      </c>
      <c r="V9" s="47"/>
      <c r="W9" s="49"/>
      <c r="X9" s="49"/>
      <c r="Y9" s="49"/>
      <c r="Z9" s="51"/>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69</v>
      </c>
      <c r="D11" s="67" t="s">
        <v>15</v>
      </c>
      <c r="E11" s="69" t="s">
        <v>17</v>
      </c>
      <c r="F11" s="70" t="s">
        <v>18</v>
      </c>
      <c r="G11" s="69" t="s">
        <v>19</v>
      </c>
      <c r="H11" s="69" t="s">
        <v>20</v>
      </c>
      <c r="I11" s="71" t="s">
        <v>21</v>
      </c>
      <c r="J11" s="72" t="s">
        <v>22</v>
      </c>
      <c r="K11" s="73"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293"/>
      <c r="B13" s="99">
        <v>45711.0</v>
      </c>
      <c r="C13" s="200" t="s">
        <v>70</v>
      </c>
      <c r="D13" s="101"/>
      <c r="E13" s="103"/>
      <c r="F13" s="103"/>
      <c r="G13" s="104" t="str">
        <f t="shared" ref="G13:G454" si="1">E13/F13</f>
        <v>#DIV/0!</v>
      </c>
      <c r="H13" s="105" t="str">
        <f t="shared" ref="H13:H454" si="2">D13/E13</f>
        <v>#DIV/0!</v>
      </c>
      <c r="I13" s="106" t="str">
        <f t="shared" ref="I13:I454" si="3">H13/G13</f>
        <v>#DIV/0!</v>
      </c>
      <c r="J13" s="170">
        <v>0.0</v>
      </c>
      <c r="K13" s="169">
        <v>0.0</v>
      </c>
      <c r="L13" s="103"/>
      <c r="M13" s="171">
        <v>0.0</v>
      </c>
      <c r="N13" s="109" t="str">
        <f t="shared" ref="N13:N14" si="4">J13/M13</f>
        <v>#DIV/0!</v>
      </c>
      <c r="O13" s="110" t="str">
        <f t="shared" ref="O13:O561" si="5">M13/J13</f>
        <v>#DIV/0!</v>
      </c>
      <c r="P13" s="109" t="str">
        <f t="shared" ref="P13:P561" si="6">J13/D13</f>
        <v>#DIV/0!</v>
      </c>
      <c r="Q13" s="111" t="str">
        <f t="shared" ref="Q13:Q561" si="7">M13/D13</f>
        <v>#DIV/0!</v>
      </c>
      <c r="R13" s="112">
        <f t="shared" ref="R13:R23" si="8">D13-M13</f>
        <v>0</v>
      </c>
      <c r="S13" s="113" t="str">
        <f t="shared" ref="S13:S561" si="9">J13/L13</f>
        <v>#DIV/0!</v>
      </c>
      <c r="T13" s="114"/>
      <c r="U13" s="114"/>
      <c r="V13" s="114"/>
      <c r="W13" s="114"/>
      <c r="X13" s="115"/>
      <c r="Y13" s="98"/>
      <c r="Z13" s="98"/>
    </row>
    <row r="14" hidden="1" outlineLevel="1">
      <c r="A14" s="293"/>
      <c r="B14" s="116"/>
      <c r="C14" s="200" t="s">
        <v>71</v>
      </c>
      <c r="D14" s="117"/>
      <c r="E14" s="103"/>
      <c r="F14" s="103"/>
      <c r="G14" s="104" t="str">
        <f t="shared" si="1"/>
        <v>#DIV/0!</v>
      </c>
      <c r="H14" s="105" t="str">
        <f t="shared" si="2"/>
        <v>#DIV/0!</v>
      </c>
      <c r="I14" s="106" t="str">
        <f t="shared" si="3"/>
        <v>#DIV/0!</v>
      </c>
      <c r="J14" s="175">
        <v>0.0</v>
      </c>
      <c r="K14" s="169">
        <v>0.0</v>
      </c>
      <c r="L14" s="103"/>
      <c r="M14" s="176">
        <v>0.0</v>
      </c>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c r="Y14" s="98"/>
      <c r="Z14" s="98"/>
    </row>
    <row r="15" hidden="1" outlineLevel="1">
      <c r="A15" s="293"/>
      <c r="B15" s="116"/>
      <c r="C15" s="200" t="s">
        <v>72</v>
      </c>
      <c r="D15" s="120"/>
      <c r="E15" s="103"/>
      <c r="F15" s="103"/>
      <c r="G15" s="104" t="str">
        <f t="shared" si="1"/>
        <v>#DIV/0!</v>
      </c>
      <c r="H15" s="105" t="str">
        <f t="shared" si="2"/>
        <v>#DIV/0!</v>
      </c>
      <c r="I15" s="106" t="str">
        <f t="shared" si="3"/>
        <v>#DIV/0!</v>
      </c>
      <c r="J15" s="177">
        <v>5.26</v>
      </c>
      <c r="K15" s="314">
        <v>1761.0</v>
      </c>
      <c r="L15" s="103"/>
      <c r="M15" s="178">
        <v>0.0</v>
      </c>
      <c r="N15" s="109" t="str">
        <f>(J15/M15)</f>
        <v>#DIV/0!</v>
      </c>
      <c r="O15" s="110">
        <f t="shared" si="5"/>
        <v>0</v>
      </c>
      <c r="P15" s="109" t="str">
        <f t="shared" si="6"/>
        <v>#DIV/0!</v>
      </c>
      <c r="Q15" s="111" t="str">
        <f t="shared" si="7"/>
        <v>#DIV/0!</v>
      </c>
      <c r="R15" s="122">
        <f t="shared" si="8"/>
        <v>0</v>
      </c>
      <c r="S15" s="113" t="str">
        <f t="shared" si="9"/>
        <v>#DIV/0!</v>
      </c>
      <c r="T15" s="114"/>
      <c r="U15" s="114"/>
      <c r="V15" s="114"/>
      <c r="W15" s="114"/>
      <c r="X15" s="115"/>
      <c r="Y15" s="98"/>
      <c r="Z15" s="98"/>
    </row>
    <row r="16" hidden="1" outlineLevel="1">
      <c r="A16" s="293"/>
      <c r="B16" s="116"/>
      <c r="C16" s="200" t="s">
        <v>73</v>
      </c>
      <c r="D16" s="120"/>
      <c r="E16" s="103"/>
      <c r="F16" s="103"/>
      <c r="G16" s="104" t="str">
        <f t="shared" si="1"/>
        <v>#DIV/0!</v>
      </c>
      <c r="H16" s="105" t="str">
        <f t="shared" si="2"/>
        <v>#DIV/0!</v>
      </c>
      <c r="I16" s="106" t="str">
        <f t="shared" si="3"/>
        <v>#DIV/0!</v>
      </c>
      <c r="J16" s="177">
        <v>0.0</v>
      </c>
      <c r="K16" s="169">
        <v>0.0</v>
      </c>
      <c r="L16" s="103"/>
      <c r="M16" s="178">
        <v>0.0</v>
      </c>
      <c r="N16" s="109" t="str">
        <f t="shared" ref="N16:N26" si="10">J16/M16</f>
        <v>#DIV/0!</v>
      </c>
      <c r="O16" s="110" t="str">
        <f t="shared" si="5"/>
        <v>#DIV/0!</v>
      </c>
      <c r="P16" s="109" t="str">
        <f t="shared" si="6"/>
        <v>#DIV/0!</v>
      </c>
      <c r="Q16" s="111" t="str">
        <f t="shared" si="7"/>
        <v>#DIV/0!</v>
      </c>
      <c r="R16" s="122">
        <f t="shared" si="8"/>
        <v>0</v>
      </c>
      <c r="S16" s="113" t="str">
        <f t="shared" si="9"/>
        <v>#DIV/0!</v>
      </c>
      <c r="T16" s="114"/>
      <c r="U16" s="114"/>
      <c r="V16" s="114"/>
      <c r="W16" s="114"/>
      <c r="X16" s="115"/>
      <c r="Y16" s="98"/>
      <c r="Z16" s="98"/>
    </row>
    <row r="17" hidden="1" outlineLevel="1">
      <c r="A17" s="293"/>
      <c r="B17" s="116"/>
      <c r="C17" s="200" t="s">
        <v>74</v>
      </c>
      <c r="D17" s="300"/>
      <c r="E17" s="103"/>
      <c r="F17" s="103"/>
      <c r="G17" s="104" t="str">
        <f t="shared" si="1"/>
        <v>#DIV/0!</v>
      </c>
      <c r="H17" s="105" t="str">
        <f t="shared" si="2"/>
        <v>#DIV/0!</v>
      </c>
      <c r="I17" s="106" t="str">
        <f t="shared" si="3"/>
        <v>#DIV/0!</v>
      </c>
      <c r="J17" s="320">
        <v>14.46</v>
      </c>
      <c r="K17" s="314">
        <v>1394.0</v>
      </c>
      <c r="L17" s="103"/>
      <c r="M17" s="320">
        <v>0.0</v>
      </c>
      <c r="N17" s="109" t="str">
        <f t="shared" si="10"/>
        <v>#DIV/0!</v>
      </c>
      <c r="O17" s="110">
        <f t="shared" si="5"/>
        <v>0</v>
      </c>
      <c r="P17" s="109" t="str">
        <f t="shared" si="6"/>
        <v>#DIV/0!</v>
      </c>
      <c r="Q17" s="111" t="str">
        <f t="shared" si="7"/>
        <v>#DIV/0!</v>
      </c>
      <c r="R17" s="122">
        <f t="shared" si="8"/>
        <v>0</v>
      </c>
      <c r="S17" s="113" t="str">
        <f t="shared" si="9"/>
        <v>#DIV/0!</v>
      </c>
      <c r="T17" s="114"/>
      <c r="U17" s="114"/>
      <c r="V17" s="114"/>
      <c r="W17" s="114"/>
      <c r="X17" s="115"/>
      <c r="Y17" s="98"/>
      <c r="Z17" s="98"/>
    </row>
    <row r="18" hidden="1" outlineLevel="1">
      <c r="A18" s="293"/>
      <c r="B18" s="116"/>
      <c r="C18" s="200" t="s">
        <v>75</v>
      </c>
      <c r="D18" s="302"/>
      <c r="E18" s="103"/>
      <c r="F18" s="103"/>
      <c r="G18" s="104" t="str">
        <f t="shared" si="1"/>
        <v>#DIV/0!</v>
      </c>
      <c r="H18" s="105" t="str">
        <f t="shared" si="2"/>
        <v>#DIV/0!</v>
      </c>
      <c r="I18" s="106" t="str">
        <f t="shared" si="3"/>
        <v>#DIV/0!</v>
      </c>
      <c r="J18" s="321">
        <v>0.0</v>
      </c>
      <c r="K18" s="169">
        <v>0.0</v>
      </c>
      <c r="L18" s="103"/>
      <c r="M18" s="322">
        <v>0.0</v>
      </c>
      <c r="N18" s="109" t="str">
        <f t="shared" si="10"/>
        <v>#DIV/0!</v>
      </c>
      <c r="O18" s="110" t="str">
        <f t="shared" si="5"/>
        <v>#DIV/0!</v>
      </c>
      <c r="P18" s="109" t="str">
        <f t="shared" si="6"/>
        <v>#DIV/0!</v>
      </c>
      <c r="Q18" s="111" t="str">
        <f t="shared" si="7"/>
        <v>#DIV/0!</v>
      </c>
      <c r="R18" s="304">
        <f t="shared" si="8"/>
        <v>0</v>
      </c>
      <c r="S18" s="113" t="str">
        <f t="shared" si="9"/>
        <v>#DIV/0!</v>
      </c>
      <c r="T18" s="114"/>
      <c r="U18" s="114"/>
      <c r="V18" s="114"/>
      <c r="W18" s="114"/>
      <c r="X18" s="115"/>
      <c r="Y18" s="98"/>
      <c r="Z18" s="98"/>
    </row>
    <row r="19" hidden="1" outlineLevel="1">
      <c r="A19" s="293"/>
      <c r="B19" s="116"/>
      <c r="C19" s="200" t="s">
        <v>76</v>
      </c>
      <c r="D19" s="120"/>
      <c r="E19" s="103"/>
      <c r="F19" s="103"/>
      <c r="G19" s="104" t="str">
        <f t="shared" si="1"/>
        <v>#DIV/0!</v>
      </c>
      <c r="H19" s="105" t="str">
        <f t="shared" si="2"/>
        <v>#DIV/0!</v>
      </c>
      <c r="I19" s="106" t="str">
        <f t="shared" si="3"/>
        <v>#DIV/0!</v>
      </c>
      <c r="J19" s="177">
        <v>0.0</v>
      </c>
      <c r="K19" s="169">
        <v>0.0</v>
      </c>
      <c r="L19" s="103"/>
      <c r="M19" s="178">
        <v>0.0</v>
      </c>
      <c r="N19" s="109" t="str">
        <f t="shared" si="10"/>
        <v>#DIV/0!</v>
      </c>
      <c r="O19" s="110" t="str">
        <f t="shared" si="5"/>
        <v>#DIV/0!</v>
      </c>
      <c r="P19" s="109" t="str">
        <f t="shared" si="6"/>
        <v>#DIV/0!</v>
      </c>
      <c r="Q19" s="111" t="str">
        <f t="shared" si="7"/>
        <v>#DIV/0!</v>
      </c>
      <c r="R19" s="122">
        <f t="shared" si="8"/>
        <v>0</v>
      </c>
      <c r="S19" s="113" t="str">
        <f t="shared" si="9"/>
        <v>#DIV/0!</v>
      </c>
      <c r="T19" s="114"/>
      <c r="U19" s="114"/>
      <c r="V19" s="114"/>
      <c r="W19" s="114"/>
      <c r="X19" s="115"/>
      <c r="Y19" s="98"/>
      <c r="Z19" s="98"/>
    </row>
    <row r="20" hidden="1" outlineLevel="1">
      <c r="A20" s="293"/>
      <c r="B20" s="99" t="s">
        <v>37</v>
      </c>
      <c r="C20" s="200" t="s">
        <v>77</v>
      </c>
      <c r="D20" s="123"/>
      <c r="E20" s="103"/>
      <c r="F20" s="103"/>
      <c r="G20" s="104" t="str">
        <f t="shared" si="1"/>
        <v>#DIV/0!</v>
      </c>
      <c r="H20" s="105" t="str">
        <f t="shared" si="2"/>
        <v>#DIV/0!</v>
      </c>
      <c r="I20" s="106" t="str">
        <f t="shared" si="3"/>
        <v>#DIV/0!</v>
      </c>
      <c r="J20" s="180">
        <v>0.0</v>
      </c>
      <c r="K20" s="169">
        <v>0.0</v>
      </c>
      <c r="L20" s="103"/>
      <c r="M20" s="181">
        <v>0.0</v>
      </c>
      <c r="N20" s="109" t="str">
        <f t="shared" si="10"/>
        <v>#DIV/0!</v>
      </c>
      <c r="O20" s="110" t="str">
        <f t="shared" si="5"/>
        <v>#DIV/0!</v>
      </c>
      <c r="P20" s="109" t="str">
        <f t="shared" si="6"/>
        <v>#DIV/0!</v>
      </c>
      <c r="Q20" s="111" t="str">
        <f t="shared" si="7"/>
        <v>#DIV/0!</v>
      </c>
      <c r="R20" s="125">
        <f t="shared" si="8"/>
        <v>0</v>
      </c>
      <c r="S20" s="113" t="str">
        <f t="shared" si="9"/>
        <v>#DIV/0!</v>
      </c>
      <c r="T20" s="114"/>
      <c r="U20" s="114"/>
      <c r="V20" s="114"/>
      <c r="W20" s="114"/>
      <c r="X20" s="115"/>
      <c r="Y20" s="98"/>
      <c r="Z20" s="98"/>
    </row>
    <row r="21" hidden="1" outlineLevel="1">
      <c r="A21" s="293"/>
      <c r="B21" s="116"/>
      <c r="C21" s="200" t="s">
        <v>78</v>
      </c>
      <c r="D21" s="126"/>
      <c r="E21" s="103"/>
      <c r="F21" s="103"/>
      <c r="G21" s="104" t="str">
        <f t="shared" si="1"/>
        <v>#DIV/0!</v>
      </c>
      <c r="H21" s="105" t="str">
        <f t="shared" si="2"/>
        <v>#DIV/0!</v>
      </c>
      <c r="I21" s="106" t="str">
        <f t="shared" si="3"/>
        <v>#DIV/0!</v>
      </c>
      <c r="J21" s="182">
        <v>0.0</v>
      </c>
      <c r="K21" s="169">
        <v>0.0</v>
      </c>
      <c r="L21" s="103"/>
      <c r="M21" s="183">
        <v>0.0</v>
      </c>
      <c r="N21" s="109" t="str">
        <f t="shared" si="10"/>
        <v>#DIV/0!</v>
      </c>
      <c r="O21" s="110" t="str">
        <f t="shared" si="5"/>
        <v>#DIV/0!</v>
      </c>
      <c r="P21" s="109" t="str">
        <f t="shared" si="6"/>
        <v>#DIV/0!</v>
      </c>
      <c r="Q21" s="111" t="str">
        <f t="shared" si="7"/>
        <v>#DIV/0!</v>
      </c>
      <c r="R21" s="128">
        <f t="shared" si="8"/>
        <v>0</v>
      </c>
      <c r="S21" s="113" t="str">
        <f t="shared" si="9"/>
        <v>#DIV/0!</v>
      </c>
      <c r="T21" s="114"/>
      <c r="U21" s="114"/>
      <c r="V21" s="114"/>
      <c r="W21" s="114"/>
      <c r="X21" s="115"/>
      <c r="Y21" s="98"/>
      <c r="Z21" s="98"/>
    </row>
    <row r="22" hidden="1" outlineLevel="1">
      <c r="A22" s="293"/>
      <c r="B22" s="116"/>
      <c r="C22" s="200" t="s">
        <v>79</v>
      </c>
      <c r="D22" s="129"/>
      <c r="E22" s="103"/>
      <c r="F22" s="103"/>
      <c r="G22" s="104" t="str">
        <f t="shared" si="1"/>
        <v>#DIV/0!</v>
      </c>
      <c r="H22" s="105" t="str">
        <f t="shared" si="2"/>
        <v>#DIV/0!</v>
      </c>
      <c r="I22" s="106" t="str">
        <f t="shared" si="3"/>
        <v>#DIV/0!</v>
      </c>
      <c r="J22" s="184">
        <v>2.76</v>
      </c>
      <c r="K22" s="169">
        <v>256.0</v>
      </c>
      <c r="L22" s="103"/>
      <c r="M22" s="185">
        <v>0.0</v>
      </c>
      <c r="N22" s="109" t="str">
        <f t="shared" si="10"/>
        <v>#DIV/0!</v>
      </c>
      <c r="O22" s="110">
        <f t="shared" si="5"/>
        <v>0</v>
      </c>
      <c r="P22" s="109" t="str">
        <f t="shared" si="6"/>
        <v>#DIV/0!</v>
      </c>
      <c r="Q22" s="111" t="str">
        <f t="shared" si="7"/>
        <v>#DIV/0!</v>
      </c>
      <c r="R22" s="131">
        <f t="shared" si="8"/>
        <v>0</v>
      </c>
      <c r="S22" s="113" t="str">
        <f t="shared" si="9"/>
        <v>#DIV/0!</v>
      </c>
      <c r="T22" s="114"/>
      <c r="U22" s="114"/>
      <c r="V22" s="114"/>
      <c r="W22" s="114"/>
      <c r="X22" s="115"/>
      <c r="Y22" s="98"/>
      <c r="Z22" s="98"/>
    </row>
    <row r="23" hidden="1" outlineLevel="1">
      <c r="A23" s="310" t="str">
        <f t="shared" ref="A23:A24" si="11">iferror(if(B23&gt;0,month(B23)&amp;"-"&amp;year(B23),B23),)</f>
        <v>3-2025</v>
      </c>
      <c r="B23" s="99">
        <v>45717.0</v>
      </c>
      <c r="C23" s="200" t="s">
        <v>81</v>
      </c>
      <c r="D23" s="146"/>
      <c r="E23" s="103"/>
      <c r="F23" s="103"/>
      <c r="G23" s="104" t="str">
        <f t="shared" si="1"/>
        <v>#DIV/0!</v>
      </c>
      <c r="H23" s="105" t="str">
        <f t="shared" si="2"/>
        <v>#DIV/0!</v>
      </c>
      <c r="I23" s="106" t="str">
        <f t="shared" si="3"/>
        <v>#DIV/0!</v>
      </c>
      <c r="J23" s="175">
        <v>0.0</v>
      </c>
      <c r="K23" s="169">
        <v>0.0</v>
      </c>
      <c r="L23" s="103"/>
      <c r="M23" s="176">
        <v>0.0</v>
      </c>
      <c r="N23" s="109" t="str">
        <f t="shared" si="10"/>
        <v>#DIV/0!</v>
      </c>
      <c r="O23" s="110" t="str">
        <f t="shared" si="5"/>
        <v>#DIV/0!</v>
      </c>
      <c r="P23" s="109" t="str">
        <f t="shared" si="6"/>
        <v>#DIV/0!</v>
      </c>
      <c r="Q23" s="111" t="str">
        <f t="shared" si="7"/>
        <v>#DIV/0!</v>
      </c>
      <c r="R23" s="112">
        <f t="shared" si="8"/>
        <v>0</v>
      </c>
      <c r="S23" s="113" t="str">
        <f t="shared" si="9"/>
        <v>#DIV/0!</v>
      </c>
      <c r="T23" s="114"/>
      <c r="U23" s="114"/>
      <c r="V23" s="114"/>
      <c r="W23" s="114"/>
      <c r="X23" s="115"/>
      <c r="Y23" s="98"/>
      <c r="Z23" s="98"/>
    </row>
    <row r="24" collapsed="1">
      <c r="A24" s="413" t="str">
        <f t="shared" si="11"/>
        <v/>
      </c>
      <c r="B24" s="362" t="s">
        <v>96</v>
      </c>
      <c r="C24" s="414"/>
      <c r="D24" s="364">
        <f t="shared" ref="D24:F24" si="12">SUM(D13:D23)</f>
        <v>0</v>
      </c>
      <c r="E24" s="366">
        <f t="shared" si="12"/>
        <v>0</v>
      </c>
      <c r="F24" s="366">
        <f t="shared" si="12"/>
        <v>0</v>
      </c>
      <c r="G24" s="367" t="str">
        <f t="shared" si="1"/>
        <v>#DIV/0!</v>
      </c>
      <c r="H24" s="365" t="str">
        <f t="shared" si="2"/>
        <v>#DIV/0!</v>
      </c>
      <c r="I24" s="368" t="str">
        <f t="shared" si="3"/>
        <v>#DIV/0!</v>
      </c>
      <c r="J24" s="369">
        <f t="shared" ref="J24:M24" si="13">SUM(J13:J23)</f>
        <v>22.48</v>
      </c>
      <c r="K24" s="366">
        <f t="shared" si="13"/>
        <v>3411</v>
      </c>
      <c r="L24" s="366">
        <f t="shared" si="13"/>
        <v>0</v>
      </c>
      <c r="M24" s="364">
        <f t="shared" si="13"/>
        <v>0</v>
      </c>
      <c r="N24" s="371" t="str">
        <f t="shared" si="10"/>
        <v>#DIV/0!</v>
      </c>
      <c r="O24" s="372">
        <f t="shared" si="5"/>
        <v>0</v>
      </c>
      <c r="P24" s="371" t="str">
        <f t="shared" si="6"/>
        <v>#DIV/0!</v>
      </c>
      <c r="Q24" s="373" t="str">
        <f t="shared" si="7"/>
        <v>#DIV/0!</v>
      </c>
      <c r="R24" s="374">
        <f>SUM(R13:R23)</f>
        <v>0</v>
      </c>
      <c r="S24" s="375" t="str">
        <f t="shared" si="9"/>
        <v>#DIV/0!</v>
      </c>
      <c r="T24" s="415" t="str">
        <f t="shared" ref="T24:U24" si="14">IFERROR((D24-#REF!)/D24,)</f>
        <v/>
      </c>
      <c r="U24" s="415" t="str">
        <f t="shared" si="14"/>
        <v/>
      </c>
      <c r="V24" s="377" t="str">
        <f t="shared" ref="V24:W24" si="15">IFERROR((D24-#REF!)/D24, )</f>
        <v/>
      </c>
      <c r="W24" s="378" t="str">
        <f t="shared" si="15"/>
        <v/>
      </c>
      <c r="X24" s="98"/>
      <c r="Y24" s="98"/>
      <c r="Z24" s="98"/>
    </row>
    <row r="25" hidden="1" outlineLevel="1">
      <c r="A25" s="205"/>
      <c r="B25" s="206">
        <v>45718.0</v>
      </c>
      <c r="C25" s="200" t="s">
        <v>70</v>
      </c>
      <c r="D25" s="101"/>
      <c r="E25" s="103"/>
      <c r="F25" s="103"/>
      <c r="G25" s="104" t="str">
        <f t="shared" si="1"/>
        <v>#DIV/0!</v>
      </c>
      <c r="H25" s="105" t="str">
        <f t="shared" si="2"/>
        <v>#DIV/0!</v>
      </c>
      <c r="I25" s="106" t="str">
        <f t="shared" si="3"/>
        <v>#DIV/0!</v>
      </c>
      <c r="J25" s="170">
        <v>0.0</v>
      </c>
      <c r="K25" s="169">
        <v>0.0</v>
      </c>
      <c r="L25" s="103"/>
      <c r="M25" s="171">
        <v>0.0</v>
      </c>
      <c r="N25" s="216" t="str">
        <f t="shared" si="10"/>
        <v>#DIV/0!</v>
      </c>
      <c r="O25" s="217" t="str">
        <f t="shared" si="5"/>
        <v>#DIV/0!</v>
      </c>
      <c r="P25" s="216" t="str">
        <f t="shared" si="6"/>
        <v>#DIV/0!</v>
      </c>
      <c r="Q25" s="315" t="str">
        <f t="shared" si="7"/>
        <v>#DIV/0!</v>
      </c>
      <c r="R25" s="316">
        <f t="shared" ref="R25:R35" si="16">D25-M25</f>
        <v>0</v>
      </c>
      <c r="S25" s="317" t="str">
        <f t="shared" si="9"/>
        <v>#DIV/0!</v>
      </c>
      <c r="T25" s="221"/>
      <c r="U25" s="221"/>
      <c r="V25" s="221"/>
      <c r="W25" s="221"/>
      <c r="X25" s="14"/>
    </row>
    <row r="26" hidden="1" outlineLevel="1">
      <c r="A26" s="205"/>
      <c r="B26" s="206"/>
      <c r="C26" s="200" t="s">
        <v>71</v>
      </c>
      <c r="D26" s="117"/>
      <c r="E26" s="103"/>
      <c r="F26" s="103"/>
      <c r="G26" s="104" t="str">
        <f t="shared" si="1"/>
        <v>#DIV/0!</v>
      </c>
      <c r="H26" s="105" t="str">
        <f t="shared" si="2"/>
        <v>#DIV/0!</v>
      </c>
      <c r="I26" s="106" t="str">
        <f t="shared" si="3"/>
        <v>#DIV/0!</v>
      </c>
      <c r="J26" s="175">
        <v>3.12</v>
      </c>
      <c r="K26" s="314">
        <v>1138.0</v>
      </c>
      <c r="L26" s="103"/>
      <c r="M26" s="176">
        <v>0.0</v>
      </c>
      <c r="N26" s="216" t="str">
        <f t="shared" si="10"/>
        <v>#DIV/0!</v>
      </c>
      <c r="O26" s="217">
        <f t="shared" si="5"/>
        <v>0</v>
      </c>
      <c r="P26" s="216" t="str">
        <f t="shared" si="6"/>
        <v>#DIV/0!</v>
      </c>
      <c r="Q26" s="315" t="str">
        <f t="shared" si="7"/>
        <v>#DIV/0!</v>
      </c>
      <c r="R26" s="318">
        <f t="shared" si="16"/>
        <v>0</v>
      </c>
      <c r="S26" s="317" t="str">
        <f t="shared" si="9"/>
        <v>#DIV/0!</v>
      </c>
      <c r="T26" s="221"/>
      <c r="U26" s="221"/>
      <c r="V26" s="221"/>
      <c r="W26" s="221"/>
      <c r="X26" s="14"/>
    </row>
    <row r="27" hidden="1" outlineLevel="1">
      <c r="A27" s="205"/>
      <c r="B27" s="206"/>
      <c r="C27" s="200" t="s">
        <v>72</v>
      </c>
      <c r="D27" s="120"/>
      <c r="E27" s="103"/>
      <c r="F27" s="103"/>
      <c r="G27" s="104" t="str">
        <f t="shared" si="1"/>
        <v>#DIV/0!</v>
      </c>
      <c r="H27" s="105" t="str">
        <f t="shared" si="2"/>
        <v>#DIV/0!</v>
      </c>
      <c r="I27" s="106" t="str">
        <f t="shared" si="3"/>
        <v>#DIV/0!</v>
      </c>
      <c r="J27" s="177">
        <v>6.03</v>
      </c>
      <c r="K27" s="314">
        <v>2153.0</v>
      </c>
      <c r="L27" s="103"/>
      <c r="M27" s="178">
        <v>0.0</v>
      </c>
      <c r="N27" s="216" t="str">
        <f>(J27/M27)</f>
        <v>#DIV/0!</v>
      </c>
      <c r="O27" s="217">
        <f t="shared" si="5"/>
        <v>0</v>
      </c>
      <c r="P27" s="216" t="str">
        <f t="shared" si="6"/>
        <v>#DIV/0!</v>
      </c>
      <c r="Q27" s="315" t="str">
        <f t="shared" si="7"/>
        <v>#DIV/0!</v>
      </c>
      <c r="R27" s="319">
        <f t="shared" si="16"/>
        <v>0</v>
      </c>
      <c r="S27" s="317" t="str">
        <f t="shared" si="9"/>
        <v>#DIV/0!</v>
      </c>
      <c r="T27" s="221"/>
      <c r="U27" s="221"/>
      <c r="V27" s="221"/>
      <c r="W27" s="221"/>
      <c r="X27" s="14"/>
    </row>
    <row r="28" hidden="1" outlineLevel="1">
      <c r="A28" s="205"/>
      <c r="B28" s="206"/>
      <c r="C28" s="200" t="s">
        <v>73</v>
      </c>
      <c r="D28" s="120"/>
      <c r="E28" s="103"/>
      <c r="F28" s="103"/>
      <c r="G28" s="104" t="str">
        <f t="shared" si="1"/>
        <v>#DIV/0!</v>
      </c>
      <c r="H28" s="105" t="str">
        <f t="shared" si="2"/>
        <v>#DIV/0!</v>
      </c>
      <c r="I28" s="106" t="str">
        <f t="shared" si="3"/>
        <v>#DIV/0!</v>
      </c>
      <c r="J28" s="177">
        <v>0.0</v>
      </c>
      <c r="K28" s="169">
        <v>0.0</v>
      </c>
      <c r="L28" s="103"/>
      <c r="M28" s="178">
        <v>0.0</v>
      </c>
      <c r="N28" s="216" t="str">
        <f t="shared" ref="N28:N38" si="17">J28/M28</f>
        <v>#DIV/0!</v>
      </c>
      <c r="O28" s="217" t="str">
        <f t="shared" si="5"/>
        <v>#DIV/0!</v>
      </c>
      <c r="P28" s="216" t="str">
        <f t="shared" si="6"/>
        <v>#DIV/0!</v>
      </c>
      <c r="Q28" s="315" t="str">
        <f t="shared" si="7"/>
        <v>#DIV/0!</v>
      </c>
      <c r="R28" s="319">
        <f t="shared" si="16"/>
        <v>0</v>
      </c>
      <c r="S28" s="317" t="str">
        <f t="shared" si="9"/>
        <v>#DIV/0!</v>
      </c>
      <c r="T28" s="221"/>
      <c r="U28" s="221"/>
      <c r="V28" s="221"/>
      <c r="W28" s="221"/>
      <c r="X28" s="14"/>
    </row>
    <row r="29" hidden="1" outlineLevel="1">
      <c r="A29" s="205"/>
      <c r="B29" s="206"/>
      <c r="C29" s="200" t="s">
        <v>74</v>
      </c>
      <c r="D29" s="300"/>
      <c r="E29" s="103"/>
      <c r="F29" s="103"/>
      <c r="G29" s="104" t="str">
        <f t="shared" si="1"/>
        <v>#DIV/0!</v>
      </c>
      <c r="H29" s="105" t="str">
        <f t="shared" si="2"/>
        <v>#DIV/0!</v>
      </c>
      <c r="I29" s="106" t="str">
        <f t="shared" si="3"/>
        <v>#DIV/0!</v>
      </c>
      <c r="J29" s="320">
        <v>0.0</v>
      </c>
      <c r="K29" s="169">
        <v>0.0</v>
      </c>
      <c r="L29" s="103"/>
      <c r="M29" s="320">
        <v>0.0</v>
      </c>
      <c r="N29" s="216" t="str">
        <f t="shared" si="17"/>
        <v>#DIV/0!</v>
      </c>
      <c r="O29" s="217" t="str">
        <f t="shared" si="5"/>
        <v>#DIV/0!</v>
      </c>
      <c r="P29" s="216" t="str">
        <f t="shared" si="6"/>
        <v>#DIV/0!</v>
      </c>
      <c r="Q29" s="315" t="str">
        <f t="shared" si="7"/>
        <v>#DIV/0!</v>
      </c>
      <c r="R29" s="319">
        <f t="shared" si="16"/>
        <v>0</v>
      </c>
      <c r="S29" s="317" t="str">
        <f t="shared" si="9"/>
        <v>#DIV/0!</v>
      </c>
      <c r="T29" s="221"/>
      <c r="U29" s="221"/>
      <c r="V29" s="221"/>
      <c r="W29" s="221"/>
      <c r="X29" s="14"/>
    </row>
    <row r="30" hidden="1" outlineLevel="1">
      <c r="A30" s="205"/>
      <c r="B30" s="206"/>
      <c r="C30" s="200" t="s">
        <v>75</v>
      </c>
      <c r="D30" s="302"/>
      <c r="E30" s="103"/>
      <c r="F30" s="103"/>
      <c r="G30" s="104" t="str">
        <f t="shared" si="1"/>
        <v>#DIV/0!</v>
      </c>
      <c r="H30" s="105" t="str">
        <f t="shared" si="2"/>
        <v>#DIV/0!</v>
      </c>
      <c r="I30" s="106" t="str">
        <f t="shared" si="3"/>
        <v>#DIV/0!</v>
      </c>
      <c r="J30" s="321">
        <v>0.0</v>
      </c>
      <c r="K30" s="169">
        <v>0.0</v>
      </c>
      <c r="L30" s="103"/>
      <c r="M30" s="322">
        <v>0.0</v>
      </c>
      <c r="N30" s="216" t="str">
        <f t="shared" si="17"/>
        <v>#DIV/0!</v>
      </c>
      <c r="O30" s="217" t="str">
        <f t="shared" si="5"/>
        <v>#DIV/0!</v>
      </c>
      <c r="P30" s="216" t="str">
        <f t="shared" si="6"/>
        <v>#DIV/0!</v>
      </c>
      <c r="Q30" s="315" t="str">
        <f t="shared" si="7"/>
        <v>#DIV/0!</v>
      </c>
      <c r="R30" s="323">
        <f t="shared" si="16"/>
        <v>0</v>
      </c>
      <c r="S30" s="317" t="str">
        <f t="shared" si="9"/>
        <v>#DIV/0!</v>
      </c>
      <c r="T30" s="221"/>
      <c r="U30" s="221"/>
      <c r="V30" s="221"/>
      <c r="W30" s="221"/>
      <c r="X30" s="14"/>
    </row>
    <row r="31" hidden="1" outlineLevel="1">
      <c r="A31" s="205"/>
      <c r="B31" s="206"/>
      <c r="C31" s="200" t="s">
        <v>76</v>
      </c>
      <c r="D31" s="120"/>
      <c r="E31" s="103"/>
      <c r="F31" s="103"/>
      <c r="G31" s="104" t="str">
        <f t="shared" si="1"/>
        <v>#DIV/0!</v>
      </c>
      <c r="H31" s="105" t="str">
        <f t="shared" si="2"/>
        <v>#DIV/0!</v>
      </c>
      <c r="I31" s="106" t="str">
        <f t="shared" si="3"/>
        <v>#DIV/0!</v>
      </c>
      <c r="J31" s="177">
        <v>65.17</v>
      </c>
      <c r="K31" s="314">
        <v>8142.0</v>
      </c>
      <c r="L31" s="103"/>
      <c r="M31" s="178">
        <v>0.0</v>
      </c>
      <c r="N31" s="216" t="str">
        <f t="shared" si="17"/>
        <v>#DIV/0!</v>
      </c>
      <c r="O31" s="217">
        <f t="shared" si="5"/>
        <v>0</v>
      </c>
      <c r="P31" s="216" t="str">
        <f t="shared" si="6"/>
        <v>#DIV/0!</v>
      </c>
      <c r="Q31" s="315" t="str">
        <f t="shared" si="7"/>
        <v>#DIV/0!</v>
      </c>
      <c r="R31" s="319">
        <f t="shared" si="16"/>
        <v>0</v>
      </c>
      <c r="S31" s="317" t="str">
        <f t="shared" si="9"/>
        <v>#DIV/0!</v>
      </c>
      <c r="T31" s="221"/>
      <c r="U31" s="221"/>
      <c r="V31" s="221"/>
      <c r="W31" s="221"/>
      <c r="X31" s="14"/>
    </row>
    <row r="32" hidden="1" outlineLevel="1">
      <c r="A32" s="205"/>
      <c r="B32" s="324" t="s">
        <v>37</v>
      </c>
      <c r="C32" s="200" t="s">
        <v>77</v>
      </c>
      <c r="D32" s="123"/>
      <c r="E32" s="103"/>
      <c r="F32" s="103"/>
      <c r="G32" s="104" t="str">
        <f t="shared" si="1"/>
        <v>#DIV/0!</v>
      </c>
      <c r="H32" s="105" t="str">
        <f t="shared" si="2"/>
        <v>#DIV/0!</v>
      </c>
      <c r="I32" s="106" t="str">
        <f t="shared" si="3"/>
        <v>#DIV/0!</v>
      </c>
      <c r="J32" s="180">
        <v>0.0</v>
      </c>
      <c r="K32" s="169">
        <v>0.0</v>
      </c>
      <c r="L32" s="103"/>
      <c r="M32" s="181">
        <v>0.0</v>
      </c>
      <c r="N32" s="216" t="str">
        <f t="shared" si="17"/>
        <v>#DIV/0!</v>
      </c>
      <c r="O32" s="217" t="str">
        <f t="shared" si="5"/>
        <v>#DIV/0!</v>
      </c>
      <c r="P32" s="216" t="str">
        <f t="shared" si="6"/>
        <v>#DIV/0!</v>
      </c>
      <c r="Q32" s="315" t="str">
        <f t="shared" si="7"/>
        <v>#DIV/0!</v>
      </c>
      <c r="R32" s="325">
        <f t="shared" si="16"/>
        <v>0</v>
      </c>
      <c r="S32" s="317" t="str">
        <f t="shared" si="9"/>
        <v>#DIV/0!</v>
      </c>
      <c r="T32" s="221"/>
      <c r="U32" s="221"/>
      <c r="V32" s="221"/>
      <c r="W32" s="221"/>
      <c r="X32" s="14"/>
    </row>
    <row r="33" hidden="1" outlineLevel="1">
      <c r="A33" s="205"/>
      <c r="B33" s="206"/>
      <c r="C33" s="200" t="s">
        <v>78</v>
      </c>
      <c r="D33" s="126"/>
      <c r="E33" s="103"/>
      <c r="F33" s="103"/>
      <c r="G33" s="104" t="str">
        <f t="shared" si="1"/>
        <v>#DIV/0!</v>
      </c>
      <c r="H33" s="105" t="str">
        <f t="shared" si="2"/>
        <v>#DIV/0!</v>
      </c>
      <c r="I33" s="106" t="str">
        <f t="shared" si="3"/>
        <v>#DIV/0!</v>
      </c>
      <c r="J33" s="182">
        <v>0.0</v>
      </c>
      <c r="K33" s="169">
        <v>0.0</v>
      </c>
      <c r="L33" s="103"/>
      <c r="M33" s="183">
        <v>0.0</v>
      </c>
      <c r="N33" s="216" t="str">
        <f t="shared" si="17"/>
        <v>#DIV/0!</v>
      </c>
      <c r="O33" s="217" t="str">
        <f t="shared" si="5"/>
        <v>#DIV/0!</v>
      </c>
      <c r="P33" s="216" t="str">
        <f t="shared" si="6"/>
        <v>#DIV/0!</v>
      </c>
      <c r="Q33" s="315" t="str">
        <f t="shared" si="7"/>
        <v>#DIV/0!</v>
      </c>
      <c r="R33" s="326">
        <f t="shared" si="16"/>
        <v>0</v>
      </c>
      <c r="S33" s="317" t="str">
        <f t="shared" si="9"/>
        <v>#DIV/0!</v>
      </c>
      <c r="T33" s="221"/>
      <c r="U33" s="221"/>
      <c r="V33" s="221"/>
      <c r="W33" s="221"/>
      <c r="X33" s="14"/>
    </row>
    <row r="34" hidden="1" outlineLevel="1">
      <c r="A34" s="205"/>
      <c r="B34" s="206"/>
      <c r="C34" s="200" t="s">
        <v>79</v>
      </c>
      <c r="D34" s="129"/>
      <c r="E34" s="103"/>
      <c r="F34" s="103"/>
      <c r="G34" s="104" t="str">
        <f t="shared" si="1"/>
        <v>#DIV/0!</v>
      </c>
      <c r="H34" s="105" t="str">
        <f t="shared" si="2"/>
        <v>#DIV/0!</v>
      </c>
      <c r="I34" s="106" t="str">
        <f t="shared" si="3"/>
        <v>#DIV/0!</v>
      </c>
      <c r="J34" s="184">
        <v>40.37</v>
      </c>
      <c r="K34" s="314">
        <v>5478.0</v>
      </c>
      <c r="L34" s="103"/>
      <c r="M34" s="185">
        <v>54.79</v>
      </c>
      <c r="N34" s="216">
        <f t="shared" si="17"/>
        <v>0.7368132871</v>
      </c>
      <c r="O34" s="217">
        <f t="shared" si="5"/>
        <v>1.357195938</v>
      </c>
      <c r="P34" s="216" t="str">
        <f t="shared" si="6"/>
        <v>#DIV/0!</v>
      </c>
      <c r="Q34" s="315" t="str">
        <f t="shared" si="7"/>
        <v>#DIV/0!</v>
      </c>
      <c r="R34" s="327">
        <f t="shared" si="16"/>
        <v>-54.79</v>
      </c>
      <c r="S34" s="317" t="str">
        <f t="shared" si="9"/>
        <v>#DIV/0!</v>
      </c>
      <c r="T34" s="221"/>
      <c r="U34" s="221"/>
      <c r="V34" s="221"/>
      <c r="W34" s="221"/>
      <c r="X34" s="14"/>
    </row>
    <row r="35" hidden="1" outlineLevel="1">
      <c r="A35" s="205" t="str">
        <f t="shared" ref="A35:A36" si="18">iferror(if(B35&gt;0,month(B35)&amp;"-"&amp;year(B35),B35),)</f>
        <v>3-2025</v>
      </c>
      <c r="B35" s="206">
        <v>45724.0</v>
      </c>
      <c r="C35" s="200" t="s">
        <v>81</v>
      </c>
      <c r="D35" s="329"/>
      <c r="E35" s="210"/>
      <c r="F35" s="210"/>
      <c r="G35" s="211" t="str">
        <f t="shared" si="1"/>
        <v>#DIV/0!</v>
      </c>
      <c r="H35" s="212" t="str">
        <f t="shared" si="2"/>
        <v>#DIV/0!</v>
      </c>
      <c r="I35" s="330" t="str">
        <f t="shared" si="3"/>
        <v>#DIV/0!</v>
      </c>
      <c r="J35" s="175">
        <v>0.0</v>
      </c>
      <c r="K35" s="169">
        <v>0.0</v>
      </c>
      <c r="L35" s="103"/>
      <c r="M35" s="176">
        <v>0.0</v>
      </c>
      <c r="N35" s="216" t="str">
        <f t="shared" si="17"/>
        <v>#DIV/0!</v>
      </c>
      <c r="O35" s="217" t="str">
        <f t="shared" si="5"/>
        <v>#DIV/0!</v>
      </c>
      <c r="P35" s="216" t="str">
        <f t="shared" si="6"/>
        <v>#DIV/0!</v>
      </c>
      <c r="Q35" s="315" t="str">
        <f t="shared" si="7"/>
        <v>#DIV/0!</v>
      </c>
      <c r="R35" s="316">
        <f t="shared" si="16"/>
        <v>0</v>
      </c>
      <c r="S35" s="317" t="str">
        <f t="shared" si="9"/>
        <v>#DIV/0!</v>
      </c>
      <c r="T35" s="221"/>
      <c r="U35" s="221"/>
      <c r="V35" s="221"/>
      <c r="W35" s="221"/>
      <c r="X35" s="14"/>
    </row>
    <row r="36" collapsed="1">
      <c r="A36" s="382" t="str">
        <f t="shared" si="18"/>
        <v/>
      </c>
      <c r="B36" s="383" t="s">
        <v>97</v>
      </c>
      <c r="C36" s="384"/>
      <c r="D36" s="385">
        <f t="shared" ref="D36:F36" si="19">SUM(D25:D35)</f>
        <v>0</v>
      </c>
      <c r="E36" s="387">
        <f t="shared" si="19"/>
        <v>0</v>
      </c>
      <c r="F36" s="387">
        <f t="shared" si="19"/>
        <v>0</v>
      </c>
      <c r="G36" s="388" t="str">
        <f t="shared" si="1"/>
        <v>#DIV/0!</v>
      </c>
      <c r="H36" s="386" t="str">
        <f t="shared" si="2"/>
        <v>#DIV/0!</v>
      </c>
      <c r="I36" s="389" t="str">
        <f t="shared" si="3"/>
        <v>#DIV/0!</v>
      </c>
      <c r="J36" s="390">
        <f t="shared" ref="J36:M36" si="20">SUM(J25:J35)</f>
        <v>114.69</v>
      </c>
      <c r="K36" s="387">
        <f t="shared" si="20"/>
        <v>16911</v>
      </c>
      <c r="L36" s="387">
        <f t="shared" si="20"/>
        <v>0</v>
      </c>
      <c r="M36" s="385">
        <f t="shared" si="20"/>
        <v>54.79</v>
      </c>
      <c r="N36" s="391">
        <f t="shared" si="17"/>
        <v>2.093265194</v>
      </c>
      <c r="O36" s="392">
        <f t="shared" si="5"/>
        <v>0.4777225565</v>
      </c>
      <c r="P36" s="391" t="str">
        <f t="shared" si="6"/>
        <v>#DIV/0!</v>
      </c>
      <c r="Q36" s="393" t="str">
        <f t="shared" si="7"/>
        <v>#DIV/0!</v>
      </c>
      <c r="R36" s="394">
        <f>SUM(R25:R35)</f>
        <v>-54.79</v>
      </c>
      <c r="S36" s="395" t="str">
        <f t="shared" si="9"/>
        <v>#DIV/0!</v>
      </c>
      <c r="T36" s="396" t="str">
        <f t="shared" ref="T36:U36" si="21">IFERROR((D36-#REF!)/D36,)</f>
        <v/>
      </c>
      <c r="U36" s="396" t="str">
        <f t="shared" si="21"/>
        <v/>
      </c>
      <c r="V36" s="396" t="str">
        <f t="shared" ref="V36:W36" si="22">IFERROR((D36-#REF!)/D36, )</f>
        <v/>
      </c>
      <c r="W36" s="397" t="str">
        <f t="shared" si="22"/>
        <v/>
      </c>
      <c r="X36" s="97"/>
    </row>
    <row r="37" hidden="1" outlineLevel="1">
      <c r="A37" s="205"/>
      <c r="B37" s="206">
        <v>45725.0</v>
      </c>
      <c r="C37" s="200" t="s">
        <v>70</v>
      </c>
      <c r="D37" s="101"/>
      <c r="E37" s="103"/>
      <c r="F37" s="103"/>
      <c r="G37" s="104" t="str">
        <f t="shared" si="1"/>
        <v>#DIV/0!</v>
      </c>
      <c r="H37" s="105" t="str">
        <f t="shared" si="2"/>
        <v>#DIV/0!</v>
      </c>
      <c r="I37" s="106" t="str">
        <f t="shared" si="3"/>
        <v>#DIV/0!</v>
      </c>
      <c r="J37" s="170">
        <v>50.0</v>
      </c>
      <c r="K37" s="314">
        <v>4272.0</v>
      </c>
      <c r="L37" s="103"/>
      <c r="M37" s="171">
        <v>0.0</v>
      </c>
      <c r="N37" s="216" t="str">
        <f t="shared" si="17"/>
        <v>#DIV/0!</v>
      </c>
      <c r="O37" s="217">
        <f t="shared" si="5"/>
        <v>0</v>
      </c>
      <c r="P37" s="216" t="str">
        <f t="shared" si="6"/>
        <v>#DIV/0!</v>
      </c>
      <c r="Q37" s="315" t="str">
        <f t="shared" si="7"/>
        <v>#DIV/0!</v>
      </c>
      <c r="R37" s="316">
        <f t="shared" ref="R37:R47" si="23">D37-M37</f>
        <v>0</v>
      </c>
      <c r="S37" s="317" t="str">
        <f t="shared" si="9"/>
        <v>#DIV/0!</v>
      </c>
      <c r="T37" s="221"/>
      <c r="U37" s="221"/>
      <c r="V37" s="221"/>
      <c r="W37" s="221"/>
      <c r="X37" s="14"/>
    </row>
    <row r="38" hidden="1" outlineLevel="1">
      <c r="A38" s="205"/>
      <c r="B38" s="206"/>
      <c r="C38" s="200" t="s">
        <v>71</v>
      </c>
      <c r="D38" s="117"/>
      <c r="E38" s="103"/>
      <c r="F38" s="103"/>
      <c r="G38" s="104" t="str">
        <f t="shared" si="1"/>
        <v>#DIV/0!</v>
      </c>
      <c r="H38" s="105" t="str">
        <f t="shared" si="2"/>
        <v>#DIV/0!</v>
      </c>
      <c r="I38" s="106" t="str">
        <f t="shared" si="3"/>
        <v>#DIV/0!</v>
      </c>
      <c r="J38" s="175">
        <v>4.24</v>
      </c>
      <c r="K38" s="314">
        <v>1961.0</v>
      </c>
      <c r="L38" s="103"/>
      <c r="M38" s="176">
        <v>59.95</v>
      </c>
      <c r="N38" s="216">
        <f t="shared" si="17"/>
        <v>0.07072560467</v>
      </c>
      <c r="O38" s="217">
        <f t="shared" si="5"/>
        <v>14.13915094</v>
      </c>
      <c r="P38" s="216" t="str">
        <f t="shared" si="6"/>
        <v>#DIV/0!</v>
      </c>
      <c r="Q38" s="315" t="str">
        <f t="shared" si="7"/>
        <v>#DIV/0!</v>
      </c>
      <c r="R38" s="318">
        <f t="shared" si="23"/>
        <v>-59.95</v>
      </c>
      <c r="S38" s="317" t="str">
        <f t="shared" si="9"/>
        <v>#DIV/0!</v>
      </c>
      <c r="T38" s="221"/>
      <c r="U38" s="221"/>
      <c r="V38" s="221"/>
      <c r="W38" s="221"/>
      <c r="X38" s="14"/>
    </row>
    <row r="39" hidden="1" outlineLevel="1">
      <c r="A39" s="205"/>
      <c r="B39" s="206"/>
      <c r="C39" s="200" t="s">
        <v>72</v>
      </c>
      <c r="D39" s="120"/>
      <c r="E39" s="103"/>
      <c r="F39" s="103"/>
      <c r="G39" s="104" t="str">
        <f t="shared" si="1"/>
        <v>#DIV/0!</v>
      </c>
      <c r="H39" s="105" t="str">
        <f t="shared" si="2"/>
        <v>#DIV/0!</v>
      </c>
      <c r="I39" s="106" t="str">
        <f t="shared" si="3"/>
        <v>#DIV/0!</v>
      </c>
      <c r="J39" s="177">
        <v>6.99</v>
      </c>
      <c r="K39" s="314">
        <v>1978.0</v>
      </c>
      <c r="L39" s="103"/>
      <c r="M39" s="178">
        <v>0.0</v>
      </c>
      <c r="N39" s="216" t="str">
        <f>(J39/M39)</f>
        <v>#DIV/0!</v>
      </c>
      <c r="O39" s="217">
        <f t="shared" si="5"/>
        <v>0</v>
      </c>
      <c r="P39" s="216" t="str">
        <f t="shared" si="6"/>
        <v>#DIV/0!</v>
      </c>
      <c r="Q39" s="315" t="str">
        <f t="shared" si="7"/>
        <v>#DIV/0!</v>
      </c>
      <c r="R39" s="319">
        <f t="shared" si="23"/>
        <v>0</v>
      </c>
      <c r="S39" s="317" t="str">
        <f t="shared" si="9"/>
        <v>#DIV/0!</v>
      </c>
      <c r="T39" s="221"/>
      <c r="U39" s="221"/>
      <c r="V39" s="221"/>
      <c r="W39" s="221"/>
      <c r="X39" s="14"/>
    </row>
    <row r="40" hidden="1" outlineLevel="1">
      <c r="A40" s="205"/>
      <c r="B40" s="206"/>
      <c r="C40" s="200" t="s">
        <v>73</v>
      </c>
      <c r="D40" s="120"/>
      <c r="E40" s="103"/>
      <c r="F40" s="103"/>
      <c r="G40" s="104" t="str">
        <f t="shared" si="1"/>
        <v>#DIV/0!</v>
      </c>
      <c r="H40" s="105" t="str">
        <f t="shared" si="2"/>
        <v>#DIV/0!</v>
      </c>
      <c r="I40" s="106" t="str">
        <f t="shared" si="3"/>
        <v>#DIV/0!</v>
      </c>
      <c r="J40" s="177">
        <v>4.27</v>
      </c>
      <c r="K40" s="314">
        <v>1321.0</v>
      </c>
      <c r="L40" s="103"/>
      <c r="M40" s="178">
        <v>59.95</v>
      </c>
      <c r="N40" s="216">
        <f t="shared" ref="N40:N50" si="24">J40/M40</f>
        <v>0.07122602168</v>
      </c>
      <c r="O40" s="217">
        <f t="shared" si="5"/>
        <v>14.03981265</v>
      </c>
      <c r="P40" s="216" t="str">
        <f t="shared" si="6"/>
        <v>#DIV/0!</v>
      </c>
      <c r="Q40" s="315" t="str">
        <f t="shared" si="7"/>
        <v>#DIV/0!</v>
      </c>
      <c r="R40" s="319">
        <f t="shared" si="23"/>
        <v>-59.95</v>
      </c>
      <c r="S40" s="317" t="str">
        <f t="shared" si="9"/>
        <v>#DIV/0!</v>
      </c>
      <c r="T40" s="221"/>
      <c r="U40" s="221"/>
      <c r="V40" s="221"/>
      <c r="W40" s="221"/>
      <c r="X40" s="14"/>
    </row>
    <row r="41" hidden="1" outlineLevel="1">
      <c r="A41" s="205"/>
      <c r="B41" s="206"/>
      <c r="C41" s="200" t="s">
        <v>74</v>
      </c>
      <c r="D41" s="300"/>
      <c r="E41" s="103"/>
      <c r="F41" s="103"/>
      <c r="G41" s="104" t="str">
        <f t="shared" si="1"/>
        <v>#DIV/0!</v>
      </c>
      <c r="H41" s="105" t="str">
        <f t="shared" si="2"/>
        <v>#DIV/0!</v>
      </c>
      <c r="I41" s="106" t="str">
        <f t="shared" si="3"/>
        <v>#DIV/0!</v>
      </c>
      <c r="J41" s="320">
        <v>0.0</v>
      </c>
      <c r="K41" s="314">
        <v>0.0</v>
      </c>
      <c r="L41" s="103"/>
      <c r="M41" s="320">
        <v>0.0</v>
      </c>
      <c r="N41" s="216" t="str">
        <f t="shared" si="24"/>
        <v>#DIV/0!</v>
      </c>
      <c r="O41" s="217" t="str">
        <f t="shared" si="5"/>
        <v>#DIV/0!</v>
      </c>
      <c r="P41" s="216" t="str">
        <f t="shared" si="6"/>
        <v>#DIV/0!</v>
      </c>
      <c r="Q41" s="315" t="str">
        <f t="shared" si="7"/>
        <v>#DIV/0!</v>
      </c>
      <c r="R41" s="319">
        <f t="shared" si="23"/>
        <v>0</v>
      </c>
      <c r="S41" s="317" t="str">
        <f t="shared" si="9"/>
        <v>#DIV/0!</v>
      </c>
      <c r="T41" s="221"/>
      <c r="U41" s="221"/>
      <c r="V41" s="221"/>
      <c r="W41" s="221"/>
      <c r="X41" s="14"/>
    </row>
    <row r="42" hidden="1" outlineLevel="1">
      <c r="A42" s="205"/>
      <c r="B42" s="206"/>
      <c r="C42" s="200" t="s">
        <v>75</v>
      </c>
      <c r="D42" s="302"/>
      <c r="E42" s="103"/>
      <c r="F42" s="103"/>
      <c r="G42" s="104" t="str">
        <f t="shared" si="1"/>
        <v>#DIV/0!</v>
      </c>
      <c r="H42" s="105" t="str">
        <f t="shared" si="2"/>
        <v>#DIV/0!</v>
      </c>
      <c r="I42" s="106" t="str">
        <f t="shared" si="3"/>
        <v>#DIV/0!</v>
      </c>
      <c r="J42" s="321">
        <v>0.0</v>
      </c>
      <c r="K42" s="314">
        <v>0.0</v>
      </c>
      <c r="L42" s="103"/>
      <c r="M42" s="322">
        <v>0.0</v>
      </c>
      <c r="N42" s="216" t="str">
        <f t="shared" si="24"/>
        <v>#DIV/0!</v>
      </c>
      <c r="O42" s="217" t="str">
        <f t="shared" si="5"/>
        <v>#DIV/0!</v>
      </c>
      <c r="P42" s="216" t="str">
        <f t="shared" si="6"/>
        <v>#DIV/0!</v>
      </c>
      <c r="Q42" s="315" t="str">
        <f t="shared" si="7"/>
        <v>#DIV/0!</v>
      </c>
      <c r="R42" s="323">
        <f t="shared" si="23"/>
        <v>0</v>
      </c>
      <c r="S42" s="317" t="str">
        <f t="shared" si="9"/>
        <v>#DIV/0!</v>
      </c>
      <c r="T42" s="221"/>
      <c r="U42" s="221"/>
      <c r="V42" s="221"/>
      <c r="W42" s="221"/>
      <c r="X42" s="14"/>
    </row>
    <row r="43" hidden="1" outlineLevel="1">
      <c r="A43" s="205"/>
      <c r="B43" s="206"/>
      <c r="C43" s="200" t="s">
        <v>76</v>
      </c>
      <c r="D43" s="120"/>
      <c r="E43" s="103"/>
      <c r="F43" s="103"/>
      <c r="G43" s="104" t="str">
        <f t="shared" si="1"/>
        <v>#DIV/0!</v>
      </c>
      <c r="H43" s="105" t="str">
        <f t="shared" si="2"/>
        <v>#DIV/0!</v>
      </c>
      <c r="I43" s="106" t="str">
        <f t="shared" si="3"/>
        <v>#DIV/0!</v>
      </c>
      <c r="J43" s="177">
        <v>20.37</v>
      </c>
      <c r="K43" s="314">
        <v>3504.0</v>
      </c>
      <c r="L43" s="103"/>
      <c r="M43" s="178">
        <v>899.0</v>
      </c>
      <c r="N43" s="216">
        <f t="shared" si="24"/>
        <v>0.02265850945</v>
      </c>
      <c r="O43" s="217">
        <f t="shared" si="5"/>
        <v>44.1335297</v>
      </c>
      <c r="P43" s="216" t="str">
        <f t="shared" si="6"/>
        <v>#DIV/0!</v>
      </c>
      <c r="Q43" s="315" t="str">
        <f t="shared" si="7"/>
        <v>#DIV/0!</v>
      </c>
      <c r="R43" s="319">
        <f t="shared" si="23"/>
        <v>-899</v>
      </c>
      <c r="S43" s="317" t="str">
        <f t="shared" si="9"/>
        <v>#DIV/0!</v>
      </c>
      <c r="T43" s="221"/>
      <c r="U43" s="221"/>
      <c r="V43" s="221"/>
      <c r="W43" s="221"/>
      <c r="X43" s="14"/>
    </row>
    <row r="44" hidden="1" outlineLevel="1">
      <c r="A44" s="205"/>
      <c r="B44" s="324" t="s">
        <v>37</v>
      </c>
      <c r="C44" s="200" t="s">
        <v>77</v>
      </c>
      <c r="D44" s="123"/>
      <c r="E44" s="103"/>
      <c r="F44" s="103"/>
      <c r="G44" s="104" t="str">
        <f t="shared" si="1"/>
        <v>#DIV/0!</v>
      </c>
      <c r="H44" s="105" t="str">
        <f t="shared" si="2"/>
        <v>#DIV/0!</v>
      </c>
      <c r="I44" s="106" t="str">
        <f t="shared" si="3"/>
        <v>#DIV/0!</v>
      </c>
      <c r="J44" s="180">
        <v>0.0</v>
      </c>
      <c r="K44" s="169">
        <v>0.0</v>
      </c>
      <c r="L44" s="103"/>
      <c r="M44" s="181">
        <v>0.0</v>
      </c>
      <c r="N44" s="216" t="str">
        <f t="shared" si="24"/>
        <v>#DIV/0!</v>
      </c>
      <c r="O44" s="217" t="str">
        <f t="shared" si="5"/>
        <v>#DIV/0!</v>
      </c>
      <c r="P44" s="216" t="str">
        <f t="shared" si="6"/>
        <v>#DIV/0!</v>
      </c>
      <c r="Q44" s="315" t="str">
        <f t="shared" si="7"/>
        <v>#DIV/0!</v>
      </c>
      <c r="R44" s="325">
        <f t="shared" si="23"/>
        <v>0</v>
      </c>
      <c r="S44" s="317" t="str">
        <f t="shared" si="9"/>
        <v>#DIV/0!</v>
      </c>
      <c r="T44" s="221"/>
      <c r="U44" s="221"/>
      <c r="V44" s="221"/>
      <c r="W44" s="221"/>
      <c r="X44" s="14"/>
    </row>
    <row r="45" hidden="1" outlineLevel="1">
      <c r="A45" s="205"/>
      <c r="B45" s="206"/>
      <c r="C45" s="200" t="s">
        <v>78</v>
      </c>
      <c r="D45" s="126"/>
      <c r="E45" s="103"/>
      <c r="F45" s="103"/>
      <c r="G45" s="104" t="str">
        <f t="shared" si="1"/>
        <v>#DIV/0!</v>
      </c>
      <c r="H45" s="105" t="str">
        <f t="shared" si="2"/>
        <v>#DIV/0!</v>
      </c>
      <c r="I45" s="106" t="str">
        <f t="shared" si="3"/>
        <v>#DIV/0!</v>
      </c>
      <c r="J45" s="182">
        <v>0.0</v>
      </c>
      <c r="K45" s="169">
        <v>0.0</v>
      </c>
      <c r="L45" s="103"/>
      <c r="M45" s="183">
        <v>0.0</v>
      </c>
      <c r="N45" s="216" t="str">
        <f t="shared" si="24"/>
        <v>#DIV/0!</v>
      </c>
      <c r="O45" s="217" t="str">
        <f t="shared" si="5"/>
        <v>#DIV/0!</v>
      </c>
      <c r="P45" s="216" t="str">
        <f t="shared" si="6"/>
        <v>#DIV/0!</v>
      </c>
      <c r="Q45" s="315" t="str">
        <f t="shared" si="7"/>
        <v>#DIV/0!</v>
      </c>
      <c r="R45" s="326">
        <f t="shared" si="23"/>
        <v>0</v>
      </c>
      <c r="S45" s="317" t="str">
        <f t="shared" si="9"/>
        <v>#DIV/0!</v>
      </c>
      <c r="T45" s="221"/>
      <c r="U45" s="221"/>
      <c r="V45" s="221"/>
      <c r="W45" s="221"/>
      <c r="X45" s="14"/>
    </row>
    <row r="46" hidden="1" outlineLevel="1">
      <c r="A46" s="205"/>
      <c r="B46" s="206"/>
      <c r="C46" s="200" t="s">
        <v>79</v>
      </c>
      <c r="D46" s="129"/>
      <c r="E46" s="103"/>
      <c r="F46" s="103"/>
      <c r="G46" s="104" t="str">
        <f t="shared" si="1"/>
        <v>#DIV/0!</v>
      </c>
      <c r="H46" s="105" t="str">
        <f t="shared" si="2"/>
        <v>#DIV/0!</v>
      </c>
      <c r="I46" s="106" t="str">
        <f t="shared" si="3"/>
        <v>#DIV/0!</v>
      </c>
      <c r="J46" s="184">
        <v>6.87</v>
      </c>
      <c r="K46" s="314">
        <v>1025.0</v>
      </c>
      <c r="L46" s="103"/>
      <c r="M46" s="185">
        <v>0.0</v>
      </c>
      <c r="N46" s="216" t="str">
        <f t="shared" si="24"/>
        <v>#DIV/0!</v>
      </c>
      <c r="O46" s="217">
        <f t="shared" si="5"/>
        <v>0</v>
      </c>
      <c r="P46" s="216" t="str">
        <f t="shared" si="6"/>
        <v>#DIV/0!</v>
      </c>
      <c r="Q46" s="315" t="str">
        <f t="shared" si="7"/>
        <v>#DIV/0!</v>
      </c>
      <c r="R46" s="327">
        <f t="shared" si="23"/>
        <v>0</v>
      </c>
      <c r="S46" s="317" t="str">
        <f t="shared" si="9"/>
        <v>#DIV/0!</v>
      </c>
      <c r="T46" s="221"/>
      <c r="U46" s="221"/>
      <c r="V46" s="221"/>
      <c r="W46" s="221"/>
      <c r="X46" s="14"/>
    </row>
    <row r="47" hidden="1" outlineLevel="1">
      <c r="A47" s="205" t="str">
        <f t="shared" ref="A47:A48" si="25">iferror(if(B47&gt;0,month(B47)&amp;"-"&amp;year(B47),B47),)</f>
        <v>3-2025</v>
      </c>
      <c r="B47" s="206">
        <v>45731.0</v>
      </c>
      <c r="C47" s="200" t="s">
        <v>81</v>
      </c>
      <c r="D47" s="329"/>
      <c r="E47" s="210"/>
      <c r="F47" s="210"/>
      <c r="G47" s="211" t="str">
        <f t="shared" si="1"/>
        <v>#DIV/0!</v>
      </c>
      <c r="H47" s="212" t="str">
        <f t="shared" si="2"/>
        <v>#DIV/0!</v>
      </c>
      <c r="I47" s="330" t="str">
        <f t="shared" si="3"/>
        <v>#DIV/0!</v>
      </c>
      <c r="J47" s="175">
        <v>0.0</v>
      </c>
      <c r="K47" s="169">
        <v>0.0</v>
      </c>
      <c r="L47" s="103"/>
      <c r="M47" s="176">
        <v>0.0</v>
      </c>
      <c r="N47" s="216" t="str">
        <f t="shared" si="24"/>
        <v>#DIV/0!</v>
      </c>
      <c r="O47" s="217" t="str">
        <f t="shared" si="5"/>
        <v>#DIV/0!</v>
      </c>
      <c r="P47" s="216" t="str">
        <f t="shared" si="6"/>
        <v>#DIV/0!</v>
      </c>
      <c r="Q47" s="315" t="str">
        <f t="shared" si="7"/>
        <v>#DIV/0!</v>
      </c>
      <c r="R47" s="316">
        <f t="shared" si="23"/>
        <v>0</v>
      </c>
      <c r="S47" s="317" t="str">
        <f t="shared" si="9"/>
        <v>#DIV/0!</v>
      </c>
      <c r="T47" s="221"/>
      <c r="U47" s="221"/>
      <c r="V47" s="221"/>
      <c r="W47" s="221"/>
      <c r="X47" s="14"/>
    </row>
    <row r="48" collapsed="1">
      <c r="A48" s="205" t="str">
        <f t="shared" si="25"/>
        <v/>
      </c>
      <c r="B48" s="80" t="s">
        <v>98</v>
      </c>
      <c r="C48" s="81"/>
      <c r="D48" s="82">
        <f t="shared" ref="D48:F48" si="26">SUM(D37:D47)</f>
        <v>0</v>
      </c>
      <c r="E48" s="84">
        <f t="shared" si="26"/>
        <v>0</v>
      </c>
      <c r="F48" s="84">
        <f t="shared" si="26"/>
        <v>0</v>
      </c>
      <c r="G48" s="85" t="str">
        <f t="shared" si="1"/>
        <v>#DIV/0!</v>
      </c>
      <c r="H48" s="86" t="str">
        <f t="shared" si="2"/>
        <v>#DIV/0!</v>
      </c>
      <c r="I48" s="87" t="str">
        <f t="shared" si="3"/>
        <v>#DIV/0!</v>
      </c>
      <c r="J48" s="82">
        <f t="shared" ref="J48:M48" si="27">SUM(J37:J47)</f>
        <v>92.74</v>
      </c>
      <c r="K48" s="416">
        <f t="shared" si="27"/>
        <v>14061</v>
      </c>
      <c r="L48" s="88">
        <f t="shared" si="27"/>
        <v>0</v>
      </c>
      <c r="M48" s="89">
        <f t="shared" si="27"/>
        <v>1018.9</v>
      </c>
      <c r="N48" s="90">
        <f t="shared" si="24"/>
        <v>0.09101972716</v>
      </c>
      <c r="O48" s="91">
        <f t="shared" si="5"/>
        <v>10.98662929</v>
      </c>
      <c r="P48" s="90" t="str">
        <f t="shared" si="6"/>
        <v>#DIV/0!</v>
      </c>
      <c r="Q48" s="92" t="str">
        <f t="shared" si="7"/>
        <v>#DIV/0!</v>
      </c>
      <c r="R48" s="233">
        <f>SUM(R37:R47)</f>
        <v>-1018.9</v>
      </c>
      <c r="S48" s="94" t="str">
        <f t="shared" si="9"/>
        <v>#DIV/0!</v>
      </c>
      <c r="T48" s="95" t="str">
        <f t="shared" ref="T48:U48" si="28">IFERROR((D48-D36)/D48,)</f>
        <v/>
      </c>
      <c r="U48" s="95" t="str">
        <f t="shared" si="28"/>
        <v/>
      </c>
      <c r="V48" s="96" t="str">
        <f t="shared" ref="V48:W48" si="29">IFERROR((D48-#REF!)/D48, )</f>
        <v/>
      </c>
      <c r="W48" s="96" t="str">
        <f t="shared" si="29"/>
        <v/>
      </c>
      <c r="X48" s="97"/>
    </row>
    <row r="49" hidden="1" outlineLevel="1">
      <c r="A49" s="205"/>
      <c r="B49" s="206">
        <v>45732.0</v>
      </c>
      <c r="C49" s="200" t="s">
        <v>70</v>
      </c>
      <c r="D49" s="101"/>
      <c r="E49" s="103"/>
      <c r="F49" s="103"/>
      <c r="G49" s="104" t="str">
        <f t="shared" si="1"/>
        <v>#DIV/0!</v>
      </c>
      <c r="H49" s="105" t="str">
        <f t="shared" si="2"/>
        <v>#DIV/0!</v>
      </c>
      <c r="I49" s="106" t="str">
        <f t="shared" si="3"/>
        <v>#DIV/0!</v>
      </c>
      <c r="J49" s="170">
        <v>9.53</v>
      </c>
      <c r="K49" s="314">
        <v>4368.0</v>
      </c>
      <c r="L49" s="103"/>
      <c r="M49" s="171">
        <v>0.0</v>
      </c>
      <c r="N49" s="216" t="str">
        <f t="shared" si="24"/>
        <v>#DIV/0!</v>
      </c>
      <c r="O49" s="217">
        <f t="shared" si="5"/>
        <v>0</v>
      </c>
      <c r="P49" s="216" t="str">
        <f t="shared" si="6"/>
        <v>#DIV/0!</v>
      </c>
      <c r="Q49" s="315" t="str">
        <f t="shared" si="7"/>
        <v>#DIV/0!</v>
      </c>
      <c r="R49" s="316">
        <f t="shared" ref="R49:R59" si="30">D49-M49</f>
        <v>0</v>
      </c>
      <c r="S49" s="317" t="str">
        <f t="shared" si="9"/>
        <v>#DIV/0!</v>
      </c>
      <c r="T49" s="221"/>
      <c r="U49" s="221"/>
      <c r="V49" s="221"/>
      <c r="W49" s="221"/>
      <c r="X49" s="14"/>
    </row>
    <row r="50" hidden="1" outlineLevel="1">
      <c r="A50" s="205"/>
      <c r="B50" s="206"/>
      <c r="C50" s="200" t="s">
        <v>71</v>
      </c>
      <c r="D50" s="117"/>
      <c r="E50" s="103"/>
      <c r="F50" s="103"/>
      <c r="G50" s="104" t="str">
        <f t="shared" si="1"/>
        <v>#DIV/0!</v>
      </c>
      <c r="H50" s="105" t="str">
        <f t="shared" si="2"/>
        <v>#DIV/0!</v>
      </c>
      <c r="I50" s="106" t="str">
        <f t="shared" si="3"/>
        <v>#DIV/0!</v>
      </c>
      <c r="J50" s="175">
        <v>6.77</v>
      </c>
      <c r="K50" s="314">
        <v>1236.0</v>
      </c>
      <c r="L50" s="103"/>
      <c r="M50" s="176">
        <v>59.95</v>
      </c>
      <c r="N50" s="216">
        <f t="shared" si="24"/>
        <v>0.1129274395</v>
      </c>
      <c r="O50" s="217">
        <f t="shared" si="5"/>
        <v>8.855243722</v>
      </c>
      <c r="P50" s="216" t="str">
        <f t="shared" si="6"/>
        <v>#DIV/0!</v>
      </c>
      <c r="Q50" s="315" t="str">
        <f t="shared" si="7"/>
        <v>#DIV/0!</v>
      </c>
      <c r="R50" s="318">
        <f t="shared" si="30"/>
        <v>-59.95</v>
      </c>
      <c r="S50" s="317" t="str">
        <f t="shared" si="9"/>
        <v>#DIV/0!</v>
      </c>
      <c r="T50" s="221"/>
      <c r="U50" s="221"/>
      <c r="V50" s="221"/>
      <c r="W50" s="221"/>
      <c r="X50" s="14"/>
    </row>
    <row r="51" hidden="1" outlineLevel="1">
      <c r="A51" s="205"/>
      <c r="B51" s="206"/>
      <c r="C51" s="200" t="s">
        <v>72</v>
      </c>
      <c r="D51" s="120"/>
      <c r="E51" s="103"/>
      <c r="F51" s="103"/>
      <c r="G51" s="104" t="str">
        <f t="shared" si="1"/>
        <v>#DIV/0!</v>
      </c>
      <c r="H51" s="105" t="str">
        <f t="shared" si="2"/>
        <v>#DIV/0!</v>
      </c>
      <c r="I51" s="106" t="str">
        <f t="shared" si="3"/>
        <v>#DIV/0!</v>
      </c>
      <c r="J51" s="177">
        <v>31.72</v>
      </c>
      <c r="K51" s="314">
        <v>3015.0</v>
      </c>
      <c r="L51" s="103"/>
      <c r="M51" s="178">
        <v>4.06</v>
      </c>
      <c r="N51" s="216">
        <f>(J51/M51)</f>
        <v>7.812807882</v>
      </c>
      <c r="O51" s="217">
        <f t="shared" si="5"/>
        <v>0.1279949559</v>
      </c>
      <c r="P51" s="216" t="str">
        <f t="shared" si="6"/>
        <v>#DIV/0!</v>
      </c>
      <c r="Q51" s="315" t="str">
        <f t="shared" si="7"/>
        <v>#DIV/0!</v>
      </c>
      <c r="R51" s="319">
        <f t="shared" si="30"/>
        <v>-4.06</v>
      </c>
      <c r="S51" s="317" t="str">
        <f t="shared" si="9"/>
        <v>#DIV/0!</v>
      </c>
      <c r="T51" s="221"/>
      <c r="U51" s="221"/>
      <c r="V51" s="221"/>
      <c r="W51" s="221"/>
      <c r="X51" s="14"/>
    </row>
    <row r="52" hidden="1" outlineLevel="1">
      <c r="A52" s="205"/>
      <c r="B52" s="206"/>
      <c r="C52" s="200" t="s">
        <v>73</v>
      </c>
      <c r="D52" s="120"/>
      <c r="E52" s="103"/>
      <c r="F52" s="103"/>
      <c r="G52" s="104" t="str">
        <f t="shared" si="1"/>
        <v>#DIV/0!</v>
      </c>
      <c r="H52" s="105" t="str">
        <f t="shared" si="2"/>
        <v>#DIV/0!</v>
      </c>
      <c r="I52" s="106" t="str">
        <f t="shared" si="3"/>
        <v>#DIV/0!</v>
      </c>
      <c r="J52" s="177">
        <v>20.73</v>
      </c>
      <c r="K52" s="314">
        <v>4270.0</v>
      </c>
      <c r="L52" s="103"/>
      <c r="M52" s="178">
        <v>0.0</v>
      </c>
      <c r="N52" s="216" t="str">
        <f t="shared" ref="N52:N62" si="31">J52/M52</f>
        <v>#DIV/0!</v>
      </c>
      <c r="O52" s="217">
        <f t="shared" si="5"/>
        <v>0</v>
      </c>
      <c r="P52" s="216" t="str">
        <f t="shared" si="6"/>
        <v>#DIV/0!</v>
      </c>
      <c r="Q52" s="315" t="str">
        <f t="shared" si="7"/>
        <v>#DIV/0!</v>
      </c>
      <c r="R52" s="319">
        <f t="shared" si="30"/>
        <v>0</v>
      </c>
      <c r="S52" s="317" t="str">
        <f t="shared" si="9"/>
        <v>#DIV/0!</v>
      </c>
      <c r="T52" s="221"/>
      <c r="U52" s="221"/>
      <c r="V52" s="221"/>
      <c r="W52" s="221"/>
      <c r="X52" s="14"/>
    </row>
    <row r="53" hidden="1" outlineLevel="1">
      <c r="A53" s="205"/>
      <c r="B53" s="206"/>
      <c r="C53" s="200" t="s">
        <v>74</v>
      </c>
      <c r="D53" s="300"/>
      <c r="E53" s="103"/>
      <c r="F53" s="103"/>
      <c r="G53" s="104" t="str">
        <f t="shared" si="1"/>
        <v>#DIV/0!</v>
      </c>
      <c r="H53" s="105" t="str">
        <f t="shared" si="2"/>
        <v>#DIV/0!</v>
      </c>
      <c r="I53" s="106" t="str">
        <f t="shared" si="3"/>
        <v>#DIV/0!</v>
      </c>
      <c r="J53" s="320">
        <v>0.0</v>
      </c>
      <c r="K53" s="169">
        <v>0.0</v>
      </c>
      <c r="L53" s="103"/>
      <c r="M53" s="320">
        <v>0.0</v>
      </c>
      <c r="N53" s="216" t="str">
        <f t="shared" si="31"/>
        <v>#DIV/0!</v>
      </c>
      <c r="O53" s="217" t="str">
        <f t="shared" si="5"/>
        <v>#DIV/0!</v>
      </c>
      <c r="P53" s="216" t="str">
        <f t="shared" si="6"/>
        <v>#DIV/0!</v>
      </c>
      <c r="Q53" s="315" t="str">
        <f t="shared" si="7"/>
        <v>#DIV/0!</v>
      </c>
      <c r="R53" s="319">
        <f t="shared" si="30"/>
        <v>0</v>
      </c>
      <c r="S53" s="317" t="str">
        <f t="shared" si="9"/>
        <v>#DIV/0!</v>
      </c>
      <c r="T53" s="221"/>
      <c r="U53" s="221"/>
      <c r="V53" s="221"/>
      <c r="W53" s="221"/>
      <c r="X53" s="14"/>
    </row>
    <row r="54" hidden="1" outlineLevel="1">
      <c r="A54" s="205"/>
      <c r="B54" s="206"/>
      <c r="C54" s="200" t="s">
        <v>75</v>
      </c>
      <c r="D54" s="302"/>
      <c r="E54" s="103"/>
      <c r="F54" s="103"/>
      <c r="G54" s="104" t="str">
        <f t="shared" si="1"/>
        <v>#DIV/0!</v>
      </c>
      <c r="H54" s="105" t="str">
        <f t="shared" si="2"/>
        <v>#DIV/0!</v>
      </c>
      <c r="I54" s="106" t="str">
        <f t="shared" si="3"/>
        <v>#DIV/0!</v>
      </c>
      <c r="J54" s="321">
        <v>0.04</v>
      </c>
      <c r="K54" s="169">
        <v>10.0</v>
      </c>
      <c r="L54" s="103"/>
      <c r="M54" s="322">
        <v>0.0</v>
      </c>
      <c r="N54" s="216" t="str">
        <f t="shared" si="31"/>
        <v>#DIV/0!</v>
      </c>
      <c r="O54" s="217">
        <f t="shared" si="5"/>
        <v>0</v>
      </c>
      <c r="P54" s="216" t="str">
        <f t="shared" si="6"/>
        <v>#DIV/0!</v>
      </c>
      <c r="Q54" s="315" t="str">
        <f t="shared" si="7"/>
        <v>#DIV/0!</v>
      </c>
      <c r="R54" s="323">
        <f t="shared" si="30"/>
        <v>0</v>
      </c>
      <c r="S54" s="317" t="str">
        <f t="shared" si="9"/>
        <v>#DIV/0!</v>
      </c>
      <c r="T54" s="221"/>
      <c r="U54" s="221"/>
      <c r="V54" s="221"/>
      <c r="W54" s="221"/>
      <c r="X54" s="14"/>
    </row>
    <row r="55" hidden="1" outlineLevel="1">
      <c r="A55" s="205"/>
      <c r="B55" s="206"/>
      <c r="C55" s="200" t="s">
        <v>76</v>
      </c>
      <c r="D55" s="120"/>
      <c r="E55" s="103"/>
      <c r="F55" s="103"/>
      <c r="G55" s="104" t="str">
        <f t="shared" si="1"/>
        <v>#DIV/0!</v>
      </c>
      <c r="H55" s="105" t="str">
        <f t="shared" si="2"/>
        <v>#DIV/0!</v>
      </c>
      <c r="I55" s="106" t="str">
        <f t="shared" si="3"/>
        <v>#DIV/0!</v>
      </c>
      <c r="J55" s="177">
        <v>3.03</v>
      </c>
      <c r="K55" s="169">
        <v>344.0</v>
      </c>
      <c r="L55" s="103"/>
      <c r="M55" s="178">
        <v>0.0</v>
      </c>
      <c r="N55" s="216" t="str">
        <f t="shared" si="31"/>
        <v>#DIV/0!</v>
      </c>
      <c r="O55" s="217">
        <f t="shared" si="5"/>
        <v>0</v>
      </c>
      <c r="P55" s="216" t="str">
        <f t="shared" si="6"/>
        <v>#DIV/0!</v>
      </c>
      <c r="Q55" s="315" t="str">
        <f t="shared" si="7"/>
        <v>#DIV/0!</v>
      </c>
      <c r="R55" s="319">
        <f t="shared" si="30"/>
        <v>0</v>
      </c>
      <c r="S55" s="317" t="str">
        <f t="shared" si="9"/>
        <v>#DIV/0!</v>
      </c>
      <c r="T55" s="221"/>
      <c r="U55" s="221"/>
      <c r="V55" s="221"/>
      <c r="W55" s="221"/>
      <c r="X55" s="14"/>
    </row>
    <row r="56" hidden="1" outlineLevel="1">
      <c r="A56" s="205"/>
      <c r="B56" s="324" t="s">
        <v>37</v>
      </c>
      <c r="C56" s="200" t="s">
        <v>77</v>
      </c>
      <c r="D56" s="123"/>
      <c r="E56" s="103"/>
      <c r="F56" s="103"/>
      <c r="G56" s="104" t="str">
        <f t="shared" si="1"/>
        <v>#DIV/0!</v>
      </c>
      <c r="H56" s="105" t="str">
        <f t="shared" si="2"/>
        <v>#DIV/0!</v>
      </c>
      <c r="I56" s="106" t="str">
        <f t="shared" si="3"/>
        <v>#DIV/0!</v>
      </c>
      <c r="J56" s="180">
        <v>0.69</v>
      </c>
      <c r="K56" s="169">
        <v>79.0</v>
      </c>
      <c r="L56" s="103"/>
      <c r="M56" s="181">
        <v>0.0</v>
      </c>
      <c r="N56" s="216" t="str">
        <f t="shared" si="31"/>
        <v>#DIV/0!</v>
      </c>
      <c r="O56" s="217">
        <f t="shared" si="5"/>
        <v>0</v>
      </c>
      <c r="P56" s="216" t="str">
        <f t="shared" si="6"/>
        <v>#DIV/0!</v>
      </c>
      <c r="Q56" s="315" t="str">
        <f t="shared" si="7"/>
        <v>#DIV/0!</v>
      </c>
      <c r="R56" s="325">
        <f t="shared" si="30"/>
        <v>0</v>
      </c>
      <c r="S56" s="317" t="str">
        <f t="shared" si="9"/>
        <v>#DIV/0!</v>
      </c>
      <c r="T56" s="221"/>
      <c r="U56" s="221"/>
      <c r="V56" s="221"/>
      <c r="W56" s="221"/>
      <c r="X56" s="14"/>
    </row>
    <row r="57" hidden="1" outlineLevel="1">
      <c r="A57" s="205"/>
      <c r="B57" s="206"/>
      <c r="C57" s="200" t="s">
        <v>78</v>
      </c>
      <c r="D57" s="126"/>
      <c r="E57" s="103"/>
      <c r="F57" s="103"/>
      <c r="G57" s="104" t="str">
        <f t="shared" si="1"/>
        <v>#DIV/0!</v>
      </c>
      <c r="H57" s="105" t="str">
        <f t="shared" si="2"/>
        <v>#DIV/0!</v>
      </c>
      <c r="I57" s="106" t="str">
        <f t="shared" si="3"/>
        <v>#DIV/0!</v>
      </c>
      <c r="J57" s="182">
        <v>20.21</v>
      </c>
      <c r="K57" s="314">
        <v>3545.0</v>
      </c>
      <c r="L57" s="103"/>
      <c r="M57" s="183">
        <v>0.0</v>
      </c>
      <c r="N57" s="216" t="str">
        <f t="shared" si="31"/>
        <v>#DIV/0!</v>
      </c>
      <c r="O57" s="217">
        <f t="shared" si="5"/>
        <v>0</v>
      </c>
      <c r="P57" s="216" t="str">
        <f t="shared" si="6"/>
        <v>#DIV/0!</v>
      </c>
      <c r="Q57" s="315" t="str">
        <f t="shared" si="7"/>
        <v>#DIV/0!</v>
      </c>
      <c r="R57" s="326">
        <f t="shared" si="30"/>
        <v>0</v>
      </c>
      <c r="S57" s="317" t="str">
        <f t="shared" si="9"/>
        <v>#DIV/0!</v>
      </c>
      <c r="T57" s="221"/>
      <c r="U57" s="221"/>
      <c r="V57" s="221"/>
      <c r="W57" s="221"/>
      <c r="X57" s="14"/>
    </row>
    <row r="58" hidden="1" outlineLevel="1">
      <c r="A58" s="205"/>
      <c r="B58" s="206"/>
      <c r="C58" s="200" t="s">
        <v>79</v>
      </c>
      <c r="D58" s="129"/>
      <c r="E58" s="103"/>
      <c r="F58" s="103"/>
      <c r="G58" s="104" t="str">
        <f t="shared" si="1"/>
        <v>#DIV/0!</v>
      </c>
      <c r="H58" s="105" t="str">
        <f t="shared" si="2"/>
        <v>#DIV/0!</v>
      </c>
      <c r="I58" s="106" t="str">
        <f t="shared" si="3"/>
        <v>#DIV/0!</v>
      </c>
      <c r="J58" s="184">
        <v>35.53</v>
      </c>
      <c r="K58" s="314">
        <v>3794.0</v>
      </c>
      <c r="L58" s="103"/>
      <c r="M58" s="185">
        <v>0.0</v>
      </c>
      <c r="N58" s="216" t="str">
        <f t="shared" si="31"/>
        <v>#DIV/0!</v>
      </c>
      <c r="O58" s="217">
        <f t="shared" si="5"/>
        <v>0</v>
      </c>
      <c r="P58" s="216" t="str">
        <f t="shared" si="6"/>
        <v>#DIV/0!</v>
      </c>
      <c r="Q58" s="315" t="str">
        <f t="shared" si="7"/>
        <v>#DIV/0!</v>
      </c>
      <c r="R58" s="327">
        <f t="shared" si="30"/>
        <v>0</v>
      </c>
      <c r="S58" s="317" t="str">
        <f t="shared" si="9"/>
        <v>#DIV/0!</v>
      </c>
      <c r="T58" s="221"/>
      <c r="U58" s="221"/>
      <c r="V58" s="221"/>
      <c r="W58" s="221"/>
      <c r="X58" s="14"/>
    </row>
    <row r="59" hidden="1" outlineLevel="1">
      <c r="A59" s="205" t="str">
        <f t="shared" ref="A59:A60" si="32">iferror(if(B59&gt;0,month(B59)&amp;"-"&amp;year(B59),B59),)</f>
        <v>3-2025</v>
      </c>
      <c r="B59" s="206">
        <v>45738.0</v>
      </c>
      <c r="C59" s="200" t="s">
        <v>81</v>
      </c>
      <c r="D59" s="329"/>
      <c r="E59" s="210"/>
      <c r="F59" s="210"/>
      <c r="G59" s="211" t="str">
        <f t="shared" si="1"/>
        <v>#DIV/0!</v>
      </c>
      <c r="H59" s="212" t="str">
        <f t="shared" si="2"/>
        <v>#DIV/0!</v>
      </c>
      <c r="I59" s="330" t="str">
        <f t="shared" si="3"/>
        <v>#DIV/0!</v>
      </c>
      <c r="J59" s="175">
        <v>0.0</v>
      </c>
      <c r="K59" s="169">
        <v>0.0</v>
      </c>
      <c r="L59" s="103"/>
      <c r="M59" s="176">
        <v>0.0</v>
      </c>
      <c r="N59" s="216" t="str">
        <f t="shared" si="31"/>
        <v>#DIV/0!</v>
      </c>
      <c r="O59" s="217" t="str">
        <f t="shared" si="5"/>
        <v>#DIV/0!</v>
      </c>
      <c r="P59" s="216" t="str">
        <f t="shared" si="6"/>
        <v>#DIV/0!</v>
      </c>
      <c r="Q59" s="315" t="str">
        <f t="shared" si="7"/>
        <v>#DIV/0!</v>
      </c>
      <c r="R59" s="316">
        <f t="shared" si="30"/>
        <v>0</v>
      </c>
      <c r="S59" s="317" t="str">
        <f t="shared" si="9"/>
        <v>#DIV/0!</v>
      </c>
      <c r="T59" s="221"/>
      <c r="U59" s="221"/>
      <c r="V59" s="221"/>
      <c r="W59" s="221"/>
      <c r="X59" s="14"/>
    </row>
    <row r="60" collapsed="1">
      <c r="A60" s="98" t="str">
        <f t="shared" si="32"/>
        <v/>
      </c>
      <c r="B60" s="80" t="s">
        <v>99</v>
      </c>
      <c r="C60" s="150"/>
      <c r="D60" s="151">
        <f t="shared" ref="D60:F60" si="33">SUM(D49:D59)</f>
        <v>0</v>
      </c>
      <c r="E60" s="202">
        <f t="shared" si="33"/>
        <v>0</v>
      </c>
      <c r="F60" s="202">
        <f t="shared" si="33"/>
        <v>0</v>
      </c>
      <c r="G60" s="154" t="str">
        <f t="shared" si="1"/>
        <v>#DIV/0!</v>
      </c>
      <c r="H60" s="155" t="str">
        <f t="shared" si="2"/>
        <v>#DIV/0!</v>
      </c>
      <c r="I60" s="156" t="str">
        <f t="shared" si="3"/>
        <v>#DIV/0!</v>
      </c>
      <c r="J60" s="151">
        <f t="shared" ref="J60:M60" si="34">SUM(J49:J59)</f>
        <v>128.25</v>
      </c>
      <c r="K60" s="313">
        <f t="shared" si="34"/>
        <v>20661</v>
      </c>
      <c r="L60" s="202">
        <f t="shared" si="34"/>
        <v>0</v>
      </c>
      <c r="M60" s="157">
        <f t="shared" si="34"/>
        <v>64.01</v>
      </c>
      <c r="N60" s="158">
        <f t="shared" si="31"/>
        <v>2.003593189</v>
      </c>
      <c r="O60" s="159">
        <f t="shared" si="5"/>
        <v>0.4991033138</v>
      </c>
      <c r="P60" s="158" t="str">
        <f t="shared" si="6"/>
        <v>#DIV/0!</v>
      </c>
      <c r="Q60" s="160" t="str">
        <f t="shared" si="7"/>
        <v>#DIV/0!</v>
      </c>
      <c r="R60" s="161">
        <f>SUM(R49:R59)</f>
        <v>-64.01</v>
      </c>
      <c r="S60" s="162" t="str">
        <f t="shared" si="9"/>
        <v>#DIV/0!</v>
      </c>
      <c r="T60" s="163" t="str">
        <f t="shared" ref="T60:U60" si="35">IFERROR((D60-D48)/D60,)</f>
        <v/>
      </c>
      <c r="U60" s="163" t="str">
        <f t="shared" si="35"/>
        <v/>
      </c>
      <c r="V60" s="164" t="str">
        <f t="shared" ref="V60:W60" si="36">IFERROR((D60-#REF!)/D60, )</f>
        <v/>
      </c>
      <c r="W60" s="164" t="str">
        <f t="shared" si="36"/>
        <v/>
      </c>
      <c r="X60" s="98"/>
      <c r="Y60" s="98"/>
      <c r="Z60" s="98"/>
    </row>
    <row r="61" hidden="1" outlineLevel="1">
      <c r="A61" s="293"/>
      <c r="B61" s="99">
        <v>45739.0</v>
      </c>
      <c r="C61" s="294" t="s">
        <v>70</v>
      </c>
      <c r="D61" s="295"/>
      <c r="E61" s="296"/>
      <c r="F61" s="296"/>
      <c r="G61" s="104" t="str">
        <f t="shared" si="1"/>
        <v>#DIV/0!</v>
      </c>
      <c r="H61" s="105" t="str">
        <f t="shared" si="2"/>
        <v>#DIV/0!</v>
      </c>
      <c r="I61" s="106" t="str">
        <f t="shared" si="3"/>
        <v>#DIV/0!</v>
      </c>
      <c r="J61" s="107">
        <v>10.74</v>
      </c>
      <c r="K61" s="278">
        <v>4424.0</v>
      </c>
      <c r="L61" s="296"/>
      <c r="M61" s="108">
        <v>610.28</v>
      </c>
      <c r="N61" s="109">
        <f t="shared" si="31"/>
        <v>0.01759847939</v>
      </c>
      <c r="O61" s="110">
        <f t="shared" si="5"/>
        <v>56.82309125</v>
      </c>
      <c r="P61" s="109" t="str">
        <f t="shared" si="6"/>
        <v>#DIV/0!</v>
      </c>
      <c r="Q61" s="111" t="str">
        <f t="shared" si="7"/>
        <v>#DIV/0!</v>
      </c>
      <c r="R61" s="112">
        <f t="shared" ref="R61:R71" si="37">D61-M61</f>
        <v>-610.28</v>
      </c>
      <c r="S61" s="113" t="str">
        <f t="shared" si="9"/>
        <v>#DIV/0!</v>
      </c>
      <c r="T61" s="114"/>
      <c r="U61" s="114"/>
      <c r="V61" s="114"/>
      <c r="W61" s="114"/>
      <c r="X61" s="115"/>
      <c r="Y61" s="98"/>
      <c r="Z61" s="98"/>
    </row>
    <row r="62" hidden="1" outlineLevel="1">
      <c r="A62" s="293"/>
      <c r="B62" s="116"/>
      <c r="C62" s="294" t="s">
        <v>71</v>
      </c>
      <c r="D62" s="297"/>
      <c r="E62" s="296"/>
      <c r="F62" s="296"/>
      <c r="G62" s="104" t="str">
        <f t="shared" si="1"/>
        <v>#DIV/0!</v>
      </c>
      <c r="H62" s="105" t="str">
        <f t="shared" si="2"/>
        <v>#DIV/0!</v>
      </c>
      <c r="I62" s="106" t="str">
        <f t="shared" si="3"/>
        <v>#DIV/0!</v>
      </c>
      <c r="J62" s="117">
        <v>35.87</v>
      </c>
      <c r="K62" s="278">
        <v>6713.0</v>
      </c>
      <c r="L62" s="296"/>
      <c r="M62" s="118">
        <v>69.95</v>
      </c>
      <c r="N62" s="109">
        <f t="shared" si="31"/>
        <v>0.5127948535</v>
      </c>
      <c r="O62" s="110">
        <f t="shared" si="5"/>
        <v>1.950097575</v>
      </c>
      <c r="P62" s="109" t="str">
        <f t="shared" si="6"/>
        <v>#DIV/0!</v>
      </c>
      <c r="Q62" s="111" t="str">
        <f t="shared" si="7"/>
        <v>#DIV/0!</v>
      </c>
      <c r="R62" s="119">
        <f t="shared" si="37"/>
        <v>-69.95</v>
      </c>
      <c r="S62" s="113" t="str">
        <f t="shared" si="9"/>
        <v>#DIV/0!</v>
      </c>
      <c r="T62" s="114"/>
      <c r="U62" s="114"/>
      <c r="V62" s="114"/>
      <c r="W62" s="114"/>
      <c r="X62" s="115"/>
      <c r="Y62" s="98"/>
      <c r="Z62" s="98"/>
    </row>
    <row r="63" hidden="1" outlineLevel="1">
      <c r="A63" s="293"/>
      <c r="B63" s="116"/>
      <c r="C63" s="294" t="s">
        <v>72</v>
      </c>
      <c r="D63" s="298"/>
      <c r="E63" s="296"/>
      <c r="F63" s="296"/>
      <c r="G63" s="104" t="str">
        <f t="shared" si="1"/>
        <v>#DIV/0!</v>
      </c>
      <c r="H63" s="105" t="str">
        <f t="shared" si="2"/>
        <v>#DIV/0!</v>
      </c>
      <c r="I63" s="106" t="str">
        <f t="shared" si="3"/>
        <v>#DIV/0!</v>
      </c>
      <c r="J63" s="120">
        <v>0.15</v>
      </c>
      <c r="K63" s="278">
        <v>85.0</v>
      </c>
      <c r="L63" s="296"/>
      <c r="M63" s="121">
        <v>0.0</v>
      </c>
      <c r="N63" s="109" t="str">
        <f>(J63/M63)</f>
        <v>#DIV/0!</v>
      </c>
      <c r="O63" s="110">
        <f t="shared" si="5"/>
        <v>0</v>
      </c>
      <c r="P63" s="109" t="str">
        <f t="shared" si="6"/>
        <v>#DIV/0!</v>
      </c>
      <c r="Q63" s="111" t="str">
        <f t="shared" si="7"/>
        <v>#DIV/0!</v>
      </c>
      <c r="R63" s="122">
        <f t="shared" si="37"/>
        <v>0</v>
      </c>
      <c r="S63" s="113" t="str">
        <f t="shared" si="9"/>
        <v>#DIV/0!</v>
      </c>
      <c r="T63" s="114"/>
      <c r="U63" s="114"/>
      <c r="V63" s="114"/>
      <c r="W63" s="114"/>
      <c r="X63" s="115"/>
      <c r="Y63" s="98"/>
      <c r="Z63" s="98"/>
    </row>
    <row r="64" hidden="1" outlineLevel="1">
      <c r="A64" s="293"/>
      <c r="B64" s="116"/>
      <c r="C64" s="294" t="s">
        <v>73</v>
      </c>
      <c r="D64" s="298"/>
      <c r="E64" s="296"/>
      <c r="F64" s="296"/>
      <c r="G64" s="104" t="str">
        <f t="shared" si="1"/>
        <v>#DIV/0!</v>
      </c>
      <c r="H64" s="105" t="str">
        <f t="shared" si="2"/>
        <v>#DIV/0!</v>
      </c>
      <c r="I64" s="106" t="str">
        <f t="shared" si="3"/>
        <v>#DIV/0!</v>
      </c>
      <c r="J64" s="120">
        <v>4.03</v>
      </c>
      <c r="K64" s="278">
        <v>963.0</v>
      </c>
      <c r="L64" s="296"/>
      <c r="M64" s="121">
        <v>0.0</v>
      </c>
      <c r="N64" s="109" t="str">
        <f t="shared" ref="N64:N74" si="38">J64/M64</f>
        <v>#DIV/0!</v>
      </c>
      <c r="O64" s="110">
        <f t="shared" si="5"/>
        <v>0</v>
      </c>
      <c r="P64" s="109" t="str">
        <f t="shared" si="6"/>
        <v>#DIV/0!</v>
      </c>
      <c r="Q64" s="111" t="str">
        <f t="shared" si="7"/>
        <v>#DIV/0!</v>
      </c>
      <c r="R64" s="122">
        <f t="shared" si="37"/>
        <v>0</v>
      </c>
      <c r="S64" s="113" t="str">
        <f t="shared" si="9"/>
        <v>#DIV/0!</v>
      </c>
      <c r="T64" s="114"/>
      <c r="U64" s="114"/>
      <c r="V64" s="114"/>
      <c r="W64" s="114"/>
      <c r="X64" s="115"/>
      <c r="Y64" s="98"/>
      <c r="Z64" s="98"/>
    </row>
    <row r="65" hidden="1" outlineLevel="1">
      <c r="A65" s="293"/>
      <c r="B65" s="116"/>
      <c r="C65" s="294" t="s">
        <v>74</v>
      </c>
      <c r="D65" s="299"/>
      <c r="E65" s="296"/>
      <c r="F65" s="296"/>
      <c r="G65" s="104" t="str">
        <f t="shared" si="1"/>
        <v>#DIV/0!</v>
      </c>
      <c r="H65" s="105" t="str">
        <f t="shared" si="2"/>
        <v>#DIV/0!</v>
      </c>
      <c r="I65" s="106" t="str">
        <f t="shared" si="3"/>
        <v>#DIV/0!</v>
      </c>
      <c r="J65" s="300">
        <v>0.0</v>
      </c>
      <c r="K65" s="278">
        <v>0.0</v>
      </c>
      <c r="L65" s="296"/>
      <c r="M65" s="300">
        <v>0.0</v>
      </c>
      <c r="N65" s="109" t="str">
        <f t="shared" si="38"/>
        <v>#DIV/0!</v>
      </c>
      <c r="O65" s="110" t="str">
        <f t="shared" si="5"/>
        <v>#DIV/0!</v>
      </c>
      <c r="P65" s="109" t="str">
        <f t="shared" si="6"/>
        <v>#DIV/0!</v>
      </c>
      <c r="Q65" s="111" t="str">
        <f t="shared" si="7"/>
        <v>#DIV/0!</v>
      </c>
      <c r="R65" s="122">
        <f t="shared" si="37"/>
        <v>0</v>
      </c>
      <c r="S65" s="113" t="str">
        <f t="shared" si="9"/>
        <v>#DIV/0!</v>
      </c>
      <c r="T65" s="114"/>
      <c r="U65" s="114"/>
      <c r="V65" s="114"/>
      <c r="W65" s="114"/>
      <c r="X65" s="115"/>
      <c r="Y65" s="98"/>
      <c r="Z65" s="98"/>
    </row>
    <row r="66" hidden="1" outlineLevel="1">
      <c r="A66" s="293"/>
      <c r="B66" s="116"/>
      <c r="C66" s="294" t="s">
        <v>75</v>
      </c>
      <c r="D66" s="301"/>
      <c r="E66" s="296"/>
      <c r="F66" s="296"/>
      <c r="G66" s="104" t="str">
        <f t="shared" si="1"/>
        <v>#DIV/0!</v>
      </c>
      <c r="H66" s="105" t="str">
        <f t="shared" si="2"/>
        <v>#DIV/0!</v>
      </c>
      <c r="I66" s="106" t="str">
        <f t="shared" si="3"/>
        <v>#DIV/0!</v>
      </c>
      <c r="J66" s="302">
        <v>15.27</v>
      </c>
      <c r="K66" s="278">
        <v>1222.0</v>
      </c>
      <c r="L66" s="296"/>
      <c r="M66" s="303">
        <v>50.96</v>
      </c>
      <c r="N66" s="109">
        <f t="shared" si="38"/>
        <v>0.2996467818</v>
      </c>
      <c r="O66" s="110">
        <f t="shared" si="5"/>
        <v>3.337262606</v>
      </c>
      <c r="P66" s="109" t="str">
        <f t="shared" si="6"/>
        <v>#DIV/0!</v>
      </c>
      <c r="Q66" s="111" t="str">
        <f t="shared" si="7"/>
        <v>#DIV/0!</v>
      </c>
      <c r="R66" s="304">
        <f t="shared" si="37"/>
        <v>-50.96</v>
      </c>
      <c r="S66" s="113" t="str">
        <f t="shared" si="9"/>
        <v>#DIV/0!</v>
      </c>
      <c r="T66" s="114"/>
      <c r="U66" s="114"/>
      <c r="V66" s="114"/>
      <c r="W66" s="114"/>
      <c r="X66" s="115"/>
      <c r="Y66" s="98"/>
      <c r="Z66" s="98"/>
    </row>
    <row r="67" hidden="1" outlineLevel="1">
      <c r="A67" s="293"/>
      <c r="B67" s="116"/>
      <c r="C67" s="294" t="s">
        <v>76</v>
      </c>
      <c r="D67" s="298"/>
      <c r="E67" s="296"/>
      <c r="F67" s="296"/>
      <c r="G67" s="104" t="str">
        <f t="shared" si="1"/>
        <v>#DIV/0!</v>
      </c>
      <c r="H67" s="105" t="str">
        <f t="shared" si="2"/>
        <v>#DIV/0!</v>
      </c>
      <c r="I67" s="106" t="str">
        <f t="shared" si="3"/>
        <v>#DIV/0!</v>
      </c>
      <c r="J67" s="120">
        <v>32.5</v>
      </c>
      <c r="K67" s="278">
        <v>3674.0</v>
      </c>
      <c r="L67" s="296"/>
      <c r="M67" s="121">
        <v>89.95</v>
      </c>
      <c r="N67" s="109">
        <f t="shared" si="38"/>
        <v>0.3613118399</v>
      </c>
      <c r="O67" s="110">
        <f t="shared" si="5"/>
        <v>2.767692308</v>
      </c>
      <c r="P67" s="109" t="str">
        <f t="shared" si="6"/>
        <v>#DIV/0!</v>
      </c>
      <c r="Q67" s="111" t="str">
        <f t="shared" si="7"/>
        <v>#DIV/0!</v>
      </c>
      <c r="R67" s="122">
        <f t="shared" si="37"/>
        <v>-89.95</v>
      </c>
      <c r="S67" s="113" t="str">
        <f t="shared" si="9"/>
        <v>#DIV/0!</v>
      </c>
      <c r="T67" s="114"/>
      <c r="U67" s="114"/>
      <c r="V67" s="114"/>
      <c r="W67" s="114"/>
      <c r="X67" s="115"/>
      <c r="Y67" s="98"/>
      <c r="Z67" s="98"/>
    </row>
    <row r="68" hidden="1" outlineLevel="1">
      <c r="A68" s="293"/>
      <c r="B68" s="99" t="s">
        <v>37</v>
      </c>
      <c r="C68" s="294" t="s">
        <v>77</v>
      </c>
      <c r="D68" s="305"/>
      <c r="E68" s="296"/>
      <c r="F68" s="296"/>
      <c r="G68" s="104" t="str">
        <f t="shared" si="1"/>
        <v>#DIV/0!</v>
      </c>
      <c r="H68" s="105" t="str">
        <f t="shared" si="2"/>
        <v>#DIV/0!</v>
      </c>
      <c r="I68" s="106" t="str">
        <f t="shared" si="3"/>
        <v>#DIV/0!</v>
      </c>
      <c r="J68" s="123">
        <v>1.58</v>
      </c>
      <c r="K68" s="278">
        <v>54.0</v>
      </c>
      <c r="L68" s="296"/>
      <c r="M68" s="124">
        <v>0.0</v>
      </c>
      <c r="N68" s="109" t="str">
        <f t="shared" si="38"/>
        <v>#DIV/0!</v>
      </c>
      <c r="O68" s="110">
        <f t="shared" si="5"/>
        <v>0</v>
      </c>
      <c r="P68" s="109" t="str">
        <f t="shared" si="6"/>
        <v>#DIV/0!</v>
      </c>
      <c r="Q68" s="111" t="str">
        <f t="shared" si="7"/>
        <v>#DIV/0!</v>
      </c>
      <c r="R68" s="125">
        <f t="shared" si="37"/>
        <v>0</v>
      </c>
      <c r="S68" s="113" t="str">
        <f t="shared" si="9"/>
        <v>#DIV/0!</v>
      </c>
      <c r="T68" s="114"/>
      <c r="U68" s="114"/>
      <c r="V68" s="114"/>
      <c r="W68" s="114"/>
      <c r="X68" s="115"/>
      <c r="Y68" s="98"/>
      <c r="Z68" s="98"/>
    </row>
    <row r="69" hidden="1" outlineLevel="1">
      <c r="A69" s="293"/>
      <c r="B69" s="116"/>
      <c r="C69" s="294" t="s">
        <v>78</v>
      </c>
      <c r="D69" s="306"/>
      <c r="E69" s="296"/>
      <c r="F69" s="296"/>
      <c r="G69" s="104" t="str">
        <f t="shared" si="1"/>
        <v>#DIV/0!</v>
      </c>
      <c r="H69" s="105" t="str">
        <f t="shared" si="2"/>
        <v>#DIV/0!</v>
      </c>
      <c r="I69" s="106" t="str">
        <f t="shared" si="3"/>
        <v>#DIV/0!</v>
      </c>
      <c r="J69" s="126">
        <v>112.2</v>
      </c>
      <c r="K69" s="278">
        <v>22894.0</v>
      </c>
      <c r="L69" s="296"/>
      <c r="M69" s="127">
        <v>0.0</v>
      </c>
      <c r="N69" s="109" t="str">
        <f t="shared" si="38"/>
        <v>#DIV/0!</v>
      </c>
      <c r="O69" s="110">
        <f t="shared" si="5"/>
        <v>0</v>
      </c>
      <c r="P69" s="109" t="str">
        <f t="shared" si="6"/>
        <v>#DIV/0!</v>
      </c>
      <c r="Q69" s="111" t="str">
        <f t="shared" si="7"/>
        <v>#DIV/0!</v>
      </c>
      <c r="R69" s="128">
        <f t="shared" si="37"/>
        <v>0</v>
      </c>
      <c r="S69" s="113" t="str">
        <f t="shared" si="9"/>
        <v>#DIV/0!</v>
      </c>
      <c r="T69" s="114"/>
      <c r="U69" s="114"/>
      <c r="V69" s="114"/>
      <c r="W69" s="114"/>
      <c r="X69" s="115"/>
      <c r="Y69" s="98"/>
      <c r="Z69" s="98"/>
    </row>
    <row r="70" hidden="1" outlineLevel="1">
      <c r="A70" s="293"/>
      <c r="B70" s="116"/>
      <c r="C70" s="294" t="s">
        <v>79</v>
      </c>
      <c r="D70" s="307"/>
      <c r="E70" s="296"/>
      <c r="F70" s="296"/>
      <c r="G70" s="104" t="str">
        <f t="shared" si="1"/>
        <v>#DIV/0!</v>
      </c>
      <c r="H70" s="105" t="str">
        <f t="shared" si="2"/>
        <v>#DIV/0!</v>
      </c>
      <c r="I70" s="106" t="str">
        <f t="shared" si="3"/>
        <v>#DIV/0!</v>
      </c>
      <c r="J70" s="129">
        <v>20.85</v>
      </c>
      <c r="K70" s="278">
        <v>4350.0</v>
      </c>
      <c r="L70" s="296"/>
      <c r="M70" s="130">
        <v>0.0</v>
      </c>
      <c r="N70" s="109" t="str">
        <f t="shared" si="38"/>
        <v>#DIV/0!</v>
      </c>
      <c r="O70" s="110">
        <f t="shared" si="5"/>
        <v>0</v>
      </c>
      <c r="P70" s="109" t="str">
        <f t="shared" si="6"/>
        <v>#DIV/0!</v>
      </c>
      <c r="Q70" s="111" t="str">
        <f t="shared" si="7"/>
        <v>#DIV/0!</v>
      </c>
      <c r="R70" s="131">
        <f t="shared" si="37"/>
        <v>0</v>
      </c>
      <c r="S70" s="113" t="str">
        <f t="shared" si="9"/>
        <v>#DIV/0!</v>
      </c>
      <c r="T70" s="114"/>
      <c r="U70" s="114"/>
      <c r="V70" s="114"/>
      <c r="W70" s="114"/>
      <c r="X70" s="115"/>
      <c r="Y70" s="98"/>
      <c r="Z70" s="98"/>
    </row>
    <row r="71" hidden="1" outlineLevel="1">
      <c r="A71" s="310" t="str">
        <f t="shared" ref="A71:A72" si="39">iferror(if(B71&gt;0,month(B71)&amp;"-"&amp;year(B71),B71),)</f>
        <v>3-2025</v>
      </c>
      <c r="B71" s="99">
        <v>45745.0</v>
      </c>
      <c r="C71" s="294" t="s">
        <v>81</v>
      </c>
      <c r="D71" s="311"/>
      <c r="E71" s="296"/>
      <c r="F71" s="296"/>
      <c r="G71" s="104" t="str">
        <f t="shared" si="1"/>
        <v>#DIV/0!</v>
      </c>
      <c r="H71" s="105" t="str">
        <f t="shared" si="2"/>
        <v>#DIV/0!</v>
      </c>
      <c r="I71" s="106" t="str">
        <f t="shared" si="3"/>
        <v>#DIV/0!</v>
      </c>
      <c r="J71" s="117">
        <v>0.0</v>
      </c>
      <c r="K71" s="278">
        <v>0.0</v>
      </c>
      <c r="L71" s="296"/>
      <c r="M71" s="118">
        <v>0.0</v>
      </c>
      <c r="N71" s="109" t="str">
        <f t="shared" si="38"/>
        <v>#DIV/0!</v>
      </c>
      <c r="O71" s="110" t="str">
        <f t="shared" si="5"/>
        <v>#DIV/0!</v>
      </c>
      <c r="P71" s="109" t="str">
        <f t="shared" si="6"/>
        <v>#DIV/0!</v>
      </c>
      <c r="Q71" s="111" t="str">
        <f t="shared" si="7"/>
        <v>#DIV/0!</v>
      </c>
      <c r="R71" s="112">
        <f t="shared" si="37"/>
        <v>0</v>
      </c>
      <c r="S71" s="113" t="str">
        <f t="shared" si="9"/>
        <v>#DIV/0!</v>
      </c>
      <c r="T71" s="114"/>
      <c r="U71" s="114"/>
      <c r="V71" s="114"/>
      <c r="W71" s="114"/>
      <c r="X71" s="115"/>
      <c r="Y71" s="98"/>
      <c r="Z71" s="98"/>
    </row>
    <row r="72" collapsed="1">
      <c r="A72" s="293" t="str">
        <f t="shared" si="39"/>
        <v/>
      </c>
      <c r="B72" s="80" t="s">
        <v>100</v>
      </c>
      <c r="C72" s="312"/>
      <c r="D72" s="151">
        <f t="shared" ref="D72:F72" si="40">SUM(D61:D71)</f>
        <v>0</v>
      </c>
      <c r="E72" s="153">
        <f t="shared" si="40"/>
        <v>0</v>
      </c>
      <c r="F72" s="153">
        <f t="shared" si="40"/>
        <v>0</v>
      </c>
      <c r="G72" s="154" t="str">
        <f t="shared" si="1"/>
        <v>#DIV/0!</v>
      </c>
      <c r="H72" s="155" t="str">
        <f t="shared" si="2"/>
        <v>#DIV/0!</v>
      </c>
      <c r="I72" s="156" t="str">
        <f t="shared" si="3"/>
        <v>#DIV/0!</v>
      </c>
      <c r="J72" s="151">
        <f t="shared" ref="J72:M72" si="41">SUM(J61:J71)</f>
        <v>233.19</v>
      </c>
      <c r="K72" s="313">
        <f t="shared" si="41"/>
        <v>44379</v>
      </c>
      <c r="L72" s="153">
        <f t="shared" si="41"/>
        <v>0</v>
      </c>
      <c r="M72" s="157">
        <f t="shared" si="41"/>
        <v>821.14</v>
      </c>
      <c r="N72" s="158">
        <f t="shared" si="38"/>
        <v>0.2839832428</v>
      </c>
      <c r="O72" s="159">
        <f t="shared" si="5"/>
        <v>3.521334534</v>
      </c>
      <c r="P72" s="158" t="str">
        <f t="shared" si="6"/>
        <v>#DIV/0!</v>
      </c>
      <c r="Q72" s="160" t="str">
        <f t="shared" si="7"/>
        <v>#DIV/0!</v>
      </c>
      <c r="R72" s="161">
        <f>SUM(R61:R71)</f>
        <v>-821.14</v>
      </c>
      <c r="S72" s="162" t="str">
        <f t="shared" si="9"/>
        <v>#DIV/0!</v>
      </c>
      <c r="T72" s="164" t="str">
        <f t="shared" ref="T72:U72" si="42">IFERROR((D72-D48)/D72,)</f>
        <v/>
      </c>
      <c r="U72" s="164" t="str">
        <f t="shared" si="42"/>
        <v/>
      </c>
      <c r="V72" s="164" t="str">
        <f t="shared" ref="V72:W72" si="43">IFERROR((D72-#REF!)/D72, )</f>
        <v/>
      </c>
      <c r="W72" s="164" t="str">
        <f t="shared" si="43"/>
        <v/>
      </c>
      <c r="X72" s="98"/>
      <c r="Y72" s="98"/>
      <c r="Z72" s="98"/>
    </row>
    <row r="73" hidden="1" outlineLevel="1">
      <c r="A73" s="293"/>
      <c r="B73" s="99">
        <v>45746.0</v>
      </c>
      <c r="C73" s="294" t="s">
        <v>70</v>
      </c>
      <c r="D73" s="295"/>
      <c r="E73" s="296"/>
      <c r="F73" s="296"/>
      <c r="G73" s="104" t="str">
        <f t="shared" si="1"/>
        <v>#DIV/0!</v>
      </c>
      <c r="H73" s="105" t="str">
        <f t="shared" si="2"/>
        <v>#DIV/0!</v>
      </c>
      <c r="I73" s="106" t="str">
        <f t="shared" si="3"/>
        <v>#DIV/0!</v>
      </c>
      <c r="J73" s="107">
        <v>112.81</v>
      </c>
      <c r="K73" s="278">
        <v>40548.0</v>
      </c>
      <c r="L73" s="296"/>
      <c r="M73" s="108">
        <v>718.38</v>
      </c>
      <c r="N73" s="109">
        <f t="shared" si="38"/>
        <v>0.1570338818</v>
      </c>
      <c r="O73" s="110">
        <f t="shared" si="5"/>
        <v>6.368052478</v>
      </c>
      <c r="P73" s="109" t="str">
        <f t="shared" si="6"/>
        <v>#DIV/0!</v>
      </c>
      <c r="Q73" s="111" t="str">
        <f t="shared" si="7"/>
        <v>#DIV/0!</v>
      </c>
      <c r="R73" s="112">
        <f t="shared" ref="R73:R83" si="44">D73-M73</f>
        <v>-718.38</v>
      </c>
      <c r="S73" s="113" t="str">
        <f t="shared" si="9"/>
        <v>#DIV/0!</v>
      </c>
      <c r="T73" s="114"/>
      <c r="U73" s="114"/>
      <c r="V73" s="114"/>
      <c r="W73" s="114"/>
      <c r="X73" s="115"/>
      <c r="Y73" s="98"/>
      <c r="Z73" s="98"/>
    </row>
    <row r="74" hidden="1" outlineLevel="1">
      <c r="A74" s="293"/>
      <c r="B74" s="116"/>
      <c r="C74" s="294" t="s">
        <v>71</v>
      </c>
      <c r="D74" s="297"/>
      <c r="E74" s="296"/>
      <c r="F74" s="296"/>
      <c r="G74" s="104" t="str">
        <f t="shared" si="1"/>
        <v>#DIV/0!</v>
      </c>
      <c r="H74" s="105" t="str">
        <f t="shared" si="2"/>
        <v>#DIV/0!</v>
      </c>
      <c r="I74" s="106" t="str">
        <f t="shared" si="3"/>
        <v>#DIV/0!</v>
      </c>
      <c r="J74" s="117">
        <v>5.81</v>
      </c>
      <c r="K74" s="278">
        <v>1003.0</v>
      </c>
      <c r="L74" s="296"/>
      <c r="M74" s="118">
        <v>0.0</v>
      </c>
      <c r="N74" s="109" t="str">
        <f t="shared" si="38"/>
        <v>#DIV/0!</v>
      </c>
      <c r="O74" s="110">
        <f t="shared" si="5"/>
        <v>0</v>
      </c>
      <c r="P74" s="109" t="str">
        <f t="shared" si="6"/>
        <v>#DIV/0!</v>
      </c>
      <c r="Q74" s="111" t="str">
        <f t="shared" si="7"/>
        <v>#DIV/0!</v>
      </c>
      <c r="R74" s="119">
        <f t="shared" si="44"/>
        <v>0</v>
      </c>
      <c r="S74" s="113" t="str">
        <f t="shared" si="9"/>
        <v>#DIV/0!</v>
      </c>
      <c r="T74" s="114"/>
      <c r="U74" s="114"/>
      <c r="V74" s="114"/>
      <c r="W74" s="114"/>
      <c r="X74" s="115"/>
      <c r="Y74" s="98"/>
      <c r="Z74" s="98"/>
    </row>
    <row r="75" hidden="1" outlineLevel="1">
      <c r="A75" s="293"/>
      <c r="B75" s="116"/>
      <c r="C75" s="294" t="s">
        <v>72</v>
      </c>
      <c r="D75" s="298"/>
      <c r="E75" s="296"/>
      <c r="F75" s="296"/>
      <c r="G75" s="104" t="str">
        <f t="shared" si="1"/>
        <v>#DIV/0!</v>
      </c>
      <c r="H75" s="105" t="str">
        <f t="shared" si="2"/>
        <v>#DIV/0!</v>
      </c>
      <c r="I75" s="106" t="str">
        <f t="shared" si="3"/>
        <v>#DIV/0!</v>
      </c>
      <c r="J75" s="120">
        <v>23.66</v>
      </c>
      <c r="K75" s="278">
        <v>7758.0</v>
      </c>
      <c r="L75" s="296"/>
      <c r="M75" s="121">
        <v>133.98</v>
      </c>
      <c r="N75" s="109">
        <f>(J75/M75)</f>
        <v>0.1765935214</v>
      </c>
      <c r="O75" s="110">
        <f t="shared" si="5"/>
        <v>5.662721893</v>
      </c>
      <c r="P75" s="109" t="str">
        <f t="shared" si="6"/>
        <v>#DIV/0!</v>
      </c>
      <c r="Q75" s="111" t="str">
        <f t="shared" si="7"/>
        <v>#DIV/0!</v>
      </c>
      <c r="R75" s="122">
        <f t="shared" si="44"/>
        <v>-133.98</v>
      </c>
      <c r="S75" s="113" t="str">
        <f t="shared" si="9"/>
        <v>#DIV/0!</v>
      </c>
      <c r="T75" s="114"/>
      <c r="U75" s="114"/>
      <c r="V75" s="114"/>
      <c r="W75" s="114"/>
      <c r="X75" s="115"/>
      <c r="Y75" s="98"/>
      <c r="Z75" s="98"/>
    </row>
    <row r="76" hidden="1" outlineLevel="1">
      <c r="A76" s="293"/>
      <c r="B76" s="116"/>
      <c r="C76" s="294" t="s">
        <v>73</v>
      </c>
      <c r="D76" s="298"/>
      <c r="E76" s="296"/>
      <c r="F76" s="296"/>
      <c r="G76" s="104" t="str">
        <f t="shared" si="1"/>
        <v>#DIV/0!</v>
      </c>
      <c r="H76" s="105" t="str">
        <f t="shared" si="2"/>
        <v>#DIV/0!</v>
      </c>
      <c r="I76" s="106" t="str">
        <f t="shared" si="3"/>
        <v>#DIV/0!</v>
      </c>
      <c r="J76" s="120">
        <v>11.77</v>
      </c>
      <c r="K76" s="278">
        <v>3610.0</v>
      </c>
      <c r="L76" s="296"/>
      <c r="M76" s="121">
        <v>0.0</v>
      </c>
      <c r="N76" s="109" t="str">
        <f t="shared" ref="N76:N86" si="45">J76/M76</f>
        <v>#DIV/0!</v>
      </c>
      <c r="O76" s="110">
        <f t="shared" si="5"/>
        <v>0</v>
      </c>
      <c r="P76" s="109" t="str">
        <f t="shared" si="6"/>
        <v>#DIV/0!</v>
      </c>
      <c r="Q76" s="111" t="str">
        <f t="shared" si="7"/>
        <v>#DIV/0!</v>
      </c>
      <c r="R76" s="122">
        <f t="shared" si="44"/>
        <v>0</v>
      </c>
      <c r="S76" s="113" t="str">
        <f t="shared" si="9"/>
        <v>#DIV/0!</v>
      </c>
      <c r="T76" s="114"/>
      <c r="U76" s="114"/>
      <c r="V76" s="114"/>
      <c r="W76" s="114"/>
      <c r="X76" s="115"/>
      <c r="Y76" s="98"/>
      <c r="Z76" s="98"/>
    </row>
    <row r="77" hidden="1" outlineLevel="1">
      <c r="A77" s="293"/>
      <c r="B77" s="116"/>
      <c r="C77" s="294" t="s">
        <v>74</v>
      </c>
      <c r="D77" s="299"/>
      <c r="E77" s="296"/>
      <c r="F77" s="296"/>
      <c r="G77" s="104" t="str">
        <f t="shared" si="1"/>
        <v>#DIV/0!</v>
      </c>
      <c r="H77" s="105" t="str">
        <f t="shared" si="2"/>
        <v>#DIV/0!</v>
      </c>
      <c r="I77" s="106" t="str">
        <f t="shared" si="3"/>
        <v>#DIV/0!</v>
      </c>
      <c r="J77" s="300">
        <v>0.0</v>
      </c>
      <c r="K77" s="278">
        <v>0.0</v>
      </c>
      <c r="L77" s="296"/>
      <c r="M77" s="300">
        <v>0.0</v>
      </c>
      <c r="N77" s="109" t="str">
        <f t="shared" si="45"/>
        <v>#DIV/0!</v>
      </c>
      <c r="O77" s="110" t="str">
        <f t="shared" si="5"/>
        <v>#DIV/0!</v>
      </c>
      <c r="P77" s="109" t="str">
        <f t="shared" si="6"/>
        <v>#DIV/0!</v>
      </c>
      <c r="Q77" s="111" t="str">
        <f t="shared" si="7"/>
        <v>#DIV/0!</v>
      </c>
      <c r="R77" s="122">
        <f t="shared" si="44"/>
        <v>0</v>
      </c>
      <c r="S77" s="113" t="str">
        <f t="shared" si="9"/>
        <v>#DIV/0!</v>
      </c>
      <c r="T77" s="114"/>
      <c r="U77" s="114"/>
      <c r="V77" s="114"/>
      <c r="W77" s="114"/>
      <c r="X77" s="115"/>
      <c r="Y77" s="98"/>
      <c r="Z77" s="98"/>
    </row>
    <row r="78" hidden="1" outlineLevel="1">
      <c r="A78" s="293"/>
      <c r="B78" s="116"/>
      <c r="C78" s="294" t="s">
        <v>75</v>
      </c>
      <c r="D78" s="301"/>
      <c r="E78" s="296"/>
      <c r="F78" s="296"/>
      <c r="G78" s="104" t="str">
        <f t="shared" si="1"/>
        <v>#DIV/0!</v>
      </c>
      <c r="H78" s="105" t="str">
        <f t="shared" si="2"/>
        <v>#DIV/0!</v>
      </c>
      <c r="I78" s="106" t="str">
        <f t="shared" si="3"/>
        <v>#DIV/0!</v>
      </c>
      <c r="J78" s="302">
        <v>24.6</v>
      </c>
      <c r="K78" s="278">
        <v>3042.0</v>
      </c>
      <c r="L78" s="296"/>
      <c r="M78" s="303">
        <v>50.96</v>
      </c>
      <c r="N78" s="109">
        <f t="shared" si="45"/>
        <v>0.4827315542</v>
      </c>
      <c r="O78" s="110">
        <f t="shared" si="5"/>
        <v>2.071544715</v>
      </c>
      <c r="P78" s="109" t="str">
        <f t="shared" si="6"/>
        <v>#DIV/0!</v>
      </c>
      <c r="Q78" s="111" t="str">
        <f t="shared" si="7"/>
        <v>#DIV/0!</v>
      </c>
      <c r="R78" s="304">
        <f t="shared" si="44"/>
        <v>-50.96</v>
      </c>
      <c r="S78" s="113" t="str">
        <f t="shared" si="9"/>
        <v>#DIV/0!</v>
      </c>
      <c r="T78" s="114"/>
      <c r="U78" s="114"/>
      <c r="V78" s="114"/>
      <c r="W78" s="114"/>
      <c r="X78" s="115"/>
      <c r="Y78" s="98"/>
      <c r="Z78" s="98"/>
    </row>
    <row r="79" hidden="1" outlineLevel="1">
      <c r="A79" s="293"/>
      <c r="B79" s="116"/>
      <c r="C79" s="294" t="s">
        <v>76</v>
      </c>
      <c r="D79" s="298"/>
      <c r="E79" s="296"/>
      <c r="F79" s="296"/>
      <c r="G79" s="104" t="str">
        <f t="shared" si="1"/>
        <v>#DIV/0!</v>
      </c>
      <c r="H79" s="105" t="str">
        <f t="shared" si="2"/>
        <v>#DIV/0!</v>
      </c>
      <c r="I79" s="106" t="str">
        <f t="shared" si="3"/>
        <v>#DIV/0!</v>
      </c>
      <c r="J79" s="120">
        <v>67.98</v>
      </c>
      <c r="K79" s="278">
        <v>8098.0</v>
      </c>
      <c r="L79" s="296"/>
      <c r="M79" s="121">
        <v>178.0</v>
      </c>
      <c r="N79" s="109">
        <f t="shared" si="45"/>
        <v>0.3819101124</v>
      </c>
      <c r="O79" s="110">
        <f t="shared" si="5"/>
        <v>2.618417182</v>
      </c>
      <c r="P79" s="109" t="str">
        <f t="shared" si="6"/>
        <v>#DIV/0!</v>
      </c>
      <c r="Q79" s="111" t="str">
        <f t="shared" si="7"/>
        <v>#DIV/0!</v>
      </c>
      <c r="R79" s="122">
        <f t="shared" si="44"/>
        <v>-178</v>
      </c>
      <c r="S79" s="113" t="str">
        <f t="shared" si="9"/>
        <v>#DIV/0!</v>
      </c>
      <c r="T79" s="114"/>
      <c r="U79" s="114"/>
      <c r="V79" s="114"/>
      <c r="W79" s="114"/>
      <c r="X79" s="115"/>
      <c r="Y79" s="98"/>
      <c r="Z79" s="98"/>
    </row>
    <row r="80" hidden="1" outlineLevel="1">
      <c r="A80" s="293"/>
      <c r="B80" s="99" t="s">
        <v>37</v>
      </c>
      <c r="C80" s="294" t="s">
        <v>77</v>
      </c>
      <c r="D80" s="305"/>
      <c r="E80" s="296"/>
      <c r="F80" s="296"/>
      <c r="G80" s="104" t="str">
        <f t="shared" si="1"/>
        <v>#DIV/0!</v>
      </c>
      <c r="H80" s="105" t="str">
        <f t="shared" si="2"/>
        <v>#DIV/0!</v>
      </c>
      <c r="I80" s="106" t="str">
        <f t="shared" si="3"/>
        <v>#DIV/0!</v>
      </c>
      <c r="J80" s="123">
        <v>0.58</v>
      </c>
      <c r="K80" s="278">
        <v>106.0</v>
      </c>
      <c r="L80" s="296"/>
      <c r="M80" s="124">
        <v>0.0</v>
      </c>
      <c r="N80" s="109" t="str">
        <f t="shared" si="45"/>
        <v>#DIV/0!</v>
      </c>
      <c r="O80" s="110">
        <f t="shared" si="5"/>
        <v>0</v>
      </c>
      <c r="P80" s="109" t="str">
        <f t="shared" si="6"/>
        <v>#DIV/0!</v>
      </c>
      <c r="Q80" s="111" t="str">
        <f t="shared" si="7"/>
        <v>#DIV/0!</v>
      </c>
      <c r="R80" s="125">
        <f t="shared" si="44"/>
        <v>0</v>
      </c>
      <c r="S80" s="113" t="str">
        <f t="shared" si="9"/>
        <v>#DIV/0!</v>
      </c>
      <c r="T80" s="114"/>
      <c r="U80" s="114"/>
      <c r="V80" s="114"/>
      <c r="W80" s="114"/>
      <c r="X80" s="115"/>
      <c r="Y80" s="98"/>
      <c r="Z80" s="98"/>
    </row>
    <row r="81" hidden="1" outlineLevel="1">
      <c r="A81" s="293"/>
      <c r="B81" s="116"/>
      <c r="C81" s="294" t="s">
        <v>78</v>
      </c>
      <c r="D81" s="306"/>
      <c r="E81" s="296"/>
      <c r="F81" s="296"/>
      <c r="G81" s="104" t="str">
        <f t="shared" si="1"/>
        <v>#DIV/0!</v>
      </c>
      <c r="H81" s="105" t="str">
        <f t="shared" si="2"/>
        <v>#DIV/0!</v>
      </c>
      <c r="I81" s="106" t="str">
        <f t="shared" si="3"/>
        <v>#DIV/0!</v>
      </c>
      <c r="J81" s="126">
        <v>14.19</v>
      </c>
      <c r="K81" s="278">
        <v>3583.0</v>
      </c>
      <c r="L81" s="296"/>
      <c r="M81" s="127">
        <v>0.0</v>
      </c>
      <c r="N81" s="109" t="str">
        <f t="shared" si="45"/>
        <v>#DIV/0!</v>
      </c>
      <c r="O81" s="110">
        <f t="shared" si="5"/>
        <v>0</v>
      </c>
      <c r="P81" s="109" t="str">
        <f t="shared" si="6"/>
        <v>#DIV/0!</v>
      </c>
      <c r="Q81" s="111" t="str">
        <f t="shared" si="7"/>
        <v>#DIV/0!</v>
      </c>
      <c r="R81" s="128">
        <f t="shared" si="44"/>
        <v>0</v>
      </c>
      <c r="S81" s="113" t="str">
        <f t="shared" si="9"/>
        <v>#DIV/0!</v>
      </c>
      <c r="T81" s="114"/>
      <c r="U81" s="114"/>
      <c r="V81" s="114"/>
      <c r="W81" s="114"/>
      <c r="X81" s="115"/>
      <c r="Y81" s="98"/>
      <c r="Z81" s="98"/>
    </row>
    <row r="82" hidden="1" outlineLevel="1">
      <c r="A82" s="293"/>
      <c r="B82" s="116"/>
      <c r="C82" s="294" t="s">
        <v>79</v>
      </c>
      <c r="D82" s="307"/>
      <c r="E82" s="296"/>
      <c r="F82" s="296"/>
      <c r="G82" s="104" t="str">
        <f t="shared" si="1"/>
        <v>#DIV/0!</v>
      </c>
      <c r="H82" s="105" t="str">
        <f t="shared" si="2"/>
        <v>#DIV/0!</v>
      </c>
      <c r="I82" s="106" t="str">
        <f t="shared" si="3"/>
        <v>#DIV/0!</v>
      </c>
      <c r="J82" s="129">
        <v>37.85</v>
      </c>
      <c r="K82" s="278">
        <v>6765.0</v>
      </c>
      <c r="L82" s="296"/>
      <c r="M82" s="130">
        <v>204.96</v>
      </c>
      <c r="N82" s="109">
        <f t="shared" si="45"/>
        <v>0.1846701795</v>
      </c>
      <c r="O82" s="110">
        <f t="shared" si="5"/>
        <v>5.415059445</v>
      </c>
      <c r="P82" s="109" t="str">
        <f t="shared" si="6"/>
        <v>#DIV/0!</v>
      </c>
      <c r="Q82" s="111" t="str">
        <f t="shared" si="7"/>
        <v>#DIV/0!</v>
      </c>
      <c r="R82" s="131">
        <f t="shared" si="44"/>
        <v>-204.96</v>
      </c>
      <c r="S82" s="113" t="str">
        <f t="shared" si="9"/>
        <v>#DIV/0!</v>
      </c>
      <c r="T82" s="114"/>
      <c r="U82" s="114"/>
      <c r="V82" s="114"/>
      <c r="W82" s="114"/>
      <c r="X82" s="115"/>
      <c r="Y82" s="98"/>
      <c r="Z82" s="98"/>
    </row>
    <row r="83" hidden="1" outlineLevel="1">
      <c r="A83" s="310" t="str">
        <f t="shared" ref="A83:A84" si="46">iferror(if(B83&gt;0,month(B83)&amp;"-"&amp;year(B83),B83),)</f>
        <v>4-2025</v>
      </c>
      <c r="B83" s="99">
        <v>45752.0</v>
      </c>
      <c r="C83" s="294" t="s">
        <v>81</v>
      </c>
      <c r="D83" s="311"/>
      <c r="E83" s="296"/>
      <c r="F83" s="296"/>
      <c r="G83" s="104" t="str">
        <f t="shared" si="1"/>
        <v>#DIV/0!</v>
      </c>
      <c r="H83" s="105" t="str">
        <f t="shared" si="2"/>
        <v>#DIV/0!</v>
      </c>
      <c r="I83" s="106" t="str">
        <f t="shared" si="3"/>
        <v>#DIV/0!</v>
      </c>
      <c r="J83" s="117">
        <v>0.0</v>
      </c>
      <c r="K83" s="278">
        <v>0.0</v>
      </c>
      <c r="L83" s="296"/>
      <c r="M83" s="118">
        <v>0.0</v>
      </c>
      <c r="N83" s="109" t="str">
        <f t="shared" si="45"/>
        <v>#DIV/0!</v>
      </c>
      <c r="O83" s="110" t="str">
        <f t="shared" si="5"/>
        <v>#DIV/0!</v>
      </c>
      <c r="P83" s="109" t="str">
        <f t="shared" si="6"/>
        <v>#DIV/0!</v>
      </c>
      <c r="Q83" s="111" t="str">
        <f t="shared" si="7"/>
        <v>#DIV/0!</v>
      </c>
      <c r="R83" s="112">
        <f t="shared" si="44"/>
        <v>0</v>
      </c>
      <c r="S83" s="113" t="str">
        <f t="shared" si="9"/>
        <v>#DIV/0!</v>
      </c>
      <c r="T83" s="114"/>
      <c r="U83" s="114"/>
      <c r="V83" s="114"/>
      <c r="W83" s="114"/>
      <c r="X83" s="115"/>
      <c r="Y83" s="98"/>
      <c r="Z83" s="98"/>
    </row>
    <row r="84" collapsed="1">
      <c r="A84" s="293" t="str">
        <f t="shared" si="46"/>
        <v/>
      </c>
      <c r="B84" s="80" t="s">
        <v>101</v>
      </c>
      <c r="C84" s="312"/>
      <c r="D84" s="151">
        <f t="shared" ref="D84:F84" si="47">SUM(D73:D83)</f>
        <v>0</v>
      </c>
      <c r="E84" s="153">
        <f t="shared" si="47"/>
        <v>0</v>
      </c>
      <c r="F84" s="153">
        <f t="shared" si="47"/>
        <v>0</v>
      </c>
      <c r="G84" s="154" t="str">
        <f t="shared" si="1"/>
        <v>#DIV/0!</v>
      </c>
      <c r="H84" s="155" t="str">
        <f t="shared" si="2"/>
        <v>#DIV/0!</v>
      </c>
      <c r="I84" s="156" t="str">
        <f t="shared" si="3"/>
        <v>#DIV/0!</v>
      </c>
      <c r="J84" s="151">
        <f t="shared" ref="J84:M84" si="48">SUM(J73:J83)</f>
        <v>299.25</v>
      </c>
      <c r="K84" s="313">
        <f t="shared" si="48"/>
        <v>74513</v>
      </c>
      <c r="L84" s="153">
        <f t="shared" si="48"/>
        <v>0</v>
      </c>
      <c r="M84" s="157">
        <f t="shared" si="48"/>
        <v>1286.28</v>
      </c>
      <c r="N84" s="158">
        <f t="shared" si="45"/>
        <v>0.232647635</v>
      </c>
      <c r="O84" s="159">
        <f t="shared" si="5"/>
        <v>4.298345865</v>
      </c>
      <c r="P84" s="158" t="str">
        <f t="shared" si="6"/>
        <v>#DIV/0!</v>
      </c>
      <c r="Q84" s="160" t="str">
        <f t="shared" si="7"/>
        <v>#DIV/0!</v>
      </c>
      <c r="R84" s="161">
        <f>SUM(R73:R83)</f>
        <v>-1286.28</v>
      </c>
      <c r="S84" s="162" t="str">
        <f t="shared" si="9"/>
        <v>#DIV/0!</v>
      </c>
      <c r="T84" s="164" t="str">
        <f t="shared" ref="T84:U84" si="49">IFERROR((D84-D48)/D84,)</f>
        <v/>
      </c>
      <c r="U84" s="164" t="str">
        <f t="shared" si="49"/>
        <v/>
      </c>
      <c r="V84" s="164" t="str">
        <f t="shared" ref="V84:W84" si="50">IFERROR((D84-#REF!)/D84, )</f>
        <v/>
      </c>
      <c r="W84" s="164" t="str">
        <f t="shared" si="50"/>
        <v/>
      </c>
      <c r="X84" s="98"/>
      <c r="Y84" s="98"/>
      <c r="Z84" s="98"/>
    </row>
    <row r="85" hidden="1" outlineLevel="1">
      <c r="A85" s="293"/>
      <c r="B85" s="99">
        <v>45753.0</v>
      </c>
      <c r="C85" s="294" t="s">
        <v>70</v>
      </c>
      <c r="D85" s="295"/>
      <c r="E85" s="296"/>
      <c r="F85" s="296"/>
      <c r="G85" s="104" t="str">
        <f t="shared" si="1"/>
        <v>#DIV/0!</v>
      </c>
      <c r="H85" s="105" t="str">
        <f t="shared" si="2"/>
        <v>#DIV/0!</v>
      </c>
      <c r="I85" s="106" t="str">
        <f t="shared" si="3"/>
        <v>#DIV/0!</v>
      </c>
      <c r="J85" s="107">
        <v>135.24</v>
      </c>
      <c r="K85" s="278">
        <v>54667.0</v>
      </c>
      <c r="L85" s="296"/>
      <c r="M85" s="108">
        <v>27.7</v>
      </c>
      <c r="N85" s="109">
        <f t="shared" si="45"/>
        <v>4.882310469</v>
      </c>
      <c r="O85" s="110">
        <f t="shared" si="5"/>
        <v>0.2048210589</v>
      </c>
      <c r="P85" s="109" t="str">
        <f t="shared" si="6"/>
        <v>#DIV/0!</v>
      </c>
      <c r="Q85" s="111" t="str">
        <f t="shared" si="7"/>
        <v>#DIV/0!</v>
      </c>
      <c r="R85" s="112">
        <f t="shared" ref="R85:R95" si="51">D85-M85</f>
        <v>-27.7</v>
      </c>
      <c r="S85" s="113" t="str">
        <f t="shared" si="9"/>
        <v>#DIV/0!</v>
      </c>
      <c r="T85" s="114"/>
      <c r="U85" s="114"/>
      <c r="V85" s="114"/>
      <c r="W85" s="114"/>
      <c r="X85" s="115"/>
      <c r="Y85" s="98"/>
      <c r="Z85" s="98"/>
    </row>
    <row r="86" hidden="1" outlineLevel="1">
      <c r="A86" s="293"/>
      <c r="B86" s="116"/>
      <c r="C86" s="294" t="s">
        <v>71</v>
      </c>
      <c r="D86" s="297"/>
      <c r="E86" s="296"/>
      <c r="F86" s="296"/>
      <c r="G86" s="104" t="str">
        <f t="shared" si="1"/>
        <v>#DIV/0!</v>
      </c>
      <c r="H86" s="105" t="str">
        <f t="shared" si="2"/>
        <v>#DIV/0!</v>
      </c>
      <c r="I86" s="106" t="str">
        <f t="shared" si="3"/>
        <v>#DIV/0!</v>
      </c>
      <c r="J86" s="117">
        <v>17.61</v>
      </c>
      <c r="K86" s="278">
        <v>4825.0</v>
      </c>
      <c r="L86" s="296"/>
      <c r="M86" s="118">
        <v>189.85</v>
      </c>
      <c r="N86" s="109">
        <f t="shared" si="45"/>
        <v>0.09275744008</v>
      </c>
      <c r="O86" s="110">
        <f t="shared" si="5"/>
        <v>10.78080636</v>
      </c>
      <c r="P86" s="109" t="str">
        <f t="shared" si="6"/>
        <v>#DIV/0!</v>
      </c>
      <c r="Q86" s="111" t="str">
        <f t="shared" si="7"/>
        <v>#DIV/0!</v>
      </c>
      <c r="R86" s="119">
        <f t="shared" si="51"/>
        <v>-189.85</v>
      </c>
      <c r="S86" s="113" t="str">
        <f t="shared" si="9"/>
        <v>#DIV/0!</v>
      </c>
      <c r="T86" s="114"/>
      <c r="U86" s="114"/>
      <c r="V86" s="114"/>
      <c r="W86" s="114"/>
      <c r="X86" s="115"/>
      <c r="Y86" s="98"/>
      <c r="Z86" s="98"/>
    </row>
    <row r="87" hidden="1" outlineLevel="1">
      <c r="A87" s="293"/>
      <c r="B87" s="116"/>
      <c r="C87" s="294" t="s">
        <v>72</v>
      </c>
      <c r="D87" s="298"/>
      <c r="E87" s="296"/>
      <c r="F87" s="296"/>
      <c r="G87" s="104" t="str">
        <f t="shared" si="1"/>
        <v>#DIV/0!</v>
      </c>
      <c r="H87" s="105" t="str">
        <f t="shared" si="2"/>
        <v>#DIV/0!</v>
      </c>
      <c r="I87" s="106" t="str">
        <f t="shared" si="3"/>
        <v>#DIV/0!</v>
      </c>
      <c r="J87" s="120">
        <v>74.68</v>
      </c>
      <c r="K87" s="278">
        <v>9140.0</v>
      </c>
      <c r="L87" s="296"/>
      <c r="M87" s="121">
        <v>0.0</v>
      </c>
      <c r="N87" s="109" t="str">
        <f>(J87/M87)</f>
        <v>#DIV/0!</v>
      </c>
      <c r="O87" s="110">
        <f t="shared" si="5"/>
        <v>0</v>
      </c>
      <c r="P87" s="109" t="str">
        <f t="shared" si="6"/>
        <v>#DIV/0!</v>
      </c>
      <c r="Q87" s="111" t="str">
        <f t="shared" si="7"/>
        <v>#DIV/0!</v>
      </c>
      <c r="R87" s="122">
        <f t="shared" si="51"/>
        <v>0</v>
      </c>
      <c r="S87" s="113" t="str">
        <f t="shared" si="9"/>
        <v>#DIV/0!</v>
      </c>
      <c r="T87" s="114"/>
      <c r="U87" s="114"/>
      <c r="V87" s="114"/>
      <c r="W87" s="114"/>
      <c r="X87" s="115"/>
      <c r="Y87" s="98"/>
      <c r="Z87" s="98"/>
    </row>
    <row r="88" hidden="1" outlineLevel="1">
      <c r="A88" s="293"/>
      <c r="B88" s="116"/>
      <c r="C88" s="294" t="s">
        <v>73</v>
      </c>
      <c r="D88" s="298"/>
      <c r="E88" s="296"/>
      <c r="F88" s="296"/>
      <c r="G88" s="104" t="str">
        <f t="shared" si="1"/>
        <v>#DIV/0!</v>
      </c>
      <c r="H88" s="105" t="str">
        <f t="shared" si="2"/>
        <v>#DIV/0!</v>
      </c>
      <c r="I88" s="106" t="str">
        <f t="shared" si="3"/>
        <v>#DIV/0!</v>
      </c>
      <c r="J88" s="120">
        <v>6.47</v>
      </c>
      <c r="K88" s="278">
        <v>3038.0</v>
      </c>
      <c r="L88" s="296"/>
      <c r="M88" s="121">
        <v>119.9</v>
      </c>
      <c r="N88" s="109">
        <f t="shared" ref="N88:N98" si="52">J88/M88</f>
        <v>0.0539616347</v>
      </c>
      <c r="O88" s="110">
        <f t="shared" si="5"/>
        <v>18.5316847</v>
      </c>
      <c r="P88" s="109" t="str">
        <f t="shared" si="6"/>
        <v>#DIV/0!</v>
      </c>
      <c r="Q88" s="111" t="str">
        <f t="shared" si="7"/>
        <v>#DIV/0!</v>
      </c>
      <c r="R88" s="122">
        <f t="shared" si="51"/>
        <v>-119.9</v>
      </c>
      <c r="S88" s="113" t="str">
        <f t="shared" si="9"/>
        <v>#DIV/0!</v>
      </c>
      <c r="T88" s="114"/>
      <c r="U88" s="114"/>
      <c r="V88" s="114"/>
      <c r="W88" s="114"/>
      <c r="X88" s="115"/>
      <c r="Y88" s="98"/>
      <c r="Z88" s="98"/>
    </row>
    <row r="89" hidden="1" outlineLevel="1">
      <c r="A89" s="293"/>
      <c r="B89" s="116"/>
      <c r="C89" s="294" t="s">
        <v>74</v>
      </c>
      <c r="D89" s="299"/>
      <c r="E89" s="296"/>
      <c r="F89" s="296"/>
      <c r="G89" s="104" t="str">
        <f t="shared" si="1"/>
        <v>#DIV/0!</v>
      </c>
      <c r="H89" s="105" t="str">
        <f t="shared" si="2"/>
        <v>#DIV/0!</v>
      </c>
      <c r="I89" s="106" t="str">
        <f t="shared" si="3"/>
        <v>#DIV/0!</v>
      </c>
      <c r="J89" s="300">
        <v>1.88</v>
      </c>
      <c r="K89" s="278">
        <v>962.0</v>
      </c>
      <c r="L89" s="296"/>
      <c r="M89" s="300">
        <v>0.0</v>
      </c>
      <c r="N89" s="109" t="str">
        <f t="shared" si="52"/>
        <v>#DIV/0!</v>
      </c>
      <c r="O89" s="110">
        <f t="shared" si="5"/>
        <v>0</v>
      </c>
      <c r="P89" s="109" t="str">
        <f t="shared" si="6"/>
        <v>#DIV/0!</v>
      </c>
      <c r="Q89" s="111" t="str">
        <f t="shared" si="7"/>
        <v>#DIV/0!</v>
      </c>
      <c r="R89" s="122">
        <f t="shared" si="51"/>
        <v>0</v>
      </c>
      <c r="S89" s="113" t="str">
        <f t="shared" si="9"/>
        <v>#DIV/0!</v>
      </c>
      <c r="T89" s="114"/>
      <c r="U89" s="114"/>
      <c r="V89" s="114"/>
      <c r="W89" s="114"/>
      <c r="X89" s="115"/>
      <c r="Y89" s="98"/>
      <c r="Z89" s="98"/>
    </row>
    <row r="90" hidden="1" outlineLevel="1">
      <c r="A90" s="293"/>
      <c r="B90" s="116"/>
      <c r="C90" s="294" t="s">
        <v>75</v>
      </c>
      <c r="D90" s="301"/>
      <c r="E90" s="296"/>
      <c r="F90" s="296"/>
      <c r="G90" s="104" t="str">
        <f t="shared" si="1"/>
        <v>#DIV/0!</v>
      </c>
      <c r="H90" s="105" t="str">
        <f t="shared" si="2"/>
        <v>#DIV/0!</v>
      </c>
      <c r="I90" s="106" t="str">
        <f t="shared" si="3"/>
        <v>#DIV/0!</v>
      </c>
      <c r="J90" s="302">
        <v>17.66</v>
      </c>
      <c r="K90" s="278">
        <v>2372.0</v>
      </c>
      <c r="L90" s="296"/>
      <c r="M90" s="303">
        <v>59.93</v>
      </c>
      <c r="N90" s="109">
        <f t="shared" si="52"/>
        <v>0.2946771233</v>
      </c>
      <c r="O90" s="110">
        <f t="shared" si="5"/>
        <v>3.393544734</v>
      </c>
      <c r="P90" s="109" t="str">
        <f t="shared" si="6"/>
        <v>#DIV/0!</v>
      </c>
      <c r="Q90" s="111" t="str">
        <f t="shared" si="7"/>
        <v>#DIV/0!</v>
      </c>
      <c r="R90" s="304">
        <f t="shared" si="51"/>
        <v>-59.93</v>
      </c>
      <c r="S90" s="113" t="str">
        <f t="shared" si="9"/>
        <v>#DIV/0!</v>
      </c>
      <c r="T90" s="114"/>
      <c r="U90" s="114"/>
      <c r="V90" s="114"/>
      <c r="W90" s="114"/>
      <c r="X90" s="115"/>
      <c r="Y90" s="98"/>
      <c r="Z90" s="98"/>
    </row>
    <row r="91" hidden="1" outlineLevel="1">
      <c r="A91" s="293"/>
      <c r="B91" s="116"/>
      <c r="C91" s="294" t="s">
        <v>76</v>
      </c>
      <c r="D91" s="298"/>
      <c r="E91" s="296"/>
      <c r="F91" s="296"/>
      <c r="G91" s="104" t="str">
        <f t="shared" si="1"/>
        <v>#DIV/0!</v>
      </c>
      <c r="H91" s="105" t="str">
        <f t="shared" si="2"/>
        <v>#DIV/0!</v>
      </c>
      <c r="I91" s="106" t="str">
        <f t="shared" si="3"/>
        <v>#DIV/0!</v>
      </c>
      <c r="J91" s="120">
        <v>46.49</v>
      </c>
      <c r="K91" s="278">
        <v>8612.0</v>
      </c>
      <c r="L91" s="296"/>
      <c r="M91" s="121">
        <v>0.0</v>
      </c>
      <c r="N91" s="109" t="str">
        <f t="shared" si="52"/>
        <v>#DIV/0!</v>
      </c>
      <c r="O91" s="110">
        <f t="shared" si="5"/>
        <v>0</v>
      </c>
      <c r="P91" s="109" t="str">
        <f t="shared" si="6"/>
        <v>#DIV/0!</v>
      </c>
      <c r="Q91" s="111" t="str">
        <f t="shared" si="7"/>
        <v>#DIV/0!</v>
      </c>
      <c r="R91" s="122">
        <f t="shared" si="51"/>
        <v>0</v>
      </c>
      <c r="S91" s="113" t="str">
        <f t="shared" si="9"/>
        <v>#DIV/0!</v>
      </c>
      <c r="T91" s="114"/>
      <c r="U91" s="114"/>
      <c r="V91" s="114"/>
      <c r="W91" s="114"/>
      <c r="X91" s="115"/>
      <c r="Y91" s="98"/>
      <c r="Z91" s="98"/>
    </row>
    <row r="92" hidden="1" outlineLevel="1">
      <c r="A92" s="293"/>
      <c r="B92" s="99" t="s">
        <v>37</v>
      </c>
      <c r="C92" s="294" t="s">
        <v>77</v>
      </c>
      <c r="D92" s="305"/>
      <c r="E92" s="296"/>
      <c r="F92" s="296"/>
      <c r="G92" s="104" t="str">
        <f t="shared" si="1"/>
        <v>#DIV/0!</v>
      </c>
      <c r="H92" s="105" t="str">
        <f t="shared" si="2"/>
        <v>#DIV/0!</v>
      </c>
      <c r="I92" s="106" t="str">
        <f t="shared" si="3"/>
        <v>#DIV/0!</v>
      </c>
      <c r="J92" s="123">
        <v>2.15</v>
      </c>
      <c r="K92" s="278">
        <v>516.0</v>
      </c>
      <c r="L92" s="296"/>
      <c r="M92" s="124">
        <v>0.0</v>
      </c>
      <c r="N92" s="109" t="str">
        <f t="shared" si="52"/>
        <v>#DIV/0!</v>
      </c>
      <c r="O92" s="110">
        <f t="shared" si="5"/>
        <v>0</v>
      </c>
      <c r="P92" s="109" t="str">
        <f t="shared" si="6"/>
        <v>#DIV/0!</v>
      </c>
      <c r="Q92" s="111" t="str">
        <f t="shared" si="7"/>
        <v>#DIV/0!</v>
      </c>
      <c r="R92" s="125">
        <f t="shared" si="51"/>
        <v>0</v>
      </c>
      <c r="S92" s="113" t="str">
        <f t="shared" si="9"/>
        <v>#DIV/0!</v>
      </c>
      <c r="T92" s="114"/>
      <c r="U92" s="114"/>
      <c r="V92" s="114"/>
      <c r="W92" s="114"/>
      <c r="X92" s="115"/>
      <c r="Y92" s="98"/>
      <c r="Z92" s="98"/>
    </row>
    <row r="93" hidden="1" outlineLevel="1">
      <c r="A93" s="293"/>
      <c r="B93" s="116"/>
      <c r="C93" s="294" t="s">
        <v>78</v>
      </c>
      <c r="D93" s="306"/>
      <c r="E93" s="296"/>
      <c r="F93" s="296"/>
      <c r="G93" s="104" t="str">
        <f t="shared" si="1"/>
        <v>#DIV/0!</v>
      </c>
      <c r="H93" s="105" t="str">
        <f t="shared" si="2"/>
        <v>#DIV/0!</v>
      </c>
      <c r="I93" s="106" t="str">
        <f t="shared" si="3"/>
        <v>#DIV/0!</v>
      </c>
      <c r="J93" s="126">
        <v>0.11</v>
      </c>
      <c r="K93" s="278">
        <v>112.0</v>
      </c>
      <c r="L93" s="296"/>
      <c r="M93" s="127">
        <v>0.0</v>
      </c>
      <c r="N93" s="109" t="str">
        <f t="shared" si="52"/>
        <v>#DIV/0!</v>
      </c>
      <c r="O93" s="110">
        <f t="shared" si="5"/>
        <v>0</v>
      </c>
      <c r="P93" s="109" t="str">
        <f t="shared" si="6"/>
        <v>#DIV/0!</v>
      </c>
      <c r="Q93" s="111" t="str">
        <f t="shared" si="7"/>
        <v>#DIV/0!</v>
      </c>
      <c r="R93" s="128">
        <f t="shared" si="51"/>
        <v>0</v>
      </c>
      <c r="S93" s="113" t="str">
        <f t="shared" si="9"/>
        <v>#DIV/0!</v>
      </c>
      <c r="T93" s="114"/>
      <c r="U93" s="114"/>
      <c r="V93" s="114"/>
      <c r="W93" s="114"/>
      <c r="X93" s="115"/>
      <c r="Y93" s="98"/>
      <c r="Z93" s="98"/>
    </row>
    <row r="94" hidden="1" outlineLevel="1">
      <c r="A94" s="293"/>
      <c r="B94" s="116"/>
      <c r="C94" s="294" t="s">
        <v>79</v>
      </c>
      <c r="D94" s="307"/>
      <c r="E94" s="296"/>
      <c r="F94" s="296"/>
      <c r="G94" s="104" t="str">
        <f t="shared" si="1"/>
        <v>#DIV/0!</v>
      </c>
      <c r="H94" s="105" t="str">
        <f t="shared" si="2"/>
        <v>#DIV/0!</v>
      </c>
      <c r="I94" s="106" t="str">
        <f t="shared" si="3"/>
        <v>#DIV/0!</v>
      </c>
      <c r="J94" s="129">
        <v>28.6</v>
      </c>
      <c r="K94" s="278">
        <v>6028.0</v>
      </c>
      <c r="L94" s="296"/>
      <c r="M94" s="130">
        <v>75.31</v>
      </c>
      <c r="N94" s="109">
        <f t="shared" si="52"/>
        <v>0.3797636436</v>
      </c>
      <c r="O94" s="110">
        <f t="shared" si="5"/>
        <v>2.633216783</v>
      </c>
      <c r="P94" s="109" t="str">
        <f t="shared" si="6"/>
        <v>#DIV/0!</v>
      </c>
      <c r="Q94" s="111" t="str">
        <f t="shared" si="7"/>
        <v>#DIV/0!</v>
      </c>
      <c r="R94" s="131">
        <f t="shared" si="51"/>
        <v>-75.31</v>
      </c>
      <c r="S94" s="113" t="str">
        <f t="shared" si="9"/>
        <v>#DIV/0!</v>
      </c>
      <c r="T94" s="114"/>
      <c r="U94" s="114"/>
      <c r="V94" s="114"/>
      <c r="W94" s="114"/>
      <c r="X94" s="115"/>
      <c r="Y94" s="98"/>
      <c r="Z94" s="98"/>
    </row>
    <row r="95" hidden="1" outlineLevel="1">
      <c r="A95" s="310" t="str">
        <f t="shared" ref="A95:A96" si="53">iferror(if(B95&gt;0,month(B95)&amp;"-"&amp;year(B95),B95),)</f>
        <v>4-2025</v>
      </c>
      <c r="B95" s="99">
        <v>45759.0</v>
      </c>
      <c r="C95" s="294" t="s">
        <v>81</v>
      </c>
      <c r="D95" s="311"/>
      <c r="E95" s="296"/>
      <c r="F95" s="296"/>
      <c r="G95" s="104" t="str">
        <f t="shared" si="1"/>
        <v>#DIV/0!</v>
      </c>
      <c r="H95" s="105" t="str">
        <f t="shared" si="2"/>
        <v>#DIV/0!</v>
      </c>
      <c r="I95" s="106" t="str">
        <f t="shared" si="3"/>
        <v>#DIV/0!</v>
      </c>
      <c r="J95" s="117">
        <v>0.0</v>
      </c>
      <c r="K95" s="278">
        <v>0.0</v>
      </c>
      <c r="L95" s="296"/>
      <c r="M95" s="118">
        <v>0.0</v>
      </c>
      <c r="N95" s="109" t="str">
        <f t="shared" si="52"/>
        <v>#DIV/0!</v>
      </c>
      <c r="O95" s="110" t="str">
        <f t="shared" si="5"/>
        <v>#DIV/0!</v>
      </c>
      <c r="P95" s="109" t="str">
        <f t="shared" si="6"/>
        <v>#DIV/0!</v>
      </c>
      <c r="Q95" s="111" t="str">
        <f t="shared" si="7"/>
        <v>#DIV/0!</v>
      </c>
      <c r="R95" s="112">
        <f t="shared" si="51"/>
        <v>0</v>
      </c>
      <c r="S95" s="113" t="str">
        <f t="shared" si="9"/>
        <v>#DIV/0!</v>
      </c>
      <c r="T95" s="114"/>
      <c r="U95" s="114"/>
      <c r="V95" s="114"/>
      <c r="W95" s="114"/>
      <c r="X95" s="115"/>
      <c r="Y95" s="98"/>
      <c r="Z95" s="98"/>
    </row>
    <row r="96" collapsed="1">
      <c r="A96" s="293" t="str">
        <f t="shared" si="53"/>
        <v/>
      </c>
      <c r="B96" s="80" t="s">
        <v>102</v>
      </c>
      <c r="C96" s="312"/>
      <c r="D96" s="151">
        <f t="shared" ref="D96:F96" si="54">SUM(D85:D95)</f>
        <v>0</v>
      </c>
      <c r="E96" s="153">
        <f t="shared" si="54"/>
        <v>0</v>
      </c>
      <c r="F96" s="153">
        <f t="shared" si="54"/>
        <v>0</v>
      </c>
      <c r="G96" s="154" t="str">
        <f t="shared" si="1"/>
        <v>#DIV/0!</v>
      </c>
      <c r="H96" s="155" t="str">
        <f t="shared" si="2"/>
        <v>#DIV/0!</v>
      </c>
      <c r="I96" s="156" t="str">
        <f t="shared" si="3"/>
        <v>#DIV/0!</v>
      </c>
      <c r="J96" s="151">
        <f t="shared" ref="J96:M96" si="55">SUM(J85:J95)</f>
        <v>330.89</v>
      </c>
      <c r="K96" s="313">
        <f t="shared" si="55"/>
        <v>90272</v>
      </c>
      <c r="L96" s="153">
        <f t="shared" si="55"/>
        <v>0</v>
      </c>
      <c r="M96" s="157">
        <f t="shared" si="55"/>
        <v>472.69</v>
      </c>
      <c r="N96" s="158">
        <f t="shared" si="52"/>
        <v>0.7000148089</v>
      </c>
      <c r="O96" s="159">
        <f t="shared" si="5"/>
        <v>1.428541207</v>
      </c>
      <c r="P96" s="158" t="str">
        <f t="shared" si="6"/>
        <v>#DIV/0!</v>
      </c>
      <c r="Q96" s="160" t="str">
        <f t="shared" si="7"/>
        <v>#DIV/0!</v>
      </c>
      <c r="R96" s="161">
        <f>SUM(R85:R95)</f>
        <v>-472.69</v>
      </c>
      <c r="S96" s="162" t="str">
        <f t="shared" si="9"/>
        <v>#DIV/0!</v>
      </c>
      <c r="T96" s="164" t="str">
        <f t="shared" ref="T96:U96" si="56">IFERROR((D96-D48)/D96,)</f>
        <v/>
      </c>
      <c r="U96" s="164" t="str">
        <f t="shared" si="56"/>
        <v/>
      </c>
      <c r="V96" s="164" t="str">
        <f t="shared" ref="V96:W96" si="57">IFERROR((D96-#REF!)/D96, )</f>
        <v/>
      </c>
      <c r="W96" s="164" t="str">
        <f t="shared" si="57"/>
        <v/>
      </c>
      <c r="X96" s="98"/>
      <c r="Y96" s="98"/>
      <c r="Z96" s="98"/>
    </row>
    <row r="97" hidden="1" outlineLevel="1">
      <c r="A97" s="293"/>
      <c r="B97" s="99">
        <v>45760.0</v>
      </c>
      <c r="C97" s="294" t="s">
        <v>70</v>
      </c>
      <c r="D97" s="295"/>
      <c r="E97" s="296"/>
      <c r="F97" s="296"/>
      <c r="G97" s="104" t="str">
        <f t="shared" si="1"/>
        <v>#DIV/0!</v>
      </c>
      <c r="H97" s="105" t="str">
        <f t="shared" si="2"/>
        <v>#DIV/0!</v>
      </c>
      <c r="I97" s="106" t="str">
        <f t="shared" si="3"/>
        <v>#DIV/0!</v>
      </c>
      <c r="J97" s="107">
        <v>130.32</v>
      </c>
      <c r="K97" s="278">
        <v>46806.0</v>
      </c>
      <c r="L97" s="296"/>
      <c r="M97" s="108">
        <v>0.0</v>
      </c>
      <c r="N97" s="109" t="str">
        <f t="shared" si="52"/>
        <v>#DIV/0!</v>
      </c>
      <c r="O97" s="110">
        <f t="shared" si="5"/>
        <v>0</v>
      </c>
      <c r="P97" s="109" t="str">
        <f t="shared" si="6"/>
        <v>#DIV/0!</v>
      </c>
      <c r="Q97" s="111" t="str">
        <f t="shared" si="7"/>
        <v>#DIV/0!</v>
      </c>
      <c r="R97" s="112">
        <f t="shared" ref="R97:R107" si="58">D97-M97</f>
        <v>0</v>
      </c>
      <c r="S97" s="113" t="str">
        <f t="shared" si="9"/>
        <v>#DIV/0!</v>
      </c>
      <c r="T97" s="114"/>
      <c r="U97" s="114"/>
      <c r="V97" s="114"/>
      <c r="W97" s="114"/>
      <c r="X97" s="115"/>
      <c r="Y97" s="98"/>
      <c r="Z97" s="98"/>
    </row>
    <row r="98" hidden="1" outlineLevel="1">
      <c r="A98" s="293"/>
      <c r="B98" s="116"/>
      <c r="C98" s="294" t="s">
        <v>71</v>
      </c>
      <c r="D98" s="297"/>
      <c r="E98" s="296"/>
      <c r="F98" s="296"/>
      <c r="G98" s="104" t="str">
        <f t="shared" si="1"/>
        <v>#DIV/0!</v>
      </c>
      <c r="H98" s="105" t="str">
        <f t="shared" si="2"/>
        <v>#DIV/0!</v>
      </c>
      <c r="I98" s="106" t="str">
        <f t="shared" si="3"/>
        <v>#DIV/0!</v>
      </c>
      <c r="J98" s="117">
        <v>17.9</v>
      </c>
      <c r="K98" s="278">
        <v>5129.0</v>
      </c>
      <c r="L98" s="296"/>
      <c r="M98" s="118">
        <v>0.0</v>
      </c>
      <c r="N98" s="109" t="str">
        <f t="shared" si="52"/>
        <v>#DIV/0!</v>
      </c>
      <c r="O98" s="110">
        <f t="shared" si="5"/>
        <v>0</v>
      </c>
      <c r="P98" s="109" t="str">
        <f t="shared" si="6"/>
        <v>#DIV/0!</v>
      </c>
      <c r="Q98" s="111" t="str">
        <f t="shared" si="7"/>
        <v>#DIV/0!</v>
      </c>
      <c r="R98" s="119">
        <f t="shared" si="58"/>
        <v>0</v>
      </c>
      <c r="S98" s="113" t="str">
        <f t="shared" si="9"/>
        <v>#DIV/0!</v>
      </c>
      <c r="T98" s="114"/>
      <c r="U98" s="114"/>
      <c r="V98" s="114"/>
      <c r="W98" s="114"/>
      <c r="X98" s="115"/>
      <c r="Y98" s="98"/>
      <c r="Z98" s="98"/>
    </row>
    <row r="99" hidden="1" outlineLevel="1">
      <c r="A99" s="293"/>
      <c r="B99" s="116"/>
      <c r="C99" s="294" t="s">
        <v>72</v>
      </c>
      <c r="D99" s="298"/>
      <c r="E99" s="296"/>
      <c r="F99" s="296"/>
      <c r="G99" s="104" t="str">
        <f t="shared" si="1"/>
        <v>#DIV/0!</v>
      </c>
      <c r="H99" s="105" t="str">
        <f t="shared" si="2"/>
        <v>#DIV/0!</v>
      </c>
      <c r="I99" s="106" t="str">
        <f t="shared" si="3"/>
        <v>#DIV/0!</v>
      </c>
      <c r="J99" s="120">
        <v>101.51</v>
      </c>
      <c r="K99" s="278">
        <v>4379.0</v>
      </c>
      <c r="L99" s="296"/>
      <c r="M99" s="121">
        <v>0.0</v>
      </c>
      <c r="N99" s="109" t="str">
        <f>(J99/M99)</f>
        <v>#DIV/0!</v>
      </c>
      <c r="O99" s="110">
        <f t="shared" si="5"/>
        <v>0</v>
      </c>
      <c r="P99" s="109" t="str">
        <f t="shared" si="6"/>
        <v>#DIV/0!</v>
      </c>
      <c r="Q99" s="111" t="str">
        <f t="shared" si="7"/>
        <v>#DIV/0!</v>
      </c>
      <c r="R99" s="122">
        <f t="shared" si="58"/>
        <v>0</v>
      </c>
      <c r="S99" s="113" t="str">
        <f t="shared" si="9"/>
        <v>#DIV/0!</v>
      </c>
      <c r="T99" s="114"/>
      <c r="U99" s="114"/>
      <c r="V99" s="114"/>
      <c r="W99" s="114"/>
      <c r="X99" s="115"/>
      <c r="Y99" s="98"/>
      <c r="Z99" s="98"/>
    </row>
    <row r="100" hidden="1" outlineLevel="1">
      <c r="A100" s="293"/>
      <c r="B100" s="116"/>
      <c r="C100" s="294" t="s">
        <v>73</v>
      </c>
      <c r="D100" s="298"/>
      <c r="E100" s="296"/>
      <c r="F100" s="296"/>
      <c r="G100" s="104" t="str">
        <f t="shared" si="1"/>
        <v>#DIV/0!</v>
      </c>
      <c r="H100" s="105" t="str">
        <f t="shared" si="2"/>
        <v>#DIV/0!</v>
      </c>
      <c r="I100" s="106" t="str">
        <f t="shared" si="3"/>
        <v>#DIV/0!</v>
      </c>
      <c r="J100" s="120">
        <v>13.26</v>
      </c>
      <c r="K100" s="278">
        <v>3581.0</v>
      </c>
      <c r="L100" s="296"/>
      <c r="M100" s="121">
        <v>0.0</v>
      </c>
      <c r="N100" s="109" t="str">
        <f t="shared" ref="N100:N110" si="59">J100/M100</f>
        <v>#DIV/0!</v>
      </c>
      <c r="O100" s="110">
        <f t="shared" si="5"/>
        <v>0</v>
      </c>
      <c r="P100" s="109" t="str">
        <f t="shared" si="6"/>
        <v>#DIV/0!</v>
      </c>
      <c r="Q100" s="111" t="str">
        <f t="shared" si="7"/>
        <v>#DIV/0!</v>
      </c>
      <c r="R100" s="122">
        <f t="shared" si="58"/>
        <v>0</v>
      </c>
      <c r="S100" s="113" t="str">
        <f t="shared" si="9"/>
        <v>#DIV/0!</v>
      </c>
      <c r="T100" s="114"/>
      <c r="U100" s="114"/>
      <c r="V100" s="114"/>
      <c r="W100" s="114"/>
      <c r="X100" s="115"/>
      <c r="Y100" s="98"/>
      <c r="Z100" s="98"/>
    </row>
    <row r="101" hidden="1" outlineLevel="1">
      <c r="A101" s="293"/>
      <c r="B101" s="116"/>
      <c r="C101" s="294" t="s">
        <v>74</v>
      </c>
      <c r="D101" s="299"/>
      <c r="E101" s="296"/>
      <c r="F101" s="296"/>
      <c r="G101" s="104" t="str">
        <f t="shared" si="1"/>
        <v>#DIV/0!</v>
      </c>
      <c r="H101" s="105" t="str">
        <f t="shared" si="2"/>
        <v>#DIV/0!</v>
      </c>
      <c r="I101" s="106" t="str">
        <f t="shared" si="3"/>
        <v>#DIV/0!</v>
      </c>
      <c r="J101" s="300">
        <v>0.61</v>
      </c>
      <c r="K101" s="278">
        <v>399.0</v>
      </c>
      <c r="L101" s="296"/>
      <c r="M101" s="299"/>
      <c r="N101" s="109" t="str">
        <f t="shared" si="59"/>
        <v>#DIV/0!</v>
      </c>
      <c r="O101" s="110">
        <f t="shared" si="5"/>
        <v>0</v>
      </c>
      <c r="P101" s="109" t="str">
        <f t="shared" si="6"/>
        <v>#DIV/0!</v>
      </c>
      <c r="Q101" s="111" t="str">
        <f t="shared" si="7"/>
        <v>#DIV/0!</v>
      </c>
      <c r="R101" s="122">
        <f t="shared" si="58"/>
        <v>0</v>
      </c>
      <c r="S101" s="113" t="str">
        <f t="shared" si="9"/>
        <v>#DIV/0!</v>
      </c>
      <c r="T101" s="114"/>
      <c r="U101" s="114"/>
      <c r="V101" s="114"/>
      <c r="W101" s="114"/>
      <c r="X101" s="115"/>
      <c r="Y101" s="98"/>
      <c r="Z101" s="98"/>
    </row>
    <row r="102" hidden="1" outlineLevel="1">
      <c r="A102" s="293"/>
      <c r="B102" s="116"/>
      <c r="C102" s="294" t="s">
        <v>75</v>
      </c>
      <c r="D102" s="301"/>
      <c r="E102" s="296"/>
      <c r="F102" s="296"/>
      <c r="G102" s="104" t="str">
        <f t="shared" si="1"/>
        <v>#DIV/0!</v>
      </c>
      <c r="H102" s="105" t="str">
        <f t="shared" si="2"/>
        <v>#DIV/0!</v>
      </c>
      <c r="I102" s="106" t="str">
        <f t="shared" si="3"/>
        <v>#DIV/0!</v>
      </c>
      <c r="J102" s="302">
        <v>34.45</v>
      </c>
      <c r="K102" s="278">
        <v>3962.0</v>
      </c>
      <c r="L102" s="296"/>
      <c r="M102" s="303">
        <v>99.88</v>
      </c>
      <c r="N102" s="109">
        <f t="shared" si="59"/>
        <v>0.3449138967</v>
      </c>
      <c r="O102" s="110">
        <f t="shared" si="5"/>
        <v>2.899274311</v>
      </c>
      <c r="P102" s="109" t="str">
        <f t="shared" si="6"/>
        <v>#DIV/0!</v>
      </c>
      <c r="Q102" s="111" t="str">
        <f t="shared" si="7"/>
        <v>#DIV/0!</v>
      </c>
      <c r="R102" s="304">
        <f t="shared" si="58"/>
        <v>-99.88</v>
      </c>
      <c r="S102" s="113" t="str">
        <f t="shared" si="9"/>
        <v>#DIV/0!</v>
      </c>
      <c r="T102" s="114"/>
      <c r="U102" s="114"/>
      <c r="V102" s="114"/>
      <c r="W102" s="114"/>
      <c r="X102" s="115"/>
      <c r="Y102" s="98"/>
      <c r="Z102" s="98"/>
    </row>
    <row r="103" hidden="1" outlineLevel="1">
      <c r="A103" s="293"/>
      <c r="B103" s="116"/>
      <c r="C103" s="294" t="s">
        <v>76</v>
      </c>
      <c r="D103" s="298"/>
      <c r="E103" s="296"/>
      <c r="F103" s="296"/>
      <c r="G103" s="104" t="str">
        <f t="shared" si="1"/>
        <v>#DIV/0!</v>
      </c>
      <c r="H103" s="105" t="str">
        <f t="shared" si="2"/>
        <v>#DIV/0!</v>
      </c>
      <c r="I103" s="106" t="str">
        <f t="shared" si="3"/>
        <v>#DIV/0!</v>
      </c>
      <c r="J103" s="120">
        <v>20.2</v>
      </c>
      <c r="K103" s="278">
        <v>1158.0</v>
      </c>
      <c r="L103" s="296"/>
      <c r="M103" s="121">
        <v>0.0</v>
      </c>
      <c r="N103" s="109" t="str">
        <f t="shared" si="59"/>
        <v>#DIV/0!</v>
      </c>
      <c r="O103" s="110">
        <f t="shared" si="5"/>
        <v>0</v>
      </c>
      <c r="P103" s="109" t="str">
        <f t="shared" si="6"/>
        <v>#DIV/0!</v>
      </c>
      <c r="Q103" s="111" t="str">
        <f t="shared" si="7"/>
        <v>#DIV/0!</v>
      </c>
      <c r="R103" s="122">
        <f t="shared" si="58"/>
        <v>0</v>
      </c>
      <c r="S103" s="113" t="str">
        <f t="shared" si="9"/>
        <v>#DIV/0!</v>
      </c>
      <c r="T103" s="114"/>
      <c r="U103" s="114"/>
      <c r="V103" s="114"/>
      <c r="W103" s="114"/>
      <c r="X103" s="115"/>
      <c r="Y103" s="98"/>
      <c r="Z103" s="98"/>
    </row>
    <row r="104" hidden="1" outlineLevel="1">
      <c r="A104" s="293"/>
      <c r="B104" s="99" t="s">
        <v>37</v>
      </c>
      <c r="C104" s="294" t="s">
        <v>77</v>
      </c>
      <c r="D104" s="305"/>
      <c r="E104" s="296"/>
      <c r="F104" s="296"/>
      <c r="G104" s="104" t="str">
        <f t="shared" si="1"/>
        <v>#DIV/0!</v>
      </c>
      <c r="H104" s="105" t="str">
        <f t="shared" si="2"/>
        <v>#DIV/0!</v>
      </c>
      <c r="I104" s="106" t="str">
        <f t="shared" si="3"/>
        <v>#DIV/0!</v>
      </c>
      <c r="J104" s="123">
        <v>11.1</v>
      </c>
      <c r="K104" s="278">
        <v>3014.0</v>
      </c>
      <c r="L104" s="296"/>
      <c r="M104" s="124">
        <v>311.4</v>
      </c>
      <c r="N104" s="109">
        <f t="shared" si="59"/>
        <v>0.03564547206</v>
      </c>
      <c r="O104" s="110">
        <f t="shared" si="5"/>
        <v>28.05405405</v>
      </c>
      <c r="P104" s="109" t="str">
        <f t="shared" si="6"/>
        <v>#DIV/0!</v>
      </c>
      <c r="Q104" s="111" t="str">
        <f t="shared" si="7"/>
        <v>#DIV/0!</v>
      </c>
      <c r="R104" s="125">
        <f t="shared" si="58"/>
        <v>-311.4</v>
      </c>
      <c r="S104" s="113" t="str">
        <f t="shared" si="9"/>
        <v>#DIV/0!</v>
      </c>
      <c r="T104" s="114"/>
      <c r="U104" s="114"/>
      <c r="V104" s="114"/>
      <c r="W104" s="114"/>
      <c r="X104" s="115"/>
      <c r="Y104" s="98"/>
      <c r="Z104" s="98"/>
    </row>
    <row r="105" hidden="1" outlineLevel="1">
      <c r="A105" s="293"/>
      <c r="B105" s="116"/>
      <c r="C105" s="294" t="s">
        <v>78</v>
      </c>
      <c r="D105" s="306"/>
      <c r="E105" s="296"/>
      <c r="F105" s="296"/>
      <c r="G105" s="104" t="str">
        <f t="shared" si="1"/>
        <v>#DIV/0!</v>
      </c>
      <c r="H105" s="105" t="str">
        <f t="shared" si="2"/>
        <v>#DIV/0!</v>
      </c>
      <c r="I105" s="106" t="str">
        <f t="shared" si="3"/>
        <v>#DIV/0!</v>
      </c>
      <c r="J105" s="126">
        <v>0.06</v>
      </c>
      <c r="K105" s="278">
        <v>2.0</v>
      </c>
      <c r="L105" s="296"/>
      <c r="M105" s="127">
        <v>0.0</v>
      </c>
      <c r="N105" s="109" t="str">
        <f t="shared" si="59"/>
        <v>#DIV/0!</v>
      </c>
      <c r="O105" s="110">
        <f t="shared" si="5"/>
        <v>0</v>
      </c>
      <c r="P105" s="109" t="str">
        <f t="shared" si="6"/>
        <v>#DIV/0!</v>
      </c>
      <c r="Q105" s="111" t="str">
        <f t="shared" si="7"/>
        <v>#DIV/0!</v>
      </c>
      <c r="R105" s="128">
        <f t="shared" si="58"/>
        <v>0</v>
      </c>
      <c r="S105" s="113" t="str">
        <f t="shared" si="9"/>
        <v>#DIV/0!</v>
      </c>
      <c r="T105" s="114"/>
      <c r="U105" s="114"/>
      <c r="V105" s="114"/>
      <c r="W105" s="114"/>
      <c r="X105" s="115"/>
      <c r="Y105" s="98"/>
      <c r="Z105" s="98"/>
    </row>
    <row r="106" hidden="1" outlineLevel="1">
      <c r="A106" s="293"/>
      <c r="B106" s="116"/>
      <c r="C106" s="294" t="s">
        <v>79</v>
      </c>
      <c r="D106" s="307"/>
      <c r="E106" s="296"/>
      <c r="F106" s="296"/>
      <c r="G106" s="104" t="str">
        <f t="shared" si="1"/>
        <v>#DIV/0!</v>
      </c>
      <c r="H106" s="105" t="str">
        <f t="shared" si="2"/>
        <v>#DIV/0!</v>
      </c>
      <c r="I106" s="106" t="str">
        <f t="shared" si="3"/>
        <v>#DIV/0!</v>
      </c>
      <c r="J106" s="129">
        <v>27.17</v>
      </c>
      <c r="K106" s="278">
        <v>6028.0</v>
      </c>
      <c r="L106" s="296"/>
      <c r="M106" s="130">
        <v>0.0</v>
      </c>
      <c r="N106" s="109" t="str">
        <f t="shared" si="59"/>
        <v>#DIV/0!</v>
      </c>
      <c r="O106" s="110">
        <f t="shared" si="5"/>
        <v>0</v>
      </c>
      <c r="P106" s="109" t="str">
        <f t="shared" si="6"/>
        <v>#DIV/0!</v>
      </c>
      <c r="Q106" s="111" t="str">
        <f t="shared" si="7"/>
        <v>#DIV/0!</v>
      </c>
      <c r="R106" s="131">
        <f t="shared" si="58"/>
        <v>0</v>
      </c>
      <c r="S106" s="113" t="str">
        <f t="shared" si="9"/>
        <v>#DIV/0!</v>
      </c>
      <c r="T106" s="114"/>
      <c r="U106" s="114"/>
      <c r="V106" s="114"/>
      <c r="W106" s="114"/>
      <c r="X106" s="115"/>
      <c r="Y106" s="98"/>
      <c r="Z106" s="98"/>
    </row>
    <row r="107" hidden="1" outlineLevel="1">
      <c r="A107" s="310" t="str">
        <f t="shared" ref="A107:A108" si="60">iferror(if(B107&gt;0,month(B107)&amp;"-"&amp;year(B107),B107),)</f>
        <v>4-2025</v>
      </c>
      <c r="B107" s="99">
        <v>45766.0</v>
      </c>
      <c r="C107" s="294" t="s">
        <v>81</v>
      </c>
      <c r="D107" s="311"/>
      <c r="E107" s="296"/>
      <c r="F107" s="296"/>
      <c r="G107" s="104" t="str">
        <f t="shared" si="1"/>
        <v>#DIV/0!</v>
      </c>
      <c r="H107" s="105" t="str">
        <f t="shared" si="2"/>
        <v>#DIV/0!</v>
      </c>
      <c r="I107" s="106" t="str">
        <f t="shared" si="3"/>
        <v>#DIV/0!</v>
      </c>
      <c r="J107" s="117">
        <v>0.0</v>
      </c>
      <c r="K107" s="278">
        <v>0.0</v>
      </c>
      <c r="L107" s="103">
        <v>0.0</v>
      </c>
      <c r="M107" s="118">
        <v>0.0</v>
      </c>
      <c r="N107" s="109" t="str">
        <f t="shared" si="59"/>
        <v>#DIV/0!</v>
      </c>
      <c r="O107" s="110" t="str">
        <f t="shared" si="5"/>
        <v>#DIV/0!</v>
      </c>
      <c r="P107" s="109" t="str">
        <f t="shared" si="6"/>
        <v>#DIV/0!</v>
      </c>
      <c r="Q107" s="111" t="str">
        <f t="shared" si="7"/>
        <v>#DIV/0!</v>
      </c>
      <c r="R107" s="112">
        <f t="shared" si="58"/>
        <v>0</v>
      </c>
      <c r="S107" s="113" t="str">
        <f t="shared" si="9"/>
        <v>#DIV/0!</v>
      </c>
      <c r="T107" s="114"/>
      <c r="U107" s="114"/>
      <c r="V107" s="114"/>
      <c r="W107" s="114"/>
      <c r="X107" s="115"/>
      <c r="Y107" s="98"/>
      <c r="Z107" s="98"/>
    </row>
    <row r="108" collapsed="1">
      <c r="A108" s="293" t="str">
        <f t="shared" si="60"/>
        <v/>
      </c>
      <c r="B108" s="80" t="s">
        <v>103</v>
      </c>
      <c r="C108" s="312"/>
      <c r="D108" s="151">
        <f t="shared" ref="D108:F108" si="61">SUM(D97:D107)</f>
        <v>0</v>
      </c>
      <c r="E108" s="153">
        <f t="shared" si="61"/>
        <v>0</v>
      </c>
      <c r="F108" s="153">
        <f t="shared" si="61"/>
        <v>0</v>
      </c>
      <c r="G108" s="154" t="str">
        <f t="shared" si="1"/>
        <v>#DIV/0!</v>
      </c>
      <c r="H108" s="155" t="str">
        <f t="shared" si="2"/>
        <v>#DIV/0!</v>
      </c>
      <c r="I108" s="156" t="str">
        <f t="shared" si="3"/>
        <v>#DIV/0!</v>
      </c>
      <c r="J108" s="151">
        <f t="shared" ref="J108:M108" si="62">SUM(J97:J107)</f>
        <v>356.58</v>
      </c>
      <c r="K108" s="313">
        <f t="shared" si="62"/>
        <v>74458</v>
      </c>
      <c r="L108" s="153">
        <f t="shared" si="62"/>
        <v>0</v>
      </c>
      <c r="M108" s="157">
        <f t="shared" si="62"/>
        <v>411.28</v>
      </c>
      <c r="N108" s="158">
        <f t="shared" si="59"/>
        <v>0.8670005835</v>
      </c>
      <c r="O108" s="159">
        <f t="shared" si="5"/>
        <v>1.153401761</v>
      </c>
      <c r="P108" s="158" t="str">
        <f t="shared" si="6"/>
        <v>#DIV/0!</v>
      </c>
      <c r="Q108" s="160" t="str">
        <f t="shared" si="7"/>
        <v>#DIV/0!</v>
      </c>
      <c r="R108" s="161">
        <f>SUM(R97:R107)</f>
        <v>-411.28</v>
      </c>
      <c r="S108" s="162" t="str">
        <f t="shared" si="9"/>
        <v>#DIV/0!</v>
      </c>
      <c r="T108" s="164" t="str">
        <f t="shared" ref="T108:U108" si="63">IFERROR((D108-D48)/D108,)</f>
        <v/>
      </c>
      <c r="U108" s="164" t="str">
        <f t="shared" si="63"/>
        <v/>
      </c>
      <c r="V108" s="164" t="str">
        <f t="shared" ref="V108:W108" si="64">IFERROR((D108-#REF!)/D108, )</f>
        <v/>
      </c>
      <c r="W108" s="164" t="str">
        <f t="shared" si="64"/>
        <v/>
      </c>
      <c r="X108" s="98"/>
      <c r="Y108" s="98"/>
      <c r="Z108" s="98"/>
    </row>
    <row r="109" hidden="1" outlineLevel="1">
      <c r="A109" s="293"/>
      <c r="B109" s="99">
        <v>45767.0</v>
      </c>
      <c r="C109" s="294" t="s">
        <v>70</v>
      </c>
      <c r="D109" s="295"/>
      <c r="E109" s="296"/>
      <c r="F109" s="296"/>
      <c r="G109" s="104" t="str">
        <f t="shared" si="1"/>
        <v>#DIV/0!</v>
      </c>
      <c r="H109" s="105" t="str">
        <f t="shared" si="2"/>
        <v>#DIV/0!</v>
      </c>
      <c r="I109" s="106" t="str">
        <f t="shared" si="3"/>
        <v>#DIV/0!</v>
      </c>
      <c r="J109" s="107">
        <v>51.36</v>
      </c>
      <c r="K109" s="278">
        <v>17565.0</v>
      </c>
      <c r="L109" s="296"/>
      <c r="M109" s="108">
        <v>0.0</v>
      </c>
      <c r="N109" s="109" t="str">
        <f t="shared" si="59"/>
        <v>#DIV/0!</v>
      </c>
      <c r="O109" s="110">
        <f t="shared" si="5"/>
        <v>0</v>
      </c>
      <c r="P109" s="109" t="str">
        <f t="shared" si="6"/>
        <v>#DIV/0!</v>
      </c>
      <c r="Q109" s="111" t="str">
        <f t="shared" si="7"/>
        <v>#DIV/0!</v>
      </c>
      <c r="R109" s="112">
        <f t="shared" ref="R109:R119" si="65">D109-M109</f>
        <v>0</v>
      </c>
      <c r="S109" s="113" t="str">
        <f t="shared" si="9"/>
        <v>#DIV/0!</v>
      </c>
      <c r="T109" s="114"/>
      <c r="U109" s="114"/>
      <c r="V109" s="114"/>
      <c r="W109" s="114"/>
      <c r="X109" s="115"/>
      <c r="Y109" s="98"/>
      <c r="Z109" s="98"/>
    </row>
    <row r="110" hidden="1" outlineLevel="1">
      <c r="A110" s="293"/>
      <c r="B110" s="116"/>
      <c r="C110" s="294" t="s">
        <v>71</v>
      </c>
      <c r="D110" s="297"/>
      <c r="E110" s="296"/>
      <c r="F110" s="296"/>
      <c r="G110" s="104" t="str">
        <f t="shared" si="1"/>
        <v>#DIV/0!</v>
      </c>
      <c r="H110" s="105" t="str">
        <f t="shared" si="2"/>
        <v>#DIV/0!</v>
      </c>
      <c r="I110" s="106" t="str">
        <f t="shared" si="3"/>
        <v>#DIV/0!</v>
      </c>
      <c r="J110" s="117">
        <v>30.62</v>
      </c>
      <c r="K110" s="278">
        <v>5075.0</v>
      </c>
      <c r="L110" s="296"/>
      <c r="M110" s="118">
        <v>0.0</v>
      </c>
      <c r="N110" s="109" t="str">
        <f t="shared" si="59"/>
        <v>#DIV/0!</v>
      </c>
      <c r="O110" s="110">
        <f t="shared" si="5"/>
        <v>0</v>
      </c>
      <c r="P110" s="109" t="str">
        <f t="shared" si="6"/>
        <v>#DIV/0!</v>
      </c>
      <c r="Q110" s="111" t="str">
        <f t="shared" si="7"/>
        <v>#DIV/0!</v>
      </c>
      <c r="R110" s="119">
        <f t="shared" si="65"/>
        <v>0</v>
      </c>
      <c r="S110" s="113" t="str">
        <f t="shared" si="9"/>
        <v>#DIV/0!</v>
      </c>
      <c r="T110" s="114"/>
      <c r="U110" s="114"/>
      <c r="V110" s="114"/>
      <c r="W110" s="114"/>
      <c r="X110" s="115"/>
      <c r="Y110" s="98"/>
      <c r="Z110" s="98"/>
    </row>
    <row r="111" hidden="1" outlineLevel="1">
      <c r="A111" s="293"/>
      <c r="B111" s="116"/>
      <c r="C111" s="294" t="s">
        <v>72</v>
      </c>
      <c r="D111" s="298"/>
      <c r="E111" s="296"/>
      <c r="F111" s="296"/>
      <c r="G111" s="104" t="str">
        <f t="shared" si="1"/>
        <v>#DIV/0!</v>
      </c>
      <c r="H111" s="105" t="str">
        <f t="shared" si="2"/>
        <v>#DIV/0!</v>
      </c>
      <c r="I111" s="106" t="str">
        <f t="shared" si="3"/>
        <v>#DIV/0!</v>
      </c>
      <c r="J111" s="120">
        <v>0.4</v>
      </c>
      <c r="K111" s="278">
        <v>193.0</v>
      </c>
      <c r="L111" s="296"/>
      <c r="M111" s="121">
        <v>0.0</v>
      </c>
      <c r="N111" s="109" t="str">
        <f>(J111/M111)</f>
        <v>#DIV/0!</v>
      </c>
      <c r="O111" s="110">
        <f t="shared" si="5"/>
        <v>0</v>
      </c>
      <c r="P111" s="109" t="str">
        <f t="shared" si="6"/>
        <v>#DIV/0!</v>
      </c>
      <c r="Q111" s="111" t="str">
        <f t="shared" si="7"/>
        <v>#DIV/0!</v>
      </c>
      <c r="R111" s="122">
        <f t="shared" si="65"/>
        <v>0</v>
      </c>
      <c r="S111" s="113" t="str">
        <f t="shared" si="9"/>
        <v>#DIV/0!</v>
      </c>
      <c r="T111" s="114"/>
      <c r="U111" s="114"/>
      <c r="V111" s="114"/>
      <c r="W111" s="114"/>
      <c r="X111" s="115"/>
      <c r="Y111" s="98"/>
      <c r="Z111" s="98"/>
    </row>
    <row r="112" hidden="1" outlineLevel="1">
      <c r="A112" s="293"/>
      <c r="B112" s="116"/>
      <c r="C112" s="294" t="s">
        <v>73</v>
      </c>
      <c r="D112" s="298"/>
      <c r="E112" s="296"/>
      <c r="F112" s="296"/>
      <c r="G112" s="104" t="str">
        <f t="shared" si="1"/>
        <v>#DIV/0!</v>
      </c>
      <c r="H112" s="105" t="str">
        <f t="shared" si="2"/>
        <v>#DIV/0!</v>
      </c>
      <c r="I112" s="106" t="str">
        <f t="shared" si="3"/>
        <v>#DIV/0!</v>
      </c>
      <c r="J112" s="120">
        <v>0.0</v>
      </c>
      <c r="K112" s="278">
        <v>0.0</v>
      </c>
      <c r="L112" s="296"/>
      <c r="M112" s="121">
        <v>0.0</v>
      </c>
      <c r="N112" s="109" t="str">
        <f t="shared" ref="N112:N122" si="66">J112/M112</f>
        <v>#DIV/0!</v>
      </c>
      <c r="O112" s="110" t="str">
        <f t="shared" si="5"/>
        <v>#DIV/0!</v>
      </c>
      <c r="P112" s="109" t="str">
        <f t="shared" si="6"/>
        <v>#DIV/0!</v>
      </c>
      <c r="Q112" s="111" t="str">
        <f t="shared" si="7"/>
        <v>#DIV/0!</v>
      </c>
      <c r="R112" s="122">
        <f t="shared" si="65"/>
        <v>0</v>
      </c>
      <c r="S112" s="113" t="str">
        <f t="shared" si="9"/>
        <v>#DIV/0!</v>
      </c>
      <c r="T112" s="114"/>
      <c r="U112" s="114"/>
      <c r="V112" s="114"/>
      <c r="W112" s="114"/>
      <c r="X112" s="115"/>
      <c r="Y112" s="98"/>
      <c r="Z112" s="98"/>
    </row>
    <row r="113" hidden="1" outlineLevel="1">
      <c r="A113" s="293"/>
      <c r="B113" s="116"/>
      <c r="C113" s="294" t="s">
        <v>74</v>
      </c>
      <c r="D113" s="299"/>
      <c r="E113" s="296"/>
      <c r="F113" s="296"/>
      <c r="G113" s="104" t="str">
        <f t="shared" si="1"/>
        <v>#DIV/0!</v>
      </c>
      <c r="H113" s="105" t="str">
        <f t="shared" si="2"/>
        <v>#DIV/0!</v>
      </c>
      <c r="I113" s="106" t="str">
        <f t="shared" si="3"/>
        <v>#DIV/0!</v>
      </c>
      <c r="J113" s="300">
        <v>0.0</v>
      </c>
      <c r="K113" s="278">
        <v>0.0</v>
      </c>
      <c r="L113" s="296"/>
      <c r="M113" s="300">
        <v>0.0</v>
      </c>
      <c r="N113" s="109" t="str">
        <f t="shared" si="66"/>
        <v>#DIV/0!</v>
      </c>
      <c r="O113" s="110" t="str">
        <f t="shared" si="5"/>
        <v>#DIV/0!</v>
      </c>
      <c r="P113" s="109" t="str">
        <f t="shared" si="6"/>
        <v>#DIV/0!</v>
      </c>
      <c r="Q113" s="111" t="str">
        <f t="shared" si="7"/>
        <v>#DIV/0!</v>
      </c>
      <c r="R113" s="122">
        <f t="shared" si="65"/>
        <v>0</v>
      </c>
      <c r="S113" s="113" t="str">
        <f t="shared" si="9"/>
        <v>#DIV/0!</v>
      </c>
      <c r="T113" s="114"/>
      <c r="U113" s="114"/>
      <c r="V113" s="114"/>
      <c r="W113" s="114"/>
      <c r="X113" s="115"/>
      <c r="Y113" s="98"/>
      <c r="Z113" s="98"/>
    </row>
    <row r="114" hidden="1" outlineLevel="1">
      <c r="A114" s="293"/>
      <c r="B114" s="116"/>
      <c r="C114" s="294" t="s">
        <v>75</v>
      </c>
      <c r="D114" s="301"/>
      <c r="E114" s="296"/>
      <c r="F114" s="296"/>
      <c r="G114" s="104" t="str">
        <f t="shared" si="1"/>
        <v>#DIV/0!</v>
      </c>
      <c r="H114" s="105" t="str">
        <f t="shared" si="2"/>
        <v>#DIV/0!</v>
      </c>
      <c r="I114" s="106" t="str">
        <f t="shared" si="3"/>
        <v>#DIV/0!</v>
      </c>
      <c r="J114" s="302">
        <v>57.98</v>
      </c>
      <c r="K114" s="278">
        <v>10686.0</v>
      </c>
      <c r="L114" s="296"/>
      <c r="M114" s="303">
        <v>39.95</v>
      </c>
      <c r="N114" s="109">
        <f t="shared" si="66"/>
        <v>1.451314143</v>
      </c>
      <c r="O114" s="110">
        <f t="shared" si="5"/>
        <v>0.6890307002</v>
      </c>
      <c r="P114" s="109" t="str">
        <f t="shared" si="6"/>
        <v>#DIV/0!</v>
      </c>
      <c r="Q114" s="111" t="str">
        <f t="shared" si="7"/>
        <v>#DIV/0!</v>
      </c>
      <c r="R114" s="304">
        <f t="shared" si="65"/>
        <v>-39.95</v>
      </c>
      <c r="S114" s="113" t="str">
        <f t="shared" si="9"/>
        <v>#DIV/0!</v>
      </c>
      <c r="T114" s="114"/>
      <c r="U114" s="114"/>
      <c r="V114" s="114"/>
      <c r="W114" s="114"/>
      <c r="X114" s="115"/>
      <c r="Y114" s="98"/>
      <c r="Z114" s="98"/>
    </row>
    <row r="115" hidden="1" outlineLevel="1">
      <c r="A115" s="293"/>
      <c r="B115" s="116"/>
      <c r="C115" s="294" t="s">
        <v>76</v>
      </c>
      <c r="D115" s="298"/>
      <c r="E115" s="296"/>
      <c r="F115" s="296"/>
      <c r="G115" s="104" t="str">
        <f t="shared" si="1"/>
        <v>#DIV/0!</v>
      </c>
      <c r="H115" s="105" t="str">
        <f t="shared" si="2"/>
        <v>#DIV/0!</v>
      </c>
      <c r="I115" s="106" t="str">
        <f t="shared" si="3"/>
        <v>#DIV/0!</v>
      </c>
      <c r="J115" s="120">
        <v>92.85</v>
      </c>
      <c r="K115" s="278">
        <v>10833.0</v>
      </c>
      <c r="L115" s="296"/>
      <c r="M115" s="121">
        <v>0.0</v>
      </c>
      <c r="N115" s="109" t="str">
        <f t="shared" si="66"/>
        <v>#DIV/0!</v>
      </c>
      <c r="O115" s="110">
        <f t="shared" si="5"/>
        <v>0</v>
      </c>
      <c r="P115" s="109" t="str">
        <f t="shared" si="6"/>
        <v>#DIV/0!</v>
      </c>
      <c r="Q115" s="111" t="str">
        <f t="shared" si="7"/>
        <v>#DIV/0!</v>
      </c>
      <c r="R115" s="122">
        <f t="shared" si="65"/>
        <v>0</v>
      </c>
      <c r="S115" s="113" t="str">
        <f t="shared" si="9"/>
        <v>#DIV/0!</v>
      </c>
      <c r="T115" s="114"/>
      <c r="U115" s="114"/>
      <c r="V115" s="114"/>
      <c r="W115" s="114"/>
      <c r="X115" s="115"/>
      <c r="Y115" s="98"/>
      <c r="Z115" s="98"/>
    </row>
    <row r="116" hidden="1" outlineLevel="1">
      <c r="A116" s="293"/>
      <c r="B116" s="99" t="s">
        <v>37</v>
      </c>
      <c r="C116" s="294" t="s">
        <v>77</v>
      </c>
      <c r="D116" s="305"/>
      <c r="E116" s="296"/>
      <c r="F116" s="296"/>
      <c r="G116" s="104" t="str">
        <f t="shared" si="1"/>
        <v>#DIV/0!</v>
      </c>
      <c r="H116" s="105" t="str">
        <f t="shared" si="2"/>
        <v>#DIV/0!</v>
      </c>
      <c r="I116" s="106" t="str">
        <f t="shared" si="3"/>
        <v>#DIV/0!</v>
      </c>
      <c r="J116" s="123">
        <v>36.57</v>
      </c>
      <c r="K116" s="278">
        <v>6465.0</v>
      </c>
      <c r="L116" s="296"/>
      <c r="M116" s="124">
        <v>231.02</v>
      </c>
      <c r="N116" s="109">
        <f t="shared" si="66"/>
        <v>0.1582979829</v>
      </c>
      <c r="O116" s="110">
        <f t="shared" si="5"/>
        <v>6.317199891</v>
      </c>
      <c r="P116" s="109" t="str">
        <f t="shared" si="6"/>
        <v>#DIV/0!</v>
      </c>
      <c r="Q116" s="111" t="str">
        <f t="shared" si="7"/>
        <v>#DIV/0!</v>
      </c>
      <c r="R116" s="125">
        <f t="shared" si="65"/>
        <v>-231.02</v>
      </c>
      <c r="S116" s="113" t="str">
        <f t="shared" si="9"/>
        <v>#DIV/0!</v>
      </c>
      <c r="T116" s="114"/>
      <c r="U116" s="114"/>
      <c r="V116" s="114"/>
      <c r="W116" s="114"/>
      <c r="X116" s="115"/>
      <c r="Y116" s="98"/>
      <c r="Z116" s="98"/>
    </row>
    <row r="117" hidden="1" outlineLevel="1">
      <c r="A117" s="293"/>
      <c r="B117" s="116"/>
      <c r="C117" s="294" t="s">
        <v>78</v>
      </c>
      <c r="D117" s="306"/>
      <c r="E117" s="296"/>
      <c r="F117" s="296"/>
      <c r="G117" s="104" t="str">
        <f t="shared" si="1"/>
        <v>#DIV/0!</v>
      </c>
      <c r="H117" s="105" t="str">
        <f t="shared" si="2"/>
        <v>#DIV/0!</v>
      </c>
      <c r="I117" s="106" t="str">
        <f t="shared" si="3"/>
        <v>#DIV/0!</v>
      </c>
      <c r="J117" s="126">
        <v>0.0</v>
      </c>
      <c r="K117" s="278">
        <v>0.0</v>
      </c>
      <c r="L117" s="296"/>
      <c r="M117" s="127">
        <v>0.0</v>
      </c>
      <c r="N117" s="109" t="str">
        <f t="shared" si="66"/>
        <v>#DIV/0!</v>
      </c>
      <c r="O117" s="110" t="str">
        <f t="shared" si="5"/>
        <v>#DIV/0!</v>
      </c>
      <c r="P117" s="109" t="str">
        <f t="shared" si="6"/>
        <v>#DIV/0!</v>
      </c>
      <c r="Q117" s="111" t="str">
        <f t="shared" si="7"/>
        <v>#DIV/0!</v>
      </c>
      <c r="R117" s="128">
        <f t="shared" si="65"/>
        <v>0</v>
      </c>
      <c r="S117" s="113" t="str">
        <f t="shared" si="9"/>
        <v>#DIV/0!</v>
      </c>
      <c r="T117" s="114"/>
      <c r="U117" s="114"/>
      <c r="V117" s="114"/>
      <c r="W117" s="114"/>
      <c r="X117" s="115"/>
      <c r="Y117" s="98"/>
      <c r="Z117" s="98"/>
    </row>
    <row r="118" hidden="1" outlineLevel="1">
      <c r="A118" s="293"/>
      <c r="B118" s="116"/>
      <c r="C118" s="294" t="s">
        <v>79</v>
      </c>
      <c r="D118" s="307"/>
      <c r="E118" s="296"/>
      <c r="F118" s="296"/>
      <c r="G118" s="104" t="str">
        <f t="shared" si="1"/>
        <v>#DIV/0!</v>
      </c>
      <c r="H118" s="105" t="str">
        <f t="shared" si="2"/>
        <v>#DIV/0!</v>
      </c>
      <c r="I118" s="106" t="str">
        <f t="shared" si="3"/>
        <v>#DIV/0!</v>
      </c>
      <c r="J118" s="129">
        <v>5.76</v>
      </c>
      <c r="K118" s="278">
        <v>1139.0</v>
      </c>
      <c r="L118" s="296"/>
      <c r="M118" s="130">
        <v>44.95</v>
      </c>
      <c r="N118" s="109">
        <f t="shared" si="66"/>
        <v>0.1281423804</v>
      </c>
      <c r="O118" s="110">
        <f t="shared" si="5"/>
        <v>7.803819444</v>
      </c>
      <c r="P118" s="109" t="str">
        <f t="shared" si="6"/>
        <v>#DIV/0!</v>
      </c>
      <c r="Q118" s="111" t="str">
        <f t="shared" si="7"/>
        <v>#DIV/0!</v>
      </c>
      <c r="R118" s="131">
        <f t="shared" si="65"/>
        <v>-44.95</v>
      </c>
      <c r="S118" s="113" t="str">
        <f t="shared" si="9"/>
        <v>#DIV/0!</v>
      </c>
      <c r="T118" s="114"/>
      <c r="U118" s="114"/>
      <c r="V118" s="114"/>
      <c r="W118" s="114"/>
      <c r="X118" s="115"/>
      <c r="Y118" s="98"/>
      <c r="Z118" s="98"/>
    </row>
    <row r="119" hidden="1" outlineLevel="1">
      <c r="A119" s="310" t="str">
        <f t="shared" ref="A119:A120" si="67">iferror(if(B119&gt;0,month(B119)&amp;"-"&amp;year(B119),B119),)</f>
        <v>4-2025</v>
      </c>
      <c r="B119" s="99">
        <v>45773.0</v>
      </c>
      <c r="C119" s="294" t="s">
        <v>81</v>
      </c>
      <c r="D119" s="311"/>
      <c r="E119" s="296"/>
      <c r="F119" s="296"/>
      <c r="G119" s="104" t="str">
        <f t="shared" si="1"/>
        <v>#DIV/0!</v>
      </c>
      <c r="H119" s="105" t="str">
        <f t="shared" si="2"/>
        <v>#DIV/0!</v>
      </c>
      <c r="I119" s="106" t="str">
        <f t="shared" si="3"/>
        <v>#DIV/0!</v>
      </c>
      <c r="J119" s="117">
        <v>0.0</v>
      </c>
      <c r="K119" s="278">
        <v>0.0</v>
      </c>
      <c r="L119" s="296"/>
      <c r="M119" s="118">
        <v>0.0</v>
      </c>
      <c r="N119" s="109" t="str">
        <f t="shared" si="66"/>
        <v>#DIV/0!</v>
      </c>
      <c r="O119" s="110" t="str">
        <f t="shared" si="5"/>
        <v>#DIV/0!</v>
      </c>
      <c r="P119" s="109" t="str">
        <f t="shared" si="6"/>
        <v>#DIV/0!</v>
      </c>
      <c r="Q119" s="111" t="str">
        <f t="shared" si="7"/>
        <v>#DIV/0!</v>
      </c>
      <c r="R119" s="112">
        <f t="shared" si="65"/>
        <v>0</v>
      </c>
      <c r="S119" s="113" t="str">
        <f t="shared" si="9"/>
        <v>#DIV/0!</v>
      </c>
      <c r="T119" s="114"/>
      <c r="U119" s="114"/>
      <c r="V119" s="114"/>
      <c r="W119" s="114"/>
      <c r="X119" s="115"/>
      <c r="Y119" s="98"/>
      <c r="Z119" s="98"/>
    </row>
    <row r="120" collapsed="1">
      <c r="A120" s="293" t="str">
        <f t="shared" si="67"/>
        <v/>
      </c>
      <c r="B120" s="80" t="s">
        <v>104</v>
      </c>
      <c r="C120" s="312"/>
      <c r="D120" s="151">
        <f t="shared" ref="D120:F120" si="68">SUM(D109:D119)</f>
        <v>0</v>
      </c>
      <c r="E120" s="153">
        <f t="shared" si="68"/>
        <v>0</v>
      </c>
      <c r="F120" s="153">
        <f t="shared" si="68"/>
        <v>0</v>
      </c>
      <c r="G120" s="154" t="str">
        <f t="shared" si="1"/>
        <v>#DIV/0!</v>
      </c>
      <c r="H120" s="155" t="str">
        <f t="shared" si="2"/>
        <v>#DIV/0!</v>
      </c>
      <c r="I120" s="156" t="str">
        <f t="shared" si="3"/>
        <v>#DIV/0!</v>
      </c>
      <c r="J120" s="151">
        <f t="shared" ref="J120:M120" si="69">SUM(J109:J119)</f>
        <v>275.54</v>
      </c>
      <c r="K120" s="313">
        <f t="shared" si="69"/>
        <v>51956</v>
      </c>
      <c r="L120" s="153">
        <f t="shared" si="69"/>
        <v>0</v>
      </c>
      <c r="M120" s="157">
        <f t="shared" si="69"/>
        <v>315.92</v>
      </c>
      <c r="N120" s="158">
        <f t="shared" si="66"/>
        <v>0.8721828311</v>
      </c>
      <c r="O120" s="159">
        <f t="shared" si="5"/>
        <v>1.146548595</v>
      </c>
      <c r="P120" s="158" t="str">
        <f t="shared" si="6"/>
        <v>#DIV/0!</v>
      </c>
      <c r="Q120" s="160" t="str">
        <f t="shared" si="7"/>
        <v>#DIV/0!</v>
      </c>
      <c r="R120" s="161">
        <f>SUM(R109:R119)</f>
        <v>-315.92</v>
      </c>
      <c r="S120" s="162" t="str">
        <f t="shared" si="9"/>
        <v>#DIV/0!</v>
      </c>
      <c r="T120" s="164" t="str">
        <f t="shared" ref="T120:U120" si="70">IFERROR((D120-D48)/D120,)</f>
        <v/>
      </c>
      <c r="U120" s="164" t="str">
        <f t="shared" si="70"/>
        <v/>
      </c>
      <c r="V120" s="164" t="str">
        <f t="shared" ref="V120:W120" si="71">IFERROR((D120-#REF!)/D120, )</f>
        <v/>
      </c>
      <c r="W120" s="164" t="str">
        <f t="shared" si="71"/>
        <v/>
      </c>
      <c r="X120" s="98"/>
      <c r="Y120" s="98"/>
      <c r="Z120" s="98"/>
    </row>
    <row r="121" hidden="1" outlineLevel="1">
      <c r="A121" s="293"/>
      <c r="B121" s="99">
        <v>45774.0</v>
      </c>
      <c r="C121" s="294" t="s">
        <v>70</v>
      </c>
      <c r="D121" s="295"/>
      <c r="E121" s="296"/>
      <c r="F121" s="296"/>
      <c r="G121" s="104" t="str">
        <f t="shared" si="1"/>
        <v>#DIV/0!</v>
      </c>
      <c r="H121" s="105" t="str">
        <f t="shared" si="2"/>
        <v>#DIV/0!</v>
      </c>
      <c r="I121" s="106" t="str">
        <f t="shared" si="3"/>
        <v>#DIV/0!</v>
      </c>
      <c r="J121" s="107">
        <v>36.94</v>
      </c>
      <c r="K121" s="278">
        <v>11793.0</v>
      </c>
      <c r="L121" s="296"/>
      <c r="M121" s="108">
        <v>0.0</v>
      </c>
      <c r="N121" s="109" t="str">
        <f t="shared" si="66"/>
        <v>#DIV/0!</v>
      </c>
      <c r="O121" s="110">
        <f t="shared" si="5"/>
        <v>0</v>
      </c>
      <c r="P121" s="109" t="str">
        <f t="shared" si="6"/>
        <v>#DIV/0!</v>
      </c>
      <c r="Q121" s="111" t="str">
        <f t="shared" si="7"/>
        <v>#DIV/0!</v>
      </c>
      <c r="R121" s="112">
        <f t="shared" ref="R121:R131" si="72">D121-M121</f>
        <v>0</v>
      </c>
      <c r="S121" s="113" t="str">
        <f t="shared" si="9"/>
        <v>#DIV/0!</v>
      </c>
      <c r="T121" s="114"/>
      <c r="U121" s="114"/>
      <c r="V121" s="114"/>
      <c r="W121" s="114"/>
      <c r="X121" s="115"/>
      <c r="Y121" s="98"/>
      <c r="Z121" s="98"/>
    </row>
    <row r="122" hidden="1" outlineLevel="1">
      <c r="A122" s="293"/>
      <c r="B122" s="116"/>
      <c r="C122" s="294" t="s">
        <v>71</v>
      </c>
      <c r="D122" s="297"/>
      <c r="E122" s="296"/>
      <c r="F122" s="296"/>
      <c r="G122" s="104" t="str">
        <f t="shared" si="1"/>
        <v>#DIV/0!</v>
      </c>
      <c r="H122" s="105" t="str">
        <f t="shared" si="2"/>
        <v>#DIV/0!</v>
      </c>
      <c r="I122" s="106" t="str">
        <f t="shared" si="3"/>
        <v>#DIV/0!</v>
      </c>
      <c r="J122" s="117">
        <v>9.23</v>
      </c>
      <c r="K122" s="278">
        <v>2115.0</v>
      </c>
      <c r="L122" s="296"/>
      <c r="M122" s="118">
        <v>69.95</v>
      </c>
      <c r="N122" s="109">
        <f t="shared" si="66"/>
        <v>0.1319513939</v>
      </c>
      <c r="O122" s="110">
        <f t="shared" si="5"/>
        <v>7.578548212</v>
      </c>
      <c r="P122" s="109" t="str">
        <f t="shared" si="6"/>
        <v>#DIV/0!</v>
      </c>
      <c r="Q122" s="111" t="str">
        <f t="shared" si="7"/>
        <v>#DIV/0!</v>
      </c>
      <c r="R122" s="119">
        <f t="shared" si="72"/>
        <v>-69.95</v>
      </c>
      <c r="S122" s="113" t="str">
        <f t="shared" si="9"/>
        <v>#DIV/0!</v>
      </c>
      <c r="T122" s="114"/>
      <c r="U122" s="114"/>
      <c r="V122" s="114"/>
      <c r="W122" s="114"/>
      <c r="X122" s="115"/>
      <c r="Y122" s="98"/>
      <c r="Z122" s="98"/>
    </row>
    <row r="123" hidden="1" outlineLevel="1">
      <c r="A123" s="293"/>
      <c r="B123" s="116"/>
      <c r="C123" s="294" t="s">
        <v>72</v>
      </c>
      <c r="D123" s="298"/>
      <c r="E123" s="296"/>
      <c r="F123" s="296"/>
      <c r="G123" s="104" t="str">
        <f t="shared" si="1"/>
        <v>#DIV/0!</v>
      </c>
      <c r="H123" s="105" t="str">
        <f t="shared" si="2"/>
        <v>#DIV/0!</v>
      </c>
      <c r="I123" s="106" t="str">
        <f t="shared" si="3"/>
        <v>#DIV/0!</v>
      </c>
      <c r="J123" s="120">
        <v>1.85</v>
      </c>
      <c r="K123" s="278">
        <v>517.0</v>
      </c>
      <c r="L123" s="296"/>
      <c r="M123" s="121">
        <v>0.0</v>
      </c>
      <c r="N123" s="109" t="str">
        <f>(J123/M123)</f>
        <v>#DIV/0!</v>
      </c>
      <c r="O123" s="110">
        <f t="shared" si="5"/>
        <v>0</v>
      </c>
      <c r="P123" s="109" t="str">
        <f t="shared" si="6"/>
        <v>#DIV/0!</v>
      </c>
      <c r="Q123" s="111" t="str">
        <f t="shared" si="7"/>
        <v>#DIV/0!</v>
      </c>
      <c r="R123" s="122">
        <f t="shared" si="72"/>
        <v>0</v>
      </c>
      <c r="S123" s="113" t="str">
        <f t="shared" si="9"/>
        <v>#DIV/0!</v>
      </c>
      <c r="T123" s="114"/>
      <c r="U123" s="114"/>
      <c r="V123" s="114"/>
      <c r="W123" s="114"/>
      <c r="X123" s="115"/>
      <c r="Y123" s="98"/>
      <c r="Z123" s="98"/>
    </row>
    <row r="124" hidden="1" outlineLevel="1">
      <c r="A124" s="293"/>
      <c r="B124" s="116"/>
      <c r="C124" s="294" t="s">
        <v>73</v>
      </c>
      <c r="D124" s="298"/>
      <c r="E124" s="296"/>
      <c r="F124" s="296"/>
      <c r="G124" s="104" t="str">
        <f t="shared" si="1"/>
        <v>#DIV/0!</v>
      </c>
      <c r="H124" s="105" t="str">
        <f t="shared" si="2"/>
        <v>#DIV/0!</v>
      </c>
      <c r="I124" s="106" t="str">
        <f t="shared" si="3"/>
        <v>#DIV/0!</v>
      </c>
      <c r="J124" s="120">
        <v>0.0</v>
      </c>
      <c r="K124" s="278">
        <v>0.0</v>
      </c>
      <c r="L124" s="296"/>
      <c r="M124" s="121">
        <v>0.0</v>
      </c>
      <c r="N124" s="109" t="str">
        <f t="shared" ref="N124:N134" si="73">J124/M124</f>
        <v>#DIV/0!</v>
      </c>
      <c r="O124" s="110" t="str">
        <f t="shared" si="5"/>
        <v>#DIV/0!</v>
      </c>
      <c r="P124" s="109" t="str">
        <f t="shared" si="6"/>
        <v>#DIV/0!</v>
      </c>
      <c r="Q124" s="111" t="str">
        <f t="shared" si="7"/>
        <v>#DIV/0!</v>
      </c>
      <c r="R124" s="122">
        <f t="shared" si="72"/>
        <v>0</v>
      </c>
      <c r="S124" s="113" t="str">
        <f t="shared" si="9"/>
        <v>#DIV/0!</v>
      </c>
      <c r="T124" s="114"/>
      <c r="U124" s="114"/>
      <c r="V124" s="114"/>
      <c r="W124" s="114"/>
      <c r="X124" s="115"/>
      <c r="Y124" s="98"/>
      <c r="Z124" s="98"/>
    </row>
    <row r="125" hidden="1" outlineLevel="1">
      <c r="A125" s="293"/>
      <c r="B125" s="116"/>
      <c r="C125" s="294" t="s">
        <v>74</v>
      </c>
      <c r="D125" s="299"/>
      <c r="E125" s="296"/>
      <c r="F125" s="296"/>
      <c r="G125" s="104" t="str">
        <f t="shared" si="1"/>
        <v>#DIV/0!</v>
      </c>
      <c r="H125" s="105" t="str">
        <f t="shared" si="2"/>
        <v>#DIV/0!</v>
      </c>
      <c r="I125" s="106" t="str">
        <f t="shared" si="3"/>
        <v>#DIV/0!</v>
      </c>
      <c r="J125" s="300">
        <v>0.0</v>
      </c>
      <c r="K125" s="417"/>
      <c r="L125" s="296"/>
      <c r="M125" s="300">
        <v>0.0</v>
      </c>
      <c r="N125" s="109" t="str">
        <f t="shared" si="73"/>
        <v>#DIV/0!</v>
      </c>
      <c r="O125" s="110" t="str">
        <f t="shared" si="5"/>
        <v>#DIV/0!</v>
      </c>
      <c r="P125" s="109" t="str">
        <f t="shared" si="6"/>
        <v>#DIV/0!</v>
      </c>
      <c r="Q125" s="111" t="str">
        <f t="shared" si="7"/>
        <v>#DIV/0!</v>
      </c>
      <c r="R125" s="122">
        <f t="shared" si="72"/>
        <v>0</v>
      </c>
      <c r="S125" s="113" t="str">
        <f t="shared" si="9"/>
        <v>#DIV/0!</v>
      </c>
      <c r="T125" s="114"/>
      <c r="U125" s="114"/>
      <c r="V125" s="114"/>
      <c r="W125" s="114"/>
      <c r="X125" s="115"/>
      <c r="Y125" s="98"/>
      <c r="Z125" s="98"/>
    </row>
    <row r="126" hidden="1" outlineLevel="1">
      <c r="A126" s="293"/>
      <c r="B126" s="116"/>
      <c r="C126" s="294" t="s">
        <v>75</v>
      </c>
      <c r="D126" s="301"/>
      <c r="E126" s="296"/>
      <c r="F126" s="296"/>
      <c r="G126" s="104" t="str">
        <f t="shared" si="1"/>
        <v>#DIV/0!</v>
      </c>
      <c r="H126" s="105" t="str">
        <f t="shared" si="2"/>
        <v>#DIV/0!</v>
      </c>
      <c r="I126" s="106" t="str">
        <f t="shared" si="3"/>
        <v>#DIV/0!</v>
      </c>
      <c r="J126" s="302">
        <v>12.33</v>
      </c>
      <c r="K126" s="278">
        <v>1938.0</v>
      </c>
      <c r="L126" s="296"/>
      <c r="M126" s="303">
        <v>39.95</v>
      </c>
      <c r="N126" s="109">
        <f t="shared" si="73"/>
        <v>0.3086357947</v>
      </c>
      <c r="O126" s="110">
        <f t="shared" si="5"/>
        <v>3.240064882</v>
      </c>
      <c r="P126" s="109" t="str">
        <f t="shared" si="6"/>
        <v>#DIV/0!</v>
      </c>
      <c r="Q126" s="111" t="str">
        <f t="shared" si="7"/>
        <v>#DIV/0!</v>
      </c>
      <c r="R126" s="304">
        <f t="shared" si="72"/>
        <v>-39.95</v>
      </c>
      <c r="S126" s="113" t="str">
        <f t="shared" si="9"/>
        <v>#DIV/0!</v>
      </c>
      <c r="T126" s="114"/>
      <c r="U126" s="114"/>
      <c r="V126" s="114"/>
      <c r="W126" s="114"/>
      <c r="X126" s="115"/>
      <c r="Y126" s="98"/>
      <c r="Z126" s="98"/>
    </row>
    <row r="127" hidden="1" outlineLevel="1">
      <c r="A127" s="293"/>
      <c r="B127" s="116"/>
      <c r="C127" s="294" t="s">
        <v>76</v>
      </c>
      <c r="D127" s="298"/>
      <c r="E127" s="296"/>
      <c r="F127" s="296"/>
      <c r="G127" s="104" t="str">
        <f t="shared" si="1"/>
        <v>#DIV/0!</v>
      </c>
      <c r="H127" s="105" t="str">
        <f t="shared" si="2"/>
        <v>#DIV/0!</v>
      </c>
      <c r="I127" s="106" t="str">
        <f t="shared" si="3"/>
        <v>#DIV/0!</v>
      </c>
      <c r="J127" s="120">
        <v>3.84</v>
      </c>
      <c r="K127" s="278">
        <v>715.0</v>
      </c>
      <c r="L127" s="296"/>
      <c r="M127" s="121">
        <v>0.0</v>
      </c>
      <c r="N127" s="109" t="str">
        <f t="shared" si="73"/>
        <v>#DIV/0!</v>
      </c>
      <c r="O127" s="110">
        <f t="shared" si="5"/>
        <v>0</v>
      </c>
      <c r="P127" s="109" t="str">
        <f t="shared" si="6"/>
        <v>#DIV/0!</v>
      </c>
      <c r="Q127" s="111" t="str">
        <f t="shared" si="7"/>
        <v>#DIV/0!</v>
      </c>
      <c r="R127" s="122">
        <f t="shared" si="72"/>
        <v>0</v>
      </c>
      <c r="S127" s="113" t="str">
        <f t="shared" si="9"/>
        <v>#DIV/0!</v>
      </c>
      <c r="T127" s="114"/>
      <c r="U127" s="114"/>
      <c r="V127" s="114"/>
      <c r="W127" s="114"/>
      <c r="X127" s="115"/>
      <c r="Y127" s="98"/>
      <c r="Z127" s="98"/>
    </row>
    <row r="128" hidden="1" outlineLevel="1">
      <c r="A128" s="293"/>
      <c r="B128" s="99" t="s">
        <v>37</v>
      </c>
      <c r="C128" s="294" t="s">
        <v>77</v>
      </c>
      <c r="D128" s="305"/>
      <c r="E128" s="296"/>
      <c r="F128" s="296"/>
      <c r="G128" s="104" t="str">
        <f t="shared" si="1"/>
        <v>#DIV/0!</v>
      </c>
      <c r="H128" s="105" t="str">
        <f t="shared" si="2"/>
        <v>#DIV/0!</v>
      </c>
      <c r="I128" s="106" t="str">
        <f t="shared" si="3"/>
        <v>#DIV/0!</v>
      </c>
      <c r="J128" s="123">
        <v>46.08</v>
      </c>
      <c r="K128" s="278">
        <v>7189.0</v>
      </c>
      <c r="L128" s="296"/>
      <c r="M128" s="124">
        <v>180.0</v>
      </c>
      <c r="N128" s="109">
        <f t="shared" si="73"/>
        <v>0.256</v>
      </c>
      <c r="O128" s="110">
        <f t="shared" si="5"/>
        <v>3.90625</v>
      </c>
      <c r="P128" s="109" t="str">
        <f t="shared" si="6"/>
        <v>#DIV/0!</v>
      </c>
      <c r="Q128" s="111" t="str">
        <f t="shared" si="7"/>
        <v>#DIV/0!</v>
      </c>
      <c r="R128" s="125">
        <f t="shared" si="72"/>
        <v>-180</v>
      </c>
      <c r="S128" s="113" t="str">
        <f t="shared" si="9"/>
        <v>#DIV/0!</v>
      </c>
      <c r="T128" s="114"/>
      <c r="U128" s="114"/>
      <c r="V128" s="114"/>
      <c r="W128" s="114"/>
      <c r="X128" s="115"/>
      <c r="Y128" s="98"/>
      <c r="Z128" s="98"/>
    </row>
    <row r="129" hidden="1" outlineLevel="1">
      <c r="A129" s="293"/>
      <c r="B129" s="116"/>
      <c r="C129" s="294" t="s">
        <v>78</v>
      </c>
      <c r="D129" s="306"/>
      <c r="E129" s="296"/>
      <c r="F129" s="296"/>
      <c r="G129" s="104" t="str">
        <f t="shared" si="1"/>
        <v>#DIV/0!</v>
      </c>
      <c r="H129" s="105" t="str">
        <f t="shared" si="2"/>
        <v>#DIV/0!</v>
      </c>
      <c r="I129" s="106" t="str">
        <f t="shared" si="3"/>
        <v>#DIV/0!</v>
      </c>
      <c r="J129" s="126">
        <v>0.0</v>
      </c>
      <c r="K129" s="278">
        <v>0.0</v>
      </c>
      <c r="L129" s="296"/>
      <c r="M129" s="127">
        <v>0.0</v>
      </c>
      <c r="N129" s="109" t="str">
        <f t="shared" si="73"/>
        <v>#DIV/0!</v>
      </c>
      <c r="O129" s="110" t="str">
        <f t="shared" si="5"/>
        <v>#DIV/0!</v>
      </c>
      <c r="P129" s="109" t="str">
        <f t="shared" si="6"/>
        <v>#DIV/0!</v>
      </c>
      <c r="Q129" s="111" t="str">
        <f t="shared" si="7"/>
        <v>#DIV/0!</v>
      </c>
      <c r="R129" s="128">
        <f t="shared" si="72"/>
        <v>0</v>
      </c>
      <c r="S129" s="113" t="str">
        <f t="shared" si="9"/>
        <v>#DIV/0!</v>
      </c>
      <c r="T129" s="114"/>
      <c r="U129" s="114"/>
      <c r="V129" s="114"/>
      <c r="W129" s="114"/>
      <c r="X129" s="115"/>
      <c r="Y129" s="98"/>
      <c r="Z129" s="98"/>
    </row>
    <row r="130" hidden="1" outlineLevel="1">
      <c r="A130" s="293"/>
      <c r="B130" s="116"/>
      <c r="C130" s="294" t="s">
        <v>79</v>
      </c>
      <c r="D130" s="307"/>
      <c r="E130" s="296"/>
      <c r="F130" s="296"/>
      <c r="G130" s="104" t="str">
        <f t="shared" si="1"/>
        <v>#DIV/0!</v>
      </c>
      <c r="H130" s="105" t="str">
        <f t="shared" si="2"/>
        <v>#DIV/0!</v>
      </c>
      <c r="I130" s="106" t="str">
        <f t="shared" si="3"/>
        <v>#DIV/0!</v>
      </c>
      <c r="J130" s="129">
        <v>25.96</v>
      </c>
      <c r="K130" s="278">
        <v>6465.0</v>
      </c>
      <c r="L130" s="296"/>
      <c r="M130" s="130">
        <v>44.95</v>
      </c>
      <c r="N130" s="109">
        <f t="shared" si="73"/>
        <v>0.5775305895</v>
      </c>
      <c r="O130" s="110">
        <f t="shared" si="5"/>
        <v>1.731510015</v>
      </c>
      <c r="P130" s="109" t="str">
        <f t="shared" si="6"/>
        <v>#DIV/0!</v>
      </c>
      <c r="Q130" s="111" t="str">
        <f t="shared" si="7"/>
        <v>#DIV/0!</v>
      </c>
      <c r="R130" s="131">
        <f t="shared" si="72"/>
        <v>-44.95</v>
      </c>
      <c r="S130" s="113" t="str">
        <f t="shared" si="9"/>
        <v>#DIV/0!</v>
      </c>
      <c r="T130" s="114"/>
      <c r="U130" s="114"/>
      <c r="V130" s="114"/>
      <c r="W130" s="114"/>
      <c r="X130" s="115"/>
      <c r="Y130" s="98"/>
      <c r="Z130" s="98"/>
    </row>
    <row r="131" hidden="1" outlineLevel="1">
      <c r="A131" s="310" t="str">
        <f t="shared" ref="A131:A132" si="74">iferror(if(B131&gt;0,month(B131)&amp;"-"&amp;year(B131),B131),)</f>
        <v>5-2025</v>
      </c>
      <c r="B131" s="99">
        <v>45780.0</v>
      </c>
      <c r="C131" s="294" t="s">
        <v>81</v>
      </c>
      <c r="D131" s="311"/>
      <c r="E131" s="296"/>
      <c r="F131" s="296"/>
      <c r="G131" s="104" t="str">
        <f t="shared" si="1"/>
        <v>#DIV/0!</v>
      </c>
      <c r="H131" s="105" t="str">
        <f t="shared" si="2"/>
        <v>#DIV/0!</v>
      </c>
      <c r="I131" s="106" t="str">
        <f t="shared" si="3"/>
        <v>#DIV/0!</v>
      </c>
      <c r="J131" s="117">
        <v>0.0</v>
      </c>
      <c r="K131" s="278">
        <v>0.0</v>
      </c>
      <c r="L131" s="296"/>
      <c r="M131" s="118">
        <v>0.0</v>
      </c>
      <c r="N131" s="109" t="str">
        <f t="shared" si="73"/>
        <v>#DIV/0!</v>
      </c>
      <c r="O131" s="110" t="str">
        <f t="shared" si="5"/>
        <v>#DIV/0!</v>
      </c>
      <c r="P131" s="109" t="str">
        <f t="shared" si="6"/>
        <v>#DIV/0!</v>
      </c>
      <c r="Q131" s="111" t="str">
        <f t="shared" si="7"/>
        <v>#DIV/0!</v>
      </c>
      <c r="R131" s="112">
        <f t="shared" si="72"/>
        <v>0</v>
      </c>
      <c r="S131" s="113" t="str">
        <f t="shared" si="9"/>
        <v>#DIV/0!</v>
      </c>
      <c r="T131" s="114"/>
      <c r="U131" s="114"/>
      <c r="V131" s="114"/>
      <c r="W131" s="114"/>
      <c r="X131" s="115"/>
      <c r="Y131" s="98"/>
      <c r="Z131" s="98"/>
    </row>
    <row r="132" collapsed="1">
      <c r="A132" s="293" t="str">
        <f t="shared" si="74"/>
        <v/>
      </c>
      <c r="B132" s="80" t="s">
        <v>105</v>
      </c>
      <c r="C132" s="312"/>
      <c r="D132" s="151">
        <f t="shared" ref="D132:F132" si="75">SUM(D121:D131)</f>
        <v>0</v>
      </c>
      <c r="E132" s="153">
        <f t="shared" si="75"/>
        <v>0</v>
      </c>
      <c r="F132" s="153">
        <f t="shared" si="75"/>
        <v>0</v>
      </c>
      <c r="G132" s="154" t="str">
        <f t="shared" si="1"/>
        <v>#DIV/0!</v>
      </c>
      <c r="H132" s="155" t="str">
        <f t="shared" si="2"/>
        <v>#DIV/0!</v>
      </c>
      <c r="I132" s="156" t="str">
        <f t="shared" si="3"/>
        <v>#DIV/0!</v>
      </c>
      <c r="J132" s="151">
        <f t="shared" ref="J132:M132" si="76">SUM(J121:J131)</f>
        <v>136.23</v>
      </c>
      <c r="K132" s="313">
        <f t="shared" si="76"/>
        <v>30732</v>
      </c>
      <c r="L132" s="153">
        <f t="shared" si="76"/>
        <v>0</v>
      </c>
      <c r="M132" s="157">
        <f t="shared" si="76"/>
        <v>334.85</v>
      </c>
      <c r="N132" s="158">
        <f t="shared" si="73"/>
        <v>0.4068388831</v>
      </c>
      <c r="O132" s="159">
        <f t="shared" si="5"/>
        <v>2.457975483</v>
      </c>
      <c r="P132" s="158" t="str">
        <f t="shared" si="6"/>
        <v>#DIV/0!</v>
      </c>
      <c r="Q132" s="160" t="str">
        <f t="shared" si="7"/>
        <v>#DIV/0!</v>
      </c>
      <c r="R132" s="161">
        <f>SUM(R121:R131)</f>
        <v>-334.85</v>
      </c>
      <c r="S132" s="162" t="str">
        <f t="shared" si="9"/>
        <v>#DIV/0!</v>
      </c>
      <c r="T132" s="164" t="str">
        <f t="shared" ref="T132:U132" si="77">IFERROR((D132-D48)/D132,)</f>
        <v/>
      </c>
      <c r="U132" s="164" t="str">
        <f t="shared" si="77"/>
        <v/>
      </c>
      <c r="V132" s="164" t="str">
        <f t="shared" ref="V132:W132" si="78">IFERROR((D132-#REF!)/D132, )</f>
        <v/>
      </c>
      <c r="W132" s="164" t="str">
        <f t="shared" si="78"/>
        <v/>
      </c>
      <c r="X132" s="98"/>
      <c r="Y132" s="98"/>
      <c r="Z132" s="98"/>
    </row>
    <row r="133" hidden="1" outlineLevel="1">
      <c r="A133" s="293"/>
      <c r="B133" s="99">
        <v>45781.0</v>
      </c>
      <c r="C133" s="294" t="s">
        <v>70</v>
      </c>
      <c r="D133" s="295"/>
      <c r="E133" s="296"/>
      <c r="F133" s="296"/>
      <c r="G133" s="104" t="str">
        <f t="shared" si="1"/>
        <v>#DIV/0!</v>
      </c>
      <c r="H133" s="105" t="str">
        <f t="shared" si="2"/>
        <v>#DIV/0!</v>
      </c>
      <c r="I133" s="106" t="str">
        <f t="shared" si="3"/>
        <v>#DIV/0!</v>
      </c>
      <c r="J133" s="107">
        <v>7.2</v>
      </c>
      <c r="K133" s="278">
        <v>2660.0</v>
      </c>
      <c r="L133" s="296"/>
      <c r="M133" s="108">
        <v>0.0</v>
      </c>
      <c r="N133" s="109" t="str">
        <f t="shared" si="73"/>
        <v>#DIV/0!</v>
      </c>
      <c r="O133" s="110">
        <f t="shared" si="5"/>
        <v>0</v>
      </c>
      <c r="P133" s="109" t="str">
        <f t="shared" si="6"/>
        <v>#DIV/0!</v>
      </c>
      <c r="Q133" s="111" t="str">
        <f t="shared" si="7"/>
        <v>#DIV/0!</v>
      </c>
      <c r="R133" s="112">
        <f t="shared" ref="R133:R143" si="79">D133-M133</f>
        <v>0</v>
      </c>
      <c r="S133" s="113" t="str">
        <f t="shared" si="9"/>
        <v>#DIV/0!</v>
      </c>
      <c r="T133" s="114"/>
      <c r="U133" s="114"/>
      <c r="V133" s="114"/>
      <c r="W133" s="114"/>
      <c r="X133" s="115"/>
      <c r="Y133" s="98"/>
      <c r="Z133" s="98"/>
    </row>
    <row r="134" hidden="1" outlineLevel="1">
      <c r="A134" s="293"/>
      <c r="B134" s="116"/>
      <c r="C134" s="294" t="s">
        <v>71</v>
      </c>
      <c r="D134" s="297"/>
      <c r="E134" s="296"/>
      <c r="F134" s="296"/>
      <c r="G134" s="104" t="str">
        <f t="shared" si="1"/>
        <v>#DIV/0!</v>
      </c>
      <c r="H134" s="105" t="str">
        <f t="shared" si="2"/>
        <v>#DIV/0!</v>
      </c>
      <c r="I134" s="106" t="str">
        <f t="shared" si="3"/>
        <v>#DIV/0!</v>
      </c>
      <c r="J134" s="117">
        <v>9.22</v>
      </c>
      <c r="K134" s="278">
        <v>1524.0</v>
      </c>
      <c r="L134" s="296"/>
      <c r="M134" s="118">
        <v>0.0</v>
      </c>
      <c r="N134" s="109" t="str">
        <f t="shared" si="73"/>
        <v>#DIV/0!</v>
      </c>
      <c r="O134" s="110">
        <f t="shared" si="5"/>
        <v>0</v>
      </c>
      <c r="P134" s="109" t="str">
        <f t="shared" si="6"/>
        <v>#DIV/0!</v>
      </c>
      <c r="Q134" s="111" t="str">
        <f t="shared" si="7"/>
        <v>#DIV/0!</v>
      </c>
      <c r="R134" s="119">
        <f t="shared" si="79"/>
        <v>0</v>
      </c>
      <c r="S134" s="113" t="str">
        <f t="shared" si="9"/>
        <v>#DIV/0!</v>
      </c>
      <c r="T134" s="114"/>
      <c r="U134" s="114"/>
      <c r="V134" s="114"/>
      <c r="W134" s="114"/>
      <c r="X134" s="115"/>
      <c r="Y134" s="98"/>
      <c r="Z134" s="98"/>
    </row>
    <row r="135" hidden="1" outlineLevel="1">
      <c r="A135" s="293"/>
      <c r="B135" s="116"/>
      <c r="C135" s="294" t="s">
        <v>72</v>
      </c>
      <c r="D135" s="298"/>
      <c r="E135" s="296"/>
      <c r="F135" s="296"/>
      <c r="G135" s="104" t="str">
        <f t="shared" si="1"/>
        <v>#DIV/0!</v>
      </c>
      <c r="H135" s="105" t="str">
        <f t="shared" si="2"/>
        <v>#DIV/0!</v>
      </c>
      <c r="I135" s="106" t="str">
        <f t="shared" si="3"/>
        <v>#DIV/0!</v>
      </c>
      <c r="J135" s="120">
        <v>6.88</v>
      </c>
      <c r="K135" s="278">
        <v>3539.0</v>
      </c>
      <c r="L135" s="296"/>
      <c r="M135" s="121">
        <v>0.0</v>
      </c>
      <c r="N135" s="109" t="str">
        <f>(J135/M135)</f>
        <v>#DIV/0!</v>
      </c>
      <c r="O135" s="110">
        <f t="shared" si="5"/>
        <v>0</v>
      </c>
      <c r="P135" s="109" t="str">
        <f t="shared" si="6"/>
        <v>#DIV/0!</v>
      </c>
      <c r="Q135" s="111" t="str">
        <f t="shared" si="7"/>
        <v>#DIV/0!</v>
      </c>
      <c r="R135" s="122">
        <f t="shared" si="79"/>
        <v>0</v>
      </c>
      <c r="S135" s="113" t="str">
        <f t="shared" si="9"/>
        <v>#DIV/0!</v>
      </c>
      <c r="T135" s="114"/>
      <c r="U135" s="114"/>
      <c r="V135" s="114"/>
      <c r="W135" s="114"/>
      <c r="X135" s="115"/>
      <c r="Y135" s="98"/>
      <c r="Z135" s="98"/>
    </row>
    <row r="136" hidden="1" outlineLevel="1">
      <c r="A136" s="293"/>
      <c r="B136" s="116"/>
      <c r="C136" s="294" t="s">
        <v>73</v>
      </c>
      <c r="D136" s="298"/>
      <c r="E136" s="296"/>
      <c r="F136" s="296"/>
      <c r="G136" s="104" t="str">
        <f t="shared" si="1"/>
        <v>#DIV/0!</v>
      </c>
      <c r="H136" s="105" t="str">
        <f t="shared" si="2"/>
        <v>#DIV/0!</v>
      </c>
      <c r="I136" s="106" t="str">
        <f t="shared" si="3"/>
        <v>#DIV/0!</v>
      </c>
      <c r="J136" s="120">
        <v>0.51</v>
      </c>
      <c r="K136" s="278">
        <v>143.0</v>
      </c>
      <c r="L136" s="296"/>
      <c r="M136" s="121">
        <v>0.0</v>
      </c>
      <c r="N136" s="109" t="str">
        <f t="shared" ref="N136:N146" si="80">J136/M136</f>
        <v>#DIV/0!</v>
      </c>
      <c r="O136" s="110">
        <f t="shared" si="5"/>
        <v>0</v>
      </c>
      <c r="P136" s="109" t="str">
        <f t="shared" si="6"/>
        <v>#DIV/0!</v>
      </c>
      <c r="Q136" s="111" t="str">
        <f t="shared" si="7"/>
        <v>#DIV/0!</v>
      </c>
      <c r="R136" s="122">
        <f t="shared" si="79"/>
        <v>0</v>
      </c>
      <c r="S136" s="113" t="str">
        <f t="shared" si="9"/>
        <v>#DIV/0!</v>
      </c>
      <c r="T136" s="114"/>
      <c r="U136" s="114"/>
      <c r="V136" s="114"/>
      <c r="W136" s="114"/>
      <c r="X136" s="115"/>
      <c r="Y136" s="98"/>
      <c r="Z136" s="98"/>
    </row>
    <row r="137" hidden="1" outlineLevel="1">
      <c r="A137" s="293"/>
      <c r="B137" s="116"/>
      <c r="C137" s="294" t="s">
        <v>74</v>
      </c>
      <c r="D137" s="299"/>
      <c r="E137" s="296"/>
      <c r="F137" s="296"/>
      <c r="G137" s="104" t="str">
        <f t="shared" si="1"/>
        <v>#DIV/0!</v>
      </c>
      <c r="H137" s="105" t="str">
        <f t="shared" si="2"/>
        <v>#DIV/0!</v>
      </c>
      <c r="I137" s="106" t="str">
        <f t="shared" si="3"/>
        <v>#DIV/0!</v>
      </c>
      <c r="J137" s="300">
        <v>0.09</v>
      </c>
      <c r="K137" s="278">
        <v>2.0</v>
      </c>
      <c r="L137" s="296"/>
      <c r="M137" s="300">
        <v>0.0</v>
      </c>
      <c r="N137" s="109" t="str">
        <f t="shared" si="80"/>
        <v>#DIV/0!</v>
      </c>
      <c r="O137" s="110">
        <f t="shared" si="5"/>
        <v>0</v>
      </c>
      <c r="P137" s="109" t="str">
        <f t="shared" si="6"/>
        <v>#DIV/0!</v>
      </c>
      <c r="Q137" s="111" t="str">
        <f t="shared" si="7"/>
        <v>#DIV/0!</v>
      </c>
      <c r="R137" s="122">
        <f t="shared" si="79"/>
        <v>0</v>
      </c>
      <c r="S137" s="113" t="str">
        <f t="shared" si="9"/>
        <v>#DIV/0!</v>
      </c>
      <c r="T137" s="114"/>
      <c r="U137" s="114"/>
      <c r="V137" s="114"/>
      <c r="W137" s="114"/>
      <c r="X137" s="115"/>
      <c r="Y137" s="98"/>
      <c r="Z137" s="98"/>
    </row>
    <row r="138" hidden="1" outlineLevel="1">
      <c r="A138" s="293"/>
      <c r="B138" s="116"/>
      <c r="C138" s="294" t="s">
        <v>75</v>
      </c>
      <c r="D138" s="301"/>
      <c r="E138" s="296"/>
      <c r="F138" s="296"/>
      <c r="G138" s="104" t="str">
        <f t="shared" si="1"/>
        <v>#DIV/0!</v>
      </c>
      <c r="H138" s="105" t="str">
        <f t="shared" si="2"/>
        <v>#DIV/0!</v>
      </c>
      <c r="I138" s="106" t="str">
        <f t="shared" si="3"/>
        <v>#DIV/0!</v>
      </c>
      <c r="J138" s="302">
        <v>22.77</v>
      </c>
      <c r="K138" s="278">
        <v>3888.0</v>
      </c>
      <c r="L138" s="296"/>
      <c r="M138" s="303">
        <v>119.85</v>
      </c>
      <c r="N138" s="109">
        <f t="shared" si="80"/>
        <v>0.1899874844</v>
      </c>
      <c r="O138" s="110">
        <f t="shared" si="5"/>
        <v>5.263504611</v>
      </c>
      <c r="P138" s="109" t="str">
        <f t="shared" si="6"/>
        <v>#DIV/0!</v>
      </c>
      <c r="Q138" s="111" t="str">
        <f t="shared" si="7"/>
        <v>#DIV/0!</v>
      </c>
      <c r="R138" s="304">
        <f t="shared" si="79"/>
        <v>-119.85</v>
      </c>
      <c r="S138" s="113" t="str">
        <f t="shared" si="9"/>
        <v>#DIV/0!</v>
      </c>
      <c r="T138" s="114"/>
      <c r="U138" s="114"/>
      <c r="V138" s="114"/>
      <c r="W138" s="114"/>
      <c r="X138" s="115"/>
      <c r="Y138" s="98"/>
      <c r="Z138" s="98"/>
    </row>
    <row r="139" hidden="1" outlineLevel="1">
      <c r="A139" s="293"/>
      <c r="B139" s="116"/>
      <c r="C139" s="294" t="s">
        <v>76</v>
      </c>
      <c r="D139" s="298"/>
      <c r="E139" s="296"/>
      <c r="F139" s="296"/>
      <c r="G139" s="104" t="str">
        <f t="shared" si="1"/>
        <v>#DIV/0!</v>
      </c>
      <c r="H139" s="105" t="str">
        <f t="shared" si="2"/>
        <v>#DIV/0!</v>
      </c>
      <c r="I139" s="106" t="str">
        <f t="shared" si="3"/>
        <v>#DIV/0!</v>
      </c>
      <c r="J139" s="120">
        <v>0.63</v>
      </c>
      <c r="K139" s="278">
        <v>15.0</v>
      </c>
      <c r="L139" s="296"/>
      <c r="M139" s="121">
        <v>0.0</v>
      </c>
      <c r="N139" s="109" t="str">
        <f t="shared" si="80"/>
        <v>#DIV/0!</v>
      </c>
      <c r="O139" s="110">
        <f t="shared" si="5"/>
        <v>0</v>
      </c>
      <c r="P139" s="109" t="str">
        <f t="shared" si="6"/>
        <v>#DIV/0!</v>
      </c>
      <c r="Q139" s="111" t="str">
        <f t="shared" si="7"/>
        <v>#DIV/0!</v>
      </c>
      <c r="R139" s="122">
        <f t="shared" si="79"/>
        <v>0</v>
      </c>
      <c r="S139" s="113" t="str">
        <f t="shared" si="9"/>
        <v>#DIV/0!</v>
      </c>
      <c r="T139" s="114"/>
      <c r="U139" s="114"/>
      <c r="V139" s="114"/>
      <c r="W139" s="114"/>
      <c r="X139" s="115"/>
      <c r="Y139" s="98"/>
      <c r="Z139" s="98"/>
    </row>
    <row r="140" hidden="1" outlineLevel="1">
      <c r="A140" s="293"/>
      <c r="B140" s="99" t="s">
        <v>37</v>
      </c>
      <c r="C140" s="294" t="s">
        <v>77</v>
      </c>
      <c r="D140" s="305"/>
      <c r="E140" s="296"/>
      <c r="F140" s="296"/>
      <c r="G140" s="104" t="str">
        <f t="shared" si="1"/>
        <v>#DIV/0!</v>
      </c>
      <c r="H140" s="105" t="str">
        <f t="shared" si="2"/>
        <v>#DIV/0!</v>
      </c>
      <c r="I140" s="106" t="str">
        <f t="shared" si="3"/>
        <v>#DIV/0!</v>
      </c>
      <c r="J140" s="123">
        <v>1.25</v>
      </c>
      <c r="K140" s="278">
        <v>349.0</v>
      </c>
      <c r="L140" s="296"/>
      <c r="M140" s="124">
        <v>0.0</v>
      </c>
      <c r="N140" s="109" t="str">
        <f t="shared" si="80"/>
        <v>#DIV/0!</v>
      </c>
      <c r="O140" s="110">
        <f t="shared" si="5"/>
        <v>0</v>
      </c>
      <c r="P140" s="109" t="str">
        <f t="shared" si="6"/>
        <v>#DIV/0!</v>
      </c>
      <c r="Q140" s="111" t="str">
        <f t="shared" si="7"/>
        <v>#DIV/0!</v>
      </c>
      <c r="R140" s="125">
        <f t="shared" si="79"/>
        <v>0</v>
      </c>
      <c r="S140" s="113" t="str">
        <f t="shared" si="9"/>
        <v>#DIV/0!</v>
      </c>
      <c r="T140" s="114"/>
      <c r="U140" s="114"/>
      <c r="V140" s="114"/>
      <c r="W140" s="114"/>
      <c r="X140" s="115"/>
      <c r="Y140" s="98"/>
      <c r="Z140" s="98"/>
    </row>
    <row r="141" hidden="1" outlineLevel="1">
      <c r="A141" s="293"/>
      <c r="B141" s="116"/>
      <c r="C141" s="294" t="s">
        <v>78</v>
      </c>
      <c r="D141" s="306"/>
      <c r="E141" s="296"/>
      <c r="F141" s="296"/>
      <c r="G141" s="104" t="str">
        <f t="shared" si="1"/>
        <v>#DIV/0!</v>
      </c>
      <c r="H141" s="105" t="str">
        <f t="shared" si="2"/>
        <v>#DIV/0!</v>
      </c>
      <c r="I141" s="106" t="str">
        <f t="shared" si="3"/>
        <v>#DIV/0!</v>
      </c>
      <c r="J141" s="126">
        <v>0.82</v>
      </c>
      <c r="K141" s="278">
        <v>395.0</v>
      </c>
      <c r="L141" s="296"/>
      <c r="M141" s="127">
        <v>389.0</v>
      </c>
      <c r="N141" s="109">
        <f t="shared" si="80"/>
        <v>0.002107969152</v>
      </c>
      <c r="O141" s="110">
        <f t="shared" si="5"/>
        <v>474.3902439</v>
      </c>
      <c r="P141" s="109" t="str">
        <f t="shared" si="6"/>
        <v>#DIV/0!</v>
      </c>
      <c r="Q141" s="111" t="str">
        <f t="shared" si="7"/>
        <v>#DIV/0!</v>
      </c>
      <c r="R141" s="128">
        <f t="shared" si="79"/>
        <v>-389</v>
      </c>
      <c r="S141" s="113" t="str">
        <f t="shared" si="9"/>
        <v>#DIV/0!</v>
      </c>
      <c r="T141" s="114"/>
      <c r="U141" s="114"/>
      <c r="V141" s="114"/>
      <c r="W141" s="114"/>
      <c r="X141" s="115"/>
      <c r="Y141" s="98"/>
      <c r="Z141" s="98"/>
    </row>
    <row r="142" hidden="1" outlineLevel="1">
      <c r="A142" s="293"/>
      <c r="B142" s="116"/>
      <c r="C142" s="294" t="s">
        <v>79</v>
      </c>
      <c r="D142" s="307"/>
      <c r="E142" s="296"/>
      <c r="F142" s="296"/>
      <c r="G142" s="104" t="str">
        <f t="shared" si="1"/>
        <v>#DIV/0!</v>
      </c>
      <c r="H142" s="105" t="str">
        <f t="shared" si="2"/>
        <v>#DIV/0!</v>
      </c>
      <c r="I142" s="106" t="str">
        <f t="shared" si="3"/>
        <v>#DIV/0!</v>
      </c>
      <c r="J142" s="129">
        <v>20.6</v>
      </c>
      <c r="K142" s="278">
        <v>5545.0</v>
      </c>
      <c r="L142" s="296"/>
      <c r="M142" s="130">
        <v>89.9</v>
      </c>
      <c r="N142" s="109">
        <f t="shared" si="80"/>
        <v>0.2291434928</v>
      </c>
      <c r="O142" s="110">
        <f t="shared" si="5"/>
        <v>4.36407767</v>
      </c>
      <c r="P142" s="109" t="str">
        <f t="shared" si="6"/>
        <v>#DIV/0!</v>
      </c>
      <c r="Q142" s="111" t="str">
        <f t="shared" si="7"/>
        <v>#DIV/0!</v>
      </c>
      <c r="R142" s="131">
        <f t="shared" si="79"/>
        <v>-89.9</v>
      </c>
      <c r="S142" s="113" t="str">
        <f t="shared" si="9"/>
        <v>#DIV/0!</v>
      </c>
      <c r="T142" s="114"/>
      <c r="U142" s="114"/>
      <c r="V142" s="114"/>
      <c r="W142" s="114"/>
      <c r="X142" s="115"/>
      <c r="Y142" s="98"/>
      <c r="Z142" s="98"/>
    </row>
    <row r="143" hidden="1" outlineLevel="1">
      <c r="A143" s="310" t="str">
        <f t="shared" ref="A143:A144" si="81">iferror(if(B143&gt;0,month(B143)&amp;"-"&amp;year(B143),B143),)</f>
        <v>5-2025</v>
      </c>
      <c r="B143" s="99">
        <v>45787.0</v>
      </c>
      <c r="C143" s="294" t="s">
        <v>81</v>
      </c>
      <c r="D143" s="311"/>
      <c r="E143" s="296"/>
      <c r="F143" s="296"/>
      <c r="G143" s="104" t="str">
        <f t="shared" si="1"/>
        <v>#DIV/0!</v>
      </c>
      <c r="H143" s="105" t="str">
        <f t="shared" si="2"/>
        <v>#DIV/0!</v>
      </c>
      <c r="I143" s="106" t="str">
        <f t="shared" si="3"/>
        <v>#DIV/0!</v>
      </c>
      <c r="J143" s="117">
        <v>0.0</v>
      </c>
      <c r="K143" s="278">
        <v>0.0</v>
      </c>
      <c r="L143" s="296"/>
      <c r="M143" s="118">
        <v>0.0</v>
      </c>
      <c r="N143" s="109" t="str">
        <f t="shared" si="80"/>
        <v>#DIV/0!</v>
      </c>
      <c r="O143" s="110" t="str">
        <f t="shared" si="5"/>
        <v>#DIV/0!</v>
      </c>
      <c r="P143" s="109" t="str">
        <f t="shared" si="6"/>
        <v>#DIV/0!</v>
      </c>
      <c r="Q143" s="111" t="str">
        <f t="shared" si="7"/>
        <v>#DIV/0!</v>
      </c>
      <c r="R143" s="112">
        <f t="shared" si="79"/>
        <v>0</v>
      </c>
      <c r="S143" s="113" t="str">
        <f t="shared" si="9"/>
        <v>#DIV/0!</v>
      </c>
      <c r="T143" s="114"/>
      <c r="U143" s="114"/>
      <c r="V143" s="114"/>
      <c r="W143" s="114"/>
      <c r="X143" s="115"/>
      <c r="Y143" s="98"/>
      <c r="Z143" s="98"/>
    </row>
    <row r="144" collapsed="1">
      <c r="A144" s="293" t="str">
        <f t="shared" si="81"/>
        <v/>
      </c>
      <c r="B144" s="80" t="s">
        <v>106</v>
      </c>
      <c r="C144" s="312"/>
      <c r="D144" s="151">
        <f t="shared" ref="D144:F144" si="82">SUM(D133:D143)</f>
        <v>0</v>
      </c>
      <c r="E144" s="153">
        <f t="shared" si="82"/>
        <v>0</v>
      </c>
      <c r="F144" s="153">
        <f t="shared" si="82"/>
        <v>0</v>
      </c>
      <c r="G144" s="154" t="str">
        <f t="shared" si="1"/>
        <v>#DIV/0!</v>
      </c>
      <c r="H144" s="155" t="str">
        <f t="shared" si="2"/>
        <v>#DIV/0!</v>
      </c>
      <c r="I144" s="156" t="str">
        <f t="shared" si="3"/>
        <v>#DIV/0!</v>
      </c>
      <c r="J144" s="151">
        <f t="shared" ref="J144:M144" si="83">SUM(J133:J143)</f>
        <v>69.97</v>
      </c>
      <c r="K144" s="313">
        <f t="shared" si="83"/>
        <v>18060</v>
      </c>
      <c r="L144" s="153">
        <f t="shared" si="83"/>
        <v>0</v>
      </c>
      <c r="M144" s="157">
        <f t="shared" si="83"/>
        <v>598.75</v>
      </c>
      <c r="N144" s="158">
        <f t="shared" si="80"/>
        <v>0.1168601253</v>
      </c>
      <c r="O144" s="159">
        <f t="shared" si="5"/>
        <v>8.557238817</v>
      </c>
      <c r="P144" s="158" t="str">
        <f t="shared" si="6"/>
        <v>#DIV/0!</v>
      </c>
      <c r="Q144" s="160" t="str">
        <f t="shared" si="7"/>
        <v>#DIV/0!</v>
      </c>
      <c r="R144" s="161">
        <f>SUM(R133:R143)</f>
        <v>-598.75</v>
      </c>
      <c r="S144" s="162" t="str">
        <f t="shared" si="9"/>
        <v>#DIV/0!</v>
      </c>
      <c r="T144" s="164" t="str">
        <f t="shared" ref="T144:U144" si="84">IFERROR((D144-D48)/D144,)</f>
        <v/>
      </c>
      <c r="U144" s="164" t="str">
        <f t="shared" si="84"/>
        <v/>
      </c>
      <c r="V144" s="164" t="str">
        <f t="shared" ref="V144:W144" si="85">IFERROR((D144-#REF!)/D144, )</f>
        <v/>
      </c>
      <c r="W144" s="164" t="str">
        <f t="shared" si="85"/>
        <v/>
      </c>
      <c r="X144" s="98"/>
      <c r="Y144" s="98"/>
      <c r="Z144" s="98"/>
    </row>
    <row r="145" hidden="1" outlineLevel="1">
      <c r="A145" s="293"/>
      <c r="B145" s="99">
        <v>45788.0</v>
      </c>
      <c r="C145" s="294" t="s">
        <v>70</v>
      </c>
      <c r="D145" s="295"/>
      <c r="E145" s="296"/>
      <c r="F145" s="296"/>
      <c r="G145" s="104" t="str">
        <f t="shared" si="1"/>
        <v>#DIV/0!</v>
      </c>
      <c r="H145" s="105" t="str">
        <f t="shared" si="2"/>
        <v>#DIV/0!</v>
      </c>
      <c r="I145" s="106" t="str">
        <f t="shared" si="3"/>
        <v>#DIV/0!</v>
      </c>
      <c r="J145" s="107">
        <v>1.8</v>
      </c>
      <c r="K145" s="278">
        <v>758.0</v>
      </c>
      <c r="L145" s="296"/>
      <c r="M145" s="108">
        <v>0.0</v>
      </c>
      <c r="N145" s="109" t="str">
        <f t="shared" si="80"/>
        <v>#DIV/0!</v>
      </c>
      <c r="O145" s="110">
        <f t="shared" si="5"/>
        <v>0</v>
      </c>
      <c r="P145" s="109" t="str">
        <f t="shared" si="6"/>
        <v>#DIV/0!</v>
      </c>
      <c r="Q145" s="111" t="str">
        <f t="shared" si="7"/>
        <v>#DIV/0!</v>
      </c>
      <c r="R145" s="112">
        <f t="shared" ref="R145:R155" si="86">D145-M145</f>
        <v>0</v>
      </c>
      <c r="S145" s="113" t="str">
        <f t="shared" si="9"/>
        <v>#DIV/0!</v>
      </c>
      <c r="T145" s="114"/>
      <c r="U145" s="114"/>
      <c r="V145" s="114"/>
      <c r="W145" s="114"/>
      <c r="X145" s="115"/>
      <c r="Y145" s="98"/>
      <c r="Z145" s="98"/>
    </row>
    <row r="146" hidden="1" outlineLevel="1">
      <c r="A146" s="293"/>
      <c r="B146" s="116"/>
      <c r="C146" s="294" t="s">
        <v>71</v>
      </c>
      <c r="D146" s="297"/>
      <c r="E146" s="296"/>
      <c r="F146" s="296"/>
      <c r="G146" s="104" t="str">
        <f t="shared" si="1"/>
        <v>#DIV/0!</v>
      </c>
      <c r="H146" s="105" t="str">
        <f t="shared" si="2"/>
        <v>#DIV/0!</v>
      </c>
      <c r="I146" s="106" t="str">
        <f t="shared" si="3"/>
        <v>#DIV/0!</v>
      </c>
      <c r="J146" s="117">
        <v>3.89</v>
      </c>
      <c r="K146" s="278">
        <v>734.0</v>
      </c>
      <c r="L146" s="296"/>
      <c r="M146" s="118">
        <v>0.0</v>
      </c>
      <c r="N146" s="109" t="str">
        <f t="shared" si="80"/>
        <v>#DIV/0!</v>
      </c>
      <c r="O146" s="110">
        <f t="shared" si="5"/>
        <v>0</v>
      </c>
      <c r="P146" s="109" t="str">
        <f t="shared" si="6"/>
        <v>#DIV/0!</v>
      </c>
      <c r="Q146" s="111" t="str">
        <f t="shared" si="7"/>
        <v>#DIV/0!</v>
      </c>
      <c r="R146" s="119">
        <f t="shared" si="86"/>
        <v>0</v>
      </c>
      <c r="S146" s="113" t="str">
        <f t="shared" si="9"/>
        <v>#DIV/0!</v>
      </c>
      <c r="T146" s="114"/>
      <c r="U146" s="114"/>
      <c r="V146" s="114"/>
      <c r="W146" s="114"/>
      <c r="X146" s="115"/>
      <c r="Y146" s="98"/>
      <c r="Z146" s="98"/>
    </row>
    <row r="147" hidden="1" outlineLevel="1">
      <c r="A147" s="293"/>
      <c r="B147" s="116"/>
      <c r="C147" s="294" t="s">
        <v>72</v>
      </c>
      <c r="D147" s="298"/>
      <c r="E147" s="296"/>
      <c r="F147" s="296"/>
      <c r="G147" s="104" t="str">
        <f t="shared" si="1"/>
        <v>#DIV/0!</v>
      </c>
      <c r="H147" s="105" t="str">
        <f t="shared" si="2"/>
        <v>#DIV/0!</v>
      </c>
      <c r="I147" s="106" t="str">
        <f t="shared" si="3"/>
        <v>#DIV/0!</v>
      </c>
      <c r="J147" s="120">
        <v>1.77</v>
      </c>
      <c r="K147" s="278">
        <v>1766.0</v>
      </c>
      <c r="L147" s="296"/>
      <c r="M147" s="121">
        <v>0.0</v>
      </c>
      <c r="N147" s="109" t="str">
        <f>(J147/M147)</f>
        <v>#DIV/0!</v>
      </c>
      <c r="O147" s="110">
        <f t="shared" si="5"/>
        <v>0</v>
      </c>
      <c r="P147" s="109" t="str">
        <f t="shared" si="6"/>
        <v>#DIV/0!</v>
      </c>
      <c r="Q147" s="111" t="str">
        <f t="shared" si="7"/>
        <v>#DIV/0!</v>
      </c>
      <c r="R147" s="122">
        <f t="shared" si="86"/>
        <v>0</v>
      </c>
      <c r="S147" s="113" t="str">
        <f t="shared" si="9"/>
        <v>#DIV/0!</v>
      </c>
      <c r="T147" s="114"/>
      <c r="U147" s="114"/>
      <c r="V147" s="114"/>
      <c r="W147" s="114"/>
      <c r="X147" s="115"/>
      <c r="Y147" s="98"/>
      <c r="Z147" s="98"/>
    </row>
    <row r="148" hidden="1" outlineLevel="1">
      <c r="A148" s="293"/>
      <c r="B148" s="116"/>
      <c r="C148" s="294" t="s">
        <v>73</v>
      </c>
      <c r="D148" s="298"/>
      <c r="E148" s="296"/>
      <c r="F148" s="296"/>
      <c r="G148" s="104" t="str">
        <f t="shared" si="1"/>
        <v>#DIV/0!</v>
      </c>
      <c r="H148" s="105" t="str">
        <f t="shared" si="2"/>
        <v>#DIV/0!</v>
      </c>
      <c r="I148" s="106" t="str">
        <f t="shared" si="3"/>
        <v>#DIV/0!</v>
      </c>
      <c r="J148" s="120">
        <v>0.25</v>
      </c>
      <c r="K148" s="278">
        <v>46.0</v>
      </c>
      <c r="L148" s="296"/>
      <c r="M148" s="121">
        <v>0.0</v>
      </c>
      <c r="N148" s="109" t="str">
        <f t="shared" ref="N148:N158" si="87">J148/M148</f>
        <v>#DIV/0!</v>
      </c>
      <c r="O148" s="110">
        <f t="shared" si="5"/>
        <v>0</v>
      </c>
      <c r="P148" s="109" t="str">
        <f t="shared" si="6"/>
        <v>#DIV/0!</v>
      </c>
      <c r="Q148" s="111" t="str">
        <f t="shared" si="7"/>
        <v>#DIV/0!</v>
      </c>
      <c r="R148" s="122">
        <f t="shared" si="86"/>
        <v>0</v>
      </c>
      <c r="S148" s="113" t="str">
        <f t="shared" si="9"/>
        <v>#DIV/0!</v>
      </c>
      <c r="T148" s="114"/>
      <c r="U148" s="114"/>
      <c r="V148" s="114"/>
      <c r="W148" s="114"/>
      <c r="X148" s="115"/>
      <c r="Y148" s="98"/>
      <c r="Z148" s="98"/>
    </row>
    <row r="149" hidden="1" outlineLevel="1">
      <c r="A149" s="293"/>
      <c r="B149" s="116"/>
      <c r="C149" s="294" t="s">
        <v>74</v>
      </c>
      <c r="D149" s="299"/>
      <c r="E149" s="296"/>
      <c r="F149" s="296"/>
      <c r="G149" s="104" t="str">
        <f t="shared" si="1"/>
        <v>#DIV/0!</v>
      </c>
      <c r="H149" s="105" t="str">
        <f t="shared" si="2"/>
        <v>#DIV/0!</v>
      </c>
      <c r="I149" s="106" t="str">
        <f t="shared" si="3"/>
        <v>#DIV/0!</v>
      </c>
      <c r="J149" s="300">
        <v>0.0</v>
      </c>
      <c r="K149" s="278">
        <v>0.0</v>
      </c>
      <c r="L149" s="296"/>
      <c r="M149" s="300">
        <v>0.0</v>
      </c>
      <c r="N149" s="109" t="str">
        <f t="shared" si="87"/>
        <v>#DIV/0!</v>
      </c>
      <c r="O149" s="110" t="str">
        <f t="shared" si="5"/>
        <v>#DIV/0!</v>
      </c>
      <c r="P149" s="109" t="str">
        <f t="shared" si="6"/>
        <v>#DIV/0!</v>
      </c>
      <c r="Q149" s="111" t="str">
        <f t="shared" si="7"/>
        <v>#DIV/0!</v>
      </c>
      <c r="R149" s="122">
        <f t="shared" si="86"/>
        <v>0</v>
      </c>
      <c r="S149" s="113" t="str">
        <f t="shared" si="9"/>
        <v>#DIV/0!</v>
      </c>
      <c r="T149" s="114"/>
      <c r="U149" s="114"/>
      <c r="V149" s="114"/>
      <c r="W149" s="114"/>
      <c r="X149" s="115"/>
      <c r="Y149" s="98"/>
      <c r="Z149" s="98"/>
    </row>
    <row r="150" hidden="1" outlineLevel="1">
      <c r="A150" s="293"/>
      <c r="B150" s="116"/>
      <c r="C150" s="294" t="s">
        <v>75</v>
      </c>
      <c r="D150" s="301"/>
      <c r="E150" s="296"/>
      <c r="F150" s="296"/>
      <c r="G150" s="104" t="str">
        <f t="shared" si="1"/>
        <v>#DIV/0!</v>
      </c>
      <c r="H150" s="105" t="str">
        <f t="shared" si="2"/>
        <v>#DIV/0!</v>
      </c>
      <c r="I150" s="106" t="str">
        <f t="shared" si="3"/>
        <v>#DIV/0!</v>
      </c>
      <c r="J150" s="302">
        <v>15.25</v>
      </c>
      <c r="K150" s="278">
        <v>3453.0</v>
      </c>
      <c r="L150" s="296"/>
      <c r="M150" s="303">
        <v>39.95</v>
      </c>
      <c r="N150" s="109">
        <f t="shared" si="87"/>
        <v>0.3817271589</v>
      </c>
      <c r="O150" s="110">
        <f t="shared" si="5"/>
        <v>2.619672131</v>
      </c>
      <c r="P150" s="109" t="str">
        <f t="shared" si="6"/>
        <v>#DIV/0!</v>
      </c>
      <c r="Q150" s="111" t="str">
        <f t="shared" si="7"/>
        <v>#DIV/0!</v>
      </c>
      <c r="R150" s="304">
        <f t="shared" si="86"/>
        <v>-39.95</v>
      </c>
      <c r="S150" s="113" t="str">
        <f t="shared" si="9"/>
        <v>#DIV/0!</v>
      </c>
      <c r="T150" s="114"/>
      <c r="U150" s="114"/>
      <c r="V150" s="114"/>
      <c r="W150" s="114"/>
      <c r="X150" s="115"/>
      <c r="Y150" s="98"/>
      <c r="Z150" s="98"/>
    </row>
    <row r="151" hidden="1" outlineLevel="1">
      <c r="A151" s="293"/>
      <c r="B151" s="116"/>
      <c r="C151" s="294" t="s">
        <v>76</v>
      </c>
      <c r="D151" s="298"/>
      <c r="E151" s="296"/>
      <c r="F151" s="296"/>
      <c r="G151" s="104" t="str">
        <f t="shared" si="1"/>
        <v>#DIV/0!</v>
      </c>
      <c r="H151" s="105" t="str">
        <f t="shared" si="2"/>
        <v>#DIV/0!</v>
      </c>
      <c r="I151" s="106" t="str">
        <f t="shared" si="3"/>
        <v>#DIV/0!</v>
      </c>
      <c r="J151" s="120">
        <v>6.14</v>
      </c>
      <c r="K151" s="278">
        <v>525.0</v>
      </c>
      <c r="L151" s="296"/>
      <c r="M151" s="121">
        <v>179.9</v>
      </c>
      <c r="N151" s="109">
        <f t="shared" si="87"/>
        <v>0.03413007226</v>
      </c>
      <c r="O151" s="110">
        <f t="shared" si="5"/>
        <v>29.29967427</v>
      </c>
      <c r="P151" s="109" t="str">
        <f t="shared" si="6"/>
        <v>#DIV/0!</v>
      </c>
      <c r="Q151" s="111" t="str">
        <f t="shared" si="7"/>
        <v>#DIV/0!</v>
      </c>
      <c r="R151" s="122">
        <f t="shared" si="86"/>
        <v>-179.9</v>
      </c>
      <c r="S151" s="113" t="str">
        <f t="shared" si="9"/>
        <v>#DIV/0!</v>
      </c>
      <c r="T151" s="114"/>
      <c r="U151" s="114"/>
      <c r="V151" s="114"/>
      <c r="W151" s="114"/>
      <c r="X151" s="115"/>
      <c r="Y151" s="98"/>
      <c r="Z151" s="98"/>
    </row>
    <row r="152" hidden="1" outlineLevel="1">
      <c r="A152" s="293"/>
      <c r="B152" s="99" t="s">
        <v>37</v>
      </c>
      <c r="C152" s="294" t="s">
        <v>77</v>
      </c>
      <c r="D152" s="305"/>
      <c r="E152" s="296"/>
      <c r="F152" s="296"/>
      <c r="G152" s="104" t="str">
        <f t="shared" si="1"/>
        <v>#DIV/0!</v>
      </c>
      <c r="H152" s="105" t="str">
        <f t="shared" si="2"/>
        <v>#DIV/0!</v>
      </c>
      <c r="I152" s="106" t="str">
        <f t="shared" si="3"/>
        <v>#DIV/0!</v>
      </c>
      <c r="J152" s="123">
        <v>0.0</v>
      </c>
      <c r="K152" s="278">
        <v>0.0</v>
      </c>
      <c r="L152" s="296"/>
      <c r="M152" s="124">
        <v>0.0</v>
      </c>
      <c r="N152" s="109" t="str">
        <f t="shared" si="87"/>
        <v>#DIV/0!</v>
      </c>
      <c r="O152" s="110" t="str">
        <f t="shared" si="5"/>
        <v>#DIV/0!</v>
      </c>
      <c r="P152" s="109" t="str">
        <f t="shared" si="6"/>
        <v>#DIV/0!</v>
      </c>
      <c r="Q152" s="111" t="str">
        <f t="shared" si="7"/>
        <v>#DIV/0!</v>
      </c>
      <c r="R152" s="125">
        <f t="shared" si="86"/>
        <v>0</v>
      </c>
      <c r="S152" s="113" t="str">
        <f t="shared" si="9"/>
        <v>#DIV/0!</v>
      </c>
      <c r="T152" s="114"/>
      <c r="U152" s="114"/>
      <c r="V152" s="114"/>
      <c r="W152" s="114"/>
      <c r="X152" s="115"/>
      <c r="Y152" s="98"/>
      <c r="Z152" s="98"/>
    </row>
    <row r="153" hidden="1" outlineLevel="1">
      <c r="A153" s="293"/>
      <c r="B153" s="116"/>
      <c r="C153" s="294" t="s">
        <v>78</v>
      </c>
      <c r="D153" s="306"/>
      <c r="E153" s="296"/>
      <c r="F153" s="296"/>
      <c r="G153" s="104" t="str">
        <f t="shared" si="1"/>
        <v>#DIV/0!</v>
      </c>
      <c r="H153" s="105" t="str">
        <f t="shared" si="2"/>
        <v>#DIV/0!</v>
      </c>
      <c r="I153" s="106" t="str">
        <f t="shared" si="3"/>
        <v>#DIV/0!</v>
      </c>
      <c r="J153" s="126">
        <v>2.41</v>
      </c>
      <c r="K153" s="278">
        <v>641.0</v>
      </c>
      <c r="L153" s="296"/>
      <c r="M153" s="127">
        <v>0.0</v>
      </c>
      <c r="N153" s="109" t="str">
        <f t="shared" si="87"/>
        <v>#DIV/0!</v>
      </c>
      <c r="O153" s="110">
        <f t="shared" si="5"/>
        <v>0</v>
      </c>
      <c r="P153" s="109" t="str">
        <f t="shared" si="6"/>
        <v>#DIV/0!</v>
      </c>
      <c r="Q153" s="111" t="str">
        <f t="shared" si="7"/>
        <v>#DIV/0!</v>
      </c>
      <c r="R153" s="128">
        <f t="shared" si="86"/>
        <v>0</v>
      </c>
      <c r="S153" s="113" t="str">
        <f t="shared" si="9"/>
        <v>#DIV/0!</v>
      </c>
      <c r="T153" s="114"/>
      <c r="U153" s="114"/>
      <c r="V153" s="114"/>
      <c r="W153" s="114"/>
      <c r="X153" s="115"/>
      <c r="Y153" s="98"/>
      <c r="Z153" s="98"/>
    </row>
    <row r="154" hidden="1" outlineLevel="1">
      <c r="A154" s="293"/>
      <c r="B154" s="116"/>
      <c r="C154" s="294" t="s">
        <v>79</v>
      </c>
      <c r="D154" s="307"/>
      <c r="E154" s="296"/>
      <c r="F154" s="296"/>
      <c r="G154" s="104" t="str">
        <f t="shared" si="1"/>
        <v>#DIV/0!</v>
      </c>
      <c r="H154" s="105" t="str">
        <f t="shared" si="2"/>
        <v>#DIV/0!</v>
      </c>
      <c r="I154" s="106" t="str">
        <f t="shared" si="3"/>
        <v>#DIV/0!</v>
      </c>
      <c r="J154" s="129">
        <v>22.27</v>
      </c>
      <c r="K154" s="278">
        <v>5444.0</v>
      </c>
      <c r="L154" s="296"/>
      <c r="M154" s="130">
        <v>44.95</v>
      </c>
      <c r="N154" s="109">
        <f t="shared" si="87"/>
        <v>0.4954393771</v>
      </c>
      <c r="O154" s="110">
        <f t="shared" si="5"/>
        <v>2.018410418</v>
      </c>
      <c r="P154" s="109" t="str">
        <f t="shared" si="6"/>
        <v>#DIV/0!</v>
      </c>
      <c r="Q154" s="111" t="str">
        <f t="shared" si="7"/>
        <v>#DIV/0!</v>
      </c>
      <c r="R154" s="131">
        <f t="shared" si="86"/>
        <v>-44.95</v>
      </c>
      <c r="S154" s="113" t="str">
        <f t="shared" si="9"/>
        <v>#DIV/0!</v>
      </c>
      <c r="T154" s="114"/>
      <c r="U154" s="114"/>
      <c r="V154" s="114"/>
      <c r="W154" s="114"/>
      <c r="X154" s="115"/>
      <c r="Y154" s="98"/>
      <c r="Z154" s="98"/>
    </row>
    <row r="155" hidden="1" outlineLevel="1">
      <c r="A155" s="310" t="str">
        <f t="shared" ref="A155:A156" si="88">iferror(if(B155&gt;0,month(B155)&amp;"-"&amp;year(B155),B155),)</f>
        <v>5-2025</v>
      </c>
      <c r="B155" s="99">
        <v>45794.0</v>
      </c>
      <c r="C155" s="294" t="s">
        <v>81</v>
      </c>
      <c r="D155" s="311"/>
      <c r="E155" s="296"/>
      <c r="F155" s="296"/>
      <c r="G155" s="104" t="str">
        <f t="shared" si="1"/>
        <v>#DIV/0!</v>
      </c>
      <c r="H155" s="105" t="str">
        <f t="shared" si="2"/>
        <v>#DIV/0!</v>
      </c>
      <c r="I155" s="106" t="str">
        <f t="shared" si="3"/>
        <v>#DIV/0!</v>
      </c>
      <c r="J155" s="117">
        <v>0.0</v>
      </c>
      <c r="K155" s="278">
        <v>0.0</v>
      </c>
      <c r="L155" s="296"/>
      <c r="M155" s="118">
        <v>0.0</v>
      </c>
      <c r="N155" s="109" t="str">
        <f t="shared" si="87"/>
        <v>#DIV/0!</v>
      </c>
      <c r="O155" s="110" t="str">
        <f t="shared" si="5"/>
        <v>#DIV/0!</v>
      </c>
      <c r="P155" s="109" t="str">
        <f t="shared" si="6"/>
        <v>#DIV/0!</v>
      </c>
      <c r="Q155" s="111" t="str">
        <f t="shared" si="7"/>
        <v>#DIV/0!</v>
      </c>
      <c r="R155" s="112">
        <f t="shared" si="86"/>
        <v>0</v>
      </c>
      <c r="S155" s="113" t="str">
        <f t="shared" si="9"/>
        <v>#DIV/0!</v>
      </c>
      <c r="T155" s="114"/>
      <c r="U155" s="114"/>
      <c r="V155" s="114"/>
      <c r="W155" s="114"/>
      <c r="X155" s="115"/>
      <c r="Y155" s="98"/>
      <c r="Z155" s="98"/>
    </row>
    <row r="156" collapsed="1">
      <c r="A156" s="293" t="str">
        <f t="shared" si="88"/>
        <v/>
      </c>
      <c r="B156" s="80" t="s">
        <v>107</v>
      </c>
      <c r="C156" s="312"/>
      <c r="D156" s="151">
        <f t="shared" ref="D156:F156" si="89">SUM(D145:D155)</f>
        <v>0</v>
      </c>
      <c r="E156" s="153">
        <f t="shared" si="89"/>
        <v>0</v>
      </c>
      <c r="F156" s="153">
        <f t="shared" si="89"/>
        <v>0</v>
      </c>
      <c r="G156" s="154" t="str">
        <f t="shared" si="1"/>
        <v>#DIV/0!</v>
      </c>
      <c r="H156" s="155" t="str">
        <f t="shared" si="2"/>
        <v>#DIV/0!</v>
      </c>
      <c r="I156" s="156" t="str">
        <f t="shared" si="3"/>
        <v>#DIV/0!</v>
      </c>
      <c r="J156" s="151">
        <f t="shared" ref="J156:M156" si="90">SUM(J145:J155)</f>
        <v>53.78</v>
      </c>
      <c r="K156" s="313">
        <f t="shared" si="90"/>
        <v>13367</v>
      </c>
      <c r="L156" s="153">
        <f t="shared" si="90"/>
        <v>0</v>
      </c>
      <c r="M156" s="157">
        <f t="shared" si="90"/>
        <v>264.8</v>
      </c>
      <c r="N156" s="158">
        <f t="shared" si="87"/>
        <v>0.2030966767</v>
      </c>
      <c r="O156" s="159">
        <f t="shared" si="5"/>
        <v>4.923763481</v>
      </c>
      <c r="P156" s="158" t="str">
        <f t="shared" si="6"/>
        <v>#DIV/0!</v>
      </c>
      <c r="Q156" s="160" t="str">
        <f t="shared" si="7"/>
        <v>#DIV/0!</v>
      </c>
      <c r="R156" s="161">
        <f>SUM(R145:R155)</f>
        <v>-264.8</v>
      </c>
      <c r="S156" s="162" t="str">
        <f t="shared" si="9"/>
        <v>#DIV/0!</v>
      </c>
      <c r="T156" s="164" t="str">
        <f t="shared" ref="T156:U156" si="91">IFERROR((D156-D48)/D156,)</f>
        <v/>
      </c>
      <c r="U156" s="164" t="str">
        <f t="shared" si="91"/>
        <v/>
      </c>
      <c r="V156" s="164" t="str">
        <f t="shared" ref="V156:W156" si="92">IFERROR((D156-#REF!)/D156, )</f>
        <v/>
      </c>
      <c r="W156" s="164" t="str">
        <f t="shared" si="92"/>
        <v/>
      </c>
      <c r="X156" s="98"/>
      <c r="Y156" s="98"/>
      <c r="Z156" s="98"/>
    </row>
    <row r="157" hidden="1" outlineLevel="1">
      <c r="A157" s="293"/>
      <c r="B157" s="99">
        <v>45795.0</v>
      </c>
      <c r="C157" s="294" t="s">
        <v>70</v>
      </c>
      <c r="D157" s="295"/>
      <c r="E157" s="296"/>
      <c r="F157" s="296"/>
      <c r="G157" s="104" t="str">
        <f t="shared" si="1"/>
        <v>#DIV/0!</v>
      </c>
      <c r="H157" s="105" t="str">
        <f t="shared" si="2"/>
        <v>#DIV/0!</v>
      </c>
      <c r="I157" s="106" t="str">
        <f t="shared" si="3"/>
        <v>#DIV/0!</v>
      </c>
      <c r="J157" s="107">
        <v>0.26</v>
      </c>
      <c r="K157" s="278">
        <v>702.0</v>
      </c>
      <c r="L157" s="296"/>
      <c r="M157" s="108">
        <v>0.0</v>
      </c>
      <c r="N157" s="109" t="str">
        <f t="shared" si="87"/>
        <v>#DIV/0!</v>
      </c>
      <c r="O157" s="110">
        <f t="shared" si="5"/>
        <v>0</v>
      </c>
      <c r="P157" s="109" t="str">
        <f t="shared" si="6"/>
        <v>#DIV/0!</v>
      </c>
      <c r="Q157" s="111" t="str">
        <f t="shared" si="7"/>
        <v>#DIV/0!</v>
      </c>
      <c r="R157" s="112">
        <f t="shared" ref="R157:R167" si="93">D157-M157</f>
        <v>0</v>
      </c>
      <c r="S157" s="113" t="str">
        <f t="shared" si="9"/>
        <v>#DIV/0!</v>
      </c>
      <c r="T157" s="114"/>
      <c r="U157" s="114"/>
      <c r="V157" s="114"/>
      <c r="W157" s="114"/>
      <c r="X157" s="115"/>
      <c r="Y157" s="98"/>
      <c r="Z157" s="98"/>
    </row>
    <row r="158" hidden="1" outlineLevel="1">
      <c r="A158" s="293"/>
      <c r="B158" s="116"/>
      <c r="C158" s="294" t="s">
        <v>71</v>
      </c>
      <c r="D158" s="297"/>
      <c r="E158" s="296"/>
      <c r="F158" s="296"/>
      <c r="G158" s="104" t="str">
        <f t="shared" si="1"/>
        <v>#DIV/0!</v>
      </c>
      <c r="H158" s="105" t="str">
        <f t="shared" si="2"/>
        <v>#DIV/0!</v>
      </c>
      <c r="I158" s="106" t="str">
        <f t="shared" si="3"/>
        <v>#DIV/0!</v>
      </c>
      <c r="J158" s="117">
        <v>3.4</v>
      </c>
      <c r="K158" s="278">
        <v>344.0</v>
      </c>
      <c r="L158" s="296"/>
      <c r="M158" s="118">
        <v>69.95</v>
      </c>
      <c r="N158" s="109">
        <f t="shared" si="87"/>
        <v>0.04860614725</v>
      </c>
      <c r="O158" s="110">
        <f t="shared" si="5"/>
        <v>20.57352941</v>
      </c>
      <c r="P158" s="109" t="str">
        <f t="shared" si="6"/>
        <v>#DIV/0!</v>
      </c>
      <c r="Q158" s="111" t="str">
        <f t="shared" si="7"/>
        <v>#DIV/0!</v>
      </c>
      <c r="R158" s="119">
        <f t="shared" si="93"/>
        <v>-69.95</v>
      </c>
      <c r="S158" s="113" t="str">
        <f t="shared" si="9"/>
        <v>#DIV/0!</v>
      </c>
      <c r="T158" s="114"/>
      <c r="U158" s="114"/>
      <c r="V158" s="114"/>
      <c r="W158" s="114"/>
      <c r="X158" s="115"/>
      <c r="Y158" s="98"/>
      <c r="Z158" s="98"/>
    </row>
    <row r="159" hidden="1" outlineLevel="1">
      <c r="A159" s="293"/>
      <c r="B159" s="116"/>
      <c r="C159" s="294" t="s">
        <v>72</v>
      </c>
      <c r="D159" s="298"/>
      <c r="E159" s="296"/>
      <c r="F159" s="296"/>
      <c r="G159" s="104" t="str">
        <f t="shared" si="1"/>
        <v>#DIV/0!</v>
      </c>
      <c r="H159" s="105" t="str">
        <f t="shared" si="2"/>
        <v>#DIV/0!</v>
      </c>
      <c r="I159" s="106" t="str">
        <f t="shared" si="3"/>
        <v>#DIV/0!</v>
      </c>
      <c r="J159" s="120">
        <v>3.92</v>
      </c>
      <c r="K159" s="278">
        <v>2362.0</v>
      </c>
      <c r="L159" s="296"/>
      <c r="M159" s="121">
        <v>0.0</v>
      </c>
      <c r="N159" s="109" t="str">
        <f>(J159/M159)</f>
        <v>#DIV/0!</v>
      </c>
      <c r="O159" s="110">
        <f t="shared" si="5"/>
        <v>0</v>
      </c>
      <c r="P159" s="109" t="str">
        <f t="shared" si="6"/>
        <v>#DIV/0!</v>
      </c>
      <c r="Q159" s="111" t="str">
        <f t="shared" si="7"/>
        <v>#DIV/0!</v>
      </c>
      <c r="R159" s="122">
        <f t="shared" si="93"/>
        <v>0</v>
      </c>
      <c r="S159" s="113" t="str">
        <f t="shared" si="9"/>
        <v>#DIV/0!</v>
      </c>
      <c r="T159" s="114"/>
      <c r="U159" s="114"/>
      <c r="V159" s="114"/>
      <c r="W159" s="114"/>
      <c r="X159" s="115"/>
      <c r="Y159" s="98"/>
      <c r="Z159" s="98"/>
    </row>
    <row r="160" hidden="1" outlineLevel="1">
      <c r="A160" s="293"/>
      <c r="B160" s="116"/>
      <c r="C160" s="294" t="s">
        <v>73</v>
      </c>
      <c r="D160" s="298"/>
      <c r="E160" s="296"/>
      <c r="F160" s="296"/>
      <c r="G160" s="104" t="str">
        <f t="shared" si="1"/>
        <v>#DIV/0!</v>
      </c>
      <c r="H160" s="105" t="str">
        <f t="shared" si="2"/>
        <v>#DIV/0!</v>
      </c>
      <c r="I160" s="106" t="str">
        <f t="shared" si="3"/>
        <v>#DIV/0!</v>
      </c>
      <c r="J160" s="120">
        <v>2.8</v>
      </c>
      <c r="K160" s="278">
        <v>680.0</v>
      </c>
      <c r="L160" s="296"/>
      <c r="M160" s="121">
        <v>0.0</v>
      </c>
      <c r="N160" s="109" t="str">
        <f t="shared" ref="N160:N170" si="94">J160/M160</f>
        <v>#DIV/0!</v>
      </c>
      <c r="O160" s="110">
        <f t="shared" si="5"/>
        <v>0</v>
      </c>
      <c r="P160" s="109" t="str">
        <f t="shared" si="6"/>
        <v>#DIV/0!</v>
      </c>
      <c r="Q160" s="111" t="str">
        <f t="shared" si="7"/>
        <v>#DIV/0!</v>
      </c>
      <c r="R160" s="122">
        <f t="shared" si="93"/>
        <v>0</v>
      </c>
      <c r="S160" s="113" t="str">
        <f t="shared" si="9"/>
        <v>#DIV/0!</v>
      </c>
      <c r="T160" s="114"/>
      <c r="U160" s="114"/>
      <c r="V160" s="114"/>
      <c r="W160" s="114"/>
      <c r="X160" s="115"/>
      <c r="Y160" s="98"/>
      <c r="Z160" s="98"/>
    </row>
    <row r="161" hidden="1" outlineLevel="1">
      <c r="A161" s="293"/>
      <c r="B161" s="116"/>
      <c r="C161" s="294" t="s">
        <v>74</v>
      </c>
      <c r="D161" s="299"/>
      <c r="E161" s="296"/>
      <c r="F161" s="296"/>
      <c r="G161" s="104" t="str">
        <f t="shared" si="1"/>
        <v>#DIV/0!</v>
      </c>
      <c r="H161" s="105" t="str">
        <f t="shared" si="2"/>
        <v>#DIV/0!</v>
      </c>
      <c r="I161" s="106" t="str">
        <f t="shared" si="3"/>
        <v>#DIV/0!</v>
      </c>
      <c r="J161" s="300">
        <v>0.08</v>
      </c>
      <c r="K161" s="278">
        <v>8.0</v>
      </c>
      <c r="L161" s="296"/>
      <c r="M161" s="300">
        <v>0.0</v>
      </c>
      <c r="N161" s="109" t="str">
        <f t="shared" si="94"/>
        <v>#DIV/0!</v>
      </c>
      <c r="O161" s="110">
        <f t="shared" si="5"/>
        <v>0</v>
      </c>
      <c r="P161" s="109" t="str">
        <f t="shared" si="6"/>
        <v>#DIV/0!</v>
      </c>
      <c r="Q161" s="111" t="str">
        <f t="shared" si="7"/>
        <v>#DIV/0!</v>
      </c>
      <c r="R161" s="122">
        <f t="shared" si="93"/>
        <v>0</v>
      </c>
      <c r="S161" s="113" t="str">
        <f t="shared" si="9"/>
        <v>#DIV/0!</v>
      </c>
      <c r="T161" s="114"/>
      <c r="U161" s="114"/>
      <c r="V161" s="114"/>
      <c r="W161" s="114"/>
      <c r="X161" s="115"/>
      <c r="Y161" s="98"/>
      <c r="Z161" s="98"/>
    </row>
    <row r="162" hidden="1" outlineLevel="1">
      <c r="A162" s="293"/>
      <c r="B162" s="116"/>
      <c r="C162" s="294" t="s">
        <v>75</v>
      </c>
      <c r="D162" s="301"/>
      <c r="E162" s="296"/>
      <c r="F162" s="296"/>
      <c r="G162" s="104" t="str">
        <f t="shared" si="1"/>
        <v>#DIV/0!</v>
      </c>
      <c r="H162" s="105" t="str">
        <f t="shared" si="2"/>
        <v>#DIV/0!</v>
      </c>
      <c r="I162" s="106" t="str">
        <f t="shared" si="3"/>
        <v>#DIV/0!</v>
      </c>
      <c r="J162" s="302">
        <v>11.51</v>
      </c>
      <c r="K162" s="278">
        <v>2264.0</v>
      </c>
      <c r="L162" s="296"/>
      <c r="M162" s="303">
        <v>0.0</v>
      </c>
      <c r="N162" s="109" t="str">
        <f t="shared" si="94"/>
        <v>#DIV/0!</v>
      </c>
      <c r="O162" s="110">
        <f t="shared" si="5"/>
        <v>0</v>
      </c>
      <c r="P162" s="109" t="str">
        <f t="shared" si="6"/>
        <v>#DIV/0!</v>
      </c>
      <c r="Q162" s="111" t="str">
        <f t="shared" si="7"/>
        <v>#DIV/0!</v>
      </c>
      <c r="R162" s="304">
        <f t="shared" si="93"/>
        <v>0</v>
      </c>
      <c r="S162" s="113" t="str">
        <f t="shared" si="9"/>
        <v>#DIV/0!</v>
      </c>
      <c r="T162" s="114"/>
      <c r="U162" s="114"/>
      <c r="V162" s="114"/>
      <c r="W162" s="114"/>
      <c r="X162" s="115"/>
      <c r="Y162" s="98"/>
      <c r="Z162" s="98"/>
    </row>
    <row r="163" hidden="1" outlineLevel="1">
      <c r="A163" s="293"/>
      <c r="B163" s="116"/>
      <c r="C163" s="294" t="s">
        <v>76</v>
      </c>
      <c r="D163" s="298"/>
      <c r="E163" s="296"/>
      <c r="F163" s="296"/>
      <c r="G163" s="104" t="str">
        <f t="shared" si="1"/>
        <v>#DIV/0!</v>
      </c>
      <c r="H163" s="105" t="str">
        <f t="shared" si="2"/>
        <v>#DIV/0!</v>
      </c>
      <c r="I163" s="106" t="str">
        <f t="shared" si="3"/>
        <v>#DIV/0!</v>
      </c>
      <c r="J163" s="120">
        <v>19.99</v>
      </c>
      <c r="K163" s="278">
        <v>3369.0</v>
      </c>
      <c r="L163" s="296"/>
      <c r="M163" s="121">
        <v>214.95</v>
      </c>
      <c r="N163" s="109">
        <f t="shared" si="94"/>
        <v>0.09299837171</v>
      </c>
      <c r="O163" s="110">
        <f t="shared" si="5"/>
        <v>10.75287644</v>
      </c>
      <c r="P163" s="109" t="str">
        <f t="shared" si="6"/>
        <v>#DIV/0!</v>
      </c>
      <c r="Q163" s="111" t="str">
        <f t="shared" si="7"/>
        <v>#DIV/0!</v>
      </c>
      <c r="R163" s="122">
        <f t="shared" si="93"/>
        <v>-214.95</v>
      </c>
      <c r="S163" s="113" t="str">
        <f t="shared" si="9"/>
        <v>#DIV/0!</v>
      </c>
      <c r="T163" s="114"/>
      <c r="U163" s="114"/>
      <c r="V163" s="114"/>
      <c r="W163" s="114"/>
      <c r="X163" s="115"/>
      <c r="Y163" s="98"/>
      <c r="Z163" s="98"/>
    </row>
    <row r="164" hidden="1" outlineLevel="1">
      <c r="A164" s="293"/>
      <c r="B164" s="99" t="s">
        <v>37</v>
      </c>
      <c r="C164" s="294" t="s">
        <v>77</v>
      </c>
      <c r="D164" s="305"/>
      <c r="E164" s="296"/>
      <c r="F164" s="296"/>
      <c r="G164" s="104" t="str">
        <f t="shared" si="1"/>
        <v>#DIV/0!</v>
      </c>
      <c r="H164" s="105" t="str">
        <f t="shared" si="2"/>
        <v>#DIV/0!</v>
      </c>
      <c r="I164" s="106" t="str">
        <f t="shared" si="3"/>
        <v>#DIV/0!</v>
      </c>
      <c r="J164" s="123">
        <v>0.12</v>
      </c>
      <c r="K164" s="278">
        <v>11.0</v>
      </c>
      <c r="L164" s="296"/>
      <c r="M164" s="124">
        <v>0.0</v>
      </c>
      <c r="N164" s="109" t="str">
        <f t="shared" si="94"/>
        <v>#DIV/0!</v>
      </c>
      <c r="O164" s="110">
        <f t="shared" si="5"/>
        <v>0</v>
      </c>
      <c r="P164" s="109" t="str">
        <f t="shared" si="6"/>
        <v>#DIV/0!</v>
      </c>
      <c r="Q164" s="111" t="str">
        <f t="shared" si="7"/>
        <v>#DIV/0!</v>
      </c>
      <c r="R164" s="125">
        <f t="shared" si="93"/>
        <v>0</v>
      </c>
      <c r="S164" s="113" t="str">
        <f t="shared" si="9"/>
        <v>#DIV/0!</v>
      </c>
      <c r="T164" s="114"/>
      <c r="U164" s="114"/>
      <c r="V164" s="114"/>
      <c r="W164" s="114"/>
      <c r="X164" s="115"/>
      <c r="Y164" s="98"/>
      <c r="Z164" s="98"/>
    </row>
    <row r="165" hidden="1" outlineLevel="1">
      <c r="A165" s="293"/>
      <c r="B165" s="116"/>
      <c r="C165" s="294" t="s">
        <v>78</v>
      </c>
      <c r="D165" s="306"/>
      <c r="E165" s="296"/>
      <c r="F165" s="296"/>
      <c r="G165" s="104" t="str">
        <f t="shared" si="1"/>
        <v>#DIV/0!</v>
      </c>
      <c r="H165" s="105" t="str">
        <f t="shared" si="2"/>
        <v>#DIV/0!</v>
      </c>
      <c r="I165" s="106" t="str">
        <f t="shared" si="3"/>
        <v>#DIV/0!</v>
      </c>
      <c r="J165" s="126">
        <v>2.1</v>
      </c>
      <c r="K165" s="278">
        <v>1219.0</v>
      </c>
      <c r="L165" s="296"/>
      <c r="M165" s="127">
        <v>0.0</v>
      </c>
      <c r="N165" s="109" t="str">
        <f t="shared" si="94"/>
        <v>#DIV/0!</v>
      </c>
      <c r="O165" s="110">
        <f t="shared" si="5"/>
        <v>0</v>
      </c>
      <c r="P165" s="109" t="str">
        <f t="shared" si="6"/>
        <v>#DIV/0!</v>
      </c>
      <c r="Q165" s="111" t="str">
        <f t="shared" si="7"/>
        <v>#DIV/0!</v>
      </c>
      <c r="R165" s="128">
        <f t="shared" si="93"/>
        <v>0</v>
      </c>
      <c r="S165" s="113" t="str">
        <f t="shared" si="9"/>
        <v>#DIV/0!</v>
      </c>
      <c r="T165" s="114"/>
      <c r="U165" s="114"/>
      <c r="V165" s="114"/>
      <c r="W165" s="114"/>
      <c r="X165" s="115"/>
      <c r="Y165" s="98"/>
      <c r="Z165" s="98"/>
    </row>
    <row r="166" hidden="1" outlineLevel="1">
      <c r="A166" s="293"/>
      <c r="B166" s="116"/>
      <c r="C166" s="294" t="s">
        <v>79</v>
      </c>
      <c r="D166" s="307"/>
      <c r="E166" s="296"/>
      <c r="F166" s="296"/>
      <c r="G166" s="104" t="str">
        <f t="shared" si="1"/>
        <v>#DIV/0!</v>
      </c>
      <c r="H166" s="105" t="str">
        <f t="shared" si="2"/>
        <v>#DIV/0!</v>
      </c>
      <c r="I166" s="106" t="str">
        <f t="shared" si="3"/>
        <v>#DIV/0!</v>
      </c>
      <c r="J166" s="129">
        <v>37.71</v>
      </c>
      <c r="K166" s="278">
        <v>9311.0</v>
      </c>
      <c r="L166" s="296"/>
      <c r="M166" s="130">
        <v>44.95</v>
      </c>
      <c r="N166" s="109">
        <f t="shared" si="94"/>
        <v>0.8389321468</v>
      </c>
      <c r="O166" s="110">
        <f t="shared" si="5"/>
        <v>1.191991514</v>
      </c>
      <c r="P166" s="109" t="str">
        <f t="shared" si="6"/>
        <v>#DIV/0!</v>
      </c>
      <c r="Q166" s="111" t="str">
        <f t="shared" si="7"/>
        <v>#DIV/0!</v>
      </c>
      <c r="R166" s="131">
        <f t="shared" si="93"/>
        <v>-44.95</v>
      </c>
      <c r="S166" s="113" t="str">
        <f t="shared" si="9"/>
        <v>#DIV/0!</v>
      </c>
      <c r="T166" s="114"/>
      <c r="U166" s="114"/>
      <c r="V166" s="114"/>
      <c r="W166" s="114"/>
      <c r="X166" s="115"/>
      <c r="Y166" s="98"/>
      <c r="Z166" s="98"/>
    </row>
    <row r="167" hidden="1" outlineLevel="1">
      <c r="A167" s="310" t="str">
        <f t="shared" ref="A167:A168" si="95">iferror(if(B167&gt;0,month(B167)&amp;"-"&amp;year(B167),B167),)</f>
        <v>5-2025</v>
      </c>
      <c r="B167" s="99">
        <v>45801.0</v>
      </c>
      <c r="C167" s="294" t="s">
        <v>81</v>
      </c>
      <c r="D167" s="311"/>
      <c r="E167" s="296"/>
      <c r="F167" s="296"/>
      <c r="G167" s="104" t="str">
        <f t="shared" si="1"/>
        <v>#DIV/0!</v>
      </c>
      <c r="H167" s="105" t="str">
        <f t="shared" si="2"/>
        <v>#DIV/0!</v>
      </c>
      <c r="I167" s="106" t="str">
        <f t="shared" si="3"/>
        <v>#DIV/0!</v>
      </c>
      <c r="J167" s="117">
        <v>0.0</v>
      </c>
      <c r="K167" s="278">
        <v>0.0</v>
      </c>
      <c r="L167" s="296"/>
      <c r="M167" s="118">
        <v>0.0</v>
      </c>
      <c r="N167" s="109" t="str">
        <f t="shared" si="94"/>
        <v>#DIV/0!</v>
      </c>
      <c r="O167" s="110" t="str">
        <f t="shared" si="5"/>
        <v>#DIV/0!</v>
      </c>
      <c r="P167" s="109" t="str">
        <f t="shared" si="6"/>
        <v>#DIV/0!</v>
      </c>
      <c r="Q167" s="111" t="str">
        <f t="shared" si="7"/>
        <v>#DIV/0!</v>
      </c>
      <c r="R167" s="112">
        <f t="shared" si="93"/>
        <v>0</v>
      </c>
      <c r="S167" s="113" t="str">
        <f t="shared" si="9"/>
        <v>#DIV/0!</v>
      </c>
      <c r="T167" s="114"/>
      <c r="U167" s="114"/>
      <c r="V167" s="114"/>
      <c r="W167" s="114"/>
      <c r="X167" s="115"/>
      <c r="Y167" s="98"/>
      <c r="Z167" s="98"/>
    </row>
    <row r="168" collapsed="1">
      <c r="A168" s="293" t="str">
        <f t="shared" si="95"/>
        <v/>
      </c>
      <c r="B168" s="80" t="s">
        <v>108</v>
      </c>
      <c r="C168" s="312"/>
      <c r="D168" s="151">
        <f t="shared" ref="D168:F168" si="96">SUM(D157:D167)</f>
        <v>0</v>
      </c>
      <c r="E168" s="153">
        <f t="shared" si="96"/>
        <v>0</v>
      </c>
      <c r="F168" s="153">
        <f t="shared" si="96"/>
        <v>0</v>
      </c>
      <c r="G168" s="154" t="str">
        <f t="shared" si="1"/>
        <v>#DIV/0!</v>
      </c>
      <c r="H168" s="155" t="str">
        <f t="shared" si="2"/>
        <v>#DIV/0!</v>
      </c>
      <c r="I168" s="156" t="str">
        <f t="shared" si="3"/>
        <v>#DIV/0!</v>
      </c>
      <c r="J168" s="151">
        <f t="shared" ref="J168:M168" si="97">SUM(J157:J167)</f>
        <v>81.89</v>
      </c>
      <c r="K168" s="313">
        <f t="shared" si="97"/>
        <v>20270</v>
      </c>
      <c r="L168" s="153">
        <f t="shared" si="97"/>
        <v>0</v>
      </c>
      <c r="M168" s="157">
        <f t="shared" si="97"/>
        <v>329.85</v>
      </c>
      <c r="N168" s="158">
        <f t="shared" si="94"/>
        <v>0.2482643626</v>
      </c>
      <c r="O168" s="159">
        <f t="shared" si="5"/>
        <v>4.027964342</v>
      </c>
      <c r="P168" s="158" t="str">
        <f t="shared" si="6"/>
        <v>#DIV/0!</v>
      </c>
      <c r="Q168" s="160" t="str">
        <f t="shared" si="7"/>
        <v>#DIV/0!</v>
      </c>
      <c r="R168" s="161">
        <f>SUM(R157:R167)</f>
        <v>-329.85</v>
      </c>
      <c r="S168" s="162" t="str">
        <f t="shared" si="9"/>
        <v>#DIV/0!</v>
      </c>
      <c r="T168" s="164" t="str">
        <f t="shared" ref="T168:U168" si="98">IFERROR((D168-D48)/D168,)</f>
        <v/>
      </c>
      <c r="U168" s="164" t="str">
        <f t="shared" si="98"/>
        <v/>
      </c>
      <c r="V168" s="164" t="str">
        <f t="shared" ref="V168:W168" si="99">IFERROR((D168-#REF!)/D168, )</f>
        <v/>
      </c>
      <c r="W168" s="164" t="str">
        <f t="shared" si="99"/>
        <v/>
      </c>
      <c r="X168" s="98"/>
      <c r="Y168" s="98"/>
      <c r="Z168" s="98"/>
    </row>
    <row r="169" hidden="1" outlineLevel="1">
      <c r="A169" s="293"/>
      <c r="B169" s="99">
        <v>45802.0</v>
      </c>
      <c r="C169" s="294" t="s">
        <v>70</v>
      </c>
      <c r="D169" s="295"/>
      <c r="E169" s="296"/>
      <c r="F169" s="296"/>
      <c r="G169" s="104" t="str">
        <f t="shared" si="1"/>
        <v>#DIV/0!</v>
      </c>
      <c r="H169" s="105" t="str">
        <f t="shared" si="2"/>
        <v>#DIV/0!</v>
      </c>
      <c r="I169" s="106" t="str">
        <f t="shared" si="3"/>
        <v>#DIV/0!</v>
      </c>
      <c r="J169" s="107">
        <v>1.43</v>
      </c>
      <c r="K169" s="278">
        <v>1310.0</v>
      </c>
      <c r="L169" s="296"/>
      <c r="M169" s="108">
        <v>0.0</v>
      </c>
      <c r="N169" s="109" t="str">
        <f t="shared" si="94"/>
        <v>#DIV/0!</v>
      </c>
      <c r="O169" s="110">
        <f t="shared" si="5"/>
        <v>0</v>
      </c>
      <c r="P169" s="109" t="str">
        <f t="shared" si="6"/>
        <v>#DIV/0!</v>
      </c>
      <c r="Q169" s="111" t="str">
        <f t="shared" si="7"/>
        <v>#DIV/0!</v>
      </c>
      <c r="R169" s="112">
        <f t="shared" ref="R169:R179" si="100">D169-M169</f>
        <v>0</v>
      </c>
      <c r="S169" s="113" t="str">
        <f t="shared" si="9"/>
        <v>#DIV/0!</v>
      </c>
      <c r="T169" s="114"/>
      <c r="U169" s="114"/>
      <c r="V169" s="114"/>
      <c r="W169" s="114"/>
      <c r="X169" s="115"/>
      <c r="Y169" s="98"/>
      <c r="Z169" s="98"/>
    </row>
    <row r="170" hidden="1" outlineLevel="1">
      <c r="A170" s="293"/>
      <c r="B170" s="116"/>
      <c r="C170" s="294" t="s">
        <v>71</v>
      </c>
      <c r="D170" s="297"/>
      <c r="E170" s="296"/>
      <c r="F170" s="296"/>
      <c r="G170" s="104" t="str">
        <f t="shared" si="1"/>
        <v>#DIV/0!</v>
      </c>
      <c r="H170" s="105" t="str">
        <f t="shared" si="2"/>
        <v>#DIV/0!</v>
      </c>
      <c r="I170" s="106" t="str">
        <f t="shared" si="3"/>
        <v>#DIV/0!</v>
      </c>
      <c r="J170" s="117">
        <v>0.0</v>
      </c>
      <c r="K170" s="278">
        <v>0.0</v>
      </c>
      <c r="L170" s="296"/>
      <c r="M170" s="118">
        <v>0.0</v>
      </c>
      <c r="N170" s="109" t="str">
        <f t="shared" si="94"/>
        <v>#DIV/0!</v>
      </c>
      <c r="O170" s="110" t="str">
        <f t="shared" si="5"/>
        <v>#DIV/0!</v>
      </c>
      <c r="P170" s="109" t="str">
        <f t="shared" si="6"/>
        <v>#DIV/0!</v>
      </c>
      <c r="Q170" s="111" t="str">
        <f t="shared" si="7"/>
        <v>#DIV/0!</v>
      </c>
      <c r="R170" s="119">
        <f t="shared" si="100"/>
        <v>0</v>
      </c>
      <c r="S170" s="113" t="str">
        <f t="shared" si="9"/>
        <v>#DIV/0!</v>
      </c>
      <c r="T170" s="114"/>
      <c r="U170" s="114"/>
      <c r="V170" s="114"/>
      <c r="W170" s="114"/>
      <c r="X170" s="115"/>
      <c r="Y170" s="98"/>
      <c r="Z170" s="98"/>
    </row>
    <row r="171" hidden="1" outlineLevel="1">
      <c r="A171" s="293"/>
      <c r="B171" s="116"/>
      <c r="C171" s="294" t="s">
        <v>72</v>
      </c>
      <c r="D171" s="298"/>
      <c r="E171" s="296"/>
      <c r="F171" s="296"/>
      <c r="G171" s="104" t="str">
        <f t="shared" si="1"/>
        <v>#DIV/0!</v>
      </c>
      <c r="H171" s="105" t="str">
        <f t="shared" si="2"/>
        <v>#DIV/0!</v>
      </c>
      <c r="I171" s="106" t="str">
        <f t="shared" si="3"/>
        <v>#DIV/0!</v>
      </c>
      <c r="J171" s="120">
        <v>5.55</v>
      </c>
      <c r="K171" s="278">
        <v>3845.0</v>
      </c>
      <c r="L171" s="296"/>
      <c r="M171" s="121">
        <v>0.0</v>
      </c>
      <c r="N171" s="109" t="str">
        <f>(J171/M171)</f>
        <v>#DIV/0!</v>
      </c>
      <c r="O171" s="110">
        <f t="shared" si="5"/>
        <v>0</v>
      </c>
      <c r="P171" s="109" t="str">
        <f t="shared" si="6"/>
        <v>#DIV/0!</v>
      </c>
      <c r="Q171" s="111" t="str">
        <f t="shared" si="7"/>
        <v>#DIV/0!</v>
      </c>
      <c r="R171" s="122">
        <f t="shared" si="100"/>
        <v>0</v>
      </c>
      <c r="S171" s="113" t="str">
        <f t="shared" si="9"/>
        <v>#DIV/0!</v>
      </c>
      <c r="T171" s="114"/>
      <c r="U171" s="114"/>
      <c r="V171" s="114"/>
      <c r="W171" s="114"/>
      <c r="X171" s="115"/>
      <c r="Y171" s="98"/>
      <c r="Z171" s="98"/>
    </row>
    <row r="172" hidden="1" outlineLevel="1">
      <c r="A172" s="293"/>
      <c r="B172" s="116"/>
      <c r="C172" s="294" t="s">
        <v>73</v>
      </c>
      <c r="D172" s="298"/>
      <c r="E172" s="296"/>
      <c r="F172" s="296"/>
      <c r="G172" s="104" t="str">
        <f t="shared" si="1"/>
        <v>#DIV/0!</v>
      </c>
      <c r="H172" s="105" t="str">
        <f t="shared" si="2"/>
        <v>#DIV/0!</v>
      </c>
      <c r="I172" s="106" t="str">
        <f t="shared" si="3"/>
        <v>#DIV/0!</v>
      </c>
      <c r="J172" s="120">
        <v>5.49</v>
      </c>
      <c r="K172" s="278">
        <v>1825.0</v>
      </c>
      <c r="L172" s="296"/>
      <c r="M172" s="121">
        <v>62.95</v>
      </c>
      <c r="N172" s="109">
        <f t="shared" ref="N172:N182" si="101">J172/M172</f>
        <v>0.08721207307</v>
      </c>
      <c r="O172" s="110">
        <f t="shared" si="5"/>
        <v>11.46630237</v>
      </c>
      <c r="P172" s="109" t="str">
        <f t="shared" si="6"/>
        <v>#DIV/0!</v>
      </c>
      <c r="Q172" s="111" t="str">
        <f t="shared" si="7"/>
        <v>#DIV/0!</v>
      </c>
      <c r="R172" s="122">
        <f t="shared" si="100"/>
        <v>-62.95</v>
      </c>
      <c r="S172" s="113" t="str">
        <f t="shared" si="9"/>
        <v>#DIV/0!</v>
      </c>
      <c r="T172" s="114"/>
      <c r="U172" s="114"/>
      <c r="V172" s="114"/>
      <c r="W172" s="114"/>
      <c r="X172" s="115"/>
      <c r="Y172" s="98"/>
      <c r="Z172" s="98"/>
    </row>
    <row r="173" hidden="1" outlineLevel="1">
      <c r="A173" s="293"/>
      <c r="B173" s="116"/>
      <c r="C173" s="294" t="s">
        <v>74</v>
      </c>
      <c r="D173" s="299"/>
      <c r="E173" s="296"/>
      <c r="F173" s="296"/>
      <c r="G173" s="104" t="str">
        <f t="shared" si="1"/>
        <v>#DIV/0!</v>
      </c>
      <c r="H173" s="105" t="str">
        <f t="shared" si="2"/>
        <v>#DIV/0!</v>
      </c>
      <c r="I173" s="106" t="str">
        <f t="shared" si="3"/>
        <v>#DIV/0!</v>
      </c>
      <c r="J173" s="300">
        <v>0.0</v>
      </c>
      <c r="K173" s="278">
        <v>0.0</v>
      </c>
      <c r="L173" s="296"/>
      <c r="M173" s="300">
        <v>0.0</v>
      </c>
      <c r="N173" s="109" t="str">
        <f t="shared" si="101"/>
        <v>#DIV/0!</v>
      </c>
      <c r="O173" s="110" t="str">
        <f t="shared" si="5"/>
        <v>#DIV/0!</v>
      </c>
      <c r="P173" s="109" t="str">
        <f t="shared" si="6"/>
        <v>#DIV/0!</v>
      </c>
      <c r="Q173" s="111" t="str">
        <f t="shared" si="7"/>
        <v>#DIV/0!</v>
      </c>
      <c r="R173" s="122">
        <f t="shared" si="100"/>
        <v>0</v>
      </c>
      <c r="S173" s="113" t="str">
        <f t="shared" si="9"/>
        <v>#DIV/0!</v>
      </c>
      <c r="T173" s="114"/>
      <c r="U173" s="114"/>
      <c r="V173" s="114"/>
      <c r="W173" s="114"/>
      <c r="X173" s="115"/>
      <c r="Y173" s="98"/>
      <c r="Z173" s="98"/>
    </row>
    <row r="174" hidden="1" outlineLevel="1">
      <c r="A174" s="293"/>
      <c r="B174" s="116"/>
      <c r="C174" s="294" t="s">
        <v>75</v>
      </c>
      <c r="D174" s="301"/>
      <c r="E174" s="296"/>
      <c r="F174" s="296"/>
      <c r="G174" s="104" t="str">
        <f t="shared" si="1"/>
        <v>#DIV/0!</v>
      </c>
      <c r="H174" s="105" t="str">
        <f t="shared" si="2"/>
        <v>#DIV/0!</v>
      </c>
      <c r="I174" s="106" t="str">
        <f t="shared" si="3"/>
        <v>#DIV/0!</v>
      </c>
      <c r="J174" s="302">
        <v>10.19</v>
      </c>
      <c r="K174" s="278">
        <v>2715.0</v>
      </c>
      <c r="L174" s="296"/>
      <c r="M174" s="303">
        <v>0.0</v>
      </c>
      <c r="N174" s="109" t="str">
        <f t="shared" si="101"/>
        <v>#DIV/0!</v>
      </c>
      <c r="O174" s="110">
        <f t="shared" si="5"/>
        <v>0</v>
      </c>
      <c r="P174" s="109" t="str">
        <f t="shared" si="6"/>
        <v>#DIV/0!</v>
      </c>
      <c r="Q174" s="111" t="str">
        <f t="shared" si="7"/>
        <v>#DIV/0!</v>
      </c>
      <c r="R174" s="304">
        <f t="shared" si="100"/>
        <v>0</v>
      </c>
      <c r="S174" s="113" t="str">
        <f t="shared" si="9"/>
        <v>#DIV/0!</v>
      </c>
      <c r="T174" s="114"/>
      <c r="U174" s="114"/>
      <c r="V174" s="114"/>
      <c r="W174" s="114"/>
      <c r="X174" s="115"/>
      <c r="Y174" s="98"/>
      <c r="Z174" s="98"/>
    </row>
    <row r="175" hidden="1" outlineLevel="1">
      <c r="A175" s="293"/>
      <c r="B175" s="116"/>
      <c r="C175" s="294" t="s">
        <v>76</v>
      </c>
      <c r="D175" s="298"/>
      <c r="E175" s="296"/>
      <c r="F175" s="296"/>
      <c r="G175" s="104" t="str">
        <f t="shared" si="1"/>
        <v>#DIV/0!</v>
      </c>
      <c r="H175" s="105" t="str">
        <f t="shared" si="2"/>
        <v>#DIV/0!</v>
      </c>
      <c r="I175" s="106" t="str">
        <f t="shared" si="3"/>
        <v>#DIV/0!</v>
      </c>
      <c r="J175" s="120">
        <v>27.35</v>
      </c>
      <c r="K175" s="278">
        <v>5217.0</v>
      </c>
      <c r="L175" s="296"/>
      <c r="M175" s="121">
        <v>139.9</v>
      </c>
      <c r="N175" s="109">
        <f t="shared" si="101"/>
        <v>0.1954967834</v>
      </c>
      <c r="O175" s="110">
        <f t="shared" si="5"/>
        <v>5.115173675</v>
      </c>
      <c r="P175" s="109" t="str">
        <f t="shared" si="6"/>
        <v>#DIV/0!</v>
      </c>
      <c r="Q175" s="111" t="str">
        <f t="shared" si="7"/>
        <v>#DIV/0!</v>
      </c>
      <c r="R175" s="122">
        <f t="shared" si="100"/>
        <v>-139.9</v>
      </c>
      <c r="S175" s="113" t="str">
        <f t="shared" si="9"/>
        <v>#DIV/0!</v>
      </c>
      <c r="T175" s="114"/>
      <c r="U175" s="114"/>
      <c r="V175" s="114"/>
      <c r="W175" s="114"/>
      <c r="X175" s="115"/>
      <c r="Y175" s="98"/>
      <c r="Z175" s="98"/>
    </row>
    <row r="176" hidden="1" outlineLevel="1">
      <c r="A176" s="293"/>
      <c r="B176" s="99" t="s">
        <v>37</v>
      </c>
      <c r="C176" s="294" t="s">
        <v>77</v>
      </c>
      <c r="D176" s="305"/>
      <c r="E176" s="296"/>
      <c r="F176" s="296"/>
      <c r="G176" s="104" t="str">
        <f t="shared" si="1"/>
        <v>#DIV/0!</v>
      </c>
      <c r="H176" s="105" t="str">
        <f t="shared" si="2"/>
        <v>#DIV/0!</v>
      </c>
      <c r="I176" s="106" t="str">
        <f t="shared" si="3"/>
        <v>#DIV/0!</v>
      </c>
      <c r="J176" s="123">
        <v>1.56</v>
      </c>
      <c r="K176" s="278">
        <v>988.0</v>
      </c>
      <c r="L176" s="296"/>
      <c r="M176" s="124">
        <v>0.0</v>
      </c>
      <c r="N176" s="109" t="str">
        <f t="shared" si="101"/>
        <v>#DIV/0!</v>
      </c>
      <c r="O176" s="110">
        <f t="shared" si="5"/>
        <v>0</v>
      </c>
      <c r="P176" s="109" t="str">
        <f t="shared" si="6"/>
        <v>#DIV/0!</v>
      </c>
      <c r="Q176" s="111" t="str">
        <f t="shared" si="7"/>
        <v>#DIV/0!</v>
      </c>
      <c r="R176" s="125">
        <f t="shared" si="100"/>
        <v>0</v>
      </c>
      <c r="S176" s="113" t="str">
        <f t="shared" si="9"/>
        <v>#DIV/0!</v>
      </c>
      <c r="T176" s="114"/>
      <c r="U176" s="114"/>
      <c r="V176" s="114"/>
      <c r="W176" s="114"/>
      <c r="X176" s="115"/>
      <c r="Y176" s="98"/>
      <c r="Z176" s="98"/>
    </row>
    <row r="177" hidden="1" outlineLevel="1">
      <c r="A177" s="293"/>
      <c r="B177" s="116"/>
      <c r="C177" s="294" t="s">
        <v>78</v>
      </c>
      <c r="D177" s="306"/>
      <c r="E177" s="296"/>
      <c r="F177" s="296"/>
      <c r="G177" s="104" t="str">
        <f t="shared" si="1"/>
        <v>#DIV/0!</v>
      </c>
      <c r="H177" s="105" t="str">
        <f t="shared" si="2"/>
        <v>#DIV/0!</v>
      </c>
      <c r="I177" s="106" t="str">
        <f t="shared" si="3"/>
        <v>#DIV/0!</v>
      </c>
      <c r="J177" s="126">
        <v>32.83</v>
      </c>
      <c r="K177" s="278">
        <v>10514.0</v>
      </c>
      <c r="L177" s="296"/>
      <c r="M177" s="127">
        <v>394.0</v>
      </c>
      <c r="N177" s="109">
        <f t="shared" si="101"/>
        <v>0.0833248731</v>
      </c>
      <c r="O177" s="110">
        <f t="shared" si="5"/>
        <v>12.0012184</v>
      </c>
      <c r="P177" s="109" t="str">
        <f t="shared" si="6"/>
        <v>#DIV/0!</v>
      </c>
      <c r="Q177" s="111" t="str">
        <f t="shared" si="7"/>
        <v>#DIV/0!</v>
      </c>
      <c r="R177" s="128">
        <f t="shared" si="100"/>
        <v>-394</v>
      </c>
      <c r="S177" s="113" t="str">
        <f t="shared" si="9"/>
        <v>#DIV/0!</v>
      </c>
      <c r="T177" s="114"/>
      <c r="U177" s="114"/>
      <c r="V177" s="114"/>
      <c r="W177" s="114"/>
      <c r="X177" s="115"/>
      <c r="Y177" s="98"/>
      <c r="Z177" s="98"/>
    </row>
    <row r="178" hidden="1" outlineLevel="1">
      <c r="A178" s="293"/>
      <c r="B178" s="116"/>
      <c r="C178" s="294" t="s">
        <v>79</v>
      </c>
      <c r="D178" s="307"/>
      <c r="E178" s="296"/>
      <c r="F178" s="296"/>
      <c r="G178" s="104" t="str">
        <f t="shared" si="1"/>
        <v>#DIV/0!</v>
      </c>
      <c r="H178" s="105" t="str">
        <f t="shared" si="2"/>
        <v>#DIV/0!</v>
      </c>
      <c r="I178" s="106" t="str">
        <f t="shared" si="3"/>
        <v>#DIV/0!</v>
      </c>
      <c r="J178" s="129">
        <v>22.67</v>
      </c>
      <c r="K178" s="278">
        <v>8372.0</v>
      </c>
      <c r="L178" s="296"/>
      <c r="M178" s="130">
        <v>0.0</v>
      </c>
      <c r="N178" s="109" t="str">
        <f t="shared" si="101"/>
        <v>#DIV/0!</v>
      </c>
      <c r="O178" s="110">
        <f t="shared" si="5"/>
        <v>0</v>
      </c>
      <c r="P178" s="109" t="str">
        <f t="shared" si="6"/>
        <v>#DIV/0!</v>
      </c>
      <c r="Q178" s="111" t="str">
        <f t="shared" si="7"/>
        <v>#DIV/0!</v>
      </c>
      <c r="R178" s="131">
        <f t="shared" si="100"/>
        <v>0</v>
      </c>
      <c r="S178" s="113" t="str">
        <f t="shared" si="9"/>
        <v>#DIV/0!</v>
      </c>
      <c r="T178" s="114"/>
      <c r="U178" s="114"/>
      <c r="V178" s="114"/>
      <c r="W178" s="114"/>
      <c r="X178" s="115"/>
      <c r="Y178" s="98"/>
      <c r="Z178" s="98"/>
    </row>
    <row r="179" hidden="1" outlineLevel="1">
      <c r="A179" s="310" t="str">
        <f t="shared" ref="A179:A180" si="102">iferror(if(B179&gt;0,month(B179)&amp;"-"&amp;year(B179),B179),)</f>
        <v>5-2025</v>
      </c>
      <c r="B179" s="99">
        <v>45808.0</v>
      </c>
      <c r="C179" s="294" t="s">
        <v>81</v>
      </c>
      <c r="D179" s="311"/>
      <c r="E179" s="296"/>
      <c r="F179" s="296"/>
      <c r="G179" s="104" t="str">
        <f t="shared" si="1"/>
        <v>#DIV/0!</v>
      </c>
      <c r="H179" s="105" t="str">
        <f t="shared" si="2"/>
        <v>#DIV/0!</v>
      </c>
      <c r="I179" s="106" t="str">
        <f t="shared" si="3"/>
        <v>#DIV/0!</v>
      </c>
      <c r="J179" s="117">
        <v>0.0</v>
      </c>
      <c r="K179" s="278">
        <v>0.0</v>
      </c>
      <c r="L179" s="296"/>
      <c r="M179" s="118">
        <v>0.0</v>
      </c>
      <c r="N179" s="109" t="str">
        <f t="shared" si="101"/>
        <v>#DIV/0!</v>
      </c>
      <c r="O179" s="110" t="str">
        <f t="shared" si="5"/>
        <v>#DIV/0!</v>
      </c>
      <c r="P179" s="109" t="str">
        <f t="shared" si="6"/>
        <v>#DIV/0!</v>
      </c>
      <c r="Q179" s="111" t="str">
        <f t="shared" si="7"/>
        <v>#DIV/0!</v>
      </c>
      <c r="R179" s="112">
        <f t="shared" si="100"/>
        <v>0</v>
      </c>
      <c r="S179" s="113" t="str">
        <f t="shared" si="9"/>
        <v>#DIV/0!</v>
      </c>
      <c r="T179" s="114"/>
      <c r="U179" s="114"/>
      <c r="V179" s="114"/>
      <c r="W179" s="114"/>
      <c r="X179" s="115"/>
      <c r="Y179" s="98"/>
      <c r="Z179" s="98"/>
    </row>
    <row r="180" collapsed="1">
      <c r="A180" s="293" t="str">
        <f t="shared" si="102"/>
        <v/>
      </c>
      <c r="B180" s="80" t="s">
        <v>109</v>
      </c>
      <c r="C180" s="312"/>
      <c r="D180" s="151">
        <f t="shared" ref="D180:F180" si="103">SUM(D169:D179)</f>
        <v>0</v>
      </c>
      <c r="E180" s="153">
        <f t="shared" si="103"/>
        <v>0</v>
      </c>
      <c r="F180" s="153">
        <f t="shared" si="103"/>
        <v>0</v>
      </c>
      <c r="G180" s="154" t="str">
        <f t="shared" si="1"/>
        <v>#DIV/0!</v>
      </c>
      <c r="H180" s="155" t="str">
        <f t="shared" si="2"/>
        <v>#DIV/0!</v>
      </c>
      <c r="I180" s="156" t="str">
        <f t="shared" si="3"/>
        <v>#DIV/0!</v>
      </c>
      <c r="J180" s="151">
        <f t="shared" ref="J180:M180" si="104">SUM(J169:J179)</f>
        <v>107.07</v>
      </c>
      <c r="K180" s="313">
        <f t="shared" si="104"/>
        <v>34786</v>
      </c>
      <c r="L180" s="153">
        <f t="shared" si="104"/>
        <v>0</v>
      </c>
      <c r="M180" s="157">
        <f t="shared" si="104"/>
        <v>596.85</v>
      </c>
      <c r="N180" s="158">
        <f t="shared" si="101"/>
        <v>0.179391807</v>
      </c>
      <c r="O180" s="159">
        <f t="shared" si="5"/>
        <v>5.574390586</v>
      </c>
      <c r="P180" s="158" t="str">
        <f t="shared" si="6"/>
        <v>#DIV/0!</v>
      </c>
      <c r="Q180" s="160" t="str">
        <f t="shared" si="7"/>
        <v>#DIV/0!</v>
      </c>
      <c r="R180" s="161">
        <f>SUM(R169:R179)</f>
        <v>-596.85</v>
      </c>
      <c r="S180" s="162" t="str">
        <f t="shared" si="9"/>
        <v>#DIV/0!</v>
      </c>
      <c r="T180" s="164" t="str">
        <f t="shared" ref="T180:U180" si="105">IFERROR((D180-D48)/D180,)</f>
        <v/>
      </c>
      <c r="U180" s="164" t="str">
        <f t="shared" si="105"/>
        <v/>
      </c>
      <c r="V180" s="164" t="str">
        <f t="shared" ref="V180:W180" si="106">IFERROR((D180-#REF!)/D180, )</f>
        <v/>
      </c>
      <c r="W180" s="164" t="str">
        <f t="shared" si="106"/>
        <v/>
      </c>
      <c r="X180" s="98"/>
      <c r="Y180" s="98"/>
      <c r="Z180" s="98"/>
    </row>
    <row r="181" hidden="1" outlineLevel="1">
      <c r="A181" s="293"/>
      <c r="B181" s="99">
        <v>45809.0</v>
      </c>
      <c r="C181" s="294" t="s">
        <v>70</v>
      </c>
      <c r="D181" s="295"/>
      <c r="E181" s="296"/>
      <c r="F181" s="296"/>
      <c r="G181" s="104" t="str">
        <f t="shared" si="1"/>
        <v>#DIV/0!</v>
      </c>
      <c r="H181" s="105" t="str">
        <f t="shared" si="2"/>
        <v>#DIV/0!</v>
      </c>
      <c r="I181" s="106" t="str">
        <f t="shared" si="3"/>
        <v>#DIV/0!</v>
      </c>
      <c r="J181" s="107">
        <v>0.51</v>
      </c>
      <c r="K181" s="278">
        <v>1035.0</v>
      </c>
      <c r="L181" s="296"/>
      <c r="M181" s="108">
        <v>0.0</v>
      </c>
      <c r="N181" s="109" t="str">
        <f t="shared" si="101"/>
        <v>#DIV/0!</v>
      </c>
      <c r="O181" s="110">
        <f t="shared" si="5"/>
        <v>0</v>
      </c>
      <c r="P181" s="109" t="str">
        <f t="shared" si="6"/>
        <v>#DIV/0!</v>
      </c>
      <c r="Q181" s="111" t="str">
        <f t="shared" si="7"/>
        <v>#DIV/0!</v>
      </c>
      <c r="R181" s="112">
        <f t="shared" ref="R181:R191" si="107">D181-M181</f>
        <v>0</v>
      </c>
      <c r="S181" s="113" t="str">
        <f t="shared" si="9"/>
        <v>#DIV/0!</v>
      </c>
      <c r="T181" s="114"/>
      <c r="U181" s="114"/>
      <c r="V181" s="114"/>
      <c r="W181" s="114"/>
      <c r="X181" s="115"/>
      <c r="Y181" s="98"/>
      <c r="Z181" s="98"/>
    </row>
    <row r="182" hidden="1" outlineLevel="1">
      <c r="A182" s="293"/>
      <c r="B182" s="116"/>
      <c r="C182" s="294" t="s">
        <v>71</v>
      </c>
      <c r="D182" s="297"/>
      <c r="E182" s="296"/>
      <c r="F182" s="296"/>
      <c r="G182" s="104" t="str">
        <f t="shared" si="1"/>
        <v>#DIV/0!</v>
      </c>
      <c r="H182" s="105" t="str">
        <f t="shared" si="2"/>
        <v>#DIV/0!</v>
      </c>
      <c r="I182" s="106" t="str">
        <f t="shared" si="3"/>
        <v>#DIV/0!</v>
      </c>
      <c r="J182" s="117">
        <v>10.44</v>
      </c>
      <c r="K182" s="278">
        <v>2782.0</v>
      </c>
      <c r="L182" s="296"/>
      <c r="M182" s="118">
        <v>0.0</v>
      </c>
      <c r="N182" s="109" t="str">
        <f t="shared" si="101"/>
        <v>#DIV/0!</v>
      </c>
      <c r="O182" s="110">
        <f t="shared" si="5"/>
        <v>0</v>
      </c>
      <c r="P182" s="109" t="str">
        <f t="shared" si="6"/>
        <v>#DIV/0!</v>
      </c>
      <c r="Q182" s="111" t="str">
        <f t="shared" si="7"/>
        <v>#DIV/0!</v>
      </c>
      <c r="R182" s="119">
        <f t="shared" si="107"/>
        <v>0</v>
      </c>
      <c r="S182" s="113" t="str">
        <f t="shared" si="9"/>
        <v>#DIV/0!</v>
      </c>
      <c r="T182" s="114"/>
      <c r="U182" s="114"/>
      <c r="V182" s="114"/>
      <c r="W182" s="114"/>
      <c r="X182" s="115"/>
      <c r="Y182" s="98"/>
      <c r="Z182" s="98"/>
    </row>
    <row r="183" hidden="1" outlineLevel="1">
      <c r="A183" s="293"/>
      <c r="B183" s="116"/>
      <c r="C183" s="294" t="s">
        <v>72</v>
      </c>
      <c r="D183" s="298"/>
      <c r="E183" s="296"/>
      <c r="F183" s="296"/>
      <c r="G183" s="104" t="str">
        <f t="shared" si="1"/>
        <v>#DIV/0!</v>
      </c>
      <c r="H183" s="105" t="str">
        <f t="shared" si="2"/>
        <v>#DIV/0!</v>
      </c>
      <c r="I183" s="106" t="str">
        <f t="shared" si="3"/>
        <v>#DIV/0!</v>
      </c>
      <c r="J183" s="120">
        <v>67.05</v>
      </c>
      <c r="K183" s="278">
        <v>6170.0</v>
      </c>
      <c r="L183" s="296"/>
      <c r="M183" s="121">
        <v>109.98</v>
      </c>
      <c r="N183" s="109">
        <f>(J183/M183)</f>
        <v>0.6096563011</v>
      </c>
      <c r="O183" s="110">
        <f t="shared" si="5"/>
        <v>1.640268456</v>
      </c>
      <c r="P183" s="109" t="str">
        <f t="shared" si="6"/>
        <v>#DIV/0!</v>
      </c>
      <c r="Q183" s="111" t="str">
        <f t="shared" si="7"/>
        <v>#DIV/0!</v>
      </c>
      <c r="R183" s="122">
        <f t="shared" si="107"/>
        <v>-109.98</v>
      </c>
      <c r="S183" s="113" t="str">
        <f t="shared" si="9"/>
        <v>#DIV/0!</v>
      </c>
      <c r="T183" s="114"/>
      <c r="U183" s="114"/>
      <c r="V183" s="114"/>
      <c r="W183" s="114"/>
      <c r="X183" s="115"/>
      <c r="Y183" s="98"/>
      <c r="Z183" s="98"/>
    </row>
    <row r="184" hidden="1" outlineLevel="1">
      <c r="A184" s="293"/>
      <c r="B184" s="116"/>
      <c r="C184" s="294" t="s">
        <v>73</v>
      </c>
      <c r="D184" s="298"/>
      <c r="E184" s="296"/>
      <c r="F184" s="296"/>
      <c r="G184" s="104" t="str">
        <f t="shared" si="1"/>
        <v>#DIV/0!</v>
      </c>
      <c r="H184" s="105" t="str">
        <f t="shared" si="2"/>
        <v>#DIV/0!</v>
      </c>
      <c r="I184" s="106" t="str">
        <f t="shared" si="3"/>
        <v>#DIV/0!</v>
      </c>
      <c r="J184" s="120">
        <v>19.39</v>
      </c>
      <c r="K184" s="278">
        <v>5749.0</v>
      </c>
      <c r="L184" s="296"/>
      <c r="M184" s="121">
        <v>59.95</v>
      </c>
      <c r="N184" s="109">
        <f t="shared" ref="N184:N194" si="108">J184/M184</f>
        <v>0.3234361968</v>
      </c>
      <c r="O184" s="110">
        <f t="shared" si="5"/>
        <v>3.091799897</v>
      </c>
      <c r="P184" s="109" t="str">
        <f t="shared" si="6"/>
        <v>#DIV/0!</v>
      </c>
      <c r="Q184" s="111" t="str">
        <f t="shared" si="7"/>
        <v>#DIV/0!</v>
      </c>
      <c r="R184" s="122">
        <f t="shared" si="107"/>
        <v>-59.95</v>
      </c>
      <c r="S184" s="113" t="str">
        <f t="shared" si="9"/>
        <v>#DIV/0!</v>
      </c>
      <c r="T184" s="114"/>
      <c r="U184" s="114"/>
      <c r="V184" s="114"/>
      <c r="W184" s="114"/>
      <c r="X184" s="115"/>
      <c r="Y184" s="98"/>
      <c r="Z184" s="98"/>
    </row>
    <row r="185" hidden="1" outlineLevel="1">
      <c r="A185" s="293"/>
      <c r="B185" s="116"/>
      <c r="C185" s="294" t="s">
        <v>74</v>
      </c>
      <c r="D185" s="299"/>
      <c r="E185" s="296"/>
      <c r="F185" s="296"/>
      <c r="G185" s="104" t="str">
        <f t="shared" si="1"/>
        <v>#DIV/0!</v>
      </c>
      <c r="H185" s="105" t="str">
        <f t="shared" si="2"/>
        <v>#DIV/0!</v>
      </c>
      <c r="I185" s="106" t="str">
        <f t="shared" si="3"/>
        <v>#DIV/0!</v>
      </c>
      <c r="J185" s="300">
        <v>0.0</v>
      </c>
      <c r="K185" s="278">
        <v>0.0</v>
      </c>
      <c r="L185" s="296"/>
      <c r="M185" s="300">
        <v>0.0</v>
      </c>
      <c r="N185" s="109" t="str">
        <f t="shared" si="108"/>
        <v>#DIV/0!</v>
      </c>
      <c r="O185" s="110" t="str">
        <f t="shared" si="5"/>
        <v>#DIV/0!</v>
      </c>
      <c r="P185" s="109" t="str">
        <f t="shared" si="6"/>
        <v>#DIV/0!</v>
      </c>
      <c r="Q185" s="111" t="str">
        <f t="shared" si="7"/>
        <v>#DIV/0!</v>
      </c>
      <c r="R185" s="122">
        <f t="shared" si="107"/>
        <v>0</v>
      </c>
      <c r="S185" s="113" t="str">
        <f t="shared" si="9"/>
        <v>#DIV/0!</v>
      </c>
      <c r="T185" s="114"/>
      <c r="U185" s="114"/>
      <c r="V185" s="114"/>
      <c r="W185" s="114"/>
      <c r="X185" s="115"/>
      <c r="Y185" s="98"/>
      <c r="Z185" s="98"/>
    </row>
    <row r="186" hidden="1" outlineLevel="1">
      <c r="A186" s="293"/>
      <c r="B186" s="116"/>
      <c r="C186" s="294" t="s">
        <v>75</v>
      </c>
      <c r="D186" s="301"/>
      <c r="E186" s="296"/>
      <c r="F186" s="296"/>
      <c r="G186" s="104" t="str">
        <f t="shared" si="1"/>
        <v>#DIV/0!</v>
      </c>
      <c r="H186" s="105" t="str">
        <f t="shared" si="2"/>
        <v>#DIV/0!</v>
      </c>
      <c r="I186" s="106" t="str">
        <f t="shared" si="3"/>
        <v>#DIV/0!</v>
      </c>
      <c r="J186" s="302">
        <v>9.21</v>
      </c>
      <c r="K186" s="278">
        <v>2118.0</v>
      </c>
      <c r="L186" s="296"/>
      <c r="M186" s="303">
        <v>0.0</v>
      </c>
      <c r="N186" s="109" t="str">
        <f t="shared" si="108"/>
        <v>#DIV/0!</v>
      </c>
      <c r="O186" s="110">
        <f t="shared" si="5"/>
        <v>0</v>
      </c>
      <c r="P186" s="109" t="str">
        <f t="shared" si="6"/>
        <v>#DIV/0!</v>
      </c>
      <c r="Q186" s="111" t="str">
        <f t="shared" si="7"/>
        <v>#DIV/0!</v>
      </c>
      <c r="R186" s="304">
        <f t="shared" si="107"/>
        <v>0</v>
      </c>
      <c r="S186" s="113" t="str">
        <f t="shared" si="9"/>
        <v>#DIV/0!</v>
      </c>
      <c r="T186" s="114"/>
      <c r="U186" s="114"/>
      <c r="V186" s="114"/>
      <c r="W186" s="114"/>
      <c r="X186" s="115"/>
      <c r="Y186" s="98"/>
      <c r="Z186" s="98"/>
    </row>
    <row r="187" hidden="1" outlineLevel="1">
      <c r="A187" s="293"/>
      <c r="B187" s="116"/>
      <c r="C187" s="294" t="s">
        <v>76</v>
      </c>
      <c r="D187" s="298"/>
      <c r="E187" s="296"/>
      <c r="F187" s="296"/>
      <c r="G187" s="104" t="str">
        <f t="shared" si="1"/>
        <v>#DIV/0!</v>
      </c>
      <c r="H187" s="105" t="str">
        <f t="shared" si="2"/>
        <v>#DIV/0!</v>
      </c>
      <c r="I187" s="106" t="str">
        <f t="shared" si="3"/>
        <v>#DIV/0!</v>
      </c>
      <c r="J187" s="120">
        <v>34.04</v>
      </c>
      <c r="K187" s="278">
        <v>5591.0</v>
      </c>
      <c r="L187" s="296"/>
      <c r="M187" s="121">
        <v>69.95</v>
      </c>
      <c r="N187" s="109">
        <f t="shared" si="108"/>
        <v>0.4866333095</v>
      </c>
      <c r="O187" s="110">
        <f t="shared" si="5"/>
        <v>2.05493537</v>
      </c>
      <c r="P187" s="109" t="str">
        <f t="shared" si="6"/>
        <v>#DIV/0!</v>
      </c>
      <c r="Q187" s="111" t="str">
        <f t="shared" si="7"/>
        <v>#DIV/0!</v>
      </c>
      <c r="R187" s="122">
        <f t="shared" si="107"/>
        <v>-69.95</v>
      </c>
      <c r="S187" s="113" t="str">
        <f t="shared" si="9"/>
        <v>#DIV/0!</v>
      </c>
      <c r="T187" s="114"/>
      <c r="U187" s="114"/>
      <c r="V187" s="114"/>
      <c r="W187" s="114"/>
      <c r="X187" s="115"/>
      <c r="Y187" s="98"/>
      <c r="Z187" s="98"/>
    </row>
    <row r="188" hidden="1" outlineLevel="1">
      <c r="A188" s="293"/>
      <c r="B188" s="99" t="s">
        <v>37</v>
      </c>
      <c r="C188" s="294" t="s">
        <v>77</v>
      </c>
      <c r="D188" s="305"/>
      <c r="E188" s="296"/>
      <c r="F188" s="296"/>
      <c r="G188" s="104" t="str">
        <f t="shared" si="1"/>
        <v>#DIV/0!</v>
      </c>
      <c r="H188" s="105" t="str">
        <f t="shared" si="2"/>
        <v>#DIV/0!</v>
      </c>
      <c r="I188" s="106" t="str">
        <f t="shared" si="3"/>
        <v>#DIV/0!</v>
      </c>
      <c r="J188" s="123">
        <v>19.79</v>
      </c>
      <c r="K188" s="278">
        <v>7205.0</v>
      </c>
      <c r="L188" s="296"/>
      <c r="M188" s="124">
        <v>180.0</v>
      </c>
      <c r="N188" s="109">
        <f t="shared" si="108"/>
        <v>0.1099444444</v>
      </c>
      <c r="O188" s="110">
        <f t="shared" si="5"/>
        <v>9.095502779</v>
      </c>
      <c r="P188" s="109" t="str">
        <f t="shared" si="6"/>
        <v>#DIV/0!</v>
      </c>
      <c r="Q188" s="111" t="str">
        <f t="shared" si="7"/>
        <v>#DIV/0!</v>
      </c>
      <c r="R188" s="125">
        <f t="shared" si="107"/>
        <v>-180</v>
      </c>
      <c r="S188" s="113" t="str">
        <f t="shared" si="9"/>
        <v>#DIV/0!</v>
      </c>
      <c r="T188" s="114"/>
      <c r="U188" s="114"/>
      <c r="V188" s="114"/>
      <c r="W188" s="114"/>
      <c r="X188" s="115"/>
      <c r="Y188" s="98"/>
      <c r="Z188" s="98"/>
    </row>
    <row r="189" hidden="1" outlineLevel="1">
      <c r="A189" s="293"/>
      <c r="B189" s="116"/>
      <c r="C189" s="294" t="s">
        <v>78</v>
      </c>
      <c r="D189" s="306"/>
      <c r="E189" s="296"/>
      <c r="F189" s="296"/>
      <c r="G189" s="104" t="str">
        <f t="shared" si="1"/>
        <v>#DIV/0!</v>
      </c>
      <c r="H189" s="105" t="str">
        <f t="shared" si="2"/>
        <v>#DIV/0!</v>
      </c>
      <c r="I189" s="106" t="str">
        <f t="shared" si="3"/>
        <v>#DIV/0!</v>
      </c>
      <c r="J189" s="126">
        <v>154.78</v>
      </c>
      <c r="K189" s="278">
        <v>30068.0</v>
      </c>
      <c r="L189" s="296"/>
      <c r="M189" s="127">
        <v>0.0</v>
      </c>
      <c r="N189" s="109" t="str">
        <f t="shared" si="108"/>
        <v>#DIV/0!</v>
      </c>
      <c r="O189" s="110">
        <f t="shared" si="5"/>
        <v>0</v>
      </c>
      <c r="P189" s="109" t="str">
        <f t="shared" si="6"/>
        <v>#DIV/0!</v>
      </c>
      <c r="Q189" s="111" t="str">
        <f t="shared" si="7"/>
        <v>#DIV/0!</v>
      </c>
      <c r="R189" s="128">
        <f t="shared" si="107"/>
        <v>0</v>
      </c>
      <c r="S189" s="113" t="str">
        <f t="shared" si="9"/>
        <v>#DIV/0!</v>
      </c>
      <c r="T189" s="114"/>
      <c r="U189" s="114"/>
      <c r="V189" s="114"/>
      <c r="W189" s="114"/>
      <c r="X189" s="115"/>
      <c r="Y189" s="98"/>
      <c r="Z189" s="98"/>
    </row>
    <row r="190" hidden="1" outlineLevel="1">
      <c r="A190" s="293"/>
      <c r="B190" s="116"/>
      <c r="C190" s="294" t="s">
        <v>79</v>
      </c>
      <c r="D190" s="307"/>
      <c r="E190" s="296"/>
      <c r="F190" s="296"/>
      <c r="G190" s="104" t="str">
        <f t="shared" si="1"/>
        <v>#DIV/0!</v>
      </c>
      <c r="H190" s="105" t="str">
        <f t="shared" si="2"/>
        <v>#DIV/0!</v>
      </c>
      <c r="I190" s="106" t="str">
        <f t="shared" si="3"/>
        <v>#DIV/0!</v>
      </c>
      <c r="J190" s="129">
        <v>11.71</v>
      </c>
      <c r="K190" s="278">
        <v>5128.0</v>
      </c>
      <c r="L190" s="296"/>
      <c r="M190" s="130">
        <v>0.0</v>
      </c>
      <c r="N190" s="109" t="str">
        <f t="shared" si="108"/>
        <v>#DIV/0!</v>
      </c>
      <c r="O190" s="110">
        <f t="shared" si="5"/>
        <v>0</v>
      </c>
      <c r="P190" s="109" t="str">
        <f t="shared" si="6"/>
        <v>#DIV/0!</v>
      </c>
      <c r="Q190" s="111" t="str">
        <f t="shared" si="7"/>
        <v>#DIV/0!</v>
      </c>
      <c r="R190" s="131">
        <f t="shared" si="107"/>
        <v>0</v>
      </c>
      <c r="S190" s="113" t="str">
        <f t="shared" si="9"/>
        <v>#DIV/0!</v>
      </c>
      <c r="T190" s="114"/>
      <c r="U190" s="114"/>
      <c r="V190" s="114"/>
      <c r="W190" s="114"/>
      <c r="X190" s="115"/>
      <c r="Y190" s="98"/>
      <c r="Z190" s="98"/>
    </row>
    <row r="191" hidden="1" outlineLevel="1">
      <c r="A191" s="310" t="str">
        <f t="shared" ref="A191:A192" si="109">iferror(if(B191&gt;0,month(B191)&amp;"-"&amp;year(B191),B191),)</f>
        <v>6-2025</v>
      </c>
      <c r="B191" s="99">
        <v>45815.0</v>
      </c>
      <c r="C191" s="294" t="s">
        <v>81</v>
      </c>
      <c r="D191" s="311"/>
      <c r="E191" s="296"/>
      <c r="F191" s="296"/>
      <c r="G191" s="104" t="str">
        <f t="shared" si="1"/>
        <v>#DIV/0!</v>
      </c>
      <c r="H191" s="105" t="str">
        <f t="shared" si="2"/>
        <v>#DIV/0!</v>
      </c>
      <c r="I191" s="106" t="str">
        <f t="shared" si="3"/>
        <v>#DIV/0!</v>
      </c>
      <c r="J191" s="117">
        <v>0.0</v>
      </c>
      <c r="K191" s="278">
        <v>0.0</v>
      </c>
      <c r="L191" s="296"/>
      <c r="M191" s="118">
        <v>0.0</v>
      </c>
      <c r="N191" s="109" t="str">
        <f t="shared" si="108"/>
        <v>#DIV/0!</v>
      </c>
      <c r="O191" s="110" t="str">
        <f t="shared" si="5"/>
        <v>#DIV/0!</v>
      </c>
      <c r="P191" s="109" t="str">
        <f t="shared" si="6"/>
        <v>#DIV/0!</v>
      </c>
      <c r="Q191" s="111" t="str">
        <f t="shared" si="7"/>
        <v>#DIV/0!</v>
      </c>
      <c r="R191" s="112">
        <f t="shared" si="107"/>
        <v>0</v>
      </c>
      <c r="S191" s="113" t="str">
        <f t="shared" si="9"/>
        <v>#DIV/0!</v>
      </c>
      <c r="T191" s="114"/>
      <c r="U191" s="114"/>
      <c r="V191" s="114"/>
      <c r="W191" s="114"/>
      <c r="X191" s="115"/>
      <c r="Y191" s="98"/>
      <c r="Z191" s="98"/>
    </row>
    <row r="192" collapsed="1">
      <c r="A192" s="293" t="str">
        <f t="shared" si="109"/>
        <v/>
      </c>
      <c r="B192" s="80" t="s">
        <v>110</v>
      </c>
      <c r="C192" s="312"/>
      <c r="D192" s="151">
        <f t="shared" ref="D192:F192" si="110">SUM(D181:D191)</f>
        <v>0</v>
      </c>
      <c r="E192" s="153">
        <f t="shared" si="110"/>
        <v>0</v>
      </c>
      <c r="F192" s="153">
        <f t="shared" si="110"/>
        <v>0</v>
      </c>
      <c r="G192" s="154" t="str">
        <f t="shared" si="1"/>
        <v>#DIV/0!</v>
      </c>
      <c r="H192" s="155" t="str">
        <f t="shared" si="2"/>
        <v>#DIV/0!</v>
      </c>
      <c r="I192" s="156" t="str">
        <f t="shared" si="3"/>
        <v>#DIV/0!</v>
      </c>
      <c r="J192" s="151">
        <f t="shared" ref="J192:M192" si="111">SUM(J181:J191)</f>
        <v>326.92</v>
      </c>
      <c r="K192" s="313">
        <f t="shared" si="111"/>
        <v>65846</v>
      </c>
      <c r="L192" s="153">
        <f t="shared" si="111"/>
        <v>0</v>
      </c>
      <c r="M192" s="157">
        <f t="shared" si="111"/>
        <v>419.88</v>
      </c>
      <c r="N192" s="158">
        <f t="shared" si="108"/>
        <v>0.7786034105</v>
      </c>
      <c r="O192" s="159">
        <f t="shared" si="5"/>
        <v>1.284350912</v>
      </c>
      <c r="P192" s="158" t="str">
        <f t="shared" si="6"/>
        <v>#DIV/0!</v>
      </c>
      <c r="Q192" s="160" t="str">
        <f t="shared" si="7"/>
        <v>#DIV/0!</v>
      </c>
      <c r="R192" s="161">
        <f>SUM(R181:R191)</f>
        <v>-419.88</v>
      </c>
      <c r="S192" s="162" t="str">
        <f t="shared" si="9"/>
        <v>#DIV/0!</v>
      </c>
      <c r="T192" s="164" t="str">
        <f t="shared" ref="T192:U192" si="112">IFERROR((D192-D48)/D192,)</f>
        <v/>
      </c>
      <c r="U192" s="164" t="str">
        <f t="shared" si="112"/>
        <v/>
      </c>
      <c r="V192" s="164" t="str">
        <f t="shared" ref="V192:W192" si="113">IFERROR((D192-#REF!)/D192, )</f>
        <v/>
      </c>
      <c r="W192" s="164" t="str">
        <f t="shared" si="113"/>
        <v/>
      </c>
      <c r="X192" s="98"/>
      <c r="Y192" s="98"/>
      <c r="Z192" s="98"/>
    </row>
    <row r="193" hidden="1" outlineLevel="1">
      <c r="A193" s="293"/>
      <c r="B193" s="99">
        <v>45816.0</v>
      </c>
      <c r="C193" s="294" t="s">
        <v>70</v>
      </c>
      <c r="D193" s="295"/>
      <c r="E193" s="296"/>
      <c r="F193" s="296"/>
      <c r="G193" s="104" t="str">
        <f t="shared" si="1"/>
        <v>#DIV/0!</v>
      </c>
      <c r="H193" s="105" t="str">
        <f t="shared" si="2"/>
        <v>#DIV/0!</v>
      </c>
      <c r="I193" s="106" t="str">
        <f t="shared" si="3"/>
        <v>#DIV/0!</v>
      </c>
      <c r="J193" s="107">
        <v>0.31</v>
      </c>
      <c r="K193" s="278">
        <v>259.0</v>
      </c>
      <c r="L193" s="296"/>
      <c r="M193" s="108">
        <v>0.0</v>
      </c>
      <c r="N193" s="109" t="str">
        <f t="shared" si="108"/>
        <v>#DIV/0!</v>
      </c>
      <c r="O193" s="110">
        <f t="shared" si="5"/>
        <v>0</v>
      </c>
      <c r="P193" s="109" t="str">
        <f t="shared" si="6"/>
        <v>#DIV/0!</v>
      </c>
      <c r="Q193" s="111" t="str">
        <f t="shared" si="7"/>
        <v>#DIV/0!</v>
      </c>
      <c r="R193" s="112">
        <f t="shared" ref="R193:R203" si="114">D193-M193</f>
        <v>0</v>
      </c>
      <c r="S193" s="113" t="str">
        <f t="shared" si="9"/>
        <v>#DIV/0!</v>
      </c>
      <c r="T193" s="114"/>
      <c r="U193" s="114"/>
      <c r="V193" s="114"/>
      <c r="W193" s="114"/>
      <c r="X193" s="115"/>
      <c r="Y193" s="98"/>
      <c r="Z193" s="98"/>
    </row>
    <row r="194" hidden="1" outlineLevel="1">
      <c r="A194" s="293"/>
      <c r="B194" s="116"/>
      <c r="C194" s="294" t="s">
        <v>71</v>
      </c>
      <c r="D194" s="297"/>
      <c r="E194" s="296"/>
      <c r="F194" s="296"/>
      <c r="G194" s="104" t="str">
        <f t="shared" si="1"/>
        <v>#DIV/0!</v>
      </c>
      <c r="H194" s="105" t="str">
        <f t="shared" si="2"/>
        <v>#DIV/0!</v>
      </c>
      <c r="I194" s="106" t="str">
        <f t="shared" si="3"/>
        <v>#DIV/0!</v>
      </c>
      <c r="J194" s="117">
        <v>11.5</v>
      </c>
      <c r="K194" s="278">
        <v>6539.0</v>
      </c>
      <c r="L194" s="296"/>
      <c r="M194" s="118">
        <v>119.9</v>
      </c>
      <c r="N194" s="109">
        <f t="shared" si="108"/>
        <v>0.09591326105</v>
      </c>
      <c r="O194" s="110">
        <f t="shared" si="5"/>
        <v>10.42608696</v>
      </c>
      <c r="P194" s="109" t="str">
        <f t="shared" si="6"/>
        <v>#DIV/0!</v>
      </c>
      <c r="Q194" s="111" t="str">
        <f t="shared" si="7"/>
        <v>#DIV/0!</v>
      </c>
      <c r="R194" s="119">
        <f t="shared" si="114"/>
        <v>-119.9</v>
      </c>
      <c r="S194" s="113" t="str">
        <f t="shared" si="9"/>
        <v>#DIV/0!</v>
      </c>
      <c r="T194" s="114"/>
      <c r="U194" s="114"/>
      <c r="V194" s="114"/>
      <c r="W194" s="114"/>
      <c r="X194" s="115"/>
      <c r="Y194" s="98"/>
      <c r="Z194" s="98"/>
    </row>
    <row r="195" hidden="1" outlineLevel="1">
      <c r="A195" s="293"/>
      <c r="B195" s="116"/>
      <c r="C195" s="294" t="s">
        <v>72</v>
      </c>
      <c r="D195" s="298"/>
      <c r="E195" s="296"/>
      <c r="F195" s="296"/>
      <c r="G195" s="104" t="str">
        <f t="shared" si="1"/>
        <v>#DIV/0!</v>
      </c>
      <c r="H195" s="105" t="str">
        <f t="shared" si="2"/>
        <v>#DIV/0!</v>
      </c>
      <c r="I195" s="106" t="str">
        <f t="shared" si="3"/>
        <v>#DIV/0!</v>
      </c>
      <c r="J195" s="120">
        <v>169.35</v>
      </c>
      <c r="K195" s="278">
        <v>25579.0</v>
      </c>
      <c r="L195" s="296"/>
      <c r="M195" s="121">
        <v>340.13</v>
      </c>
      <c r="N195" s="109">
        <f>(J195/M195)</f>
        <v>0.4978978626</v>
      </c>
      <c r="O195" s="110">
        <f t="shared" si="5"/>
        <v>2.008444051</v>
      </c>
      <c r="P195" s="109" t="str">
        <f t="shared" si="6"/>
        <v>#DIV/0!</v>
      </c>
      <c r="Q195" s="111" t="str">
        <f t="shared" si="7"/>
        <v>#DIV/0!</v>
      </c>
      <c r="R195" s="122">
        <f t="shared" si="114"/>
        <v>-340.13</v>
      </c>
      <c r="S195" s="113" t="str">
        <f t="shared" si="9"/>
        <v>#DIV/0!</v>
      </c>
      <c r="T195" s="114"/>
      <c r="U195" s="114"/>
      <c r="V195" s="114"/>
      <c r="W195" s="114"/>
      <c r="X195" s="115"/>
      <c r="Y195" s="98"/>
      <c r="Z195" s="98"/>
    </row>
    <row r="196" hidden="1" outlineLevel="1">
      <c r="A196" s="293"/>
      <c r="B196" s="116"/>
      <c r="C196" s="294" t="s">
        <v>73</v>
      </c>
      <c r="D196" s="298"/>
      <c r="E196" s="296"/>
      <c r="F196" s="296"/>
      <c r="G196" s="104" t="str">
        <f t="shared" si="1"/>
        <v>#DIV/0!</v>
      </c>
      <c r="H196" s="105" t="str">
        <f t="shared" si="2"/>
        <v>#DIV/0!</v>
      </c>
      <c r="I196" s="106" t="str">
        <f t="shared" si="3"/>
        <v>#DIV/0!</v>
      </c>
      <c r="J196" s="120">
        <v>67.39</v>
      </c>
      <c r="K196" s="278">
        <v>14066.0</v>
      </c>
      <c r="L196" s="296"/>
      <c r="M196" s="121">
        <v>482.6</v>
      </c>
      <c r="N196" s="109">
        <f t="shared" ref="N196:N206" si="115">J196/M196</f>
        <v>0.139639453</v>
      </c>
      <c r="O196" s="110">
        <f t="shared" si="5"/>
        <v>7.161299896</v>
      </c>
      <c r="P196" s="109" t="str">
        <f t="shared" si="6"/>
        <v>#DIV/0!</v>
      </c>
      <c r="Q196" s="111" t="str">
        <f t="shared" si="7"/>
        <v>#DIV/0!</v>
      </c>
      <c r="R196" s="122">
        <f t="shared" si="114"/>
        <v>-482.6</v>
      </c>
      <c r="S196" s="113" t="str">
        <f t="shared" si="9"/>
        <v>#DIV/0!</v>
      </c>
      <c r="T196" s="114"/>
      <c r="U196" s="114"/>
      <c r="V196" s="114"/>
      <c r="W196" s="114"/>
      <c r="X196" s="115"/>
      <c r="Y196" s="98"/>
      <c r="Z196" s="98"/>
    </row>
    <row r="197" hidden="1" outlineLevel="1">
      <c r="A197" s="293"/>
      <c r="B197" s="116"/>
      <c r="C197" s="294" t="s">
        <v>74</v>
      </c>
      <c r="D197" s="299"/>
      <c r="E197" s="296"/>
      <c r="F197" s="296"/>
      <c r="G197" s="104" t="str">
        <f t="shared" si="1"/>
        <v>#DIV/0!</v>
      </c>
      <c r="H197" s="105" t="str">
        <f t="shared" si="2"/>
        <v>#DIV/0!</v>
      </c>
      <c r="I197" s="106" t="str">
        <f t="shared" si="3"/>
        <v>#DIV/0!</v>
      </c>
      <c r="J197" s="300">
        <v>2.56</v>
      </c>
      <c r="K197" s="278">
        <v>690.0</v>
      </c>
      <c r="L197" s="296"/>
      <c r="M197" s="300">
        <v>0.0</v>
      </c>
      <c r="N197" s="109" t="str">
        <f t="shared" si="115"/>
        <v>#DIV/0!</v>
      </c>
      <c r="O197" s="110">
        <f t="shared" si="5"/>
        <v>0</v>
      </c>
      <c r="P197" s="109" t="str">
        <f t="shared" si="6"/>
        <v>#DIV/0!</v>
      </c>
      <c r="Q197" s="111" t="str">
        <f t="shared" si="7"/>
        <v>#DIV/0!</v>
      </c>
      <c r="R197" s="122">
        <f t="shared" si="114"/>
        <v>0</v>
      </c>
      <c r="S197" s="113" t="str">
        <f t="shared" si="9"/>
        <v>#DIV/0!</v>
      </c>
      <c r="T197" s="114"/>
      <c r="U197" s="114"/>
      <c r="V197" s="114"/>
      <c r="W197" s="114"/>
      <c r="X197" s="115"/>
      <c r="Y197" s="98"/>
      <c r="Z197" s="98"/>
    </row>
    <row r="198" hidden="1" outlineLevel="1">
      <c r="A198" s="293"/>
      <c r="B198" s="116"/>
      <c r="C198" s="294" t="s">
        <v>75</v>
      </c>
      <c r="D198" s="301"/>
      <c r="E198" s="296"/>
      <c r="F198" s="296"/>
      <c r="G198" s="104" t="str">
        <f t="shared" si="1"/>
        <v>#DIV/0!</v>
      </c>
      <c r="H198" s="105" t="str">
        <f t="shared" si="2"/>
        <v>#DIV/0!</v>
      </c>
      <c r="I198" s="106" t="str">
        <f t="shared" si="3"/>
        <v>#DIV/0!</v>
      </c>
      <c r="J198" s="302">
        <v>4.6</v>
      </c>
      <c r="K198" s="278">
        <v>523.0</v>
      </c>
      <c r="L198" s="296"/>
      <c r="M198" s="303">
        <v>0.0</v>
      </c>
      <c r="N198" s="109" t="str">
        <f t="shared" si="115"/>
        <v>#DIV/0!</v>
      </c>
      <c r="O198" s="110">
        <f t="shared" si="5"/>
        <v>0</v>
      </c>
      <c r="P198" s="109" t="str">
        <f t="shared" si="6"/>
        <v>#DIV/0!</v>
      </c>
      <c r="Q198" s="111" t="str">
        <f t="shared" si="7"/>
        <v>#DIV/0!</v>
      </c>
      <c r="R198" s="304">
        <f t="shared" si="114"/>
        <v>0</v>
      </c>
      <c r="S198" s="113" t="str">
        <f t="shared" si="9"/>
        <v>#DIV/0!</v>
      </c>
      <c r="T198" s="114"/>
      <c r="U198" s="114"/>
      <c r="V198" s="114"/>
      <c r="W198" s="114"/>
      <c r="X198" s="115"/>
      <c r="Y198" s="98"/>
      <c r="Z198" s="98"/>
    </row>
    <row r="199" hidden="1" outlineLevel="1">
      <c r="A199" s="293"/>
      <c r="B199" s="116"/>
      <c r="C199" s="294" t="s">
        <v>76</v>
      </c>
      <c r="D199" s="298"/>
      <c r="E199" s="296"/>
      <c r="F199" s="296"/>
      <c r="G199" s="104" t="str">
        <f t="shared" si="1"/>
        <v>#DIV/0!</v>
      </c>
      <c r="H199" s="105" t="str">
        <f t="shared" si="2"/>
        <v>#DIV/0!</v>
      </c>
      <c r="I199" s="106" t="str">
        <f t="shared" si="3"/>
        <v>#DIV/0!</v>
      </c>
      <c r="J199" s="120">
        <v>44.96</v>
      </c>
      <c r="K199" s="278">
        <v>5708.0</v>
      </c>
      <c r="L199" s="296"/>
      <c r="M199" s="121">
        <v>0.0</v>
      </c>
      <c r="N199" s="109" t="str">
        <f t="shared" si="115"/>
        <v>#DIV/0!</v>
      </c>
      <c r="O199" s="110">
        <f t="shared" si="5"/>
        <v>0</v>
      </c>
      <c r="P199" s="109" t="str">
        <f t="shared" si="6"/>
        <v>#DIV/0!</v>
      </c>
      <c r="Q199" s="111" t="str">
        <f t="shared" si="7"/>
        <v>#DIV/0!</v>
      </c>
      <c r="R199" s="122">
        <f t="shared" si="114"/>
        <v>0</v>
      </c>
      <c r="S199" s="113" t="str">
        <f t="shared" si="9"/>
        <v>#DIV/0!</v>
      </c>
      <c r="T199" s="114"/>
      <c r="U199" s="114"/>
      <c r="V199" s="114"/>
      <c r="W199" s="114"/>
      <c r="X199" s="115"/>
      <c r="Y199" s="98"/>
      <c r="Z199" s="98"/>
    </row>
    <row r="200" hidden="1" outlineLevel="1">
      <c r="A200" s="293"/>
      <c r="B200" s="99" t="s">
        <v>37</v>
      </c>
      <c r="C200" s="294" t="s">
        <v>77</v>
      </c>
      <c r="D200" s="305"/>
      <c r="E200" s="296"/>
      <c r="F200" s="296"/>
      <c r="G200" s="104" t="str">
        <f t="shared" si="1"/>
        <v>#DIV/0!</v>
      </c>
      <c r="H200" s="105" t="str">
        <f t="shared" si="2"/>
        <v>#DIV/0!</v>
      </c>
      <c r="I200" s="106" t="str">
        <f t="shared" si="3"/>
        <v>#DIV/0!</v>
      </c>
      <c r="J200" s="123">
        <v>39.79</v>
      </c>
      <c r="K200" s="278">
        <v>12114.0</v>
      </c>
      <c r="L200" s="296"/>
      <c r="M200" s="124">
        <v>139.9</v>
      </c>
      <c r="N200" s="109">
        <f t="shared" si="115"/>
        <v>0.284417441</v>
      </c>
      <c r="O200" s="110">
        <f t="shared" si="5"/>
        <v>3.515958784</v>
      </c>
      <c r="P200" s="109" t="str">
        <f t="shared" si="6"/>
        <v>#DIV/0!</v>
      </c>
      <c r="Q200" s="111" t="str">
        <f t="shared" si="7"/>
        <v>#DIV/0!</v>
      </c>
      <c r="R200" s="125">
        <f t="shared" si="114"/>
        <v>-139.9</v>
      </c>
      <c r="S200" s="113" t="str">
        <f t="shared" si="9"/>
        <v>#DIV/0!</v>
      </c>
      <c r="T200" s="114"/>
      <c r="U200" s="114"/>
      <c r="V200" s="114"/>
      <c r="W200" s="114"/>
      <c r="X200" s="115"/>
      <c r="Y200" s="98"/>
      <c r="Z200" s="98"/>
    </row>
    <row r="201" hidden="1" outlineLevel="1">
      <c r="A201" s="293"/>
      <c r="B201" s="116"/>
      <c r="C201" s="294" t="s">
        <v>78</v>
      </c>
      <c r="D201" s="306"/>
      <c r="E201" s="296"/>
      <c r="F201" s="296"/>
      <c r="G201" s="104" t="str">
        <f t="shared" si="1"/>
        <v>#DIV/0!</v>
      </c>
      <c r="H201" s="105" t="str">
        <f t="shared" si="2"/>
        <v>#DIV/0!</v>
      </c>
      <c r="I201" s="106" t="str">
        <f t="shared" si="3"/>
        <v>#DIV/0!</v>
      </c>
      <c r="J201" s="126">
        <v>13.82</v>
      </c>
      <c r="K201" s="278">
        <v>4667.0</v>
      </c>
      <c r="L201" s="296"/>
      <c r="M201" s="127">
        <v>0.0</v>
      </c>
      <c r="N201" s="109" t="str">
        <f t="shared" si="115"/>
        <v>#DIV/0!</v>
      </c>
      <c r="O201" s="110">
        <f t="shared" si="5"/>
        <v>0</v>
      </c>
      <c r="P201" s="109" t="str">
        <f t="shared" si="6"/>
        <v>#DIV/0!</v>
      </c>
      <c r="Q201" s="111" t="str">
        <f t="shared" si="7"/>
        <v>#DIV/0!</v>
      </c>
      <c r="R201" s="128">
        <f t="shared" si="114"/>
        <v>0</v>
      </c>
      <c r="S201" s="113" t="str">
        <f t="shared" si="9"/>
        <v>#DIV/0!</v>
      </c>
      <c r="T201" s="114"/>
      <c r="U201" s="114"/>
      <c r="V201" s="114"/>
      <c r="W201" s="114"/>
      <c r="X201" s="115"/>
      <c r="Y201" s="98"/>
      <c r="Z201" s="98"/>
    </row>
    <row r="202" hidden="1" outlineLevel="1">
      <c r="A202" s="293"/>
      <c r="B202" s="116"/>
      <c r="C202" s="294" t="s">
        <v>79</v>
      </c>
      <c r="D202" s="307"/>
      <c r="E202" s="296"/>
      <c r="F202" s="296"/>
      <c r="G202" s="104" t="str">
        <f t="shared" si="1"/>
        <v>#DIV/0!</v>
      </c>
      <c r="H202" s="105" t="str">
        <f t="shared" si="2"/>
        <v>#DIV/0!</v>
      </c>
      <c r="I202" s="106" t="str">
        <f t="shared" si="3"/>
        <v>#DIV/0!</v>
      </c>
      <c r="J202" s="129">
        <v>41.53</v>
      </c>
      <c r="K202" s="278">
        <v>4818.0</v>
      </c>
      <c r="L202" s="296"/>
      <c r="M202" s="130">
        <v>83.41</v>
      </c>
      <c r="N202" s="109">
        <f t="shared" si="115"/>
        <v>0.4979019302</v>
      </c>
      <c r="O202" s="110">
        <f t="shared" si="5"/>
        <v>2.008427643</v>
      </c>
      <c r="P202" s="109" t="str">
        <f t="shared" si="6"/>
        <v>#DIV/0!</v>
      </c>
      <c r="Q202" s="111" t="str">
        <f t="shared" si="7"/>
        <v>#DIV/0!</v>
      </c>
      <c r="R202" s="131">
        <f t="shared" si="114"/>
        <v>-83.41</v>
      </c>
      <c r="S202" s="113" t="str">
        <f t="shared" si="9"/>
        <v>#DIV/0!</v>
      </c>
      <c r="T202" s="114"/>
      <c r="U202" s="114"/>
      <c r="V202" s="114"/>
      <c r="W202" s="114"/>
      <c r="X202" s="115"/>
      <c r="Y202" s="98"/>
      <c r="Z202" s="98"/>
    </row>
    <row r="203" hidden="1" outlineLevel="1">
      <c r="A203" s="310" t="str">
        <f t="shared" ref="A203:A204" si="116">iferror(if(B203&gt;0,month(B203)&amp;"-"&amp;year(B203),B203),)</f>
        <v>6-2025</v>
      </c>
      <c r="B203" s="99">
        <v>45822.0</v>
      </c>
      <c r="C203" s="294" t="s">
        <v>81</v>
      </c>
      <c r="D203" s="311"/>
      <c r="E203" s="296"/>
      <c r="F203" s="296"/>
      <c r="G203" s="104" t="str">
        <f t="shared" si="1"/>
        <v>#DIV/0!</v>
      </c>
      <c r="H203" s="105" t="str">
        <f t="shared" si="2"/>
        <v>#DIV/0!</v>
      </c>
      <c r="I203" s="106" t="str">
        <f t="shared" si="3"/>
        <v>#DIV/0!</v>
      </c>
      <c r="J203" s="117">
        <v>0.0</v>
      </c>
      <c r="K203" s="278">
        <v>0.0</v>
      </c>
      <c r="L203" s="296"/>
      <c r="M203" s="118">
        <v>0.0</v>
      </c>
      <c r="N203" s="109" t="str">
        <f t="shared" si="115"/>
        <v>#DIV/0!</v>
      </c>
      <c r="O203" s="110" t="str">
        <f t="shared" si="5"/>
        <v>#DIV/0!</v>
      </c>
      <c r="P203" s="109" t="str">
        <f t="shared" si="6"/>
        <v>#DIV/0!</v>
      </c>
      <c r="Q203" s="111" t="str">
        <f t="shared" si="7"/>
        <v>#DIV/0!</v>
      </c>
      <c r="R203" s="112">
        <f t="shared" si="114"/>
        <v>0</v>
      </c>
      <c r="S203" s="113" t="str">
        <f t="shared" si="9"/>
        <v>#DIV/0!</v>
      </c>
      <c r="T203" s="114"/>
      <c r="U203" s="114"/>
      <c r="V203" s="114"/>
      <c r="W203" s="114"/>
      <c r="X203" s="115"/>
      <c r="Y203" s="98"/>
      <c r="Z203" s="98"/>
    </row>
    <row r="204" collapsed="1">
      <c r="A204" s="293" t="str">
        <f t="shared" si="116"/>
        <v/>
      </c>
      <c r="B204" s="80" t="s">
        <v>111</v>
      </c>
      <c r="C204" s="312"/>
      <c r="D204" s="151">
        <f t="shared" ref="D204:F204" si="117">SUM(D193:D203)</f>
        <v>0</v>
      </c>
      <c r="E204" s="153">
        <f t="shared" si="117"/>
        <v>0</v>
      </c>
      <c r="F204" s="153">
        <f t="shared" si="117"/>
        <v>0</v>
      </c>
      <c r="G204" s="154" t="str">
        <f t="shared" si="1"/>
        <v>#DIV/0!</v>
      </c>
      <c r="H204" s="155" t="str">
        <f t="shared" si="2"/>
        <v>#DIV/0!</v>
      </c>
      <c r="I204" s="156" t="str">
        <f t="shared" si="3"/>
        <v>#DIV/0!</v>
      </c>
      <c r="J204" s="151">
        <f t="shared" ref="J204:M204" si="118">SUM(J193:J203)</f>
        <v>395.81</v>
      </c>
      <c r="K204" s="313">
        <f t="shared" si="118"/>
        <v>74963</v>
      </c>
      <c r="L204" s="153">
        <f t="shared" si="118"/>
        <v>0</v>
      </c>
      <c r="M204" s="157">
        <f t="shared" si="118"/>
        <v>1165.94</v>
      </c>
      <c r="N204" s="158">
        <f t="shared" si="115"/>
        <v>0.3394771601</v>
      </c>
      <c r="O204" s="159">
        <f t="shared" si="5"/>
        <v>2.945706273</v>
      </c>
      <c r="P204" s="158" t="str">
        <f t="shared" si="6"/>
        <v>#DIV/0!</v>
      </c>
      <c r="Q204" s="160" t="str">
        <f t="shared" si="7"/>
        <v>#DIV/0!</v>
      </c>
      <c r="R204" s="161">
        <f>SUM(R193:R203)</f>
        <v>-1165.94</v>
      </c>
      <c r="S204" s="162" t="str">
        <f t="shared" si="9"/>
        <v>#DIV/0!</v>
      </c>
      <c r="T204" s="164" t="str">
        <f t="shared" ref="T204:U204" si="119">IFERROR((D204-D48)/D204,)</f>
        <v/>
      </c>
      <c r="U204" s="164" t="str">
        <f t="shared" si="119"/>
        <v/>
      </c>
      <c r="V204" s="164" t="str">
        <f t="shared" ref="V204:W204" si="120">IFERROR((D204-#REF!)/D204, )</f>
        <v/>
      </c>
      <c r="W204" s="164" t="str">
        <f t="shared" si="120"/>
        <v/>
      </c>
      <c r="X204" s="98"/>
      <c r="Y204" s="98"/>
      <c r="Z204" s="98"/>
    </row>
    <row r="205" hidden="1" outlineLevel="1">
      <c r="A205" s="293"/>
      <c r="B205" s="99">
        <v>45823.0</v>
      </c>
      <c r="C205" s="294" t="s">
        <v>70</v>
      </c>
      <c r="D205" s="295"/>
      <c r="E205" s="296"/>
      <c r="F205" s="296"/>
      <c r="G205" s="104" t="str">
        <f t="shared" si="1"/>
        <v>#DIV/0!</v>
      </c>
      <c r="H205" s="105" t="str">
        <f t="shared" si="2"/>
        <v>#DIV/0!</v>
      </c>
      <c r="I205" s="106" t="str">
        <f t="shared" si="3"/>
        <v>#DIV/0!</v>
      </c>
      <c r="J205" s="107">
        <v>16.46</v>
      </c>
      <c r="K205" s="278">
        <v>6437.0</v>
      </c>
      <c r="L205" s="296"/>
      <c r="M205" s="108">
        <v>0.0</v>
      </c>
      <c r="N205" s="109" t="str">
        <f t="shared" si="115"/>
        <v>#DIV/0!</v>
      </c>
      <c r="O205" s="110">
        <f t="shared" si="5"/>
        <v>0</v>
      </c>
      <c r="P205" s="109" t="str">
        <f t="shared" si="6"/>
        <v>#DIV/0!</v>
      </c>
      <c r="Q205" s="111" t="str">
        <f t="shared" si="7"/>
        <v>#DIV/0!</v>
      </c>
      <c r="R205" s="112">
        <f t="shared" ref="R205:R215" si="121">D205-M205</f>
        <v>0</v>
      </c>
      <c r="S205" s="113" t="str">
        <f t="shared" si="9"/>
        <v>#DIV/0!</v>
      </c>
      <c r="T205" s="114"/>
      <c r="U205" s="114"/>
      <c r="V205" s="114"/>
      <c r="W205" s="114"/>
      <c r="X205" s="115"/>
      <c r="Y205" s="98"/>
      <c r="Z205" s="98"/>
    </row>
    <row r="206" hidden="1" outlineLevel="1">
      <c r="A206" s="293"/>
      <c r="B206" s="116"/>
      <c r="C206" s="294" t="s">
        <v>71</v>
      </c>
      <c r="D206" s="297"/>
      <c r="E206" s="296"/>
      <c r="F206" s="296"/>
      <c r="G206" s="104" t="str">
        <f t="shared" si="1"/>
        <v>#DIV/0!</v>
      </c>
      <c r="H206" s="105" t="str">
        <f t="shared" si="2"/>
        <v>#DIV/0!</v>
      </c>
      <c r="I206" s="106" t="str">
        <f t="shared" si="3"/>
        <v>#DIV/0!</v>
      </c>
      <c r="J206" s="117">
        <v>13.11</v>
      </c>
      <c r="K206" s="278">
        <v>7552.0</v>
      </c>
      <c r="L206" s="296"/>
      <c r="M206" s="118">
        <v>0.0</v>
      </c>
      <c r="N206" s="109" t="str">
        <f t="shared" si="115"/>
        <v>#DIV/0!</v>
      </c>
      <c r="O206" s="110">
        <f t="shared" si="5"/>
        <v>0</v>
      </c>
      <c r="P206" s="109" t="str">
        <f t="shared" si="6"/>
        <v>#DIV/0!</v>
      </c>
      <c r="Q206" s="111" t="str">
        <f t="shared" si="7"/>
        <v>#DIV/0!</v>
      </c>
      <c r="R206" s="119">
        <f t="shared" si="121"/>
        <v>0</v>
      </c>
      <c r="S206" s="113" t="str">
        <f t="shared" si="9"/>
        <v>#DIV/0!</v>
      </c>
      <c r="T206" s="114"/>
      <c r="U206" s="114"/>
      <c r="V206" s="114"/>
      <c r="W206" s="114"/>
      <c r="X206" s="115"/>
      <c r="Y206" s="98"/>
      <c r="Z206" s="98"/>
    </row>
    <row r="207" hidden="1" outlineLevel="1">
      <c r="A207" s="293"/>
      <c r="B207" s="116"/>
      <c r="C207" s="294" t="s">
        <v>72</v>
      </c>
      <c r="D207" s="298"/>
      <c r="E207" s="296"/>
      <c r="F207" s="296"/>
      <c r="G207" s="104" t="str">
        <f t="shared" si="1"/>
        <v>#DIV/0!</v>
      </c>
      <c r="H207" s="105" t="str">
        <f t="shared" si="2"/>
        <v>#DIV/0!</v>
      </c>
      <c r="I207" s="106" t="str">
        <f t="shared" si="3"/>
        <v>#DIV/0!</v>
      </c>
      <c r="J207" s="120">
        <v>167.95</v>
      </c>
      <c r="K207" s="278">
        <v>39963.0</v>
      </c>
      <c r="L207" s="296"/>
      <c r="M207" s="121">
        <v>311.69</v>
      </c>
      <c r="N207" s="109">
        <f>(J207/M207)</f>
        <v>0.5388366646</v>
      </c>
      <c r="O207" s="110">
        <f t="shared" si="5"/>
        <v>1.855849955</v>
      </c>
      <c r="P207" s="109" t="str">
        <f t="shared" si="6"/>
        <v>#DIV/0!</v>
      </c>
      <c r="Q207" s="111" t="str">
        <f t="shared" si="7"/>
        <v>#DIV/0!</v>
      </c>
      <c r="R207" s="122">
        <f t="shared" si="121"/>
        <v>-311.69</v>
      </c>
      <c r="S207" s="113" t="str">
        <f t="shared" si="9"/>
        <v>#DIV/0!</v>
      </c>
      <c r="T207" s="114"/>
      <c r="U207" s="114"/>
      <c r="V207" s="114"/>
      <c r="W207" s="114"/>
      <c r="X207" s="115"/>
      <c r="Y207" s="98"/>
      <c r="Z207" s="98"/>
    </row>
    <row r="208" hidden="1" outlineLevel="1">
      <c r="A208" s="293"/>
      <c r="B208" s="116"/>
      <c r="C208" s="294" t="s">
        <v>73</v>
      </c>
      <c r="D208" s="298"/>
      <c r="E208" s="296"/>
      <c r="F208" s="296"/>
      <c r="G208" s="104" t="str">
        <f t="shared" si="1"/>
        <v>#DIV/0!</v>
      </c>
      <c r="H208" s="105" t="str">
        <f t="shared" si="2"/>
        <v>#DIV/0!</v>
      </c>
      <c r="I208" s="106" t="str">
        <f t="shared" si="3"/>
        <v>#DIV/0!</v>
      </c>
      <c r="J208" s="120">
        <v>15.92</v>
      </c>
      <c r="K208" s="278">
        <v>4746.0</v>
      </c>
      <c r="L208" s="296"/>
      <c r="M208" s="121">
        <v>179.85</v>
      </c>
      <c r="N208" s="109">
        <f t="shared" ref="N208:N218" si="122">J208/M208</f>
        <v>0.08851820962</v>
      </c>
      <c r="O208" s="110">
        <f t="shared" si="5"/>
        <v>11.29711055</v>
      </c>
      <c r="P208" s="109" t="str">
        <f t="shared" si="6"/>
        <v>#DIV/0!</v>
      </c>
      <c r="Q208" s="111" t="str">
        <f t="shared" si="7"/>
        <v>#DIV/0!</v>
      </c>
      <c r="R208" s="122">
        <f t="shared" si="121"/>
        <v>-179.85</v>
      </c>
      <c r="S208" s="113" t="str">
        <f t="shared" si="9"/>
        <v>#DIV/0!</v>
      </c>
      <c r="T208" s="114"/>
      <c r="U208" s="114"/>
      <c r="V208" s="114"/>
      <c r="W208" s="114"/>
      <c r="X208" s="115"/>
      <c r="Y208" s="98"/>
      <c r="Z208" s="98"/>
    </row>
    <row r="209" hidden="1" outlineLevel="1">
      <c r="A209" s="293"/>
      <c r="B209" s="116"/>
      <c r="C209" s="294" t="s">
        <v>74</v>
      </c>
      <c r="D209" s="299"/>
      <c r="E209" s="296"/>
      <c r="F209" s="296"/>
      <c r="G209" s="104" t="str">
        <f t="shared" si="1"/>
        <v>#DIV/0!</v>
      </c>
      <c r="H209" s="105" t="str">
        <f t="shared" si="2"/>
        <v>#DIV/0!</v>
      </c>
      <c r="I209" s="106" t="str">
        <f t="shared" si="3"/>
        <v>#DIV/0!</v>
      </c>
      <c r="J209" s="300">
        <v>1.87</v>
      </c>
      <c r="K209" s="278">
        <v>970.0</v>
      </c>
      <c r="L209" s="296"/>
      <c r="M209" s="300">
        <v>0.0</v>
      </c>
      <c r="N209" s="109" t="str">
        <f t="shared" si="122"/>
        <v>#DIV/0!</v>
      </c>
      <c r="O209" s="110">
        <f t="shared" si="5"/>
        <v>0</v>
      </c>
      <c r="P209" s="109" t="str">
        <f t="shared" si="6"/>
        <v>#DIV/0!</v>
      </c>
      <c r="Q209" s="111" t="str">
        <f t="shared" si="7"/>
        <v>#DIV/0!</v>
      </c>
      <c r="R209" s="122">
        <f t="shared" si="121"/>
        <v>0</v>
      </c>
      <c r="S209" s="113" t="str">
        <f t="shared" si="9"/>
        <v>#DIV/0!</v>
      </c>
      <c r="T209" s="114"/>
      <c r="U209" s="114"/>
      <c r="V209" s="114"/>
      <c r="W209" s="114"/>
      <c r="X209" s="115"/>
      <c r="Y209" s="98"/>
      <c r="Z209" s="98"/>
    </row>
    <row r="210" hidden="1" outlineLevel="1">
      <c r="A210" s="293"/>
      <c r="B210" s="116"/>
      <c r="C210" s="294" t="s">
        <v>75</v>
      </c>
      <c r="D210" s="301"/>
      <c r="E210" s="296"/>
      <c r="F210" s="296"/>
      <c r="G210" s="104" t="str">
        <f t="shared" si="1"/>
        <v>#DIV/0!</v>
      </c>
      <c r="H210" s="105" t="str">
        <f t="shared" si="2"/>
        <v>#DIV/0!</v>
      </c>
      <c r="I210" s="106" t="str">
        <f t="shared" si="3"/>
        <v>#DIV/0!</v>
      </c>
      <c r="J210" s="302">
        <v>11.15</v>
      </c>
      <c r="K210" s="278">
        <v>1967.0</v>
      </c>
      <c r="L210" s="296"/>
      <c r="M210" s="303">
        <v>179.8</v>
      </c>
      <c r="N210" s="109">
        <f t="shared" si="122"/>
        <v>0.06201334816</v>
      </c>
      <c r="O210" s="110">
        <f t="shared" si="5"/>
        <v>16.12556054</v>
      </c>
      <c r="P210" s="109" t="str">
        <f t="shared" si="6"/>
        <v>#DIV/0!</v>
      </c>
      <c r="Q210" s="111" t="str">
        <f t="shared" si="7"/>
        <v>#DIV/0!</v>
      </c>
      <c r="R210" s="304">
        <f t="shared" si="121"/>
        <v>-179.8</v>
      </c>
      <c r="S210" s="113" t="str">
        <f t="shared" si="9"/>
        <v>#DIV/0!</v>
      </c>
      <c r="T210" s="114"/>
      <c r="U210" s="114"/>
      <c r="V210" s="114"/>
      <c r="W210" s="114"/>
      <c r="X210" s="115"/>
      <c r="Y210" s="98"/>
      <c r="Z210" s="98"/>
    </row>
    <row r="211" hidden="1" outlineLevel="1">
      <c r="A211" s="293"/>
      <c r="B211" s="116"/>
      <c r="C211" s="294" t="s">
        <v>76</v>
      </c>
      <c r="D211" s="298"/>
      <c r="E211" s="296"/>
      <c r="F211" s="296"/>
      <c r="G211" s="104" t="str">
        <f t="shared" si="1"/>
        <v>#DIV/0!</v>
      </c>
      <c r="H211" s="105" t="str">
        <f t="shared" si="2"/>
        <v>#DIV/0!</v>
      </c>
      <c r="I211" s="106" t="str">
        <f t="shared" si="3"/>
        <v>#DIV/0!</v>
      </c>
      <c r="J211" s="120">
        <v>5.95</v>
      </c>
      <c r="K211" s="278">
        <v>612.0</v>
      </c>
      <c r="L211" s="296"/>
      <c r="M211" s="121">
        <v>0.0</v>
      </c>
      <c r="N211" s="109" t="str">
        <f t="shared" si="122"/>
        <v>#DIV/0!</v>
      </c>
      <c r="O211" s="110">
        <f t="shared" si="5"/>
        <v>0</v>
      </c>
      <c r="P211" s="109" t="str">
        <f t="shared" si="6"/>
        <v>#DIV/0!</v>
      </c>
      <c r="Q211" s="111" t="str">
        <f t="shared" si="7"/>
        <v>#DIV/0!</v>
      </c>
      <c r="R211" s="122">
        <f t="shared" si="121"/>
        <v>0</v>
      </c>
      <c r="S211" s="113" t="str">
        <f t="shared" si="9"/>
        <v>#DIV/0!</v>
      </c>
      <c r="T211" s="114"/>
      <c r="U211" s="114"/>
      <c r="V211" s="114"/>
      <c r="W211" s="114"/>
      <c r="X211" s="115"/>
      <c r="Y211" s="98"/>
      <c r="Z211" s="98"/>
    </row>
    <row r="212" hidden="1" outlineLevel="1">
      <c r="A212" s="293"/>
      <c r="B212" s="99" t="s">
        <v>37</v>
      </c>
      <c r="C212" s="294" t="s">
        <v>77</v>
      </c>
      <c r="D212" s="305"/>
      <c r="E212" s="296"/>
      <c r="F212" s="296"/>
      <c r="G212" s="104" t="str">
        <f t="shared" si="1"/>
        <v>#DIV/0!</v>
      </c>
      <c r="H212" s="105" t="str">
        <f t="shared" si="2"/>
        <v>#DIV/0!</v>
      </c>
      <c r="I212" s="106" t="str">
        <f t="shared" si="3"/>
        <v>#DIV/0!</v>
      </c>
      <c r="J212" s="123">
        <v>59.82</v>
      </c>
      <c r="K212" s="278">
        <v>15940.0</v>
      </c>
      <c r="L212" s="296"/>
      <c r="M212" s="124">
        <v>0.0</v>
      </c>
      <c r="N212" s="109" t="str">
        <f t="shared" si="122"/>
        <v>#DIV/0!</v>
      </c>
      <c r="O212" s="110">
        <f t="shared" si="5"/>
        <v>0</v>
      </c>
      <c r="P212" s="109" t="str">
        <f t="shared" si="6"/>
        <v>#DIV/0!</v>
      </c>
      <c r="Q212" s="111" t="str">
        <f t="shared" si="7"/>
        <v>#DIV/0!</v>
      </c>
      <c r="R212" s="125">
        <f t="shared" si="121"/>
        <v>0</v>
      </c>
      <c r="S212" s="113" t="str">
        <f t="shared" si="9"/>
        <v>#DIV/0!</v>
      </c>
      <c r="T212" s="114"/>
      <c r="U212" s="114"/>
      <c r="V212" s="114"/>
      <c r="W212" s="114"/>
      <c r="X212" s="115"/>
      <c r="Y212" s="98"/>
      <c r="Z212" s="98"/>
    </row>
    <row r="213" hidden="1" outlineLevel="1">
      <c r="A213" s="293"/>
      <c r="B213" s="116"/>
      <c r="C213" s="294" t="s">
        <v>78</v>
      </c>
      <c r="D213" s="306"/>
      <c r="E213" s="296"/>
      <c r="F213" s="296"/>
      <c r="G213" s="104" t="str">
        <f t="shared" si="1"/>
        <v>#DIV/0!</v>
      </c>
      <c r="H213" s="105" t="str">
        <f t="shared" si="2"/>
        <v>#DIV/0!</v>
      </c>
      <c r="I213" s="106" t="str">
        <f t="shared" si="3"/>
        <v>#DIV/0!</v>
      </c>
      <c r="J213" s="126">
        <v>0.32</v>
      </c>
      <c r="K213" s="278">
        <v>240.0</v>
      </c>
      <c r="L213" s="296"/>
      <c r="M213" s="127">
        <v>0.0</v>
      </c>
      <c r="N213" s="109" t="str">
        <f t="shared" si="122"/>
        <v>#DIV/0!</v>
      </c>
      <c r="O213" s="110">
        <f t="shared" si="5"/>
        <v>0</v>
      </c>
      <c r="P213" s="109" t="str">
        <f t="shared" si="6"/>
        <v>#DIV/0!</v>
      </c>
      <c r="Q213" s="111" t="str">
        <f t="shared" si="7"/>
        <v>#DIV/0!</v>
      </c>
      <c r="R213" s="128">
        <f t="shared" si="121"/>
        <v>0</v>
      </c>
      <c r="S213" s="113" t="str">
        <f t="shared" si="9"/>
        <v>#DIV/0!</v>
      </c>
      <c r="T213" s="114"/>
      <c r="U213" s="114"/>
      <c r="V213" s="114"/>
      <c r="W213" s="114"/>
      <c r="X213" s="115"/>
      <c r="Y213" s="98"/>
      <c r="Z213" s="98"/>
    </row>
    <row r="214" hidden="1" outlineLevel="1">
      <c r="A214" s="293"/>
      <c r="B214" s="116"/>
      <c r="C214" s="294" t="s">
        <v>79</v>
      </c>
      <c r="D214" s="307"/>
      <c r="E214" s="296"/>
      <c r="F214" s="296"/>
      <c r="G214" s="104" t="str">
        <f t="shared" si="1"/>
        <v>#DIV/0!</v>
      </c>
      <c r="H214" s="105" t="str">
        <f t="shared" si="2"/>
        <v>#DIV/0!</v>
      </c>
      <c r="I214" s="106" t="str">
        <f t="shared" si="3"/>
        <v>#DIV/0!</v>
      </c>
      <c r="J214" s="129">
        <v>111.79</v>
      </c>
      <c r="K214" s="278">
        <v>7991.0</v>
      </c>
      <c r="L214" s="296"/>
      <c r="M214" s="130">
        <v>61.0</v>
      </c>
      <c r="N214" s="109">
        <f t="shared" si="122"/>
        <v>1.832622951</v>
      </c>
      <c r="O214" s="110">
        <f t="shared" si="5"/>
        <v>0.5456659809</v>
      </c>
      <c r="P214" s="109" t="str">
        <f t="shared" si="6"/>
        <v>#DIV/0!</v>
      </c>
      <c r="Q214" s="111" t="str">
        <f t="shared" si="7"/>
        <v>#DIV/0!</v>
      </c>
      <c r="R214" s="131">
        <f t="shared" si="121"/>
        <v>-61</v>
      </c>
      <c r="S214" s="113" t="str">
        <f t="shared" si="9"/>
        <v>#DIV/0!</v>
      </c>
      <c r="T214" s="114"/>
      <c r="U214" s="114"/>
      <c r="V214" s="114"/>
      <c r="W214" s="114"/>
      <c r="X214" s="115"/>
      <c r="Y214" s="98"/>
      <c r="Z214" s="98"/>
    </row>
    <row r="215" hidden="1" outlineLevel="1">
      <c r="A215" s="310" t="str">
        <f t="shared" ref="A215:A216" si="123">iferror(if(B215&gt;0,month(B215)&amp;"-"&amp;year(B215),B215),)</f>
        <v>6-2025</v>
      </c>
      <c r="B215" s="99">
        <v>45829.0</v>
      </c>
      <c r="C215" s="294" t="s">
        <v>81</v>
      </c>
      <c r="D215" s="311"/>
      <c r="E215" s="296"/>
      <c r="F215" s="296"/>
      <c r="G215" s="104" t="str">
        <f t="shared" si="1"/>
        <v>#DIV/0!</v>
      </c>
      <c r="H215" s="105" t="str">
        <f t="shared" si="2"/>
        <v>#DIV/0!</v>
      </c>
      <c r="I215" s="106" t="str">
        <f t="shared" si="3"/>
        <v>#DIV/0!</v>
      </c>
      <c r="J215" s="117">
        <v>0.0</v>
      </c>
      <c r="K215" s="278">
        <v>0.0</v>
      </c>
      <c r="L215" s="296"/>
      <c r="M215" s="118">
        <v>0.0</v>
      </c>
      <c r="N215" s="109" t="str">
        <f t="shared" si="122"/>
        <v>#DIV/0!</v>
      </c>
      <c r="O215" s="110" t="str">
        <f t="shared" si="5"/>
        <v>#DIV/0!</v>
      </c>
      <c r="P215" s="109" t="str">
        <f t="shared" si="6"/>
        <v>#DIV/0!</v>
      </c>
      <c r="Q215" s="111" t="str">
        <f t="shared" si="7"/>
        <v>#DIV/0!</v>
      </c>
      <c r="R215" s="112">
        <f t="shared" si="121"/>
        <v>0</v>
      </c>
      <c r="S215" s="113" t="str">
        <f t="shared" si="9"/>
        <v>#DIV/0!</v>
      </c>
      <c r="T215" s="114"/>
      <c r="U215" s="114"/>
      <c r="V215" s="114"/>
      <c r="W215" s="114"/>
      <c r="X215" s="115"/>
      <c r="Y215" s="98"/>
      <c r="Z215" s="98"/>
    </row>
    <row r="216" collapsed="1">
      <c r="A216" s="293" t="str">
        <f t="shared" si="123"/>
        <v/>
      </c>
      <c r="B216" s="80" t="s">
        <v>112</v>
      </c>
      <c r="C216" s="312"/>
      <c r="D216" s="151">
        <f t="shared" ref="D216:F216" si="124">SUM(D205:D215)</f>
        <v>0</v>
      </c>
      <c r="E216" s="153">
        <f t="shared" si="124"/>
        <v>0</v>
      </c>
      <c r="F216" s="153">
        <f t="shared" si="124"/>
        <v>0</v>
      </c>
      <c r="G216" s="154" t="str">
        <f t="shared" si="1"/>
        <v>#DIV/0!</v>
      </c>
      <c r="H216" s="155" t="str">
        <f t="shared" si="2"/>
        <v>#DIV/0!</v>
      </c>
      <c r="I216" s="156" t="str">
        <f t="shared" si="3"/>
        <v>#DIV/0!</v>
      </c>
      <c r="J216" s="151">
        <f t="shared" ref="J216:M216" si="125">SUM(J205:J215)</f>
        <v>404.34</v>
      </c>
      <c r="K216" s="313">
        <f t="shared" si="125"/>
        <v>86418</v>
      </c>
      <c r="L216" s="153">
        <f t="shared" si="125"/>
        <v>0</v>
      </c>
      <c r="M216" s="157">
        <f t="shared" si="125"/>
        <v>732.34</v>
      </c>
      <c r="N216" s="158">
        <f t="shared" si="122"/>
        <v>0.5521205997</v>
      </c>
      <c r="O216" s="159">
        <f t="shared" si="5"/>
        <v>1.811198496</v>
      </c>
      <c r="P216" s="158" t="str">
        <f t="shared" si="6"/>
        <v>#DIV/0!</v>
      </c>
      <c r="Q216" s="160" t="str">
        <f t="shared" si="7"/>
        <v>#DIV/0!</v>
      </c>
      <c r="R216" s="161">
        <f>SUM(R205:R215)</f>
        <v>-732.34</v>
      </c>
      <c r="S216" s="162" t="str">
        <f t="shared" si="9"/>
        <v>#DIV/0!</v>
      </c>
      <c r="T216" s="164" t="str">
        <f t="shared" ref="T216:U216" si="126">IFERROR((D216-D48)/D216,)</f>
        <v/>
      </c>
      <c r="U216" s="164" t="str">
        <f t="shared" si="126"/>
        <v/>
      </c>
      <c r="V216" s="164" t="str">
        <f t="shared" ref="V216:W216" si="127">IFERROR((D216-monthly_reporting_2021!D7)/D216, )</f>
        <v/>
      </c>
      <c r="W216" s="164" t="str">
        <f t="shared" si="127"/>
        <v/>
      </c>
      <c r="X216" s="98"/>
      <c r="Y216" s="98"/>
      <c r="Z216" s="98"/>
    </row>
    <row r="217" hidden="1" outlineLevel="1">
      <c r="A217" s="293"/>
      <c r="B217" s="99">
        <v>45830.0</v>
      </c>
      <c r="C217" s="294" t="s">
        <v>70</v>
      </c>
      <c r="D217" s="295"/>
      <c r="E217" s="296"/>
      <c r="F217" s="296"/>
      <c r="G217" s="104" t="str">
        <f t="shared" si="1"/>
        <v>#DIV/0!</v>
      </c>
      <c r="H217" s="105" t="str">
        <f t="shared" si="2"/>
        <v>#DIV/0!</v>
      </c>
      <c r="I217" s="106" t="str">
        <f t="shared" si="3"/>
        <v>#DIV/0!</v>
      </c>
      <c r="J217" s="107">
        <v>6.7</v>
      </c>
      <c r="K217" s="278">
        <v>2509.0</v>
      </c>
      <c r="L217" s="296"/>
      <c r="M217" s="108">
        <v>0.0</v>
      </c>
      <c r="N217" s="109" t="str">
        <f t="shared" si="122"/>
        <v>#DIV/0!</v>
      </c>
      <c r="O217" s="110">
        <f t="shared" si="5"/>
        <v>0</v>
      </c>
      <c r="P217" s="109" t="str">
        <f t="shared" si="6"/>
        <v>#DIV/0!</v>
      </c>
      <c r="Q217" s="111" t="str">
        <f t="shared" si="7"/>
        <v>#DIV/0!</v>
      </c>
      <c r="R217" s="112">
        <f t="shared" ref="R217:R227" si="128">D217-M217</f>
        <v>0</v>
      </c>
      <c r="S217" s="113" t="str">
        <f t="shared" si="9"/>
        <v>#DIV/0!</v>
      </c>
      <c r="T217" s="114"/>
      <c r="U217" s="114"/>
      <c r="V217" s="114"/>
      <c r="W217" s="114"/>
      <c r="X217" s="115"/>
      <c r="Y217" s="98"/>
      <c r="Z217" s="98"/>
    </row>
    <row r="218" hidden="1" outlineLevel="1">
      <c r="A218" s="293"/>
      <c r="B218" s="116"/>
      <c r="C218" s="294" t="s">
        <v>71</v>
      </c>
      <c r="D218" s="297"/>
      <c r="E218" s="296"/>
      <c r="F218" s="296"/>
      <c r="G218" s="104" t="str">
        <f t="shared" si="1"/>
        <v>#DIV/0!</v>
      </c>
      <c r="H218" s="105" t="str">
        <f t="shared" si="2"/>
        <v>#DIV/0!</v>
      </c>
      <c r="I218" s="106" t="str">
        <f t="shared" si="3"/>
        <v>#DIV/0!</v>
      </c>
      <c r="J218" s="117">
        <v>14.71</v>
      </c>
      <c r="K218" s="278">
        <v>6144.0</v>
      </c>
      <c r="L218" s="296"/>
      <c r="M218" s="118">
        <v>0.0</v>
      </c>
      <c r="N218" s="109" t="str">
        <f t="shared" si="122"/>
        <v>#DIV/0!</v>
      </c>
      <c r="O218" s="110">
        <f t="shared" si="5"/>
        <v>0</v>
      </c>
      <c r="P218" s="109" t="str">
        <f t="shared" si="6"/>
        <v>#DIV/0!</v>
      </c>
      <c r="Q218" s="111" t="str">
        <f t="shared" si="7"/>
        <v>#DIV/0!</v>
      </c>
      <c r="R218" s="119">
        <f t="shared" si="128"/>
        <v>0</v>
      </c>
      <c r="S218" s="113" t="str">
        <f t="shared" si="9"/>
        <v>#DIV/0!</v>
      </c>
      <c r="T218" s="114"/>
      <c r="U218" s="114"/>
      <c r="V218" s="114"/>
      <c r="W218" s="114"/>
      <c r="X218" s="115"/>
      <c r="Y218" s="98"/>
      <c r="Z218" s="98"/>
    </row>
    <row r="219" hidden="1" outlineLevel="1">
      <c r="A219" s="293"/>
      <c r="B219" s="116"/>
      <c r="C219" s="294" t="s">
        <v>72</v>
      </c>
      <c r="D219" s="298"/>
      <c r="E219" s="296"/>
      <c r="F219" s="296"/>
      <c r="G219" s="104" t="str">
        <f t="shared" si="1"/>
        <v>#DIV/0!</v>
      </c>
      <c r="H219" s="105" t="str">
        <f t="shared" si="2"/>
        <v>#DIV/0!</v>
      </c>
      <c r="I219" s="106" t="str">
        <f t="shared" si="3"/>
        <v>#DIV/0!</v>
      </c>
      <c r="J219" s="120">
        <v>48.44</v>
      </c>
      <c r="K219" s="278">
        <v>17507.0</v>
      </c>
      <c r="L219" s="296"/>
      <c r="M219" s="121">
        <v>0.0</v>
      </c>
      <c r="N219" s="109" t="str">
        <f>(J219/M219)</f>
        <v>#DIV/0!</v>
      </c>
      <c r="O219" s="110">
        <f t="shared" si="5"/>
        <v>0</v>
      </c>
      <c r="P219" s="109" t="str">
        <f t="shared" si="6"/>
        <v>#DIV/0!</v>
      </c>
      <c r="Q219" s="111" t="str">
        <f t="shared" si="7"/>
        <v>#DIV/0!</v>
      </c>
      <c r="R219" s="122">
        <f t="shared" si="128"/>
        <v>0</v>
      </c>
      <c r="S219" s="113" t="str">
        <f t="shared" si="9"/>
        <v>#DIV/0!</v>
      </c>
      <c r="T219" s="114"/>
      <c r="U219" s="114"/>
      <c r="V219" s="114"/>
      <c r="W219" s="114"/>
      <c r="X219" s="115"/>
      <c r="Y219" s="98"/>
      <c r="Z219" s="98"/>
    </row>
    <row r="220" hidden="1" outlineLevel="1">
      <c r="A220" s="293"/>
      <c r="B220" s="116"/>
      <c r="C220" s="294" t="s">
        <v>73</v>
      </c>
      <c r="D220" s="298"/>
      <c r="E220" s="296"/>
      <c r="F220" s="296"/>
      <c r="G220" s="104" t="str">
        <f t="shared" si="1"/>
        <v>#DIV/0!</v>
      </c>
      <c r="H220" s="105" t="str">
        <f t="shared" si="2"/>
        <v>#DIV/0!</v>
      </c>
      <c r="I220" s="106" t="str">
        <f t="shared" si="3"/>
        <v>#DIV/0!</v>
      </c>
      <c r="J220" s="120">
        <v>27.72</v>
      </c>
      <c r="K220" s="278">
        <v>6082.0</v>
      </c>
      <c r="L220" s="296"/>
      <c r="M220" s="121">
        <v>119.9</v>
      </c>
      <c r="N220" s="109">
        <f t="shared" ref="N220:N230" si="129">J220/M220</f>
        <v>0.2311926606</v>
      </c>
      <c r="O220" s="110">
        <f t="shared" si="5"/>
        <v>4.325396825</v>
      </c>
      <c r="P220" s="109" t="str">
        <f t="shared" si="6"/>
        <v>#DIV/0!</v>
      </c>
      <c r="Q220" s="111" t="str">
        <f t="shared" si="7"/>
        <v>#DIV/0!</v>
      </c>
      <c r="R220" s="122">
        <f t="shared" si="128"/>
        <v>-119.9</v>
      </c>
      <c r="S220" s="113" t="str">
        <f t="shared" si="9"/>
        <v>#DIV/0!</v>
      </c>
      <c r="T220" s="114"/>
      <c r="U220" s="114"/>
      <c r="V220" s="114"/>
      <c r="W220" s="114"/>
      <c r="X220" s="115"/>
      <c r="Y220" s="98"/>
      <c r="Z220" s="98"/>
    </row>
    <row r="221" hidden="1" outlineLevel="1">
      <c r="A221" s="293"/>
      <c r="B221" s="116"/>
      <c r="C221" s="294" t="s">
        <v>74</v>
      </c>
      <c r="D221" s="299"/>
      <c r="E221" s="296"/>
      <c r="F221" s="296"/>
      <c r="G221" s="104" t="str">
        <f t="shared" si="1"/>
        <v>#DIV/0!</v>
      </c>
      <c r="H221" s="105" t="str">
        <f t="shared" si="2"/>
        <v>#DIV/0!</v>
      </c>
      <c r="I221" s="106" t="str">
        <f t="shared" si="3"/>
        <v>#DIV/0!</v>
      </c>
      <c r="J221" s="300">
        <v>0.0</v>
      </c>
      <c r="K221" s="278">
        <v>0.0</v>
      </c>
      <c r="L221" s="296"/>
      <c r="M221" s="300">
        <v>0.0</v>
      </c>
      <c r="N221" s="109" t="str">
        <f t="shared" si="129"/>
        <v>#DIV/0!</v>
      </c>
      <c r="O221" s="110" t="str">
        <f t="shared" si="5"/>
        <v>#DIV/0!</v>
      </c>
      <c r="P221" s="109" t="str">
        <f t="shared" si="6"/>
        <v>#DIV/0!</v>
      </c>
      <c r="Q221" s="111" t="str">
        <f t="shared" si="7"/>
        <v>#DIV/0!</v>
      </c>
      <c r="R221" s="122">
        <f t="shared" si="128"/>
        <v>0</v>
      </c>
      <c r="S221" s="113" t="str">
        <f t="shared" si="9"/>
        <v>#DIV/0!</v>
      </c>
      <c r="T221" s="114"/>
      <c r="U221" s="114"/>
      <c r="V221" s="114"/>
      <c r="W221" s="114"/>
      <c r="X221" s="115"/>
      <c r="Y221" s="98"/>
      <c r="Z221" s="98"/>
    </row>
    <row r="222" hidden="1" outlineLevel="1">
      <c r="A222" s="293"/>
      <c r="B222" s="116"/>
      <c r="C222" s="294" t="s">
        <v>75</v>
      </c>
      <c r="D222" s="301"/>
      <c r="E222" s="296"/>
      <c r="F222" s="296"/>
      <c r="G222" s="104" t="str">
        <f t="shared" si="1"/>
        <v>#DIV/0!</v>
      </c>
      <c r="H222" s="105" t="str">
        <f t="shared" si="2"/>
        <v>#DIV/0!</v>
      </c>
      <c r="I222" s="106" t="str">
        <f t="shared" si="3"/>
        <v>#DIV/0!</v>
      </c>
      <c r="J222" s="302">
        <v>14.36</v>
      </c>
      <c r="K222" s="278">
        <v>3587.0</v>
      </c>
      <c r="L222" s="296"/>
      <c r="M222" s="303">
        <v>0.0</v>
      </c>
      <c r="N222" s="109" t="str">
        <f t="shared" si="129"/>
        <v>#DIV/0!</v>
      </c>
      <c r="O222" s="110">
        <f t="shared" si="5"/>
        <v>0</v>
      </c>
      <c r="P222" s="109" t="str">
        <f t="shared" si="6"/>
        <v>#DIV/0!</v>
      </c>
      <c r="Q222" s="111" t="str">
        <f t="shared" si="7"/>
        <v>#DIV/0!</v>
      </c>
      <c r="R222" s="304">
        <f t="shared" si="128"/>
        <v>0</v>
      </c>
      <c r="S222" s="113" t="str">
        <f t="shared" si="9"/>
        <v>#DIV/0!</v>
      </c>
      <c r="T222" s="114"/>
      <c r="U222" s="114"/>
      <c r="V222" s="114"/>
      <c r="W222" s="114"/>
      <c r="X222" s="115"/>
      <c r="Y222" s="98"/>
      <c r="Z222" s="98"/>
    </row>
    <row r="223" hidden="1" outlineLevel="1">
      <c r="A223" s="293"/>
      <c r="B223" s="116"/>
      <c r="C223" s="294" t="s">
        <v>76</v>
      </c>
      <c r="D223" s="298"/>
      <c r="E223" s="296"/>
      <c r="F223" s="296"/>
      <c r="G223" s="104" t="str">
        <f t="shared" si="1"/>
        <v>#DIV/0!</v>
      </c>
      <c r="H223" s="105" t="str">
        <f t="shared" si="2"/>
        <v>#DIV/0!</v>
      </c>
      <c r="I223" s="106" t="str">
        <f t="shared" si="3"/>
        <v>#DIV/0!</v>
      </c>
      <c r="J223" s="120">
        <v>32.43</v>
      </c>
      <c r="K223" s="278">
        <v>5146.0</v>
      </c>
      <c r="L223" s="296"/>
      <c r="M223" s="121">
        <v>64.95</v>
      </c>
      <c r="N223" s="109">
        <f t="shared" si="129"/>
        <v>0.4993071594</v>
      </c>
      <c r="O223" s="110">
        <f t="shared" si="5"/>
        <v>2.002775208</v>
      </c>
      <c r="P223" s="109" t="str">
        <f t="shared" si="6"/>
        <v>#DIV/0!</v>
      </c>
      <c r="Q223" s="111" t="str">
        <f t="shared" si="7"/>
        <v>#DIV/0!</v>
      </c>
      <c r="R223" s="122">
        <f t="shared" si="128"/>
        <v>-64.95</v>
      </c>
      <c r="S223" s="113" t="str">
        <f t="shared" si="9"/>
        <v>#DIV/0!</v>
      </c>
      <c r="T223" s="114"/>
      <c r="U223" s="114"/>
      <c r="V223" s="114"/>
      <c r="W223" s="114"/>
      <c r="X223" s="115"/>
      <c r="Y223" s="98"/>
      <c r="Z223" s="98"/>
    </row>
    <row r="224" hidden="1" outlineLevel="1">
      <c r="A224" s="293"/>
      <c r="B224" s="99" t="s">
        <v>37</v>
      </c>
      <c r="C224" s="294" t="s">
        <v>77</v>
      </c>
      <c r="D224" s="305"/>
      <c r="E224" s="296"/>
      <c r="F224" s="296"/>
      <c r="G224" s="104" t="str">
        <f t="shared" si="1"/>
        <v>#DIV/0!</v>
      </c>
      <c r="H224" s="105" t="str">
        <f t="shared" si="2"/>
        <v>#DIV/0!</v>
      </c>
      <c r="I224" s="106" t="str">
        <f t="shared" si="3"/>
        <v>#DIV/0!</v>
      </c>
      <c r="J224" s="123">
        <v>88.92</v>
      </c>
      <c r="K224" s="278">
        <v>19374.0</v>
      </c>
      <c r="L224" s="296"/>
      <c r="M224" s="124">
        <v>180.0</v>
      </c>
      <c r="N224" s="109">
        <f t="shared" si="129"/>
        <v>0.494</v>
      </c>
      <c r="O224" s="110">
        <f t="shared" si="5"/>
        <v>2.024291498</v>
      </c>
      <c r="P224" s="109" t="str">
        <f t="shared" si="6"/>
        <v>#DIV/0!</v>
      </c>
      <c r="Q224" s="111" t="str">
        <f t="shared" si="7"/>
        <v>#DIV/0!</v>
      </c>
      <c r="R224" s="125">
        <f t="shared" si="128"/>
        <v>-180</v>
      </c>
      <c r="S224" s="113" t="str">
        <f t="shared" si="9"/>
        <v>#DIV/0!</v>
      </c>
      <c r="T224" s="114"/>
      <c r="U224" s="114"/>
      <c r="V224" s="114"/>
      <c r="W224" s="114"/>
      <c r="X224" s="115"/>
      <c r="Y224" s="98"/>
      <c r="Z224" s="98"/>
    </row>
    <row r="225" hidden="1" outlineLevel="1">
      <c r="A225" s="293"/>
      <c r="B225" s="116"/>
      <c r="C225" s="294" t="s">
        <v>78</v>
      </c>
      <c r="D225" s="306"/>
      <c r="E225" s="296"/>
      <c r="F225" s="296"/>
      <c r="G225" s="104" t="str">
        <f t="shared" si="1"/>
        <v>#DIV/0!</v>
      </c>
      <c r="H225" s="105" t="str">
        <f t="shared" si="2"/>
        <v>#DIV/0!</v>
      </c>
      <c r="I225" s="106" t="str">
        <f t="shared" si="3"/>
        <v>#DIV/0!</v>
      </c>
      <c r="J225" s="126">
        <v>5.43</v>
      </c>
      <c r="K225" s="278">
        <v>1597.0</v>
      </c>
      <c r="L225" s="296"/>
      <c r="M225" s="127">
        <v>0.0</v>
      </c>
      <c r="N225" s="109" t="str">
        <f t="shared" si="129"/>
        <v>#DIV/0!</v>
      </c>
      <c r="O225" s="110">
        <f t="shared" si="5"/>
        <v>0</v>
      </c>
      <c r="P225" s="109" t="str">
        <f t="shared" si="6"/>
        <v>#DIV/0!</v>
      </c>
      <c r="Q225" s="111" t="str">
        <f t="shared" si="7"/>
        <v>#DIV/0!</v>
      </c>
      <c r="R225" s="128">
        <f t="shared" si="128"/>
        <v>0</v>
      </c>
      <c r="S225" s="113" t="str">
        <f t="shared" si="9"/>
        <v>#DIV/0!</v>
      </c>
      <c r="T225" s="114"/>
      <c r="U225" s="114"/>
      <c r="V225" s="114"/>
      <c r="W225" s="114"/>
      <c r="X225" s="115"/>
      <c r="Y225" s="98"/>
      <c r="Z225" s="98"/>
    </row>
    <row r="226" hidden="1" outlineLevel="1">
      <c r="A226" s="293"/>
      <c r="B226" s="116"/>
      <c r="C226" s="294" t="s">
        <v>79</v>
      </c>
      <c r="D226" s="307"/>
      <c r="E226" s="296"/>
      <c r="F226" s="296"/>
      <c r="G226" s="104" t="str">
        <f t="shared" si="1"/>
        <v>#DIV/0!</v>
      </c>
      <c r="H226" s="105" t="str">
        <f t="shared" si="2"/>
        <v>#DIV/0!</v>
      </c>
      <c r="I226" s="106" t="str">
        <f t="shared" si="3"/>
        <v>#DIV/0!</v>
      </c>
      <c r="J226" s="129">
        <v>4.51</v>
      </c>
      <c r="K226" s="278">
        <v>1477.0</v>
      </c>
      <c r="L226" s="296"/>
      <c r="M226" s="130">
        <v>46.56</v>
      </c>
      <c r="N226" s="109">
        <f t="shared" si="129"/>
        <v>0.09686426117</v>
      </c>
      <c r="O226" s="110">
        <f t="shared" si="5"/>
        <v>10.32372506</v>
      </c>
      <c r="P226" s="109" t="str">
        <f t="shared" si="6"/>
        <v>#DIV/0!</v>
      </c>
      <c r="Q226" s="111" t="str">
        <f t="shared" si="7"/>
        <v>#DIV/0!</v>
      </c>
      <c r="R226" s="131">
        <f t="shared" si="128"/>
        <v>-46.56</v>
      </c>
      <c r="S226" s="113" t="str">
        <f t="shared" si="9"/>
        <v>#DIV/0!</v>
      </c>
      <c r="T226" s="114"/>
      <c r="U226" s="114"/>
      <c r="V226" s="114"/>
      <c r="W226" s="114"/>
      <c r="X226" s="115"/>
      <c r="Y226" s="98"/>
      <c r="Z226" s="98"/>
    </row>
    <row r="227" hidden="1" outlineLevel="1">
      <c r="A227" s="310" t="str">
        <f t="shared" ref="A227:A228" si="130">iferror(if(B227&gt;0,month(B227)&amp;"-"&amp;year(B227),B227),)</f>
        <v>6-2025</v>
      </c>
      <c r="B227" s="99">
        <v>45836.0</v>
      </c>
      <c r="C227" s="294" t="s">
        <v>81</v>
      </c>
      <c r="D227" s="311"/>
      <c r="E227" s="296"/>
      <c r="F227" s="296"/>
      <c r="G227" s="104" t="str">
        <f t="shared" si="1"/>
        <v>#DIV/0!</v>
      </c>
      <c r="H227" s="105" t="str">
        <f t="shared" si="2"/>
        <v>#DIV/0!</v>
      </c>
      <c r="I227" s="106" t="str">
        <f t="shared" si="3"/>
        <v>#DIV/0!</v>
      </c>
      <c r="J227" s="117">
        <v>0.0</v>
      </c>
      <c r="K227" s="278">
        <v>0.0</v>
      </c>
      <c r="L227" s="296"/>
      <c r="M227" s="118">
        <v>0.0</v>
      </c>
      <c r="N227" s="109" t="str">
        <f t="shared" si="129"/>
        <v>#DIV/0!</v>
      </c>
      <c r="O227" s="110" t="str">
        <f t="shared" si="5"/>
        <v>#DIV/0!</v>
      </c>
      <c r="P227" s="109" t="str">
        <f t="shared" si="6"/>
        <v>#DIV/0!</v>
      </c>
      <c r="Q227" s="111" t="str">
        <f t="shared" si="7"/>
        <v>#DIV/0!</v>
      </c>
      <c r="R227" s="112">
        <f t="shared" si="128"/>
        <v>0</v>
      </c>
      <c r="S227" s="113" t="str">
        <f t="shared" si="9"/>
        <v>#DIV/0!</v>
      </c>
      <c r="T227" s="114"/>
      <c r="U227" s="114"/>
      <c r="V227" s="114"/>
      <c r="W227" s="114"/>
      <c r="X227" s="115"/>
      <c r="Y227" s="98"/>
      <c r="Z227" s="98"/>
    </row>
    <row r="228" collapsed="1">
      <c r="A228" s="293" t="str">
        <f t="shared" si="130"/>
        <v/>
      </c>
      <c r="B228" s="80" t="s">
        <v>113</v>
      </c>
      <c r="C228" s="312"/>
      <c r="D228" s="151">
        <f t="shared" ref="D228:F228" si="131">SUM(D217:D227)</f>
        <v>0</v>
      </c>
      <c r="E228" s="153">
        <f t="shared" si="131"/>
        <v>0</v>
      </c>
      <c r="F228" s="153">
        <f t="shared" si="131"/>
        <v>0</v>
      </c>
      <c r="G228" s="154" t="str">
        <f t="shared" si="1"/>
        <v>#DIV/0!</v>
      </c>
      <c r="H228" s="155" t="str">
        <f t="shared" si="2"/>
        <v>#DIV/0!</v>
      </c>
      <c r="I228" s="156" t="str">
        <f t="shared" si="3"/>
        <v>#DIV/0!</v>
      </c>
      <c r="J228" s="151">
        <f t="shared" ref="J228:M228" si="132">SUM(J217:J227)</f>
        <v>243.22</v>
      </c>
      <c r="K228" s="313">
        <f t="shared" si="132"/>
        <v>63423</v>
      </c>
      <c r="L228" s="153">
        <f t="shared" si="132"/>
        <v>0</v>
      </c>
      <c r="M228" s="157">
        <f t="shared" si="132"/>
        <v>411.41</v>
      </c>
      <c r="N228" s="158">
        <f t="shared" si="129"/>
        <v>0.5911864077</v>
      </c>
      <c r="O228" s="159">
        <f t="shared" si="5"/>
        <v>1.691513856</v>
      </c>
      <c r="P228" s="158" t="str">
        <f t="shared" si="6"/>
        <v>#DIV/0!</v>
      </c>
      <c r="Q228" s="160" t="str">
        <f t="shared" si="7"/>
        <v>#DIV/0!</v>
      </c>
      <c r="R228" s="161">
        <f>SUM(R217:R227)</f>
        <v>-411.41</v>
      </c>
      <c r="S228" s="162" t="str">
        <f t="shared" si="9"/>
        <v>#DIV/0!</v>
      </c>
      <c r="T228" s="164" t="str">
        <f t="shared" ref="T228:U228" si="133">IFERROR((D228-D48)/D228,)</f>
        <v/>
      </c>
      <c r="U228" s="164" t="str">
        <f t="shared" si="133"/>
        <v/>
      </c>
      <c r="V228" s="164" t="str">
        <f t="shared" ref="V228:W228" si="134">IFERROR((D228-monthly_reporting_2021!D19)/D228, )</f>
        <v/>
      </c>
      <c r="W228" s="164" t="str">
        <f t="shared" si="134"/>
        <v/>
      </c>
      <c r="X228" s="98"/>
      <c r="Y228" s="98"/>
      <c r="Z228" s="98"/>
    </row>
    <row r="229" hidden="1" outlineLevel="1">
      <c r="A229" s="293"/>
      <c r="B229" s="99">
        <v>45837.0</v>
      </c>
      <c r="C229" s="294" t="s">
        <v>70</v>
      </c>
      <c r="D229" s="295"/>
      <c r="E229" s="296"/>
      <c r="F229" s="296"/>
      <c r="G229" s="104" t="str">
        <f t="shared" si="1"/>
        <v>#DIV/0!</v>
      </c>
      <c r="H229" s="105" t="str">
        <f t="shared" si="2"/>
        <v>#DIV/0!</v>
      </c>
      <c r="I229" s="106" t="str">
        <f t="shared" si="3"/>
        <v>#DIV/0!</v>
      </c>
      <c r="J229" s="107">
        <v>4.91</v>
      </c>
      <c r="K229" s="278">
        <v>3175.0</v>
      </c>
      <c r="L229" s="296"/>
      <c r="M229" s="108">
        <v>0.0</v>
      </c>
      <c r="N229" s="109" t="str">
        <f t="shared" si="129"/>
        <v>#DIV/0!</v>
      </c>
      <c r="O229" s="110">
        <f t="shared" si="5"/>
        <v>0</v>
      </c>
      <c r="P229" s="109" t="str">
        <f t="shared" si="6"/>
        <v>#DIV/0!</v>
      </c>
      <c r="Q229" s="111" t="str">
        <f t="shared" si="7"/>
        <v>#DIV/0!</v>
      </c>
      <c r="R229" s="112">
        <f t="shared" ref="R229:R239" si="135">D229-M229</f>
        <v>0</v>
      </c>
      <c r="S229" s="113" t="str">
        <f t="shared" si="9"/>
        <v>#DIV/0!</v>
      </c>
      <c r="T229" s="114"/>
      <c r="U229" s="114"/>
      <c r="V229" s="114"/>
      <c r="W229" s="114"/>
      <c r="X229" s="115"/>
      <c r="Y229" s="98"/>
      <c r="Z229" s="98"/>
    </row>
    <row r="230" hidden="1" outlineLevel="1">
      <c r="A230" s="293"/>
      <c r="B230" s="116"/>
      <c r="C230" s="294" t="s">
        <v>71</v>
      </c>
      <c r="D230" s="297"/>
      <c r="E230" s="296"/>
      <c r="F230" s="296"/>
      <c r="G230" s="104" t="str">
        <f t="shared" si="1"/>
        <v>#DIV/0!</v>
      </c>
      <c r="H230" s="105" t="str">
        <f t="shared" si="2"/>
        <v>#DIV/0!</v>
      </c>
      <c r="I230" s="106" t="str">
        <f t="shared" si="3"/>
        <v>#DIV/0!</v>
      </c>
      <c r="J230" s="117">
        <v>5.56</v>
      </c>
      <c r="K230" s="278">
        <v>3758.0</v>
      </c>
      <c r="L230" s="296"/>
      <c r="M230" s="118">
        <v>0.0</v>
      </c>
      <c r="N230" s="109" t="str">
        <f t="shared" si="129"/>
        <v>#DIV/0!</v>
      </c>
      <c r="O230" s="110">
        <f t="shared" si="5"/>
        <v>0</v>
      </c>
      <c r="P230" s="109" t="str">
        <f t="shared" si="6"/>
        <v>#DIV/0!</v>
      </c>
      <c r="Q230" s="111" t="str">
        <f t="shared" si="7"/>
        <v>#DIV/0!</v>
      </c>
      <c r="R230" s="119">
        <f t="shared" si="135"/>
        <v>0</v>
      </c>
      <c r="S230" s="113" t="str">
        <f t="shared" si="9"/>
        <v>#DIV/0!</v>
      </c>
      <c r="T230" s="114"/>
      <c r="U230" s="114"/>
      <c r="V230" s="114"/>
      <c r="W230" s="114"/>
      <c r="X230" s="115"/>
      <c r="Y230" s="98"/>
      <c r="Z230" s="98"/>
    </row>
    <row r="231" hidden="1" outlineLevel="1">
      <c r="A231" s="293"/>
      <c r="B231" s="116"/>
      <c r="C231" s="294" t="s">
        <v>72</v>
      </c>
      <c r="D231" s="298"/>
      <c r="E231" s="296"/>
      <c r="F231" s="296"/>
      <c r="G231" s="104" t="str">
        <f t="shared" si="1"/>
        <v>#DIV/0!</v>
      </c>
      <c r="H231" s="105" t="str">
        <f t="shared" si="2"/>
        <v>#DIV/0!</v>
      </c>
      <c r="I231" s="106" t="str">
        <f t="shared" si="3"/>
        <v>#DIV/0!</v>
      </c>
      <c r="J231" s="120">
        <v>53.89</v>
      </c>
      <c r="K231" s="278">
        <v>14937.0</v>
      </c>
      <c r="L231" s="296"/>
      <c r="M231" s="121">
        <v>0.0</v>
      </c>
      <c r="N231" s="109" t="str">
        <f>(J231/M231)</f>
        <v>#DIV/0!</v>
      </c>
      <c r="O231" s="110">
        <f t="shared" si="5"/>
        <v>0</v>
      </c>
      <c r="P231" s="109" t="str">
        <f t="shared" si="6"/>
        <v>#DIV/0!</v>
      </c>
      <c r="Q231" s="111" t="str">
        <f t="shared" si="7"/>
        <v>#DIV/0!</v>
      </c>
      <c r="R231" s="122">
        <f t="shared" si="135"/>
        <v>0</v>
      </c>
      <c r="S231" s="113" t="str">
        <f t="shared" si="9"/>
        <v>#DIV/0!</v>
      </c>
      <c r="T231" s="114"/>
      <c r="U231" s="114"/>
      <c r="V231" s="114"/>
      <c r="W231" s="114"/>
      <c r="X231" s="115"/>
      <c r="Y231" s="98"/>
      <c r="Z231" s="98"/>
    </row>
    <row r="232" hidden="1" outlineLevel="1">
      <c r="A232" s="293"/>
      <c r="B232" s="116"/>
      <c r="C232" s="294" t="s">
        <v>73</v>
      </c>
      <c r="D232" s="298"/>
      <c r="E232" s="296"/>
      <c r="F232" s="296"/>
      <c r="G232" s="104" t="str">
        <f t="shared" si="1"/>
        <v>#DIV/0!</v>
      </c>
      <c r="H232" s="105" t="str">
        <f t="shared" si="2"/>
        <v>#DIV/0!</v>
      </c>
      <c r="I232" s="106" t="str">
        <f t="shared" si="3"/>
        <v>#DIV/0!</v>
      </c>
      <c r="J232" s="120">
        <v>2.56</v>
      </c>
      <c r="K232" s="278">
        <v>1277.0</v>
      </c>
      <c r="L232" s="296"/>
      <c r="M232" s="121">
        <v>0.0</v>
      </c>
      <c r="N232" s="109" t="str">
        <f t="shared" ref="N232:N242" si="136">J232/M232</f>
        <v>#DIV/0!</v>
      </c>
      <c r="O232" s="110">
        <f t="shared" si="5"/>
        <v>0</v>
      </c>
      <c r="P232" s="109" t="str">
        <f t="shared" si="6"/>
        <v>#DIV/0!</v>
      </c>
      <c r="Q232" s="111" t="str">
        <f t="shared" si="7"/>
        <v>#DIV/0!</v>
      </c>
      <c r="R232" s="122">
        <f t="shared" si="135"/>
        <v>0</v>
      </c>
      <c r="S232" s="113" t="str">
        <f t="shared" si="9"/>
        <v>#DIV/0!</v>
      </c>
      <c r="T232" s="114"/>
      <c r="U232" s="114"/>
      <c r="V232" s="114"/>
      <c r="W232" s="114"/>
      <c r="X232" s="115"/>
      <c r="Y232" s="98"/>
      <c r="Z232" s="98"/>
    </row>
    <row r="233" hidden="1" outlineLevel="1">
      <c r="A233" s="293"/>
      <c r="B233" s="116"/>
      <c r="C233" s="294" t="s">
        <v>74</v>
      </c>
      <c r="D233" s="299"/>
      <c r="E233" s="296"/>
      <c r="F233" s="296"/>
      <c r="G233" s="104" t="str">
        <f t="shared" si="1"/>
        <v>#DIV/0!</v>
      </c>
      <c r="H233" s="105" t="str">
        <f t="shared" si="2"/>
        <v>#DIV/0!</v>
      </c>
      <c r="I233" s="106" t="str">
        <f t="shared" si="3"/>
        <v>#DIV/0!</v>
      </c>
      <c r="J233" s="300">
        <v>0.02</v>
      </c>
      <c r="K233" s="278">
        <v>19.0</v>
      </c>
      <c r="L233" s="296"/>
      <c r="M233" s="300">
        <v>0.0</v>
      </c>
      <c r="N233" s="109" t="str">
        <f t="shared" si="136"/>
        <v>#DIV/0!</v>
      </c>
      <c r="O233" s="110">
        <f t="shared" si="5"/>
        <v>0</v>
      </c>
      <c r="P233" s="109" t="str">
        <f t="shared" si="6"/>
        <v>#DIV/0!</v>
      </c>
      <c r="Q233" s="111" t="str">
        <f t="shared" si="7"/>
        <v>#DIV/0!</v>
      </c>
      <c r="R233" s="122">
        <f t="shared" si="135"/>
        <v>0</v>
      </c>
      <c r="S233" s="113" t="str">
        <f t="shared" si="9"/>
        <v>#DIV/0!</v>
      </c>
      <c r="T233" s="114"/>
      <c r="U233" s="114"/>
      <c r="V233" s="114"/>
      <c r="W233" s="114"/>
      <c r="X233" s="115"/>
      <c r="Y233" s="98"/>
      <c r="Z233" s="98"/>
    </row>
    <row r="234" hidden="1" outlineLevel="1">
      <c r="A234" s="293"/>
      <c r="B234" s="116"/>
      <c r="C234" s="294" t="s">
        <v>75</v>
      </c>
      <c r="D234" s="301"/>
      <c r="E234" s="296"/>
      <c r="F234" s="296"/>
      <c r="G234" s="104" t="str">
        <f t="shared" si="1"/>
        <v>#DIV/0!</v>
      </c>
      <c r="H234" s="105" t="str">
        <f t="shared" si="2"/>
        <v>#DIV/0!</v>
      </c>
      <c r="I234" s="106" t="str">
        <f t="shared" si="3"/>
        <v>#DIV/0!</v>
      </c>
      <c r="J234" s="302">
        <v>37.57</v>
      </c>
      <c r="K234" s="278">
        <v>7835.0</v>
      </c>
      <c r="L234" s="296"/>
      <c r="M234" s="303">
        <v>44.95</v>
      </c>
      <c r="N234" s="109">
        <f t="shared" si="136"/>
        <v>0.8358175751</v>
      </c>
      <c r="O234" s="110">
        <f t="shared" si="5"/>
        <v>1.196433324</v>
      </c>
      <c r="P234" s="109" t="str">
        <f t="shared" si="6"/>
        <v>#DIV/0!</v>
      </c>
      <c r="Q234" s="111" t="str">
        <f t="shared" si="7"/>
        <v>#DIV/0!</v>
      </c>
      <c r="R234" s="304">
        <f t="shared" si="135"/>
        <v>-44.95</v>
      </c>
      <c r="S234" s="113" t="str">
        <f t="shared" si="9"/>
        <v>#DIV/0!</v>
      </c>
      <c r="T234" s="114"/>
      <c r="U234" s="114"/>
      <c r="V234" s="114"/>
      <c r="W234" s="114"/>
      <c r="X234" s="115"/>
      <c r="Y234" s="98"/>
      <c r="Z234" s="98"/>
    </row>
    <row r="235" hidden="1" outlineLevel="1">
      <c r="A235" s="293"/>
      <c r="B235" s="116"/>
      <c r="C235" s="294" t="s">
        <v>76</v>
      </c>
      <c r="D235" s="298"/>
      <c r="E235" s="296"/>
      <c r="F235" s="296"/>
      <c r="G235" s="104" t="str">
        <f t="shared" si="1"/>
        <v>#DIV/0!</v>
      </c>
      <c r="H235" s="105" t="str">
        <f t="shared" si="2"/>
        <v>#DIV/0!</v>
      </c>
      <c r="I235" s="106" t="str">
        <f t="shared" si="3"/>
        <v>#DIV/0!</v>
      </c>
      <c r="J235" s="120">
        <v>21.6</v>
      </c>
      <c r="K235" s="278">
        <v>2991.0</v>
      </c>
      <c r="L235" s="296"/>
      <c r="M235" s="121">
        <v>0.0</v>
      </c>
      <c r="N235" s="109" t="str">
        <f t="shared" si="136"/>
        <v>#DIV/0!</v>
      </c>
      <c r="O235" s="110">
        <f t="shared" si="5"/>
        <v>0</v>
      </c>
      <c r="P235" s="109" t="str">
        <f t="shared" si="6"/>
        <v>#DIV/0!</v>
      </c>
      <c r="Q235" s="111" t="str">
        <f t="shared" si="7"/>
        <v>#DIV/0!</v>
      </c>
      <c r="R235" s="122">
        <f t="shared" si="135"/>
        <v>0</v>
      </c>
      <c r="S235" s="113" t="str">
        <f t="shared" si="9"/>
        <v>#DIV/0!</v>
      </c>
      <c r="T235" s="114"/>
      <c r="U235" s="114"/>
      <c r="V235" s="114"/>
      <c r="W235" s="114"/>
      <c r="X235" s="115"/>
      <c r="Y235" s="98"/>
      <c r="Z235" s="98"/>
    </row>
    <row r="236" hidden="1" outlineLevel="1">
      <c r="A236" s="293"/>
      <c r="B236" s="99" t="s">
        <v>37</v>
      </c>
      <c r="C236" s="294" t="s">
        <v>77</v>
      </c>
      <c r="D236" s="305"/>
      <c r="E236" s="296"/>
      <c r="F236" s="296"/>
      <c r="G236" s="104" t="str">
        <f t="shared" si="1"/>
        <v>#DIV/0!</v>
      </c>
      <c r="H236" s="105" t="str">
        <f t="shared" si="2"/>
        <v>#DIV/0!</v>
      </c>
      <c r="I236" s="106" t="str">
        <f t="shared" si="3"/>
        <v>#DIV/0!</v>
      </c>
      <c r="J236" s="123">
        <v>40.0</v>
      </c>
      <c r="K236" s="278">
        <v>13431.0</v>
      </c>
      <c r="L236" s="296"/>
      <c r="M236" s="124">
        <v>0.0</v>
      </c>
      <c r="N236" s="109" t="str">
        <f t="shared" si="136"/>
        <v>#DIV/0!</v>
      </c>
      <c r="O236" s="110">
        <f t="shared" si="5"/>
        <v>0</v>
      </c>
      <c r="P236" s="109" t="str">
        <f t="shared" si="6"/>
        <v>#DIV/0!</v>
      </c>
      <c r="Q236" s="111" t="str">
        <f t="shared" si="7"/>
        <v>#DIV/0!</v>
      </c>
      <c r="R236" s="125">
        <f t="shared" si="135"/>
        <v>0</v>
      </c>
      <c r="S236" s="113" t="str">
        <f t="shared" si="9"/>
        <v>#DIV/0!</v>
      </c>
      <c r="T236" s="114"/>
      <c r="U236" s="114"/>
      <c r="V236" s="114"/>
      <c r="W236" s="114"/>
      <c r="X236" s="115"/>
      <c r="Y236" s="98"/>
      <c r="Z236" s="98"/>
    </row>
    <row r="237" hidden="1" outlineLevel="1">
      <c r="A237" s="293"/>
      <c r="B237" s="116"/>
      <c r="C237" s="294" t="s">
        <v>78</v>
      </c>
      <c r="D237" s="306"/>
      <c r="E237" s="296"/>
      <c r="F237" s="296"/>
      <c r="G237" s="104" t="str">
        <f t="shared" si="1"/>
        <v>#DIV/0!</v>
      </c>
      <c r="H237" s="105" t="str">
        <f t="shared" si="2"/>
        <v>#DIV/0!</v>
      </c>
      <c r="I237" s="106" t="str">
        <f t="shared" si="3"/>
        <v>#DIV/0!</v>
      </c>
      <c r="J237" s="126">
        <v>31.2</v>
      </c>
      <c r="K237" s="278">
        <v>7513.0</v>
      </c>
      <c r="L237" s="296"/>
      <c r="M237" s="127">
        <v>0.0</v>
      </c>
      <c r="N237" s="109" t="str">
        <f t="shared" si="136"/>
        <v>#DIV/0!</v>
      </c>
      <c r="O237" s="110">
        <f t="shared" si="5"/>
        <v>0</v>
      </c>
      <c r="P237" s="109" t="str">
        <f t="shared" si="6"/>
        <v>#DIV/0!</v>
      </c>
      <c r="Q237" s="111" t="str">
        <f t="shared" si="7"/>
        <v>#DIV/0!</v>
      </c>
      <c r="R237" s="128">
        <f t="shared" si="135"/>
        <v>0</v>
      </c>
      <c r="S237" s="113" t="str">
        <f t="shared" si="9"/>
        <v>#DIV/0!</v>
      </c>
      <c r="T237" s="114"/>
      <c r="U237" s="114"/>
      <c r="V237" s="114"/>
      <c r="W237" s="114"/>
      <c r="X237" s="115"/>
      <c r="Y237" s="98"/>
      <c r="Z237" s="98"/>
    </row>
    <row r="238" hidden="1" outlineLevel="1">
      <c r="A238" s="293"/>
      <c r="B238" s="116"/>
      <c r="C238" s="294" t="s">
        <v>79</v>
      </c>
      <c r="D238" s="307"/>
      <c r="E238" s="296"/>
      <c r="F238" s="296"/>
      <c r="G238" s="104" t="str">
        <f t="shared" si="1"/>
        <v>#DIV/0!</v>
      </c>
      <c r="H238" s="105" t="str">
        <f t="shared" si="2"/>
        <v>#DIV/0!</v>
      </c>
      <c r="I238" s="106" t="str">
        <f t="shared" si="3"/>
        <v>#DIV/0!</v>
      </c>
      <c r="J238" s="129">
        <v>38.86</v>
      </c>
      <c r="K238" s="278">
        <v>9256.0</v>
      </c>
      <c r="L238" s="296"/>
      <c r="M238" s="130">
        <v>87.9</v>
      </c>
      <c r="N238" s="109">
        <f t="shared" si="136"/>
        <v>0.4420932878</v>
      </c>
      <c r="O238" s="110">
        <f t="shared" si="5"/>
        <v>2.261966032</v>
      </c>
      <c r="P238" s="109" t="str">
        <f t="shared" si="6"/>
        <v>#DIV/0!</v>
      </c>
      <c r="Q238" s="111" t="str">
        <f t="shared" si="7"/>
        <v>#DIV/0!</v>
      </c>
      <c r="R238" s="131">
        <f t="shared" si="135"/>
        <v>-87.9</v>
      </c>
      <c r="S238" s="113" t="str">
        <f t="shared" si="9"/>
        <v>#DIV/0!</v>
      </c>
      <c r="T238" s="114"/>
      <c r="U238" s="114"/>
      <c r="V238" s="114"/>
      <c r="W238" s="114"/>
      <c r="X238" s="115"/>
      <c r="Y238" s="98"/>
      <c r="Z238" s="98"/>
    </row>
    <row r="239" hidden="1" outlineLevel="1">
      <c r="A239" s="310" t="str">
        <f t="shared" ref="A239:A240" si="137">iferror(if(B239&gt;0,month(B239)&amp;"-"&amp;year(B239),B239),)</f>
        <v>7-2025</v>
      </c>
      <c r="B239" s="99">
        <v>45843.0</v>
      </c>
      <c r="C239" s="294" t="s">
        <v>81</v>
      </c>
      <c r="D239" s="311"/>
      <c r="E239" s="296"/>
      <c r="F239" s="296"/>
      <c r="G239" s="104" t="str">
        <f t="shared" si="1"/>
        <v>#DIV/0!</v>
      </c>
      <c r="H239" s="105" t="str">
        <f t="shared" si="2"/>
        <v>#DIV/0!</v>
      </c>
      <c r="I239" s="106" t="str">
        <f t="shared" si="3"/>
        <v>#DIV/0!</v>
      </c>
      <c r="J239" s="117">
        <v>0.0</v>
      </c>
      <c r="K239" s="278">
        <v>0.0</v>
      </c>
      <c r="L239" s="296"/>
      <c r="M239" s="118">
        <v>0.0</v>
      </c>
      <c r="N239" s="109" t="str">
        <f t="shared" si="136"/>
        <v>#DIV/0!</v>
      </c>
      <c r="O239" s="110" t="str">
        <f t="shared" si="5"/>
        <v>#DIV/0!</v>
      </c>
      <c r="P239" s="109" t="str">
        <f t="shared" si="6"/>
        <v>#DIV/0!</v>
      </c>
      <c r="Q239" s="111" t="str">
        <f t="shared" si="7"/>
        <v>#DIV/0!</v>
      </c>
      <c r="R239" s="112">
        <f t="shared" si="135"/>
        <v>0</v>
      </c>
      <c r="S239" s="113" t="str">
        <f t="shared" si="9"/>
        <v>#DIV/0!</v>
      </c>
      <c r="T239" s="114"/>
      <c r="U239" s="114"/>
      <c r="V239" s="114"/>
      <c r="W239" s="114"/>
      <c r="X239" s="115"/>
      <c r="Y239" s="98"/>
      <c r="Z239" s="98"/>
    </row>
    <row r="240" collapsed="1">
      <c r="A240" s="293" t="str">
        <f t="shared" si="137"/>
        <v/>
      </c>
      <c r="B240" s="80" t="s">
        <v>114</v>
      </c>
      <c r="C240" s="312"/>
      <c r="D240" s="151">
        <f t="shared" ref="D240:F240" si="138">SUM(D229:D239)</f>
        <v>0</v>
      </c>
      <c r="E240" s="153">
        <f t="shared" si="138"/>
        <v>0</v>
      </c>
      <c r="F240" s="153">
        <f t="shared" si="138"/>
        <v>0</v>
      </c>
      <c r="G240" s="154" t="str">
        <f t="shared" si="1"/>
        <v>#DIV/0!</v>
      </c>
      <c r="H240" s="155" t="str">
        <f t="shared" si="2"/>
        <v>#DIV/0!</v>
      </c>
      <c r="I240" s="156" t="str">
        <f t="shared" si="3"/>
        <v>#DIV/0!</v>
      </c>
      <c r="J240" s="151">
        <f t="shared" ref="J240:M240" si="139">SUM(J229:J239)</f>
        <v>236.17</v>
      </c>
      <c r="K240" s="313">
        <f t="shared" si="139"/>
        <v>64192</v>
      </c>
      <c r="L240" s="153">
        <f t="shared" si="139"/>
        <v>0</v>
      </c>
      <c r="M240" s="157">
        <f t="shared" si="139"/>
        <v>132.85</v>
      </c>
      <c r="N240" s="158">
        <f t="shared" si="136"/>
        <v>1.777719232</v>
      </c>
      <c r="O240" s="159">
        <f t="shared" si="5"/>
        <v>0.5625185248</v>
      </c>
      <c r="P240" s="158" t="str">
        <f t="shared" si="6"/>
        <v>#DIV/0!</v>
      </c>
      <c r="Q240" s="160" t="str">
        <f t="shared" si="7"/>
        <v>#DIV/0!</v>
      </c>
      <c r="R240" s="161">
        <f>SUM(R229:R239)</f>
        <v>-132.85</v>
      </c>
      <c r="S240" s="162" t="str">
        <f t="shared" si="9"/>
        <v>#DIV/0!</v>
      </c>
      <c r="T240" s="164" t="str">
        <f t="shared" ref="T240:U240" si="140">IFERROR((D240-D48)/D240,)</f>
        <v/>
      </c>
      <c r="U240" s="164" t="str">
        <f t="shared" si="140"/>
        <v/>
      </c>
      <c r="V240" s="164" t="str">
        <f t="shared" ref="V240:W240" si="141">IFERROR((D240-monthly_reporting_2021!D31)/D240, )</f>
        <v/>
      </c>
      <c r="W240" s="164" t="str">
        <f t="shared" si="141"/>
        <v/>
      </c>
      <c r="X240" s="98"/>
      <c r="Y240" s="98"/>
      <c r="Z240" s="98"/>
    </row>
    <row r="241" hidden="1" outlineLevel="1">
      <c r="A241" s="293"/>
      <c r="B241" s="99">
        <v>45844.0</v>
      </c>
      <c r="C241" s="294" t="s">
        <v>70</v>
      </c>
      <c r="D241" s="295"/>
      <c r="E241" s="296"/>
      <c r="F241" s="296"/>
      <c r="G241" s="104" t="str">
        <f t="shared" si="1"/>
        <v>#DIV/0!</v>
      </c>
      <c r="H241" s="105" t="str">
        <f t="shared" si="2"/>
        <v>#DIV/0!</v>
      </c>
      <c r="I241" s="106" t="str">
        <f t="shared" si="3"/>
        <v>#DIV/0!</v>
      </c>
      <c r="J241" s="107">
        <v>70.31</v>
      </c>
      <c r="K241" s="278">
        <v>18559.0</v>
      </c>
      <c r="L241" s="296"/>
      <c r="M241" s="108">
        <v>2554.81</v>
      </c>
      <c r="N241" s="109">
        <f t="shared" si="136"/>
        <v>0.02752063754</v>
      </c>
      <c r="O241" s="110">
        <f t="shared" si="5"/>
        <v>36.33636752</v>
      </c>
      <c r="P241" s="109" t="str">
        <f t="shared" si="6"/>
        <v>#DIV/0!</v>
      </c>
      <c r="Q241" s="111" t="str">
        <f t="shared" si="7"/>
        <v>#DIV/0!</v>
      </c>
      <c r="R241" s="112">
        <f t="shared" ref="R241:R251" si="142">D241-M241</f>
        <v>-2554.81</v>
      </c>
      <c r="S241" s="113" t="str">
        <f t="shared" si="9"/>
        <v>#DIV/0!</v>
      </c>
      <c r="T241" s="114"/>
      <c r="U241" s="114"/>
      <c r="V241" s="114"/>
      <c r="W241" s="114"/>
      <c r="X241" s="115"/>
      <c r="Y241" s="98"/>
      <c r="Z241" s="98"/>
    </row>
    <row r="242" hidden="1" outlineLevel="1">
      <c r="A242" s="293"/>
      <c r="B242" s="116"/>
      <c r="C242" s="294" t="s">
        <v>71</v>
      </c>
      <c r="D242" s="297"/>
      <c r="E242" s="296"/>
      <c r="F242" s="296"/>
      <c r="G242" s="104" t="str">
        <f t="shared" si="1"/>
        <v>#DIV/0!</v>
      </c>
      <c r="H242" s="105" t="str">
        <f t="shared" si="2"/>
        <v>#DIV/0!</v>
      </c>
      <c r="I242" s="106" t="str">
        <f t="shared" si="3"/>
        <v>#DIV/0!</v>
      </c>
      <c r="J242" s="117">
        <v>1.65</v>
      </c>
      <c r="K242" s="278">
        <v>1311.0</v>
      </c>
      <c r="L242" s="296"/>
      <c r="M242" s="118">
        <v>0.0</v>
      </c>
      <c r="N242" s="109" t="str">
        <f t="shared" si="136"/>
        <v>#DIV/0!</v>
      </c>
      <c r="O242" s="110">
        <f t="shared" si="5"/>
        <v>0</v>
      </c>
      <c r="P242" s="109" t="str">
        <f t="shared" si="6"/>
        <v>#DIV/0!</v>
      </c>
      <c r="Q242" s="111" t="str">
        <f t="shared" si="7"/>
        <v>#DIV/0!</v>
      </c>
      <c r="R242" s="119">
        <f t="shared" si="142"/>
        <v>0</v>
      </c>
      <c r="S242" s="113" t="str">
        <f t="shared" si="9"/>
        <v>#DIV/0!</v>
      </c>
      <c r="T242" s="114"/>
      <c r="U242" s="114"/>
      <c r="V242" s="114"/>
      <c r="W242" s="114"/>
      <c r="X242" s="115"/>
      <c r="Y242" s="98"/>
      <c r="Z242" s="98"/>
    </row>
    <row r="243" hidden="1" outlineLevel="1">
      <c r="A243" s="293"/>
      <c r="B243" s="116"/>
      <c r="C243" s="294" t="s">
        <v>72</v>
      </c>
      <c r="D243" s="298"/>
      <c r="E243" s="296"/>
      <c r="F243" s="296"/>
      <c r="G243" s="104" t="str">
        <f t="shared" si="1"/>
        <v>#DIV/0!</v>
      </c>
      <c r="H243" s="105" t="str">
        <f t="shared" si="2"/>
        <v>#DIV/0!</v>
      </c>
      <c r="I243" s="106" t="str">
        <f t="shared" si="3"/>
        <v>#DIV/0!</v>
      </c>
      <c r="J243" s="120">
        <v>22.95</v>
      </c>
      <c r="K243" s="278">
        <v>6777.0</v>
      </c>
      <c r="L243" s="296"/>
      <c r="M243" s="121">
        <v>0.0</v>
      </c>
      <c r="N243" s="109" t="str">
        <f>(J243/M243)</f>
        <v>#DIV/0!</v>
      </c>
      <c r="O243" s="110">
        <f t="shared" si="5"/>
        <v>0</v>
      </c>
      <c r="P243" s="109" t="str">
        <f t="shared" si="6"/>
        <v>#DIV/0!</v>
      </c>
      <c r="Q243" s="111" t="str">
        <f t="shared" si="7"/>
        <v>#DIV/0!</v>
      </c>
      <c r="R243" s="122">
        <f t="shared" si="142"/>
        <v>0</v>
      </c>
      <c r="S243" s="113" t="str">
        <f t="shared" si="9"/>
        <v>#DIV/0!</v>
      </c>
      <c r="T243" s="114"/>
      <c r="U243" s="114"/>
      <c r="V243" s="114"/>
      <c r="W243" s="114"/>
      <c r="X243" s="115"/>
      <c r="Y243" s="98"/>
      <c r="Z243" s="98"/>
    </row>
    <row r="244" hidden="1" outlineLevel="1">
      <c r="A244" s="293"/>
      <c r="B244" s="116"/>
      <c r="C244" s="294" t="s">
        <v>73</v>
      </c>
      <c r="D244" s="298"/>
      <c r="E244" s="296"/>
      <c r="F244" s="296"/>
      <c r="G244" s="104" t="str">
        <f t="shared" si="1"/>
        <v>#DIV/0!</v>
      </c>
      <c r="H244" s="105" t="str">
        <f t="shared" si="2"/>
        <v>#DIV/0!</v>
      </c>
      <c r="I244" s="106" t="str">
        <f t="shared" si="3"/>
        <v>#DIV/0!</v>
      </c>
      <c r="J244" s="120">
        <v>18.15</v>
      </c>
      <c r="K244" s="278">
        <v>2690.0</v>
      </c>
      <c r="L244" s="296"/>
      <c r="M244" s="121">
        <v>0.0</v>
      </c>
      <c r="N244" s="109" t="str">
        <f t="shared" ref="N244:N254" si="143">J244/M244</f>
        <v>#DIV/0!</v>
      </c>
      <c r="O244" s="110">
        <f t="shared" si="5"/>
        <v>0</v>
      </c>
      <c r="P244" s="109" t="str">
        <f t="shared" si="6"/>
        <v>#DIV/0!</v>
      </c>
      <c r="Q244" s="111" t="str">
        <f t="shared" si="7"/>
        <v>#DIV/0!</v>
      </c>
      <c r="R244" s="122">
        <f t="shared" si="142"/>
        <v>0</v>
      </c>
      <c r="S244" s="113" t="str">
        <f t="shared" si="9"/>
        <v>#DIV/0!</v>
      </c>
      <c r="T244" s="114"/>
      <c r="U244" s="114"/>
      <c r="V244" s="114"/>
      <c r="W244" s="114"/>
      <c r="X244" s="115"/>
      <c r="Y244" s="98"/>
      <c r="Z244" s="98"/>
    </row>
    <row r="245" hidden="1" outlineLevel="1">
      <c r="A245" s="293"/>
      <c r="B245" s="116"/>
      <c r="C245" s="294" t="s">
        <v>74</v>
      </c>
      <c r="D245" s="299"/>
      <c r="E245" s="296"/>
      <c r="F245" s="296"/>
      <c r="G245" s="104" t="str">
        <f t="shared" si="1"/>
        <v>#DIV/0!</v>
      </c>
      <c r="H245" s="105" t="str">
        <f t="shared" si="2"/>
        <v>#DIV/0!</v>
      </c>
      <c r="I245" s="106" t="str">
        <f t="shared" si="3"/>
        <v>#DIV/0!</v>
      </c>
      <c r="J245" s="300">
        <v>0.13</v>
      </c>
      <c r="K245" s="278">
        <v>104.0</v>
      </c>
      <c r="L245" s="296"/>
      <c r="M245" s="300">
        <v>0.0</v>
      </c>
      <c r="N245" s="109" t="str">
        <f t="shared" si="143"/>
        <v>#DIV/0!</v>
      </c>
      <c r="O245" s="110">
        <f t="shared" si="5"/>
        <v>0</v>
      </c>
      <c r="P245" s="109" t="str">
        <f t="shared" si="6"/>
        <v>#DIV/0!</v>
      </c>
      <c r="Q245" s="111" t="str">
        <f t="shared" si="7"/>
        <v>#DIV/0!</v>
      </c>
      <c r="R245" s="122">
        <f t="shared" si="142"/>
        <v>0</v>
      </c>
      <c r="S245" s="113" t="str">
        <f t="shared" si="9"/>
        <v>#DIV/0!</v>
      </c>
      <c r="T245" s="114"/>
      <c r="U245" s="114"/>
      <c r="V245" s="114"/>
      <c r="W245" s="114"/>
      <c r="X245" s="115"/>
      <c r="Y245" s="98"/>
      <c r="Z245" s="98"/>
    </row>
    <row r="246" hidden="1" outlineLevel="1">
      <c r="A246" s="293"/>
      <c r="B246" s="116"/>
      <c r="C246" s="294" t="s">
        <v>75</v>
      </c>
      <c r="D246" s="301"/>
      <c r="E246" s="296"/>
      <c r="F246" s="296"/>
      <c r="G246" s="104" t="str">
        <f t="shared" si="1"/>
        <v>#DIV/0!</v>
      </c>
      <c r="H246" s="105" t="str">
        <f t="shared" si="2"/>
        <v>#DIV/0!</v>
      </c>
      <c r="I246" s="106" t="str">
        <f t="shared" si="3"/>
        <v>#DIV/0!</v>
      </c>
      <c r="J246" s="302">
        <v>9.81</v>
      </c>
      <c r="K246" s="278">
        <v>3784.0</v>
      </c>
      <c r="L246" s="296"/>
      <c r="M246" s="303">
        <v>0.0</v>
      </c>
      <c r="N246" s="109" t="str">
        <f t="shared" si="143"/>
        <v>#DIV/0!</v>
      </c>
      <c r="O246" s="110">
        <f t="shared" si="5"/>
        <v>0</v>
      </c>
      <c r="P246" s="109" t="str">
        <f t="shared" si="6"/>
        <v>#DIV/0!</v>
      </c>
      <c r="Q246" s="111" t="str">
        <f t="shared" si="7"/>
        <v>#DIV/0!</v>
      </c>
      <c r="R246" s="304">
        <f t="shared" si="142"/>
        <v>0</v>
      </c>
      <c r="S246" s="113" t="str">
        <f t="shared" si="9"/>
        <v>#DIV/0!</v>
      </c>
      <c r="T246" s="114"/>
      <c r="U246" s="114"/>
      <c r="V246" s="114"/>
      <c r="W246" s="114"/>
      <c r="X246" s="115"/>
      <c r="Y246" s="98"/>
      <c r="Z246" s="98"/>
    </row>
    <row r="247" hidden="1" outlineLevel="1">
      <c r="A247" s="293"/>
      <c r="B247" s="116"/>
      <c r="C247" s="294" t="s">
        <v>76</v>
      </c>
      <c r="D247" s="298"/>
      <c r="E247" s="296"/>
      <c r="F247" s="296"/>
      <c r="G247" s="104" t="str">
        <f t="shared" si="1"/>
        <v>#DIV/0!</v>
      </c>
      <c r="H247" s="105" t="str">
        <f t="shared" si="2"/>
        <v>#DIV/0!</v>
      </c>
      <c r="I247" s="106" t="str">
        <f t="shared" si="3"/>
        <v>#DIV/0!</v>
      </c>
      <c r="J247" s="120">
        <v>4.29</v>
      </c>
      <c r="K247" s="278">
        <v>1029.0</v>
      </c>
      <c r="L247" s="296"/>
      <c r="M247" s="121">
        <v>179.9</v>
      </c>
      <c r="N247" s="109">
        <f t="shared" si="143"/>
        <v>0.02384658143</v>
      </c>
      <c r="O247" s="110">
        <f t="shared" si="5"/>
        <v>41.93473193</v>
      </c>
      <c r="P247" s="109" t="str">
        <f t="shared" si="6"/>
        <v>#DIV/0!</v>
      </c>
      <c r="Q247" s="111" t="str">
        <f t="shared" si="7"/>
        <v>#DIV/0!</v>
      </c>
      <c r="R247" s="122">
        <f t="shared" si="142"/>
        <v>-179.9</v>
      </c>
      <c r="S247" s="113" t="str">
        <f t="shared" si="9"/>
        <v>#DIV/0!</v>
      </c>
      <c r="T247" s="114"/>
      <c r="U247" s="114"/>
      <c r="V247" s="114"/>
      <c r="W247" s="114"/>
      <c r="X247" s="115"/>
      <c r="Y247" s="98"/>
      <c r="Z247" s="98"/>
    </row>
    <row r="248" hidden="1" outlineLevel="1">
      <c r="A248" s="293"/>
      <c r="B248" s="99" t="s">
        <v>37</v>
      </c>
      <c r="C248" s="294" t="s">
        <v>77</v>
      </c>
      <c r="D248" s="305"/>
      <c r="E248" s="296"/>
      <c r="F248" s="296"/>
      <c r="G248" s="104" t="str">
        <f t="shared" si="1"/>
        <v>#DIV/0!</v>
      </c>
      <c r="H248" s="105" t="str">
        <f t="shared" si="2"/>
        <v>#DIV/0!</v>
      </c>
      <c r="I248" s="106" t="str">
        <f t="shared" si="3"/>
        <v>#DIV/0!</v>
      </c>
      <c r="J248" s="123">
        <v>6.5</v>
      </c>
      <c r="K248" s="278">
        <v>1575.0</v>
      </c>
      <c r="L248" s="296"/>
      <c r="M248" s="124">
        <v>259.95</v>
      </c>
      <c r="N248" s="109">
        <f t="shared" si="143"/>
        <v>0.02500480862</v>
      </c>
      <c r="O248" s="110">
        <f t="shared" si="5"/>
        <v>39.99230769</v>
      </c>
      <c r="P248" s="109" t="str">
        <f t="shared" si="6"/>
        <v>#DIV/0!</v>
      </c>
      <c r="Q248" s="111" t="str">
        <f t="shared" si="7"/>
        <v>#DIV/0!</v>
      </c>
      <c r="R248" s="125">
        <f t="shared" si="142"/>
        <v>-259.95</v>
      </c>
      <c r="S248" s="113" t="str">
        <f t="shared" si="9"/>
        <v>#DIV/0!</v>
      </c>
      <c r="T248" s="114"/>
      <c r="U248" s="114"/>
      <c r="V248" s="114"/>
      <c r="W248" s="114"/>
      <c r="X248" s="115"/>
      <c r="Y248" s="98"/>
      <c r="Z248" s="98"/>
    </row>
    <row r="249" hidden="1" outlineLevel="1">
      <c r="A249" s="293"/>
      <c r="B249" s="116"/>
      <c r="C249" s="294" t="s">
        <v>78</v>
      </c>
      <c r="D249" s="306"/>
      <c r="E249" s="296"/>
      <c r="F249" s="296"/>
      <c r="G249" s="104" t="str">
        <f t="shared" si="1"/>
        <v>#DIV/0!</v>
      </c>
      <c r="H249" s="105" t="str">
        <f t="shared" si="2"/>
        <v>#DIV/0!</v>
      </c>
      <c r="I249" s="106" t="str">
        <f t="shared" si="3"/>
        <v>#DIV/0!</v>
      </c>
      <c r="J249" s="126">
        <v>0.63</v>
      </c>
      <c r="K249" s="278">
        <v>1097.0</v>
      </c>
      <c r="L249" s="296"/>
      <c r="M249" s="127">
        <v>0.0</v>
      </c>
      <c r="N249" s="109" t="str">
        <f t="shared" si="143"/>
        <v>#DIV/0!</v>
      </c>
      <c r="O249" s="110">
        <f t="shared" si="5"/>
        <v>0</v>
      </c>
      <c r="P249" s="109" t="str">
        <f t="shared" si="6"/>
        <v>#DIV/0!</v>
      </c>
      <c r="Q249" s="111" t="str">
        <f t="shared" si="7"/>
        <v>#DIV/0!</v>
      </c>
      <c r="R249" s="128">
        <f t="shared" si="142"/>
        <v>0</v>
      </c>
      <c r="S249" s="113" t="str">
        <f t="shared" si="9"/>
        <v>#DIV/0!</v>
      </c>
      <c r="T249" s="114"/>
      <c r="U249" s="114"/>
      <c r="V249" s="114"/>
      <c r="W249" s="114"/>
      <c r="X249" s="115"/>
      <c r="Y249" s="98"/>
      <c r="Z249" s="98"/>
    </row>
    <row r="250" hidden="1" outlineLevel="1">
      <c r="A250" s="293"/>
      <c r="B250" s="116"/>
      <c r="C250" s="294" t="s">
        <v>79</v>
      </c>
      <c r="D250" s="307"/>
      <c r="E250" s="296"/>
      <c r="F250" s="296"/>
      <c r="G250" s="104" t="str">
        <f t="shared" si="1"/>
        <v>#DIV/0!</v>
      </c>
      <c r="H250" s="105" t="str">
        <f t="shared" si="2"/>
        <v>#DIV/0!</v>
      </c>
      <c r="I250" s="106" t="str">
        <f t="shared" si="3"/>
        <v>#DIV/0!</v>
      </c>
      <c r="J250" s="129">
        <v>43.49</v>
      </c>
      <c r="K250" s="278">
        <v>10220.0</v>
      </c>
      <c r="L250" s="296"/>
      <c r="M250" s="130">
        <v>304.78</v>
      </c>
      <c r="N250" s="109">
        <f t="shared" si="143"/>
        <v>0.1426930901</v>
      </c>
      <c r="O250" s="110">
        <f t="shared" si="5"/>
        <v>7.008047827</v>
      </c>
      <c r="P250" s="109" t="str">
        <f t="shared" si="6"/>
        <v>#DIV/0!</v>
      </c>
      <c r="Q250" s="111" t="str">
        <f t="shared" si="7"/>
        <v>#DIV/0!</v>
      </c>
      <c r="R250" s="131">
        <f t="shared" si="142"/>
        <v>-304.78</v>
      </c>
      <c r="S250" s="113" t="str">
        <f t="shared" si="9"/>
        <v>#DIV/0!</v>
      </c>
      <c r="T250" s="114"/>
      <c r="U250" s="114"/>
      <c r="V250" s="114"/>
      <c r="W250" s="114"/>
      <c r="X250" s="115"/>
      <c r="Y250" s="98"/>
      <c r="Z250" s="98"/>
    </row>
    <row r="251" hidden="1" outlineLevel="1">
      <c r="A251" s="310" t="str">
        <f t="shared" ref="A251:A252" si="144">iferror(if(B251&gt;0,month(B251)&amp;"-"&amp;year(B251),B251),)</f>
        <v>7-2025</v>
      </c>
      <c r="B251" s="99">
        <v>45850.0</v>
      </c>
      <c r="C251" s="294" t="s">
        <v>81</v>
      </c>
      <c r="D251" s="311"/>
      <c r="E251" s="296"/>
      <c r="F251" s="296"/>
      <c r="G251" s="104" t="str">
        <f t="shared" si="1"/>
        <v>#DIV/0!</v>
      </c>
      <c r="H251" s="105" t="str">
        <f t="shared" si="2"/>
        <v>#DIV/0!</v>
      </c>
      <c r="I251" s="106" t="str">
        <f t="shared" si="3"/>
        <v>#DIV/0!</v>
      </c>
      <c r="J251" s="117">
        <v>0.0</v>
      </c>
      <c r="K251" s="278">
        <v>0.0</v>
      </c>
      <c r="L251" s="296"/>
      <c r="M251" s="118">
        <v>0.0</v>
      </c>
      <c r="N251" s="109" t="str">
        <f t="shared" si="143"/>
        <v>#DIV/0!</v>
      </c>
      <c r="O251" s="110" t="str">
        <f t="shared" si="5"/>
        <v>#DIV/0!</v>
      </c>
      <c r="P251" s="109" t="str">
        <f t="shared" si="6"/>
        <v>#DIV/0!</v>
      </c>
      <c r="Q251" s="111" t="str">
        <f t="shared" si="7"/>
        <v>#DIV/0!</v>
      </c>
      <c r="R251" s="112">
        <f t="shared" si="142"/>
        <v>0</v>
      </c>
      <c r="S251" s="113" t="str">
        <f t="shared" si="9"/>
        <v>#DIV/0!</v>
      </c>
      <c r="T251" s="114"/>
      <c r="U251" s="114"/>
      <c r="V251" s="114"/>
      <c r="W251" s="114"/>
      <c r="X251" s="115"/>
      <c r="Y251" s="98"/>
      <c r="Z251" s="98"/>
    </row>
    <row r="252" collapsed="1">
      <c r="A252" s="293" t="str">
        <f t="shared" si="144"/>
        <v/>
      </c>
      <c r="B252" s="80" t="s">
        <v>115</v>
      </c>
      <c r="C252" s="312"/>
      <c r="D252" s="151">
        <f t="shared" ref="D252:F252" si="145">SUM(D241:D251)</f>
        <v>0</v>
      </c>
      <c r="E252" s="153">
        <f t="shared" si="145"/>
        <v>0</v>
      </c>
      <c r="F252" s="153">
        <f t="shared" si="145"/>
        <v>0</v>
      </c>
      <c r="G252" s="154" t="str">
        <f t="shared" si="1"/>
        <v>#DIV/0!</v>
      </c>
      <c r="H252" s="155" t="str">
        <f t="shared" si="2"/>
        <v>#DIV/0!</v>
      </c>
      <c r="I252" s="156" t="str">
        <f t="shared" si="3"/>
        <v>#DIV/0!</v>
      </c>
      <c r="J252" s="151">
        <f t="shared" ref="J252:M252" si="146">SUM(J241:J251)</f>
        <v>177.91</v>
      </c>
      <c r="K252" s="313">
        <f t="shared" si="146"/>
        <v>47146</v>
      </c>
      <c r="L252" s="153">
        <f t="shared" si="146"/>
        <v>0</v>
      </c>
      <c r="M252" s="157">
        <f t="shared" si="146"/>
        <v>3299.44</v>
      </c>
      <c r="N252" s="158">
        <f t="shared" si="143"/>
        <v>0.05392127149</v>
      </c>
      <c r="O252" s="159">
        <f t="shared" si="5"/>
        <v>18.54555674</v>
      </c>
      <c r="P252" s="158" t="str">
        <f t="shared" si="6"/>
        <v>#DIV/0!</v>
      </c>
      <c r="Q252" s="160" t="str">
        <f t="shared" si="7"/>
        <v>#DIV/0!</v>
      </c>
      <c r="R252" s="161">
        <f>SUM(R241:R251)</f>
        <v>-3299.44</v>
      </c>
      <c r="S252" s="162" t="str">
        <f t="shared" si="9"/>
        <v>#DIV/0!</v>
      </c>
      <c r="T252" s="164" t="str">
        <f t="shared" ref="T252:U252" si="147">IFERROR((D252-D48)/D252,)</f>
        <v/>
      </c>
      <c r="U252" s="164" t="str">
        <f t="shared" si="147"/>
        <v/>
      </c>
      <c r="V252" s="164" t="str">
        <f t="shared" ref="V252:W252" si="148">IFERROR((D252-monthly_reporting_2021!D43)/D252, )</f>
        <v/>
      </c>
      <c r="W252" s="164" t="str">
        <f t="shared" si="148"/>
        <v/>
      </c>
      <c r="X252" s="98"/>
      <c r="Y252" s="98"/>
      <c r="Z252" s="98"/>
    </row>
    <row r="253" hidden="1" outlineLevel="1">
      <c r="A253" s="293"/>
      <c r="B253" s="99">
        <v>45851.0</v>
      </c>
      <c r="C253" s="294" t="s">
        <v>70</v>
      </c>
      <c r="D253" s="295"/>
      <c r="E253" s="296"/>
      <c r="F253" s="296"/>
      <c r="G253" s="104" t="str">
        <f t="shared" si="1"/>
        <v>#DIV/0!</v>
      </c>
      <c r="H253" s="105" t="str">
        <f t="shared" si="2"/>
        <v>#DIV/0!</v>
      </c>
      <c r="I253" s="106" t="str">
        <f t="shared" si="3"/>
        <v>#DIV/0!</v>
      </c>
      <c r="J253" s="107">
        <v>153.17</v>
      </c>
      <c r="K253" s="278">
        <v>31089.0</v>
      </c>
      <c r="L253" s="296"/>
      <c r="M253" s="108">
        <v>671.95</v>
      </c>
      <c r="N253" s="109">
        <f t="shared" si="143"/>
        <v>0.2279485081</v>
      </c>
      <c r="O253" s="110">
        <f t="shared" si="5"/>
        <v>4.38695567</v>
      </c>
      <c r="P253" s="109" t="str">
        <f t="shared" si="6"/>
        <v>#DIV/0!</v>
      </c>
      <c r="Q253" s="111" t="str">
        <f t="shared" si="7"/>
        <v>#DIV/0!</v>
      </c>
      <c r="R253" s="112">
        <f t="shared" ref="R253:R263" si="149">D253-M253</f>
        <v>-671.95</v>
      </c>
      <c r="S253" s="113" t="str">
        <f t="shared" si="9"/>
        <v>#DIV/0!</v>
      </c>
      <c r="T253" s="114"/>
      <c r="U253" s="114"/>
      <c r="V253" s="114"/>
      <c r="W253" s="114"/>
      <c r="X253" s="115"/>
      <c r="Y253" s="98"/>
      <c r="Z253" s="98"/>
    </row>
    <row r="254" hidden="1" outlineLevel="1">
      <c r="A254" s="293"/>
      <c r="B254" s="116"/>
      <c r="C254" s="294" t="s">
        <v>71</v>
      </c>
      <c r="D254" s="297"/>
      <c r="E254" s="296"/>
      <c r="F254" s="296"/>
      <c r="G254" s="104" t="str">
        <f t="shared" si="1"/>
        <v>#DIV/0!</v>
      </c>
      <c r="H254" s="105" t="str">
        <f t="shared" si="2"/>
        <v>#DIV/0!</v>
      </c>
      <c r="I254" s="106" t="str">
        <f t="shared" si="3"/>
        <v>#DIV/0!</v>
      </c>
      <c r="J254" s="117">
        <v>3.66</v>
      </c>
      <c r="K254" s="278">
        <v>1707.0</v>
      </c>
      <c r="L254" s="296"/>
      <c r="M254" s="118">
        <v>0.0</v>
      </c>
      <c r="N254" s="109" t="str">
        <f t="shared" si="143"/>
        <v>#DIV/0!</v>
      </c>
      <c r="O254" s="110">
        <f t="shared" si="5"/>
        <v>0</v>
      </c>
      <c r="P254" s="109" t="str">
        <f t="shared" si="6"/>
        <v>#DIV/0!</v>
      </c>
      <c r="Q254" s="111" t="str">
        <f t="shared" si="7"/>
        <v>#DIV/0!</v>
      </c>
      <c r="R254" s="119">
        <f t="shared" si="149"/>
        <v>0</v>
      </c>
      <c r="S254" s="113" t="str">
        <f t="shared" si="9"/>
        <v>#DIV/0!</v>
      </c>
      <c r="T254" s="114"/>
      <c r="U254" s="114"/>
      <c r="V254" s="114"/>
      <c r="W254" s="114"/>
      <c r="X254" s="115"/>
      <c r="Y254" s="98"/>
      <c r="Z254" s="98"/>
    </row>
    <row r="255" hidden="1" outlineLevel="1">
      <c r="A255" s="293"/>
      <c r="B255" s="116"/>
      <c r="C255" s="294" t="s">
        <v>72</v>
      </c>
      <c r="D255" s="298"/>
      <c r="E255" s="296"/>
      <c r="F255" s="296"/>
      <c r="G255" s="104" t="str">
        <f t="shared" si="1"/>
        <v>#DIV/0!</v>
      </c>
      <c r="H255" s="105" t="str">
        <f t="shared" si="2"/>
        <v>#DIV/0!</v>
      </c>
      <c r="I255" s="106" t="str">
        <f t="shared" si="3"/>
        <v>#DIV/0!</v>
      </c>
      <c r="J255" s="120">
        <v>10.95</v>
      </c>
      <c r="K255" s="278">
        <v>4038.0</v>
      </c>
      <c r="L255" s="296"/>
      <c r="M255" s="121">
        <v>0.0</v>
      </c>
      <c r="N255" s="109" t="str">
        <f>(J255/M255)</f>
        <v>#DIV/0!</v>
      </c>
      <c r="O255" s="110">
        <f t="shared" si="5"/>
        <v>0</v>
      </c>
      <c r="P255" s="109" t="str">
        <f t="shared" si="6"/>
        <v>#DIV/0!</v>
      </c>
      <c r="Q255" s="111" t="str">
        <f t="shared" si="7"/>
        <v>#DIV/0!</v>
      </c>
      <c r="R255" s="122">
        <f t="shared" si="149"/>
        <v>0</v>
      </c>
      <c r="S255" s="113" t="str">
        <f t="shared" si="9"/>
        <v>#DIV/0!</v>
      </c>
      <c r="T255" s="114"/>
      <c r="U255" s="114"/>
      <c r="V255" s="114"/>
      <c r="W255" s="114"/>
      <c r="X255" s="115"/>
      <c r="Y255" s="98"/>
      <c r="Z255" s="98"/>
    </row>
    <row r="256" hidden="1" outlineLevel="1">
      <c r="A256" s="293"/>
      <c r="B256" s="116"/>
      <c r="C256" s="294" t="s">
        <v>73</v>
      </c>
      <c r="D256" s="298"/>
      <c r="E256" s="296"/>
      <c r="F256" s="296"/>
      <c r="G256" s="104" t="str">
        <f t="shared" si="1"/>
        <v>#DIV/0!</v>
      </c>
      <c r="H256" s="105" t="str">
        <f t="shared" si="2"/>
        <v>#DIV/0!</v>
      </c>
      <c r="I256" s="106" t="str">
        <f t="shared" si="3"/>
        <v>#DIV/0!</v>
      </c>
      <c r="J256" s="120">
        <v>69.77</v>
      </c>
      <c r="K256" s="278">
        <v>13761.0</v>
      </c>
      <c r="L256" s="296"/>
      <c r="M256" s="121">
        <v>59.95</v>
      </c>
      <c r="N256" s="109">
        <f t="shared" ref="N256:N266" si="150">J256/M256</f>
        <v>1.163803169</v>
      </c>
      <c r="O256" s="110">
        <f t="shared" si="5"/>
        <v>0.8592518274</v>
      </c>
      <c r="P256" s="109" t="str">
        <f t="shared" si="6"/>
        <v>#DIV/0!</v>
      </c>
      <c r="Q256" s="111" t="str">
        <f t="shared" si="7"/>
        <v>#DIV/0!</v>
      </c>
      <c r="R256" s="122">
        <f t="shared" si="149"/>
        <v>-59.95</v>
      </c>
      <c r="S256" s="113" t="str">
        <f t="shared" si="9"/>
        <v>#DIV/0!</v>
      </c>
      <c r="T256" s="114"/>
      <c r="U256" s="114"/>
      <c r="V256" s="114"/>
      <c r="W256" s="114"/>
      <c r="X256" s="115"/>
      <c r="Y256" s="98"/>
      <c r="Z256" s="98"/>
    </row>
    <row r="257" hidden="1" outlineLevel="1">
      <c r="A257" s="293"/>
      <c r="B257" s="116"/>
      <c r="C257" s="294" t="s">
        <v>74</v>
      </c>
      <c r="D257" s="299"/>
      <c r="E257" s="296"/>
      <c r="F257" s="296"/>
      <c r="G257" s="104" t="str">
        <f t="shared" si="1"/>
        <v>#DIV/0!</v>
      </c>
      <c r="H257" s="105" t="str">
        <f t="shared" si="2"/>
        <v>#DIV/0!</v>
      </c>
      <c r="I257" s="106" t="str">
        <f t="shared" si="3"/>
        <v>#DIV/0!</v>
      </c>
      <c r="J257" s="300">
        <v>0.0</v>
      </c>
      <c r="K257" s="278">
        <v>0.0</v>
      </c>
      <c r="L257" s="296"/>
      <c r="M257" s="300">
        <v>0.0</v>
      </c>
      <c r="N257" s="109" t="str">
        <f t="shared" si="150"/>
        <v>#DIV/0!</v>
      </c>
      <c r="O257" s="110" t="str">
        <f t="shared" si="5"/>
        <v>#DIV/0!</v>
      </c>
      <c r="P257" s="109" t="str">
        <f t="shared" si="6"/>
        <v>#DIV/0!</v>
      </c>
      <c r="Q257" s="111" t="str">
        <f t="shared" si="7"/>
        <v>#DIV/0!</v>
      </c>
      <c r="R257" s="122">
        <f t="shared" si="149"/>
        <v>0</v>
      </c>
      <c r="S257" s="113" t="str">
        <f t="shared" si="9"/>
        <v>#DIV/0!</v>
      </c>
      <c r="T257" s="114"/>
      <c r="U257" s="114"/>
      <c r="V257" s="114"/>
      <c r="W257" s="114"/>
      <c r="X257" s="115"/>
      <c r="Y257" s="98"/>
      <c r="Z257" s="98"/>
    </row>
    <row r="258" hidden="1" outlineLevel="1">
      <c r="A258" s="293"/>
      <c r="B258" s="116"/>
      <c r="C258" s="294" t="s">
        <v>75</v>
      </c>
      <c r="D258" s="301"/>
      <c r="E258" s="296"/>
      <c r="F258" s="296"/>
      <c r="G258" s="104" t="str">
        <f t="shared" si="1"/>
        <v>#DIV/0!</v>
      </c>
      <c r="H258" s="105" t="str">
        <f t="shared" si="2"/>
        <v>#DIV/0!</v>
      </c>
      <c r="I258" s="106" t="str">
        <f t="shared" si="3"/>
        <v>#DIV/0!</v>
      </c>
      <c r="J258" s="302">
        <v>8.14</v>
      </c>
      <c r="K258" s="278">
        <v>1395.0</v>
      </c>
      <c r="L258" s="296"/>
      <c r="M258" s="303">
        <v>44.95</v>
      </c>
      <c r="N258" s="109">
        <f t="shared" si="150"/>
        <v>0.1810901001</v>
      </c>
      <c r="O258" s="110">
        <f t="shared" si="5"/>
        <v>5.522113022</v>
      </c>
      <c r="P258" s="109" t="str">
        <f t="shared" si="6"/>
        <v>#DIV/0!</v>
      </c>
      <c r="Q258" s="111" t="str">
        <f t="shared" si="7"/>
        <v>#DIV/0!</v>
      </c>
      <c r="R258" s="304">
        <f t="shared" si="149"/>
        <v>-44.95</v>
      </c>
      <c r="S258" s="113" t="str">
        <f t="shared" si="9"/>
        <v>#DIV/0!</v>
      </c>
      <c r="T258" s="114"/>
      <c r="U258" s="114"/>
      <c r="V258" s="114"/>
      <c r="W258" s="114"/>
      <c r="X258" s="115"/>
      <c r="Y258" s="98"/>
      <c r="Z258" s="98"/>
    </row>
    <row r="259" hidden="1" outlineLevel="1">
      <c r="A259" s="293"/>
      <c r="B259" s="116"/>
      <c r="C259" s="294" t="s">
        <v>76</v>
      </c>
      <c r="D259" s="298"/>
      <c r="E259" s="296"/>
      <c r="F259" s="296"/>
      <c r="G259" s="104" t="str">
        <f t="shared" si="1"/>
        <v>#DIV/0!</v>
      </c>
      <c r="H259" s="105" t="str">
        <f t="shared" si="2"/>
        <v>#DIV/0!</v>
      </c>
      <c r="I259" s="106" t="str">
        <f t="shared" si="3"/>
        <v>#DIV/0!</v>
      </c>
      <c r="J259" s="120">
        <v>8.39</v>
      </c>
      <c r="K259" s="278">
        <v>1263.0</v>
      </c>
      <c r="L259" s="296"/>
      <c r="M259" s="121">
        <v>0.0</v>
      </c>
      <c r="N259" s="109" t="str">
        <f t="shared" si="150"/>
        <v>#DIV/0!</v>
      </c>
      <c r="O259" s="110">
        <f t="shared" si="5"/>
        <v>0</v>
      </c>
      <c r="P259" s="109" t="str">
        <f t="shared" si="6"/>
        <v>#DIV/0!</v>
      </c>
      <c r="Q259" s="111" t="str">
        <f t="shared" si="7"/>
        <v>#DIV/0!</v>
      </c>
      <c r="R259" s="122">
        <f t="shared" si="149"/>
        <v>0</v>
      </c>
      <c r="S259" s="113" t="str">
        <f t="shared" si="9"/>
        <v>#DIV/0!</v>
      </c>
      <c r="T259" s="114"/>
      <c r="U259" s="114"/>
      <c r="V259" s="114"/>
      <c r="W259" s="114"/>
      <c r="X259" s="115"/>
      <c r="Y259" s="98"/>
      <c r="Z259" s="98"/>
    </row>
    <row r="260" hidden="1" outlineLevel="1">
      <c r="A260" s="293"/>
      <c r="B260" s="99" t="s">
        <v>37</v>
      </c>
      <c r="C260" s="294" t="s">
        <v>77</v>
      </c>
      <c r="D260" s="305"/>
      <c r="E260" s="296"/>
      <c r="F260" s="296"/>
      <c r="G260" s="104" t="str">
        <f t="shared" si="1"/>
        <v>#DIV/0!</v>
      </c>
      <c r="H260" s="105" t="str">
        <f t="shared" si="2"/>
        <v>#DIV/0!</v>
      </c>
      <c r="I260" s="106" t="str">
        <f t="shared" si="3"/>
        <v>#DIV/0!</v>
      </c>
      <c r="J260" s="123">
        <v>31.25</v>
      </c>
      <c r="K260" s="278">
        <v>6875.0</v>
      </c>
      <c r="L260" s="296"/>
      <c r="M260" s="124">
        <v>0.0</v>
      </c>
      <c r="N260" s="109" t="str">
        <f t="shared" si="150"/>
        <v>#DIV/0!</v>
      </c>
      <c r="O260" s="110">
        <f t="shared" si="5"/>
        <v>0</v>
      </c>
      <c r="P260" s="109" t="str">
        <f t="shared" si="6"/>
        <v>#DIV/0!</v>
      </c>
      <c r="Q260" s="111" t="str">
        <f t="shared" si="7"/>
        <v>#DIV/0!</v>
      </c>
      <c r="R260" s="125">
        <f t="shared" si="149"/>
        <v>0</v>
      </c>
      <c r="S260" s="113" t="str">
        <f t="shared" si="9"/>
        <v>#DIV/0!</v>
      </c>
      <c r="T260" s="114"/>
      <c r="U260" s="114"/>
      <c r="V260" s="114"/>
      <c r="W260" s="114"/>
      <c r="X260" s="115"/>
      <c r="Y260" s="98"/>
      <c r="Z260" s="98"/>
    </row>
    <row r="261" hidden="1" outlineLevel="1">
      <c r="A261" s="293"/>
      <c r="B261" s="116"/>
      <c r="C261" s="294" t="s">
        <v>78</v>
      </c>
      <c r="D261" s="306"/>
      <c r="E261" s="296"/>
      <c r="F261" s="296"/>
      <c r="G261" s="104" t="str">
        <f t="shared" si="1"/>
        <v>#DIV/0!</v>
      </c>
      <c r="H261" s="105" t="str">
        <f t="shared" si="2"/>
        <v>#DIV/0!</v>
      </c>
      <c r="I261" s="106" t="str">
        <f t="shared" si="3"/>
        <v>#DIV/0!</v>
      </c>
      <c r="J261" s="126">
        <v>0.46</v>
      </c>
      <c r="K261" s="278">
        <v>451.0</v>
      </c>
      <c r="L261" s="296"/>
      <c r="M261" s="127">
        <v>0.0</v>
      </c>
      <c r="N261" s="109" t="str">
        <f t="shared" si="150"/>
        <v>#DIV/0!</v>
      </c>
      <c r="O261" s="110">
        <f t="shared" si="5"/>
        <v>0</v>
      </c>
      <c r="P261" s="109" t="str">
        <f t="shared" si="6"/>
        <v>#DIV/0!</v>
      </c>
      <c r="Q261" s="111" t="str">
        <f t="shared" si="7"/>
        <v>#DIV/0!</v>
      </c>
      <c r="R261" s="128">
        <f t="shared" si="149"/>
        <v>0</v>
      </c>
      <c r="S261" s="113" t="str">
        <f t="shared" si="9"/>
        <v>#DIV/0!</v>
      </c>
      <c r="T261" s="114"/>
      <c r="U261" s="114"/>
      <c r="V261" s="114"/>
      <c r="W261" s="114"/>
      <c r="X261" s="115"/>
      <c r="Y261" s="98"/>
      <c r="Z261" s="98"/>
    </row>
    <row r="262" hidden="1" outlineLevel="1">
      <c r="A262" s="293"/>
      <c r="B262" s="116"/>
      <c r="C262" s="294" t="s">
        <v>79</v>
      </c>
      <c r="D262" s="307"/>
      <c r="E262" s="296"/>
      <c r="F262" s="296"/>
      <c r="G262" s="104" t="str">
        <f t="shared" si="1"/>
        <v>#DIV/0!</v>
      </c>
      <c r="H262" s="105" t="str">
        <f t="shared" si="2"/>
        <v>#DIV/0!</v>
      </c>
      <c r="I262" s="106" t="str">
        <f t="shared" si="3"/>
        <v>#DIV/0!</v>
      </c>
      <c r="J262" s="129">
        <v>79.75</v>
      </c>
      <c r="K262" s="278">
        <v>15271.0</v>
      </c>
      <c r="L262" s="296"/>
      <c r="M262" s="130">
        <v>151.71</v>
      </c>
      <c r="N262" s="109">
        <f t="shared" si="150"/>
        <v>0.5256739833</v>
      </c>
      <c r="O262" s="110">
        <f t="shared" si="5"/>
        <v>1.902319749</v>
      </c>
      <c r="P262" s="109" t="str">
        <f t="shared" si="6"/>
        <v>#DIV/0!</v>
      </c>
      <c r="Q262" s="111" t="str">
        <f t="shared" si="7"/>
        <v>#DIV/0!</v>
      </c>
      <c r="R262" s="131">
        <f t="shared" si="149"/>
        <v>-151.71</v>
      </c>
      <c r="S262" s="113" t="str">
        <f t="shared" si="9"/>
        <v>#DIV/0!</v>
      </c>
      <c r="T262" s="114"/>
      <c r="U262" s="114"/>
      <c r="V262" s="114"/>
      <c r="W262" s="114"/>
      <c r="X262" s="115"/>
      <c r="Y262" s="98"/>
      <c r="Z262" s="98"/>
    </row>
    <row r="263" hidden="1" outlineLevel="1">
      <c r="A263" s="310" t="str">
        <f t="shared" ref="A263:A264" si="151">iferror(if(B263&gt;0,month(B263)&amp;"-"&amp;year(B263),B263),)</f>
        <v>7-2025</v>
      </c>
      <c r="B263" s="99">
        <v>45857.0</v>
      </c>
      <c r="C263" s="294" t="s">
        <v>81</v>
      </c>
      <c r="D263" s="311"/>
      <c r="E263" s="296"/>
      <c r="F263" s="296"/>
      <c r="G263" s="104" t="str">
        <f t="shared" si="1"/>
        <v>#DIV/0!</v>
      </c>
      <c r="H263" s="105" t="str">
        <f t="shared" si="2"/>
        <v>#DIV/0!</v>
      </c>
      <c r="I263" s="106" t="str">
        <f t="shared" si="3"/>
        <v>#DIV/0!</v>
      </c>
      <c r="J263" s="117">
        <v>0.0</v>
      </c>
      <c r="K263" s="278">
        <v>0.0</v>
      </c>
      <c r="L263" s="296"/>
      <c r="M263" s="118">
        <v>0.0</v>
      </c>
      <c r="N263" s="109" t="str">
        <f t="shared" si="150"/>
        <v>#DIV/0!</v>
      </c>
      <c r="O263" s="110" t="str">
        <f t="shared" si="5"/>
        <v>#DIV/0!</v>
      </c>
      <c r="P263" s="109" t="str">
        <f t="shared" si="6"/>
        <v>#DIV/0!</v>
      </c>
      <c r="Q263" s="111" t="str">
        <f t="shared" si="7"/>
        <v>#DIV/0!</v>
      </c>
      <c r="R263" s="112">
        <f t="shared" si="149"/>
        <v>0</v>
      </c>
      <c r="S263" s="113" t="str">
        <f t="shared" si="9"/>
        <v>#DIV/0!</v>
      </c>
      <c r="T263" s="114"/>
      <c r="U263" s="114"/>
      <c r="V263" s="114"/>
      <c r="W263" s="114"/>
      <c r="X263" s="115"/>
      <c r="Y263" s="98"/>
      <c r="Z263" s="98"/>
    </row>
    <row r="264" collapsed="1">
      <c r="A264" s="293" t="str">
        <f t="shared" si="151"/>
        <v/>
      </c>
      <c r="B264" s="80" t="s">
        <v>116</v>
      </c>
      <c r="C264" s="312"/>
      <c r="D264" s="151">
        <f t="shared" ref="D264:F264" si="152">SUM(D253:D263)</f>
        <v>0</v>
      </c>
      <c r="E264" s="153">
        <f t="shared" si="152"/>
        <v>0</v>
      </c>
      <c r="F264" s="153">
        <f t="shared" si="152"/>
        <v>0</v>
      </c>
      <c r="G264" s="154" t="str">
        <f t="shared" si="1"/>
        <v>#DIV/0!</v>
      </c>
      <c r="H264" s="155" t="str">
        <f t="shared" si="2"/>
        <v>#DIV/0!</v>
      </c>
      <c r="I264" s="156" t="str">
        <f t="shared" si="3"/>
        <v>#DIV/0!</v>
      </c>
      <c r="J264" s="151">
        <f t="shared" ref="J264:M264" si="153">SUM(J253:J263)</f>
        <v>365.54</v>
      </c>
      <c r="K264" s="313">
        <f t="shared" si="153"/>
        <v>75850</v>
      </c>
      <c r="L264" s="153">
        <f t="shared" si="153"/>
        <v>0</v>
      </c>
      <c r="M264" s="157">
        <f t="shared" si="153"/>
        <v>928.56</v>
      </c>
      <c r="N264" s="158">
        <f t="shared" si="150"/>
        <v>0.3936633066</v>
      </c>
      <c r="O264" s="159">
        <f t="shared" si="5"/>
        <v>2.540241834</v>
      </c>
      <c r="P264" s="158" t="str">
        <f t="shared" si="6"/>
        <v>#DIV/0!</v>
      </c>
      <c r="Q264" s="160" t="str">
        <f t="shared" si="7"/>
        <v>#DIV/0!</v>
      </c>
      <c r="R264" s="161">
        <f>SUM(R253:R263)</f>
        <v>-928.56</v>
      </c>
      <c r="S264" s="162" t="str">
        <f t="shared" si="9"/>
        <v>#DIV/0!</v>
      </c>
      <c r="T264" s="164" t="str">
        <f t="shared" ref="T264:U264" si="154">IFERROR((D264-D48)/D264,)</f>
        <v/>
      </c>
      <c r="U264" s="164" t="str">
        <f t="shared" si="154"/>
        <v/>
      </c>
      <c r="V264" s="164" t="str">
        <f t="shared" ref="V264:W264" si="155">IFERROR((D264-monthly_reporting_2021!D55)/D264, )</f>
        <v/>
      </c>
      <c r="W264" s="164" t="str">
        <f t="shared" si="155"/>
        <v/>
      </c>
      <c r="X264" s="98"/>
      <c r="Y264" s="98"/>
      <c r="Z264" s="98"/>
    </row>
    <row r="265" hidden="1" outlineLevel="1">
      <c r="A265" s="293"/>
      <c r="B265" s="99">
        <v>45858.0</v>
      </c>
      <c r="C265" s="294" t="s">
        <v>70</v>
      </c>
      <c r="D265" s="295"/>
      <c r="E265" s="296"/>
      <c r="F265" s="296"/>
      <c r="G265" s="104" t="str">
        <f t="shared" si="1"/>
        <v>#DIV/0!</v>
      </c>
      <c r="H265" s="105" t="str">
        <f t="shared" si="2"/>
        <v>#DIV/0!</v>
      </c>
      <c r="I265" s="106" t="str">
        <f t="shared" si="3"/>
        <v>#DIV/0!</v>
      </c>
      <c r="J265" s="107">
        <v>19.27</v>
      </c>
      <c r="K265" s="278">
        <v>8645.0</v>
      </c>
      <c r="L265" s="296"/>
      <c r="M265" s="108">
        <v>0.0</v>
      </c>
      <c r="N265" s="109" t="str">
        <f t="shared" si="150"/>
        <v>#DIV/0!</v>
      </c>
      <c r="O265" s="110">
        <f t="shared" si="5"/>
        <v>0</v>
      </c>
      <c r="P265" s="109" t="str">
        <f t="shared" si="6"/>
        <v>#DIV/0!</v>
      </c>
      <c r="Q265" s="111" t="str">
        <f t="shared" si="7"/>
        <v>#DIV/0!</v>
      </c>
      <c r="R265" s="112">
        <f t="shared" ref="R265:R275" si="156">D265-M265</f>
        <v>0</v>
      </c>
      <c r="S265" s="113" t="str">
        <f t="shared" si="9"/>
        <v>#DIV/0!</v>
      </c>
      <c r="T265" s="114"/>
      <c r="U265" s="114"/>
      <c r="V265" s="114"/>
      <c r="W265" s="114"/>
      <c r="X265" s="115"/>
      <c r="Y265" s="98"/>
      <c r="Z265" s="98"/>
    </row>
    <row r="266" hidden="1" outlineLevel="1">
      <c r="A266" s="293"/>
      <c r="B266" s="116"/>
      <c r="C266" s="294" t="s">
        <v>71</v>
      </c>
      <c r="D266" s="297"/>
      <c r="E266" s="296"/>
      <c r="F266" s="296"/>
      <c r="G266" s="104" t="str">
        <f t="shared" si="1"/>
        <v>#DIV/0!</v>
      </c>
      <c r="H266" s="105" t="str">
        <f t="shared" si="2"/>
        <v>#DIV/0!</v>
      </c>
      <c r="I266" s="106" t="str">
        <f t="shared" si="3"/>
        <v>#DIV/0!</v>
      </c>
      <c r="J266" s="117">
        <v>3.81</v>
      </c>
      <c r="K266" s="278">
        <v>1112.0</v>
      </c>
      <c r="L266" s="296"/>
      <c r="M266" s="118">
        <v>0.0</v>
      </c>
      <c r="N266" s="109" t="str">
        <f t="shared" si="150"/>
        <v>#DIV/0!</v>
      </c>
      <c r="O266" s="110">
        <f t="shared" si="5"/>
        <v>0</v>
      </c>
      <c r="P266" s="109" t="str">
        <f t="shared" si="6"/>
        <v>#DIV/0!</v>
      </c>
      <c r="Q266" s="111" t="str">
        <f t="shared" si="7"/>
        <v>#DIV/0!</v>
      </c>
      <c r="R266" s="119">
        <f t="shared" si="156"/>
        <v>0</v>
      </c>
      <c r="S266" s="113" t="str">
        <f t="shared" si="9"/>
        <v>#DIV/0!</v>
      </c>
      <c r="T266" s="114"/>
      <c r="U266" s="114"/>
      <c r="V266" s="114"/>
      <c r="W266" s="114"/>
      <c r="X266" s="115"/>
      <c r="Y266" s="98"/>
      <c r="Z266" s="98"/>
    </row>
    <row r="267" hidden="1" outlineLevel="1">
      <c r="A267" s="293"/>
      <c r="B267" s="116"/>
      <c r="C267" s="294" t="s">
        <v>72</v>
      </c>
      <c r="D267" s="298"/>
      <c r="E267" s="296"/>
      <c r="F267" s="296"/>
      <c r="G267" s="104" t="str">
        <f t="shared" si="1"/>
        <v>#DIV/0!</v>
      </c>
      <c r="H267" s="105" t="str">
        <f t="shared" si="2"/>
        <v>#DIV/0!</v>
      </c>
      <c r="I267" s="106" t="str">
        <f t="shared" si="3"/>
        <v>#DIV/0!</v>
      </c>
      <c r="J267" s="120">
        <v>5.96</v>
      </c>
      <c r="K267" s="278">
        <v>2620.0</v>
      </c>
      <c r="L267" s="296"/>
      <c r="M267" s="121">
        <v>0.0</v>
      </c>
      <c r="N267" s="109" t="str">
        <f>(J267/M267)</f>
        <v>#DIV/0!</v>
      </c>
      <c r="O267" s="110">
        <f t="shared" si="5"/>
        <v>0</v>
      </c>
      <c r="P267" s="109" t="str">
        <f t="shared" si="6"/>
        <v>#DIV/0!</v>
      </c>
      <c r="Q267" s="111" t="str">
        <f t="shared" si="7"/>
        <v>#DIV/0!</v>
      </c>
      <c r="R267" s="122">
        <f t="shared" si="156"/>
        <v>0</v>
      </c>
      <c r="S267" s="113" t="str">
        <f t="shared" si="9"/>
        <v>#DIV/0!</v>
      </c>
      <c r="T267" s="114"/>
      <c r="U267" s="114"/>
      <c r="V267" s="114"/>
      <c r="W267" s="114"/>
      <c r="X267" s="115"/>
      <c r="Y267" s="98"/>
      <c r="Z267" s="98"/>
    </row>
    <row r="268" hidden="1" outlineLevel="1">
      <c r="A268" s="293"/>
      <c r="B268" s="116"/>
      <c r="C268" s="294" t="s">
        <v>73</v>
      </c>
      <c r="D268" s="298"/>
      <c r="E268" s="296"/>
      <c r="F268" s="296"/>
      <c r="G268" s="104" t="str">
        <f t="shared" si="1"/>
        <v>#DIV/0!</v>
      </c>
      <c r="H268" s="105" t="str">
        <f t="shared" si="2"/>
        <v>#DIV/0!</v>
      </c>
      <c r="I268" s="106" t="str">
        <f t="shared" si="3"/>
        <v>#DIV/0!</v>
      </c>
      <c r="J268" s="120">
        <v>2.75</v>
      </c>
      <c r="K268" s="278">
        <v>1283.0</v>
      </c>
      <c r="L268" s="296"/>
      <c r="M268" s="121">
        <v>0.0</v>
      </c>
      <c r="N268" s="109" t="str">
        <f t="shared" ref="N268:N278" si="157">J268/M268</f>
        <v>#DIV/0!</v>
      </c>
      <c r="O268" s="110">
        <f t="shared" si="5"/>
        <v>0</v>
      </c>
      <c r="P268" s="109" t="str">
        <f t="shared" si="6"/>
        <v>#DIV/0!</v>
      </c>
      <c r="Q268" s="111" t="str">
        <f t="shared" si="7"/>
        <v>#DIV/0!</v>
      </c>
      <c r="R268" s="122">
        <f t="shared" si="156"/>
        <v>0</v>
      </c>
      <c r="S268" s="113" t="str">
        <f t="shared" si="9"/>
        <v>#DIV/0!</v>
      </c>
      <c r="T268" s="114"/>
      <c r="U268" s="114"/>
      <c r="V268" s="114"/>
      <c r="W268" s="114"/>
      <c r="X268" s="115"/>
      <c r="Y268" s="98"/>
      <c r="Z268" s="98"/>
    </row>
    <row r="269" hidden="1" outlineLevel="1">
      <c r="A269" s="293"/>
      <c r="B269" s="116"/>
      <c r="C269" s="294" t="s">
        <v>74</v>
      </c>
      <c r="D269" s="299"/>
      <c r="E269" s="296"/>
      <c r="F269" s="296"/>
      <c r="G269" s="104" t="str">
        <f t="shared" si="1"/>
        <v>#DIV/0!</v>
      </c>
      <c r="H269" s="105" t="str">
        <f t="shared" si="2"/>
        <v>#DIV/0!</v>
      </c>
      <c r="I269" s="106" t="str">
        <f t="shared" si="3"/>
        <v>#DIV/0!</v>
      </c>
      <c r="J269" s="300">
        <v>0.05</v>
      </c>
      <c r="K269" s="278">
        <v>9.0</v>
      </c>
      <c r="L269" s="296"/>
      <c r="M269" s="300">
        <v>0.0</v>
      </c>
      <c r="N269" s="109" t="str">
        <f t="shared" si="157"/>
        <v>#DIV/0!</v>
      </c>
      <c r="O269" s="110">
        <f t="shared" si="5"/>
        <v>0</v>
      </c>
      <c r="P269" s="109" t="str">
        <f t="shared" si="6"/>
        <v>#DIV/0!</v>
      </c>
      <c r="Q269" s="111" t="str">
        <f t="shared" si="7"/>
        <v>#DIV/0!</v>
      </c>
      <c r="R269" s="122">
        <f t="shared" si="156"/>
        <v>0</v>
      </c>
      <c r="S269" s="113" t="str">
        <f t="shared" si="9"/>
        <v>#DIV/0!</v>
      </c>
      <c r="T269" s="114"/>
      <c r="U269" s="114"/>
      <c r="V269" s="114"/>
      <c r="W269" s="114"/>
      <c r="X269" s="115"/>
      <c r="Y269" s="98"/>
      <c r="Z269" s="98"/>
    </row>
    <row r="270" hidden="1" outlineLevel="1">
      <c r="A270" s="293"/>
      <c r="B270" s="116"/>
      <c r="C270" s="294" t="s">
        <v>75</v>
      </c>
      <c r="D270" s="301"/>
      <c r="E270" s="296"/>
      <c r="F270" s="296"/>
      <c r="G270" s="104" t="str">
        <f t="shared" si="1"/>
        <v>#DIV/0!</v>
      </c>
      <c r="H270" s="105" t="str">
        <f t="shared" si="2"/>
        <v>#DIV/0!</v>
      </c>
      <c r="I270" s="106" t="str">
        <f t="shared" si="3"/>
        <v>#DIV/0!</v>
      </c>
      <c r="J270" s="302">
        <v>3.0</v>
      </c>
      <c r="K270" s="278">
        <v>586.0</v>
      </c>
      <c r="L270" s="296"/>
      <c r="M270" s="303">
        <v>0.0</v>
      </c>
      <c r="N270" s="109" t="str">
        <f t="shared" si="157"/>
        <v>#DIV/0!</v>
      </c>
      <c r="O270" s="110">
        <f t="shared" si="5"/>
        <v>0</v>
      </c>
      <c r="P270" s="109" t="str">
        <f t="shared" si="6"/>
        <v>#DIV/0!</v>
      </c>
      <c r="Q270" s="111" t="str">
        <f t="shared" si="7"/>
        <v>#DIV/0!</v>
      </c>
      <c r="R270" s="304">
        <f t="shared" si="156"/>
        <v>0</v>
      </c>
      <c r="S270" s="113" t="str">
        <f t="shared" si="9"/>
        <v>#DIV/0!</v>
      </c>
      <c r="T270" s="114"/>
      <c r="U270" s="114"/>
      <c r="V270" s="114"/>
      <c r="W270" s="114"/>
      <c r="X270" s="115"/>
      <c r="Y270" s="98"/>
      <c r="Z270" s="98"/>
    </row>
    <row r="271" hidden="1" outlineLevel="1">
      <c r="A271" s="293"/>
      <c r="B271" s="116"/>
      <c r="C271" s="294" t="s">
        <v>76</v>
      </c>
      <c r="D271" s="298"/>
      <c r="E271" s="296"/>
      <c r="F271" s="296"/>
      <c r="G271" s="104" t="str">
        <f t="shared" si="1"/>
        <v>#DIV/0!</v>
      </c>
      <c r="H271" s="105" t="str">
        <f t="shared" si="2"/>
        <v>#DIV/0!</v>
      </c>
      <c r="I271" s="106" t="str">
        <f t="shared" si="3"/>
        <v>#DIV/0!</v>
      </c>
      <c r="J271" s="120">
        <v>8.15</v>
      </c>
      <c r="K271" s="278">
        <v>1740.0</v>
      </c>
      <c r="L271" s="296"/>
      <c r="M271" s="121">
        <v>69.95</v>
      </c>
      <c r="N271" s="109">
        <f t="shared" si="157"/>
        <v>0.1165117941</v>
      </c>
      <c r="O271" s="110">
        <f t="shared" si="5"/>
        <v>8.582822086</v>
      </c>
      <c r="P271" s="109" t="str">
        <f t="shared" si="6"/>
        <v>#DIV/0!</v>
      </c>
      <c r="Q271" s="111" t="str">
        <f t="shared" si="7"/>
        <v>#DIV/0!</v>
      </c>
      <c r="R271" s="122">
        <f t="shared" si="156"/>
        <v>-69.95</v>
      </c>
      <c r="S271" s="113" t="str">
        <f t="shared" si="9"/>
        <v>#DIV/0!</v>
      </c>
      <c r="T271" s="114"/>
      <c r="U271" s="114"/>
      <c r="V271" s="114"/>
      <c r="W271" s="114"/>
      <c r="X271" s="115"/>
      <c r="Y271" s="98"/>
      <c r="Z271" s="98"/>
    </row>
    <row r="272" hidden="1" outlineLevel="1">
      <c r="A272" s="293"/>
      <c r="B272" s="99" t="s">
        <v>37</v>
      </c>
      <c r="C272" s="294" t="s">
        <v>77</v>
      </c>
      <c r="D272" s="305"/>
      <c r="E272" s="296"/>
      <c r="F272" s="296"/>
      <c r="G272" s="104" t="str">
        <f t="shared" si="1"/>
        <v>#DIV/0!</v>
      </c>
      <c r="H272" s="105" t="str">
        <f t="shared" si="2"/>
        <v>#DIV/0!</v>
      </c>
      <c r="I272" s="106" t="str">
        <f t="shared" si="3"/>
        <v>#DIV/0!</v>
      </c>
      <c r="J272" s="123">
        <v>5.21</v>
      </c>
      <c r="K272" s="278">
        <v>982.0</v>
      </c>
      <c r="L272" s="296"/>
      <c r="M272" s="124">
        <v>0.0</v>
      </c>
      <c r="N272" s="109" t="str">
        <f t="shared" si="157"/>
        <v>#DIV/0!</v>
      </c>
      <c r="O272" s="110">
        <f t="shared" si="5"/>
        <v>0</v>
      </c>
      <c r="P272" s="109" t="str">
        <f t="shared" si="6"/>
        <v>#DIV/0!</v>
      </c>
      <c r="Q272" s="111" t="str">
        <f t="shared" si="7"/>
        <v>#DIV/0!</v>
      </c>
      <c r="R272" s="125">
        <f t="shared" si="156"/>
        <v>0</v>
      </c>
      <c r="S272" s="113" t="str">
        <f t="shared" si="9"/>
        <v>#DIV/0!</v>
      </c>
      <c r="T272" s="114"/>
      <c r="U272" s="114"/>
      <c r="V272" s="114"/>
      <c r="W272" s="114"/>
      <c r="X272" s="115"/>
      <c r="Y272" s="98"/>
      <c r="Z272" s="98"/>
    </row>
    <row r="273" hidden="1" outlineLevel="1">
      <c r="A273" s="293"/>
      <c r="B273" s="116"/>
      <c r="C273" s="294" t="s">
        <v>78</v>
      </c>
      <c r="D273" s="306"/>
      <c r="E273" s="296"/>
      <c r="F273" s="296"/>
      <c r="G273" s="104" t="str">
        <f t="shared" si="1"/>
        <v>#DIV/0!</v>
      </c>
      <c r="H273" s="105" t="str">
        <f t="shared" si="2"/>
        <v>#DIV/0!</v>
      </c>
      <c r="I273" s="106" t="str">
        <f t="shared" si="3"/>
        <v>#DIV/0!</v>
      </c>
      <c r="J273" s="126">
        <v>0.12</v>
      </c>
      <c r="K273" s="278">
        <v>73.0</v>
      </c>
      <c r="L273" s="296"/>
      <c r="M273" s="127">
        <v>0.0</v>
      </c>
      <c r="N273" s="109" t="str">
        <f t="shared" si="157"/>
        <v>#DIV/0!</v>
      </c>
      <c r="O273" s="110">
        <f t="shared" si="5"/>
        <v>0</v>
      </c>
      <c r="P273" s="109" t="str">
        <f t="shared" si="6"/>
        <v>#DIV/0!</v>
      </c>
      <c r="Q273" s="111" t="str">
        <f t="shared" si="7"/>
        <v>#DIV/0!</v>
      </c>
      <c r="R273" s="128">
        <f t="shared" si="156"/>
        <v>0</v>
      </c>
      <c r="S273" s="113" t="str">
        <f t="shared" si="9"/>
        <v>#DIV/0!</v>
      </c>
      <c r="T273" s="114"/>
      <c r="U273" s="114"/>
      <c r="V273" s="114"/>
      <c r="W273" s="114"/>
      <c r="X273" s="115"/>
      <c r="Y273" s="98"/>
      <c r="Z273" s="98"/>
    </row>
    <row r="274" hidden="1" outlineLevel="1">
      <c r="A274" s="293"/>
      <c r="B274" s="116"/>
      <c r="C274" s="294" t="s">
        <v>79</v>
      </c>
      <c r="D274" s="307"/>
      <c r="E274" s="296"/>
      <c r="F274" s="296"/>
      <c r="G274" s="104" t="str">
        <f t="shared" si="1"/>
        <v>#DIV/0!</v>
      </c>
      <c r="H274" s="105" t="str">
        <f t="shared" si="2"/>
        <v>#DIV/0!</v>
      </c>
      <c r="I274" s="106" t="str">
        <f t="shared" si="3"/>
        <v>#DIV/0!</v>
      </c>
      <c r="J274" s="129">
        <v>29.83</v>
      </c>
      <c r="K274" s="278">
        <v>8774.0</v>
      </c>
      <c r="L274" s="296"/>
      <c r="M274" s="130">
        <v>134.85</v>
      </c>
      <c r="N274" s="109">
        <f t="shared" si="157"/>
        <v>0.2212087505</v>
      </c>
      <c r="O274" s="110">
        <f t="shared" si="5"/>
        <v>4.520616829</v>
      </c>
      <c r="P274" s="109" t="str">
        <f t="shared" si="6"/>
        <v>#DIV/0!</v>
      </c>
      <c r="Q274" s="111" t="str">
        <f t="shared" si="7"/>
        <v>#DIV/0!</v>
      </c>
      <c r="R274" s="131">
        <f t="shared" si="156"/>
        <v>-134.85</v>
      </c>
      <c r="S274" s="113" t="str">
        <f t="shared" si="9"/>
        <v>#DIV/0!</v>
      </c>
      <c r="T274" s="114"/>
      <c r="U274" s="114"/>
      <c r="V274" s="114"/>
      <c r="W274" s="114"/>
      <c r="X274" s="115"/>
      <c r="Y274" s="98"/>
      <c r="Z274" s="98"/>
    </row>
    <row r="275" hidden="1" outlineLevel="1">
      <c r="A275" s="310" t="str">
        <f t="shared" ref="A275:A276" si="158">iferror(if(B275&gt;0,month(B275)&amp;"-"&amp;year(B275),B275),)</f>
        <v>7-2025</v>
      </c>
      <c r="B275" s="99">
        <v>45864.0</v>
      </c>
      <c r="C275" s="294" t="s">
        <v>81</v>
      </c>
      <c r="D275" s="311"/>
      <c r="E275" s="296"/>
      <c r="F275" s="296"/>
      <c r="G275" s="104" t="str">
        <f t="shared" si="1"/>
        <v>#DIV/0!</v>
      </c>
      <c r="H275" s="105" t="str">
        <f t="shared" si="2"/>
        <v>#DIV/0!</v>
      </c>
      <c r="I275" s="106" t="str">
        <f t="shared" si="3"/>
        <v>#DIV/0!</v>
      </c>
      <c r="J275" s="117">
        <v>0.0</v>
      </c>
      <c r="K275" s="278">
        <v>0.0</v>
      </c>
      <c r="L275" s="296"/>
      <c r="M275" s="118">
        <v>0.0</v>
      </c>
      <c r="N275" s="109" t="str">
        <f t="shared" si="157"/>
        <v>#DIV/0!</v>
      </c>
      <c r="O275" s="110" t="str">
        <f t="shared" si="5"/>
        <v>#DIV/0!</v>
      </c>
      <c r="P275" s="109" t="str">
        <f t="shared" si="6"/>
        <v>#DIV/0!</v>
      </c>
      <c r="Q275" s="111" t="str">
        <f t="shared" si="7"/>
        <v>#DIV/0!</v>
      </c>
      <c r="R275" s="112">
        <f t="shared" si="156"/>
        <v>0</v>
      </c>
      <c r="S275" s="113" t="str">
        <f t="shared" si="9"/>
        <v>#DIV/0!</v>
      </c>
      <c r="T275" s="114"/>
      <c r="U275" s="114"/>
      <c r="V275" s="114"/>
      <c r="W275" s="114"/>
      <c r="X275" s="115"/>
      <c r="Y275" s="98"/>
      <c r="Z275" s="98"/>
    </row>
    <row r="276" collapsed="1">
      <c r="A276" s="293" t="str">
        <f t="shared" si="158"/>
        <v/>
      </c>
      <c r="B276" s="80" t="s">
        <v>117</v>
      </c>
      <c r="C276" s="312"/>
      <c r="D276" s="151">
        <f t="shared" ref="D276:F276" si="159">SUM(D265:D275)</f>
        <v>0</v>
      </c>
      <c r="E276" s="153">
        <f t="shared" si="159"/>
        <v>0</v>
      </c>
      <c r="F276" s="153">
        <f t="shared" si="159"/>
        <v>0</v>
      </c>
      <c r="G276" s="154" t="str">
        <f t="shared" si="1"/>
        <v>#DIV/0!</v>
      </c>
      <c r="H276" s="155" t="str">
        <f t="shared" si="2"/>
        <v>#DIV/0!</v>
      </c>
      <c r="I276" s="156" t="str">
        <f t="shared" si="3"/>
        <v>#DIV/0!</v>
      </c>
      <c r="J276" s="151">
        <f t="shared" ref="J276:M276" si="160">SUM(J265:J275)</f>
        <v>78.15</v>
      </c>
      <c r="K276" s="313">
        <f t="shared" si="160"/>
        <v>25824</v>
      </c>
      <c r="L276" s="153">
        <f t="shared" si="160"/>
        <v>0</v>
      </c>
      <c r="M276" s="157">
        <f t="shared" si="160"/>
        <v>204.8</v>
      </c>
      <c r="N276" s="158">
        <f t="shared" si="157"/>
        <v>0.3815917969</v>
      </c>
      <c r="O276" s="159">
        <f t="shared" si="5"/>
        <v>2.620601408</v>
      </c>
      <c r="P276" s="158" t="str">
        <f t="shared" si="6"/>
        <v>#DIV/0!</v>
      </c>
      <c r="Q276" s="160" t="str">
        <f t="shared" si="7"/>
        <v>#DIV/0!</v>
      </c>
      <c r="R276" s="161">
        <f>SUM(R265:R275)</f>
        <v>-204.8</v>
      </c>
      <c r="S276" s="162" t="str">
        <f t="shared" si="9"/>
        <v>#DIV/0!</v>
      </c>
      <c r="T276" s="164" t="str">
        <f t="shared" ref="T276:U276" si="161">IFERROR((D276-D48)/D276,)</f>
        <v/>
      </c>
      <c r="U276" s="164" t="str">
        <f t="shared" si="161"/>
        <v/>
      </c>
      <c r="V276" s="164" t="str">
        <f t="shared" ref="V276:W276" si="162">IFERROR((D276-monthly_reporting_2021!D67)/D276, )</f>
        <v/>
      </c>
      <c r="W276" s="164" t="str">
        <f t="shared" si="162"/>
        <v/>
      </c>
      <c r="X276" s="98"/>
      <c r="Y276" s="98"/>
      <c r="Z276" s="98"/>
    </row>
    <row r="277" hidden="1" outlineLevel="1">
      <c r="A277" s="205"/>
      <c r="B277" s="206">
        <v>45865.0</v>
      </c>
      <c r="C277" s="200" t="s">
        <v>70</v>
      </c>
      <c r="D277" s="101"/>
      <c r="E277" s="103"/>
      <c r="F277" s="103"/>
      <c r="G277" s="104" t="str">
        <f t="shared" si="1"/>
        <v>#DIV/0!</v>
      </c>
      <c r="H277" s="105" t="str">
        <f t="shared" si="2"/>
        <v>#DIV/0!</v>
      </c>
      <c r="I277" s="106" t="str">
        <f t="shared" si="3"/>
        <v>#DIV/0!</v>
      </c>
      <c r="J277" s="170">
        <v>93.34</v>
      </c>
      <c r="K277" s="314">
        <v>31583.0</v>
      </c>
      <c r="L277" s="169"/>
      <c r="M277" s="171">
        <v>789.36</v>
      </c>
      <c r="N277" s="216">
        <f t="shared" si="157"/>
        <v>0.1182476943</v>
      </c>
      <c r="O277" s="217">
        <f t="shared" si="5"/>
        <v>8.456824513</v>
      </c>
      <c r="P277" s="216" t="str">
        <f t="shared" si="6"/>
        <v>#DIV/0!</v>
      </c>
      <c r="Q277" s="315" t="str">
        <f t="shared" si="7"/>
        <v>#DIV/0!</v>
      </c>
      <c r="R277" s="316">
        <f t="shared" ref="R277:R287" si="163">D277-M277</f>
        <v>-789.36</v>
      </c>
      <c r="S277" s="317" t="str">
        <f t="shared" si="9"/>
        <v>#DIV/0!</v>
      </c>
      <c r="T277" s="221"/>
      <c r="U277" s="221"/>
      <c r="V277" s="221"/>
      <c r="W277" s="221"/>
      <c r="X277" s="14"/>
    </row>
    <row r="278" hidden="1" outlineLevel="1">
      <c r="A278" s="205"/>
      <c r="B278" s="206"/>
      <c r="C278" s="200" t="s">
        <v>71</v>
      </c>
      <c r="D278" s="117"/>
      <c r="E278" s="103"/>
      <c r="F278" s="103"/>
      <c r="G278" s="104" t="str">
        <f t="shared" si="1"/>
        <v>#DIV/0!</v>
      </c>
      <c r="H278" s="105" t="str">
        <f t="shared" si="2"/>
        <v>#DIV/0!</v>
      </c>
      <c r="I278" s="106" t="str">
        <f t="shared" si="3"/>
        <v>#DIV/0!</v>
      </c>
      <c r="J278" s="175">
        <v>2.34</v>
      </c>
      <c r="K278" s="314">
        <v>909.0</v>
      </c>
      <c r="L278" s="103"/>
      <c r="M278" s="176">
        <v>0.0</v>
      </c>
      <c r="N278" s="216" t="str">
        <f t="shared" si="157"/>
        <v>#DIV/0!</v>
      </c>
      <c r="O278" s="217">
        <f t="shared" si="5"/>
        <v>0</v>
      </c>
      <c r="P278" s="216" t="str">
        <f t="shared" si="6"/>
        <v>#DIV/0!</v>
      </c>
      <c r="Q278" s="315" t="str">
        <f t="shared" si="7"/>
        <v>#DIV/0!</v>
      </c>
      <c r="R278" s="318">
        <f t="shared" si="163"/>
        <v>0</v>
      </c>
      <c r="S278" s="317" t="str">
        <f t="shared" si="9"/>
        <v>#DIV/0!</v>
      </c>
      <c r="T278" s="221"/>
      <c r="U278" s="221"/>
      <c r="V278" s="221"/>
      <c r="W278" s="221"/>
      <c r="X278" s="14"/>
    </row>
    <row r="279" hidden="1" outlineLevel="1">
      <c r="A279" s="205"/>
      <c r="B279" s="206"/>
      <c r="C279" s="200" t="s">
        <v>72</v>
      </c>
      <c r="D279" s="120"/>
      <c r="E279" s="103"/>
      <c r="F279" s="103"/>
      <c r="G279" s="104" t="str">
        <f t="shared" si="1"/>
        <v>#DIV/0!</v>
      </c>
      <c r="H279" s="105" t="str">
        <f t="shared" si="2"/>
        <v>#DIV/0!</v>
      </c>
      <c r="I279" s="106" t="str">
        <f t="shared" si="3"/>
        <v>#DIV/0!</v>
      </c>
      <c r="J279" s="177">
        <v>17.26</v>
      </c>
      <c r="K279" s="314">
        <v>4782.0</v>
      </c>
      <c r="L279" s="169"/>
      <c r="M279" s="178">
        <v>0.0</v>
      </c>
      <c r="N279" s="216" t="str">
        <f>(J279/M279)</f>
        <v>#DIV/0!</v>
      </c>
      <c r="O279" s="217">
        <f t="shared" si="5"/>
        <v>0</v>
      </c>
      <c r="P279" s="216" t="str">
        <f t="shared" si="6"/>
        <v>#DIV/0!</v>
      </c>
      <c r="Q279" s="315" t="str">
        <f t="shared" si="7"/>
        <v>#DIV/0!</v>
      </c>
      <c r="R279" s="319">
        <f t="shared" si="163"/>
        <v>0</v>
      </c>
      <c r="S279" s="317" t="str">
        <f t="shared" si="9"/>
        <v>#DIV/0!</v>
      </c>
      <c r="T279" s="221"/>
      <c r="U279" s="221"/>
      <c r="V279" s="221"/>
      <c r="W279" s="221"/>
      <c r="X279" s="14"/>
    </row>
    <row r="280" hidden="1" outlineLevel="1">
      <c r="A280" s="205"/>
      <c r="B280" s="206"/>
      <c r="C280" s="200" t="s">
        <v>73</v>
      </c>
      <c r="D280" s="120"/>
      <c r="E280" s="103"/>
      <c r="F280" s="103"/>
      <c r="G280" s="104" t="str">
        <f t="shared" si="1"/>
        <v>#DIV/0!</v>
      </c>
      <c r="H280" s="105" t="str">
        <f t="shared" si="2"/>
        <v>#DIV/0!</v>
      </c>
      <c r="I280" s="106" t="str">
        <f t="shared" si="3"/>
        <v>#DIV/0!</v>
      </c>
      <c r="J280" s="177">
        <v>19.82</v>
      </c>
      <c r="K280" s="314">
        <v>4736.0</v>
      </c>
      <c r="L280" s="103"/>
      <c r="M280" s="178">
        <v>59.95</v>
      </c>
      <c r="N280" s="216">
        <f t="shared" ref="N280:N290" si="164">J280/M280</f>
        <v>0.3306088407</v>
      </c>
      <c r="O280" s="217">
        <f t="shared" si="5"/>
        <v>3.024722503</v>
      </c>
      <c r="P280" s="216" t="str">
        <f t="shared" si="6"/>
        <v>#DIV/0!</v>
      </c>
      <c r="Q280" s="315" t="str">
        <f t="shared" si="7"/>
        <v>#DIV/0!</v>
      </c>
      <c r="R280" s="319">
        <f t="shared" si="163"/>
        <v>-59.95</v>
      </c>
      <c r="S280" s="317" t="str">
        <f t="shared" si="9"/>
        <v>#DIV/0!</v>
      </c>
      <c r="T280" s="221"/>
      <c r="U280" s="221"/>
      <c r="V280" s="221"/>
      <c r="W280" s="221"/>
      <c r="X280" s="14"/>
    </row>
    <row r="281" hidden="1" outlineLevel="1">
      <c r="A281" s="205"/>
      <c r="B281" s="206"/>
      <c r="C281" s="200" t="s">
        <v>74</v>
      </c>
      <c r="D281" s="300"/>
      <c r="E281" s="103"/>
      <c r="F281" s="103"/>
      <c r="G281" s="104" t="str">
        <f t="shared" si="1"/>
        <v>#DIV/0!</v>
      </c>
      <c r="H281" s="105" t="str">
        <f t="shared" si="2"/>
        <v>#DIV/0!</v>
      </c>
      <c r="I281" s="106" t="str">
        <f t="shared" si="3"/>
        <v>#DIV/0!</v>
      </c>
      <c r="J281" s="320">
        <v>0.64</v>
      </c>
      <c r="K281" s="169">
        <v>163.0</v>
      </c>
      <c r="L281" s="169"/>
      <c r="M281" s="320">
        <v>0.0</v>
      </c>
      <c r="N281" s="216" t="str">
        <f t="shared" si="164"/>
        <v>#DIV/0!</v>
      </c>
      <c r="O281" s="217">
        <f t="shared" si="5"/>
        <v>0</v>
      </c>
      <c r="P281" s="216" t="str">
        <f t="shared" si="6"/>
        <v>#DIV/0!</v>
      </c>
      <c r="Q281" s="315" t="str">
        <f t="shared" si="7"/>
        <v>#DIV/0!</v>
      </c>
      <c r="R281" s="319">
        <f t="shared" si="163"/>
        <v>0</v>
      </c>
      <c r="S281" s="317" t="str">
        <f t="shared" si="9"/>
        <v>#DIV/0!</v>
      </c>
      <c r="T281" s="221"/>
      <c r="U281" s="221"/>
      <c r="V281" s="221"/>
      <c r="W281" s="221"/>
      <c r="X281" s="14"/>
    </row>
    <row r="282" hidden="1" outlineLevel="1">
      <c r="A282" s="205"/>
      <c r="B282" s="206"/>
      <c r="C282" s="200" t="s">
        <v>75</v>
      </c>
      <c r="D282" s="302"/>
      <c r="E282" s="103"/>
      <c r="F282" s="103"/>
      <c r="G282" s="104" t="str">
        <f t="shared" si="1"/>
        <v>#DIV/0!</v>
      </c>
      <c r="H282" s="105" t="str">
        <f t="shared" si="2"/>
        <v>#DIV/0!</v>
      </c>
      <c r="I282" s="106" t="str">
        <f t="shared" si="3"/>
        <v>#DIV/0!</v>
      </c>
      <c r="J282" s="321">
        <v>14.92</v>
      </c>
      <c r="K282" s="314">
        <v>3368.0</v>
      </c>
      <c r="L282" s="103"/>
      <c r="M282" s="322">
        <v>0.0</v>
      </c>
      <c r="N282" s="216" t="str">
        <f t="shared" si="164"/>
        <v>#DIV/0!</v>
      </c>
      <c r="O282" s="217">
        <f t="shared" si="5"/>
        <v>0</v>
      </c>
      <c r="P282" s="216" t="str">
        <f t="shared" si="6"/>
        <v>#DIV/0!</v>
      </c>
      <c r="Q282" s="315" t="str">
        <f t="shared" si="7"/>
        <v>#DIV/0!</v>
      </c>
      <c r="R282" s="323">
        <f t="shared" si="163"/>
        <v>0</v>
      </c>
      <c r="S282" s="317" t="str">
        <f t="shared" si="9"/>
        <v>#DIV/0!</v>
      </c>
      <c r="T282" s="221"/>
      <c r="U282" s="221"/>
      <c r="V282" s="221"/>
      <c r="W282" s="221"/>
      <c r="X282" s="14"/>
    </row>
    <row r="283" hidden="1" outlineLevel="1">
      <c r="A283" s="205"/>
      <c r="B283" s="206"/>
      <c r="C283" s="200" t="s">
        <v>76</v>
      </c>
      <c r="D283" s="120"/>
      <c r="E283" s="103"/>
      <c r="F283" s="103"/>
      <c r="G283" s="104" t="str">
        <f t="shared" si="1"/>
        <v>#DIV/0!</v>
      </c>
      <c r="H283" s="105" t="str">
        <f t="shared" si="2"/>
        <v>#DIV/0!</v>
      </c>
      <c r="I283" s="106" t="str">
        <f t="shared" si="3"/>
        <v>#DIV/0!</v>
      </c>
      <c r="J283" s="177">
        <v>23.84</v>
      </c>
      <c r="K283" s="314">
        <v>4292.0</v>
      </c>
      <c r="L283" s="103"/>
      <c r="M283" s="178">
        <v>134.95</v>
      </c>
      <c r="N283" s="216">
        <f t="shared" si="164"/>
        <v>0.1766580215</v>
      </c>
      <c r="O283" s="217">
        <f t="shared" si="5"/>
        <v>5.660654362</v>
      </c>
      <c r="P283" s="216" t="str">
        <f t="shared" si="6"/>
        <v>#DIV/0!</v>
      </c>
      <c r="Q283" s="315" t="str">
        <f t="shared" si="7"/>
        <v>#DIV/0!</v>
      </c>
      <c r="R283" s="319">
        <f t="shared" si="163"/>
        <v>-134.95</v>
      </c>
      <c r="S283" s="317" t="str">
        <f t="shared" si="9"/>
        <v>#DIV/0!</v>
      </c>
      <c r="T283" s="221"/>
      <c r="U283" s="221"/>
      <c r="V283" s="221"/>
      <c r="W283" s="221"/>
      <c r="X283" s="14"/>
    </row>
    <row r="284" hidden="1" outlineLevel="1">
      <c r="A284" s="205"/>
      <c r="B284" s="324" t="s">
        <v>37</v>
      </c>
      <c r="C284" s="200" t="s">
        <v>77</v>
      </c>
      <c r="D284" s="123"/>
      <c r="E284" s="103"/>
      <c r="F284" s="103"/>
      <c r="G284" s="104" t="str">
        <f t="shared" si="1"/>
        <v>#DIV/0!</v>
      </c>
      <c r="H284" s="105" t="str">
        <f t="shared" si="2"/>
        <v>#DIV/0!</v>
      </c>
      <c r="I284" s="106" t="str">
        <f t="shared" si="3"/>
        <v>#DIV/0!</v>
      </c>
      <c r="J284" s="180">
        <v>26.33</v>
      </c>
      <c r="K284" s="314">
        <v>5093.0</v>
      </c>
      <c r="L284" s="103"/>
      <c r="M284" s="181">
        <v>79.95</v>
      </c>
      <c r="N284" s="216">
        <f t="shared" si="164"/>
        <v>0.3293308318</v>
      </c>
      <c r="O284" s="217">
        <f t="shared" si="5"/>
        <v>3.036460311</v>
      </c>
      <c r="P284" s="216" t="str">
        <f t="shared" si="6"/>
        <v>#DIV/0!</v>
      </c>
      <c r="Q284" s="315" t="str">
        <f t="shared" si="7"/>
        <v>#DIV/0!</v>
      </c>
      <c r="R284" s="325">
        <f t="shared" si="163"/>
        <v>-79.95</v>
      </c>
      <c r="S284" s="317" t="str">
        <f t="shared" si="9"/>
        <v>#DIV/0!</v>
      </c>
      <c r="T284" s="221"/>
      <c r="U284" s="221"/>
      <c r="V284" s="221"/>
      <c r="W284" s="221"/>
      <c r="X284" s="14"/>
    </row>
    <row r="285" hidden="1" outlineLevel="1">
      <c r="A285" s="205"/>
      <c r="B285" s="206"/>
      <c r="C285" s="200" t="s">
        <v>78</v>
      </c>
      <c r="D285" s="126"/>
      <c r="E285" s="103"/>
      <c r="F285" s="103"/>
      <c r="G285" s="104" t="str">
        <f t="shared" si="1"/>
        <v>#DIV/0!</v>
      </c>
      <c r="H285" s="105" t="str">
        <f t="shared" si="2"/>
        <v>#DIV/0!</v>
      </c>
      <c r="I285" s="106" t="str">
        <f t="shared" si="3"/>
        <v>#DIV/0!</v>
      </c>
      <c r="J285" s="182">
        <v>4.05</v>
      </c>
      <c r="K285" s="314">
        <v>1359.0</v>
      </c>
      <c r="L285" s="169"/>
      <c r="M285" s="183">
        <v>0.0</v>
      </c>
      <c r="N285" s="216" t="str">
        <f t="shared" si="164"/>
        <v>#DIV/0!</v>
      </c>
      <c r="O285" s="217">
        <f t="shared" si="5"/>
        <v>0</v>
      </c>
      <c r="P285" s="216" t="str">
        <f t="shared" si="6"/>
        <v>#DIV/0!</v>
      </c>
      <c r="Q285" s="315" t="str">
        <f t="shared" si="7"/>
        <v>#DIV/0!</v>
      </c>
      <c r="R285" s="326">
        <f t="shared" si="163"/>
        <v>0</v>
      </c>
      <c r="S285" s="317" t="str">
        <f t="shared" si="9"/>
        <v>#DIV/0!</v>
      </c>
      <c r="T285" s="221"/>
      <c r="U285" s="221"/>
      <c r="V285" s="221"/>
      <c r="W285" s="221"/>
      <c r="X285" s="14"/>
    </row>
    <row r="286" hidden="1" outlineLevel="1">
      <c r="A286" s="205"/>
      <c r="B286" s="206"/>
      <c r="C286" s="200" t="s">
        <v>79</v>
      </c>
      <c r="D286" s="129"/>
      <c r="E286" s="103"/>
      <c r="F286" s="103"/>
      <c r="G286" s="104" t="str">
        <f t="shared" si="1"/>
        <v>#DIV/0!</v>
      </c>
      <c r="H286" s="105" t="str">
        <f t="shared" si="2"/>
        <v>#DIV/0!</v>
      </c>
      <c r="I286" s="106" t="str">
        <f t="shared" si="3"/>
        <v>#DIV/0!</v>
      </c>
      <c r="J286" s="184">
        <v>95.06</v>
      </c>
      <c r="K286" s="314">
        <v>23563.0</v>
      </c>
      <c r="L286" s="103"/>
      <c r="M286" s="185">
        <v>179.8</v>
      </c>
      <c r="N286" s="216">
        <f t="shared" si="164"/>
        <v>0.5286985539</v>
      </c>
      <c r="O286" s="217">
        <f t="shared" si="5"/>
        <v>1.891436987</v>
      </c>
      <c r="P286" s="216" t="str">
        <f t="shared" si="6"/>
        <v>#DIV/0!</v>
      </c>
      <c r="Q286" s="315" t="str">
        <f t="shared" si="7"/>
        <v>#DIV/0!</v>
      </c>
      <c r="R286" s="327">
        <f t="shared" si="163"/>
        <v>-179.8</v>
      </c>
      <c r="S286" s="317" t="str">
        <f t="shared" si="9"/>
        <v>#DIV/0!</v>
      </c>
      <c r="T286" s="221"/>
      <c r="U286" s="221"/>
      <c r="V286" s="221"/>
      <c r="W286" s="221"/>
      <c r="X286" s="14"/>
    </row>
    <row r="287" hidden="1" outlineLevel="1">
      <c r="A287" s="205" t="str">
        <f t="shared" ref="A287:A288" si="165">iferror(if(B287&gt;0,month(B287)&amp;"-"&amp;year(B287),B287),)</f>
        <v>8-2025</v>
      </c>
      <c r="B287" s="206">
        <v>45871.0</v>
      </c>
      <c r="C287" s="200" t="s">
        <v>81</v>
      </c>
      <c r="D287" s="329"/>
      <c r="E287" s="210"/>
      <c r="F287" s="210"/>
      <c r="G287" s="211" t="str">
        <f t="shared" si="1"/>
        <v>#DIV/0!</v>
      </c>
      <c r="H287" s="212" t="str">
        <f t="shared" si="2"/>
        <v>#DIV/0!</v>
      </c>
      <c r="I287" s="330" t="str">
        <f t="shared" si="3"/>
        <v>#DIV/0!</v>
      </c>
      <c r="J287" s="175">
        <v>0.0</v>
      </c>
      <c r="K287" s="169">
        <v>0.0</v>
      </c>
      <c r="L287" s="169"/>
      <c r="M287" s="176">
        <v>0.0</v>
      </c>
      <c r="N287" s="216" t="str">
        <f t="shared" si="164"/>
        <v>#DIV/0!</v>
      </c>
      <c r="O287" s="217" t="str">
        <f t="shared" si="5"/>
        <v>#DIV/0!</v>
      </c>
      <c r="P287" s="216" t="str">
        <f t="shared" si="6"/>
        <v>#DIV/0!</v>
      </c>
      <c r="Q287" s="315" t="str">
        <f t="shared" si="7"/>
        <v>#DIV/0!</v>
      </c>
      <c r="R287" s="316">
        <f t="shared" si="163"/>
        <v>0</v>
      </c>
      <c r="S287" s="317" t="str">
        <f t="shared" si="9"/>
        <v>#DIV/0!</v>
      </c>
      <c r="T287" s="221"/>
      <c r="U287" s="221"/>
      <c r="V287" s="221"/>
      <c r="W287" s="221"/>
      <c r="X287" s="14"/>
    </row>
    <row r="288" collapsed="1">
      <c r="A288" s="98" t="str">
        <f t="shared" si="165"/>
        <v/>
      </c>
      <c r="B288" s="80" t="s">
        <v>118</v>
      </c>
      <c r="C288" s="150"/>
      <c r="D288" s="151">
        <f t="shared" ref="D288:F288" si="166">SUM(D277:D287)</f>
        <v>0</v>
      </c>
      <c r="E288" s="202">
        <f t="shared" si="166"/>
        <v>0</v>
      </c>
      <c r="F288" s="202">
        <f t="shared" si="166"/>
        <v>0</v>
      </c>
      <c r="G288" s="154" t="str">
        <f t="shared" si="1"/>
        <v>#DIV/0!</v>
      </c>
      <c r="H288" s="155" t="str">
        <f t="shared" si="2"/>
        <v>#DIV/0!</v>
      </c>
      <c r="I288" s="156" t="str">
        <f t="shared" si="3"/>
        <v>#DIV/0!</v>
      </c>
      <c r="J288" s="151">
        <f t="shared" ref="J288:M288" si="167">SUM(J277:J287)</f>
        <v>297.6</v>
      </c>
      <c r="K288" s="313">
        <f t="shared" si="167"/>
        <v>79848</v>
      </c>
      <c r="L288" s="202">
        <f t="shared" si="167"/>
        <v>0</v>
      </c>
      <c r="M288" s="157">
        <f t="shared" si="167"/>
        <v>1244.01</v>
      </c>
      <c r="N288" s="158">
        <f t="shared" si="164"/>
        <v>0.2392263728</v>
      </c>
      <c r="O288" s="159">
        <f t="shared" si="5"/>
        <v>4.180141129</v>
      </c>
      <c r="P288" s="158" t="str">
        <f t="shared" si="6"/>
        <v>#DIV/0!</v>
      </c>
      <c r="Q288" s="160" t="str">
        <f t="shared" si="7"/>
        <v>#DIV/0!</v>
      </c>
      <c r="R288" s="161">
        <f>SUM(R277:R287)</f>
        <v>-1244.01</v>
      </c>
      <c r="S288" s="162" t="str">
        <f t="shared" si="9"/>
        <v>#DIV/0!</v>
      </c>
      <c r="T288" s="163" t="str">
        <f t="shared" ref="T288:U288" si="168">IFERROR((D288-D36)/D288,)</f>
        <v/>
      </c>
      <c r="U288" s="163" t="str">
        <f t="shared" si="168"/>
        <v/>
      </c>
      <c r="V288" s="163" t="str">
        <f t="shared" ref="V288:W288" si="169">IFERROR((D288-monthly_reporting_2021!D79)/D288, )</f>
        <v/>
      </c>
      <c r="W288" s="163" t="str">
        <f t="shared" si="169"/>
        <v/>
      </c>
      <c r="X288" s="98"/>
      <c r="Y288" s="98"/>
      <c r="Z288" s="98"/>
    </row>
    <row r="289" hidden="1" outlineLevel="1">
      <c r="A289" s="293"/>
      <c r="B289" s="99">
        <v>45872.0</v>
      </c>
      <c r="C289" s="294" t="s">
        <v>70</v>
      </c>
      <c r="D289" s="295"/>
      <c r="E289" s="296"/>
      <c r="F289" s="296"/>
      <c r="G289" s="104" t="str">
        <f t="shared" si="1"/>
        <v>#DIV/0!</v>
      </c>
      <c r="H289" s="105" t="str">
        <f t="shared" si="2"/>
        <v>#DIV/0!</v>
      </c>
      <c r="I289" s="106" t="str">
        <f t="shared" si="3"/>
        <v>#DIV/0!</v>
      </c>
      <c r="J289" s="107">
        <v>305.5</v>
      </c>
      <c r="K289" s="278">
        <v>87905.0</v>
      </c>
      <c r="L289" s="296"/>
      <c r="M289" s="108">
        <v>528.75</v>
      </c>
      <c r="N289" s="109">
        <f t="shared" si="164"/>
        <v>0.5777777778</v>
      </c>
      <c r="O289" s="110">
        <f t="shared" si="5"/>
        <v>1.730769231</v>
      </c>
      <c r="P289" s="109" t="str">
        <f t="shared" si="6"/>
        <v>#DIV/0!</v>
      </c>
      <c r="Q289" s="111" t="str">
        <f t="shared" si="7"/>
        <v>#DIV/0!</v>
      </c>
      <c r="R289" s="112">
        <f t="shared" ref="R289:R299" si="170">D289-M289</f>
        <v>-528.75</v>
      </c>
      <c r="S289" s="113" t="str">
        <f t="shared" si="9"/>
        <v>#DIV/0!</v>
      </c>
      <c r="T289" s="114"/>
      <c r="U289" s="114"/>
      <c r="V289" s="114"/>
      <c r="W289" s="114"/>
      <c r="X289" s="115"/>
      <c r="Y289" s="98"/>
      <c r="Z289" s="98"/>
    </row>
    <row r="290" hidden="1" outlineLevel="1">
      <c r="A290" s="293"/>
      <c r="B290" s="116"/>
      <c r="C290" s="294" t="s">
        <v>71</v>
      </c>
      <c r="D290" s="297"/>
      <c r="E290" s="296"/>
      <c r="F290" s="296"/>
      <c r="G290" s="104" t="str">
        <f t="shared" si="1"/>
        <v>#DIV/0!</v>
      </c>
      <c r="H290" s="105" t="str">
        <f t="shared" si="2"/>
        <v>#DIV/0!</v>
      </c>
      <c r="I290" s="106" t="str">
        <f t="shared" si="3"/>
        <v>#DIV/0!</v>
      </c>
      <c r="J290" s="117">
        <v>0.0</v>
      </c>
      <c r="K290" s="278">
        <v>0.0</v>
      </c>
      <c r="L290" s="296"/>
      <c r="M290" s="118">
        <v>0.0</v>
      </c>
      <c r="N290" s="109" t="str">
        <f t="shared" si="164"/>
        <v>#DIV/0!</v>
      </c>
      <c r="O290" s="110" t="str">
        <f t="shared" si="5"/>
        <v>#DIV/0!</v>
      </c>
      <c r="P290" s="109" t="str">
        <f t="shared" si="6"/>
        <v>#DIV/0!</v>
      </c>
      <c r="Q290" s="111" t="str">
        <f t="shared" si="7"/>
        <v>#DIV/0!</v>
      </c>
      <c r="R290" s="119">
        <f t="shared" si="170"/>
        <v>0</v>
      </c>
      <c r="S290" s="113" t="str">
        <f t="shared" si="9"/>
        <v>#DIV/0!</v>
      </c>
      <c r="T290" s="114"/>
      <c r="U290" s="114"/>
      <c r="V290" s="114"/>
      <c r="W290" s="114"/>
      <c r="X290" s="115"/>
      <c r="Y290" s="98"/>
      <c r="Z290" s="98"/>
    </row>
    <row r="291" hidden="1" outlineLevel="1">
      <c r="A291" s="293"/>
      <c r="B291" s="116"/>
      <c r="C291" s="294" t="s">
        <v>72</v>
      </c>
      <c r="D291" s="298"/>
      <c r="E291" s="296"/>
      <c r="F291" s="296"/>
      <c r="G291" s="104" t="str">
        <f t="shared" si="1"/>
        <v>#DIV/0!</v>
      </c>
      <c r="H291" s="105" t="str">
        <f t="shared" si="2"/>
        <v>#DIV/0!</v>
      </c>
      <c r="I291" s="106" t="str">
        <f t="shared" si="3"/>
        <v>#DIV/0!</v>
      </c>
      <c r="J291" s="120">
        <v>0.91</v>
      </c>
      <c r="K291" s="278">
        <v>640.0</v>
      </c>
      <c r="L291" s="296"/>
      <c r="M291" s="121">
        <v>0.0</v>
      </c>
      <c r="N291" s="109" t="str">
        <f>(J291/M291)</f>
        <v>#DIV/0!</v>
      </c>
      <c r="O291" s="110">
        <f t="shared" si="5"/>
        <v>0</v>
      </c>
      <c r="P291" s="109" t="str">
        <f t="shared" si="6"/>
        <v>#DIV/0!</v>
      </c>
      <c r="Q291" s="111" t="str">
        <f t="shared" si="7"/>
        <v>#DIV/0!</v>
      </c>
      <c r="R291" s="122">
        <f t="shared" si="170"/>
        <v>0</v>
      </c>
      <c r="S291" s="113" t="str">
        <f t="shared" si="9"/>
        <v>#DIV/0!</v>
      </c>
      <c r="T291" s="114"/>
      <c r="U291" s="114"/>
      <c r="V291" s="114"/>
      <c r="W291" s="114"/>
      <c r="X291" s="115"/>
      <c r="Y291" s="98"/>
      <c r="Z291" s="98"/>
    </row>
    <row r="292" hidden="1" outlineLevel="1">
      <c r="A292" s="293"/>
      <c r="B292" s="116"/>
      <c r="C292" s="294" t="s">
        <v>73</v>
      </c>
      <c r="D292" s="298"/>
      <c r="E292" s="296"/>
      <c r="F292" s="296"/>
      <c r="G292" s="104" t="str">
        <f t="shared" si="1"/>
        <v>#DIV/0!</v>
      </c>
      <c r="H292" s="105" t="str">
        <f t="shared" si="2"/>
        <v>#DIV/0!</v>
      </c>
      <c r="I292" s="106" t="str">
        <f t="shared" si="3"/>
        <v>#DIV/0!</v>
      </c>
      <c r="J292" s="120">
        <v>93.38</v>
      </c>
      <c r="K292" s="278">
        <v>20458.0</v>
      </c>
      <c r="L292" s="296"/>
      <c r="M292" s="121">
        <v>269.78</v>
      </c>
      <c r="N292" s="109">
        <f t="shared" ref="N292:N302" si="171">J292/M292</f>
        <v>0.3461338869</v>
      </c>
      <c r="O292" s="110">
        <f t="shared" si="5"/>
        <v>2.889055472</v>
      </c>
      <c r="P292" s="109" t="str">
        <f t="shared" si="6"/>
        <v>#DIV/0!</v>
      </c>
      <c r="Q292" s="111" t="str">
        <f t="shared" si="7"/>
        <v>#DIV/0!</v>
      </c>
      <c r="R292" s="122">
        <f t="shared" si="170"/>
        <v>-269.78</v>
      </c>
      <c r="S292" s="113" t="str">
        <f t="shared" si="9"/>
        <v>#DIV/0!</v>
      </c>
      <c r="T292" s="114"/>
      <c r="U292" s="114"/>
      <c r="V292" s="114"/>
      <c r="W292" s="114"/>
      <c r="X292" s="115"/>
      <c r="Y292" s="98"/>
      <c r="Z292" s="98"/>
    </row>
    <row r="293" hidden="1" outlineLevel="1">
      <c r="A293" s="293"/>
      <c r="B293" s="116"/>
      <c r="C293" s="294" t="s">
        <v>74</v>
      </c>
      <c r="D293" s="299"/>
      <c r="E293" s="296"/>
      <c r="F293" s="296"/>
      <c r="G293" s="104" t="str">
        <f t="shared" si="1"/>
        <v>#DIV/0!</v>
      </c>
      <c r="H293" s="105" t="str">
        <f t="shared" si="2"/>
        <v>#DIV/0!</v>
      </c>
      <c r="I293" s="106" t="str">
        <f t="shared" si="3"/>
        <v>#DIV/0!</v>
      </c>
      <c r="J293" s="300">
        <v>11.67</v>
      </c>
      <c r="K293" s="278">
        <v>2447.0</v>
      </c>
      <c r="L293" s="296"/>
      <c r="M293" s="300">
        <v>0.0</v>
      </c>
      <c r="N293" s="109" t="str">
        <f t="shared" si="171"/>
        <v>#DIV/0!</v>
      </c>
      <c r="O293" s="110">
        <f t="shared" si="5"/>
        <v>0</v>
      </c>
      <c r="P293" s="109" t="str">
        <f t="shared" si="6"/>
        <v>#DIV/0!</v>
      </c>
      <c r="Q293" s="111" t="str">
        <f t="shared" si="7"/>
        <v>#DIV/0!</v>
      </c>
      <c r="R293" s="122">
        <f t="shared" si="170"/>
        <v>0</v>
      </c>
      <c r="S293" s="113" t="str">
        <f t="shared" si="9"/>
        <v>#DIV/0!</v>
      </c>
      <c r="T293" s="114"/>
      <c r="U293" s="114"/>
      <c r="V293" s="114"/>
      <c r="W293" s="114"/>
      <c r="X293" s="115"/>
      <c r="Y293" s="98"/>
      <c r="Z293" s="98"/>
    </row>
    <row r="294" hidden="1" outlineLevel="1">
      <c r="A294" s="293"/>
      <c r="B294" s="116"/>
      <c r="C294" s="294" t="s">
        <v>75</v>
      </c>
      <c r="D294" s="301"/>
      <c r="E294" s="296"/>
      <c r="F294" s="296"/>
      <c r="G294" s="104" t="str">
        <f t="shared" si="1"/>
        <v>#DIV/0!</v>
      </c>
      <c r="H294" s="105" t="str">
        <f t="shared" si="2"/>
        <v>#DIV/0!</v>
      </c>
      <c r="I294" s="106" t="str">
        <f t="shared" si="3"/>
        <v>#DIV/0!</v>
      </c>
      <c r="J294" s="302">
        <v>23.99</v>
      </c>
      <c r="K294" s="278">
        <v>5546.0</v>
      </c>
      <c r="L294" s="296"/>
      <c r="M294" s="303">
        <v>134.85</v>
      </c>
      <c r="N294" s="109">
        <f t="shared" si="171"/>
        <v>0.1779013719</v>
      </c>
      <c r="O294" s="110">
        <f t="shared" si="5"/>
        <v>5.621092122</v>
      </c>
      <c r="P294" s="109" t="str">
        <f t="shared" si="6"/>
        <v>#DIV/0!</v>
      </c>
      <c r="Q294" s="111" t="str">
        <f t="shared" si="7"/>
        <v>#DIV/0!</v>
      </c>
      <c r="R294" s="304">
        <f t="shared" si="170"/>
        <v>-134.85</v>
      </c>
      <c r="S294" s="113" t="str">
        <f t="shared" si="9"/>
        <v>#DIV/0!</v>
      </c>
      <c r="T294" s="114"/>
      <c r="U294" s="114"/>
      <c r="V294" s="114"/>
      <c r="W294" s="114"/>
      <c r="X294" s="115"/>
      <c r="Y294" s="98"/>
      <c r="Z294" s="98"/>
    </row>
    <row r="295" hidden="1" outlineLevel="1">
      <c r="A295" s="293"/>
      <c r="B295" s="116"/>
      <c r="C295" s="294" t="s">
        <v>76</v>
      </c>
      <c r="D295" s="298"/>
      <c r="E295" s="296"/>
      <c r="F295" s="296"/>
      <c r="G295" s="104" t="str">
        <f t="shared" si="1"/>
        <v>#DIV/0!</v>
      </c>
      <c r="H295" s="105" t="str">
        <f t="shared" si="2"/>
        <v>#DIV/0!</v>
      </c>
      <c r="I295" s="106" t="str">
        <f t="shared" si="3"/>
        <v>#DIV/0!</v>
      </c>
      <c r="J295" s="120">
        <v>44.97</v>
      </c>
      <c r="K295" s="278">
        <v>10031.0</v>
      </c>
      <c r="L295" s="296"/>
      <c r="M295" s="121">
        <v>239.15</v>
      </c>
      <c r="N295" s="109">
        <f t="shared" si="171"/>
        <v>0.1880409785</v>
      </c>
      <c r="O295" s="110">
        <f t="shared" si="5"/>
        <v>5.317989771</v>
      </c>
      <c r="P295" s="109" t="str">
        <f t="shared" si="6"/>
        <v>#DIV/0!</v>
      </c>
      <c r="Q295" s="111" t="str">
        <f t="shared" si="7"/>
        <v>#DIV/0!</v>
      </c>
      <c r="R295" s="122">
        <f t="shared" si="170"/>
        <v>-239.15</v>
      </c>
      <c r="S295" s="113" t="str">
        <f t="shared" si="9"/>
        <v>#DIV/0!</v>
      </c>
      <c r="T295" s="114"/>
      <c r="U295" s="114"/>
      <c r="V295" s="114"/>
      <c r="W295" s="114"/>
      <c r="X295" s="115"/>
      <c r="Y295" s="98"/>
      <c r="Z295" s="98"/>
    </row>
    <row r="296" hidden="1" outlineLevel="1">
      <c r="A296" s="293"/>
      <c r="B296" s="99" t="s">
        <v>37</v>
      </c>
      <c r="C296" s="294" t="s">
        <v>77</v>
      </c>
      <c r="D296" s="305"/>
      <c r="E296" s="296"/>
      <c r="F296" s="296"/>
      <c r="G296" s="104" t="str">
        <f t="shared" si="1"/>
        <v>#DIV/0!</v>
      </c>
      <c r="H296" s="105" t="str">
        <f t="shared" si="2"/>
        <v>#DIV/0!</v>
      </c>
      <c r="I296" s="106" t="str">
        <f t="shared" si="3"/>
        <v>#DIV/0!</v>
      </c>
      <c r="J296" s="123">
        <v>51.82</v>
      </c>
      <c r="K296" s="278">
        <v>8704.0</v>
      </c>
      <c r="L296" s="296"/>
      <c r="M296" s="124">
        <v>439.95</v>
      </c>
      <c r="N296" s="109">
        <f t="shared" si="171"/>
        <v>0.1177861121</v>
      </c>
      <c r="O296" s="110">
        <f t="shared" si="5"/>
        <v>8.489965264</v>
      </c>
      <c r="P296" s="109" t="str">
        <f t="shared" si="6"/>
        <v>#DIV/0!</v>
      </c>
      <c r="Q296" s="111" t="str">
        <f t="shared" si="7"/>
        <v>#DIV/0!</v>
      </c>
      <c r="R296" s="125">
        <f t="shared" si="170"/>
        <v>-439.95</v>
      </c>
      <c r="S296" s="113" t="str">
        <f t="shared" si="9"/>
        <v>#DIV/0!</v>
      </c>
      <c r="T296" s="114"/>
      <c r="U296" s="114"/>
      <c r="V296" s="114"/>
      <c r="W296" s="114"/>
      <c r="X296" s="115"/>
      <c r="Y296" s="98"/>
      <c r="Z296" s="98"/>
    </row>
    <row r="297" hidden="1" outlineLevel="1">
      <c r="A297" s="293"/>
      <c r="B297" s="116"/>
      <c r="C297" s="294" t="s">
        <v>78</v>
      </c>
      <c r="D297" s="306"/>
      <c r="E297" s="296"/>
      <c r="F297" s="296"/>
      <c r="G297" s="104" t="str">
        <f t="shared" si="1"/>
        <v>#DIV/0!</v>
      </c>
      <c r="H297" s="105" t="str">
        <f t="shared" si="2"/>
        <v>#DIV/0!</v>
      </c>
      <c r="I297" s="106" t="str">
        <f t="shared" si="3"/>
        <v>#DIV/0!</v>
      </c>
      <c r="J297" s="126">
        <v>40.07</v>
      </c>
      <c r="K297" s="278">
        <v>10014.0</v>
      </c>
      <c r="L297" s="296"/>
      <c r="M297" s="127">
        <v>290.87</v>
      </c>
      <c r="N297" s="109">
        <f t="shared" si="171"/>
        <v>0.1377591364</v>
      </c>
      <c r="O297" s="110">
        <f t="shared" si="5"/>
        <v>7.259046668</v>
      </c>
      <c r="P297" s="109" t="str">
        <f t="shared" si="6"/>
        <v>#DIV/0!</v>
      </c>
      <c r="Q297" s="111" t="str">
        <f t="shared" si="7"/>
        <v>#DIV/0!</v>
      </c>
      <c r="R297" s="128">
        <f t="shared" si="170"/>
        <v>-290.87</v>
      </c>
      <c r="S297" s="113" t="str">
        <f t="shared" si="9"/>
        <v>#DIV/0!</v>
      </c>
      <c r="T297" s="114"/>
      <c r="U297" s="114"/>
      <c r="V297" s="114"/>
      <c r="W297" s="114"/>
      <c r="X297" s="115"/>
      <c r="Y297" s="98"/>
      <c r="Z297" s="98"/>
    </row>
    <row r="298" hidden="1" outlineLevel="1">
      <c r="A298" s="293"/>
      <c r="B298" s="116"/>
      <c r="C298" s="294" t="s">
        <v>79</v>
      </c>
      <c r="D298" s="307"/>
      <c r="E298" s="296"/>
      <c r="F298" s="296"/>
      <c r="G298" s="104" t="str">
        <f t="shared" si="1"/>
        <v>#DIV/0!</v>
      </c>
      <c r="H298" s="105" t="str">
        <f t="shared" si="2"/>
        <v>#DIV/0!</v>
      </c>
      <c r="I298" s="106" t="str">
        <f t="shared" si="3"/>
        <v>#DIV/0!</v>
      </c>
      <c r="J298" s="129">
        <v>32.56</v>
      </c>
      <c r="K298" s="278">
        <v>10561.0</v>
      </c>
      <c r="L298" s="296"/>
      <c r="M298" s="130">
        <v>0.0</v>
      </c>
      <c r="N298" s="109" t="str">
        <f t="shared" si="171"/>
        <v>#DIV/0!</v>
      </c>
      <c r="O298" s="110">
        <f t="shared" si="5"/>
        <v>0</v>
      </c>
      <c r="P298" s="109" t="str">
        <f t="shared" si="6"/>
        <v>#DIV/0!</v>
      </c>
      <c r="Q298" s="111" t="str">
        <f t="shared" si="7"/>
        <v>#DIV/0!</v>
      </c>
      <c r="R298" s="131">
        <f t="shared" si="170"/>
        <v>0</v>
      </c>
      <c r="S298" s="113" t="str">
        <f t="shared" si="9"/>
        <v>#DIV/0!</v>
      </c>
      <c r="T298" s="114"/>
      <c r="U298" s="114"/>
      <c r="V298" s="114"/>
      <c r="W298" s="114"/>
      <c r="X298" s="115"/>
      <c r="Y298" s="98"/>
      <c r="Z298" s="98"/>
    </row>
    <row r="299" hidden="1" outlineLevel="1">
      <c r="A299" s="310" t="str">
        <f t="shared" ref="A299:A300" si="172">iferror(if(B299&gt;0,month(B299)&amp;"-"&amp;year(B299),B299),)</f>
        <v>8-2025</v>
      </c>
      <c r="B299" s="99">
        <v>45878.0</v>
      </c>
      <c r="C299" s="294" t="s">
        <v>81</v>
      </c>
      <c r="D299" s="311"/>
      <c r="E299" s="296"/>
      <c r="F299" s="296"/>
      <c r="G299" s="104" t="str">
        <f t="shared" si="1"/>
        <v>#DIV/0!</v>
      </c>
      <c r="H299" s="105" t="str">
        <f t="shared" si="2"/>
        <v>#DIV/0!</v>
      </c>
      <c r="I299" s="106" t="str">
        <f t="shared" si="3"/>
        <v>#DIV/0!</v>
      </c>
      <c r="J299" s="117">
        <v>0.0</v>
      </c>
      <c r="K299" s="278">
        <v>0.0</v>
      </c>
      <c r="L299" s="296"/>
      <c r="M299" s="118">
        <v>0.0</v>
      </c>
      <c r="N299" s="109" t="str">
        <f t="shared" si="171"/>
        <v>#DIV/0!</v>
      </c>
      <c r="O299" s="110" t="str">
        <f t="shared" si="5"/>
        <v>#DIV/0!</v>
      </c>
      <c r="P299" s="109" t="str">
        <f t="shared" si="6"/>
        <v>#DIV/0!</v>
      </c>
      <c r="Q299" s="111" t="str">
        <f t="shared" si="7"/>
        <v>#DIV/0!</v>
      </c>
      <c r="R299" s="112">
        <f t="shared" si="170"/>
        <v>0</v>
      </c>
      <c r="S299" s="113" t="str">
        <f t="shared" si="9"/>
        <v>#DIV/0!</v>
      </c>
      <c r="T299" s="114"/>
      <c r="U299" s="114"/>
      <c r="V299" s="114"/>
      <c r="W299" s="114"/>
      <c r="X299" s="115"/>
      <c r="Y299" s="98"/>
      <c r="Z299" s="98"/>
    </row>
    <row r="300" collapsed="1">
      <c r="A300" s="293" t="str">
        <f t="shared" si="172"/>
        <v/>
      </c>
      <c r="B300" s="80" t="s">
        <v>119</v>
      </c>
      <c r="C300" s="312"/>
      <c r="D300" s="151">
        <f t="shared" ref="D300:F300" si="173">SUM(D289:D299)</f>
        <v>0</v>
      </c>
      <c r="E300" s="153">
        <f t="shared" si="173"/>
        <v>0</v>
      </c>
      <c r="F300" s="153">
        <f t="shared" si="173"/>
        <v>0</v>
      </c>
      <c r="G300" s="154" t="str">
        <f t="shared" si="1"/>
        <v>#DIV/0!</v>
      </c>
      <c r="H300" s="155" t="str">
        <f t="shared" si="2"/>
        <v>#DIV/0!</v>
      </c>
      <c r="I300" s="156" t="str">
        <f t="shared" si="3"/>
        <v>#DIV/0!</v>
      </c>
      <c r="J300" s="151">
        <f t="shared" ref="J300:M300" si="174">SUM(J289:J299)</f>
        <v>604.87</v>
      </c>
      <c r="K300" s="313">
        <f t="shared" si="174"/>
        <v>156306</v>
      </c>
      <c r="L300" s="153">
        <f t="shared" si="174"/>
        <v>0</v>
      </c>
      <c r="M300" s="157">
        <f t="shared" si="174"/>
        <v>1903.35</v>
      </c>
      <c r="N300" s="158">
        <f t="shared" si="171"/>
        <v>0.3177923136</v>
      </c>
      <c r="O300" s="159">
        <f t="shared" si="5"/>
        <v>3.14670921</v>
      </c>
      <c r="P300" s="158" t="str">
        <f t="shared" si="6"/>
        <v>#DIV/0!</v>
      </c>
      <c r="Q300" s="160" t="str">
        <f t="shared" si="7"/>
        <v>#DIV/0!</v>
      </c>
      <c r="R300" s="161">
        <f>SUM(R289:R299)</f>
        <v>-1903.35</v>
      </c>
      <c r="S300" s="162" t="str">
        <f t="shared" si="9"/>
        <v>#DIV/0!</v>
      </c>
      <c r="T300" s="164" t="str">
        <f t="shared" ref="T300:U300" si="175">IFERROR((D300-D48)/D300,)</f>
        <v/>
      </c>
      <c r="U300" s="164" t="str">
        <f t="shared" si="175"/>
        <v/>
      </c>
      <c r="V300" s="164" t="str">
        <f t="shared" ref="V300:W300" si="176">IFERROR((D300-monthly_reporting_2021!D91)/D300, )</f>
        <v/>
      </c>
      <c r="W300" s="164" t="str">
        <f t="shared" si="176"/>
        <v/>
      </c>
      <c r="X300" s="98"/>
      <c r="Y300" s="98"/>
      <c r="Z300" s="98"/>
    </row>
    <row r="301" hidden="1" outlineLevel="1">
      <c r="A301" s="293"/>
      <c r="B301" s="99">
        <v>45879.0</v>
      </c>
      <c r="C301" s="294" t="s">
        <v>70</v>
      </c>
      <c r="D301" s="295"/>
      <c r="E301" s="296"/>
      <c r="F301" s="296"/>
      <c r="G301" s="104" t="str">
        <f t="shared" si="1"/>
        <v>#DIV/0!</v>
      </c>
      <c r="H301" s="105" t="str">
        <f t="shared" si="2"/>
        <v>#DIV/0!</v>
      </c>
      <c r="I301" s="106" t="str">
        <f t="shared" si="3"/>
        <v>#DIV/0!</v>
      </c>
      <c r="J301" s="107">
        <v>666.28</v>
      </c>
      <c r="K301" s="278">
        <v>126695.0</v>
      </c>
      <c r="L301" s="296"/>
      <c r="M301" s="108">
        <v>1305.0</v>
      </c>
      <c r="N301" s="109">
        <f t="shared" si="171"/>
        <v>0.510559387</v>
      </c>
      <c r="O301" s="110">
        <f t="shared" si="5"/>
        <v>1.958636009</v>
      </c>
      <c r="P301" s="109" t="str">
        <f t="shared" si="6"/>
        <v>#DIV/0!</v>
      </c>
      <c r="Q301" s="111" t="str">
        <f t="shared" si="7"/>
        <v>#DIV/0!</v>
      </c>
      <c r="R301" s="112">
        <f t="shared" ref="R301:R311" si="177">D301-M301</f>
        <v>-1305</v>
      </c>
      <c r="S301" s="113" t="str">
        <f t="shared" si="9"/>
        <v>#DIV/0!</v>
      </c>
      <c r="T301" s="114"/>
      <c r="U301" s="114"/>
      <c r="V301" s="114"/>
      <c r="W301" s="114"/>
      <c r="X301" s="115"/>
      <c r="Y301" s="98"/>
      <c r="Z301" s="98"/>
    </row>
    <row r="302" hidden="1" outlineLevel="1">
      <c r="A302" s="293"/>
      <c r="B302" s="116"/>
      <c r="C302" s="294" t="s">
        <v>71</v>
      </c>
      <c r="D302" s="297"/>
      <c r="E302" s="296"/>
      <c r="F302" s="296"/>
      <c r="G302" s="104" t="str">
        <f t="shared" si="1"/>
        <v>#DIV/0!</v>
      </c>
      <c r="H302" s="105" t="str">
        <f t="shared" si="2"/>
        <v>#DIV/0!</v>
      </c>
      <c r="I302" s="106" t="str">
        <f t="shared" si="3"/>
        <v>#DIV/0!</v>
      </c>
      <c r="J302" s="117">
        <v>0.0</v>
      </c>
      <c r="K302" s="278">
        <v>0.0</v>
      </c>
      <c r="L302" s="296"/>
      <c r="M302" s="118">
        <v>0.0</v>
      </c>
      <c r="N302" s="109" t="str">
        <f t="shared" si="171"/>
        <v>#DIV/0!</v>
      </c>
      <c r="O302" s="110" t="str">
        <f t="shared" si="5"/>
        <v>#DIV/0!</v>
      </c>
      <c r="P302" s="109" t="str">
        <f t="shared" si="6"/>
        <v>#DIV/0!</v>
      </c>
      <c r="Q302" s="111" t="str">
        <f t="shared" si="7"/>
        <v>#DIV/0!</v>
      </c>
      <c r="R302" s="119">
        <f t="shared" si="177"/>
        <v>0</v>
      </c>
      <c r="S302" s="113" t="str">
        <f t="shared" si="9"/>
        <v>#DIV/0!</v>
      </c>
      <c r="T302" s="114"/>
      <c r="U302" s="114"/>
      <c r="V302" s="114"/>
      <c r="W302" s="114"/>
      <c r="X302" s="115"/>
      <c r="Y302" s="98"/>
      <c r="Z302" s="98"/>
    </row>
    <row r="303" hidden="1" outlineLevel="1">
      <c r="A303" s="293"/>
      <c r="B303" s="116"/>
      <c r="C303" s="294" t="s">
        <v>72</v>
      </c>
      <c r="D303" s="298"/>
      <c r="E303" s="296"/>
      <c r="F303" s="296"/>
      <c r="G303" s="104" t="str">
        <f t="shared" si="1"/>
        <v>#DIV/0!</v>
      </c>
      <c r="H303" s="105" t="str">
        <f t="shared" si="2"/>
        <v>#DIV/0!</v>
      </c>
      <c r="I303" s="106" t="str">
        <f t="shared" si="3"/>
        <v>#DIV/0!</v>
      </c>
      <c r="J303" s="120">
        <v>7.27</v>
      </c>
      <c r="K303" s="278">
        <v>1200.0</v>
      </c>
      <c r="L303" s="296"/>
      <c r="M303" s="121">
        <v>54.99</v>
      </c>
      <c r="N303" s="109">
        <f>(J303/M303)</f>
        <v>0.1322058556</v>
      </c>
      <c r="O303" s="110">
        <f t="shared" si="5"/>
        <v>7.563961486</v>
      </c>
      <c r="P303" s="109" t="str">
        <f t="shared" si="6"/>
        <v>#DIV/0!</v>
      </c>
      <c r="Q303" s="111" t="str">
        <f t="shared" si="7"/>
        <v>#DIV/0!</v>
      </c>
      <c r="R303" s="122">
        <f t="shared" si="177"/>
        <v>-54.99</v>
      </c>
      <c r="S303" s="113" t="str">
        <f t="shared" si="9"/>
        <v>#DIV/0!</v>
      </c>
      <c r="T303" s="114"/>
      <c r="U303" s="114"/>
      <c r="V303" s="114"/>
      <c r="W303" s="114"/>
      <c r="X303" s="115"/>
      <c r="Y303" s="98"/>
      <c r="Z303" s="98"/>
    </row>
    <row r="304" hidden="1" outlineLevel="1">
      <c r="A304" s="293"/>
      <c r="B304" s="116"/>
      <c r="C304" s="294" t="s">
        <v>73</v>
      </c>
      <c r="D304" s="298"/>
      <c r="E304" s="296"/>
      <c r="F304" s="296"/>
      <c r="G304" s="104" t="str">
        <f t="shared" si="1"/>
        <v>#DIV/0!</v>
      </c>
      <c r="H304" s="105" t="str">
        <f t="shared" si="2"/>
        <v>#DIV/0!</v>
      </c>
      <c r="I304" s="106" t="str">
        <f t="shared" si="3"/>
        <v>#DIV/0!</v>
      </c>
      <c r="J304" s="120">
        <v>193.57</v>
      </c>
      <c r="K304" s="278">
        <v>21580.0</v>
      </c>
      <c r="L304" s="296"/>
      <c r="M304" s="121">
        <v>329.73</v>
      </c>
      <c r="N304" s="109">
        <f t="shared" ref="N304:N314" si="178">J304/M304</f>
        <v>0.5870560762</v>
      </c>
      <c r="O304" s="110">
        <f t="shared" si="5"/>
        <v>1.703414785</v>
      </c>
      <c r="P304" s="109" t="str">
        <f t="shared" si="6"/>
        <v>#DIV/0!</v>
      </c>
      <c r="Q304" s="111" t="str">
        <f t="shared" si="7"/>
        <v>#DIV/0!</v>
      </c>
      <c r="R304" s="122">
        <f t="shared" si="177"/>
        <v>-329.73</v>
      </c>
      <c r="S304" s="113" t="str">
        <f t="shared" si="9"/>
        <v>#DIV/0!</v>
      </c>
      <c r="T304" s="114"/>
      <c r="U304" s="114"/>
      <c r="V304" s="114"/>
      <c r="W304" s="114"/>
      <c r="X304" s="115"/>
      <c r="Y304" s="98"/>
      <c r="Z304" s="98"/>
    </row>
    <row r="305" hidden="1" outlineLevel="1">
      <c r="A305" s="293"/>
      <c r="B305" s="116"/>
      <c r="C305" s="294" t="s">
        <v>74</v>
      </c>
      <c r="D305" s="299"/>
      <c r="E305" s="296"/>
      <c r="F305" s="296"/>
      <c r="G305" s="104" t="str">
        <f t="shared" si="1"/>
        <v>#DIV/0!</v>
      </c>
      <c r="H305" s="105" t="str">
        <f t="shared" si="2"/>
        <v>#DIV/0!</v>
      </c>
      <c r="I305" s="106" t="str">
        <f t="shared" si="3"/>
        <v>#DIV/0!</v>
      </c>
      <c r="J305" s="300">
        <v>50.07</v>
      </c>
      <c r="K305" s="278">
        <v>8043.0</v>
      </c>
      <c r="L305" s="296"/>
      <c r="M305" s="300">
        <v>0.0</v>
      </c>
      <c r="N305" s="109" t="str">
        <f t="shared" si="178"/>
        <v>#DIV/0!</v>
      </c>
      <c r="O305" s="110">
        <f t="shared" si="5"/>
        <v>0</v>
      </c>
      <c r="P305" s="109" t="str">
        <f t="shared" si="6"/>
        <v>#DIV/0!</v>
      </c>
      <c r="Q305" s="111" t="str">
        <f t="shared" si="7"/>
        <v>#DIV/0!</v>
      </c>
      <c r="R305" s="122">
        <f t="shared" si="177"/>
        <v>0</v>
      </c>
      <c r="S305" s="113" t="str">
        <f t="shared" si="9"/>
        <v>#DIV/0!</v>
      </c>
      <c r="T305" s="114"/>
      <c r="U305" s="114"/>
      <c r="V305" s="114"/>
      <c r="W305" s="114"/>
      <c r="X305" s="115"/>
      <c r="Y305" s="98"/>
      <c r="Z305" s="98"/>
    </row>
    <row r="306" hidden="1" outlineLevel="1">
      <c r="A306" s="293"/>
      <c r="B306" s="116"/>
      <c r="C306" s="294" t="s">
        <v>75</v>
      </c>
      <c r="D306" s="301"/>
      <c r="E306" s="296"/>
      <c r="F306" s="296"/>
      <c r="G306" s="104" t="str">
        <f t="shared" si="1"/>
        <v>#DIV/0!</v>
      </c>
      <c r="H306" s="105" t="str">
        <f t="shared" si="2"/>
        <v>#DIV/0!</v>
      </c>
      <c r="I306" s="106" t="str">
        <f t="shared" si="3"/>
        <v>#DIV/0!</v>
      </c>
      <c r="J306" s="302">
        <v>29.56</v>
      </c>
      <c r="K306" s="278">
        <v>6368.0</v>
      </c>
      <c r="L306" s="296"/>
      <c r="M306" s="303">
        <v>0.0</v>
      </c>
      <c r="N306" s="109" t="str">
        <f t="shared" si="178"/>
        <v>#DIV/0!</v>
      </c>
      <c r="O306" s="110">
        <f t="shared" si="5"/>
        <v>0</v>
      </c>
      <c r="P306" s="109" t="str">
        <f t="shared" si="6"/>
        <v>#DIV/0!</v>
      </c>
      <c r="Q306" s="111" t="str">
        <f t="shared" si="7"/>
        <v>#DIV/0!</v>
      </c>
      <c r="R306" s="304">
        <f t="shared" si="177"/>
        <v>0</v>
      </c>
      <c r="S306" s="113" t="str">
        <f t="shared" si="9"/>
        <v>#DIV/0!</v>
      </c>
      <c r="T306" s="114"/>
      <c r="U306" s="114"/>
      <c r="V306" s="114"/>
      <c r="W306" s="114"/>
      <c r="X306" s="115"/>
      <c r="Y306" s="98"/>
      <c r="Z306" s="98"/>
    </row>
    <row r="307" hidden="1" outlineLevel="1">
      <c r="A307" s="293"/>
      <c r="B307" s="116"/>
      <c r="C307" s="294" t="s">
        <v>76</v>
      </c>
      <c r="D307" s="298"/>
      <c r="E307" s="296"/>
      <c r="F307" s="296"/>
      <c r="G307" s="104" t="str">
        <f t="shared" si="1"/>
        <v>#DIV/0!</v>
      </c>
      <c r="H307" s="105" t="str">
        <f t="shared" si="2"/>
        <v>#DIV/0!</v>
      </c>
      <c r="I307" s="106" t="str">
        <f t="shared" si="3"/>
        <v>#DIV/0!</v>
      </c>
      <c r="J307" s="120">
        <v>16.79</v>
      </c>
      <c r="K307" s="278">
        <v>3270.0</v>
      </c>
      <c r="L307" s="296"/>
      <c r="M307" s="121">
        <v>0.0</v>
      </c>
      <c r="N307" s="109" t="str">
        <f t="shared" si="178"/>
        <v>#DIV/0!</v>
      </c>
      <c r="O307" s="110">
        <f t="shared" si="5"/>
        <v>0</v>
      </c>
      <c r="P307" s="109" t="str">
        <f t="shared" si="6"/>
        <v>#DIV/0!</v>
      </c>
      <c r="Q307" s="111" t="str">
        <f t="shared" si="7"/>
        <v>#DIV/0!</v>
      </c>
      <c r="R307" s="122">
        <f t="shared" si="177"/>
        <v>0</v>
      </c>
      <c r="S307" s="113" t="str">
        <f t="shared" si="9"/>
        <v>#DIV/0!</v>
      </c>
      <c r="T307" s="114"/>
      <c r="U307" s="114"/>
      <c r="V307" s="114"/>
      <c r="W307" s="114"/>
      <c r="X307" s="115"/>
      <c r="Y307" s="98"/>
      <c r="Z307" s="98"/>
    </row>
    <row r="308" hidden="1" outlineLevel="1">
      <c r="A308" s="293"/>
      <c r="B308" s="99" t="s">
        <v>37</v>
      </c>
      <c r="C308" s="294" t="s">
        <v>77</v>
      </c>
      <c r="D308" s="305"/>
      <c r="E308" s="296"/>
      <c r="F308" s="296"/>
      <c r="G308" s="104" t="str">
        <f t="shared" si="1"/>
        <v>#DIV/0!</v>
      </c>
      <c r="H308" s="105" t="str">
        <f t="shared" si="2"/>
        <v>#DIV/0!</v>
      </c>
      <c r="I308" s="106" t="str">
        <f t="shared" si="3"/>
        <v>#DIV/0!</v>
      </c>
      <c r="J308" s="123">
        <v>23.78</v>
      </c>
      <c r="K308" s="278">
        <v>5316.0</v>
      </c>
      <c r="L308" s="296"/>
      <c r="M308" s="124">
        <v>393.9</v>
      </c>
      <c r="N308" s="109">
        <f t="shared" si="178"/>
        <v>0.06037065245</v>
      </c>
      <c r="O308" s="110">
        <f t="shared" si="5"/>
        <v>16.56433978</v>
      </c>
      <c r="P308" s="109" t="str">
        <f t="shared" si="6"/>
        <v>#DIV/0!</v>
      </c>
      <c r="Q308" s="111" t="str">
        <f t="shared" si="7"/>
        <v>#DIV/0!</v>
      </c>
      <c r="R308" s="125">
        <f t="shared" si="177"/>
        <v>-393.9</v>
      </c>
      <c r="S308" s="113" t="str">
        <f t="shared" si="9"/>
        <v>#DIV/0!</v>
      </c>
      <c r="T308" s="114"/>
      <c r="U308" s="114"/>
      <c r="V308" s="114"/>
      <c r="W308" s="114"/>
      <c r="X308" s="115"/>
      <c r="Y308" s="98"/>
      <c r="Z308" s="98"/>
    </row>
    <row r="309" hidden="1" outlineLevel="1">
      <c r="A309" s="293"/>
      <c r="B309" s="116"/>
      <c r="C309" s="294" t="s">
        <v>78</v>
      </c>
      <c r="D309" s="306"/>
      <c r="E309" s="296"/>
      <c r="F309" s="296"/>
      <c r="G309" s="104" t="str">
        <f t="shared" si="1"/>
        <v>#DIV/0!</v>
      </c>
      <c r="H309" s="105" t="str">
        <f t="shared" si="2"/>
        <v>#DIV/0!</v>
      </c>
      <c r="I309" s="106" t="str">
        <f t="shared" si="3"/>
        <v>#DIV/0!</v>
      </c>
      <c r="J309" s="126">
        <v>107.1</v>
      </c>
      <c r="K309" s="278">
        <v>35098.0</v>
      </c>
      <c r="L309" s="296"/>
      <c r="M309" s="127">
        <v>503.1</v>
      </c>
      <c r="N309" s="109">
        <f t="shared" si="178"/>
        <v>0.2128801431</v>
      </c>
      <c r="O309" s="110">
        <f t="shared" si="5"/>
        <v>4.697478992</v>
      </c>
      <c r="P309" s="109" t="str">
        <f t="shared" si="6"/>
        <v>#DIV/0!</v>
      </c>
      <c r="Q309" s="111" t="str">
        <f t="shared" si="7"/>
        <v>#DIV/0!</v>
      </c>
      <c r="R309" s="128">
        <f t="shared" si="177"/>
        <v>-503.1</v>
      </c>
      <c r="S309" s="113" t="str">
        <f t="shared" si="9"/>
        <v>#DIV/0!</v>
      </c>
      <c r="T309" s="114"/>
      <c r="U309" s="114"/>
      <c r="V309" s="114"/>
      <c r="W309" s="114"/>
      <c r="X309" s="115"/>
      <c r="Y309" s="98"/>
      <c r="Z309" s="98"/>
    </row>
    <row r="310" hidden="1" outlineLevel="1">
      <c r="A310" s="293"/>
      <c r="B310" s="116"/>
      <c r="C310" s="294" t="s">
        <v>79</v>
      </c>
      <c r="D310" s="307"/>
      <c r="E310" s="296"/>
      <c r="F310" s="296"/>
      <c r="G310" s="104" t="str">
        <f t="shared" si="1"/>
        <v>#DIV/0!</v>
      </c>
      <c r="H310" s="105" t="str">
        <f t="shared" si="2"/>
        <v>#DIV/0!</v>
      </c>
      <c r="I310" s="106" t="str">
        <f t="shared" si="3"/>
        <v>#DIV/0!</v>
      </c>
      <c r="J310" s="129">
        <v>13.82</v>
      </c>
      <c r="K310" s="278">
        <v>3944.0</v>
      </c>
      <c r="L310" s="296"/>
      <c r="M310" s="130">
        <v>89.9</v>
      </c>
      <c r="N310" s="109">
        <f t="shared" si="178"/>
        <v>0.1537263626</v>
      </c>
      <c r="O310" s="110">
        <f t="shared" si="5"/>
        <v>6.505065123</v>
      </c>
      <c r="P310" s="109" t="str">
        <f t="shared" si="6"/>
        <v>#DIV/0!</v>
      </c>
      <c r="Q310" s="111" t="str">
        <f t="shared" si="7"/>
        <v>#DIV/0!</v>
      </c>
      <c r="R310" s="131">
        <f t="shared" si="177"/>
        <v>-89.9</v>
      </c>
      <c r="S310" s="113" t="str">
        <f t="shared" si="9"/>
        <v>#DIV/0!</v>
      </c>
      <c r="T310" s="114"/>
      <c r="U310" s="114"/>
      <c r="V310" s="114"/>
      <c r="W310" s="114"/>
      <c r="X310" s="115"/>
      <c r="Y310" s="98"/>
      <c r="Z310" s="98"/>
    </row>
    <row r="311" hidden="1" outlineLevel="1">
      <c r="A311" s="310" t="str">
        <f t="shared" ref="A311:A312" si="179">iferror(if(B311&gt;0,month(B311)&amp;"-"&amp;year(B311),B311),)</f>
        <v>8-2025</v>
      </c>
      <c r="B311" s="99">
        <v>45885.0</v>
      </c>
      <c r="C311" s="294" t="s">
        <v>81</v>
      </c>
      <c r="D311" s="311"/>
      <c r="E311" s="296"/>
      <c r="F311" s="296"/>
      <c r="G311" s="104" t="str">
        <f t="shared" si="1"/>
        <v>#DIV/0!</v>
      </c>
      <c r="H311" s="105" t="str">
        <f t="shared" si="2"/>
        <v>#DIV/0!</v>
      </c>
      <c r="I311" s="106" t="str">
        <f t="shared" si="3"/>
        <v>#DIV/0!</v>
      </c>
      <c r="J311" s="117">
        <v>0.0</v>
      </c>
      <c r="K311" s="278">
        <v>0.0</v>
      </c>
      <c r="L311" s="296"/>
      <c r="M311" s="118">
        <v>0.0</v>
      </c>
      <c r="N311" s="109" t="str">
        <f t="shared" si="178"/>
        <v>#DIV/0!</v>
      </c>
      <c r="O311" s="110" t="str">
        <f t="shared" si="5"/>
        <v>#DIV/0!</v>
      </c>
      <c r="P311" s="109" t="str">
        <f t="shared" si="6"/>
        <v>#DIV/0!</v>
      </c>
      <c r="Q311" s="111" t="str">
        <f t="shared" si="7"/>
        <v>#DIV/0!</v>
      </c>
      <c r="R311" s="112">
        <f t="shared" si="177"/>
        <v>0</v>
      </c>
      <c r="S311" s="113" t="str">
        <f t="shared" si="9"/>
        <v>#DIV/0!</v>
      </c>
      <c r="T311" s="114"/>
      <c r="U311" s="114"/>
      <c r="V311" s="114"/>
      <c r="W311" s="114"/>
      <c r="X311" s="115"/>
      <c r="Y311" s="98"/>
      <c r="Z311" s="98"/>
    </row>
    <row r="312" collapsed="1">
      <c r="A312" s="293" t="str">
        <f t="shared" si="179"/>
        <v/>
      </c>
      <c r="B312" s="80" t="s">
        <v>120</v>
      </c>
      <c r="C312" s="312"/>
      <c r="D312" s="151">
        <f t="shared" ref="D312:F312" si="180">SUM(D301:D311)</f>
        <v>0</v>
      </c>
      <c r="E312" s="153">
        <f t="shared" si="180"/>
        <v>0</v>
      </c>
      <c r="F312" s="153">
        <f t="shared" si="180"/>
        <v>0</v>
      </c>
      <c r="G312" s="154" t="str">
        <f t="shared" si="1"/>
        <v>#DIV/0!</v>
      </c>
      <c r="H312" s="155" t="str">
        <f t="shared" si="2"/>
        <v>#DIV/0!</v>
      </c>
      <c r="I312" s="156" t="str">
        <f t="shared" si="3"/>
        <v>#DIV/0!</v>
      </c>
      <c r="J312" s="151">
        <f t="shared" ref="J312:M312" si="181">SUM(J301:J311)</f>
        <v>1108.24</v>
      </c>
      <c r="K312" s="313">
        <f t="shared" si="181"/>
        <v>211514</v>
      </c>
      <c r="L312" s="153">
        <f t="shared" si="181"/>
        <v>0</v>
      </c>
      <c r="M312" s="157">
        <f t="shared" si="181"/>
        <v>2676.62</v>
      </c>
      <c r="N312" s="158">
        <f t="shared" si="178"/>
        <v>0.4140445786</v>
      </c>
      <c r="O312" s="159">
        <f t="shared" si="5"/>
        <v>2.415198874</v>
      </c>
      <c r="P312" s="158" t="str">
        <f t="shared" si="6"/>
        <v>#DIV/0!</v>
      </c>
      <c r="Q312" s="160" t="str">
        <f t="shared" si="7"/>
        <v>#DIV/0!</v>
      </c>
      <c r="R312" s="161">
        <f>SUM(R301:R311)</f>
        <v>-2676.62</v>
      </c>
      <c r="S312" s="162" t="str">
        <f t="shared" si="9"/>
        <v>#DIV/0!</v>
      </c>
      <c r="T312" s="164" t="str">
        <f t="shared" ref="T312:U312" si="182">IFERROR((D312-D48)/D312,)</f>
        <v/>
      </c>
      <c r="U312" s="164" t="str">
        <f t="shared" si="182"/>
        <v/>
      </c>
      <c r="V312" s="164" t="str">
        <f t="shared" ref="V312:W312" si="183">IFERROR((D312-monthly_reporting_2021!D103)/D312, )</f>
        <v/>
      </c>
      <c r="W312" s="164" t="str">
        <f t="shared" si="183"/>
        <v/>
      </c>
      <c r="X312" s="98"/>
      <c r="Y312" s="98"/>
      <c r="Z312" s="98"/>
    </row>
    <row r="313" hidden="1" outlineLevel="1">
      <c r="A313" s="293"/>
      <c r="B313" s="99">
        <v>45886.0</v>
      </c>
      <c r="C313" s="294" t="s">
        <v>70</v>
      </c>
      <c r="D313" s="295"/>
      <c r="E313" s="296"/>
      <c r="F313" s="296"/>
      <c r="G313" s="104" t="str">
        <f t="shared" si="1"/>
        <v>#DIV/0!</v>
      </c>
      <c r="H313" s="105" t="str">
        <f t="shared" si="2"/>
        <v>#DIV/0!</v>
      </c>
      <c r="I313" s="106" t="str">
        <f t="shared" si="3"/>
        <v>#DIV/0!</v>
      </c>
      <c r="J313" s="107">
        <v>197.36</v>
      </c>
      <c r="K313" s="278">
        <v>73051.0</v>
      </c>
      <c r="L313" s="296"/>
      <c r="M313" s="108">
        <v>750.0</v>
      </c>
      <c r="N313" s="109">
        <f t="shared" si="178"/>
        <v>0.2631466667</v>
      </c>
      <c r="O313" s="110">
        <f t="shared" si="5"/>
        <v>3.80016214</v>
      </c>
      <c r="P313" s="109" t="str">
        <f t="shared" si="6"/>
        <v>#DIV/0!</v>
      </c>
      <c r="Q313" s="111" t="str">
        <f t="shared" si="7"/>
        <v>#DIV/0!</v>
      </c>
      <c r="R313" s="112">
        <f t="shared" ref="R313:R323" si="184">D313-M313</f>
        <v>-750</v>
      </c>
      <c r="S313" s="113" t="str">
        <f t="shared" si="9"/>
        <v>#DIV/0!</v>
      </c>
      <c r="T313" s="114"/>
      <c r="U313" s="114"/>
      <c r="V313" s="114"/>
      <c r="W313" s="114"/>
      <c r="X313" s="115"/>
      <c r="Y313" s="98"/>
      <c r="Z313" s="98"/>
    </row>
    <row r="314" hidden="1" outlineLevel="1">
      <c r="A314" s="293"/>
      <c r="B314" s="116"/>
      <c r="C314" s="294" t="s">
        <v>71</v>
      </c>
      <c r="D314" s="297"/>
      <c r="E314" s="296"/>
      <c r="F314" s="296"/>
      <c r="G314" s="104" t="str">
        <f t="shared" si="1"/>
        <v>#DIV/0!</v>
      </c>
      <c r="H314" s="105" t="str">
        <f t="shared" si="2"/>
        <v>#DIV/0!</v>
      </c>
      <c r="I314" s="106" t="str">
        <f t="shared" si="3"/>
        <v>#DIV/0!</v>
      </c>
      <c r="J314" s="117">
        <v>2.39</v>
      </c>
      <c r="K314" s="278">
        <v>319.0</v>
      </c>
      <c r="L314" s="296"/>
      <c r="M314" s="118">
        <v>0.0</v>
      </c>
      <c r="N314" s="109" t="str">
        <f t="shared" si="178"/>
        <v>#DIV/0!</v>
      </c>
      <c r="O314" s="110">
        <f t="shared" si="5"/>
        <v>0</v>
      </c>
      <c r="P314" s="109" t="str">
        <f t="shared" si="6"/>
        <v>#DIV/0!</v>
      </c>
      <c r="Q314" s="111" t="str">
        <f t="shared" si="7"/>
        <v>#DIV/0!</v>
      </c>
      <c r="R314" s="119">
        <f t="shared" si="184"/>
        <v>0</v>
      </c>
      <c r="S314" s="113" t="str">
        <f t="shared" si="9"/>
        <v>#DIV/0!</v>
      </c>
      <c r="T314" s="114"/>
      <c r="U314" s="114"/>
      <c r="V314" s="114"/>
      <c r="W314" s="114"/>
      <c r="X314" s="115"/>
      <c r="Y314" s="98"/>
      <c r="Z314" s="98"/>
    </row>
    <row r="315" hidden="1" outlineLevel="1">
      <c r="A315" s="293"/>
      <c r="B315" s="116"/>
      <c r="C315" s="294" t="s">
        <v>72</v>
      </c>
      <c r="D315" s="298"/>
      <c r="E315" s="296"/>
      <c r="F315" s="296"/>
      <c r="G315" s="104" t="str">
        <f t="shared" si="1"/>
        <v>#DIV/0!</v>
      </c>
      <c r="H315" s="105" t="str">
        <f t="shared" si="2"/>
        <v>#DIV/0!</v>
      </c>
      <c r="I315" s="106" t="str">
        <f t="shared" si="3"/>
        <v>#DIV/0!</v>
      </c>
      <c r="J315" s="120">
        <v>3.86</v>
      </c>
      <c r="K315" s="278">
        <v>1255.0</v>
      </c>
      <c r="L315" s="296"/>
      <c r="M315" s="121">
        <v>0.0</v>
      </c>
      <c r="N315" s="109" t="str">
        <f>(J315/M315)</f>
        <v>#DIV/0!</v>
      </c>
      <c r="O315" s="110">
        <f t="shared" si="5"/>
        <v>0</v>
      </c>
      <c r="P315" s="109" t="str">
        <f t="shared" si="6"/>
        <v>#DIV/0!</v>
      </c>
      <c r="Q315" s="111" t="str">
        <f t="shared" si="7"/>
        <v>#DIV/0!</v>
      </c>
      <c r="R315" s="122">
        <f t="shared" si="184"/>
        <v>0</v>
      </c>
      <c r="S315" s="113" t="str">
        <f t="shared" si="9"/>
        <v>#DIV/0!</v>
      </c>
      <c r="T315" s="114"/>
      <c r="U315" s="114"/>
      <c r="V315" s="114"/>
      <c r="W315" s="114"/>
      <c r="X315" s="115"/>
      <c r="Y315" s="98"/>
      <c r="Z315" s="98"/>
    </row>
    <row r="316" hidden="1" outlineLevel="1">
      <c r="A316" s="293"/>
      <c r="B316" s="116"/>
      <c r="C316" s="294" t="s">
        <v>73</v>
      </c>
      <c r="D316" s="298"/>
      <c r="E316" s="296"/>
      <c r="F316" s="296"/>
      <c r="G316" s="104" t="str">
        <f t="shared" si="1"/>
        <v>#DIV/0!</v>
      </c>
      <c r="H316" s="105" t="str">
        <f t="shared" si="2"/>
        <v>#DIV/0!</v>
      </c>
      <c r="I316" s="106" t="str">
        <f t="shared" si="3"/>
        <v>#DIV/0!</v>
      </c>
      <c r="J316" s="120">
        <v>4.13</v>
      </c>
      <c r="K316" s="278">
        <v>1716.0</v>
      </c>
      <c r="L316" s="296"/>
      <c r="M316" s="121">
        <v>59.95</v>
      </c>
      <c r="N316" s="109">
        <f t="shared" ref="N316:N326" si="185">J316/M316</f>
        <v>0.06889074229</v>
      </c>
      <c r="O316" s="110">
        <f t="shared" si="5"/>
        <v>14.5157385</v>
      </c>
      <c r="P316" s="109" t="str">
        <f t="shared" si="6"/>
        <v>#DIV/0!</v>
      </c>
      <c r="Q316" s="111" t="str">
        <f t="shared" si="7"/>
        <v>#DIV/0!</v>
      </c>
      <c r="R316" s="122">
        <f t="shared" si="184"/>
        <v>-59.95</v>
      </c>
      <c r="S316" s="113" t="str">
        <f t="shared" si="9"/>
        <v>#DIV/0!</v>
      </c>
      <c r="T316" s="114"/>
      <c r="U316" s="114"/>
      <c r="V316" s="114"/>
      <c r="W316" s="114"/>
      <c r="X316" s="115"/>
      <c r="Y316" s="98"/>
      <c r="Z316" s="98"/>
    </row>
    <row r="317" hidden="1" outlineLevel="1">
      <c r="A317" s="293"/>
      <c r="B317" s="116"/>
      <c r="C317" s="294" t="s">
        <v>74</v>
      </c>
      <c r="D317" s="299"/>
      <c r="E317" s="296"/>
      <c r="F317" s="296"/>
      <c r="G317" s="104" t="str">
        <f t="shared" si="1"/>
        <v>#DIV/0!</v>
      </c>
      <c r="H317" s="105" t="str">
        <f t="shared" si="2"/>
        <v>#DIV/0!</v>
      </c>
      <c r="I317" s="106" t="str">
        <f t="shared" si="3"/>
        <v>#DIV/0!</v>
      </c>
      <c r="J317" s="300">
        <v>42.13</v>
      </c>
      <c r="K317" s="278">
        <v>7355.0</v>
      </c>
      <c r="L317" s="296"/>
      <c r="M317" s="300">
        <v>0.0</v>
      </c>
      <c r="N317" s="109" t="str">
        <f t="shared" si="185"/>
        <v>#DIV/0!</v>
      </c>
      <c r="O317" s="110">
        <f t="shared" si="5"/>
        <v>0</v>
      </c>
      <c r="P317" s="109" t="str">
        <f t="shared" si="6"/>
        <v>#DIV/0!</v>
      </c>
      <c r="Q317" s="111" t="str">
        <f t="shared" si="7"/>
        <v>#DIV/0!</v>
      </c>
      <c r="R317" s="122">
        <f t="shared" si="184"/>
        <v>0</v>
      </c>
      <c r="S317" s="113" t="str">
        <f t="shared" si="9"/>
        <v>#DIV/0!</v>
      </c>
      <c r="T317" s="114"/>
      <c r="U317" s="114"/>
      <c r="V317" s="114"/>
      <c r="W317" s="114"/>
      <c r="X317" s="115"/>
      <c r="Y317" s="98"/>
      <c r="Z317" s="98"/>
    </row>
    <row r="318" hidden="1" outlineLevel="1">
      <c r="A318" s="293"/>
      <c r="B318" s="116"/>
      <c r="C318" s="294" t="s">
        <v>75</v>
      </c>
      <c r="D318" s="301"/>
      <c r="E318" s="296"/>
      <c r="F318" s="296"/>
      <c r="G318" s="104" t="str">
        <f t="shared" si="1"/>
        <v>#DIV/0!</v>
      </c>
      <c r="H318" s="105" t="str">
        <f t="shared" si="2"/>
        <v>#DIV/0!</v>
      </c>
      <c r="I318" s="106" t="str">
        <f t="shared" si="3"/>
        <v>#DIV/0!</v>
      </c>
      <c r="J318" s="302">
        <v>26.68</v>
      </c>
      <c r="K318" s="278">
        <v>5266.0</v>
      </c>
      <c r="L318" s="296"/>
      <c r="M318" s="303">
        <v>44.95</v>
      </c>
      <c r="N318" s="109">
        <f t="shared" si="185"/>
        <v>0.5935483871</v>
      </c>
      <c r="O318" s="110">
        <f t="shared" si="5"/>
        <v>1.684782609</v>
      </c>
      <c r="P318" s="109" t="str">
        <f t="shared" si="6"/>
        <v>#DIV/0!</v>
      </c>
      <c r="Q318" s="111" t="str">
        <f t="shared" si="7"/>
        <v>#DIV/0!</v>
      </c>
      <c r="R318" s="304">
        <f t="shared" si="184"/>
        <v>-44.95</v>
      </c>
      <c r="S318" s="113" t="str">
        <f t="shared" si="9"/>
        <v>#DIV/0!</v>
      </c>
      <c r="T318" s="114"/>
      <c r="U318" s="114"/>
      <c r="V318" s="114"/>
      <c r="W318" s="114"/>
      <c r="X318" s="115"/>
      <c r="Y318" s="98"/>
      <c r="Z318" s="98"/>
    </row>
    <row r="319" hidden="1" outlineLevel="1">
      <c r="A319" s="293"/>
      <c r="B319" s="116"/>
      <c r="C319" s="294" t="s">
        <v>76</v>
      </c>
      <c r="D319" s="298"/>
      <c r="E319" s="296"/>
      <c r="F319" s="296"/>
      <c r="G319" s="104" t="str">
        <f t="shared" si="1"/>
        <v>#DIV/0!</v>
      </c>
      <c r="H319" s="105" t="str">
        <f t="shared" si="2"/>
        <v>#DIV/0!</v>
      </c>
      <c r="I319" s="106" t="str">
        <f t="shared" si="3"/>
        <v>#DIV/0!</v>
      </c>
      <c r="J319" s="120">
        <v>33.38</v>
      </c>
      <c r="K319" s="278">
        <v>5955.0</v>
      </c>
      <c r="L319" s="296"/>
      <c r="M319" s="121">
        <v>178.95</v>
      </c>
      <c r="N319" s="109">
        <f t="shared" si="185"/>
        <v>0.186532551</v>
      </c>
      <c r="O319" s="110">
        <f t="shared" si="5"/>
        <v>5.360994608</v>
      </c>
      <c r="P319" s="109" t="str">
        <f t="shared" si="6"/>
        <v>#DIV/0!</v>
      </c>
      <c r="Q319" s="111" t="str">
        <f t="shared" si="7"/>
        <v>#DIV/0!</v>
      </c>
      <c r="R319" s="122">
        <f t="shared" si="184"/>
        <v>-178.95</v>
      </c>
      <c r="S319" s="113" t="str">
        <f t="shared" si="9"/>
        <v>#DIV/0!</v>
      </c>
      <c r="T319" s="114"/>
      <c r="U319" s="114"/>
      <c r="V319" s="114"/>
      <c r="W319" s="114"/>
      <c r="X319" s="115"/>
      <c r="Y319" s="98"/>
      <c r="Z319" s="98"/>
    </row>
    <row r="320" hidden="1" outlineLevel="1">
      <c r="A320" s="293"/>
      <c r="B320" s="99" t="s">
        <v>37</v>
      </c>
      <c r="C320" s="294" t="s">
        <v>77</v>
      </c>
      <c r="D320" s="305"/>
      <c r="E320" s="296"/>
      <c r="F320" s="296"/>
      <c r="G320" s="104" t="str">
        <f t="shared" si="1"/>
        <v>#DIV/0!</v>
      </c>
      <c r="H320" s="105" t="str">
        <f t="shared" si="2"/>
        <v>#DIV/0!</v>
      </c>
      <c r="I320" s="106" t="str">
        <f t="shared" si="3"/>
        <v>#DIV/0!</v>
      </c>
      <c r="J320" s="123">
        <v>43.19</v>
      </c>
      <c r="K320" s="278">
        <v>7242.0</v>
      </c>
      <c r="L320" s="296"/>
      <c r="M320" s="124">
        <v>360.0</v>
      </c>
      <c r="N320" s="109">
        <f t="shared" si="185"/>
        <v>0.1199722222</v>
      </c>
      <c r="O320" s="110">
        <f t="shared" si="5"/>
        <v>8.335262792</v>
      </c>
      <c r="P320" s="109" t="str">
        <f t="shared" si="6"/>
        <v>#DIV/0!</v>
      </c>
      <c r="Q320" s="111" t="str">
        <f t="shared" si="7"/>
        <v>#DIV/0!</v>
      </c>
      <c r="R320" s="125">
        <f t="shared" si="184"/>
        <v>-360</v>
      </c>
      <c r="S320" s="113" t="str">
        <f t="shared" si="9"/>
        <v>#DIV/0!</v>
      </c>
      <c r="T320" s="114"/>
      <c r="U320" s="114"/>
      <c r="V320" s="114"/>
      <c r="W320" s="114"/>
      <c r="X320" s="115"/>
      <c r="Y320" s="98"/>
      <c r="Z320" s="98"/>
    </row>
    <row r="321" hidden="1" outlineLevel="1">
      <c r="A321" s="293"/>
      <c r="B321" s="116"/>
      <c r="C321" s="294" t="s">
        <v>78</v>
      </c>
      <c r="D321" s="306"/>
      <c r="E321" s="296"/>
      <c r="F321" s="296"/>
      <c r="G321" s="104" t="str">
        <f t="shared" si="1"/>
        <v>#DIV/0!</v>
      </c>
      <c r="H321" s="105" t="str">
        <f t="shared" si="2"/>
        <v>#DIV/0!</v>
      </c>
      <c r="I321" s="106" t="str">
        <f t="shared" si="3"/>
        <v>#DIV/0!</v>
      </c>
      <c r="J321" s="126">
        <v>47.62</v>
      </c>
      <c r="K321" s="278">
        <v>20221.0</v>
      </c>
      <c r="L321" s="296"/>
      <c r="M321" s="127">
        <v>0.0</v>
      </c>
      <c r="N321" s="109" t="str">
        <f t="shared" si="185"/>
        <v>#DIV/0!</v>
      </c>
      <c r="O321" s="110">
        <f t="shared" si="5"/>
        <v>0</v>
      </c>
      <c r="P321" s="109" t="str">
        <f t="shared" si="6"/>
        <v>#DIV/0!</v>
      </c>
      <c r="Q321" s="111" t="str">
        <f t="shared" si="7"/>
        <v>#DIV/0!</v>
      </c>
      <c r="R321" s="128">
        <f t="shared" si="184"/>
        <v>0</v>
      </c>
      <c r="S321" s="113" t="str">
        <f t="shared" si="9"/>
        <v>#DIV/0!</v>
      </c>
      <c r="T321" s="114"/>
      <c r="U321" s="114"/>
      <c r="V321" s="114"/>
      <c r="W321" s="114"/>
      <c r="X321" s="115"/>
      <c r="Y321" s="98"/>
      <c r="Z321" s="98"/>
    </row>
    <row r="322" hidden="1" outlineLevel="1">
      <c r="A322" s="293"/>
      <c r="B322" s="116"/>
      <c r="C322" s="294" t="s">
        <v>79</v>
      </c>
      <c r="D322" s="307"/>
      <c r="E322" s="296"/>
      <c r="F322" s="296"/>
      <c r="G322" s="104" t="str">
        <f t="shared" si="1"/>
        <v>#DIV/0!</v>
      </c>
      <c r="H322" s="105" t="str">
        <f t="shared" si="2"/>
        <v>#DIV/0!</v>
      </c>
      <c r="I322" s="106" t="str">
        <f t="shared" si="3"/>
        <v>#DIV/0!</v>
      </c>
      <c r="J322" s="129">
        <v>26.17</v>
      </c>
      <c r="K322" s="278">
        <v>5592.0</v>
      </c>
      <c r="L322" s="296"/>
      <c r="M322" s="130">
        <v>42.95</v>
      </c>
      <c r="N322" s="109">
        <f t="shared" si="185"/>
        <v>0.6093131548</v>
      </c>
      <c r="O322" s="110">
        <f t="shared" si="5"/>
        <v>1.641192205</v>
      </c>
      <c r="P322" s="109" t="str">
        <f t="shared" si="6"/>
        <v>#DIV/0!</v>
      </c>
      <c r="Q322" s="111" t="str">
        <f t="shared" si="7"/>
        <v>#DIV/0!</v>
      </c>
      <c r="R322" s="131">
        <f t="shared" si="184"/>
        <v>-42.95</v>
      </c>
      <c r="S322" s="113" t="str">
        <f t="shared" si="9"/>
        <v>#DIV/0!</v>
      </c>
      <c r="T322" s="114"/>
      <c r="U322" s="114"/>
      <c r="V322" s="114"/>
      <c r="W322" s="114"/>
      <c r="X322" s="115"/>
      <c r="Y322" s="98"/>
      <c r="Z322" s="98"/>
    </row>
    <row r="323" hidden="1" outlineLevel="1">
      <c r="A323" s="310" t="str">
        <f t="shared" ref="A323:A324" si="186">iferror(if(B323&gt;0,month(B323)&amp;"-"&amp;year(B323),B323),)</f>
        <v>8-2025</v>
      </c>
      <c r="B323" s="99">
        <v>45892.0</v>
      </c>
      <c r="C323" s="294" t="s">
        <v>81</v>
      </c>
      <c r="D323" s="311"/>
      <c r="E323" s="296"/>
      <c r="F323" s="296"/>
      <c r="G323" s="104" t="str">
        <f t="shared" si="1"/>
        <v>#DIV/0!</v>
      </c>
      <c r="H323" s="105" t="str">
        <f t="shared" si="2"/>
        <v>#DIV/0!</v>
      </c>
      <c r="I323" s="106" t="str">
        <f t="shared" si="3"/>
        <v>#DIV/0!</v>
      </c>
      <c r="J323" s="117">
        <v>0.0</v>
      </c>
      <c r="K323" s="278">
        <v>0.0</v>
      </c>
      <c r="L323" s="296"/>
      <c r="M323" s="118">
        <v>0.0</v>
      </c>
      <c r="N323" s="109" t="str">
        <f t="shared" si="185"/>
        <v>#DIV/0!</v>
      </c>
      <c r="O323" s="110" t="str">
        <f t="shared" si="5"/>
        <v>#DIV/0!</v>
      </c>
      <c r="P323" s="109" t="str">
        <f t="shared" si="6"/>
        <v>#DIV/0!</v>
      </c>
      <c r="Q323" s="111" t="str">
        <f t="shared" si="7"/>
        <v>#DIV/0!</v>
      </c>
      <c r="R323" s="112">
        <f t="shared" si="184"/>
        <v>0</v>
      </c>
      <c r="S323" s="113" t="str">
        <f t="shared" si="9"/>
        <v>#DIV/0!</v>
      </c>
      <c r="T323" s="114"/>
      <c r="U323" s="114"/>
      <c r="V323" s="114"/>
      <c r="W323" s="114"/>
      <c r="X323" s="115"/>
      <c r="Y323" s="98"/>
      <c r="Z323" s="98"/>
    </row>
    <row r="324" collapsed="1">
      <c r="A324" s="293" t="str">
        <f t="shared" si="186"/>
        <v/>
      </c>
      <c r="B324" s="80" t="s">
        <v>121</v>
      </c>
      <c r="C324" s="312"/>
      <c r="D324" s="151">
        <f t="shared" ref="D324:F324" si="187">SUM(D313:D323)</f>
        <v>0</v>
      </c>
      <c r="E324" s="153">
        <f t="shared" si="187"/>
        <v>0</v>
      </c>
      <c r="F324" s="153">
        <f t="shared" si="187"/>
        <v>0</v>
      </c>
      <c r="G324" s="154" t="str">
        <f t="shared" si="1"/>
        <v>#DIV/0!</v>
      </c>
      <c r="H324" s="155" t="str">
        <f t="shared" si="2"/>
        <v>#DIV/0!</v>
      </c>
      <c r="I324" s="156" t="str">
        <f t="shared" si="3"/>
        <v>#DIV/0!</v>
      </c>
      <c r="J324" s="151">
        <f t="shared" ref="J324:M324" si="188">SUM(J313:J323)</f>
        <v>426.91</v>
      </c>
      <c r="K324" s="313">
        <f t="shared" si="188"/>
        <v>127972</v>
      </c>
      <c r="L324" s="153">
        <f t="shared" si="188"/>
        <v>0</v>
      </c>
      <c r="M324" s="157">
        <f t="shared" si="188"/>
        <v>1436.8</v>
      </c>
      <c r="N324" s="158">
        <f t="shared" si="185"/>
        <v>0.2971255568</v>
      </c>
      <c r="O324" s="159">
        <f t="shared" si="5"/>
        <v>3.365580567</v>
      </c>
      <c r="P324" s="158" t="str">
        <f t="shared" si="6"/>
        <v>#DIV/0!</v>
      </c>
      <c r="Q324" s="160" t="str">
        <f t="shared" si="7"/>
        <v>#DIV/0!</v>
      </c>
      <c r="R324" s="161">
        <f>SUM(R313:R323)</f>
        <v>-1436.8</v>
      </c>
      <c r="S324" s="162" t="str">
        <f t="shared" si="9"/>
        <v>#DIV/0!</v>
      </c>
      <c r="T324" s="164" t="str">
        <f t="shared" ref="T324:U324" si="189">IFERROR((D324-D48)/D324,)</f>
        <v/>
      </c>
      <c r="U324" s="164" t="str">
        <f t="shared" si="189"/>
        <v/>
      </c>
      <c r="V324" s="164" t="str">
        <f t="shared" ref="V324:W324" si="190">IFERROR((D324-monthly_reporting_2021!D115)/D324, )</f>
        <v/>
      </c>
      <c r="W324" s="164" t="str">
        <f t="shared" si="190"/>
        <v/>
      </c>
      <c r="X324" s="98"/>
      <c r="Y324" s="98"/>
      <c r="Z324" s="98"/>
    </row>
    <row r="325" hidden="1" outlineLevel="1">
      <c r="A325" s="293"/>
      <c r="B325" s="99">
        <v>45893.0</v>
      </c>
      <c r="C325" s="294" t="s">
        <v>70</v>
      </c>
      <c r="D325" s="295"/>
      <c r="E325" s="296"/>
      <c r="F325" s="296"/>
      <c r="G325" s="104" t="str">
        <f t="shared" si="1"/>
        <v>#DIV/0!</v>
      </c>
      <c r="H325" s="105" t="str">
        <f t="shared" si="2"/>
        <v>#DIV/0!</v>
      </c>
      <c r="I325" s="106" t="str">
        <f t="shared" si="3"/>
        <v>#DIV/0!</v>
      </c>
      <c r="J325" s="107">
        <v>138.85</v>
      </c>
      <c r="K325" s="278">
        <v>41160.0</v>
      </c>
      <c r="L325" s="296"/>
      <c r="M325" s="108">
        <v>104.55</v>
      </c>
      <c r="N325" s="109">
        <f t="shared" si="185"/>
        <v>1.328072692</v>
      </c>
      <c r="O325" s="110">
        <f t="shared" si="5"/>
        <v>0.7529708318</v>
      </c>
      <c r="P325" s="109" t="str">
        <f t="shared" si="6"/>
        <v>#DIV/0!</v>
      </c>
      <c r="Q325" s="111" t="str">
        <f t="shared" si="7"/>
        <v>#DIV/0!</v>
      </c>
      <c r="R325" s="112">
        <f t="shared" ref="R325:R335" si="191">D325-M325</f>
        <v>-104.55</v>
      </c>
      <c r="S325" s="113" t="str">
        <f t="shared" si="9"/>
        <v>#DIV/0!</v>
      </c>
      <c r="T325" s="114"/>
      <c r="U325" s="114"/>
      <c r="V325" s="114"/>
      <c r="W325" s="114"/>
      <c r="X325" s="115"/>
      <c r="Y325" s="98"/>
      <c r="Z325" s="98"/>
    </row>
    <row r="326" hidden="1" outlineLevel="1">
      <c r="A326" s="293"/>
      <c r="B326" s="116"/>
      <c r="C326" s="294" t="s">
        <v>71</v>
      </c>
      <c r="D326" s="297"/>
      <c r="E326" s="296"/>
      <c r="F326" s="296"/>
      <c r="G326" s="104" t="str">
        <f t="shared" si="1"/>
        <v>#DIV/0!</v>
      </c>
      <c r="H326" s="105" t="str">
        <f t="shared" si="2"/>
        <v>#DIV/0!</v>
      </c>
      <c r="I326" s="106" t="str">
        <f t="shared" si="3"/>
        <v>#DIV/0!</v>
      </c>
      <c r="J326" s="117">
        <v>57.4</v>
      </c>
      <c r="K326" s="278">
        <v>7635.0</v>
      </c>
      <c r="L326" s="296"/>
      <c r="M326" s="118">
        <v>199.85</v>
      </c>
      <c r="N326" s="109">
        <f t="shared" si="185"/>
        <v>0.2872154116</v>
      </c>
      <c r="O326" s="110">
        <f t="shared" si="5"/>
        <v>3.481707317</v>
      </c>
      <c r="P326" s="109" t="str">
        <f t="shared" si="6"/>
        <v>#DIV/0!</v>
      </c>
      <c r="Q326" s="111" t="str">
        <f t="shared" si="7"/>
        <v>#DIV/0!</v>
      </c>
      <c r="R326" s="119">
        <f t="shared" si="191"/>
        <v>-199.85</v>
      </c>
      <c r="S326" s="113" t="str">
        <f t="shared" si="9"/>
        <v>#DIV/0!</v>
      </c>
      <c r="T326" s="114"/>
      <c r="U326" s="114"/>
      <c r="V326" s="114"/>
      <c r="W326" s="114"/>
      <c r="X326" s="115"/>
      <c r="Y326" s="98"/>
      <c r="Z326" s="98"/>
    </row>
    <row r="327" hidden="1" outlineLevel="1">
      <c r="A327" s="293"/>
      <c r="B327" s="116"/>
      <c r="C327" s="294" t="s">
        <v>72</v>
      </c>
      <c r="D327" s="298"/>
      <c r="E327" s="296"/>
      <c r="F327" s="296"/>
      <c r="G327" s="104" t="str">
        <f t="shared" si="1"/>
        <v>#DIV/0!</v>
      </c>
      <c r="H327" s="105" t="str">
        <f t="shared" si="2"/>
        <v>#DIV/0!</v>
      </c>
      <c r="I327" s="106" t="str">
        <f t="shared" si="3"/>
        <v>#DIV/0!</v>
      </c>
      <c r="J327" s="120">
        <v>107.82</v>
      </c>
      <c r="K327" s="278">
        <v>16774.0</v>
      </c>
      <c r="L327" s="296"/>
      <c r="M327" s="121">
        <v>486.97</v>
      </c>
      <c r="N327" s="109">
        <f>(J327/M327)</f>
        <v>0.2214099431</v>
      </c>
      <c r="O327" s="110">
        <f t="shared" si="5"/>
        <v>4.516508996</v>
      </c>
      <c r="P327" s="109" t="str">
        <f t="shared" si="6"/>
        <v>#DIV/0!</v>
      </c>
      <c r="Q327" s="111" t="str">
        <f t="shared" si="7"/>
        <v>#DIV/0!</v>
      </c>
      <c r="R327" s="122">
        <f t="shared" si="191"/>
        <v>-486.97</v>
      </c>
      <c r="S327" s="113" t="str">
        <f t="shared" si="9"/>
        <v>#DIV/0!</v>
      </c>
      <c r="T327" s="114"/>
      <c r="U327" s="114"/>
      <c r="V327" s="114"/>
      <c r="W327" s="114"/>
      <c r="X327" s="115"/>
      <c r="Y327" s="98"/>
      <c r="Z327" s="98"/>
    </row>
    <row r="328" hidden="1" outlineLevel="1">
      <c r="A328" s="293"/>
      <c r="B328" s="116"/>
      <c r="C328" s="294" t="s">
        <v>73</v>
      </c>
      <c r="D328" s="298"/>
      <c r="E328" s="296"/>
      <c r="F328" s="296"/>
      <c r="G328" s="104" t="str">
        <f t="shared" si="1"/>
        <v>#DIV/0!</v>
      </c>
      <c r="H328" s="105" t="str">
        <f t="shared" si="2"/>
        <v>#DIV/0!</v>
      </c>
      <c r="I328" s="106" t="str">
        <f t="shared" si="3"/>
        <v>#DIV/0!</v>
      </c>
      <c r="J328" s="120">
        <v>11.59</v>
      </c>
      <c r="K328" s="278">
        <v>5653.0</v>
      </c>
      <c r="L328" s="296"/>
      <c r="M328" s="121">
        <v>125.9</v>
      </c>
      <c r="N328" s="109">
        <f t="shared" ref="N328:N338" si="192">J328/M328</f>
        <v>0.09205718824</v>
      </c>
      <c r="O328" s="110">
        <f t="shared" si="5"/>
        <v>10.86281277</v>
      </c>
      <c r="P328" s="109" t="str">
        <f t="shared" si="6"/>
        <v>#DIV/0!</v>
      </c>
      <c r="Q328" s="111" t="str">
        <f t="shared" si="7"/>
        <v>#DIV/0!</v>
      </c>
      <c r="R328" s="122">
        <f t="shared" si="191"/>
        <v>-125.9</v>
      </c>
      <c r="S328" s="113" t="str">
        <f t="shared" si="9"/>
        <v>#DIV/0!</v>
      </c>
      <c r="T328" s="114"/>
      <c r="U328" s="114"/>
      <c r="V328" s="114"/>
      <c r="W328" s="114"/>
      <c r="X328" s="115"/>
      <c r="Y328" s="98"/>
      <c r="Z328" s="98"/>
    </row>
    <row r="329" hidden="1" outlineLevel="1">
      <c r="A329" s="293"/>
      <c r="B329" s="116"/>
      <c r="C329" s="294" t="s">
        <v>74</v>
      </c>
      <c r="D329" s="299"/>
      <c r="E329" s="296"/>
      <c r="F329" s="296"/>
      <c r="G329" s="104" t="str">
        <f t="shared" si="1"/>
        <v>#DIV/0!</v>
      </c>
      <c r="H329" s="105" t="str">
        <f t="shared" si="2"/>
        <v>#DIV/0!</v>
      </c>
      <c r="I329" s="106" t="str">
        <f t="shared" si="3"/>
        <v>#DIV/0!</v>
      </c>
      <c r="J329" s="300">
        <v>7.18</v>
      </c>
      <c r="K329" s="278">
        <v>2014.0</v>
      </c>
      <c r="L329" s="296"/>
      <c r="M329" s="300">
        <v>0.0</v>
      </c>
      <c r="N329" s="109" t="str">
        <f t="shared" si="192"/>
        <v>#DIV/0!</v>
      </c>
      <c r="O329" s="110">
        <f t="shared" si="5"/>
        <v>0</v>
      </c>
      <c r="P329" s="109" t="str">
        <f t="shared" si="6"/>
        <v>#DIV/0!</v>
      </c>
      <c r="Q329" s="111" t="str">
        <f t="shared" si="7"/>
        <v>#DIV/0!</v>
      </c>
      <c r="R329" s="122">
        <f t="shared" si="191"/>
        <v>0</v>
      </c>
      <c r="S329" s="113" t="str">
        <f t="shared" si="9"/>
        <v>#DIV/0!</v>
      </c>
      <c r="T329" s="114"/>
      <c r="U329" s="114"/>
      <c r="V329" s="114"/>
      <c r="W329" s="114"/>
      <c r="X329" s="115"/>
      <c r="Y329" s="98"/>
      <c r="Z329" s="98"/>
    </row>
    <row r="330" hidden="1" outlineLevel="1">
      <c r="A330" s="293"/>
      <c r="B330" s="116"/>
      <c r="C330" s="294" t="s">
        <v>75</v>
      </c>
      <c r="D330" s="301"/>
      <c r="E330" s="296"/>
      <c r="F330" s="296"/>
      <c r="G330" s="104" t="str">
        <f t="shared" si="1"/>
        <v>#DIV/0!</v>
      </c>
      <c r="H330" s="105" t="str">
        <f t="shared" si="2"/>
        <v>#DIV/0!</v>
      </c>
      <c r="I330" s="106" t="str">
        <f t="shared" si="3"/>
        <v>#DIV/0!</v>
      </c>
      <c r="J330" s="302">
        <v>24.12</v>
      </c>
      <c r="K330" s="278">
        <v>5546.0</v>
      </c>
      <c r="L330" s="296"/>
      <c r="M330" s="303">
        <v>44.95</v>
      </c>
      <c r="N330" s="109">
        <f t="shared" si="192"/>
        <v>0.536596218</v>
      </c>
      <c r="O330" s="110">
        <f t="shared" si="5"/>
        <v>1.863598673</v>
      </c>
      <c r="P330" s="109" t="str">
        <f t="shared" si="6"/>
        <v>#DIV/0!</v>
      </c>
      <c r="Q330" s="111" t="str">
        <f t="shared" si="7"/>
        <v>#DIV/0!</v>
      </c>
      <c r="R330" s="304">
        <f t="shared" si="191"/>
        <v>-44.95</v>
      </c>
      <c r="S330" s="113" t="str">
        <f t="shared" si="9"/>
        <v>#DIV/0!</v>
      </c>
      <c r="T330" s="114"/>
      <c r="U330" s="114"/>
      <c r="V330" s="114"/>
      <c r="W330" s="114"/>
      <c r="X330" s="115"/>
      <c r="Y330" s="98"/>
      <c r="Z330" s="98"/>
    </row>
    <row r="331" hidden="1" outlineLevel="1">
      <c r="A331" s="293"/>
      <c r="B331" s="116"/>
      <c r="C331" s="294" t="s">
        <v>76</v>
      </c>
      <c r="D331" s="298"/>
      <c r="E331" s="296"/>
      <c r="F331" s="296"/>
      <c r="G331" s="104" t="str">
        <f t="shared" si="1"/>
        <v>#DIV/0!</v>
      </c>
      <c r="H331" s="105" t="str">
        <f t="shared" si="2"/>
        <v>#DIV/0!</v>
      </c>
      <c r="I331" s="106" t="str">
        <f t="shared" si="3"/>
        <v>#DIV/0!</v>
      </c>
      <c r="J331" s="120">
        <v>49.71</v>
      </c>
      <c r="K331" s="278">
        <v>6343.0</v>
      </c>
      <c r="L331" s="296"/>
      <c r="M331" s="121">
        <v>415.85</v>
      </c>
      <c r="N331" s="109">
        <f t="shared" si="192"/>
        <v>0.1195382951</v>
      </c>
      <c r="O331" s="110">
        <f t="shared" si="5"/>
        <v>8.365520016</v>
      </c>
      <c r="P331" s="109" t="str">
        <f t="shared" si="6"/>
        <v>#DIV/0!</v>
      </c>
      <c r="Q331" s="111" t="str">
        <f t="shared" si="7"/>
        <v>#DIV/0!</v>
      </c>
      <c r="R331" s="122">
        <f t="shared" si="191"/>
        <v>-415.85</v>
      </c>
      <c r="S331" s="113" t="str">
        <f t="shared" si="9"/>
        <v>#DIV/0!</v>
      </c>
      <c r="T331" s="114"/>
      <c r="U331" s="114"/>
      <c r="V331" s="114"/>
      <c r="W331" s="114"/>
      <c r="X331" s="115"/>
      <c r="Y331" s="98"/>
      <c r="Z331" s="98"/>
    </row>
    <row r="332" hidden="1" outlineLevel="1">
      <c r="A332" s="293"/>
      <c r="B332" s="99" t="s">
        <v>37</v>
      </c>
      <c r="C332" s="294" t="s">
        <v>77</v>
      </c>
      <c r="D332" s="305"/>
      <c r="E332" s="296"/>
      <c r="F332" s="296"/>
      <c r="G332" s="104" t="str">
        <f t="shared" si="1"/>
        <v>#DIV/0!</v>
      </c>
      <c r="H332" s="105" t="str">
        <f t="shared" si="2"/>
        <v>#DIV/0!</v>
      </c>
      <c r="I332" s="106" t="str">
        <f t="shared" si="3"/>
        <v>#DIV/0!</v>
      </c>
      <c r="J332" s="123">
        <v>33.2</v>
      </c>
      <c r="K332" s="278">
        <v>7775.0</v>
      </c>
      <c r="L332" s="296"/>
      <c r="M332" s="124">
        <v>540.0</v>
      </c>
      <c r="N332" s="109">
        <f t="shared" si="192"/>
        <v>0.06148148148</v>
      </c>
      <c r="O332" s="110">
        <f t="shared" si="5"/>
        <v>16.26506024</v>
      </c>
      <c r="P332" s="109" t="str">
        <f t="shared" si="6"/>
        <v>#DIV/0!</v>
      </c>
      <c r="Q332" s="111" t="str">
        <f t="shared" si="7"/>
        <v>#DIV/0!</v>
      </c>
      <c r="R332" s="125">
        <f t="shared" si="191"/>
        <v>-540</v>
      </c>
      <c r="S332" s="113" t="str">
        <f t="shared" si="9"/>
        <v>#DIV/0!</v>
      </c>
      <c r="T332" s="114"/>
      <c r="U332" s="114"/>
      <c r="V332" s="114"/>
      <c r="W332" s="114"/>
      <c r="X332" s="115"/>
      <c r="Y332" s="98"/>
      <c r="Z332" s="98"/>
    </row>
    <row r="333" hidden="1" outlineLevel="1">
      <c r="A333" s="293"/>
      <c r="B333" s="116"/>
      <c r="C333" s="294" t="s">
        <v>78</v>
      </c>
      <c r="D333" s="306"/>
      <c r="E333" s="296"/>
      <c r="F333" s="296"/>
      <c r="G333" s="104" t="str">
        <f t="shared" si="1"/>
        <v>#DIV/0!</v>
      </c>
      <c r="H333" s="105" t="str">
        <f t="shared" si="2"/>
        <v>#DIV/0!</v>
      </c>
      <c r="I333" s="106" t="str">
        <f t="shared" si="3"/>
        <v>#DIV/0!</v>
      </c>
      <c r="J333" s="126">
        <v>178.98</v>
      </c>
      <c r="K333" s="278">
        <v>43016.0</v>
      </c>
      <c r="L333" s="296"/>
      <c r="M333" s="127">
        <v>894.4</v>
      </c>
      <c r="N333" s="109">
        <f t="shared" si="192"/>
        <v>0.2001118068</v>
      </c>
      <c r="O333" s="110">
        <f t="shared" si="5"/>
        <v>4.997206392</v>
      </c>
      <c r="P333" s="109" t="str">
        <f t="shared" si="6"/>
        <v>#DIV/0!</v>
      </c>
      <c r="Q333" s="111" t="str">
        <f t="shared" si="7"/>
        <v>#DIV/0!</v>
      </c>
      <c r="R333" s="128">
        <f t="shared" si="191"/>
        <v>-894.4</v>
      </c>
      <c r="S333" s="113" t="str">
        <f t="shared" si="9"/>
        <v>#DIV/0!</v>
      </c>
      <c r="T333" s="114"/>
      <c r="U333" s="114"/>
      <c r="V333" s="114"/>
      <c r="W333" s="114"/>
      <c r="X333" s="115"/>
      <c r="Y333" s="98"/>
      <c r="Z333" s="98"/>
    </row>
    <row r="334" hidden="1" outlineLevel="1">
      <c r="A334" s="293"/>
      <c r="B334" s="116"/>
      <c r="C334" s="294" t="s">
        <v>79</v>
      </c>
      <c r="D334" s="307"/>
      <c r="E334" s="296"/>
      <c r="F334" s="296"/>
      <c r="G334" s="104" t="str">
        <f t="shared" si="1"/>
        <v>#DIV/0!</v>
      </c>
      <c r="H334" s="105" t="str">
        <f t="shared" si="2"/>
        <v>#DIV/0!</v>
      </c>
      <c r="I334" s="106" t="str">
        <f t="shared" si="3"/>
        <v>#DIV/0!</v>
      </c>
      <c r="J334" s="129">
        <v>49.64</v>
      </c>
      <c r="K334" s="278">
        <v>9986.0</v>
      </c>
      <c r="L334" s="296"/>
      <c r="M334" s="130">
        <v>85.9</v>
      </c>
      <c r="N334" s="109">
        <f t="shared" si="192"/>
        <v>0.5778812573</v>
      </c>
      <c r="O334" s="110">
        <f t="shared" si="5"/>
        <v>1.730459307</v>
      </c>
      <c r="P334" s="109" t="str">
        <f t="shared" si="6"/>
        <v>#DIV/0!</v>
      </c>
      <c r="Q334" s="111" t="str">
        <f t="shared" si="7"/>
        <v>#DIV/0!</v>
      </c>
      <c r="R334" s="131">
        <f t="shared" si="191"/>
        <v>-85.9</v>
      </c>
      <c r="S334" s="113" t="str">
        <f t="shared" si="9"/>
        <v>#DIV/0!</v>
      </c>
      <c r="T334" s="114"/>
      <c r="U334" s="114"/>
      <c r="V334" s="114"/>
      <c r="W334" s="114"/>
      <c r="X334" s="115"/>
      <c r="Y334" s="98"/>
      <c r="Z334" s="98"/>
    </row>
    <row r="335" hidden="1" outlineLevel="1">
      <c r="A335" s="310" t="str">
        <f t="shared" ref="A335:A336" si="193">iferror(if(B335&gt;0,month(B335)&amp;"-"&amp;year(B335),B335),)</f>
        <v>8-2025</v>
      </c>
      <c r="B335" s="99">
        <v>45899.0</v>
      </c>
      <c r="C335" s="294" t="s">
        <v>81</v>
      </c>
      <c r="D335" s="311"/>
      <c r="E335" s="296"/>
      <c r="F335" s="296"/>
      <c r="G335" s="104" t="str">
        <f t="shared" si="1"/>
        <v>#DIV/0!</v>
      </c>
      <c r="H335" s="105" t="str">
        <f t="shared" si="2"/>
        <v>#DIV/0!</v>
      </c>
      <c r="I335" s="106" t="str">
        <f t="shared" si="3"/>
        <v>#DIV/0!</v>
      </c>
      <c r="J335" s="117">
        <v>0.0</v>
      </c>
      <c r="K335" s="278">
        <v>0.0</v>
      </c>
      <c r="L335" s="296"/>
      <c r="M335" s="118">
        <v>0.0</v>
      </c>
      <c r="N335" s="109" t="str">
        <f t="shared" si="192"/>
        <v>#DIV/0!</v>
      </c>
      <c r="O335" s="110" t="str">
        <f t="shared" si="5"/>
        <v>#DIV/0!</v>
      </c>
      <c r="P335" s="109" t="str">
        <f t="shared" si="6"/>
        <v>#DIV/0!</v>
      </c>
      <c r="Q335" s="111" t="str">
        <f t="shared" si="7"/>
        <v>#DIV/0!</v>
      </c>
      <c r="R335" s="112">
        <f t="shared" si="191"/>
        <v>0</v>
      </c>
      <c r="S335" s="113" t="str">
        <f t="shared" si="9"/>
        <v>#DIV/0!</v>
      </c>
      <c r="T335" s="114"/>
      <c r="U335" s="114"/>
      <c r="V335" s="114"/>
      <c r="W335" s="114"/>
      <c r="X335" s="115"/>
      <c r="Y335" s="98"/>
      <c r="Z335" s="98"/>
    </row>
    <row r="336" collapsed="1">
      <c r="A336" s="293" t="str">
        <f t="shared" si="193"/>
        <v/>
      </c>
      <c r="B336" s="80" t="s">
        <v>122</v>
      </c>
      <c r="C336" s="312"/>
      <c r="D336" s="151">
        <f t="shared" ref="D336:F336" si="194">SUM(D325:D335)</f>
        <v>0</v>
      </c>
      <c r="E336" s="153">
        <f t="shared" si="194"/>
        <v>0</v>
      </c>
      <c r="F336" s="153">
        <f t="shared" si="194"/>
        <v>0</v>
      </c>
      <c r="G336" s="154" t="str">
        <f t="shared" si="1"/>
        <v>#DIV/0!</v>
      </c>
      <c r="H336" s="155" t="str">
        <f t="shared" si="2"/>
        <v>#DIV/0!</v>
      </c>
      <c r="I336" s="156" t="str">
        <f t="shared" si="3"/>
        <v>#DIV/0!</v>
      </c>
      <c r="J336" s="151">
        <f t="shared" ref="J336:M336" si="195">SUM(J325:J335)</f>
        <v>658.49</v>
      </c>
      <c r="K336" s="313">
        <f t="shared" si="195"/>
        <v>145902</v>
      </c>
      <c r="L336" s="153">
        <f t="shared" si="195"/>
        <v>0</v>
      </c>
      <c r="M336" s="157">
        <f t="shared" si="195"/>
        <v>2898.37</v>
      </c>
      <c r="N336" s="158">
        <f t="shared" si="192"/>
        <v>0.2271932155</v>
      </c>
      <c r="O336" s="159">
        <f t="shared" si="5"/>
        <v>4.401539887</v>
      </c>
      <c r="P336" s="158" t="str">
        <f t="shared" si="6"/>
        <v>#DIV/0!</v>
      </c>
      <c r="Q336" s="160" t="str">
        <f t="shared" si="7"/>
        <v>#DIV/0!</v>
      </c>
      <c r="R336" s="161">
        <f>SUM(R325:R335)</f>
        <v>-2898.37</v>
      </c>
      <c r="S336" s="162" t="str">
        <f t="shared" si="9"/>
        <v>#DIV/0!</v>
      </c>
      <c r="T336" s="164" t="str">
        <f t="shared" ref="T336:U336" si="196">IFERROR((D336-D48)/D336,)</f>
        <v/>
      </c>
      <c r="U336" s="164" t="str">
        <f t="shared" si="196"/>
        <v/>
      </c>
      <c r="V336" s="164" t="str">
        <f t="shared" ref="V336:W336" si="197">IFERROR((D336-monthly_reporting_2021!D127)/D336, )</f>
        <v/>
      </c>
      <c r="W336" s="164" t="str">
        <f t="shared" si="197"/>
        <v/>
      </c>
      <c r="X336" s="98"/>
      <c r="Y336" s="98"/>
      <c r="Z336" s="98"/>
    </row>
    <row r="337" hidden="1" outlineLevel="1">
      <c r="A337" s="293"/>
      <c r="B337" s="99">
        <v>45900.0</v>
      </c>
      <c r="C337" s="294" t="s">
        <v>70</v>
      </c>
      <c r="D337" s="295"/>
      <c r="E337" s="296"/>
      <c r="F337" s="296"/>
      <c r="G337" s="104" t="str">
        <f t="shared" si="1"/>
        <v>#DIV/0!</v>
      </c>
      <c r="H337" s="105" t="str">
        <f t="shared" si="2"/>
        <v>#DIV/0!</v>
      </c>
      <c r="I337" s="106" t="str">
        <f t="shared" si="3"/>
        <v>#DIV/0!</v>
      </c>
      <c r="J337" s="107">
        <v>25.42</v>
      </c>
      <c r="K337" s="278">
        <v>9244.0</v>
      </c>
      <c r="L337" s="296"/>
      <c r="M337" s="108">
        <v>395.0</v>
      </c>
      <c r="N337" s="109">
        <f t="shared" si="192"/>
        <v>0.06435443038</v>
      </c>
      <c r="O337" s="110">
        <f t="shared" si="5"/>
        <v>15.53894571</v>
      </c>
      <c r="P337" s="109" t="str">
        <f t="shared" si="6"/>
        <v>#DIV/0!</v>
      </c>
      <c r="Q337" s="111" t="str">
        <f t="shared" si="7"/>
        <v>#DIV/0!</v>
      </c>
      <c r="R337" s="112">
        <f t="shared" ref="R337:R347" si="198">D337-M337</f>
        <v>-395</v>
      </c>
      <c r="S337" s="113" t="str">
        <f t="shared" si="9"/>
        <v>#DIV/0!</v>
      </c>
      <c r="T337" s="114"/>
      <c r="U337" s="114"/>
      <c r="V337" s="114"/>
      <c r="W337" s="114"/>
      <c r="X337" s="115"/>
      <c r="Y337" s="98"/>
      <c r="Z337" s="98"/>
    </row>
    <row r="338" hidden="1" outlineLevel="1">
      <c r="A338" s="293"/>
      <c r="B338" s="116"/>
      <c r="C338" s="294" t="s">
        <v>71</v>
      </c>
      <c r="D338" s="297"/>
      <c r="E338" s="296"/>
      <c r="F338" s="296"/>
      <c r="G338" s="104" t="str">
        <f t="shared" si="1"/>
        <v>#DIV/0!</v>
      </c>
      <c r="H338" s="105" t="str">
        <f t="shared" si="2"/>
        <v>#DIV/0!</v>
      </c>
      <c r="I338" s="106" t="str">
        <f t="shared" si="3"/>
        <v>#DIV/0!</v>
      </c>
      <c r="J338" s="117">
        <v>84.28</v>
      </c>
      <c r="K338" s="278">
        <v>20455.0</v>
      </c>
      <c r="L338" s="296"/>
      <c r="M338" s="118">
        <v>249.8</v>
      </c>
      <c r="N338" s="109">
        <f t="shared" si="192"/>
        <v>0.3373899119</v>
      </c>
      <c r="O338" s="110">
        <f t="shared" si="5"/>
        <v>2.963929758</v>
      </c>
      <c r="P338" s="109" t="str">
        <f t="shared" si="6"/>
        <v>#DIV/0!</v>
      </c>
      <c r="Q338" s="111" t="str">
        <f t="shared" si="7"/>
        <v>#DIV/0!</v>
      </c>
      <c r="R338" s="119">
        <f t="shared" si="198"/>
        <v>-249.8</v>
      </c>
      <c r="S338" s="113" t="str">
        <f t="shared" si="9"/>
        <v>#DIV/0!</v>
      </c>
      <c r="T338" s="114"/>
      <c r="U338" s="114"/>
      <c r="V338" s="114"/>
      <c r="W338" s="114"/>
      <c r="X338" s="115"/>
      <c r="Y338" s="98"/>
      <c r="Z338" s="98"/>
    </row>
    <row r="339" hidden="1" outlineLevel="1">
      <c r="A339" s="293"/>
      <c r="B339" s="116"/>
      <c r="C339" s="294" t="s">
        <v>72</v>
      </c>
      <c r="D339" s="298"/>
      <c r="E339" s="296"/>
      <c r="F339" s="296"/>
      <c r="G339" s="104" t="str">
        <f t="shared" si="1"/>
        <v>#DIV/0!</v>
      </c>
      <c r="H339" s="105" t="str">
        <f t="shared" si="2"/>
        <v>#DIV/0!</v>
      </c>
      <c r="I339" s="106" t="str">
        <f t="shared" si="3"/>
        <v>#DIV/0!</v>
      </c>
      <c r="J339" s="120">
        <v>160.78</v>
      </c>
      <c r="K339" s="278">
        <v>34310.0</v>
      </c>
      <c r="L339" s="296"/>
      <c r="M339" s="121">
        <v>164.97</v>
      </c>
      <c r="N339" s="109">
        <f>(J339/M339)</f>
        <v>0.9746014427</v>
      </c>
      <c r="O339" s="110">
        <f t="shared" si="5"/>
        <v>1.026060455</v>
      </c>
      <c r="P339" s="109" t="str">
        <f t="shared" si="6"/>
        <v>#DIV/0!</v>
      </c>
      <c r="Q339" s="111" t="str">
        <f t="shared" si="7"/>
        <v>#DIV/0!</v>
      </c>
      <c r="R339" s="122">
        <f t="shared" si="198"/>
        <v>-164.97</v>
      </c>
      <c r="S339" s="113" t="str">
        <f t="shared" si="9"/>
        <v>#DIV/0!</v>
      </c>
      <c r="T339" s="114"/>
      <c r="U339" s="114"/>
      <c r="V339" s="114"/>
      <c r="W339" s="114"/>
      <c r="X339" s="115"/>
      <c r="Y339" s="98"/>
      <c r="Z339" s="98"/>
    </row>
    <row r="340" hidden="1" outlineLevel="1">
      <c r="A340" s="293"/>
      <c r="B340" s="116"/>
      <c r="C340" s="294" t="s">
        <v>73</v>
      </c>
      <c r="D340" s="298"/>
      <c r="E340" s="296"/>
      <c r="F340" s="296"/>
      <c r="G340" s="104" t="str">
        <f t="shared" si="1"/>
        <v>#DIV/0!</v>
      </c>
      <c r="H340" s="105" t="str">
        <f t="shared" si="2"/>
        <v>#DIV/0!</v>
      </c>
      <c r="I340" s="106" t="str">
        <f t="shared" si="3"/>
        <v>#DIV/0!</v>
      </c>
      <c r="J340" s="120">
        <v>24.74</v>
      </c>
      <c r="K340" s="278">
        <v>8681.0</v>
      </c>
      <c r="L340" s="296"/>
      <c r="M340" s="121">
        <v>0.0</v>
      </c>
      <c r="N340" s="109" t="str">
        <f t="shared" ref="N340:N350" si="199">J340/M340</f>
        <v>#DIV/0!</v>
      </c>
      <c r="O340" s="110">
        <f t="shared" si="5"/>
        <v>0</v>
      </c>
      <c r="P340" s="109" t="str">
        <f t="shared" si="6"/>
        <v>#DIV/0!</v>
      </c>
      <c r="Q340" s="111" t="str">
        <f t="shared" si="7"/>
        <v>#DIV/0!</v>
      </c>
      <c r="R340" s="122">
        <f t="shared" si="198"/>
        <v>0</v>
      </c>
      <c r="S340" s="113" t="str">
        <f t="shared" si="9"/>
        <v>#DIV/0!</v>
      </c>
      <c r="T340" s="114"/>
      <c r="U340" s="114"/>
      <c r="V340" s="114"/>
      <c r="W340" s="114"/>
      <c r="X340" s="115"/>
      <c r="Y340" s="98"/>
      <c r="Z340" s="98"/>
    </row>
    <row r="341" hidden="1" outlineLevel="1">
      <c r="A341" s="293"/>
      <c r="B341" s="116"/>
      <c r="C341" s="294" t="s">
        <v>74</v>
      </c>
      <c r="D341" s="299"/>
      <c r="E341" s="296"/>
      <c r="F341" s="296"/>
      <c r="G341" s="104" t="str">
        <f t="shared" si="1"/>
        <v>#DIV/0!</v>
      </c>
      <c r="H341" s="105" t="str">
        <f t="shared" si="2"/>
        <v>#DIV/0!</v>
      </c>
      <c r="I341" s="106" t="str">
        <f t="shared" si="3"/>
        <v>#DIV/0!</v>
      </c>
      <c r="J341" s="300">
        <v>0.0</v>
      </c>
      <c r="K341" s="278">
        <v>0.0</v>
      </c>
      <c r="L341" s="296"/>
      <c r="M341" s="300">
        <v>0.0</v>
      </c>
      <c r="N341" s="109" t="str">
        <f t="shared" si="199"/>
        <v>#DIV/0!</v>
      </c>
      <c r="O341" s="110" t="str">
        <f t="shared" si="5"/>
        <v>#DIV/0!</v>
      </c>
      <c r="P341" s="109" t="str">
        <f t="shared" si="6"/>
        <v>#DIV/0!</v>
      </c>
      <c r="Q341" s="111" t="str">
        <f t="shared" si="7"/>
        <v>#DIV/0!</v>
      </c>
      <c r="R341" s="122">
        <f t="shared" si="198"/>
        <v>0</v>
      </c>
      <c r="S341" s="113" t="str">
        <f t="shared" si="9"/>
        <v>#DIV/0!</v>
      </c>
      <c r="T341" s="114"/>
      <c r="U341" s="114"/>
      <c r="V341" s="114"/>
      <c r="W341" s="114"/>
      <c r="X341" s="115"/>
      <c r="Y341" s="98"/>
      <c r="Z341" s="98"/>
    </row>
    <row r="342" hidden="1" outlineLevel="1">
      <c r="A342" s="293"/>
      <c r="B342" s="116"/>
      <c r="C342" s="294" t="s">
        <v>75</v>
      </c>
      <c r="D342" s="301"/>
      <c r="E342" s="296"/>
      <c r="F342" s="296"/>
      <c r="G342" s="104" t="str">
        <f t="shared" si="1"/>
        <v>#DIV/0!</v>
      </c>
      <c r="H342" s="105" t="str">
        <f t="shared" si="2"/>
        <v>#DIV/0!</v>
      </c>
      <c r="I342" s="106" t="str">
        <f t="shared" si="3"/>
        <v>#DIV/0!</v>
      </c>
      <c r="J342" s="302">
        <v>10.99</v>
      </c>
      <c r="K342" s="278">
        <v>1612.0</v>
      </c>
      <c r="L342" s="296"/>
      <c r="M342" s="303">
        <v>0.0</v>
      </c>
      <c r="N342" s="109" t="str">
        <f t="shared" si="199"/>
        <v>#DIV/0!</v>
      </c>
      <c r="O342" s="110">
        <f t="shared" si="5"/>
        <v>0</v>
      </c>
      <c r="P342" s="109" t="str">
        <f t="shared" si="6"/>
        <v>#DIV/0!</v>
      </c>
      <c r="Q342" s="111" t="str">
        <f t="shared" si="7"/>
        <v>#DIV/0!</v>
      </c>
      <c r="R342" s="304">
        <f t="shared" si="198"/>
        <v>0</v>
      </c>
      <c r="S342" s="113" t="str">
        <f t="shared" si="9"/>
        <v>#DIV/0!</v>
      </c>
      <c r="T342" s="114"/>
      <c r="U342" s="114"/>
      <c r="V342" s="114"/>
      <c r="W342" s="114"/>
      <c r="X342" s="115"/>
      <c r="Y342" s="98"/>
      <c r="Z342" s="98"/>
    </row>
    <row r="343" hidden="1" outlineLevel="1">
      <c r="A343" s="293"/>
      <c r="B343" s="116"/>
      <c r="C343" s="294" t="s">
        <v>76</v>
      </c>
      <c r="D343" s="298"/>
      <c r="E343" s="296"/>
      <c r="F343" s="296"/>
      <c r="G343" s="104" t="str">
        <f t="shared" si="1"/>
        <v>#DIV/0!</v>
      </c>
      <c r="H343" s="105" t="str">
        <f t="shared" si="2"/>
        <v>#DIV/0!</v>
      </c>
      <c r="I343" s="106" t="str">
        <f t="shared" si="3"/>
        <v>#DIV/0!</v>
      </c>
      <c r="J343" s="120">
        <v>55.34</v>
      </c>
      <c r="K343" s="278">
        <v>7325.0</v>
      </c>
      <c r="L343" s="296"/>
      <c r="M343" s="121">
        <v>988.65</v>
      </c>
      <c r="N343" s="109">
        <f t="shared" si="199"/>
        <v>0.05597531988</v>
      </c>
      <c r="O343" s="110">
        <f t="shared" si="5"/>
        <v>17.86501626</v>
      </c>
      <c r="P343" s="109" t="str">
        <f t="shared" si="6"/>
        <v>#DIV/0!</v>
      </c>
      <c r="Q343" s="111" t="str">
        <f t="shared" si="7"/>
        <v>#DIV/0!</v>
      </c>
      <c r="R343" s="122">
        <f t="shared" si="198"/>
        <v>-988.65</v>
      </c>
      <c r="S343" s="113" t="str">
        <f t="shared" si="9"/>
        <v>#DIV/0!</v>
      </c>
      <c r="T343" s="114"/>
      <c r="U343" s="114"/>
      <c r="V343" s="114"/>
      <c r="W343" s="114"/>
      <c r="X343" s="115"/>
      <c r="Y343" s="98"/>
      <c r="Z343" s="98"/>
    </row>
    <row r="344" hidden="1" outlineLevel="1">
      <c r="A344" s="293"/>
      <c r="B344" s="99" t="s">
        <v>37</v>
      </c>
      <c r="C344" s="294" t="s">
        <v>77</v>
      </c>
      <c r="D344" s="305"/>
      <c r="E344" s="296"/>
      <c r="F344" s="296"/>
      <c r="G344" s="104" t="str">
        <f t="shared" si="1"/>
        <v>#DIV/0!</v>
      </c>
      <c r="H344" s="105" t="str">
        <f t="shared" si="2"/>
        <v>#DIV/0!</v>
      </c>
      <c r="I344" s="106" t="str">
        <f t="shared" si="3"/>
        <v>#DIV/0!</v>
      </c>
      <c r="J344" s="123">
        <v>40.87</v>
      </c>
      <c r="K344" s="278">
        <v>7685.0</v>
      </c>
      <c r="L344" s="296"/>
      <c r="M344" s="124">
        <v>299.9</v>
      </c>
      <c r="N344" s="109">
        <f t="shared" si="199"/>
        <v>0.1362787596</v>
      </c>
      <c r="O344" s="110">
        <f t="shared" si="5"/>
        <v>7.337900661</v>
      </c>
      <c r="P344" s="109" t="str">
        <f t="shared" si="6"/>
        <v>#DIV/0!</v>
      </c>
      <c r="Q344" s="111" t="str">
        <f t="shared" si="7"/>
        <v>#DIV/0!</v>
      </c>
      <c r="R344" s="125">
        <f t="shared" si="198"/>
        <v>-299.9</v>
      </c>
      <c r="S344" s="113" t="str">
        <f t="shared" si="9"/>
        <v>#DIV/0!</v>
      </c>
      <c r="T344" s="114"/>
      <c r="U344" s="114"/>
      <c r="V344" s="114"/>
      <c r="W344" s="114"/>
      <c r="X344" s="115"/>
      <c r="Y344" s="98"/>
      <c r="Z344" s="98"/>
    </row>
    <row r="345" hidden="1" outlineLevel="1">
      <c r="A345" s="293"/>
      <c r="B345" s="116"/>
      <c r="C345" s="294" t="s">
        <v>78</v>
      </c>
      <c r="D345" s="306"/>
      <c r="E345" s="296"/>
      <c r="F345" s="296"/>
      <c r="G345" s="104" t="str">
        <f t="shared" si="1"/>
        <v>#DIV/0!</v>
      </c>
      <c r="H345" s="105" t="str">
        <f t="shared" si="2"/>
        <v>#DIV/0!</v>
      </c>
      <c r="I345" s="106" t="str">
        <f t="shared" si="3"/>
        <v>#DIV/0!</v>
      </c>
      <c r="J345" s="126">
        <v>403.2</v>
      </c>
      <c r="K345" s="278">
        <v>88324.0</v>
      </c>
      <c r="L345" s="296"/>
      <c r="M345" s="127">
        <v>82.48</v>
      </c>
      <c r="N345" s="109">
        <f t="shared" si="199"/>
        <v>4.888457808</v>
      </c>
      <c r="O345" s="110">
        <f t="shared" si="5"/>
        <v>0.2045634921</v>
      </c>
      <c r="P345" s="109" t="str">
        <f t="shared" si="6"/>
        <v>#DIV/0!</v>
      </c>
      <c r="Q345" s="111" t="str">
        <f t="shared" si="7"/>
        <v>#DIV/0!</v>
      </c>
      <c r="R345" s="128">
        <f t="shared" si="198"/>
        <v>-82.48</v>
      </c>
      <c r="S345" s="113" t="str">
        <f t="shared" si="9"/>
        <v>#DIV/0!</v>
      </c>
      <c r="T345" s="114"/>
      <c r="U345" s="114"/>
      <c r="V345" s="114"/>
      <c r="W345" s="114"/>
      <c r="X345" s="115"/>
      <c r="Y345" s="98"/>
      <c r="Z345" s="98"/>
    </row>
    <row r="346" hidden="1" outlineLevel="1">
      <c r="A346" s="293"/>
      <c r="B346" s="116"/>
      <c r="C346" s="294" t="s">
        <v>79</v>
      </c>
      <c r="D346" s="307"/>
      <c r="E346" s="296"/>
      <c r="F346" s="296"/>
      <c r="G346" s="104" t="str">
        <f t="shared" si="1"/>
        <v>#DIV/0!</v>
      </c>
      <c r="H346" s="105" t="str">
        <f t="shared" si="2"/>
        <v>#DIV/0!</v>
      </c>
      <c r="I346" s="106" t="str">
        <f t="shared" si="3"/>
        <v>#DIV/0!</v>
      </c>
      <c r="J346" s="129">
        <v>34.0</v>
      </c>
      <c r="K346" s="278">
        <v>10401.0</v>
      </c>
      <c r="L346" s="296"/>
      <c r="M346" s="130">
        <v>304.65</v>
      </c>
      <c r="N346" s="109">
        <f t="shared" si="199"/>
        <v>0.1116034794</v>
      </c>
      <c r="O346" s="110">
        <f t="shared" si="5"/>
        <v>8.960294118</v>
      </c>
      <c r="P346" s="109" t="str">
        <f t="shared" si="6"/>
        <v>#DIV/0!</v>
      </c>
      <c r="Q346" s="111" t="str">
        <f t="shared" si="7"/>
        <v>#DIV/0!</v>
      </c>
      <c r="R346" s="131">
        <f t="shared" si="198"/>
        <v>-304.65</v>
      </c>
      <c r="S346" s="113" t="str">
        <f t="shared" si="9"/>
        <v>#DIV/0!</v>
      </c>
      <c r="T346" s="114"/>
      <c r="U346" s="114"/>
      <c r="V346" s="114"/>
      <c r="W346" s="114"/>
      <c r="X346" s="115"/>
      <c r="Y346" s="98"/>
      <c r="Z346" s="98"/>
    </row>
    <row r="347" hidden="1" outlineLevel="1">
      <c r="A347" s="310" t="str">
        <f t="shared" ref="A347:A348" si="200">iferror(if(B347&gt;0,month(B347)&amp;"-"&amp;year(B347),B347),)</f>
        <v>9-2025</v>
      </c>
      <c r="B347" s="99">
        <v>45906.0</v>
      </c>
      <c r="C347" s="294" t="s">
        <v>81</v>
      </c>
      <c r="D347" s="311"/>
      <c r="E347" s="296"/>
      <c r="F347" s="296"/>
      <c r="G347" s="104" t="str">
        <f t="shared" si="1"/>
        <v>#DIV/0!</v>
      </c>
      <c r="H347" s="105" t="str">
        <f t="shared" si="2"/>
        <v>#DIV/0!</v>
      </c>
      <c r="I347" s="106" t="str">
        <f t="shared" si="3"/>
        <v>#DIV/0!</v>
      </c>
      <c r="J347" s="117">
        <v>0.0</v>
      </c>
      <c r="K347" s="278">
        <v>0.0</v>
      </c>
      <c r="L347" s="296"/>
      <c r="M347" s="118">
        <v>0.0</v>
      </c>
      <c r="N347" s="109" t="str">
        <f t="shared" si="199"/>
        <v>#DIV/0!</v>
      </c>
      <c r="O347" s="110" t="str">
        <f t="shared" si="5"/>
        <v>#DIV/0!</v>
      </c>
      <c r="P347" s="109" t="str">
        <f t="shared" si="6"/>
        <v>#DIV/0!</v>
      </c>
      <c r="Q347" s="111" t="str">
        <f t="shared" si="7"/>
        <v>#DIV/0!</v>
      </c>
      <c r="R347" s="112">
        <f t="shared" si="198"/>
        <v>0</v>
      </c>
      <c r="S347" s="113" t="str">
        <f t="shared" si="9"/>
        <v>#DIV/0!</v>
      </c>
      <c r="T347" s="114"/>
      <c r="U347" s="114"/>
      <c r="V347" s="114"/>
      <c r="W347" s="114"/>
      <c r="X347" s="115"/>
      <c r="Y347" s="98"/>
      <c r="Z347" s="98"/>
    </row>
    <row r="348" collapsed="1">
      <c r="A348" s="293" t="str">
        <f t="shared" si="200"/>
        <v/>
      </c>
      <c r="B348" s="80" t="s">
        <v>123</v>
      </c>
      <c r="C348" s="312"/>
      <c r="D348" s="151">
        <f t="shared" ref="D348:F348" si="201">SUM(D337:D347)</f>
        <v>0</v>
      </c>
      <c r="E348" s="153">
        <f t="shared" si="201"/>
        <v>0</v>
      </c>
      <c r="F348" s="153">
        <f t="shared" si="201"/>
        <v>0</v>
      </c>
      <c r="G348" s="154" t="str">
        <f t="shared" si="1"/>
        <v>#DIV/0!</v>
      </c>
      <c r="H348" s="155" t="str">
        <f t="shared" si="2"/>
        <v>#DIV/0!</v>
      </c>
      <c r="I348" s="156" t="str">
        <f t="shared" si="3"/>
        <v>#DIV/0!</v>
      </c>
      <c r="J348" s="151">
        <f t="shared" ref="J348:M348" si="202">SUM(J337:J347)</f>
        <v>839.62</v>
      </c>
      <c r="K348" s="313">
        <f t="shared" si="202"/>
        <v>188037</v>
      </c>
      <c r="L348" s="153">
        <f t="shared" si="202"/>
        <v>0</v>
      </c>
      <c r="M348" s="157">
        <f t="shared" si="202"/>
        <v>2485.45</v>
      </c>
      <c r="N348" s="158">
        <f t="shared" si="199"/>
        <v>0.3378140779</v>
      </c>
      <c r="O348" s="159">
        <f t="shared" si="5"/>
        <v>2.960208189</v>
      </c>
      <c r="P348" s="158" t="str">
        <f t="shared" si="6"/>
        <v>#DIV/0!</v>
      </c>
      <c r="Q348" s="160" t="str">
        <f t="shared" si="7"/>
        <v>#DIV/0!</v>
      </c>
      <c r="R348" s="161">
        <f>SUM(R337:R347)</f>
        <v>-2485.45</v>
      </c>
      <c r="S348" s="162" t="str">
        <f t="shared" si="9"/>
        <v>#DIV/0!</v>
      </c>
      <c r="T348" s="164" t="str">
        <f t="shared" ref="T348:U348" si="203">IFERROR((D348-D48)/D348,)</f>
        <v/>
      </c>
      <c r="U348" s="164" t="str">
        <f t="shared" si="203"/>
        <v/>
      </c>
      <c r="V348" s="164" t="str">
        <f t="shared" ref="V348:W348" si="204">IFERROR((D348-monthly_reporting_2021!D139)/D348, )</f>
        <v/>
      </c>
      <c r="W348" s="164" t="str">
        <f t="shared" si="204"/>
        <v/>
      </c>
      <c r="X348" s="98"/>
      <c r="Y348" s="98"/>
      <c r="Z348" s="98"/>
    </row>
    <row r="349" hidden="1" outlineLevel="1">
      <c r="A349" s="293"/>
      <c r="B349" s="99">
        <v>45907.0</v>
      </c>
      <c r="C349" s="294" t="s">
        <v>70</v>
      </c>
      <c r="D349" s="295"/>
      <c r="E349" s="296"/>
      <c r="F349" s="296"/>
      <c r="G349" s="104" t="str">
        <f t="shared" si="1"/>
        <v>#DIV/0!</v>
      </c>
      <c r="H349" s="105" t="str">
        <f t="shared" si="2"/>
        <v>#DIV/0!</v>
      </c>
      <c r="I349" s="106" t="str">
        <f t="shared" si="3"/>
        <v>#DIV/0!</v>
      </c>
      <c r="J349" s="107">
        <v>19.86</v>
      </c>
      <c r="K349" s="278">
        <v>7420.0</v>
      </c>
      <c r="L349" s="296"/>
      <c r="M349" s="108">
        <v>454.95</v>
      </c>
      <c r="N349" s="109">
        <f t="shared" si="199"/>
        <v>0.0436531487</v>
      </c>
      <c r="O349" s="110">
        <f t="shared" si="5"/>
        <v>22.90785498</v>
      </c>
      <c r="P349" s="109" t="str">
        <f t="shared" si="6"/>
        <v>#DIV/0!</v>
      </c>
      <c r="Q349" s="111" t="str">
        <f t="shared" si="7"/>
        <v>#DIV/0!</v>
      </c>
      <c r="R349" s="112">
        <f t="shared" ref="R349:R359" si="205">D349-M349</f>
        <v>-454.95</v>
      </c>
      <c r="S349" s="113" t="str">
        <f t="shared" si="9"/>
        <v>#DIV/0!</v>
      </c>
      <c r="T349" s="114"/>
      <c r="U349" s="114"/>
      <c r="V349" s="114"/>
      <c r="W349" s="114"/>
      <c r="X349" s="115"/>
      <c r="Y349" s="98"/>
      <c r="Z349" s="98"/>
    </row>
    <row r="350" hidden="1" outlineLevel="1">
      <c r="A350" s="293"/>
      <c r="B350" s="116"/>
      <c r="C350" s="294" t="s">
        <v>71</v>
      </c>
      <c r="D350" s="297"/>
      <c r="E350" s="296"/>
      <c r="F350" s="296"/>
      <c r="G350" s="104" t="str">
        <f t="shared" si="1"/>
        <v>#DIV/0!</v>
      </c>
      <c r="H350" s="105" t="str">
        <f t="shared" si="2"/>
        <v>#DIV/0!</v>
      </c>
      <c r="I350" s="106" t="str">
        <f t="shared" si="3"/>
        <v>#DIV/0!</v>
      </c>
      <c r="J350" s="117">
        <v>65.29</v>
      </c>
      <c r="K350" s="278">
        <v>15833.0</v>
      </c>
      <c r="L350" s="296"/>
      <c r="M350" s="118">
        <v>129.9</v>
      </c>
      <c r="N350" s="109">
        <f t="shared" si="199"/>
        <v>0.502617398</v>
      </c>
      <c r="O350" s="110">
        <f t="shared" si="5"/>
        <v>1.989584929</v>
      </c>
      <c r="P350" s="109" t="str">
        <f t="shared" si="6"/>
        <v>#DIV/0!</v>
      </c>
      <c r="Q350" s="111" t="str">
        <f t="shared" si="7"/>
        <v>#DIV/0!</v>
      </c>
      <c r="R350" s="119">
        <f t="shared" si="205"/>
        <v>-129.9</v>
      </c>
      <c r="S350" s="113" t="str">
        <f t="shared" si="9"/>
        <v>#DIV/0!</v>
      </c>
      <c r="T350" s="114"/>
      <c r="U350" s="114"/>
      <c r="V350" s="114"/>
      <c r="W350" s="114"/>
      <c r="X350" s="115"/>
      <c r="Y350" s="98"/>
      <c r="Z350" s="98"/>
    </row>
    <row r="351" hidden="1" outlineLevel="1">
      <c r="A351" s="293"/>
      <c r="B351" s="116"/>
      <c r="C351" s="294" t="s">
        <v>72</v>
      </c>
      <c r="D351" s="298"/>
      <c r="E351" s="296"/>
      <c r="F351" s="296"/>
      <c r="G351" s="104" t="str">
        <f t="shared" si="1"/>
        <v>#DIV/0!</v>
      </c>
      <c r="H351" s="105" t="str">
        <f t="shared" si="2"/>
        <v>#DIV/0!</v>
      </c>
      <c r="I351" s="106" t="str">
        <f t="shared" si="3"/>
        <v>#DIV/0!</v>
      </c>
      <c r="J351" s="120">
        <v>69.65</v>
      </c>
      <c r="K351" s="278">
        <v>18507.0</v>
      </c>
      <c r="L351" s="296"/>
      <c r="M351" s="121">
        <v>256.7</v>
      </c>
      <c r="N351" s="109">
        <f>(J351/M351)</f>
        <v>0.2713283989</v>
      </c>
      <c r="O351" s="110">
        <f t="shared" si="5"/>
        <v>3.685570711</v>
      </c>
      <c r="P351" s="109" t="str">
        <f t="shared" si="6"/>
        <v>#DIV/0!</v>
      </c>
      <c r="Q351" s="111" t="str">
        <f t="shared" si="7"/>
        <v>#DIV/0!</v>
      </c>
      <c r="R351" s="122">
        <f t="shared" si="205"/>
        <v>-256.7</v>
      </c>
      <c r="S351" s="113" t="str">
        <f t="shared" si="9"/>
        <v>#DIV/0!</v>
      </c>
      <c r="T351" s="114"/>
      <c r="U351" s="114"/>
      <c r="V351" s="114"/>
      <c r="W351" s="114"/>
      <c r="X351" s="115"/>
      <c r="Y351" s="98"/>
      <c r="Z351" s="98"/>
    </row>
    <row r="352" hidden="1" outlineLevel="1">
      <c r="A352" s="293"/>
      <c r="B352" s="116"/>
      <c r="C352" s="294" t="s">
        <v>73</v>
      </c>
      <c r="D352" s="298"/>
      <c r="E352" s="296"/>
      <c r="F352" s="296"/>
      <c r="G352" s="104" t="str">
        <f t="shared" si="1"/>
        <v>#DIV/0!</v>
      </c>
      <c r="H352" s="105" t="str">
        <f t="shared" si="2"/>
        <v>#DIV/0!</v>
      </c>
      <c r="I352" s="106" t="str">
        <f t="shared" si="3"/>
        <v>#DIV/0!</v>
      </c>
      <c r="J352" s="120">
        <v>15.87</v>
      </c>
      <c r="K352" s="278">
        <v>5443.0</v>
      </c>
      <c r="L352" s="296"/>
      <c r="M352" s="121">
        <v>0.0</v>
      </c>
      <c r="N352" s="109" t="str">
        <f t="shared" ref="N352:N362" si="206">J352/M352</f>
        <v>#DIV/0!</v>
      </c>
      <c r="O352" s="110">
        <f t="shared" si="5"/>
        <v>0</v>
      </c>
      <c r="P352" s="109" t="str">
        <f t="shared" si="6"/>
        <v>#DIV/0!</v>
      </c>
      <c r="Q352" s="111" t="str">
        <f t="shared" si="7"/>
        <v>#DIV/0!</v>
      </c>
      <c r="R352" s="122">
        <f t="shared" si="205"/>
        <v>0</v>
      </c>
      <c r="S352" s="113" t="str">
        <f t="shared" si="9"/>
        <v>#DIV/0!</v>
      </c>
      <c r="T352" s="114"/>
      <c r="U352" s="114"/>
      <c r="V352" s="114"/>
      <c r="W352" s="114"/>
      <c r="X352" s="115"/>
      <c r="Y352" s="98"/>
      <c r="Z352" s="98"/>
    </row>
    <row r="353" hidden="1" outlineLevel="1">
      <c r="A353" s="293"/>
      <c r="B353" s="116"/>
      <c r="C353" s="294" t="s">
        <v>74</v>
      </c>
      <c r="D353" s="299"/>
      <c r="E353" s="296"/>
      <c r="F353" s="296"/>
      <c r="G353" s="104" t="str">
        <f t="shared" si="1"/>
        <v>#DIV/0!</v>
      </c>
      <c r="H353" s="105" t="str">
        <f t="shared" si="2"/>
        <v>#DIV/0!</v>
      </c>
      <c r="I353" s="106" t="str">
        <f t="shared" si="3"/>
        <v>#DIV/0!</v>
      </c>
      <c r="J353" s="300">
        <v>0.0</v>
      </c>
      <c r="K353" s="278">
        <v>0.0</v>
      </c>
      <c r="L353" s="296"/>
      <c r="M353" s="300">
        <v>0.0</v>
      </c>
      <c r="N353" s="109" t="str">
        <f t="shared" si="206"/>
        <v>#DIV/0!</v>
      </c>
      <c r="O353" s="110" t="str">
        <f t="shared" si="5"/>
        <v>#DIV/0!</v>
      </c>
      <c r="P353" s="109" t="str">
        <f t="shared" si="6"/>
        <v>#DIV/0!</v>
      </c>
      <c r="Q353" s="111" t="str">
        <f t="shared" si="7"/>
        <v>#DIV/0!</v>
      </c>
      <c r="R353" s="122">
        <f t="shared" si="205"/>
        <v>0</v>
      </c>
      <c r="S353" s="113" t="str">
        <f t="shared" si="9"/>
        <v>#DIV/0!</v>
      </c>
      <c r="T353" s="114"/>
      <c r="U353" s="114"/>
      <c r="V353" s="114"/>
      <c r="W353" s="114"/>
      <c r="X353" s="115"/>
      <c r="Y353" s="98"/>
      <c r="Z353" s="98"/>
    </row>
    <row r="354" hidden="1" outlineLevel="1">
      <c r="A354" s="293"/>
      <c r="B354" s="116"/>
      <c r="C354" s="294" t="s">
        <v>75</v>
      </c>
      <c r="D354" s="301"/>
      <c r="E354" s="296"/>
      <c r="F354" s="296"/>
      <c r="G354" s="104" t="str">
        <f t="shared" si="1"/>
        <v>#DIV/0!</v>
      </c>
      <c r="H354" s="105" t="str">
        <f t="shared" si="2"/>
        <v>#DIV/0!</v>
      </c>
      <c r="I354" s="106" t="str">
        <f t="shared" si="3"/>
        <v>#DIV/0!</v>
      </c>
      <c r="J354" s="302">
        <v>4.5</v>
      </c>
      <c r="K354" s="278">
        <v>685.0</v>
      </c>
      <c r="L354" s="296"/>
      <c r="M354" s="303">
        <v>0.0</v>
      </c>
      <c r="N354" s="109" t="str">
        <f t="shared" si="206"/>
        <v>#DIV/0!</v>
      </c>
      <c r="O354" s="110">
        <f t="shared" si="5"/>
        <v>0</v>
      </c>
      <c r="P354" s="109" t="str">
        <f t="shared" si="6"/>
        <v>#DIV/0!</v>
      </c>
      <c r="Q354" s="111" t="str">
        <f t="shared" si="7"/>
        <v>#DIV/0!</v>
      </c>
      <c r="R354" s="304">
        <f t="shared" si="205"/>
        <v>0</v>
      </c>
      <c r="S354" s="113" t="str">
        <f t="shared" si="9"/>
        <v>#DIV/0!</v>
      </c>
      <c r="T354" s="114"/>
      <c r="U354" s="114"/>
      <c r="V354" s="114"/>
      <c r="W354" s="114"/>
      <c r="X354" s="115"/>
      <c r="Y354" s="98"/>
      <c r="Z354" s="98"/>
    </row>
    <row r="355" hidden="1" outlineLevel="1">
      <c r="A355" s="293"/>
      <c r="B355" s="116"/>
      <c r="C355" s="294" t="s">
        <v>76</v>
      </c>
      <c r="D355" s="298"/>
      <c r="E355" s="296"/>
      <c r="F355" s="296"/>
      <c r="G355" s="104" t="str">
        <f t="shared" si="1"/>
        <v>#DIV/0!</v>
      </c>
      <c r="H355" s="105" t="str">
        <f t="shared" si="2"/>
        <v>#DIV/0!</v>
      </c>
      <c r="I355" s="106" t="str">
        <f t="shared" si="3"/>
        <v>#DIV/0!</v>
      </c>
      <c r="J355" s="120">
        <v>38.4</v>
      </c>
      <c r="K355" s="278">
        <v>5279.0</v>
      </c>
      <c r="L355" s="296"/>
      <c r="M355" s="121">
        <v>239.15</v>
      </c>
      <c r="N355" s="109">
        <f t="shared" si="206"/>
        <v>0.1605686807</v>
      </c>
      <c r="O355" s="110">
        <f t="shared" si="5"/>
        <v>6.227864583</v>
      </c>
      <c r="P355" s="109" t="str">
        <f t="shared" si="6"/>
        <v>#DIV/0!</v>
      </c>
      <c r="Q355" s="111" t="str">
        <f t="shared" si="7"/>
        <v>#DIV/0!</v>
      </c>
      <c r="R355" s="122">
        <f t="shared" si="205"/>
        <v>-239.15</v>
      </c>
      <c r="S355" s="113" t="str">
        <f t="shared" si="9"/>
        <v>#DIV/0!</v>
      </c>
      <c r="T355" s="114"/>
      <c r="U355" s="114"/>
      <c r="V355" s="114"/>
      <c r="W355" s="114"/>
      <c r="X355" s="115"/>
      <c r="Y355" s="98"/>
      <c r="Z355" s="98"/>
    </row>
    <row r="356" hidden="1" outlineLevel="1">
      <c r="A356" s="293"/>
      <c r="B356" s="99" t="s">
        <v>37</v>
      </c>
      <c r="C356" s="294" t="s">
        <v>77</v>
      </c>
      <c r="D356" s="305"/>
      <c r="E356" s="296"/>
      <c r="F356" s="296"/>
      <c r="G356" s="104" t="str">
        <f t="shared" si="1"/>
        <v>#DIV/0!</v>
      </c>
      <c r="H356" s="105" t="str">
        <f t="shared" si="2"/>
        <v>#DIV/0!</v>
      </c>
      <c r="I356" s="106" t="str">
        <f t="shared" si="3"/>
        <v>#DIV/0!</v>
      </c>
      <c r="J356" s="123">
        <v>28.05</v>
      </c>
      <c r="K356" s="278">
        <v>4898.0</v>
      </c>
      <c r="L356" s="296"/>
      <c r="M356" s="124">
        <v>79.95</v>
      </c>
      <c r="N356" s="109">
        <f t="shared" si="206"/>
        <v>0.3508442777</v>
      </c>
      <c r="O356" s="110">
        <f t="shared" si="5"/>
        <v>2.85026738</v>
      </c>
      <c r="P356" s="109" t="str">
        <f t="shared" si="6"/>
        <v>#DIV/0!</v>
      </c>
      <c r="Q356" s="111" t="str">
        <f t="shared" si="7"/>
        <v>#DIV/0!</v>
      </c>
      <c r="R356" s="125">
        <f t="shared" si="205"/>
        <v>-79.95</v>
      </c>
      <c r="S356" s="113" t="str">
        <f t="shared" si="9"/>
        <v>#DIV/0!</v>
      </c>
      <c r="T356" s="114"/>
      <c r="U356" s="114"/>
      <c r="V356" s="114"/>
      <c r="W356" s="114"/>
      <c r="X356" s="115"/>
      <c r="Y356" s="98"/>
      <c r="Z356" s="98"/>
    </row>
    <row r="357" hidden="1" outlineLevel="1">
      <c r="A357" s="293"/>
      <c r="B357" s="116"/>
      <c r="C357" s="294" t="s">
        <v>78</v>
      </c>
      <c r="D357" s="306"/>
      <c r="E357" s="296"/>
      <c r="F357" s="296"/>
      <c r="G357" s="104" t="str">
        <f t="shared" si="1"/>
        <v>#DIV/0!</v>
      </c>
      <c r="H357" s="105" t="str">
        <f t="shared" si="2"/>
        <v>#DIV/0!</v>
      </c>
      <c r="I357" s="106" t="str">
        <f t="shared" si="3"/>
        <v>#DIV/0!</v>
      </c>
      <c r="J357" s="126">
        <v>59.72</v>
      </c>
      <c r="K357" s="278">
        <v>13929.0</v>
      </c>
      <c r="L357" s="296"/>
      <c r="M357" s="127">
        <v>0.0</v>
      </c>
      <c r="N357" s="109" t="str">
        <f t="shared" si="206"/>
        <v>#DIV/0!</v>
      </c>
      <c r="O357" s="110">
        <f t="shared" si="5"/>
        <v>0</v>
      </c>
      <c r="P357" s="109" t="str">
        <f t="shared" si="6"/>
        <v>#DIV/0!</v>
      </c>
      <c r="Q357" s="111" t="str">
        <f t="shared" si="7"/>
        <v>#DIV/0!</v>
      </c>
      <c r="R357" s="128">
        <f t="shared" si="205"/>
        <v>0</v>
      </c>
      <c r="S357" s="113" t="str">
        <f t="shared" si="9"/>
        <v>#DIV/0!</v>
      </c>
      <c r="T357" s="114"/>
      <c r="U357" s="114"/>
      <c r="V357" s="114"/>
      <c r="W357" s="114"/>
      <c r="X357" s="115"/>
      <c r="Y357" s="98"/>
      <c r="Z357" s="98"/>
    </row>
    <row r="358" hidden="1" outlineLevel="1">
      <c r="A358" s="293"/>
      <c r="B358" s="116"/>
      <c r="C358" s="294" t="s">
        <v>79</v>
      </c>
      <c r="D358" s="307"/>
      <c r="E358" s="296"/>
      <c r="F358" s="296"/>
      <c r="G358" s="104" t="str">
        <f t="shared" si="1"/>
        <v>#DIV/0!</v>
      </c>
      <c r="H358" s="105" t="str">
        <f t="shared" si="2"/>
        <v>#DIV/0!</v>
      </c>
      <c r="I358" s="106" t="str">
        <f t="shared" si="3"/>
        <v>#DIV/0!</v>
      </c>
      <c r="J358" s="129">
        <v>37.77</v>
      </c>
      <c r="K358" s="278">
        <v>9364.0</v>
      </c>
      <c r="L358" s="296"/>
      <c r="M358" s="130">
        <v>87.9</v>
      </c>
      <c r="N358" s="109">
        <f t="shared" si="206"/>
        <v>0.4296928328</v>
      </c>
      <c r="O358" s="110">
        <f t="shared" si="5"/>
        <v>2.327243844</v>
      </c>
      <c r="P358" s="109" t="str">
        <f t="shared" si="6"/>
        <v>#DIV/0!</v>
      </c>
      <c r="Q358" s="111" t="str">
        <f t="shared" si="7"/>
        <v>#DIV/0!</v>
      </c>
      <c r="R358" s="131">
        <f t="shared" si="205"/>
        <v>-87.9</v>
      </c>
      <c r="S358" s="113" t="str">
        <f t="shared" si="9"/>
        <v>#DIV/0!</v>
      </c>
      <c r="T358" s="114"/>
      <c r="U358" s="114"/>
      <c r="V358" s="114"/>
      <c r="W358" s="114"/>
      <c r="X358" s="115"/>
      <c r="Y358" s="98"/>
      <c r="Z358" s="98"/>
    </row>
    <row r="359" hidden="1" outlineLevel="1">
      <c r="A359" s="310" t="str">
        <f t="shared" ref="A359:A360" si="207">iferror(if(B359&gt;0,month(B359)&amp;"-"&amp;year(B359),B359),)</f>
        <v>9-2025</v>
      </c>
      <c r="B359" s="99">
        <v>45913.0</v>
      </c>
      <c r="C359" s="294" t="s">
        <v>81</v>
      </c>
      <c r="D359" s="311"/>
      <c r="E359" s="296"/>
      <c r="F359" s="296"/>
      <c r="G359" s="104" t="str">
        <f t="shared" si="1"/>
        <v>#DIV/0!</v>
      </c>
      <c r="H359" s="105" t="str">
        <f t="shared" si="2"/>
        <v>#DIV/0!</v>
      </c>
      <c r="I359" s="106" t="str">
        <f t="shared" si="3"/>
        <v>#DIV/0!</v>
      </c>
      <c r="J359" s="117">
        <v>0.0</v>
      </c>
      <c r="K359" s="278">
        <v>0.0</v>
      </c>
      <c r="L359" s="296"/>
      <c r="M359" s="118">
        <v>0.0</v>
      </c>
      <c r="N359" s="109" t="str">
        <f t="shared" si="206"/>
        <v>#DIV/0!</v>
      </c>
      <c r="O359" s="110" t="str">
        <f t="shared" si="5"/>
        <v>#DIV/0!</v>
      </c>
      <c r="P359" s="109" t="str">
        <f t="shared" si="6"/>
        <v>#DIV/0!</v>
      </c>
      <c r="Q359" s="111" t="str">
        <f t="shared" si="7"/>
        <v>#DIV/0!</v>
      </c>
      <c r="R359" s="112">
        <f t="shared" si="205"/>
        <v>0</v>
      </c>
      <c r="S359" s="113" t="str">
        <f t="shared" si="9"/>
        <v>#DIV/0!</v>
      </c>
      <c r="T359" s="114"/>
      <c r="U359" s="114"/>
      <c r="V359" s="114"/>
      <c r="W359" s="114"/>
      <c r="X359" s="115"/>
      <c r="Y359" s="98"/>
      <c r="Z359" s="98"/>
    </row>
    <row r="360" collapsed="1">
      <c r="A360" s="293" t="str">
        <f t="shared" si="207"/>
        <v/>
      </c>
      <c r="B360" s="80" t="s">
        <v>124</v>
      </c>
      <c r="C360" s="312"/>
      <c r="D360" s="151">
        <f t="shared" ref="D360:F360" si="208">SUM(D349:D359)</f>
        <v>0</v>
      </c>
      <c r="E360" s="153">
        <f t="shared" si="208"/>
        <v>0</v>
      </c>
      <c r="F360" s="153">
        <f t="shared" si="208"/>
        <v>0</v>
      </c>
      <c r="G360" s="154" t="str">
        <f t="shared" si="1"/>
        <v>#DIV/0!</v>
      </c>
      <c r="H360" s="155" t="str">
        <f t="shared" si="2"/>
        <v>#DIV/0!</v>
      </c>
      <c r="I360" s="156" t="str">
        <f t="shared" si="3"/>
        <v>#DIV/0!</v>
      </c>
      <c r="J360" s="151">
        <f t="shared" ref="J360:M360" si="209">SUM(J349:J359)</f>
        <v>339.11</v>
      </c>
      <c r="K360" s="313">
        <f t="shared" si="209"/>
        <v>81358</v>
      </c>
      <c r="L360" s="153">
        <f t="shared" si="209"/>
        <v>0</v>
      </c>
      <c r="M360" s="157">
        <f t="shared" si="209"/>
        <v>1248.55</v>
      </c>
      <c r="N360" s="158">
        <f t="shared" si="206"/>
        <v>0.2716030595</v>
      </c>
      <c r="O360" s="159">
        <f t="shared" si="5"/>
        <v>3.68184365</v>
      </c>
      <c r="P360" s="158" t="str">
        <f t="shared" si="6"/>
        <v>#DIV/0!</v>
      </c>
      <c r="Q360" s="160" t="str">
        <f t="shared" si="7"/>
        <v>#DIV/0!</v>
      </c>
      <c r="R360" s="161">
        <f>SUM(R349:R359)</f>
        <v>-1248.55</v>
      </c>
      <c r="S360" s="162" t="str">
        <f t="shared" si="9"/>
        <v>#DIV/0!</v>
      </c>
      <c r="T360" s="164" t="str">
        <f t="shared" ref="T360:U360" si="210">IFERROR((D360-D48)/D360,)</f>
        <v/>
      </c>
      <c r="U360" s="164" t="str">
        <f t="shared" si="210"/>
        <v/>
      </c>
      <c r="V360" s="164" t="str">
        <f t="shared" ref="V360:W360" si="211">IFERROR((D360-monthly_reporting_2021!D151)/D360, )</f>
        <v/>
      </c>
      <c r="W360" s="164" t="str">
        <f t="shared" si="211"/>
        <v/>
      </c>
      <c r="X360" s="98"/>
      <c r="Y360" s="98"/>
      <c r="Z360" s="98"/>
    </row>
    <row r="361" hidden="1" outlineLevel="1">
      <c r="A361" s="293"/>
      <c r="B361" s="99">
        <v>45914.0</v>
      </c>
      <c r="C361" s="294" t="s">
        <v>70</v>
      </c>
      <c r="D361" s="295"/>
      <c r="E361" s="296"/>
      <c r="F361" s="296"/>
      <c r="G361" s="104" t="str">
        <f t="shared" si="1"/>
        <v>#DIV/0!</v>
      </c>
      <c r="H361" s="105" t="str">
        <f t="shared" si="2"/>
        <v>#DIV/0!</v>
      </c>
      <c r="I361" s="106" t="str">
        <f t="shared" si="3"/>
        <v>#DIV/0!</v>
      </c>
      <c r="J361" s="107">
        <v>54.78</v>
      </c>
      <c r="K361" s="278">
        <v>17922.0</v>
      </c>
      <c r="L361" s="296"/>
      <c r="M361" s="108">
        <v>0.0</v>
      </c>
      <c r="N361" s="109" t="str">
        <f t="shared" si="206"/>
        <v>#DIV/0!</v>
      </c>
      <c r="O361" s="110">
        <f t="shared" si="5"/>
        <v>0</v>
      </c>
      <c r="P361" s="109" t="str">
        <f t="shared" si="6"/>
        <v>#DIV/0!</v>
      </c>
      <c r="Q361" s="111" t="str">
        <f t="shared" si="7"/>
        <v>#DIV/0!</v>
      </c>
      <c r="R361" s="112">
        <f t="shared" ref="R361:R371" si="212">D361-M361</f>
        <v>0</v>
      </c>
      <c r="S361" s="113" t="str">
        <f t="shared" si="9"/>
        <v>#DIV/0!</v>
      </c>
      <c r="T361" s="114"/>
      <c r="U361" s="114"/>
      <c r="V361" s="114"/>
      <c r="W361" s="114"/>
      <c r="X361" s="115"/>
      <c r="Y361" s="98"/>
      <c r="Z361" s="98"/>
    </row>
    <row r="362" hidden="1" outlineLevel="1">
      <c r="A362" s="293"/>
      <c r="B362" s="116"/>
      <c r="C362" s="294" t="s">
        <v>71</v>
      </c>
      <c r="D362" s="297"/>
      <c r="E362" s="296"/>
      <c r="F362" s="296"/>
      <c r="G362" s="104" t="str">
        <f t="shared" si="1"/>
        <v>#DIV/0!</v>
      </c>
      <c r="H362" s="105" t="str">
        <f t="shared" si="2"/>
        <v>#DIV/0!</v>
      </c>
      <c r="I362" s="106" t="str">
        <f t="shared" si="3"/>
        <v>#DIV/0!</v>
      </c>
      <c r="J362" s="117">
        <v>36.89</v>
      </c>
      <c r="K362" s="278">
        <v>8020.0</v>
      </c>
      <c r="L362" s="296"/>
      <c r="M362" s="118">
        <v>0.0</v>
      </c>
      <c r="N362" s="109" t="str">
        <f t="shared" si="206"/>
        <v>#DIV/0!</v>
      </c>
      <c r="O362" s="110">
        <f t="shared" si="5"/>
        <v>0</v>
      </c>
      <c r="P362" s="109" t="str">
        <f t="shared" si="6"/>
        <v>#DIV/0!</v>
      </c>
      <c r="Q362" s="111" t="str">
        <f t="shared" si="7"/>
        <v>#DIV/0!</v>
      </c>
      <c r="R362" s="119">
        <f t="shared" si="212"/>
        <v>0</v>
      </c>
      <c r="S362" s="113" t="str">
        <f t="shared" si="9"/>
        <v>#DIV/0!</v>
      </c>
      <c r="T362" s="114"/>
      <c r="U362" s="114"/>
      <c r="V362" s="114"/>
      <c r="W362" s="114"/>
      <c r="X362" s="115"/>
      <c r="Y362" s="98"/>
      <c r="Z362" s="98"/>
    </row>
    <row r="363" hidden="1" outlineLevel="1">
      <c r="A363" s="293"/>
      <c r="B363" s="116"/>
      <c r="C363" s="294" t="s">
        <v>72</v>
      </c>
      <c r="D363" s="298"/>
      <c r="E363" s="296"/>
      <c r="F363" s="296"/>
      <c r="G363" s="104" t="str">
        <f t="shared" si="1"/>
        <v>#DIV/0!</v>
      </c>
      <c r="H363" s="105" t="str">
        <f t="shared" si="2"/>
        <v>#DIV/0!</v>
      </c>
      <c r="I363" s="106" t="str">
        <f t="shared" si="3"/>
        <v>#DIV/0!</v>
      </c>
      <c r="J363" s="120">
        <v>103.68</v>
      </c>
      <c r="K363" s="278">
        <v>20478.0</v>
      </c>
      <c r="L363" s="296"/>
      <c r="M363" s="121">
        <v>270.98</v>
      </c>
      <c r="N363" s="109">
        <f>(J363/M363)</f>
        <v>0.3826112628</v>
      </c>
      <c r="O363" s="110">
        <f t="shared" si="5"/>
        <v>2.613618827</v>
      </c>
      <c r="P363" s="109" t="str">
        <f t="shared" si="6"/>
        <v>#DIV/0!</v>
      </c>
      <c r="Q363" s="111" t="str">
        <f t="shared" si="7"/>
        <v>#DIV/0!</v>
      </c>
      <c r="R363" s="122">
        <f t="shared" si="212"/>
        <v>-270.98</v>
      </c>
      <c r="S363" s="113" t="str">
        <f t="shared" si="9"/>
        <v>#DIV/0!</v>
      </c>
      <c r="T363" s="114"/>
      <c r="U363" s="114"/>
      <c r="V363" s="114"/>
      <c r="W363" s="114"/>
      <c r="X363" s="115"/>
      <c r="Y363" s="98"/>
      <c r="Z363" s="98"/>
    </row>
    <row r="364" hidden="1" outlineLevel="1">
      <c r="A364" s="293"/>
      <c r="B364" s="116"/>
      <c r="C364" s="294" t="s">
        <v>73</v>
      </c>
      <c r="D364" s="298"/>
      <c r="E364" s="296"/>
      <c r="F364" s="296"/>
      <c r="G364" s="104" t="str">
        <f t="shared" si="1"/>
        <v>#DIV/0!</v>
      </c>
      <c r="H364" s="105" t="str">
        <f t="shared" si="2"/>
        <v>#DIV/0!</v>
      </c>
      <c r="I364" s="106" t="str">
        <f t="shared" si="3"/>
        <v>#DIV/0!</v>
      </c>
      <c r="J364" s="120">
        <v>5.16</v>
      </c>
      <c r="K364" s="278">
        <v>1744.0</v>
      </c>
      <c r="L364" s="296"/>
      <c r="M364" s="121">
        <v>119.9</v>
      </c>
      <c r="N364" s="109">
        <f t="shared" ref="N364:N374" si="213">J364/M364</f>
        <v>0.04303586322</v>
      </c>
      <c r="O364" s="110">
        <f t="shared" si="5"/>
        <v>23.23643411</v>
      </c>
      <c r="P364" s="109" t="str">
        <f t="shared" si="6"/>
        <v>#DIV/0!</v>
      </c>
      <c r="Q364" s="111" t="str">
        <f t="shared" si="7"/>
        <v>#DIV/0!</v>
      </c>
      <c r="R364" s="122">
        <f t="shared" si="212"/>
        <v>-119.9</v>
      </c>
      <c r="S364" s="113" t="str">
        <f t="shared" si="9"/>
        <v>#DIV/0!</v>
      </c>
      <c r="T364" s="114"/>
      <c r="U364" s="114"/>
      <c r="V364" s="114"/>
      <c r="W364" s="114"/>
      <c r="X364" s="115"/>
      <c r="Y364" s="98"/>
      <c r="Z364" s="98"/>
    </row>
    <row r="365" hidden="1" outlineLevel="1">
      <c r="A365" s="293"/>
      <c r="B365" s="116"/>
      <c r="C365" s="294" t="s">
        <v>74</v>
      </c>
      <c r="D365" s="299"/>
      <c r="E365" s="296"/>
      <c r="F365" s="296"/>
      <c r="G365" s="104" t="str">
        <f t="shared" si="1"/>
        <v>#DIV/0!</v>
      </c>
      <c r="H365" s="105" t="str">
        <f t="shared" si="2"/>
        <v>#DIV/0!</v>
      </c>
      <c r="I365" s="106" t="str">
        <f t="shared" si="3"/>
        <v>#DIV/0!</v>
      </c>
      <c r="J365" s="300">
        <v>0.09</v>
      </c>
      <c r="K365" s="278">
        <v>109.0</v>
      </c>
      <c r="L365" s="296"/>
      <c r="M365" s="300">
        <v>0.0</v>
      </c>
      <c r="N365" s="109" t="str">
        <f t="shared" si="213"/>
        <v>#DIV/0!</v>
      </c>
      <c r="O365" s="110">
        <f t="shared" si="5"/>
        <v>0</v>
      </c>
      <c r="P365" s="109" t="str">
        <f t="shared" si="6"/>
        <v>#DIV/0!</v>
      </c>
      <c r="Q365" s="111" t="str">
        <f t="shared" si="7"/>
        <v>#DIV/0!</v>
      </c>
      <c r="R365" s="122">
        <f t="shared" si="212"/>
        <v>0</v>
      </c>
      <c r="S365" s="113" t="str">
        <f t="shared" si="9"/>
        <v>#DIV/0!</v>
      </c>
      <c r="T365" s="114"/>
      <c r="U365" s="114"/>
      <c r="V365" s="114"/>
      <c r="W365" s="114"/>
      <c r="X365" s="115"/>
      <c r="Y365" s="98"/>
      <c r="Z365" s="98"/>
    </row>
    <row r="366" hidden="1" outlineLevel="1">
      <c r="A366" s="293"/>
      <c r="B366" s="116"/>
      <c r="C366" s="294" t="s">
        <v>75</v>
      </c>
      <c r="D366" s="301"/>
      <c r="E366" s="296"/>
      <c r="F366" s="296"/>
      <c r="G366" s="104" t="str">
        <f t="shared" si="1"/>
        <v>#DIV/0!</v>
      </c>
      <c r="H366" s="105" t="str">
        <f t="shared" si="2"/>
        <v>#DIV/0!</v>
      </c>
      <c r="I366" s="106" t="str">
        <f t="shared" si="3"/>
        <v>#DIV/0!</v>
      </c>
      <c r="J366" s="302">
        <v>2.76</v>
      </c>
      <c r="K366" s="278">
        <v>366.0</v>
      </c>
      <c r="L366" s="296"/>
      <c r="M366" s="303">
        <v>0.0</v>
      </c>
      <c r="N366" s="109" t="str">
        <f t="shared" si="213"/>
        <v>#DIV/0!</v>
      </c>
      <c r="O366" s="110">
        <f t="shared" si="5"/>
        <v>0</v>
      </c>
      <c r="P366" s="109" t="str">
        <f t="shared" si="6"/>
        <v>#DIV/0!</v>
      </c>
      <c r="Q366" s="111" t="str">
        <f t="shared" si="7"/>
        <v>#DIV/0!</v>
      </c>
      <c r="R366" s="304">
        <f t="shared" si="212"/>
        <v>0</v>
      </c>
      <c r="S366" s="113" t="str">
        <f t="shared" si="9"/>
        <v>#DIV/0!</v>
      </c>
      <c r="T366" s="114"/>
      <c r="U366" s="114"/>
      <c r="V366" s="114"/>
      <c r="W366" s="114"/>
      <c r="X366" s="115"/>
      <c r="Y366" s="98"/>
      <c r="Z366" s="98"/>
    </row>
    <row r="367" hidden="1" outlineLevel="1">
      <c r="A367" s="293"/>
      <c r="B367" s="116"/>
      <c r="C367" s="294" t="s">
        <v>76</v>
      </c>
      <c r="D367" s="298"/>
      <c r="E367" s="296"/>
      <c r="F367" s="296"/>
      <c r="G367" s="104" t="str">
        <f t="shared" si="1"/>
        <v>#DIV/0!</v>
      </c>
      <c r="H367" s="105" t="str">
        <f t="shared" si="2"/>
        <v>#DIV/0!</v>
      </c>
      <c r="I367" s="106" t="str">
        <f t="shared" si="3"/>
        <v>#DIV/0!</v>
      </c>
      <c r="J367" s="120">
        <v>49.45</v>
      </c>
      <c r="K367" s="278">
        <v>7246.0</v>
      </c>
      <c r="L367" s="296"/>
      <c r="M367" s="121">
        <v>536.85</v>
      </c>
      <c r="N367" s="109">
        <f t="shared" si="213"/>
        <v>0.09211139052</v>
      </c>
      <c r="O367" s="110">
        <f t="shared" si="5"/>
        <v>10.85642063</v>
      </c>
      <c r="P367" s="109" t="str">
        <f t="shared" si="6"/>
        <v>#DIV/0!</v>
      </c>
      <c r="Q367" s="111" t="str">
        <f t="shared" si="7"/>
        <v>#DIV/0!</v>
      </c>
      <c r="R367" s="122">
        <f t="shared" si="212"/>
        <v>-536.85</v>
      </c>
      <c r="S367" s="113" t="str">
        <f t="shared" si="9"/>
        <v>#DIV/0!</v>
      </c>
      <c r="T367" s="114"/>
      <c r="U367" s="114"/>
      <c r="V367" s="114"/>
      <c r="W367" s="114"/>
      <c r="X367" s="115"/>
      <c r="Y367" s="98"/>
      <c r="Z367" s="98"/>
    </row>
    <row r="368" hidden="1" outlineLevel="1">
      <c r="A368" s="293"/>
      <c r="B368" s="99" t="s">
        <v>37</v>
      </c>
      <c r="C368" s="294" t="s">
        <v>77</v>
      </c>
      <c r="D368" s="305"/>
      <c r="E368" s="296"/>
      <c r="F368" s="296"/>
      <c r="G368" s="104" t="str">
        <f t="shared" si="1"/>
        <v>#DIV/0!</v>
      </c>
      <c r="H368" s="105" t="str">
        <f t="shared" si="2"/>
        <v>#DIV/0!</v>
      </c>
      <c r="I368" s="106" t="str">
        <f t="shared" si="3"/>
        <v>#DIV/0!</v>
      </c>
      <c r="J368" s="123">
        <v>32.35</v>
      </c>
      <c r="K368" s="278">
        <v>4253.0</v>
      </c>
      <c r="L368" s="296"/>
      <c r="M368" s="124">
        <v>180.0</v>
      </c>
      <c r="N368" s="109">
        <f t="shared" si="213"/>
        <v>0.1797222222</v>
      </c>
      <c r="O368" s="110">
        <f t="shared" si="5"/>
        <v>5.564142195</v>
      </c>
      <c r="P368" s="109" t="str">
        <f t="shared" si="6"/>
        <v>#DIV/0!</v>
      </c>
      <c r="Q368" s="111" t="str">
        <f t="shared" si="7"/>
        <v>#DIV/0!</v>
      </c>
      <c r="R368" s="125">
        <f t="shared" si="212"/>
        <v>-180</v>
      </c>
      <c r="S368" s="113" t="str">
        <f t="shared" si="9"/>
        <v>#DIV/0!</v>
      </c>
      <c r="T368" s="114"/>
      <c r="U368" s="114"/>
      <c r="V368" s="114"/>
      <c r="W368" s="114"/>
      <c r="X368" s="115"/>
      <c r="Y368" s="98"/>
      <c r="Z368" s="98"/>
    </row>
    <row r="369" hidden="1" outlineLevel="1">
      <c r="A369" s="293"/>
      <c r="B369" s="116"/>
      <c r="C369" s="294" t="s">
        <v>78</v>
      </c>
      <c r="D369" s="306"/>
      <c r="E369" s="296"/>
      <c r="F369" s="296"/>
      <c r="G369" s="104" t="str">
        <f t="shared" si="1"/>
        <v>#DIV/0!</v>
      </c>
      <c r="H369" s="105" t="str">
        <f t="shared" si="2"/>
        <v>#DIV/0!</v>
      </c>
      <c r="I369" s="106" t="str">
        <f t="shared" si="3"/>
        <v>#DIV/0!</v>
      </c>
      <c r="J369" s="126">
        <v>69.14</v>
      </c>
      <c r="K369" s="278">
        <v>19894.0</v>
      </c>
      <c r="L369" s="296"/>
      <c r="M369" s="127">
        <v>0.0</v>
      </c>
      <c r="N369" s="109" t="str">
        <f t="shared" si="213"/>
        <v>#DIV/0!</v>
      </c>
      <c r="O369" s="110">
        <f t="shared" si="5"/>
        <v>0</v>
      </c>
      <c r="P369" s="109" t="str">
        <f t="shared" si="6"/>
        <v>#DIV/0!</v>
      </c>
      <c r="Q369" s="111" t="str">
        <f t="shared" si="7"/>
        <v>#DIV/0!</v>
      </c>
      <c r="R369" s="128">
        <f t="shared" si="212"/>
        <v>0</v>
      </c>
      <c r="S369" s="113" t="str">
        <f t="shared" si="9"/>
        <v>#DIV/0!</v>
      </c>
      <c r="T369" s="114"/>
      <c r="U369" s="114"/>
      <c r="V369" s="114"/>
      <c r="W369" s="114"/>
      <c r="X369" s="115"/>
      <c r="Y369" s="98"/>
      <c r="Z369" s="98"/>
    </row>
    <row r="370" hidden="1" outlineLevel="1">
      <c r="A370" s="293"/>
      <c r="B370" s="116"/>
      <c r="C370" s="294" t="s">
        <v>79</v>
      </c>
      <c r="D370" s="307"/>
      <c r="E370" s="296"/>
      <c r="F370" s="296"/>
      <c r="G370" s="104" t="str">
        <f t="shared" si="1"/>
        <v>#DIV/0!</v>
      </c>
      <c r="H370" s="105" t="str">
        <f t="shared" si="2"/>
        <v>#DIV/0!</v>
      </c>
      <c r="I370" s="106" t="str">
        <f t="shared" si="3"/>
        <v>#DIV/0!</v>
      </c>
      <c r="J370" s="129">
        <v>58.84</v>
      </c>
      <c r="K370" s="278">
        <v>16288.0</v>
      </c>
      <c r="L370" s="296"/>
      <c r="M370" s="130">
        <v>261.7</v>
      </c>
      <c r="N370" s="109">
        <f t="shared" si="213"/>
        <v>0.2248376003</v>
      </c>
      <c r="O370" s="110">
        <f t="shared" si="5"/>
        <v>4.447654657</v>
      </c>
      <c r="P370" s="109" t="str">
        <f t="shared" si="6"/>
        <v>#DIV/0!</v>
      </c>
      <c r="Q370" s="111" t="str">
        <f t="shared" si="7"/>
        <v>#DIV/0!</v>
      </c>
      <c r="R370" s="131">
        <f t="shared" si="212"/>
        <v>-261.7</v>
      </c>
      <c r="S370" s="113" t="str">
        <f t="shared" si="9"/>
        <v>#DIV/0!</v>
      </c>
      <c r="T370" s="114"/>
      <c r="U370" s="114"/>
      <c r="V370" s="114"/>
      <c r="W370" s="114"/>
      <c r="X370" s="115"/>
      <c r="Y370" s="98"/>
      <c r="Z370" s="98"/>
    </row>
    <row r="371" hidden="1" outlineLevel="1">
      <c r="A371" s="310" t="str">
        <f t="shared" ref="A371:A372" si="214">iferror(if(B371&gt;0,month(B371)&amp;"-"&amp;year(B371),B371),)</f>
        <v>9-2025</v>
      </c>
      <c r="B371" s="99">
        <v>45920.0</v>
      </c>
      <c r="C371" s="294" t="s">
        <v>81</v>
      </c>
      <c r="D371" s="311"/>
      <c r="E371" s="296"/>
      <c r="F371" s="296"/>
      <c r="G371" s="104" t="str">
        <f t="shared" si="1"/>
        <v>#DIV/0!</v>
      </c>
      <c r="H371" s="105" t="str">
        <f t="shared" si="2"/>
        <v>#DIV/0!</v>
      </c>
      <c r="I371" s="106" t="str">
        <f t="shared" si="3"/>
        <v>#DIV/0!</v>
      </c>
      <c r="J371" s="117">
        <v>0.0</v>
      </c>
      <c r="K371" s="278">
        <v>0.0</v>
      </c>
      <c r="L371" s="296"/>
      <c r="M371" s="118">
        <v>0.0</v>
      </c>
      <c r="N371" s="109" t="str">
        <f t="shared" si="213"/>
        <v>#DIV/0!</v>
      </c>
      <c r="O371" s="110" t="str">
        <f t="shared" si="5"/>
        <v>#DIV/0!</v>
      </c>
      <c r="P371" s="109" t="str">
        <f t="shared" si="6"/>
        <v>#DIV/0!</v>
      </c>
      <c r="Q371" s="111" t="str">
        <f t="shared" si="7"/>
        <v>#DIV/0!</v>
      </c>
      <c r="R371" s="112">
        <f t="shared" si="212"/>
        <v>0</v>
      </c>
      <c r="S371" s="113" t="str">
        <f t="shared" si="9"/>
        <v>#DIV/0!</v>
      </c>
      <c r="T371" s="114"/>
      <c r="U371" s="114"/>
      <c r="V371" s="114"/>
      <c r="W371" s="114"/>
      <c r="X371" s="115"/>
      <c r="Y371" s="98"/>
      <c r="Z371" s="98"/>
    </row>
    <row r="372" collapsed="1">
      <c r="A372" s="293" t="str">
        <f t="shared" si="214"/>
        <v/>
      </c>
      <c r="B372" s="80" t="s">
        <v>125</v>
      </c>
      <c r="C372" s="312"/>
      <c r="D372" s="151">
        <f t="shared" ref="D372:F372" si="215">SUM(D361:D371)</f>
        <v>0</v>
      </c>
      <c r="E372" s="153">
        <f t="shared" si="215"/>
        <v>0</v>
      </c>
      <c r="F372" s="153">
        <f t="shared" si="215"/>
        <v>0</v>
      </c>
      <c r="G372" s="154" t="str">
        <f t="shared" si="1"/>
        <v>#DIV/0!</v>
      </c>
      <c r="H372" s="155" t="str">
        <f t="shared" si="2"/>
        <v>#DIV/0!</v>
      </c>
      <c r="I372" s="156" t="str">
        <f t="shared" si="3"/>
        <v>#DIV/0!</v>
      </c>
      <c r="J372" s="151">
        <f t="shared" ref="J372:M372" si="216">SUM(J361:J371)</f>
        <v>413.14</v>
      </c>
      <c r="K372" s="313">
        <f t="shared" si="216"/>
        <v>96320</v>
      </c>
      <c r="L372" s="153">
        <f t="shared" si="216"/>
        <v>0</v>
      </c>
      <c r="M372" s="157">
        <f t="shared" si="216"/>
        <v>1369.43</v>
      </c>
      <c r="N372" s="158">
        <f t="shared" si="213"/>
        <v>0.3016875634</v>
      </c>
      <c r="O372" s="159">
        <f t="shared" si="5"/>
        <v>3.314687515</v>
      </c>
      <c r="P372" s="158" t="str">
        <f t="shared" si="6"/>
        <v>#DIV/0!</v>
      </c>
      <c r="Q372" s="160" t="str">
        <f t="shared" si="7"/>
        <v>#DIV/0!</v>
      </c>
      <c r="R372" s="161">
        <f>SUM(R361:R371)</f>
        <v>-1369.43</v>
      </c>
      <c r="S372" s="162" t="str">
        <f t="shared" si="9"/>
        <v>#DIV/0!</v>
      </c>
      <c r="T372" s="164" t="str">
        <f t="shared" ref="T372:U372" si="217">IFERROR((D372-D48)/D372,)</f>
        <v/>
      </c>
      <c r="U372" s="164" t="str">
        <f t="shared" si="217"/>
        <v/>
      </c>
      <c r="V372" s="164" t="str">
        <f t="shared" ref="V372:W372" si="218">IFERROR((D372-monthly_reporting_2021!D163)/D372, )</f>
        <v/>
      </c>
      <c r="W372" s="164" t="str">
        <f t="shared" si="218"/>
        <v/>
      </c>
      <c r="X372" s="98"/>
      <c r="Y372" s="98"/>
      <c r="Z372" s="98"/>
    </row>
    <row r="373" hidden="1" outlineLevel="1">
      <c r="A373" s="293"/>
      <c r="B373" s="99">
        <v>45921.0</v>
      </c>
      <c r="C373" s="294" t="s">
        <v>70</v>
      </c>
      <c r="D373" s="295"/>
      <c r="E373" s="296"/>
      <c r="F373" s="296"/>
      <c r="G373" s="104" t="str">
        <f t="shared" si="1"/>
        <v>#DIV/0!</v>
      </c>
      <c r="H373" s="105" t="str">
        <f t="shared" si="2"/>
        <v>#DIV/0!</v>
      </c>
      <c r="I373" s="106" t="str">
        <f t="shared" si="3"/>
        <v>#DIV/0!</v>
      </c>
      <c r="J373" s="107">
        <v>122.44</v>
      </c>
      <c r="K373" s="278">
        <v>42784.0</v>
      </c>
      <c r="L373" s="296"/>
      <c r="M373" s="108">
        <v>0.0</v>
      </c>
      <c r="N373" s="109" t="str">
        <f t="shared" si="213"/>
        <v>#DIV/0!</v>
      </c>
      <c r="O373" s="110">
        <f t="shared" si="5"/>
        <v>0</v>
      </c>
      <c r="P373" s="109" t="str">
        <f t="shared" si="6"/>
        <v>#DIV/0!</v>
      </c>
      <c r="Q373" s="111" t="str">
        <f t="shared" si="7"/>
        <v>#DIV/0!</v>
      </c>
      <c r="R373" s="112">
        <f t="shared" ref="R373:R383" si="219">D373-M373</f>
        <v>0</v>
      </c>
      <c r="S373" s="113" t="str">
        <f t="shared" si="9"/>
        <v>#DIV/0!</v>
      </c>
      <c r="T373" s="114"/>
      <c r="U373" s="114"/>
      <c r="V373" s="114"/>
      <c r="W373" s="114"/>
      <c r="X373" s="115"/>
      <c r="Y373" s="98"/>
      <c r="Z373" s="98"/>
    </row>
    <row r="374" hidden="1" outlineLevel="1">
      <c r="A374" s="293"/>
      <c r="B374" s="116"/>
      <c r="C374" s="294" t="s">
        <v>71</v>
      </c>
      <c r="D374" s="297"/>
      <c r="E374" s="296"/>
      <c r="F374" s="296"/>
      <c r="G374" s="104" t="str">
        <f t="shared" si="1"/>
        <v>#DIV/0!</v>
      </c>
      <c r="H374" s="105" t="str">
        <f t="shared" si="2"/>
        <v>#DIV/0!</v>
      </c>
      <c r="I374" s="106" t="str">
        <f t="shared" si="3"/>
        <v>#DIV/0!</v>
      </c>
      <c r="J374" s="117">
        <v>46.25</v>
      </c>
      <c r="K374" s="278">
        <v>12567.0</v>
      </c>
      <c r="L374" s="296"/>
      <c r="M374" s="118">
        <v>189.85</v>
      </c>
      <c r="N374" s="109">
        <f t="shared" si="213"/>
        <v>0.243613379</v>
      </c>
      <c r="O374" s="110">
        <f t="shared" si="5"/>
        <v>4.104864865</v>
      </c>
      <c r="P374" s="109" t="str">
        <f t="shared" si="6"/>
        <v>#DIV/0!</v>
      </c>
      <c r="Q374" s="111" t="str">
        <f t="shared" si="7"/>
        <v>#DIV/0!</v>
      </c>
      <c r="R374" s="119">
        <f t="shared" si="219"/>
        <v>-189.85</v>
      </c>
      <c r="S374" s="113" t="str">
        <f t="shared" si="9"/>
        <v>#DIV/0!</v>
      </c>
      <c r="T374" s="114"/>
      <c r="U374" s="114"/>
      <c r="V374" s="114"/>
      <c r="W374" s="114"/>
      <c r="X374" s="115"/>
      <c r="Y374" s="98"/>
      <c r="Z374" s="98"/>
    </row>
    <row r="375" hidden="1" outlineLevel="1">
      <c r="A375" s="293"/>
      <c r="B375" s="116"/>
      <c r="C375" s="294" t="s">
        <v>72</v>
      </c>
      <c r="D375" s="298"/>
      <c r="E375" s="296"/>
      <c r="F375" s="296"/>
      <c r="G375" s="104" t="str">
        <f t="shared" si="1"/>
        <v>#DIV/0!</v>
      </c>
      <c r="H375" s="105" t="str">
        <f t="shared" si="2"/>
        <v>#DIV/0!</v>
      </c>
      <c r="I375" s="106" t="str">
        <f t="shared" si="3"/>
        <v>#DIV/0!</v>
      </c>
      <c r="J375" s="120">
        <v>57.69</v>
      </c>
      <c r="K375" s="278">
        <v>17553.0</v>
      </c>
      <c r="L375" s="296"/>
      <c r="M375" s="121">
        <v>181.64</v>
      </c>
      <c r="N375" s="109">
        <f>(J375/M375)</f>
        <v>0.3176062541</v>
      </c>
      <c r="O375" s="110">
        <f t="shared" si="5"/>
        <v>3.148552609</v>
      </c>
      <c r="P375" s="109" t="str">
        <f t="shared" si="6"/>
        <v>#DIV/0!</v>
      </c>
      <c r="Q375" s="111" t="str">
        <f t="shared" si="7"/>
        <v>#DIV/0!</v>
      </c>
      <c r="R375" s="122">
        <f t="shared" si="219"/>
        <v>-181.64</v>
      </c>
      <c r="S375" s="113" t="str">
        <f t="shared" si="9"/>
        <v>#DIV/0!</v>
      </c>
      <c r="T375" s="114"/>
      <c r="U375" s="114"/>
      <c r="V375" s="114"/>
      <c r="W375" s="114"/>
      <c r="X375" s="115"/>
      <c r="Y375" s="98"/>
      <c r="Z375" s="98"/>
    </row>
    <row r="376" hidden="1" outlineLevel="1">
      <c r="A376" s="293"/>
      <c r="B376" s="116"/>
      <c r="C376" s="294" t="s">
        <v>73</v>
      </c>
      <c r="D376" s="298"/>
      <c r="E376" s="296"/>
      <c r="F376" s="296"/>
      <c r="G376" s="104" t="str">
        <f t="shared" si="1"/>
        <v>#DIV/0!</v>
      </c>
      <c r="H376" s="105" t="str">
        <f t="shared" si="2"/>
        <v>#DIV/0!</v>
      </c>
      <c r="I376" s="106" t="str">
        <f t="shared" si="3"/>
        <v>#DIV/0!</v>
      </c>
      <c r="J376" s="120">
        <v>11.56</v>
      </c>
      <c r="K376" s="278">
        <v>4915.0</v>
      </c>
      <c r="L376" s="296"/>
      <c r="M376" s="121">
        <v>0.0</v>
      </c>
      <c r="N376" s="109" t="str">
        <f t="shared" ref="N376:N386" si="220">J376/M376</f>
        <v>#DIV/0!</v>
      </c>
      <c r="O376" s="110">
        <f t="shared" si="5"/>
        <v>0</v>
      </c>
      <c r="P376" s="109" t="str">
        <f t="shared" si="6"/>
        <v>#DIV/0!</v>
      </c>
      <c r="Q376" s="111" t="str">
        <f t="shared" si="7"/>
        <v>#DIV/0!</v>
      </c>
      <c r="R376" s="122">
        <f t="shared" si="219"/>
        <v>0</v>
      </c>
      <c r="S376" s="113" t="str">
        <f t="shared" si="9"/>
        <v>#DIV/0!</v>
      </c>
      <c r="T376" s="114"/>
      <c r="U376" s="114"/>
      <c r="V376" s="114"/>
      <c r="W376" s="114"/>
      <c r="X376" s="115"/>
      <c r="Y376" s="98"/>
      <c r="Z376" s="98"/>
    </row>
    <row r="377" hidden="1" outlineLevel="1">
      <c r="A377" s="293"/>
      <c r="B377" s="116"/>
      <c r="C377" s="294" t="s">
        <v>74</v>
      </c>
      <c r="D377" s="299"/>
      <c r="E377" s="296"/>
      <c r="F377" s="296"/>
      <c r="G377" s="104" t="str">
        <f t="shared" si="1"/>
        <v>#DIV/0!</v>
      </c>
      <c r="H377" s="105" t="str">
        <f t="shared" si="2"/>
        <v>#DIV/0!</v>
      </c>
      <c r="I377" s="106" t="str">
        <f t="shared" si="3"/>
        <v>#DIV/0!</v>
      </c>
      <c r="J377" s="300">
        <v>0.24</v>
      </c>
      <c r="K377" s="278">
        <v>214.0</v>
      </c>
      <c r="L377" s="296"/>
      <c r="M377" s="300">
        <v>0.0</v>
      </c>
      <c r="N377" s="109" t="str">
        <f t="shared" si="220"/>
        <v>#DIV/0!</v>
      </c>
      <c r="O377" s="110">
        <f t="shared" si="5"/>
        <v>0</v>
      </c>
      <c r="P377" s="109" t="str">
        <f t="shared" si="6"/>
        <v>#DIV/0!</v>
      </c>
      <c r="Q377" s="111" t="str">
        <f t="shared" si="7"/>
        <v>#DIV/0!</v>
      </c>
      <c r="R377" s="122">
        <f t="shared" si="219"/>
        <v>0</v>
      </c>
      <c r="S377" s="113" t="str">
        <f t="shared" si="9"/>
        <v>#DIV/0!</v>
      </c>
      <c r="T377" s="114"/>
      <c r="U377" s="114"/>
      <c r="V377" s="114"/>
      <c r="W377" s="114"/>
      <c r="X377" s="115"/>
      <c r="Y377" s="98"/>
      <c r="Z377" s="98"/>
    </row>
    <row r="378" hidden="1" outlineLevel="1">
      <c r="A378" s="293"/>
      <c r="B378" s="116"/>
      <c r="C378" s="294" t="s">
        <v>75</v>
      </c>
      <c r="D378" s="301"/>
      <c r="E378" s="296"/>
      <c r="F378" s="296"/>
      <c r="G378" s="104" t="str">
        <f t="shared" si="1"/>
        <v>#DIV/0!</v>
      </c>
      <c r="H378" s="105" t="str">
        <f t="shared" si="2"/>
        <v>#DIV/0!</v>
      </c>
      <c r="I378" s="106" t="str">
        <f t="shared" si="3"/>
        <v>#DIV/0!</v>
      </c>
      <c r="J378" s="302">
        <v>6.78</v>
      </c>
      <c r="K378" s="278">
        <v>949.0</v>
      </c>
      <c r="L378" s="296"/>
      <c r="M378" s="303">
        <v>89.9</v>
      </c>
      <c r="N378" s="109">
        <f t="shared" si="220"/>
        <v>0.07541713014</v>
      </c>
      <c r="O378" s="110">
        <f t="shared" si="5"/>
        <v>13.25958702</v>
      </c>
      <c r="P378" s="109" t="str">
        <f t="shared" si="6"/>
        <v>#DIV/0!</v>
      </c>
      <c r="Q378" s="111" t="str">
        <f t="shared" si="7"/>
        <v>#DIV/0!</v>
      </c>
      <c r="R378" s="304">
        <f t="shared" si="219"/>
        <v>-89.9</v>
      </c>
      <c r="S378" s="113" t="str">
        <f t="shared" si="9"/>
        <v>#DIV/0!</v>
      </c>
      <c r="T378" s="114"/>
      <c r="U378" s="114"/>
      <c r="V378" s="114"/>
      <c r="W378" s="114"/>
      <c r="X378" s="115"/>
      <c r="Y378" s="98"/>
      <c r="Z378" s="98"/>
    </row>
    <row r="379" hidden="1" outlineLevel="1">
      <c r="A379" s="293"/>
      <c r="B379" s="116"/>
      <c r="C379" s="294" t="s">
        <v>76</v>
      </c>
      <c r="D379" s="298"/>
      <c r="E379" s="296"/>
      <c r="F379" s="296"/>
      <c r="G379" s="104" t="str">
        <f t="shared" si="1"/>
        <v>#DIV/0!</v>
      </c>
      <c r="H379" s="105" t="str">
        <f t="shared" si="2"/>
        <v>#DIV/0!</v>
      </c>
      <c r="I379" s="106" t="str">
        <f t="shared" si="3"/>
        <v>#DIV/0!</v>
      </c>
      <c r="J379" s="120">
        <v>27.1</v>
      </c>
      <c r="K379" s="278">
        <v>3844.0</v>
      </c>
      <c r="L379" s="296"/>
      <c r="M379" s="121">
        <v>555.6</v>
      </c>
      <c r="N379" s="109">
        <f t="shared" si="220"/>
        <v>0.04877609791</v>
      </c>
      <c r="O379" s="110">
        <f t="shared" si="5"/>
        <v>20.50184502</v>
      </c>
      <c r="P379" s="109" t="str">
        <f t="shared" si="6"/>
        <v>#DIV/0!</v>
      </c>
      <c r="Q379" s="111" t="str">
        <f t="shared" si="7"/>
        <v>#DIV/0!</v>
      </c>
      <c r="R379" s="122">
        <f t="shared" si="219"/>
        <v>-555.6</v>
      </c>
      <c r="S379" s="113" t="str">
        <f t="shared" si="9"/>
        <v>#DIV/0!</v>
      </c>
      <c r="T379" s="114"/>
      <c r="U379" s="114"/>
      <c r="V379" s="114"/>
      <c r="W379" s="114"/>
      <c r="X379" s="115"/>
      <c r="Y379" s="98"/>
      <c r="Z379" s="98"/>
    </row>
    <row r="380" hidden="1" outlineLevel="1">
      <c r="A380" s="293"/>
      <c r="B380" s="99" t="s">
        <v>37</v>
      </c>
      <c r="C380" s="294" t="s">
        <v>77</v>
      </c>
      <c r="D380" s="305"/>
      <c r="E380" s="296"/>
      <c r="F380" s="296"/>
      <c r="G380" s="104" t="str">
        <f t="shared" si="1"/>
        <v>#DIV/0!</v>
      </c>
      <c r="H380" s="105" t="str">
        <f t="shared" si="2"/>
        <v>#DIV/0!</v>
      </c>
      <c r="I380" s="106" t="str">
        <f t="shared" si="3"/>
        <v>#DIV/0!</v>
      </c>
      <c r="J380" s="123">
        <v>24.43</v>
      </c>
      <c r="K380" s="278">
        <v>5017.0</v>
      </c>
      <c r="L380" s="296"/>
      <c r="M380" s="124">
        <v>0.0</v>
      </c>
      <c r="N380" s="109" t="str">
        <f t="shared" si="220"/>
        <v>#DIV/0!</v>
      </c>
      <c r="O380" s="110">
        <f t="shared" si="5"/>
        <v>0</v>
      </c>
      <c r="P380" s="109" t="str">
        <f t="shared" si="6"/>
        <v>#DIV/0!</v>
      </c>
      <c r="Q380" s="111" t="str">
        <f t="shared" si="7"/>
        <v>#DIV/0!</v>
      </c>
      <c r="R380" s="125">
        <f t="shared" si="219"/>
        <v>0</v>
      </c>
      <c r="S380" s="113" t="str">
        <f t="shared" si="9"/>
        <v>#DIV/0!</v>
      </c>
      <c r="T380" s="114"/>
      <c r="U380" s="114"/>
      <c r="V380" s="114"/>
      <c r="W380" s="114"/>
      <c r="X380" s="115"/>
      <c r="Y380" s="98"/>
      <c r="Z380" s="98"/>
    </row>
    <row r="381" hidden="1" outlineLevel="1">
      <c r="A381" s="293"/>
      <c r="B381" s="116"/>
      <c r="C381" s="294" t="s">
        <v>78</v>
      </c>
      <c r="D381" s="306"/>
      <c r="E381" s="296"/>
      <c r="F381" s="296"/>
      <c r="G381" s="104" t="str">
        <f t="shared" si="1"/>
        <v>#DIV/0!</v>
      </c>
      <c r="H381" s="105" t="str">
        <f t="shared" si="2"/>
        <v>#DIV/0!</v>
      </c>
      <c r="I381" s="106" t="str">
        <f t="shared" si="3"/>
        <v>#DIV/0!</v>
      </c>
      <c r="J381" s="126">
        <v>39.43</v>
      </c>
      <c r="K381" s="278">
        <v>9264.0</v>
      </c>
      <c r="L381" s="296"/>
      <c r="M381" s="127">
        <v>0.0</v>
      </c>
      <c r="N381" s="109" t="str">
        <f t="shared" si="220"/>
        <v>#DIV/0!</v>
      </c>
      <c r="O381" s="110">
        <f t="shared" si="5"/>
        <v>0</v>
      </c>
      <c r="P381" s="109" t="str">
        <f t="shared" si="6"/>
        <v>#DIV/0!</v>
      </c>
      <c r="Q381" s="111" t="str">
        <f t="shared" si="7"/>
        <v>#DIV/0!</v>
      </c>
      <c r="R381" s="128">
        <f t="shared" si="219"/>
        <v>0</v>
      </c>
      <c r="S381" s="113" t="str">
        <f t="shared" si="9"/>
        <v>#DIV/0!</v>
      </c>
      <c r="T381" s="114"/>
      <c r="U381" s="114"/>
      <c r="V381" s="114"/>
      <c r="W381" s="114"/>
      <c r="X381" s="115"/>
      <c r="Y381" s="98"/>
      <c r="Z381" s="98"/>
    </row>
    <row r="382" hidden="1" outlineLevel="1">
      <c r="A382" s="293"/>
      <c r="B382" s="116"/>
      <c r="C382" s="294" t="s">
        <v>79</v>
      </c>
      <c r="D382" s="307"/>
      <c r="E382" s="296"/>
      <c r="F382" s="296"/>
      <c r="G382" s="104" t="str">
        <f t="shared" si="1"/>
        <v>#DIV/0!</v>
      </c>
      <c r="H382" s="105" t="str">
        <f t="shared" si="2"/>
        <v>#DIV/0!</v>
      </c>
      <c r="I382" s="106" t="str">
        <f t="shared" si="3"/>
        <v>#DIV/0!</v>
      </c>
      <c r="J382" s="129">
        <v>100.46</v>
      </c>
      <c r="K382" s="278">
        <v>27976.0</v>
      </c>
      <c r="L382" s="296"/>
      <c r="M382" s="130">
        <v>42.95</v>
      </c>
      <c r="N382" s="109">
        <f t="shared" si="220"/>
        <v>2.338998836</v>
      </c>
      <c r="O382" s="110">
        <f t="shared" si="5"/>
        <v>0.4275333466</v>
      </c>
      <c r="P382" s="109" t="str">
        <f t="shared" si="6"/>
        <v>#DIV/0!</v>
      </c>
      <c r="Q382" s="111" t="str">
        <f t="shared" si="7"/>
        <v>#DIV/0!</v>
      </c>
      <c r="R382" s="131">
        <f t="shared" si="219"/>
        <v>-42.95</v>
      </c>
      <c r="S382" s="113" t="str">
        <f t="shared" si="9"/>
        <v>#DIV/0!</v>
      </c>
      <c r="T382" s="114"/>
      <c r="U382" s="114"/>
      <c r="V382" s="114"/>
      <c r="W382" s="114"/>
      <c r="X382" s="115"/>
      <c r="Y382" s="98"/>
      <c r="Z382" s="98"/>
    </row>
    <row r="383" hidden="1" outlineLevel="1">
      <c r="A383" s="310" t="str">
        <f t="shared" ref="A383:A384" si="221">iferror(if(B383&gt;0,month(B383)&amp;"-"&amp;year(B383),B383),)</f>
        <v>9-2025</v>
      </c>
      <c r="B383" s="99">
        <v>45927.0</v>
      </c>
      <c r="C383" s="294" t="s">
        <v>81</v>
      </c>
      <c r="D383" s="311"/>
      <c r="E383" s="296"/>
      <c r="F383" s="296"/>
      <c r="G383" s="104" t="str">
        <f t="shared" si="1"/>
        <v>#DIV/0!</v>
      </c>
      <c r="H383" s="105" t="str">
        <f t="shared" si="2"/>
        <v>#DIV/0!</v>
      </c>
      <c r="I383" s="106" t="str">
        <f t="shared" si="3"/>
        <v>#DIV/0!</v>
      </c>
      <c r="J383" s="117">
        <v>0.0</v>
      </c>
      <c r="K383" s="278">
        <v>0.0</v>
      </c>
      <c r="L383" s="296"/>
      <c r="M383" s="118">
        <v>0.0</v>
      </c>
      <c r="N383" s="109" t="str">
        <f t="shared" si="220"/>
        <v>#DIV/0!</v>
      </c>
      <c r="O383" s="110" t="str">
        <f t="shared" si="5"/>
        <v>#DIV/0!</v>
      </c>
      <c r="P383" s="109" t="str">
        <f t="shared" si="6"/>
        <v>#DIV/0!</v>
      </c>
      <c r="Q383" s="111" t="str">
        <f t="shared" si="7"/>
        <v>#DIV/0!</v>
      </c>
      <c r="R383" s="112">
        <f t="shared" si="219"/>
        <v>0</v>
      </c>
      <c r="S383" s="113" t="str">
        <f t="shared" si="9"/>
        <v>#DIV/0!</v>
      </c>
      <c r="T383" s="114"/>
      <c r="U383" s="114"/>
      <c r="V383" s="114"/>
      <c r="W383" s="114"/>
      <c r="X383" s="115"/>
      <c r="Y383" s="98"/>
      <c r="Z383" s="98"/>
    </row>
    <row r="384" collapsed="1">
      <c r="A384" s="293" t="str">
        <f t="shared" si="221"/>
        <v/>
      </c>
      <c r="B384" s="80" t="s">
        <v>126</v>
      </c>
      <c r="C384" s="312"/>
      <c r="D384" s="151">
        <f t="shared" ref="D384:F384" si="222">SUM(D373:D383)</f>
        <v>0</v>
      </c>
      <c r="E384" s="153">
        <f t="shared" si="222"/>
        <v>0</v>
      </c>
      <c r="F384" s="153">
        <f t="shared" si="222"/>
        <v>0</v>
      </c>
      <c r="G384" s="154" t="str">
        <f t="shared" si="1"/>
        <v>#DIV/0!</v>
      </c>
      <c r="H384" s="155" t="str">
        <f t="shared" si="2"/>
        <v>#DIV/0!</v>
      </c>
      <c r="I384" s="156" t="str">
        <f t="shared" si="3"/>
        <v>#DIV/0!</v>
      </c>
      <c r="J384" s="151">
        <f t="shared" ref="J384:M384" si="223">SUM(J373:J383)</f>
        <v>436.38</v>
      </c>
      <c r="K384" s="313">
        <f t="shared" si="223"/>
        <v>125083</v>
      </c>
      <c r="L384" s="153">
        <f t="shared" si="223"/>
        <v>0</v>
      </c>
      <c r="M384" s="157">
        <f t="shared" si="223"/>
        <v>1059.94</v>
      </c>
      <c r="N384" s="158">
        <f t="shared" si="220"/>
        <v>0.4117025492</v>
      </c>
      <c r="O384" s="159">
        <f t="shared" si="5"/>
        <v>2.428938081</v>
      </c>
      <c r="P384" s="158" t="str">
        <f t="shared" si="6"/>
        <v>#DIV/0!</v>
      </c>
      <c r="Q384" s="160" t="str">
        <f t="shared" si="7"/>
        <v>#DIV/0!</v>
      </c>
      <c r="R384" s="161">
        <f>SUM(R373:R383)</f>
        <v>-1059.94</v>
      </c>
      <c r="S384" s="162" t="str">
        <f t="shared" si="9"/>
        <v>#DIV/0!</v>
      </c>
      <c r="T384" s="164" t="str">
        <f t="shared" ref="T384:U384" si="224">IFERROR((D384-D48)/D384,)</f>
        <v/>
      </c>
      <c r="U384" s="164" t="str">
        <f t="shared" si="224"/>
        <v/>
      </c>
      <c r="V384" s="164" t="str">
        <f t="shared" ref="V384:W384" si="225">IFERROR((D384-monthly_reporting_2021!D175)/D384, )</f>
        <v/>
      </c>
      <c r="W384" s="164" t="str">
        <f t="shared" si="225"/>
        <v/>
      </c>
      <c r="X384" s="98"/>
      <c r="Y384" s="98"/>
      <c r="Z384" s="98"/>
    </row>
    <row r="385" hidden="1" outlineLevel="1">
      <c r="A385" s="293"/>
      <c r="B385" s="99">
        <v>45928.0</v>
      </c>
      <c r="C385" s="294" t="s">
        <v>70</v>
      </c>
      <c r="D385" s="295"/>
      <c r="E385" s="296"/>
      <c r="F385" s="296"/>
      <c r="G385" s="104" t="str">
        <f t="shared" si="1"/>
        <v>#DIV/0!</v>
      </c>
      <c r="H385" s="105" t="str">
        <f t="shared" si="2"/>
        <v>#DIV/0!</v>
      </c>
      <c r="I385" s="106" t="str">
        <f t="shared" si="3"/>
        <v>#DIV/0!</v>
      </c>
      <c r="J385" s="107">
        <v>26.77</v>
      </c>
      <c r="K385" s="278">
        <v>10460.0</v>
      </c>
      <c r="L385" s="296"/>
      <c r="M385" s="108">
        <v>0.0</v>
      </c>
      <c r="N385" s="109" t="str">
        <f t="shared" si="220"/>
        <v>#DIV/0!</v>
      </c>
      <c r="O385" s="110">
        <f t="shared" si="5"/>
        <v>0</v>
      </c>
      <c r="P385" s="109" t="str">
        <f t="shared" si="6"/>
        <v>#DIV/0!</v>
      </c>
      <c r="Q385" s="111" t="str">
        <f t="shared" si="7"/>
        <v>#DIV/0!</v>
      </c>
      <c r="R385" s="112">
        <f t="shared" ref="R385:R395" si="226">D385-M385</f>
        <v>0</v>
      </c>
      <c r="S385" s="113" t="str">
        <f t="shared" si="9"/>
        <v>#DIV/0!</v>
      </c>
      <c r="T385" s="114"/>
      <c r="U385" s="114"/>
      <c r="V385" s="114"/>
      <c r="W385" s="114"/>
      <c r="X385" s="115"/>
      <c r="Y385" s="98"/>
      <c r="Z385" s="98"/>
    </row>
    <row r="386" hidden="1" outlineLevel="1">
      <c r="A386" s="293"/>
      <c r="B386" s="116"/>
      <c r="C386" s="294" t="s">
        <v>71</v>
      </c>
      <c r="D386" s="297"/>
      <c r="E386" s="296"/>
      <c r="F386" s="296"/>
      <c r="G386" s="104" t="str">
        <f t="shared" si="1"/>
        <v>#DIV/0!</v>
      </c>
      <c r="H386" s="105" t="str">
        <f t="shared" si="2"/>
        <v>#DIV/0!</v>
      </c>
      <c r="I386" s="106" t="str">
        <f t="shared" si="3"/>
        <v>#DIV/0!</v>
      </c>
      <c r="J386" s="117">
        <v>32.19</v>
      </c>
      <c r="K386" s="278">
        <v>8664.0</v>
      </c>
      <c r="L386" s="296"/>
      <c r="M386" s="118">
        <v>69.95</v>
      </c>
      <c r="N386" s="109">
        <f t="shared" si="220"/>
        <v>0.460185847</v>
      </c>
      <c r="O386" s="110">
        <f t="shared" si="5"/>
        <v>2.173035104</v>
      </c>
      <c r="P386" s="109" t="str">
        <f t="shared" si="6"/>
        <v>#DIV/0!</v>
      </c>
      <c r="Q386" s="111" t="str">
        <f t="shared" si="7"/>
        <v>#DIV/0!</v>
      </c>
      <c r="R386" s="119">
        <f t="shared" si="226"/>
        <v>-69.95</v>
      </c>
      <c r="S386" s="113" t="str">
        <f t="shared" si="9"/>
        <v>#DIV/0!</v>
      </c>
      <c r="T386" s="114"/>
      <c r="U386" s="114"/>
      <c r="V386" s="114"/>
      <c r="W386" s="114"/>
      <c r="X386" s="115"/>
      <c r="Y386" s="98"/>
      <c r="Z386" s="98"/>
    </row>
    <row r="387" hidden="1" outlineLevel="1">
      <c r="A387" s="293"/>
      <c r="B387" s="116"/>
      <c r="C387" s="294" t="s">
        <v>72</v>
      </c>
      <c r="D387" s="298"/>
      <c r="E387" s="296"/>
      <c r="F387" s="296"/>
      <c r="G387" s="104" t="str">
        <f t="shared" si="1"/>
        <v>#DIV/0!</v>
      </c>
      <c r="H387" s="105" t="str">
        <f t="shared" si="2"/>
        <v>#DIV/0!</v>
      </c>
      <c r="I387" s="106" t="str">
        <f t="shared" si="3"/>
        <v>#DIV/0!</v>
      </c>
      <c r="J387" s="120">
        <v>92.7</v>
      </c>
      <c r="K387" s="278">
        <v>21792.0</v>
      </c>
      <c r="L387" s="296"/>
      <c r="M387" s="121">
        <v>473.26</v>
      </c>
      <c r="N387" s="109">
        <f>(J387/M387)</f>
        <v>0.1958754173</v>
      </c>
      <c r="O387" s="110">
        <f t="shared" si="5"/>
        <v>5.105285868</v>
      </c>
      <c r="P387" s="109" t="str">
        <f t="shared" si="6"/>
        <v>#DIV/0!</v>
      </c>
      <c r="Q387" s="111" t="str">
        <f t="shared" si="7"/>
        <v>#DIV/0!</v>
      </c>
      <c r="R387" s="122">
        <f t="shared" si="226"/>
        <v>-473.26</v>
      </c>
      <c r="S387" s="113" t="str">
        <f t="shared" si="9"/>
        <v>#DIV/0!</v>
      </c>
      <c r="T387" s="114"/>
      <c r="U387" s="114"/>
      <c r="V387" s="114"/>
      <c r="W387" s="114"/>
      <c r="X387" s="115"/>
      <c r="Y387" s="98"/>
      <c r="Z387" s="98"/>
    </row>
    <row r="388" hidden="1" outlineLevel="1">
      <c r="A388" s="293"/>
      <c r="B388" s="116"/>
      <c r="C388" s="294" t="s">
        <v>73</v>
      </c>
      <c r="D388" s="298"/>
      <c r="E388" s="296"/>
      <c r="F388" s="296"/>
      <c r="G388" s="104" t="str">
        <f t="shared" si="1"/>
        <v>#DIV/0!</v>
      </c>
      <c r="H388" s="105" t="str">
        <f t="shared" si="2"/>
        <v>#DIV/0!</v>
      </c>
      <c r="I388" s="106" t="str">
        <f t="shared" si="3"/>
        <v>#DIV/0!</v>
      </c>
      <c r="J388" s="120">
        <v>16.52</v>
      </c>
      <c r="K388" s="278">
        <v>7301.0</v>
      </c>
      <c r="L388" s="296"/>
      <c r="M388" s="121">
        <v>0.0</v>
      </c>
      <c r="N388" s="109" t="str">
        <f t="shared" ref="N388:N398" si="227">J388/M388</f>
        <v>#DIV/0!</v>
      </c>
      <c r="O388" s="110">
        <f t="shared" si="5"/>
        <v>0</v>
      </c>
      <c r="P388" s="109" t="str">
        <f t="shared" si="6"/>
        <v>#DIV/0!</v>
      </c>
      <c r="Q388" s="111" t="str">
        <f t="shared" si="7"/>
        <v>#DIV/0!</v>
      </c>
      <c r="R388" s="122">
        <f t="shared" si="226"/>
        <v>0</v>
      </c>
      <c r="S388" s="113" t="str">
        <f t="shared" si="9"/>
        <v>#DIV/0!</v>
      </c>
      <c r="T388" s="114"/>
      <c r="U388" s="114"/>
      <c r="V388" s="114"/>
      <c r="W388" s="114"/>
      <c r="X388" s="115"/>
      <c r="Y388" s="98"/>
      <c r="Z388" s="98"/>
    </row>
    <row r="389" hidden="1" outlineLevel="1">
      <c r="A389" s="293"/>
      <c r="B389" s="116"/>
      <c r="C389" s="294" t="s">
        <v>74</v>
      </c>
      <c r="D389" s="299"/>
      <c r="E389" s="296"/>
      <c r="F389" s="296"/>
      <c r="G389" s="104" t="str">
        <f t="shared" si="1"/>
        <v>#DIV/0!</v>
      </c>
      <c r="H389" s="105" t="str">
        <f t="shared" si="2"/>
        <v>#DIV/0!</v>
      </c>
      <c r="I389" s="106" t="str">
        <f t="shared" si="3"/>
        <v>#DIV/0!</v>
      </c>
      <c r="J389" s="300">
        <v>0.15</v>
      </c>
      <c r="K389" s="278">
        <v>161.0</v>
      </c>
      <c r="L389" s="296"/>
      <c r="M389" s="300">
        <v>0.0</v>
      </c>
      <c r="N389" s="109" t="str">
        <f t="shared" si="227"/>
        <v>#DIV/0!</v>
      </c>
      <c r="O389" s="110">
        <f t="shared" si="5"/>
        <v>0</v>
      </c>
      <c r="P389" s="109" t="str">
        <f t="shared" si="6"/>
        <v>#DIV/0!</v>
      </c>
      <c r="Q389" s="111" t="str">
        <f t="shared" si="7"/>
        <v>#DIV/0!</v>
      </c>
      <c r="R389" s="122">
        <f t="shared" si="226"/>
        <v>0</v>
      </c>
      <c r="S389" s="113" t="str">
        <f t="shared" si="9"/>
        <v>#DIV/0!</v>
      </c>
      <c r="T389" s="114"/>
      <c r="U389" s="114"/>
      <c r="V389" s="114"/>
      <c r="W389" s="114"/>
      <c r="X389" s="115"/>
      <c r="Y389" s="98"/>
      <c r="Z389" s="98"/>
    </row>
    <row r="390" hidden="1" outlineLevel="1">
      <c r="A390" s="293"/>
      <c r="B390" s="116"/>
      <c r="C390" s="294" t="s">
        <v>75</v>
      </c>
      <c r="D390" s="301"/>
      <c r="E390" s="296"/>
      <c r="F390" s="296"/>
      <c r="G390" s="104" t="str">
        <f t="shared" si="1"/>
        <v>#DIV/0!</v>
      </c>
      <c r="H390" s="105" t="str">
        <f t="shared" si="2"/>
        <v>#DIV/0!</v>
      </c>
      <c r="I390" s="106" t="str">
        <f t="shared" si="3"/>
        <v>#DIV/0!</v>
      </c>
      <c r="J390" s="302">
        <v>7.19</v>
      </c>
      <c r="K390" s="278">
        <v>1123.0</v>
      </c>
      <c r="L390" s="296"/>
      <c r="M390" s="303">
        <v>0.0</v>
      </c>
      <c r="N390" s="109" t="str">
        <f t="shared" si="227"/>
        <v>#DIV/0!</v>
      </c>
      <c r="O390" s="110">
        <f t="shared" si="5"/>
        <v>0</v>
      </c>
      <c r="P390" s="109" t="str">
        <f t="shared" si="6"/>
        <v>#DIV/0!</v>
      </c>
      <c r="Q390" s="111" t="str">
        <f t="shared" si="7"/>
        <v>#DIV/0!</v>
      </c>
      <c r="R390" s="304">
        <f t="shared" si="226"/>
        <v>0</v>
      </c>
      <c r="S390" s="113" t="str">
        <f t="shared" si="9"/>
        <v>#DIV/0!</v>
      </c>
      <c r="T390" s="114"/>
      <c r="U390" s="114"/>
      <c r="V390" s="114"/>
      <c r="W390" s="114"/>
      <c r="X390" s="115"/>
      <c r="Y390" s="98"/>
      <c r="Z390" s="98"/>
    </row>
    <row r="391" hidden="1" outlineLevel="1">
      <c r="A391" s="293"/>
      <c r="B391" s="116"/>
      <c r="C391" s="294" t="s">
        <v>76</v>
      </c>
      <c r="D391" s="298"/>
      <c r="E391" s="296"/>
      <c r="F391" s="296"/>
      <c r="G391" s="104" t="str">
        <f t="shared" si="1"/>
        <v>#DIV/0!</v>
      </c>
      <c r="H391" s="105" t="str">
        <f t="shared" si="2"/>
        <v>#DIV/0!</v>
      </c>
      <c r="I391" s="106" t="str">
        <f t="shared" si="3"/>
        <v>#DIV/0!</v>
      </c>
      <c r="J391" s="120">
        <v>70.51</v>
      </c>
      <c r="K391" s="278">
        <v>7591.0</v>
      </c>
      <c r="L391" s="296"/>
      <c r="M391" s="121">
        <v>214.9</v>
      </c>
      <c r="N391" s="109">
        <f t="shared" si="227"/>
        <v>0.3281060959</v>
      </c>
      <c r="O391" s="110">
        <f t="shared" si="5"/>
        <v>3.047794639</v>
      </c>
      <c r="P391" s="109" t="str">
        <f t="shared" si="6"/>
        <v>#DIV/0!</v>
      </c>
      <c r="Q391" s="111" t="str">
        <f t="shared" si="7"/>
        <v>#DIV/0!</v>
      </c>
      <c r="R391" s="122">
        <f t="shared" si="226"/>
        <v>-214.9</v>
      </c>
      <c r="S391" s="113" t="str">
        <f t="shared" si="9"/>
        <v>#DIV/0!</v>
      </c>
      <c r="T391" s="114"/>
      <c r="U391" s="114"/>
      <c r="V391" s="114"/>
      <c r="W391" s="114"/>
      <c r="X391" s="115"/>
      <c r="Y391" s="98"/>
      <c r="Z391" s="98"/>
    </row>
    <row r="392" hidden="1" outlineLevel="1">
      <c r="A392" s="293"/>
      <c r="B392" s="99" t="s">
        <v>37</v>
      </c>
      <c r="C392" s="294" t="s">
        <v>77</v>
      </c>
      <c r="D392" s="305"/>
      <c r="E392" s="296"/>
      <c r="F392" s="296"/>
      <c r="G392" s="104" t="str">
        <f t="shared" si="1"/>
        <v>#DIV/0!</v>
      </c>
      <c r="H392" s="105" t="str">
        <f t="shared" si="2"/>
        <v>#DIV/0!</v>
      </c>
      <c r="I392" s="106" t="str">
        <f t="shared" si="3"/>
        <v>#DIV/0!</v>
      </c>
      <c r="J392" s="123">
        <v>59.19</v>
      </c>
      <c r="K392" s="278">
        <v>7035.0</v>
      </c>
      <c r="L392" s="296"/>
      <c r="M392" s="124">
        <v>240.0</v>
      </c>
      <c r="N392" s="109">
        <f t="shared" si="227"/>
        <v>0.246625</v>
      </c>
      <c r="O392" s="110">
        <f t="shared" si="5"/>
        <v>4.054738976</v>
      </c>
      <c r="P392" s="109" t="str">
        <f t="shared" si="6"/>
        <v>#DIV/0!</v>
      </c>
      <c r="Q392" s="111" t="str">
        <f t="shared" si="7"/>
        <v>#DIV/0!</v>
      </c>
      <c r="R392" s="125">
        <f t="shared" si="226"/>
        <v>-240</v>
      </c>
      <c r="S392" s="113" t="str">
        <f t="shared" si="9"/>
        <v>#DIV/0!</v>
      </c>
      <c r="T392" s="114"/>
      <c r="U392" s="114"/>
      <c r="V392" s="114"/>
      <c r="W392" s="114"/>
      <c r="X392" s="115"/>
      <c r="Y392" s="98"/>
      <c r="Z392" s="98"/>
    </row>
    <row r="393" hidden="1" outlineLevel="1">
      <c r="A393" s="293"/>
      <c r="B393" s="116"/>
      <c r="C393" s="294" t="s">
        <v>78</v>
      </c>
      <c r="D393" s="306"/>
      <c r="E393" s="296"/>
      <c r="F393" s="296"/>
      <c r="G393" s="104" t="str">
        <f t="shared" si="1"/>
        <v>#DIV/0!</v>
      </c>
      <c r="H393" s="105" t="str">
        <f t="shared" si="2"/>
        <v>#DIV/0!</v>
      </c>
      <c r="I393" s="106" t="str">
        <f t="shared" si="3"/>
        <v>#DIV/0!</v>
      </c>
      <c r="J393" s="126">
        <v>20.59</v>
      </c>
      <c r="K393" s="278">
        <v>5518.0</v>
      </c>
      <c r="L393" s="296"/>
      <c r="M393" s="127">
        <v>0.0</v>
      </c>
      <c r="N393" s="109" t="str">
        <f t="shared" si="227"/>
        <v>#DIV/0!</v>
      </c>
      <c r="O393" s="110">
        <f t="shared" si="5"/>
        <v>0</v>
      </c>
      <c r="P393" s="109" t="str">
        <f t="shared" si="6"/>
        <v>#DIV/0!</v>
      </c>
      <c r="Q393" s="111" t="str">
        <f t="shared" si="7"/>
        <v>#DIV/0!</v>
      </c>
      <c r="R393" s="128">
        <f t="shared" si="226"/>
        <v>0</v>
      </c>
      <c r="S393" s="113" t="str">
        <f t="shared" si="9"/>
        <v>#DIV/0!</v>
      </c>
      <c r="T393" s="114"/>
      <c r="U393" s="114"/>
      <c r="V393" s="114"/>
      <c r="W393" s="114"/>
      <c r="X393" s="115"/>
      <c r="Y393" s="98"/>
      <c r="Z393" s="98"/>
    </row>
    <row r="394" hidden="1" outlineLevel="1">
      <c r="A394" s="293"/>
      <c r="B394" s="116"/>
      <c r="C394" s="294" t="s">
        <v>79</v>
      </c>
      <c r="D394" s="307"/>
      <c r="E394" s="296"/>
      <c r="F394" s="296"/>
      <c r="G394" s="104" t="str">
        <f t="shared" si="1"/>
        <v>#DIV/0!</v>
      </c>
      <c r="H394" s="105" t="str">
        <f t="shared" si="2"/>
        <v>#DIV/0!</v>
      </c>
      <c r="I394" s="106" t="str">
        <f t="shared" si="3"/>
        <v>#DIV/0!</v>
      </c>
      <c r="J394" s="129">
        <v>36.58</v>
      </c>
      <c r="K394" s="278">
        <v>11908.0</v>
      </c>
      <c r="L394" s="296"/>
      <c r="M394" s="130">
        <v>87.9</v>
      </c>
      <c r="N394" s="109">
        <f t="shared" si="227"/>
        <v>0.4161547213</v>
      </c>
      <c r="O394" s="110">
        <f t="shared" si="5"/>
        <v>2.402952433</v>
      </c>
      <c r="P394" s="109" t="str">
        <f t="shared" si="6"/>
        <v>#DIV/0!</v>
      </c>
      <c r="Q394" s="111" t="str">
        <f t="shared" si="7"/>
        <v>#DIV/0!</v>
      </c>
      <c r="R394" s="131">
        <f t="shared" si="226"/>
        <v>-87.9</v>
      </c>
      <c r="S394" s="113" t="str">
        <f t="shared" si="9"/>
        <v>#DIV/0!</v>
      </c>
      <c r="T394" s="114"/>
      <c r="U394" s="114"/>
      <c r="V394" s="114"/>
      <c r="W394" s="114"/>
      <c r="X394" s="115"/>
      <c r="Y394" s="98"/>
      <c r="Z394" s="98"/>
    </row>
    <row r="395" hidden="1" outlineLevel="1">
      <c r="A395" s="310" t="str">
        <f t="shared" ref="A395:A396" si="228">iferror(if(B395&gt;0,month(B395)&amp;"-"&amp;year(B395),B395),)</f>
        <v>10-2025</v>
      </c>
      <c r="B395" s="99">
        <v>45934.0</v>
      </c>
      <c r="C395" s="294" t="s">
        <v>81</v>
      </c>
      <c r="D395" s="311"/>
      <c r="E395" s="296"/>
      <c r="F395" s="296"/>
      <c r="G395" s="104" t="str">
        <f t="shared" si="1"/>
        <v>#DIV/0!</v>
      </c>
      <c r="H395" s="105" t="str">
        <f t="shared" si="2"/>
        <v>#DIV/0!</v>
      </c>
      <c r="I395" s="106" t="str">
        <f t="shared" si="3"/>
        <v>#DIV/0!</v>
      </c>
      <c r="J395" s="117">
        <v>0.0</v>
      </c>
      <c r="K395" s="278">
        <v>0.0</v>
      </c>
      <c r="L395" s="296"/>
      <c r="M395" s="118">
        <v>0.0</v>
      </c>
      <c r="N395" s="109" t="str">
        <f t="shared" si="227"/>
        <v>#DIV/0!</v>
      </c>
      <c r="O395" s="110" t="str">
        <f t="shared" si="5"/>
        <v>#DIV/0!</v>
      </c>
      <c r="P395" s="109" t="str">
        <f t="shared" si="6"/>
        <v>#DIV/0!</v>
      </c>
      <c r="Q395" s="111" t="str">
        <f t="shared" si="7"/>
        <v>#DIV/0!</v>
      </c>
      <c r="R395" s="112">
        <f t="shared" si="226"/>
        <v>0</v>
      </c>
      <c r="S395" s="113" t="str">
        <f t="shared" si="9"/>
        <v>#DIV/0!</v>
      </c>
      <c r="T395" s="114"/>
      <c r="U395" s="114"/>
      <c r="V395" s="114"/>
      <c r="W395" s="114"/>
      <c r="X395" s="115"/>
      <c r="Y395" s="98"/>
      <c r="Z395" s="98"/>
    </row>
    <row r="396" collapsed="1">
      <c r="A396" s="293" t="str">
        <f t="shared" si="228"/>
        <v/>
      </c>
      <c r="B396" s="80" t="s">
        <v>127</v>
      </c>
      <c r="C396" s="312"/>
      <c r="D396" s="151">
        <f t="shared" ref="D396:F396" si="229">SUM(D385:D395)</f>
        <v>0</v>
      </c>
      <c r="E396" s="153">
        <f t="shared" si="229"/>
        <v>0</v>
      </c>
      <c r="F396" s="153">
        <f t="shared" si="229"/>
        <v>0</v>
      </c>
      <c r="G396" s="154" t="str">
        <f t="shared" si="1"/>
        <v>#DIV/0!</v>
      </c>
      <c r="H396" s="155" t="str">
        <f t="shared" si="2"/>
        <v>#DIV/0!</v>
      </c>
      <c r="I396" s="156" t="str">
        <f t="shared" si="3"/>
        <v>#DIV/0!</v>
      </c>
      <c r="J396" s="151">
        <f t="shared" ref="J396:M396" si="230">SUM(J385:J395)</f>
        <v>362.39</v>
      </c>
      <c r="K396" s="313">
        <f t="shared" si="230"/>
        <v>81553</v>
      </c>
      <c r="L396" s="153">
        <f t="shared" si="230"/>
        <v>0</v>
      </c>
      <c r="M396" s="157">
        <f t="shared" si="230"/>
        <v>1086.01</v>
      </c>
      <c r="N396" s="158">
        <f t="shared" si="227"/>
        <v>0.3336893767</v>
      </c>
      <c r="O396" s="159">
        <f t="shared" si="5"/>
        <v>2.996799029</v>
      </c>
      <c r="P396" s="158" t="str">
        <f t="shared" si="6"/>
        <v>#DIV/0!</v>
      </c>
      <c r="Q396" s="160" t="str">
        <f t="shared" si="7"/>
        <v>#DIV/0!</v>
      </c>
      <c r="R396" s="161">
        <f>SUM(R385:R395)</f>
        <v>-1086.01</v>
      </c>
      <c r="S396" s="162" t="str">
        <f t="shared" si="9"/>
        <v>#DIV/0!</v>
      </c>
      <c r="T396" s="164" t="str">
        <f t="shared" ref="T396:U396" si="231">IFERROR((D396-D48)/D396,)</f>
        <v/>
      </c>
      <c r="U396" s="164" t="str">
        <f t="shared" si="231"/>
        <v/>
      </c>
      <c r="V396" s="164" t="str">
        <f t="shared" ref="V396:W396" si="232">IFERROR((D396-monthly_reporting_2021!D187)/D396, )</f>
        <v/>
      </c>
      <c r="W396" s="164" t="str">
        <f t="shared" si="232"/>
        <v/>
      </c>
      <c r="X396" s="98"/>
      <c r="Y396" s="98"/>
      <c r="Z396" s="98"/>
    </row>
    <row r="397" hidden="1" outlineLevel="1">
      <c r="A397" s="293"/>
      <c r="B397" s="99">
        <v>45935.0</v>
      </c>
      <c r="C397" s="294" t="s">
        <v>70</v>
      </c>
      <c r="D397" s="295"/>
      <c r="E397" s="296"/>
      <c r="F397" s="296"/>
      <c r="G397" s="104" t="str">
        <f t="shared" si="1"/>
        <v>#DIV/0!</v>
      </c>
      <c r="H397" s="105" t="str">
        <f t="shared" si="2"/>
        <v>#DIV/0!</v>
      </c>
      <c r="I397" s="106" t="str">
        <f t="shared" si="3"/>
        <v>#DIV/0!</v>
      </c>
      <c r="J397" s="107">
        <v>8.97</v>
      </c>
      <c r="K397" s="278">
        <v>4786.0</v>
      </c>
      <c r="L397" s="296"/>
      <c r="M397" s="108">
        <v>1403.45</v>
      </c>
      <c r="N397" s="109">
        <f t="shared" si="227"/>
        <v>0.00639139264</v>
      </c>
      <c r="O397" s="110">
        <f t="shared" si="5"/>
        <v>156.4604236</v>
      </c>
      <c r="P397" s="109" t="str">
        <f t="shared" si="6"/>
        <v>#DIV/0!</v>
      </c>
      <c r="Q397" s="111" t="str">
        <f t="shared" si="7"/>
        <v>#DIV/0!</v>
      </c>
      <c r="R397" s="112">
        <f t="shared" ref="R397:R407" si="233">D397-M397</f>
        <v>-1403.45</v>
      </c>
      <c r="S397" s="113" t="str">
        <f t="shared" si="9"/>
        <v>#DIV/0!</v>
      </c>
      <c r="T397" s="114"/>
      <c r="U397" s="114"/>
      <c r="V397" s="114"/>
      <c r="W397" s="114"/>
      <c r="X397" s="115"/>
      <c r="Y397" s="98"/>
      <c r="Z397" s="98"/>
    </row>
    <row r="398" hidden="1" outlineLevel="1">
      <c r="A398" s="293"/>
      <c r="B398" s="116"/>
      <c r="C398" s="294" t="s">
        <v>71</v>
      </c>
      <c r="D398" s="297"/>
      <c r="E398" s="296"/>
      <c r="F398" s="296"/>
      <c r="G398" s="104" t="str">
        <f t="shared" si="1"/>
        <v>#DIV/0!</v>
      </c>
      <c r="H398" s="105" t="str">
        <f t="shared" si="2"/>
        <v>#DIV/0!</v>
      </c>
      <c r="I398" s="106" t="str">
        <f t="shared" si="3"/>
        <v>#DIV/0!</v>
      </c>
      <c r="J398" s="117">
        <v>33.59</v>
      </c>
      <c r="K398" s="278">
        <v>8565.0</v>
      </c>
      <c r="L398" s="296"/>
      <c r="M398" s="118">
        <v>38.97</v>
      </c>
      <c r="N398" s="109">
        <f t="shared" si="227"/>
        <v>0.861945086</v>
      </c>
      <c r="O398" s="110">
        <f t="shared" si="5"/>
        <v>1.160166716</v>
      </c>
      <c r="P398" s="109" t="str">
        <f t="shared" si="6"/>
        <v>#DIV/0!</v>
      </c>
      <c r="Q398" s="111" t="str">
        <f t="shared" si="7"/>
        <v>#DIV/0!</v>
      </c>
      <c r="R398" s="119">
        <f t="shared" si="233"/>
        <v>-38.97</v>
      </c>
      <c r="S398" s="113" t="str">
        <f t="shared" si="9"/>
        <v>#DIV/0!</v>
      </c>
      <c r="T398" s="114"/>
      <c r="U398" s="114"/>
      <c r="V398" s="114"/>
      <c r="W398" s="114"/>
      <c r="X398" s="115"/>
      <c r="Y398" s="98"/>
      <c r="Z398" s="98"/>
    </row>
    <row r="399" hidden="1" outlineLevel="1">
      <c r="A399" s="293"/>
      <c r="B399" s="116"/>
      <c r="C399" s="294" t="s">
        <v>72</v>
      </c>
      <c r="D399" s="298"/>
      <c r="E399" s="296"/>
      <c r="F399" s="296"/>
      <c r="G399" s="104" t="str">
        <f t="shared" si="1"/>
        <v>#DIV/0!</v>
      </c>
      <c r="H399" s="105" t="str">
        <f t="shared" si="2"/>
        <v>#DIV/0!</v>
      </c>
      <c r="I399" s="106" t="str">
        <f t="shared" si="3"/>
        <v>#DIV/0!</v>
      </c>
      <c r="J399" s="120">
        <v>205.5</v>
      </c>
      <c r="K399" s="278">
        <v>42179.0</v>
      </c>
      <c r="L399" s="296"/>
      <c r="M399" s="121">
        <v>1093.41</v>
      </c>
      <c r="N399" s="109">
        <f>(J399/M399)</f>
        <v>0.1879441381</v>
      </c>
      <c r="O399" s="110">
        <f t="shared" si="5"/>
        <v>5.320729927</v>
      </c>
      <c r="P399" s="109" t="str">
        <f t="shared" si="6"/>
        <v>#DIV/0!</v>
      </c>
      <c r="Q399" s="111" t="str">
        <f t="shared" si="7"/>
        <v>#DIV/0!</v>
      </c>
      <c r="R399" s="122">
        <f t="shared" si="233"/>
        <v>-1093.41</v>
      </c>
      <c r="S399" s="113" t="str">
        <f t="shared" si="9"/>
        <v>#DIV/0!</v>
      </c>
      <c r="T399" s="114"/>
      <c r="U399" s="114"/>
      <c r="V399" s="114"/>
      <c r="W399" s="114"/>
      <c r="X399" s="115"/>
      <c r="Y399" s="98"/>
      <c r="Z399" s="98"/>
    </row>
    <row r="400" hidden="1" outlineLevel="1">
      <c r="A400" s="293"/>
      <c r="B400" s="116"/>
      <c r="C400" s="294" t="s">
        <v>73</v>
      </c>
      <c r="D400" s="298"/>
      <c r="E400" s="296"/>
      <c r="F400" s="296"/>
      <c r="G400" s="104" t="str">
        <f t="shared" si="1"/>
        <v>#DIV/0!</v>
      </c>
      <c r="H400" s="105" t="str">
        <f t="shared" si="2"/>
        <v>#DIV/0!</v>
      </c>
      <c r="I400" s="106" t="str">
        <f t="shared" si="3"/>
        <v>#DIV/0!</v>
      </c>
      <c r="J400" s="120">
        <v>11.93</v>
      </c>
      <c r="K400" s="278">
        <v>5546.0</v>
      </c>
      <c r="L400" s="296"/>
      <c r="M400" s="121">
        <v>0.0</v>
      </c>
      <c r="N400" s="109" t="str">
        <f t="shared" ref="N400:N410" si="234">J400/M400</f>
        <v>#DIV/0!</v>
      </c>
      <c r="O400" s="110">
        <f t="shared" si="5"/>
        <v>0</v>
      </c>
      <c r="P400" s="109" t="str">
        <f t="shared" si="6"/>
        <v>#DIV/0!</v>
      </c>
      <c r="Q400" s="111" t="str">
        <f t="shared" si="7"/>
        <v>#DIV/0!</v>
      </c>
      <c r="R400" s="122">
        <f t="shared" si="233"/>
        <v>0</v>
      </c>
      <c r="S400" s="113" t="str">
        <f t="shared" si="9"/>
        <v>#DIV/0!</v>
      </c>
      <c r="T400" s="114"/>
      <c r="U400" s="114"/>
      <c r="V400" s="114"/>
      <c r="W400" s="114"/>
      <c r="X400" s="115"/>
      <c r="Y400" s="98"/>
      <c r="Z400" s="98"/>
    </row>
    <row r="401" hidden="1" outlineLevel="1">
      <c r="A401" s="293"/>
      <c r="B401" s="116"/>
      <c r="C401" s="294" t="s">
        <v>74</v>
      </c>
      <c r="D401" s="299"/>
      <c r="E401" s="296"/>
      <c r="F401" s="296"/>
      <c r="G401" s="104" t="str">
        <f t="shared" si="1"/>
        <v>#DIV/0!</v>
      </c>
      <c r="H401" s="105" t="str">
        <f t="shared" si="2"/>
        <v>#DIV/0!</v>
      </c>
      <c r="I401" s="106" t="str">
        <f t="shared" si="3"/>
        <v>#DIV/0!</v>
      </c>
      <c r="J401" s="300">
        <v>0.45</v>
      </c>
      <c r="K401" s="278">
        <v>600.0</v>
      </c>
      <c r="L401" s="296"/>
      <c r="M401" s="300">
        <v>0.0</v>
      </c>
      <c r="N401" s="109" t="str">
        <f t="shared" si="234"/>
        <v>#DIV/0!</v>
      </c>
      <c r="O401" s="110">
        <f t="shared" si="5"/>
        <v>0</v>
      </c>
      <c r="P401" s="109" t="str">
        <f t="shared" si="6"/>
        <v>#DIV/0!</v>
      </c>
      <c r="Q401" s="111" t="str">
        <f t="shared" si="7"/>
        <v>#DIV/0!</v>
      </c>
      <c r="R401" s="122">
        <f t="shared" si="233"/>
        <v>0</v>
      </c>
      <c r="S401" s="113" t="str">
        <f t="shared" si="9"/>
        <v>#DIV/0!</v>
      </c>
      <c r="T401" s="114"/>
      <c r="U401" s="114"/>
      <c r="V401" s="114"/>
      <c r="W401" s="114"/>
      <c r="X401" s="115"/>
      <c r="Y401" s="98"/>
      <c r="Z401" s="98"/>
    </row>
    <row r="402" hidden="1" outlineLevel="1">
      <c r="A402" s="293"/>
      <c r="B402" s="116"/>
      <c r="C402" s="294" t="s">
        <v>75</v>
      </c>
      <c r="D402" s="301"/>
      <c r="E402" s="296"/>
      <c r="F402" s="296"/>
      <c r="G402" s="104" t="str">
        <f t="shared" si="1"/>
        <v>#DIV/0!</v>
      </c>
      <c r="H402" s="105" t="str">
        <f t="shared" si="2"/>
        <v>#DIV/0!</v>
      </c>
      <c r="I402" s="106" t="str">
        <f t="shared" si="3"/>
        <v>#DIV/0!</v>
      </c>
      <c r="J402" s="302">
        <v>7.55</v>
      </c>
      <c r="K402" s="278">
        <v>1261.0</v>
      </c>
      <c r="L402" s="296"/>
      <c r="M402" s="303">
        <v>53.94</v>
      </c>
      <c r="N402" s="109">
        <f t="shared" si="234"/>
        <v>0.1399703374</v>
      </c>
      <c r="O402" s="110">
        <f t="shared" si="5"/>
        <v>7.144370861</v>
      </c>
      <c r="P402" s="109" t="str">
        <f t="shared" si="6"/>
        <v>#DIV/0!</v>
      </c>
      <c r="Q402" s="111" t="str">
        <f t="shared" si="7"/>
        <v>#DIV/0!</v>
      </c>
      <c r="R402" s="304">
        <f t="shared" si="233"/>
        <v>-53.94</v>
      </c>
      <c r="S402" s="113" t="str">
        <f t="shared" si="9"/>
        <v>#DIV/0!</v>
      </c>
      <c r="T402" s="114"/>
      <c r="U402" s="114"/>
      <c r="V402" s="114"/>
      <c r="W402" s="114"/>
      <c r="X402" s="115"/>
      <c r="Y402" s="98"/>
      <c r="Z402" s="98"/>
    </row>
    <row r="403" hidden="1" outlineLevel="1">
      <c r="A403" s="293"/>
      <c r="B403" s="116"/>
      <c r="C403" s="294" t="s">
        <v>76</v>
      </c>
      <c r="D403" s="298"/>
      <c r="E403" s="296"/>
      <c r="F403" s="296"/>
      <c r="G403" s="104" t="str">
        <f t="shared" si="1"/>
        <v>#DIV/0!</v>
      </c>
      <c r="H403" s="105" t="str">
        <f t="shared" si="2"/>
        <v>#DIV/0!</v>
      </c>
      <c r="I403" s="106" t="str">
        <f t="shared" si="3"/>
        <v>#DIV/0!</v>
      </c>
      <c r="J403" s="120">
        <v>446.02</v>
      </c>
      <c r="K403" s="278">
        <v>50006.0</v>
      </c>
      <c r="L403" s="296"/>
      <c r="M403" s="121">
        <v>1924.37</v>
      </c>
      <c r="N403" s="109">
        <f t="shared" si="234"/>
        <v>0.2317745548</v>
      </c>
      <c r="O403" s="110">
        <f t="shared" si="5"/>
        <v>4.314537465</v>
      </c>
      <c r="P403" s="109" t="str">
        <f t="shared" si="6"/>
        <v>#DIV/0!</v>
      </c>
      <c r="Q403" s="111" t="str">
        <f t="shared" si="7"/>
        <v>#DIV/0!</v>
      </c>
      <c r="R403" s="122">
        <f t="shared" si="233"/>
        <v>-1924.37</v>
      </c>
      <c r="S403" s="113" t="str">
        <f t="shared" si="9"/>
        <v>#DIV/0!</v>
      </c>
      <c r="T403" s="114"/>
      <c r="U403" s="114"/>
      <c r="V403" s="114"/>
      <c r="W403" s="114"/>
      <c r="X403" s="115"/>
      <c r="Y403" s="98"/>
      <c r="Z403" s="98"/>
    </row>
    <row r="404" hidden="1" outlineLevel="1">
      <c r="A404" s="293"/>
      <c r="B404" s="99" t="s">
        <v>37</v>
      </c>
      <c r="C404" s="294" t="s">
        <v>77</v>
      </c>
      <c r="D404" s="305"/>
      <c r="E404" s="296"/>
      <c r="F404" s="296"/>
      <c r="G404" s="104" t="str">
        <f t="shared" si="1"/>
        <v>#DIV/0!</v>
      </c>
      <c r="H404" s="105" t="str">
        <f t="shared" si="2"/>
        <v>#DIV/0!</v>
      </c>
      <c r="I404" s="106" t="str">
        <f t="shared" si="3"/>
        <v>#DIV/0!</v>
      </c>
      <c r="J404" s="123">
        <v>87.89</v>
      </c>
      <c r="K404" s="278">
        <v>14779.0</v>
      </c>
      <c r="L404" s="296"/>
      <c r="M404" s="124">
        <v>180.0</v>
      </c>
      <c r="N404" s="109">
        <f t="shared" si="234"/>
        <v>0.4882777778</v>
      </c>
      <c r="O404" s="110">
        <f t="shared" si="5"/>
        <v>2.048014564</v>
      </c>
      <c r="P404" s="109" t="str">
        <f t="shared" si="6"/>
        <v>#DIV/0!</v>
      </c>
      <c r="Q404" s="111" t="str">
        <f t="shared" si="7"/>
        <v>#DIV/0!</v>
      </c>
      <c r="R404" s="125">
        <f t="shared" si="233"/>
        <v>-180</v>
      </c>
      <c r="S404" s="113" t="str">
        <f t="shared" si="9"/>
        <v>#DIV/0!</v>
      </c>
      <c r="T404" s="114"/>
      <c r="U404" s="114"/>
      <c r="V404" s="114"/>
      <c r="W404" s="114"/>
      <c r="X404" s="115"/>
      <c r="Y404" s="98"/>
      <c r="Z404" s="98"/>
    </row>
    <row r="405" hidden="1" outlineLevel="1">
      <c r="A405" s="293"/>
      <c r="B405" s="116"/>
      <c r="C405" s="294" t="s">
        <v>78</v>
      </c>
      <c r="D405" s="306"/>
      <c r="E405" s="296"/>
      <c r="F405" s="296"/>
      <c r="G405" s="104" t="str">
        <f t="shared" si="1"/>
        <v>#DIV/0!</v>
      </c>
      <c r="H405" s="105" t="str">
        <f t="shared" si="2"/>
        <v>#DIV/0!</v>
      </c>
      <c r="I405" s="106" t="str">
        <f t="shared" si="3"/>
        <v>#DIV/0!</v>
      </c>
      <c r="J405" s="126">
        <v>20.58</v>
      </c>
      <c r="K405" s="278">
        <v>6561.0</v>
      </c>
      <c r="L405" s="296"/>
      <c r="M405" s="127">
        <v>0.0</v>
      </c>
      <c r="N405" s="109" t="str">
        <f t="shared" si="234"/>
        <v>#DIV/0!</v>
      </c>
      <c r="O405" s="110">
        <f t="shared" si="5"/>
        <v>0</v>
      </c>
      <c r="P405" s="109" t="str">
        <f t="shared" si="6"/>
        <v>#DIV/0!</v>
      </c>
      <c r="Q405" s="111" t="str">
        <f t="shared" si="7"/>
        <v>#DIV/0!</v>
      </c>
      <c r="R405" s="128">
        <f t="shared" si="233"/>
        <v>0</v>
      </c>
      <c r="S405" s="113" t="str">
        <f t="shared" si="9"/>
        <v>#DIV/0!</v>
      </c>
      <c r="T405" s="114"/>
      <c r="U405" s="114"/>
      <c r="V405" s="114"/>
      <c r="W405" s="114"/>
      <c r="X405" s="115"/>
      <c r="Y405" s="98"/>
      <c r="Z405" s="98"/>
    </row>
    <row r="406" hidden="1" outlineLevel="1">
      <c r="A406" s="293"/>
      <c r="B406" s="116"/>
      <c r="C406" s="294" t="s">
        <v>79</v>
      </c>
      <c r="D406" s="307"/>
      <c r="E406" s="296"/>
      <c r="F406" s="296"/>
      <c r="G406" s="104" t="str">
        <f t="shared" si="1"/>
        <v>#DIV/0!</v>
      </c>
      <c r="H406" s="105" t="str">
        <f t="shared" si="2"/>
        <v>#DIV/0!</v>
      </c>
      <c r="I406" s="106" t="str">
        <f t="shared" si="3"/>
        <v>#DIV/0!</v>
      </c>
      <c r="J406" s="129">
        <v>21.46</v>
      </c>
      <c r="K406" s="278">
        <v>5339.0</v>
      </c>
      <c r="L406" s="296"/>
      <c r="M406" s="130">
        <v>60.14</v>
      </c>
      <c r="N406" s="109">
        <f t="shared" si="234"/>
        <v>0.3568340539</v>
      </c>
      <c r="O406" s="110">
        <f t="shared" si="5"/>
        <v>2.802423113</v>
      </c>
      <c r="P406" s="109" t="str">
        <f t="shared" si="6"/>
        <v>#DIV/0!</v>
      </c>
      <c r="Q406" s="111" t="str">
        <f t="shared" si="7"/>
        <v>#DIV/0!</v>
      </c>
      <c r="R406" s="131">
        <f t="shared" si="233"/>
        <v>-60.14</v>
      </c>
      <c r="S406" s="113" t="str">
        <f t="shared" si="9"/>
        <v>#DIV/0!</v>
      </c>
      <c r="T406" s="114"/>
      <c r="U406" s="114"/>
      <c r="V406" s="114"/>
      <c r="W406" s="114"/>
      <c r="X406" s="115"/>
      <c r="Y406" s="98"/>
      <c r="Z406" s="98"/>
    </row>
    <row r="407" hidden="1" outlineLevel="1">
      <c r="A407" s="310" t="str">
        <f t="shared" ref="A407:A408" si="235">iferror(if(B407&gt;0,month(B407)&amp;"-"&amp;year(B407),B407),)</f>
        <v>10-2025</v>
      </c>
      <c r="B407" s="99">
        <v>45941.0</v>
      </c>
      <c r="C407" s="294" t="s">
        <v>81</v>
      </c>
      <c r="D407" s="311"/>
      <c r="E407" s="296"/>
      <c r="F407" s="296"/>
      <c r="G407" s="104" t="str">
        <f t="shared" si="1"/>
        <v>#DIV/0!</v>
      </c>
      <c r="H407" s="105" t="str">
        <f t="shared" si="2"/>
        <v>#DIV/0!</v>
      </c>
      <c r="I407" s="106" t="str">
        <f t="shared" si="3"/>
        <v>#DIV/0!</v>
      </c>
      <c r="J407" s="117">
        <v>0.0</v>
      </c>
      <c r="K407" s="278">
        <v>0.0</v>
      </c>
      <c r="L407" s="296"/>
      <c r="M407" s="118">
        <v>0.0</v>
      </c>
      <c r="N407" s="109" t="str">
        <f t="shared" si="234"/>
        <v>#DIV/0!</v>
      </c>
      <c r="O407" s="110" t="str">
        <f t="shared" si="5"/>
        <v>#DIV/0!</v>
      </c>
      <c r="P407" s="109" t="str">
        <f t="shared" si="6"/>
        <v>#DIV/0!</v>
      </c>
      <c r="Q407" s="111" t="str">
        <f t="shared" si="7"/>
        <v>#DIV/0!</v>
      </c>
      <c r="R407" s="112">
        <f t="shared" si="233"/>
        <v>0</v>
      </c>
      <c r="S407" s="113" t="str">
        <f t="shared" si="9"/>
        <v>#DIV/0!</v>
      </c>
      <c r="T407" s="114"/>
      <c r="U407" s="114"/>
      <c r="V407" s="114"/>
      <c r="W407" s="114"/>
      <c r="X407" s="115"/>
      <c r="Y407" s="98"/>
      <c r="Z407" s="98"/>
    </row>
    <row r="408" collapsed="1">
      <c r="A408" s="293" t="str">
        <f t="shared" si="235"/>
        <v/>
      </c>
      <c r="B408" s="80" t="s">
        <v>128</v>
      </c>
      <c r="C408" s="312"/>
      <c r="D408" s="151">
        <f t="shared" ref="D408:F408" si="236">SUM(D397:D407)</f>
        <v>0</v>
      </c>
      <c r="E408" s="153">
        <f t="shared" si="236"/>
        <v>0</v>
      </c>
      <c r="F408" s="153">
        <f t="shared" si="236"/>
        <v>0</v>
      </c>
      <c r="G408" s="154" t="str">
        <f t="shared" si="1"/>
        <v>#DIV/0!</v>
      </c>
      <c r="H408" s="155" t="str">
        <f t="shared" si="2"/>
        <v>#DIV/0!</v>
      </c>
      <c r="I408" s="156" t="str">
        <f t="shared" si="3"/>
        <v>#DIV/0!</v>
      </c>
      <c r="J408" s="151">
        <f t="shared" ref="J408:M408" si="237">SUM(J397:J407)</f>
        <v>843.94</v>
      </c>
      <c r="K408" s="313">
        <f t="shared" si="237"/>
        <v>139622</v>
      </c>
      <c r="L408" s="153">
        <f t="shared" si="237"/>
        <v>0</v>
      </c>
      <c r="M408" s="157">
        <f t="shared" si="237"/>
        <v>4754.28</v>
      </c>
      <c r="N408" s="158">
        <f t="shared" si="234"/>
        <v>0.1775116316</v>
      </c>
      <c r="O408" s="159">
        <f t="shared" si="5"/>
        <v>5.633433656</v>
      </c>
      <c r="P408" s="158" t="str">
        <f t="shared" si="6"/>
        <v>#DIV/0!</v>
      </c>
      <c r="Q408" s="160" t="str">
        <f t="shared" si="7"/>
        <v>#DIV/0!</v>
      </c>
      <c r="R408" s="161">
        <f>SUM(R397:R407)</f>
        <v>-4754.28</v>
      </c>
      <c r="S408" s="162" t="str">
        <f t="shared" si="9"/>
        <v>#DIV/0!</v>
      </c>
      <c r="T408" s="164" t="str">
        <f t="shared" ref="T408:U408" si="238">IFERROR((D408-D48)/D408,)</f>
        <v/>
      </c>
      <c r="U408" s="164" t="str">
        <f t="shared" si="238"/>
        <v/>
      </c>
      <c r="V408" s="164" t="str">
        <f t="shared" ref="V408:W408" si="239">IFERROR((D408-monthly_reporting_2021!D199)/D408, )</f>
        <v/>
      </c>
      <c r="W408" s="164" t="str">
        <f t="shared" si="239"/>
        <v/>
      </c>
      <c r="X408" s="98"/>
      <c r="Y408" s="98"/>
      <c r="Z408" s="98"/>
    </row>
    <row r="409" hidden="1" outlineLevel="1">
      <c r="A409" s="293"/>
      <c r="B409" s="99">
        <v>45942.0</v>
      </c>
      <c r="C409" s="294" t="s">
        <v>70</v>
      </c>
      <c r="D409" s="295"/>
      <c r="E409" s="296"/>
      <c r="F409" s="296"/>
      <c r="G409" s="104" t="str">
        <f t="shared" si="1"/>
        <v>#DIV/0!</v>
      </c>
      <c r="H409" s="105" t="str">
        <f t="shared" si="2"/>
        <v>#DIV/0!</v>
      </c>
      <c r="I409" s="106" t="str">
        <f t="shared" si="3"/>
        <v>#DIV/0!</v>
      </c>
      <c r="J409" s="107">
        <v>20.85</v>
      </c>
      <c r="K409" s="278">
        <v>11049.0</v>
      </c>
      <c r="L409" s="296"/>
      <c r="M409" s="108">
        <v>335.75</v>
      </c>
      <c r="N409" s="109">
        <f t="shared" si="234"/>
        <v>0.06209977662</v>
      </c>
      <c r="O409" s="110">
        <f t="shared" si="5"/>
        <v>16.10311751</v>
      </c>
      <c r="P409" s="109" t="str">
        <f t="shared" si="6"/>
        <v>#DIV/0!</v>
      </c>
      <c r="Q409" s="111" t="str">
        <f t="shared" si="7"/>
        <v>#DIV/0!</v>
      </c>
      <c r="R409" s="112">
        <f t="shared" ref="R409:R419" si="240">D409-M409</f>
        <v>-335.75</v>
      </c>
      <c r="S409" s="113" t="str">
        <f t="shared" si="9"/>
        <v>#DIV/0!</v>
      </c>
      <c r="T409" s="114"/>
      <c r="U409" s="114"/>
      <c r="V409" s="114"/>
      <c r="W409" s="114"/>
      <c r="X409" s="115"/>
      <c r="Y409" s="98"/>
      <c r="Z409" s="98"/>
    </row>
    <row r="410" hidden="1" outlineLevel="1">
      <c r="A410" s="293"/>
      <c r="B410" s="116"/>
      <c r="C410" s="294" t="s">
        <v>71</v>
      </c>
      <c r="D410" s="297"/>
      <c r="E410" s="296"/>
      <c r="F410" s="296"/>
      <c r="G410" s="104" t="str">
        <f t="shared" si="1"/>
        <v>#DIV/0!</v>
      </c>
      <c r="H410" s="105" t="str">
        <f t="shared" si="2"/>
        <v>#DIV/0!</v>
      </c>
      <c r="I410" s="106" t="str">
        <f t="shared" si="3"/>
        <v>#DIV/0!</v>
      </c>
      <c r="J410" s="117">
        <v>13.1</v>
      </c>
      <c r="K410" s="278">
        <v>4062.0</v>
      </c>
      <c r="L410" s="296"/>
      <c r="M410" s="118">
        <v>38.97</v>
      </c>
      <c r="N410" s="109">
        <f t="shared" si="234"/>
        <v>0.3361560174</v>
      </c>
      <c r="O410" s="110">
        <f t="shared" si="5"/>
        <v>2.97480916</v>
      </c>
      <c r="P410" s="109" t="str">
        <f t="shared" si="6"/>
        <v>#DIV/0!</v>
      </c>
      <c r="Q410" s="111" t="str">
        <f t="shared" si="7"/>
        <v>#DIV/0!</v>
      </c>
      <c r="R410" s="119">
        <f t="shared" si="240"/>
        <v>-38.97</v>
      </c>
      <c r="S410" s="113" t="str">
        <f t="shared" si="9"/>
        <v>#DIV/0!</v>
      </c>
      <c r="T410" s="114"/>
      <c r="U410" s="114"/>
      <c r="V410" s="114"/>
      <c r="W410" s="114"/>
      <c r="X410" s="115"/>
      <c r="Y410" s="98"/>
      <c r="Z410" s="98"/>
    </row>
    <row r="411" hidden="1" outlineLevel="1">
      <c r="A411" s="293"/>
      <c r="B411" s="116"/>
      <c r="C411" s="294" t="s">
        <v>72</v>
      </c>
      <c r="D411" s="298"/>
      <c r="E411" s="296"/>
      <c r="F411" s="296"/>
      <c r="G411" s="104" t="str">
        <f t="shared" si="1"/>
        <v>#DIV/0!</v>
      </c>
      <c r="H411" s="105" t="str">
        <f t="shared" si="2"/>
        <v>#DIV/0!</v>
      </c>
      <c r="I411" s="106" t="str">
        <f t="shared" si="3"/>
        <v>#DIV/0!</v>
      </c>
      <c r="J411" s="120">
        <v>213.72</v>
      </c>
      <c r="K411" s="278">
        <v>48106.0</v>
      </c>
      <c r="L411" s="296"/>
      <c r="M411" s="121">
        <v>609.25</v>
      </c>
      <c r="N411" s="109">
        <f>(J411/M411)</f>
        <v>0.3507919573</v>
      </c>
      <c r="O411" s="110">
        <f t="shared" si="5"/>
        <v>2.850692495</v>
      </c>
      <c r="P411" s="109" t="str">
        <f t="shared" si="6"/>
        <v>#DIV/0!</v>
      </c>
      <c r="Q411" s="111" t="str">
        <f t="shared" si="7"/>
        <v>#DIV/0!</v>
      </c>
      <c r="R411" s="122">
        <f t="shared" si="240"/>
        <v>-609.25</v>
      </c>
      <c r="S411" s="113" t="str">
        <f t="shared" si="9"/>
        <v>#DIV/0!</v>
      </c>
      <c r="T411" s="114"/>
      <c r="U411" s="114"/>
      <c r="V411" s="114"/>
      <c r="W411" s="114"/>
      <c r="X411" s="115"/>
      <c r="Y411" s="98"/>
      <c r="Z411" s="98"/>
    </row>
    <row r="412" hidden="1" outlineLevel="1">
      <c r="A412" s="293"/>
      <c r="B412" s="116"/>
      <c r="C412" s="294" t="s">
        <v>73</v>
      </c>
      <c r="D412" s="298"/>
      <c r="E412" s="296"/>
      <c r="F412" s="296"/>
      <c r="G412" s="104" t="str">
        <f t="shared" si="1"/>
        <v>#DIV/0!</v>
      </c>
      <c r="H412" s="105" t="str">
        <f t="shared" si="2"/>
        <v>#DIV/0!</v>
      </c>
      <c r="I412" s="106" t="str">
        <f t="shared" si="3"/>
        <v>#DIV/0!</v>
      </c>
      <c r="J412" s="120">
        <v>1.29</v>
      </c>
      <c r="K412" s="278">
        <v>922.0</v>
      </c>
      <c r="L412" s="296"/>
      <c r="M412" s="121">
        <v>0.0</v>
      </c>
      <c r="N412" s="109" t="str">
        <f t="shared" ref="N412:N422" si="241">J412/M412</f>
        <v>#DIV/0!</v>
      </c>
      <c r="O412" s="110">
        <f t="shared" si="5"/>
        <v>0</v>
      </c>
      <c r="P412" s="109" t="str">
        <f t="shared" si="6"/>
        <v>#DIV/0!</v>
      </c>
      <c r="Q412" s="111" t="str">
        <f t="shared" si="7"/>
        <v>#DIV/0!</v>
      </c>
      <c r="R412" s="122">
        <f t="shared" si="240"/>
        <v>0</v>
      </c>
      <c r="S412" s="113" t="str">
        <f t="shared" si="9"/>
        <v>#DIV/0!</v>
      </c>
      <c r="T412" s="114"/>
      <c r="U412" s="114"/>
      <c r="V412" s="114"/>
      <c r="W412" s="114"/>
      <c r="X412" s="115"/>
      <c r="Y412" s="98"/>
      <c r="Z412" s="98"/>
    </row>
    <row r="413" hidden="1" outlineLevel="1">
      <c r="A413" s="293"/>
      <c r="B413" s="116"/>
      <c r="C413" s="294" t="s">
        <v>74</v>
      </c>
      <c r="D413" s="299"/>
      <c r="E413" s="296"/>
      <c r="F413" s="296"/>
      <c r="G413" s="104" t="str">
        <f t="shared" si="1"/>
        <v>#DIV/0!</v>
      </c>
      <c r="H413" s="105" t="str">
        <f t="shared" si="2"/>
        <v>#DIV/0!</v>
      </c>
      <c r="I413" s="106" t="str">
        <f t="shared" si="3"/>
        <v>#DIV/0!</v>
      </c>
      <c r="J413" s="300">
        <v>0.42</v>
      </c>
      <c r="K413" s="278">
        <v>339.0</v>
      </c>
      <c r="L413" s="296"/>
      <c r="M413" s="300">
        <v>0.0</v>
      </c>
      <c r="N413" s="109" t="str">
        <f t="shared" si="241"/>
        <v>#DIV/0!</v>
      </c>
      <c r="O413" s="110">
        <f t="shared" si="5"/>
        <v>0</v>
      </c>
      <c r="P413" s="109" t="str">
        <f t="shared" si="6"/>
        <v>#DIV/0!</v>
      </c>
      <c r="Q413" s="111" t="str">
        <f t="shared" si="7"/>
        <v>#DIV/0!</v>
      </c>
      <c r="R413" s="122">
        <f t="shared" si="240"/>
        <v>0</v>
      </c>
      <c r="S413" s="113" t="str">
        <f t="shared" si="9"/>
        <v>#DIV/0!</v>
      </c>
      <c r="T413" s="114"/>
      <c r="U413" s="114"/>
      <c r="V413" s="114"/>
      <c r="W413" s="114"/>
      <c r="X413" s="115"/>
      <c r="Y413" s="98"/>
      <c r="Z413" s="98"/>
    </row>
    <row r="414" hidden="1" outlineLevel="1">
      <c r="A414" s="293"/>
      <c r="B414" s="116"/>
      <c r="C414" s="294" t="s">
        <v>75</v>
      </c>
      <c r="D414" s="301"/>
      <c r="E414" s="296"/>
      <c r="F414" s="296"/>
      <c r="G414" s="104" t="str">
        <f t="shared" si="1"/>
        <v>#DIV/0!</v>
      </c>
      <c r="H414" s="105" t="str">
        <f t="shared" si="2"/>
        <v>#DIV/0!</v>
      </c>
      <c r="I414" s="106" t="str">
        <f t="shared" si="3"/>
        <v>#DIV/0!</v>
      </c>
      <c r="J414" s="302">
        <v>11.24</v>
      </c>
      <c r="K414" s="278">
        <v>2903.0</v>
      </c>
      <c r="L414" s="296"/>
      <c r="M414" s="303">
        <v>26.97</v>
      </c>
      <c r="N414" s="109">
        <f t="shared" si="241"/>
        <v>0.4167593623</v>
      </c>
      <c r="O414" s="110">
        <f t="shared" si="5"/>
        <v>2.399466192</v>
      </c>
      <c r="P414" s="109" t="str">
        <f t="shared" si="6"/>
        <v>#DIV/0!</v>
      </c>
      <c r="Q414" s="111" t="str">
        <f t="shared" si="7"/>
        <v>#DIV/0!</v>
      </c>
      <c r="R414" s="304">
        <f t="shared" si="240"/>
        <v>-26.97</v>
      </c>
      <c r="S414" s="113" t="str">
        <f t="shared" si="9"/>
        <v>#DIV/0!</v>
      </c>
      <c r="T414" s="114"/>
      <c r="U414" s="114"/>
      <c r="V414" s="114"/>
      <c r="W414" s="114"/>
      <c r="X414" s="115"/>
      <c r="Y414" s="98"/>
      <c r="Z414" s="98"/>
    </row>
    <row r="415" hidden="1" outlineLevel="1">
      <c r="A415" s="293"/>
      <c r="B415" s="116"/>
      <c r="C415" s="294" t="s">
        <v>76</v>
      </c>
      <c r="D415" s="298"/>
      <c r="E415" s="296"/>
      <c r="F415" s="296"/>
      <c r="G415" s="104" t="str">
        <f t="shared" si="1"/>
        <v>#DIV/0!</v>
      </c>
      <c r="H415" s="105" t="str">
        <f t="shared" si="2"/>
        <v>#DIV/0!</v>
      </c>
      <c r="I415" s="106" t="str">
        <f t="shared" si="3"/>
        <v>#DIV/0!</v>
      </c>
      <c r="J415" s="120">
        <v>393.79</v>
      </c>
      <c r="K415" s="278">
        <v>49758.0</v>
      </c>
      <c r="L415" s="296"/>
      <c r="M415" s="121">
        <v>1159.72</v>
      </c>
      <c r="N415" s="109">
        <f t="shared" si="241"/>
        <v>0.3395560997</v>
      </c>
      <c r="O415" s="110">
        <f t="shared" si="5"/>
        <v>2.945021458</v>
      </c>
      <c r="P415" s="109" t="str">
        <f t="shared" si="6"/>
        <v>#DIV/0!</v>
      </c>
      <c r="Q415" s="111" t="str">
        <f t="shared" si="7"/>
        <v>#DIV/0!</v>
      </c>
      <c r="R415" s="122">
        <f t="shared" si="240"/>
        <v>-1159.72</v>
      </c>
      <c r="S415" s="113" t="str">
        <f t="shared" si="9"/>
        <v>#DIV/0!</v>
      </c>
      <c r="T415" s="114"/>
      <c r="U415" s="114"/>
      <c r="V415" s="114"/>
      <c r="W415" s="114"/>
      <c r="X415" s="115"/>
      <c r="Y415" s="98"/>
      <c r="Z415" s="98"/>
    </row>
    <row r="416" hidden="1" outlineLevel="1">
      <c r="A416" s="293"/>
      <c r="B416" s="99" t="s">
        <v>37</v>
      </c>
      <c r="C416" s="294" t="s">
        <v>77</v>
      </c>
      <c r="D416" s="305"/>
      <c r="E416" s="296"/>
      <c r="F416" s="296"/>
      <c r="G416" s="104" t="str">
        <f t="shared" si="1"/>
        <v>#DIV/0!</v>
      </c>
      <c r="H416" s="105" t="str">
        <f t="shared" si="2"/>
        <v>#DIV/0!</v>
      </c>
      <c r="I416" s="106" t="str">
        <f t="shared" si="3"/>
        <v>#DIV/0!</v>
      </c>
      <c r="J416" s="123">
        <v>106.05</v>
      </c>
      <c r="K416" s="278">
        <v>20261.0</v>
      </c>
      <c r="L416" s="296"/>
      <c r="M416" s="124">
        <v>0.0</v>
      </c>
      <c r="N416" s="109" t="str">
        <f t="shared" si="241"/>
        <v>#DIV/0!</v>
      </c>
      <c r="O416" s="110">
        <f t="shared" si="5"/>
        <v>0</v>
      </c>
      <c r="P416" s="109" t="str">
        <f t="shared" si="6"/>
        <v>#DIV/0!</v>
      </c>
      <c r="Q416" s="111" t="str">
        <f t="shared" si="7"/>
        <v>#DIV/0!</v>
      </c>
      <c r="R416" s="125">
        <f t="shared" si="240"/>
        <v>0</v>
      </c>
      <c r="S416" s="113" t="str">
        <f t="shared" si="9"/>
        <v>#DIV/0!</v>
      </c>
      <c r="T416" s="114"/>
      <c r="U416" s="114"/>
      <c r="V416" s="114"/>
      <c r="W416" s="114"/>
      <c r="X416" s="115"/>
      <c r="Y416" s="98"/>
      <c r="Z416" s="98"/>
    </row>
    <row r="417" hidden="1" outlineLevel="1">
      <c r="A417" s="293"/>
      <c r="B417" s="116"/>
      <c r="C417" s="294" t="s">
        <v>78</v>
      </c>
      <c r="D417" s="306"/>
      <c r="E417" s="296"/>
      <c r="F417" s="296"/>
      <c r="G417" s="104" t="str">
        <f t="shared" si="1"/>
        <v>#DIV/0!</v>
      </c>
      <c r="H417" s="105" t="str">
        <f t="shared" si="2"/>
        <v>#DIV/0!</v>
      </c>
      <c r="I417" s="106" t="str">
        <f t="shared" si="3"/>
        <v>#DIV/0!</v>
      </c>
      <c r="J417" s="126">
        <v>18.56</v>
      </c>
      <c r="K417" s="278">
        <v>6417.0</v>
      </c>
      <c r="L417" s="296"/>
      <c r="M417" s="127">
        <v>0.0</v>
      </c>
      <c r="N417" s="109" t="str">
        <f t="shared" si="241"/>
        <v>#DIV/0!</v>
      </c>
      <c r="O417" s="110">
        <f t="shared" si="5"/>
        <v>0</v>
      </c>
      <c r="P417" s="109" t="str">
        <f t="shared" si="6"/>
        <v>#DIV/0!</v>
      </c>
      <c r="Q417" s="111" t="str">
        <f t="shared" si="7"/>
        <v>#DIV/0!</v>
      </c>
      <c r="R417" s="128">
        <f t="shared" si="240"/>
        <v>0</v>
      </c>
      <c r="S417" s="113" t="str">
        <f t="shared" si="9"/>
        <v>#DIV/0!</v>
      </c>
      <c r="T417" s="114"/>
      <c r="U417" s="114"/>
      <c r="V417" s="114"/>
      <c r="W417" s="114"/>
      <c r="X417" s="115"/>
      <c r="Y417" s="98"/>
      <c r="Z417" s="98"/>
    </row>
    <row r="418" hidden="1" outlineLevel="1">
      <c r="A418" s="293"/>
      <c r="B418" s="116"/>
      <c r="C418" s="294" t="s">
        <v>79</v>
      </c>
      <c r="D418" s="307"/>
      <c r="E418" s="296"/>
      <c r="F418" s="296"/>
      <c r="G418" s="104" t="str">
        <f t="shared" si="1"/>
        <v>#DIV/0!</v>
      </c>
      <c r="H418" s="105" t="str">
        <f t="shared" si="2"/>
        <v>#DIV/0!</v>
      </c>
      <c r="I418" s="106" t="str">
        <f t="shared" si="3"/>
        <v>#DIV/0!</v>
      </c>
      <c r="J418" s="129">
        <v>16.15</v>
      </c>
      <c r="K418" s="278">
        <v>5612.0</v>
      </c>
      <c r="L418" s="296"/>
      <c r="M418" s="130">
        <v>0.0</v>
      </c>
      <c r="N418" s="109" t="str">
        <f t="shared" si="241"/>
        <v>#DIV/0!</v>
      </c>
      <c r="O418" s="110">
        <f t="shared" si="5"/>
        <v>0</v>
      </c>
      <c r="P418" s="109" t="str">
        <f t="shared" si="6"/>
        <v>#DIV/0!</v>
      </c>
      <c r="Q418" s="111" t="str">
        <f t="shared" si="7"/>
        <v>#DIV/0!</v>
      </c>
      <c r="R418" s="131">
        <f t="shared" si="240"/>
        <v>0</v>
      </c>
      <c r="S418" s="113" t="str">
        <f t="shared" si="9"/>
        <v>#DIV/0!</v>
      </c>
      <c r="T418" s="114"/>
      <c r="U418" s="114"/>
      <c r="V418" s="114"/>
      <c r="W418" s="114"/>
      <c r="X418" s="115"/>
      <c r="Y418" s="98"/>
      <c r="Z418" s="98"/>
    </row>
    <row r="419" hidden="1" outlineLevel="1">
      <c r="A419" s="310" t="str">
        <f t="shared" ref="A419:A420" si="242">iferror(if(B419&gt;0,month(B419)&amp;"-"&amp;year(B419),B419),)</f>
        <v>10-2025</v>
      </c>
      <c r="B419" s="99">
        <v>45948.0</v>
      </c>
      <c r="C419" s="294" t="s">
        <v>81</v>
      </c>
      <c r="D419" s="311"/>
      <c r="E419" s="296"/>
      <c r="F419" s="296"/>
      <c r="G419" s="104" t="str">
        <f t="shared" si="1"/>
        <v>#DIV/0!</v>
      </c>
      <c r="H419" s="105" t="str">
        <f t="shared" si="2"/>
        <v>#DIV/0!</v>
      </c>
      <c r="I419" s="106" t="str">
        <f t="shared" si="3"/>
        <v>#DIV/0!</v>
      </c>
      <c r="J419" s="117">
        <v>0.0</v>
      </c>
      <c r="K419" s="278">
        <v>0.0</v>
      </c>
      <c r="L419" s="296"/>
      <c r="M419" s="118">
        <v>0.0</v>
      </c>
      <c r="N419" s="109" t="str">
        <f t="shared" si="241"/>
        <v>#DIV/0!</v>
      </c>
      <c r="O419" s="110" t="str">
        <f t="shared" si="5"/>
        <v>#DIV/0!</v>
      </c>
      <c r="P419" s="109" t="str">
        <f t="shared" si="6"/>
        <v>#DIV/0!</v>
      </c>
      <c r="Q419" s="111" t="str">
        <f t="shared" si="7"/>
        <v>#DIV/0!</v>
      </c>
      <c r="R419" s="112">
        <f t="shared" si="240"/>
        <v>0</v>
      </c>
      <c r="S419" s="113" t="str">
        <f t="shared" si="9"/>
        <v>#DIV/0!</v>
      </c>
      <c r="T419" s="114"/>
      <c r="U419" s="114"/>
      <c r="V419" s="114"/>
      <c r="W419" s="114"/>
      <c r="X419" s="115"/>
      <c r="Y419" s="98"/>
      <c r="Z419" s="98"/>
    </row>
    <row r="420" collapsed="1">
      <c r="A420" s="293" t="str">
        <f t="shared" si="242"/>
        <v/>
      </c>
      <c r="B420" s="80" t="s">
        <v>129</v>
      </c>
      <c r="C420" s="312"/>
      <c r="D420" s="151">
        <f t="shared" ref="D420:F420" si="243">SUM(D409:D419)</f>
        <v>0</v>
      </c>
      <c r="E420" s="153">
        <f t="shared" si="243"/>
        <v>0</v>
      </c>
      <c r="F420" s="153">
        <f t="shared" si="243"/>
        <v>0</v>
      </c>
      <c r="G420" s="154" t="str">
        <f t="shared" si="1"/>
        <v>#DIV/0!</v>
      </c>
      <c r="H420" s="155" t="str">
        <f t="shared" si="2"/>
        <v>#DIV/0!</v>
      </c>
      <c r="I420" s="156" t="str">
        <f t="shared" si="3"/>
        <v>#DIV/0!</v>
      </c>
      <c r="J420" s="151">
        <f t="shared" ref="J420:M420" si="244">SUM(J409:J419)</f>
        <v>795.17</v>
      </c>
      <c r="K420" s="313">
        <f t="shared" si="244"/>
        <v>149429</v>
      </c>
      <c r="L420" s="153">
        <f t="shared" si="244"/>
        <v>0</v>
      </c>
      <c r="M420" s="157">
        <f t="shared" si="244"/>
        <v>2170.66</v>
      </c>
      <c r="N420" s="158">
        <f t="shared" si="241"/>
        <v>0.3663263708</v>
      </c>
      <c r="O420" s="159">
        <f t="shared" si="5"/>
        <v>2.729806205</v>
      </c>
      <c r="P420" s="158" t="str">
        <f t="shared" si="6"/>
        <v>#DIV/0!</v>
      </c>
      <c r="Q420" s="160" t="str">
        <f t="shared" si="7"/>
        <v>#DIV/0!</v>
      </c>
      <c r="R420" s="161">
        <f>SUM(R409:R419)</f>
        <v>-2170.66</v>
      </c>
      <c r="S420" s="162" t="str">
        <f t="shared" si="9"/>
        <v>#DIV/0!</v>
      </c>
      <c r="T420" s="164" t="str">
        <f t="shared" ref="T420:U420" si="245">IFERROR((D420-D48)/D420,)</f>
        <v/>
      </c>
      <c r="U420" s="164" t="str">
        <f t="shared" si="245"/>
        <v/>
      </c>
      <c r="V420" s="164" t="str">
        <f t="shared" ref="V420:W420" si="246">IFERROR((D420-monthly_reporting_2021!D211)/D420, )</f>
        <v/>
      </c>
      <c r="W420" s="164" t="str">
        <f t="shared" si="246"/>
        <v/>
      </c>
      <c r="X420" s="98"/>
      <c r="Y420" s="98"/>
      <c r="Z420" s="98"/>
    </row>
    <row r="421" hidden="1" outlineLevel="1">
      <c r="A421" s="293"/>
      <c r="B421" s="99">
        <v>45949.0</v>
      </c>
      <c r="C421" s="294" t="s">
        <v>70</v>
      </c>
      <c r="D421" s="295"/>
      <c r="E421" s="296"/>
      <c r="F421" s="296"/>
      <c r="G421" s="104" t="str">
        <f t="shared" si="1"/>
        <v>#DIV/0!</v>
      </c>
      <c r="H421" s="105" t="str">
        <f t="shared" si="2"/>
        <v>#DIV/0!</v>
      </c>
      <c r="I421" s="106" t="str">
        <f t="shared" si="3"/>
        <v>#DIV/0!</v>
      </c>
      <c r="J421" s="107">
        <v>42.8</v>
      </c>
      <c r="K421" s="278">
        <v>13211.0</v>
      </c>
      <c r="L421" s="296"/>
      <c r="M421" s="108">
        <v>36.9</v>
      </c>
      <c r="N421" s="109">
        <f t="shared" si="241"/>
        <v>1.159891599</v>
      </c>
      <c r="O421" s="110">
        <f t="shared" si="5"/>
        <v>0.8621495327</v>
      </c>
      <c r="P421" s="109" t="str">
        <f t="shared" si="6"/>
        <v>#DIV/0!</v>
      </c>
      <c r="Q421" s="111" t="str">
        <f t="shared" si="7"/>
        <v>#DIV/0!</v>
      </c>
      <c r="R421" s="112">
        <f t="shared" ref="R421:R431" si="247">D421-M421</f>
        <v>-36.9</v>
      </c>
      <c r="S421" s="113" t="str">
        <f t="shared" si="9"/>
        <v>#DIV/0!</v>
      </c>
      <c r="T421" s="114"/>
      <c r="U421" s="114"/>
      <c r="V421" s="114"/>
      <c r="W421" s="114"/>
      <c r="X421" s="115"/>
      <c r="Y421" s="98"/>
      <c r="Z421" s="98"/>
    </row>
    <row r="422" hidden="1" outlineLevel="1">
      <c r="A422" s="293"/>
      <c r="B422" s="116"/>
      <c r="C422" s="294" t="s">
        <v>71</v>
      </c>
      <c r="D422" s="297"/>
      <c r="E422" s="296"/>
      <c r="F422" s="296"/>
      <c r="G422" s="104" t="str">
        <f t="shared" si="1"/>
        <v>#DIV/0!</v>
      </c>
      <c r="H422" s="105" t="str">
        <f t="shared" si="2"/>
        <v>#DIV/0!</v>
      </c>
      <c r="I422" s="106" t="str">
        <f t="shared" si="3"/>
        <v>#DIV/0!</v>
      </c>
      <c r="J422" s="117">
        <v>14.23</v>
      </c>
      <c r="K422" s="278">
        <v>3117.0</v>
      </c>
      <c r="L422" s="296"/>
      <c r="M422" s="118">
        <v>119.9</v>
      </c>
      <c r="N422" s="109">
        <f t="shared" si="241"/>
        <v>0.1186822352</v>
      </c>
      <c r="O422" s="110">
        <f t="shared" si="5"/>
        <v>8.425860857</v>
      </c>
      <c r="P422" s="109" t="str">
        <f t="shared" si="6"/>
        <v>#DIV/0!</v>
      </c>
      <c r="Q422" s="111" t="str">
        <f t="shared" si="7"/>
        <v>#DIV/0!</v>
      </c>
      <c r="R422" s="119">
        <f t="shared" si="247"/>
        <v>-119.9</v>
      </c>
      <c r="S422" s="113" t="str">
        <f t="shared" si="9"/>
        <v>#DIV/0!</v>
      </c>
      <c r="T422" s="114"/>
      <c r="U422" s="114"/>
      <c r="V422" s="114"/>
      <c r="W422" s="114"/>
      <c r="X422" s="115"/>
      <c r="Y422" s="98"/>
      <c r="Z422" s="98"/>
    </row>
    <row r="423" hidden="1" outlineLevel="1">
      <c r="A423" s="293"/>
      <c r="B423" s="116"/>
      <c r="C423" s="294" t="s">
        <v>72</v>
      </c>
      <c r="D423" s="298"/>
      <c r="E423" s="296"/>
      <c r="F423" s="296"/>
      <c r="G423" s="104" t="str">
        <f t="shared" si="1"/>
        <v>#DIV/0!</v>
      </c>
      <c r="H423" s="105" t="str">
        <f t="shared" si="2"/>
        <v>#DIV/0!</v>
      </c>
      <c r="I423" s="106" t="str">
        <f t="shared" si="3"/>
        <v>#DIV/0!</v>
      </c>
      <c r="J423" s="120">
        <v>383.02</v>
      </c>
      <c r="K423" s="278">
        <v>54370.0</v>
      </c>
      <c r="L423" s="296"/>
      <c r="M423" s="121">
        <v>146.64</v>
      </c>
      <c r="N423" s="109">
        <f>(J423/M423)</f>
        <v>2.611974905</v>
      </c>
      <c r="O423" s="110">
        <f t="shared" si="5"/>
        <v>0.3828520704</v>
      </c>
      <c r="P423" s="109" t="str">
        <f t="shared" si="6"/>
        <v>#DIV/0!</v>
      </c>
      <c r="Q423" s="111" t="str">
        <f t="shared" si="7"/>
        <v>#DIV/0!</v>
      </c>
      <c r="R423" s="122">
        <f t="shared" si="247"/>
        <v>-146.64</v>
      </c>
      <c r="S423" s="113" t="str">
        <f t="shared" si="9"/>
        <v>#DIV/0!</v>
      </c>
      <c r="T423" s="114"/>
      <c r="U423" s="114"/>
      <c r="V423" s="114"/>
      <c r="W423" s="114"/>
      <c r="X423" s="115"/>
      <c r="Y423" s="98"/>
      <c r="Z423" s="98"/>
    </row>
    <row r="424" hidden="1" outlineLevel="1">
      <c r="A424" s="293"/>
      <c r="B424" s="116"/>
      <c r="C424" s="294" t="s">
        <v>73</v>
      </c>
      <c r="D424" s="298"/>
      <c r="E424" s="296"/>
      <c r="F424" s="296"/>
      <c r="G424" s="104" t="str">
        <f t="shared" si="1"/>
        <v>#DIV/0!</v>
      </c>
      <c r="H424" s="105" t="str">
        <f t="shared" si="2"/>
        <v>#DIV/0!</v>
      </c>
      <c r="I424" s="106" t="str">
        <f t="shared" si="3"/>
        <v>#DIV/0!</v>
      </c>
      <c r="J424" s="120">
        <v>1.08</v>
      </c>
      <c r="K424" s="278">
        <v>874.0</v>
      </c>
      <c r="L424" s="296"/>
      <c r="M424" s="121">
        <v>59.95</v>
      </c>
      <c r="N424" s="109">
        <f t="shared" ref="N424:N434" si="248">J424/M424</f>
        <v>0.01801501251</v>
      </c>
      <c r="O424" s="110">
        <f t="shared" si="5"/>
        <v>55.50925926</v>
      </c>
      <c r="P424" s="109" t="str">
        <f t="shared" si="6"/>
        <v>#DIV/0!</v>
      </c>
      <c r="Q424" s="111" t="str">
        <f t="shared" si="7"/>
        <v>#DIV/0!</v>
      </c>
      <c r="R424" s="122">
        <f t="shared" si="247"/>
        <v>-59.95</v>
      </c>
      <c r="S424" s="113" t="str">
        <f t="shared" si="9"/>
        <v>#DIV/0!</v>
      </c>
      <c r="T424" s="114"/>
      <c r="U424" s="114"/>
      <c r="V424" s="114"/>
      <c r="W424" s="114"/>
      <c r="X424" s="115"/>
      <c r="Y424" s="98"/>
      <c r="Z424" s="98"/>
    </row>
    <row r="425" hidden="1" outlineLevel="1">
      <c r="A425" s="293"/>
      <c r="B425" s="116"/>
      <c r="C425" s="294" t="s">
        <v>74</v>
      </c>
      <c r="D425" s="299"/>
      <c r="E425" s="296"/>
      <c r="F425" s="296"/>
      <c r="G425" s="104" t="str">
        <f t="shared" si="1"/>
        <v>#DIV/0!</v>
      </c>
      <c r="H425" s="105" t="str">
        <f t="shared" si="2"/>
        <v>#DIV/0!</v>
      </c>
      <c r="I425" s="106" t="str">
        <f t="shared" si="3"/>
        <v>#DIV/0!</v>
      </c>
      <c r="J425" s="300">
        <v>11.02</v>
      </c>
      <c r="K425" s="278">
        <v>836.0</v>
      </c>
      <c r="L425" s="296"/>
      <c r="M425" s="300">
        <v>0.0</v>
      </c>
      <c r="N425" s="109" t="str">
        <f t="shared" si="248"/>
        <v>#DIV/0!</v>
      </c>
      <c r="O425" s="110">
        <f t="shared" si="5"/>
        <v>0</v>
      </c>
      <c r="P425" s="109" t="str">
        <f t="shared" si="6"/>
        <v>#DIV/0!</v>
      </c>
      <c r="Q425" s="111" t="str">
        <f t="shared" si="7"/>
        <v>#DIV/0!</v>
      </c>
      <c r="R425" s="122">
        <f t="shared" si="247"/>
        <v>0</v>
      </c>
      <c r="S425" s="113" t="str">
        <f t="shared" si="9"/>
        <v>#DIV/0!</v>
      </c>
      <c r="T425" s="114"/>
      <c r="U425" s="114"/>
      <c r="V425" s="114"/>
      <c r="W425" s="114"/>
      <c r="X425" s="115"/>
      <c r="Y425" s="98"/>
      <c r="Z425" s="98"/>
    </row>
    <row r="426" hidden="1" outlineLevel="1">
      <c r="A426" s="293"/>
      <c r="B426" s="116"/>
      <c r="C426" s="294" t="s">
        <v>75</v>
      </c>
      <c r="D426" s="301"/>
      <c r="E426" s="296"/>
      <c r="F426" s="296"/>
      <c r="G426" s="104" t="str">
        <f t="shared" si="1"/>
        <v>#DIV/0!</v>
      </c>
      <c r="H426" s="105" t="str">
        <f t="shared" si="2"/>
        <v>#DIV/0!</v>
      </c>
      <c r="I426" s="106" t="str">
        <f t="shared" si="3"/>
        <v>#DIV/0!</v>
      </c>
      <c r="J426" s="302">
        <v>18.47</v>
      </c>
      <c r="K426" s="278">
        <v>4018.0</v>
      </c>
      <c r="L426" s="296"/>
      <c r="M426" s="303">
        <v>0.0</v>
      </c>
      <c r="N426" s="109" t="str">
        <f t="shared" si="248"/>
        <v>#DIV/0!</v>
      </c>
      <c r="O426" s="110">
        <f t="shared" si="5"/>
        <v>0</v>
      </c>
      <c r="P426" s="109" t="str">
        <f t="shared" si="6"/>
        <v>#DIV/0!</v>
      </c>
      <c r="Q426" s="111" t="str">
        <f t="shared" si="7"/>
        <v>#DIV/0!</v>
      </c>
      <c r="R426" s="304">
        <f t="shared" si="247"/>
        <v>0</v>
      </c>
      <c r="S426" s="113" t="str">
        <f t="shared" si="9"/>
        <v>#DIV/0!</v>
      </c>
      <c r="T426" s="114"/>
      <c r="U426" s="114"/>
      <c r="V426" s="114"/>
      <c r="W426" s="114"/>
      <c r="X426" s="115"/>
      <c r="Y426" s="98"/>
      <c r="Z426" s="98"/>
    </row>
    <row r="427" hidden="1" outlineLevel="1">
      <c r="A427" s="293"/>
      <c r="B427" s="116"/>
      <c r="C427" s="294" t="s">
        <v>76</v>
      </c>
      <c r="D427" s="298"/>
      <c r="E427" s="296"/>
      <c r="F427" s="296"/>
      <c r="G427" s="104" t="str">
        <f t="shared" si="1"/>
        <v>#DIV/0!</v>
      </c>
      <c r="H427" s="105" t="str">
        <f t="shared" si="2"/>
        <v>#DIV/0!</v>
      </c>
      <c r="I427" s="106" t="str">
        <f t="shared" si="3"/>
        <v>#DIV/0!</v>
      </c>
      <c r="J427" s="120">
        <v>494.29</v>
      </c>
      <c r="K427" s="278">
        <v>39800.0</v>
      </c>
      <c r="L427" s="296"/>
      <c r="M427" s="121">
        <v>634.85</v>
      </c>
      <c r="N427" s="109">
        <f t="shared" si="248"/>
        <v>0.7785933685</v>
      </c>
      <c r="O427" s="110">
        <f t="shared" si="5"/>
        <v>1.284367477</v>
      </c>
      <c r="P427" s="109" t="str">
        <f t="shared" si="6"/>
        <v>#DIV/0!</v>
      </c>
      <c r="Q427" s="111" t="str">
        <f t="shared" si="7"/>
        <v>#DIV/0!</v>
      </c>
      <c r="R427" s="122">
        <f t="shared" si="247"/>
        <v>-634.85</v>
      </c>
      <c r="S427" s="113" t="str">
        <f t="shared" si="9"/>
        <v>#DIV/0!</v>
      </c>
      <c r="T427" s="114"/>
      <c r="U427" s="114"/>
      <c r="V427" s="114"/>
      <c r="W427" s="114"/>
      <c r="X427" s="115"/>
      <c r="Y427" s="98"/>
      <c r="Z427" s="98"/>
    </row>
    <row r="428" hidden="1" outlineLevel="1">
      <c r="A428" s="293"/>
      <c r="B428" s="99" t="s">
        <v>37</v>
      </c>
      <c r="C428" s="294" t="s">
        <v>77</v>
      </c>
      <c r="D428" s="305"/>
      <c r="E428" s="296"/>
      <c r="F428" s="296"/>
      <c r="G428" s="104" t="str">
        <f t="shared" si="1"/>
        <v>#DIV/0!</v>
      </c>
      <c r="H428" s="105" t="str">
        <f t="shared" si="2"/>
        <v>#DIV/0!</v>
      </c>
      <c r="I428" s="106" t="str">
        <f t="shared" si="3"/>
        <v>#DIV/0!</v>
      </c>
      <c r="J428" s="123">
        <v>98.79</v>
      </c>
      <c r="K428" s="278">
        <v>11565.0</v>
      </c>
      <c r="L428" s="296"/>
      <c r="M428" s="124">
        <v>389.95</v>
      </c>
      <c r="N428" s="109">
        <f t="shared" si="248"/>
        <v>0.2533401718</v>
      </c>
      <c r="O428" s="110">
        <f t="shared" si="5"/>
        <v>3.947261869</v>
      </c>
      <c r="P428" s="109" t="str">
        <f t="shared" si="6"/>
        <v>#DIV/0!</v>
      </c>
      <c r="Q428" s="111" t="str">
        <f t="shared" si="7"/>
        <v>#DIV/0!</v>
      </c>
      <c r="R428" s="125">
        <f t="shared" si="247"/>
        <v>-389.95</v>
      </c>
      <c r="S428" s="113" t="str">
        <f t="shared" si="9"/>
        <v>#DIV/0!</v>
      </c>
      <c r="T428" s="114"/>
      <c r="U428" s="114"/>
      <c r="V428" s="114"/>
      <c r="W428" s="114"/>
      <c r="X428" s="115"/>
      <c r="Y428" s="98"/>
      <c r="Z428" s="98"/>
    </row>
    <row r="429" hidden="1" outlineLevel="1">
      <c r="A429" s="293"/>
      <c r="B429" s="116"/>
      <c r="C429" s="294" t="s">
        <v>78</v>
      </c>
      <c r="D429" s="306"/>
      <c r="E429" s="296"/>
      <c r="F429" s="296"/>
      <c r="G429" s="104" t="str">
        <f t="shared" si="1"/>
        <v>#DIV/0!</v>
      </c>
      <c r="H429" s="105" t="str">
        <f t="shared" si="2"/>
        <v>#DIV/0!</v>
      </c>
      <c r="I429" s="106" t="str">
        <f t="shared" si="3"/>
        <v>#DIV/0!</v>
      </c>
      <c r="J429" s="126">
        <v>95.52</v>
      </c>
      <c r="K429" s="278">
        <v>5289.0</v>
      </c>
      <c r="L429" s="296"/>
      <c r="M429" s="127">
        <v>0.0</v>
      </c>
      <c r="N429" s="109" t="str">
        <f t="shared" si="248"/>
        <v>#DIV/0!</v>
      </c>
      <c r="O429" s="110">
        <f t="shared" si="5"/>
        <v>0</v>
      </c>
      <c r="P429" s="109" t="str">
        <f t="shared" si="6"/>
        <v>#DIV/0!</v>
      </c>
      <c r="Q429" s="111" t="str">
        <f t="shared" si="7"/>
        <v>#DIV/0!</v>
      </c>
      <c r="R429" s="128">
        <f t="shared" si="247"/>
        <v>0</v>
      </c>
      <c r="S429" s="113" t="str">
        <f t="shared" si="9"/>
        <v>#DIV/0!</v>
      </c>
      <c r="T429" s="114"/>
      <c r="U429" s="114"/>
      <c r="V429" s="114"/>
      <c r="W429" s="114"/>
      <c r="X429" s="115"/>
      <c r="Y429" s="98"/>
      <c r="Z429" s="98"/>
    </row>
    <row r="430" hidden="1" outlineLevel="1">
      <c r="A430" s="293"/>
      <c r="B430" s="116"/>
      <c r="C430" s="294" t="s">
        <v>79</v>
      </c>
      <c r="D430" s="307"/>
      <c r="E430" s="296"/>
      <c r="F430" s="296"/>
      <c r="G430" s="104" t="str">
        <f t="shared" si="1"/>
        <v>#DIV/0!</v>
      </c>
      <c r="H430" s="105" t="str">
        <f t="shared" si="2"/>
        <v>#DIV/0!</v>
      </c>
      <c r="I430" s="106" t="str">
        <f t="shared" si="3"/>
        <v>#DIV/0!</v>
      </c>
      <c r="J430" s="129">
        <v>19.03</v>
      </c>
      <c r="K430" s="278">
        <v>2913.0</v>
      </c>
      <c r="L430" s="296"/>
      <c r="M430" s="130">
        <v>44.95</v>
      </c>
      <c r="N430" s="109">
        <f t="shared" si="248"/>
        <v>0.4233592881</v>
      </c>
      <c r="O430" s="110">
        <f t="shared" si="5"/>
        <v>2.362059905</v>
      </c>
      <c r="P430" s="109" t="str">
        <f t="shared" si="6"/>
        <v>#DIV/0!</v>
      </c>
      <c r="Q430" s="111" t="str">
        <f t="shared" si="7"/>
        <v>#DIV/0!</v>
      </c>
      <c r="R430" s="131">
        <f t="shared" si="247"/>
        <v>-44.95</v>
      </c>
      <c r="S430" s="113" t="str">
        <f t="shared" si="9"/>
        <v>#DIV/0!</v>
      </c>
      <c r="T430" s="114"/>
      <c r="U430" s="114"/>
      <c r="V430" s="114"/>
      <c r="W430" s="114"/>
      <c r="X430" s="115"/>
      <c r="Y430" s="98"/>
      <c r="Z430" s="98"/>
    </row>
    <row r="431" hidden="1" outlineLevel="1">
      <c r="A431" s="310" t="str">
        <f t="shared" ref="A431:A432" si="249">iferror(if(B431&gt;0,month(B431)&amp;"-"&amp;year(B431),B431),)</f>
        <v>10-2025</v>
      </c>
      <c r="B431" s="99">
        <v>45955.0</v>
      </c>
      <c r="C431" s="294" t="s">
        <v>81</v>
      </c>
      <c r="D431" s="311"/>
      <c r="E431" s="296"/>
      <c r="F431" s="296"/>
      <c r="G431" s="104" t="str">
        <f t="shared" si="1"/>
        <v>#DIV/0!</v>
      </c>
      <c r="H431" s="105" t="str">
        <f t="shared" si="2"/>
        <v>#DIV/0!</v>
      </c>
      <c r="I431" s="106" t="str">
        <f t="shared" si="3"/>
        <v>#DIV/0!</v>
      </c>
      <c r="J431" s="117">
        <v>0.0</v>
      </c>
      <c r="K431" s="278">
        <v>0.0</v>
      </c>
      <c r="L431" s="296"/>
      <c r="M431" s="118">
        <v>0.0</v>
      </c>
      <c r="N431" s="109" t="str">
        <f t="shared" si="248"/>
        <v>#DIV/0!</v>
      </c>
      <c r="O431" s="110" t="str">
        <f t="shared" si="5"/>
        <v>#DIV/0!</v>
      </c>
      <c r="P431" s="109" t="str">
        <f t="shared" si="6"/>
        <v>#DIV/0!</v>
      </c>
      <c r="Q431" s="111" t="str">
        <f t="shared" si="7"/>
        <v>#DIV/0!</v>
      </c>
      <c r="R431" s="112">
        <f t="shared" si="247"/>
        <v>0</v>
      </c>
      <c r="S431" s="113" t="str">
        <f t="shared" si="9"/>
        <v>#DIV/0!</v>
      </c>
      <c r="T431" s="114"/>
      <c r="U431" s="114"/>
      <c r="V431" s="114"/>
      <c r="W431" s="114"/>
      <c r="X431" s="115"/>
      <c r="Y431" s="98"/>
      <c r="Z431" s="98"/>
    </row>
    <row r="432" collapsed="1">
      <c r="A432" s="293" t="str">
        <f t="shared" si="249"/>
        <v/>
      </c>
      <c r="B432" s="80" t="s">
        <v>130</v>
      </c>
      <c r="C432" s="312"/>
      <c r="D432" s="151">
        <f t="shared" ref="D432:F432" si="250">SUM(D421:D431)</f>
        <v>0</v>
      </c>
      <c r="E432" s="153">
        <f t="shared" si="250"/>
        <v>0</v>
      </c>
      <c r="F432" s="153">
        <f t="shared" si="250"/>
        <v>0</v>
      </c>
      <c r="G432" s="154" t="str">
        <f t="shared" si="1"/>
        <v>#DIV/0!</v>
      </c>
      <c r="H432" s="155" t="str">
        <f t="shared" si="2"/>
        <v>#DIV/0!</v>
      </c>
      <c r="I432" s="156" t="str">
        <f t="shared" si="3"/>
        <v>#DIV/0!</v>
      </c>
      <c r="J432" s="151">
        <f t="shared" ref="J432:M432" si="251">SUM(J421:J431)</f>
        <v>1178.25</v>
      </c>
      <c r="K432" s="313">
        <f t="shared" si="251"/>
        <v>135993</v>
      </c>
      <c r="L432" s="153">
        <f t="shared" si="251"/>
        <v>0</v>
      </c>
      <c r="M432" s="157">
        <f t="shared" si="251"/>
        <v>1433.14</v>
      </c>
      <c r="N432" s="158">
        <f t="shared" si="248"/>
        <v>0.8221457778</v>
      </c>
      <c r="O432" s="159">
        <f t="shared" si="5"/>
        <v>1.216329302</v>
      </c>
      <c r="P432" s="158" t="str">
        <f t="shared" si="6"/>
        <v>#DIV/0!</v>
      </c>
      <c r="Q432" s="160" t="str">
        <f t="shared" si="7"/>
        <v>#DIV/0!</v>
      </c>
      <c r="R432" s="161">
        <f>SUM(R421:R431)</f>
        <v>-1433.14</v>
      </c>
      <c r="S432" s="162" t="str">
        <f t="shared" si="9"/>
        <v>#DIV/0!</v>
      </c>
      <c r="T432" s="164" t="str">
        <f t="shared" ref="T432:U432" si="252">IFERROR((D432-D48)/D432,)</f>
        <v/>
      </c>
      <c r="U432" s="164" t="str">
        <f t="shared" si="252"/>
        <v/>
      </c>
      <c r="V432" s="164" t="str">
        <f t="shared" ref="V432:W432" si="253">IFERROR((D432-monthly_reporting_2021!D223)/D432, )</f>
        <v/>
      </c>
      <c r="W432" s="164" t="str">
        <f t="shared" si="253"/>
        <v/>
      </c>
      <c r="X432" s="98"/>
      <c r="Y432" s="98"/>
      <c r="Z432" s="98"/>
    </row>
    <row r="433" hidden="1" outlineLevel="1">
      <c r="A433" s="293"/>
      <c r="B433" s="99">
        <v>45956.0</v>
      </c>
      <c r="C433" s="294" t="s">
        <v>70</v>
      </c>
      <c r="D433" s="295"/>
      <c r="E433" s="296"/>
      <c r="F433" s="296"/>
      <c r="G433" s="104" t="str">
        <f t="shared" si="1"/>
        <v>#DIV/0!</v>
      </c>
      <c r="H433" s="105" t="str">
        <f t="shared" si="2"/>
        <v>#DIV/0!</v>
      </c>
      <c r="I433" s="106" t="str">
        <f t="shared" si="3"/>
        <v>#DIV/0!</v>
      </c>
      <c r="J433" s="107">
        <v>107.69</v>
      </c>
      <c r="K433" s="278">
        <v>13993.0</v>
      </c>
      <c r="L433" s="296"/>
      <c r="M433" s="108">
        <v>65.83</v>
      </c>
      <c r="N433" s="109">
        <f t="shared" si="248"/>
        <v>1.635880298</v>
      </c>
      <c r="O433" s="110">
        <f t="shared" si="5"/>
        <v>0.6112916705</v>
      </c>
      <c r="P433" s="109" t="str">
        <f t="shared" si="6"/>
        <v>#DIV/0!</v>
      </c>
      <c r="Q433" s="111" t="str">
        <f t="shared" si="7"/>
        <v>#DIV/0!</v>
      </c>
      <c r="R433" s="112">
        <f t="shared" ref="R433:R443" si="254">D433-M433</f>
        <v>-65.83</v>
      </c>
      <c r="S433" s="113" t="str">
        <f t="shared" si="9"/>
        <v>#DIV/0!</v>
      </c>
      <c r="T433" s="114"/>
      <c r="U433" s="114"/>
      <c r="V433" s="114"/>
      <c r="W433" s="114"/>
      <c r="X433" s="115"/>
      <c r="Y433" s="98"/>
      <c r="Z433" s="98"/>
    </row>
    <row r="434" hidden="1" outlineLevel="1">
      <c r="A434" s="293"/>
      <c r="B434" s="116"/>
      <c r="C434" s="294" t="s">
        <v>71</v>
      </c>
      <c r="D434" s="297"/>
      <c r="E434" s="296"/>
      <c r="F434" s="296"/>
      <c r="G434" s="104" t="str">
        <f t="shared" si="1"/>
        <v>#DIV/0!</v>
      </c>
      <c r="H434" s="105" t="str">
        <f t="shared" si="2"/>
        <v>#DIV/0!</v>
      </c>
      <c r="I434" s="106" t="str">
        <f t="shared" si="3"/>
        <v>#DIV/0!</v>
      </c>
      <c r="J434" s="117">
        <v>31.89</v>
      </c>
      <c r="K434" s="278">
        <v>4989.0</v>
      </c>
      <c r="L434" s="296"/>
      <c r="M434" s="118">
        <v>59.95</v>
      </c>
      <c r="N434" s="109">
        <f t="shared" si="248"/>
        <v>0.5319432861</v>
      </c>
      <c r="O434" s="110">
        <f t="shared" si="5"/>
        <v>1.879899655</v>
      </c>
      <c r="P434" s="109" t="str">
        <f t="shared" si="6"/>
        <v>#DIV/0!</v>
      </c>
      <c r="Q434" s="111" t="str">
        <f t="shared" si="7"/>
        <v>#DIV/0!</v>
      </c>
      <c r="R434" s="119">
        <f t="shared" si="254"/>
        <v>-59.95</v>
      </c>
      <c r="S434" s="113" t="str">
        <f t="shared" si="9"/>
        <v>#DIV/0!</v>
      </c>
      <c r="T434" s="114"/>
      <c r="U434" s="114"/>
      <c r="V434" s="114"/>
      <c r="W434" s="114"/>
      <c r="X434" s="115"/>
      <c r="Y434" s="98"/>
      <c r="Z434" s="98"/>
    </row>
    <row r="435" hidden="1" outlineLevel="1">
      <c r="A435" s="293"/>
      <c r="B435" s="116"/>
      <c r="C435" s="294" t="s">
        <v>72</v>
      </c>
      <c r="D435" s="298"/>
      <c r="E435" s="296"/>
      <c r="F435" s="296"/>
      <c r="G435" s="104" t="str">
        <f t="shared" si="1"/>
        <v>#DIV/0!</v>
      </c>
      <c r="H435" s="105" t="str">
        <f t="shared" si="2"/>
        <v>#DIV/0!</v>
      </c>
      <c r="I435" s="106" t="str">
        <f t="shared" si="3"/>
        <v>#DIV/0!</v>
      </c>
      <c r="J435" s="120">
        <v>148.36</v>
      </c>
      <c r="K435" s="278">
        <v>13678.0</v>
      </c>
      <c r="L435" s="296"/>
      <c r="M435" s="121">
        <v>176.97</v>
      </c>
      <c r="N435" s="109">
        <f>(J435/M435)</f>
        <v>0.8383341809</v>
      </c>
      <c r="O435" s="110">
        <f t="shared" si="5"/>
        <v>1.192841736</v>
      </c>
      <c r="P435" s="109" t="str">
        <f t="shared" si="6"/>
        <v>#DIV/0!</v>
      </c>
      <c r="Q435" s="111" t="str">
        <f t="shared" si="7"/>
        <v>#DIV/0!</v>
      </c>
      <c r="R435" s="122">
        <f t="shared" si="254"/>
        <v>-176.97</v>
      </c>
      <c r="S435" s="113" t="str">
        <f t="shared" si="9"/>
        <v>#DIV/0!</v>
      </c>
      <c r="T435" s="114"/>
      <c r="U435" s="114"/>
      <c r="V435" s="114"/>
      <c r="W435" s="114"/>
      <c r="X435" s="115"/>
      <c r="Y435" s="98"/>
      <c r="Z435" s="98"/>
    </row>
    <row r="436" hidden="1" outlineLevel="1">
      <c r="A436" s="293"/>
      <c r="B436" s="116"/>
      <c r="C436" s="294" t="s">
        <v>73</v>
      </c>
      <c r="D436" s="298"/>
      <c r="E436" s="296"/>
      <c r="F436" s="296"/>
      <c r="G436" s="104" t="str">
        <f t="shared" si="1"/>
        <v>#DIV/0!</v>
      </c>
      <c r="H436" s="105" t="str">
        <f t="shared" si="2"/>
        <v>#DIV/0!</v>
      </c>
      <c r="I436" s="106" t="str">
        <f t="shared" si="3"/>
        <v>#DIV/0!</v>
      </c>
      <c r="J436" s="120">
        <v>26.1</v>
      </c>
      <c r="K436" s="278">
        <v>4643.0</v>
      </c>
      <c r="L436" s="296"/>
      <c r="M436" s="121">
        <v>119.9</v>
      </c>
      <c r="N436" s="109">
        <f t="shared" ref="N436:N446" si="255">J436/M436</f>
        <v>0.2176814012</v>
      </c>
      <c r="O436" s="110">
        <f t="shared" si="5"/>
        <v>4.593869732</v>
      </c>
      <c r="P436" s="109" t="str">
        <f t="shared" si="6"/>
        <v>#DIV/0!</v>
      </c>
      <c r="Q436" s="111" t="str">
        <f t="shared" si="7"/>
        <v>#DIV/0!</v>
      </c>
      <c r="R436" s="122">
        <f t="shared" si="254"/>
        <v>-119.9</v>
      </c>
      <c r="S436" s="113" t="str">
        <f t="shared" si="9"/>
        <v>#DIV/0!</v>
      </c>
      <c r="T436" s="114"/>
      <c r="U436" s="114"/>
      <c r="V436" s="114"/>
      <c r="W436" s="114"/>
      <c r="X436" s="115"/>
      <c r="Y436" s="98"/>
      <c r="Z436" s="98"/>
    </row>
    <row r="437" hidden="1" outlineLevel="1">
      <c r="A437" s="293"/>
      <c r="B437" s="116"/>
      <c r="C437" s="294" t="s">
        <v>74</v>
      </c>
      <c r="D437" s="299"/>
      <c r="E437" s="296"/>
      <c r="F437" s="296"/>
      <c r="G437" s="104" t="str">
        <f t="shared" si="1"/>
        <v>#DIV/0!</v>
      </c>
      <c r="H437" s="105" t="str">
        <f t="shared" si="2"/>
        <v>#DIV/0!</v>
      </c>
      <c r="I437" s="106" t="str">
        <f t="shared" si="3"/>
        <v>#DIV/0!</v>
      </c>
      <c r="J437" s="300">
        <v>36.58</v>
      </c>
      <c r="K437" s="278">
        <v>2542.0</v>
      </c>
      <c r="L437" s="296"/>
      <c r="M437" s="300">
        <v>329.9</v>
      </c>
      <c r="N437" s="109">
        <f t="shared" si="255"/>
        <v>0.1108820855</v>
      </c>
      <c r="O437" s="110">
        <f t="shared" si="5"/>
        <v>9.018589393</v>
      </c>
      <c r="P437" s="109" t="str">
        <f t="shared" si="6"/>
        <v>#DIV/0!</v>
      </c>
      <c r="Q437" s="111" t="str">
        <f t="shared" si="7"/>
        <v>#DIV/0!</v>
      </c>
      <c r="R437" s="122">
        <f t="shared" si="254"/>
        <v>-329.9</v>
      </c>
      <c r="S437" s="113" t="str">
        <f t="shared" si="9"/>
        <v>#DIV/0!</v>
      </c>
      <c r="T437" s="114"/>
      <c r="U437" s="114"/>
      <c r="V437" s="114"/>
      <c r="W437" s="114"/>
      <c r="X437" s="115"/>
      <c r="Y437" s="98"/>
      <c r="Z437" s="98"/>
    </row>
    <row r="438" hidden="1" outlineLevel="1">
      <c r="A438" s="293"/>
      <c r="B438" s="116"/>
      <c r="C438" s="294" t="s">
        <v>75</v>
      </c>
      <c r="D438" s="301"/>
      <c r="E438" s="296"/>
      <c r="F438" s="296"/>
      <c r="G438" s="104" t="str">
        <f t="shared" si="1"/>
        <v>#DIV/0!</v>
      </c>
      <c r="H438" s="105" t="str">
        <f t="shared" si="2"/>
        <v>#DIV/0!</v>
      </c>
      <c r="I438" s="106" t="str">
        <f t="shared" si="3"/>
        <v>#DIV/0!</v>
      </c>
      <c r="J438" s="302">
        <v>15.82</v>
      </c>
      <c r="K438" s="278">
        <v>602.0</v>
      </c>
      <c r="L438" s="296"/>
      <c r="M438" s="303">
        <v>59.95</v>
      </c>
      <c r="N438" s="109">
        <f t="shared" si="255"/>
        <v>0.2638865721</v>
      </c>
      <c r="O438" s="110">
        <f t="shared" si="5"/>
        <v>3.789506953</v>
      </c>
      <c r="P438" s="109" t="str">
        <f t="shared" si="6"/>
        <v>#DIV/0!</v>
      </c>
      <c r="Q438" s="111" t="str">
        <f t="shared" si="7"/>
        <v>#DIV/0!</v>
      </c>
      <c r="R438" s="304">
        <f t="shared" si="254"/>
        <v>-59.95</v>
      </c>
      <c r="S438" s="113" t="str">
        <f t="shared" si="9"/>
        <v>#DIV/0!</v>
      </c>
      <c r="T438" s="114"/>
      <c r="U438" s="114"/>
      <c r="V438" s="114"/>
      <c r="W438" s="114"/>
      <c r="X438" s="115"/>
      <c r="Y438" s="98"/>
      <c r="Z438" s="98"/>
    </row>
    <row r="439" hidden="1" outlineLevel="1">
      <c r="A439" s="293"/>
      <c r="B439" s="116"/>
      <c r="C439" s="294" t="s">
        <v>76</v>
      </c>
      <c r="D439" s="298"/>
      <c r="E439" s="296"/>
      <c r="F439" s="296"/>
      <c r="G439" s="104" t="str">
        <f t="shared" si="1"/>
        <v>#DIV/0!</v>
      </c>
      <c r="H439" s="105" t="str">
        <f t="shared" si="2"/>
        <v>#DIV/0!</v>
      </c>
      <c r="I439" s="106" t="str">
        <f t="shared" si="3"/>
        <v>#DIV/0!</v>
      </c>
      <c r="J439" s="120">
        <v>513.82</v>
      </c>
      <c r="K439" s="278">
        <v>20444.0</v>
      </c>
      <c r="L439" s="296"/>
      <c r="M439" s="121">
        <v>2587.48</v>
      </c>
      <c r="N439" s="109">
        <f t="shared" si="255"/>
        <v>0.1985793127</v>
      </c>
      <c r="O439" s="110">
        <f t="shared" si="5"/>
        <v>5.035771282</v>
      </c>
      <c r="P439" s="109" t="str">
        <f t="shared" si="6"/>
        <v>#DIV/0!</v>
      </c>
      <c r="Q439" s="111" t="str">
        <f t="shared" si="7"/>
        <v>#DIV/0!</v>
      </c>
      <c r="R439" s="122">
        <f t="shared" si="254"/>
        <v>-2587.48</v>
      </c>
      <c r="S439" s="113" t="str">
        <f t="shared" si="9"/>
        <v>#DIV/0!</v>
      </c>
      <c r="T439" s="114"/>
      <c r="U439" s="114"/>
      <c r="V439" s="114"/>
      <c r="W439" s="114"/>
      <c r="X439" s="115"/>
      <c r="Y439" s="98"/>
      <c r="Z439" s="98"/>
    </row>
    <row r="440" hidden="1" outlineLevel="1">
      <c r="A440" s="293"/>
      <c r="B440" s="99" t="s">
        <v>37</v>
      </c>
      <c r="C440" s="294" t="s">
        <v>77</v>
      </c>
      <c r="D440" s="305"/>
      <c r="E440" s="296"/>
      <c r="F440" s="296"/>
      <c r="G440" s="104" t="str">
        <f t="shared" si="1"/>
        <v>#DIV/0!</v>
      </c>
      <c r="H440" s="105" t="str">
        <f t="shared" si="2"/>
        <v>#DIV/0!</v>
      </c>
      <c r="I440" s="106" t="str">
        <f t="shared" si="3"/>
        <v>#DIV/0!</v>
      </c>
      <c r="J440" s="123">
        <v>114.39</v>
      </c>
      <c r="K440" s="278">
        <v>4358.0</v>
      </c>
      <c r="L440" s="296"/>
      <c r="M440" s="124">
        <v>180.0</v>
      </c>
      <c r="N440" s="109">
        <f t="shared" si="255"/>
        <v>0.6355</v>
      </c>
      <c r="O440" s="110">
        <f t="shared" si="5"/>
        <v>1.573564123</v>
      </c>
      <c r="P440" s="109" t="str">
        <f t="shared" si="6"/>
        <v>#DIV/0!</v>
      </c>
      <c r="Q440" s="111" t="str">
        <f t="shared" si="7"/>
        <v>#DIV/0!</v>
      </c>
      <c r="R440" s="125">
        <f t="shared" si="254"/>
        <v>-180</v>
      </c>
      <c r="S440" s="113" t="str">
        <f t="shared" si="9"/>
        <v>#DIV/0!</v>
      </c>
      <c r="T440" s="114"/>
      <c r="U440" s="114"/>
      <c r="V440" s="114"/>
      <c r="W440" s="114"/>
      <c r="X440" s="115"/>
      <c r="Y440" s="98"/>
      <c r="Z440" s="98"/>
    </row>
    <row r="441" hidden="1" outlineLevel="1">
      <c r="A441" s="293"/>
      <c r="B441" s="116"/>
      <c r="C441" s="294" t="s">
        <v>78</v>
      </c>
      <c r="D441" s="306"/>
      <c r="E441" s="296"/>
      <c r="F441" s="296"/>
      <c r="G441" s="104" t="str">
        <f t="shared" si="1"/>
        <v>#DIV/0!</v>
      </c>
      <c r="H441" s="105" t="str">
        <f t="shared" si="2"/>
        <v>#DIV/0!</v>
      </c>
      <c r="I441" s="106" t="str">
        <f t="shared" si="3"/>
        <v>#DIV/0!</v>
      </c>
      <c r="J441" s="126">
        <v>131.63</v>
      </c>
      <c r="K441" s="278">
        <v>9627.0</v>
      </c>
      <c r="L441" s="296"/>
      <c r="M441" s="127">
        <v>1527.0</v>
      </c>
      <c r="N441" s="109">
        <f t="shared" si="255"/>
        <v>0.08620170269</v>
      </c>
      <c r="O441" s="110">
        <f t="shared" si="5"/>
        <v>11.60069893</v>
      </c>
      <c r="P441" s="109" t="str">
        <f t="shared" si="6"/>
        <v>#DIV/0!</v>
      </c>
      <c r="Q441" s="111" t="str">
        <f t="shared" si="7"/>
        <v>#DIV/0!</v>
      </c>
      <c r="R441" s="128">
        <f t="shared" si="254"/>
        <v>-1527</v>
      </c>
      <c r="S441" s="113" t="str">
        <f t="shared" si="9"/>
        <v>#DIV/0!</v>
      </c>
      <c r="T441" s="114"/>
      <c r="U441" s="114"/>
      <c r="V441" s="114"/>
      <c r="W441" s="114"/>
      <c r="X441" s="115"/>
      <c r="Y441" s="98"/>
      <c r="Z441" s="98"/>
    </row>
    <row r="442" hidden="1" outlineLevel="1">
      <c r="A442" s="293"/>
      <c r="B442" s="116"/>
      <c r="C442" s="294" t="s">
        <v>79</v>
      </c>
      <c r="D442" s="307"/>
      <c r="E442" s="296"/>
      <c r="F442" s="296"/>
      <c r="G442" s="104" t="str">
        <f t="shared" si="1"/>
        <v>#DIV/0!</v>
      </c>
      <c r="H442" s="105" t="str">
        <f t="shared" si="2"/>
        <v>#DIV/0!</v>
      </c>
      <c r="I442" s="106" t="str">
        <f t="shared" si="3"/>
        <v>#DIV/0!</v>
      </c>
      <c r="J442" s="129">
        <v>26.29</v>
      </c>
      <c r="K442" s="278">
        <v>3765.0</v>
      </c>
      <c r="L442" s="296"/>
      <c r="M442" s="130">
        <v>110.95</v>
      </c>
      <c r="N442" s="109">
        <f t="shared" si="255"/>
        <v>0.2369535827</v>
      </c>
      <c r="O442" s="110">
        <f t="shared" si="5"/>
        <v>4.220235831</v>
      </c>
      <c r="P442" s="109" t="str">
        <f t="shared" si="6"/>
        <v>#DIV/0!</v>
      </c>
      <c r="Q442" s="111" t="str">
        <f t="shared" si="7"/>
        <v>#DIV/0!</v>
      </c>
      <c r="R442" s="131">
        <f t="shared" si="254"/>
        <v>-110.95</v>
      </c>
      <c r="S442" s="113" t="str">
        <f t="shared" si="9"/>
        <v>#DIV/0!</v>
      </c>
      <c r="T442" s="114"/>
      <c r="U442" s="114"/>
      <c r="V442" s="114"/>
      <c r="W442" s="114"/>
      <c r="X442" s="115"/>
      <c r="Y442" s="98"/>
      <c r="Z442" s="98"/>
    </row>
    <row r="443" hidden="1" outlineLevel="1">
      <c r="A443" s="310" t="str">
        <f t="shared" ref="A443:A444" si="256">iferror(if(B443&gt;0,month(B443)&amp;"-"&amp;year(B443),B443),)</f>
        <v>11-2025</v>
      </c>
      <c r="B443" s="99">
        <v>45962.0</v>
      </c>
      <c r="C443" s="294" t="s">
        <v>81</v>
      </c>
      <c r="D443" s="311"/>
      <c r="E443" s="296"/>
      <c r="F443" s="296"/>
      <c r="G443" s="104" t="str">
        <f t="shared" si="1"/>
        <v>#DIV/0!</v>
      </c>
      <c r="H443" s="105" t="str">
        <f t="shared" si="2"/>
        <v>#DIV/0!</v>
      </c>
      <c r="I443" s="106" t="str">
        <f t="shared" si="3"/>
        <v>#DIV/0!</v>
      </c>
      <c r="J443" s="117">
        <v>0.0</v>
      </c>
      <c r="K443" s="278">
        <v>0.0</v>
      </c>
      <c r="L443" s="296"/>
      <c r="M443" s="118">
        <v>0.0</v>
      </c>
      <c r="N443" s="109" t="str">
        <f t="shared" si="255"/>
        <v>#DIV/0!</v>
      </c>
      <c r="O443" s="110" t="str">
        <f t="shared" si="5"/>
        <v>#DIV/0!</v>
      </c>
      <c r="P443" s="109" t="str">
        <f t="shared" si="6"/>
        <v>#DIV/0!</v>
      </c>
      <c r="Q443" s="111" t="str">
        <f t="shared" si="7"/>
        <v>#DIV/0!</v>
      </c>
      <c r="R443" s="112">
        <f t="shared" si="254"/>
        <v>0</v>
      </c>
      <c r="S443" s="113" t="str">
        <f t="shared" si="9"/>
        <v>#DIV/0!</v>
      </c>
      <c r="T443" s="114"/>
      <c r="U443" s="114"/>
      <c r="V443" s="114"/>
      <c r="W443" s="114"/>
      <c r="X443" s="115"/>
      <c r="Y443" s="98"/>
      <c r="Z443" s="98"/>
    </row>
    <row r="444" collapsed="1">
      <c r="A444" s="293" t="str">
        <f t="shared" si="256"/>
        <v/>
      </c>
      <c r="B444" s="80" t="s">
        <v>131</v>
      </c>
      <c r="C444" s="312"/>
      <c r="D444" s="151">
        <f t="shared" ref="D444:F444" si="257">SUM(D433:D443)</f>
        <v>0</v>
      </c>
      <c r="E444" s="153">
        <f t="shared" si="257"/>
        <v>0</v>
      </c>
      <c r="F444" s="153">
        <f t="shared" si="257"/>
        <v>0</v>
      </c>
      <c r="G444" s="154" t="str">
        <f t="shared" si="1"/>
        <v>#DIV/0!</v>
      </c>
      <c r="H444" s="155" t="str">
        <f t="shared" si="2"/>
        <v>#DIV/0!</v>
      </c>
      <c r="I444" s="156" t="str">
        <f t="shared" si="3"/>
        <v>#DIV/0!</v>
      </c>
      <c r="J444" s="151">
        <f t="shared" ref="J444:M444" si="258">SUM(J433:J443)</f>
        <v>1152.57</v>
      </c>
      <c r="K444" s="313">
        <f t="shared" si="258"/>
        <v>78641</v>
      </c>
      <c r="L444" s="153">
        <f t="shared" si="258"/>
        <v>0</v>
      </c>
      <c r="M444" s="157">
        <f t="shared" si="258"/>
        <v>5217.93</v>
      </c>
      <c r="N444" s="158">
        <f t="shared" si="255"/>
        <v>0.2208864435</v>
      </c>
      <c r="O444" s="159">
        <f t="shared" si="5"/>
        <v>4.527213098</v>
      </c>
      <c r="P444" s="158" t="str">
        <f t="shared" si="6"/>
        <v>#DIV/0!</v>
      </c>
      <c r="Q444" s="160" t="str">
        <f t="shared" si="7"/>
        <v>#DIV/0!</v>
      </c>
      <c r="R444" s="161">
        <f>SUM(R433:R443)</f>
        <v>-5217.93</v>
      </c>
      <c r="S444" s="162" t="str">
        <f t="shared" si="9"/>
        <v>#DIV/0!</v>
      </c>
      <c r="T444" s="164" t="str">
        <f t="shared" ref="T444:U444" si="259">IFERROR((D444-D48)/D444,)</f>
        <v/>
      </c>
      <c r="U444" s="164" t="str">
        <f t="shared" si="259"/>
        <v/>
      </c>
      <c r="V444" s="164" t="str">
        <f t="shared" ref="V444:W444" si="260">IFERROR((D444-monthly_reporting_2021!D235)/D444, )</f>
        <v/>
      </c>
      <c r="W444" s="164" t="str">
        <f t="shared" si="260"/>
        <v/>
      </c>
      <c r="X444" s="98"/>
      <c r="Y444" s="98"/>
      <c r="Z444" s="98"/>
    </row>
    <row r="445" hidden="1" outlineLevel="1">
      <c r="A445" s="293"/>
      <c r="B445" s="99">
        <v>45963.0</v>
      </c>
      <c r="C445" s="294" t="s">
        <v>70</v>
      </c>
      <c r="D445" s="295"/>
      <c r="E445" s="296"/>
      <c r="F445" s="296"/>
      <c r="G445" s="104" t="str">
        <f t="shared" si="1"/>
        <v>#DIV/0!</v>
      </c>
      <c r="H445" s="105" t="str">
        <f t="shared" si="2"/>
        <v>#DIV/0!</v>
      </c>
      <c r="I445" s="106" t="str">
        <f t="shared" si="3"/>
        <v>#DIV/0!</v>
      </c>
      <c r="J445" s="107">
        <v>514.72</v>
      </c>
      <c r="K445" s="278">
        <v>45799.0</v>
      </c>
      <c r="L445" s="296"/>
      <c r="M445" s="108">
        <v>799.1</v>
      </c>
      <c r="N445" s="109">
        <f t="shared" si="255"/>
        <v>0.6441246402</v>
      </c>
      <c r="O445" s="110">
        <f t="shared" si="5"/>
        <v>1.55249456</v>
      </c>
      <c r="P445" s="109" t="str">
        <f t="shared" si="6"/>
        <v>#DIV/0!</v>
      </c>
      <c r="Q445" s="111" t="str">
        <f t="shared" si="7"/>
        <v>#DIV/0!</v>
      </c>
      <c r="R445" s="112">
        <f t="shared" ref="R445:R456" si="261">D445-M445</f>
        <v>-799.1</v>
      </c>
      <c r="S445" s="113" t="str">
        <f t="shared" si="9"/>
        <v>#DIV/0!</v>
      </c>
      <c r="T445" s="114"/>
      <c r="U445" s="114"/>
      <c r="V445" s="114"/>
      <c r="W445" s="114"/>
      <c r="X445" s="115"/>
      <c r="Y445" s="98"/>
      <c r="Z445" s="98"/>
    </row>
    <row r="446" hidden="1" outlineLevel="1">
      <c r="A446" s="293"/>
      <c r="B446" s="116"/>
      <c r="C446" s="294" t="s">
        <v>71</v>
      </c>
      <c r="D446" s="297"/>
      <c r="E446" s="296"/>
      <c r="F446" s="296"/>
      <c r="G446" s="104" t="str">
        <f t="shared" si="1"/>
        <v>#DIV/0!</v>
      </c>
      <c r="H446" s="105" t="str">
        <f t="shared" si="2"/>
        <v>#DIV/0!</v>
      </c>
      <c r="I446" s="106" t="str">
        <f t="shared" si="3"/>
        <v>#DIV/0!</v>
      </c>
      <c r="J446" s="117">
        <v>100.4</v>
      </c>
      <c r="K446" s="278">
        <v>6074.0</v>
      </c>
      <c r="L446" s="296"/>
      <c r="M446" s="118">
        <v>0.0</v>
      </c>
      <c r="N446" s="109" t="str">
        <f t="shared" si="255"/>
        <v>#DIV/0!</v>
      </c>
      <c r="O446" s="110">
        <f t="shared" si="5"/>
        <v>0</v>
      </c>
      <c r="P446" s="109" t="str">
        <f t="shared" si="6"/>
        <v>#DIV/0!</v>
      </c>
      <c r="Q446" s="111" t="str">
        <f t="shared" si="7"/>
        <v>#DIV/0!</v>
      </c>
      <c r="R446" s="119">
        <f t="shared" si="261"/>
        <v>0</v>
      </c>
      <c r="S446" s="113" t="str">
        <f t="shared" si="9"/>
        <v>#DIV/0!</v>
      </c>
      <c r="T446" s="114"/>
      <c r="U446" s="114"/>
      <c r="V446" s="114"/>
      <c r="W446" s="114"/>
      <c r="X446" s="115"/>
      <c r="Y446" s="98"/>
      <c r="Z446" s="98"/>
    </row>
    <row r="447" hidden="1" outlineLevel="1">
      <c r="A447" s="293"/>
      <c r="B447" s="116"/>
      <c r="C447" s="294" t="s">
        <v>72</v>
      </c>
      <c r="D447" s="298"/>
      <c r="E447" s="296"/>
      <c r="F447" s="296"/>
      <c r="G447" s="104" t="str">
        <f t="shared" si="1"/>
        <v>#DIV/0!</v>
      </c>
      <c r="H447" s="105" t="str">
        <f t="shared" si="2"/>
        <v>#DIV/0!</v>
      </c>
      <c r="I447" s="106" t="str">
        <f t="shared" si="3"/>
        <v>#DIV/0!</v>
      </c>
      <c r="J447" s="120">
        <v>147.49</v>
      </c>
      <c r="K447" s="278">
        <v>17882.0</v>
      </c>
      <c r="L447" s="296"/>
      <c r="M447" s="121">
        <v>545.93</v>
      </c>
      <c r="N447" s="109">
        <f>(J447/M447)</f>
        <v>0.2701628414</v>
      </c>
      <c r="O447" s="110">
        <f t="shared" si="5"/>
        <v>3.701471286</v>
      </c>
      <c r="P447" s="109" t="str">
        <f t="shared" si="6"/>
        <v>#DIV/0!</v>
      </c>
      <c r="Q447" s="111" t="str">
        <f t="shared" si="7"/>
        <v>#DIV/0!</v>
      </c>
      <c r="R447" s="122">
        <f t="shared" si="261"/>
        <v>-545.93</v>
      </c>
      <c r="S447" s="113" t="str">
        <f t="shared" si="9"/>
        <v>#DIV/0!</v>
      </c>
      <c r="T447" s="114"/>
      <c r="U447" s="114"/>
      <c r="V447" s="114"/>
      <c r="W447" s="114"/>
      <c r="X447" s="115"/>
      <c r="Y447" s="98"/>
      <c r="Z447" s="98"/>
    </row>
    <row r="448" hidden="1" outlineLevel="1">
      <c r="A448" s="293"/>
      <c r="B448" s="116"/>
      <c r="C448" s="294" t="s">
        <v>73</v>
      </c>
      <c r="D448" s="298"/>
      <c r="E448" s="296"/>
      <c r="F448" s="296"/>
      <c r="G448" s="104" t="str">
        <f t="shared" si="1"/>
        <v>#DIV/0!</v>
      </c>
      <c r="H448" s="105" t="str">
        <f t="shared" si="2"/>
        <v>#DIV/0!</v>
      </c>
      <c r="I448" s="106" t="str">
        <f t="shared" si="3"/>
        <v>#DIV/0!</v>
      </c>
      <c r="J448" s="120">
        <v>65.37</v>
      </c>
      <c r="K448" s="278">
        <v>11873.0</v>
      </c>
      <c r="L448" s="296"/>
      <c r="M448" s="121">
        <v>59.95</v>
      </c>
      <c r="N448" s="109">
        <f t="shared" ref="N448:N459" si="262">J448/M448</f>
        <v>1.090408674</v>
      </c>
      <c r="O448" s="110">
        <f t="shared" si="5"/>
        <v>0.9170873489</v>
      </c>
      <c r="P448" s="109" t="str">
        <f t="shared" si="6"/>
        <v>#DIV/0!</v>
      </c>
      <c r="Q448" s="111" t="str">
        <f t="shared" si="7"/>
        <v>#DIV/0!</v>
      </c>
      <c r="R448" s="122">
        <f t="shared" si="261"/>
        <v>-59.95</v>
      </c>
      <c r="S448" s="113" t="str">
        <f t="shared" si="9"/>
        <v>#DIV/0!</v>
      </c>
      <c r="T448" s="114"/>
      <c r="U448" s="114"/>
      <c r="V448" s="114"/>
      <c r="W448" s="114"/>
      <c r="X448" s="115"/>
      <c r="Y448" s="98"/>
      <c r="Z448" s="98"/>
    </row>
    <row r="449" hidden="1" outlineLevel="1">
      <c r="A449" s="293"/>
      <c r="B449" s="116"/>
      <c r="C449" s="294" t="s">
        <v>74</v>
      </c>
      <c r="D449" s="299"/>
      <c r="E449" s="296"/>
      <c r="F449" s="296"/>
      <c r="G449" s="104" t="str">
        <f t="shared" si="1"/>
        <v>#DIV/0!</v>
      </c>
      <c r="H449" s="105" t="str">
        <f t="shared" si="2"/>
        <v>#DIV/0!</v>
      </c>
      <c r="I449" s="106" t="str">
        <f t="shared" si="3"/>
        <v>#DIV/0!</v>
      </c>
      <c r="J449" s="300">
        <v>129.16</v>
      </c>
      <c r="K449" s="278">
        <v>7102.0</v>
      </c>
      <c r="L449" s="296"/>
      <c r="M449" s="300">
        <v>164.95</v>
      </c>
      <c r="N449" s="109">
        <f t="shared" si="262"/>
        <v>0.7830251591</v>
      </c>
      <c r="O449" s="110">
        <f t="shared" si="5"/>
        <v>1.277098173</v>
      </c>
      <c r="P449" s="109" t="str">
        <f t="shared" si="6"/>
        <v>#DIV/0!</v>
      </c>
      <c r="Q449" s="111" t="str">
        <f t="shared" si="7"/>
        <v>#DIV/0!</v>
      </c>
      <c r="R449" s="122">
        <f t="shared" si="261"/>
        <v>-164.95</v>
      </c>
      <c r="S449" s="113" t="str">
        <f t="shared" si="9"/>
        <v>#DIV/0!</v>
      </c>
      <c r="T449" s="114"/>
      <c r="U449" s="114"/>
      <c r="V449" s="114"/>
      <c r="W449" s="114"/>
      <c r="X449" s="115"/>
      <c r="Y449" s="98"/>
      <c r="Z449" s="98"/>
    </row>
    <row r="450" hidden="1" outlineLevel="1">
      <c r="A450" s="293"/>
      <c r="B450" s="116"/>
      <c r="C450" s="294" t="s">
        <v>75</v>
      </c>
      <c r="D450" s="301"/>
      <c r="E450" s="296"/>
      <c r="F450" s="296"/>
      <c r="G450" s="104" t="str">
        <f t="shared" si="1"/>
        <v>#DIV/0!</v>
      </c>
      <c r="H450" s="105" t="str">
        <f t="shared" si="2"/>
        <v>#DIV/0!</v>
      </c>
      <c r="I450" s="106" t="str">
        <f t="shared" si="3"/>
        <v>#DIV/0!</v>
      </c>
      <c r="J450" s="302">
        <v>10.05</v>
      </c>
      <c r="K450" s="278">
        <v>1339.0</v>
      </c>
      <c r="L450" s="296"/>
      <c r="M450" s="303">
        <v>0.0</v>
      </c>
      <c r="N450" s="109" t="str">
        <f t="shared" si="262"/>
        <v>#DIV/0!</v>
      </c>
      <c r="O450" s="110">
        <f t="shared" si="5"/>
        <v>0</v>
      </c>
      <c r="P450" s="109" t="str">
        <f t="shared" si="6"/>
        <v>#DIV/0!</v>
      </c>
      <c r="Q450" s="111" t="str">
        <f t="shared" si="7"/>
        <v>#DIV/0!</v>
      </c>
      <c r="R450" s="304">
        <f t="shared" si="261"/>
        <v>0</v>
      </c>
      <c r="S450" s="113" t="str">
        <f t="shared" si="9"/>
        <v>#DIV/0!</v>
      </c>
      <c r="T450" s="114"/>
      <c r="U450" s="114"/>
      <c r="V450" s="114"/>
      <c r="W450" s="114"/>
      <c r="X450" s="115"/>
      <c r="Y450" s="98"/>
      <c r="Z450" s="98"/>
    </row>
    <row r="451" hidden="1" outlineLevel="1">
      <c r="A451" s="293"/>
      <c r="B451" s="116"/>
      <c r="C451" s="294" t="s">
        <v>76</v>
      </c>
      <c r="D451" s="298"/>
      <c r="E451" s="296"/>
      <c r="F451" s="296"/>
      <c r="G451" s="104" t="str">
        <f t="shared" si="1"/>
        <v>#DIV/0!</v>
      </c>
      <c r="H451" s="105" t="str">
        <f t="shared" si="2"/>
        <v>#DIV/0!</v>
      </c>
      <c r="I451" s="106" t="str">
        <f t="shared" si="3"/>
        <v>#DIV/0!</v>
      </c>
      <c r="J451" s="120">
        <v>805.52</v>
      </c>
      <c r="K451" s="278">
        <v>29502.0</v>
      </c>
      <c r="L451" s="296"/>
      <c r="M451" s="121">
        <v>829.99</v>
      </c>
      <c r="N451" s="109">
        <f t="shared" si="262"/>
        <v>0.9705177171</v>
      </c>
      <c r="O451" s="110">
        <f t="shared" si="5"/>
        <v>1.030377893</v>
      </c>
      <c r="P451" s="109" t="str">
        <f t="shared" si="6"/>
        <v>#DIV/0!</v>
      </c>
      <c r="Q451" s="111" t="str">
        <f t="shared" si="7"/>
        <v>#DIV/0!</v>
      </c>
      <c r="R451" s="122">
        <f t="shared" si="261"/>
        <v>-829.99</v>
      </c>
      <c r="S451" s="113" t="str">
        <f t="shared" si="9"/>
        <v>#DIV/0!</v>
      </c>
      <c r="T451" s="114"/>
      <c r="U451" s="114"/>
      <c r="V451" s="114"/>
      <c r="W451" s="114"/>
      <c r="X451" s="115"/>
      <c r="Y451" s="98"/>
      <c r="Z451" s="98"/>
    </row>
    <row r="452" hidden="1" outlineLevel="1">
      <c r="A452" s="293"/>
      <c r="B452" s="99" t="s">
        <v>37</v>
      </c>
      <c r="C452" s="294" t="s">
        <v>77</v>
      </c>
      <c r="D452" s="305"/>
      <c r="E452" s="296"/>
      <c r="F452" s="296"/>
      <c r="G452" s="104" t="str">
        <f t="shared" si="1"/>
        <v>#DIV/0!</v>
      </c>
      <c r="H452" s="105" t="str">
        <f t="shared" si="2"/>
        <v>#DIV/0!</v>
      </c>
      <c r="I452" s="106" t="str">
        <f t="shared" si="3"/>
        <v>#DIV/0!</v>
      </c>
      <c r="J452" s="123">
        <v>258.84</v>
      </c>
      <c r="K452" s="278">
        <v>8380.0</v>
      </c>
      <c r="L452" s="296"/>
      <c r="M452" s="124">
        <v>463.77</v>
      </c>
      <c r="N452" s="109">
        <f t="shared" si="262"/>
        <v>0.5581214826</v>
      </c>
      <c r="O452" s="110">
        <f t="shared" si="5"/>
        <v>1.791724618</v>
      </c>
      <c r="P452" s="109" t="str">
        <f t="shared" si="6"/>
        <v>#DIV/0!</v>
      </c>
      <c r="Q452" s="111" t="str">
        <f t="shared" si="7"/>
        <v>#DIV/0!</v>
      </c>
      <c r="R452" s="125">
        <f t="shared" si="261"/>
        <v>-463.77</v>
      </c>
      <c r="S452" s="113" t="str">
        <f t="shared" si="9"/>
        <v>#DIV/0!</v>
      </c>
      <c r="T452" s="114"/>
      <c r="U452" s="114"/>
      <c r="V452" s="114"/>
      <c r="W452" s="114"/>
      <c r="X452" s="115"/>
      <c r="Y452" s="98"/>
      <c r="Z452" s="98"/>
    </row>
    <row r="453" hidden="1" outlineLevel="1">
      <c r="A453" s="293"/>
      <c r="B453" s="116"/>
      <c r="C453" s="294" t="s">
        <v>78</v>
      </c>
      <c r="D453" s="306"/>
      <c r="E453" s="296"/>
      <c r="F453" s="296"/>
      <c r="G453" s="104" t="str">
        <f t="shared" si="1"/>
        <v>#DIV/0!</v>
      </c>
      <c r="H453" s="105" t="str">
        <f t="shared" si="2"/>
        <v>#DIV/0!</v>
      </c>
      <c r="I453" s="106" t="str">
        <f t="shared" si="3"/>
        <v>#DIV/0!</v>
      </c>
      <c r="J453" s="126">
        <v>321.59</v>
      </c>
      <c r="K453" s="278">
        <v>167.0</v>
      </c>
      <c r="L453" s="296"/>
      <c r="M453" s="127">
        <v>0.0</v>
      </c>
      <c r="N453" s="109" t="str">
        <f t="shared" si="262"/>
        <v>#DIV/0!</v>
      </c>
      <c r="O453" s="110">
        <f t="shared" si="5"/>
        <v>0</v>
      </c>
      <c r="P453" s="109" t="str">
        <f t="shared" si="6"/>
        <v>#DIV/0!</v>
      </c>
      <c r="Q453" s="111" t="str">
        <f t="shared" si="7"/>
        <v>#DIV/0!</v>
      </c>
      <c r="R453" s="128">
        <f t="shared" si="261"/>
        <v>0</v>
      </c>
      <c r="S453" s="113" t="str">
        <f t="shared" si="9"/>
        <v>#DIV/0!</v>
      </c>
      <c r="T453" s="114"/>
      <c r="U453" s="114"/>
      <c r="V453" s="114"/>
      <c r="W453" s="114"/>
      <c r="X453" s="115"/>
      <c r="Y453" s="98"/>
      <c r="Z453" s="98"/>
    </row>
    <row r="454" hidden="1" outlineLevel="1">
      <c r="A454" s="293"/>
      <c r="B454" s="116"/>
      <c r="C454" s="294" t="s">
        <v>79</v>
      </c>
      <c r="D454" s="307"/>
      <c r="E454" s="296"/>
      <c r="F454" s="296"/>
      <c r="G454" s="104" t="str">
        <f t="shared" si="1"/>
        <v>#DIV/0!</v>
      </c>
      <c r="H454" s="105" t="str">
        <f t="shared" si="2"/>
        <v>#DIV/0!</v>
      </c>
      <c r="I454" s="106" t="str">
        <f t="shared" si="3"/>
        <v>#DIV/0!</v>
      </c>
      <c r="J454" s="129">
        <v>42.22</v>
      </c>
      <c r="K454" s="278">
        <v>5874.0</v>
      </c>
      <c r="L454" s="296"/>
      <c r="M454" s="130">
        <v>209.51</v>
      </c>
      <c r="N454" s="109">
        <f t="shared" si="262"/>
        <v>0.2015178273</v>
      </c>
      <c r="O454" s="110">
        <f t="shared" si="5"/>
        <v>4.962340123</v>
      </c>
      <c r="P454" s="109" t="str">
        <f t="shared" si="6"/>
        <v>#DIV/0!</v>
      </c>
      <c r="Q454" s="111" t="str">
        <f t="shared" si="7"/>
        <v>#DIV/0!</v>
      </c>
      <c r="R454" s="131">
        <f t="shared" si="261"/>
        <v>-209.51</v>
      </c>
      <c r="S454" s="113" t="str">
        <f t="shared" si="9"/>
        <v>#DIV/0!</v>
      </c>
      <c r="T454" s="114"/>
      <c r="U454" s="114"/>
      <c r="V454" s="114"/>
      <c r="W454" s="114"/>
      <c r="X454" s="115"/>
      <c r="Y454" s="98"/>
      <c r="Z454" s="98"/>
    </row>
    <row r="455" hidden="1" outlineLevel="1">
      <c r="A455" s="293"/>
      <c r="B455" s="116"/>
      <c r="C455" s="294" t="s">
        <v>80</v>
      </c>
      <c r="D455" s="307"/>
      <c r="E455" s="296"/>
      <c r="F455" s="296"/>
      <c r="G455" s="308"/>
      <c r="H455" s="102"/>
      <c r="I455" s="309"/>
      <c r="J455" s="135">
        <v>31.01</v>
      </c>
      <c r="K455" s="278">
        <v>2446.0</v>
      </c>
      <c r="L455" s="296"/>
      <c r="M455" s="136">
        <v>279.95</v>
      </c>
      <c r="N455" s="109">
        <f t="shared" si="262"/>
        <v>0.1107697803</v>
      </c>
      <c r="O455" s="110">
        <f t="shared" si="5"/>
        <v>9.027732989</v>
      </c>
      <c r="P455" s="109" t="str">
        <f t="shared" si="6"/>
        <v>#DIV/0!</v>
      </c>
      <c r="Q455" s="111" t="str">
        <f t="shared" si="7"/>
        <v>#DIV/0!</v>
      </c>
      <c r="R455" s="137">
        <f t="shared" si="261"/>
        <v>-279.95</v>
      </c>
      <c r="S455" s="113" t="str">
        <f t="shared" si="9"/>
        <v>#DIV/0!</v>
      </c>
      <c r="T455" s="114"/>
      <c r="U455" s="114"/>
      <c r="V455" s="114"/>
      <c r="W455" s="114"/>
      <c r="X455" s="115"/>
      <c r="Y455" s="98"/>
      <c r="Z455" s="98"/>
    </row>
    <row r="456" hidden="1" outlineLevel="1">
      <c r="A456" s="310" t="str">
        <f t="shared" ref="A456:A457" si="263">iferror(if(B456&gt;0,month(B456)&amp;"-"&amp;year(B456),B456),)</f>
        <v>11-2025</v>
      </c>
      <c r="B456" s="99">
        <v>45969.0</v>
      </c>
      <c r="C456" s="294" t="s">
        <v>81</v>
      </c>
      <c r="D456" s="311"/>
      <c r="E456" s="296"/>
      <c r="F456" s="296"/>
      <c r="G456" s="104" t="str">
        <f t="shared" ref="G456:G467" si="265">E456/F456</f>
        <v>#DIV/0!</v>
      </c>
      <c r="H456" s="105" t="str">
        <f t="shared" ref="H456:H467" si="266">D456/E456</f>
        <v>#DIV/0!</v>
      </c>
      <c r="I456" s="106" t="str">
        <f t="shared" ref="I456:I467" si="267">H456/G456</f>
        <v>#DIV/0!</v>
      </c>
      <c r="J456" s="117">
        <v>0.0</v>
      </c>
      <c r="K456" s="278">
        <v>0.0</v>
      </c>
      <c r="L456" s="296"/>
      <c r="M456" s="118">
        <v>0.0</v>
      </c>
      <c r="N456" s="109" t="str">
        <f t="shared" si="262"/>
        <v>#DIV/0!</v>
      </c>
      <c r="O456" s="110" t="str">
        <f t="shared" si="5"/>
        <v>#DIV/0!</v>
      </c>
      <c r="P456" s="109" t="str">
        <f t="shared" si="6"/>
        <v>#DIV/0!</v>
      </c>
      <c r="Q456" s="111" t="str">
        <f t="shared" si="7"/>
        <v>#DIV/0!</v>
      </c>
      <c r="R456" s="112">
        <f t="shared" si="261"/>
        <v>0</v>
      </c>
      <c r="S456" s="113" t="str">
        <f t="shared" si="9"/>
        <v>#DIV/0!</v>
      </c>
      <c r="T456" s="114"/>
      <c r="U456" s="114"/>
      <c r="V456" s="114"/>
      <c r="W456" s="114"/>
      <c r="X456" s="115"/>
      <c r="Y456" s="98"/>
      <c r="Z456" s="98"/>
    </row>
    <row r="457" collapsed="1">
      <c r="A457" s="293" t="str">
        <f t="shared" si="263"/>
        <v/>
      </c>
      <c r="B457" s="80" t="s">
        <v>132</v>
      </c>
      <c r="C457" s="312"/>
      <c r="D457" s="151">
        <f t="shared" ref="D457:F457" si="264">SUM(D445:D456)</f>
        <v>0</v>
      </c>
      <c r="E457" s="153">
        <f t="shared" si="264"/>
        <v>0</v>
      </c>
      <c r="F457" s="153">
        <f t="shared" si="264"/>
        <v>0</v>
      </c>
      <c r="G457" s="154" t="str">
        <f t="shared" si="265"/>
        <v>#DIV/0!</v>
      </c>
      <c r="H457" s="155" t="str">
        <f t="shared" si="266"/>
        <v>#DIV/0!</v>
      </c>
      <c r="I457" s="156" t="str">
        <f t="shared" si="267"/>
        <v>#DIV/0!</v>
      </c>
      <c r="J457" s="151">
        <f t="shared" ref="J457:M457" si="268">SUM(J445:J456)</f>
        <v>2426.37</v>
      </c>
      <c r="K457" s="313">
        <f t="shared" si="268"/>
        <v>136438</v>
      </c>
      <c r="L457" s="153">
        <f t="shared" si="268"/>
        <v>0</v>
      </c>
      <c r="M457" s="157">
        <f t="shared" si="268"/>
        <v>3353.15</v>
      </c>
      <c r="N457" s="158">
        <f t="shared" si="262"/>
        <v>0.7236091436</v>
      </c>
      <c r="O457" s="159">
        <f t="shared" si="5"/>
        <v>1.381961531</v>
      </c>
      <c r="P457" s="158" t="str">
        <f t="shared" si="6"/>
        <v>#DIV/0!</v>
      </c>
      <c r="Q457" s="160" t="str">
        <f t="shared" si="7"/>
        <v>#DIV/0!</v>
      </c>
      <c r="R457" s="161">
        <f>SUM(R445:R456)</f>
        <v>-3353.15</v>
      </c>
      <c r="S457" s="162" t="str">
        <f t="shared" si="9"/>
        <v>#DIV/0!</v>
      </c>
      <c r="T457" s="164" t="str">
        <f t="shared" ref="T457:U457" si="269">IFERROR((D457-D48)/D457,)</f>
        <v/>
      </c>
      <c r="U457" s="164" t="str">
        <f t="shared" si="269"/>
        <v/>
      </c>
      <c r="V457" s="164" t="str">
        <f t="shared" ref="V457:W457" si="270">IFERROR((D457-monthly_reporting_2021!D248)/D457, )</f>
        <v/>
      </c>
      <c r="W457" s="164" t="str">
        <f t="shared" si="270"/>
        <v/>
      </c>
      <c r="X457" s="98"/>
      <c r="Y457" s="98"/>
      <c r="Z457" s="98"/>
    </row>
    <row r="458" hidden="1" outlineLevel="1">
      <c r="A458" s="293"/>
      <c r="B458" s="99">
        <v>45970.0</v>
      </c>
      <c r="C458" s="294" t="s">
        <v>70</v>
      </c>
      <c r="D458" s="295"/>
      <c r="E458" s="296"/>
      <c r="F458" s="296"/>
      <c r="G458" s="104" t="str">
        <f t="shared" si="265"/>
        <v>#DIV/0!</v>
      </c>
      <c r="H458" s="105" t="str">
        <f t="shared" si="266"/>
        <v>#DIV/0!</v>
      </c>
      <c r="I458" s="106" t="str">
        <f t="shared" si="267"/>
        <v>#DIV/0!</v>
      </c>
      <c r="J458" s="107">
        <v>139.66</v>
      </c>
      <c r="K458" s="278">
        <v>20350.0</v>
      </c>
      <c r="L458" s="296"/>
      <c r="M458" s="108">
        <v>537.85</v>
      </c>
      <c r="N458" s="109">
        <f t="shared" si="262"/>
        <v>0.2596634749</v>
      </c>
      <c r="O458" s="110">
        <f t="shared" si="5"/>
        <v>3.851138479</v>
      </c>
      <c r="P458" s="109" t="str">
        <f t="shared" si="6"/>
        <v>#DIV/0!</v>
      </c>
      <c r="Q458" s="111" t="str">
        <f t="shared" si="7"/>
        <v>#DIV/0!</v>
      </c>
      <c r="R458" s="112">
        <f t="shared" ref="R458:R469" si="271">D458-M458</f>
        <v>-537.85</v>
      </c>
      <c r="S458" s="113" t="str">
        <f t="shared" si="9"/>
        <v>#DIV/0!</v>
      </c>
      <c r="T458" s="114"/>
      <c r="U458" s="114"/>
      <c r="V458" s="114"/>
      <c r="W458" s="114"/>
      <c r="X458" s="115"/>
      <c r="Y458" s="98"/>
      <c r="Z458" s="98"/>
    </row>
    <row r="459" hidden="1" outlineLevel="1">
      <c r="A459" s="293"/>
      <c r="B459" s="116"/>
      <c r="C459" s="294" t="s">
        <v>71</v>
      </c>
      <c r="D459" s="297"/>
      <c r="E459" s="296"/>
      <c r="F459" s="296"/>
      <c r="G459" s="104" t="str">
        <f t="shared" si="265"/>
        <v>#DIV/0!</v>
      </c>
      <c r="H459" s="105" t="str">
        <f t="shared" si="266"/>
        <v>#DIV/0!</v>
      </c>
      <c r="I459" s="106" t="str">
        <f t="shared" si="267"/>
        <v>#DIV/0!</v>
      </c>
      <c r="J459" s="117">
        <v>50.58</v>
      </c>
      <c r="K459" s="278">
        <v>3523.0</v>
      </c>
      <c r="L459" s="296"/>
      <c r="M459" s="118">
        <v>379.7</v>
      </c>
      <c r="N459" s="109">
        <f t="shared" si="262"/>
        <v>0.1332104293</v>
      </c>
      <c r="O459" s="110">
        <f t="shared" si="5"/>
        <v>7.506919731</v>
      </c>
      <c r="P459" s="109" t="str">
        <f t="shared" si="6"/>
        <v>#DIV/0!</v>
      </c>
      <c r="Q459" s="111" t="str">
        <f t="shared" si="7"/>
        <v>#DIV/0!</v>
      </c>
      <c r="R459" s="119">
        <f t="shared" si="271"/>
        <v>-379.7</v>
      </c>
      <c r="S459" s="113" t="str">
        <f t="shared" si="9"/>
        <v>#DIV/0!</v>
      </c>
      <c r="T459" s="114"/>
      <c r="U459" s="114"/>
      <c r="V459" s="114"/>
      <c r="W459" s="114"/>
      <c r="X459" s="115"/>
      <c r="Y459" s="98"/>
      <c r="Z459" s="98"/>
    </row>
    <row r="460" hidden="1" outlineLevel="1">
      <c r="A460" s="293"/>
      <c r="B460" s="116"/>
      <c r="C460" s="294" t="s">
        <v>72</v>
      </c>
      <c r="D460" s="298"/>
      <c r="E460" s="296"/>
      <c r="F460" s="296"/>
      <c r="G460" s="104" t="str">
        <f t="shared" si="265"/>
        <v>#DIV/0!</v>
      </c>
      <c r="H460" s="105" t="str">
        <f t="shared" si="266"/>
        <v>#DIV/0!</v>
      </c>
      <c r="I460" s="106" t="str">
        <f t="shared" si="267"/>
        <v>#DIV/0!</v>
      </c>
      <c r="J460" s="120">
        <v>129.12</v>
      </c>
      <c r="K460" s="278">
        <v>15271.0</v>
      </c>
      <c r="L460" s="296"/>
      <c r="M460" s="121">
        <v>546.93</v>
      </c>
      <c r="N460" s="109">
        <f>(J460/M460)</f>
        <v>0.2360813998</v>
      </c>
      <c r="O460" s="110">
        <f t="shared" si="5"/>
        <v>4.235827138</v>
      </c>
      <c r="P460" s="109" t="str">
        <f t="shared" si="6"/>
        <v>#DIV/0!</v>
      </c>
      <c r="Q460" s="111" t="str">
        <f t="shared" si="7"/>
        <v>#DIV/0!</v>
      </c>
      <c r="R460" s="122">
        <f t="shared" si="271"/>
        <v>-546.93</v>
      </c>
      <c r="S460" s="113" t="str">
        <f t="shared" si="9"/>
        <v>#DIV/0!</v>
      </c>
      <c r="T460" s="114"/>
      <c r="U460" s="114"/>
      <c r="V460" s="114"/>
      <c r="W460" s="114"/>
      <c r="X460" s="115"/>
      <c r="Y460" s="98"/>
      <c r="Z460" s="98"/>
    </row>
    <row r="461" hidden="1" outlineLevel="1">
      <c r="A461" s="293"/>
      <c r="B461" s="116"/>
      <c r="C461" s="294" t="s">
        <v>73</v>
      </c>
      <c r="D461" s="298"/>
      <c r="E461" s="296"/>
      <c r="F461" s="296"/>
      <c r="G461" s="104" t="str">
        <f t="shared" si="265"/>
        <v>#DIV/0!</v>
      </c>
      <c r="H461" s="105" t="str">
        <f t="shared" si="266"/>
        <v>#DIV/0!</v>
      </c>
      <c r="I461" s="106" t="str">
        <f t="shared" si="267"/>
        <v>#DIV/0!</v>
      </c>
      <c r="J461" s="120">
        <v>37.2</v>
      </c>
      <c r="K461" s="278">
        <v>5777.0</v>
      </c>
      <c r="L461" s="296"/>
      <c r="M461" s="121">
        <v>59.95</v>
      </c>
      <c r="N461" s="109">
        <f t="shared" ref="N461:N472" si="272">J461/M461</f>
        <v>0.6205170976</v>
      </c>
      <c r="O461" s="110">
        <f t="shared" si="5"/>
        <v>1.61155914</v>
      </c>
      <c r="P461" s="109" t="str">
        <f t="shared" si="6"/>
        <v>#DIV/0!</v>
      </c>
      <c r="Q461" s="111" t="str">
        <f t="shared" si="7"/>
        <v>#DIV/0!</v>
      </c>
      <c r="R461" s="122">
        <f t="shared" si="271"/>
        <v>-59.95</v>
      </c>
      <c r="S461" s="113" t="str">
        <f t="shared" si="9"/>
        <v>#DIV/0!</v>
      </c>
      <c r="T461" s="114"/>
      <c r="U461" s="114"/>
      <c r="V461" s="114"/>
      <c r="W461" s="114"/>
      <c r="X461" s="115"/>
      <c r="Y461" s="98"/>
      <c r="Z461" s="98"/>
    </row>
    <row r="462" hidden="1" outlineLevel="1">
      <c r="A462" s="293"/>
      <c r="B462" s="116"/>
      <c r="C462" s="294" t="s">
        <v>74</v>
      </c>
      <c r="D462" s="299"/>
      <c r="E462" s="296"/>
      <c r="F462" s="296"/>
      <c r="G462" s="104" t="str">
        <f t="shared" si="265"/>
        <v>#DIV/0!</v>
      </c>
      <c r="H462" s="105" t="str">
        <f t="shared" si="266"/>
        <v>#DIV/0!</v>
      </c>
      <c r="I462" s="106" t="str">
        <f t="shared" si="267"/>
        <v>#DIV/0!</v>
      </c>
      <c r="J462" s="300">
        <v>66.46</v>
      </c>
      <c r="K462" s="278">
        <v>5120.0</v>
      </c>
      <c r="L462" s="296"/>
      <c r="M462" s="300">
        <v>0.0</v>
      </c>
      <c r="N462" s="109" t="str">
        <f t="shared" si="272"/>
        <v>#DIV/0!</v>
      </c>
      <c r="O462" s="110">
        <f t="shared" si="5"/>
        <v>0</v>
      </c>
      <c r="P462" s="109" t="str">
        <f t="shared" si="6"/>
        <v>#DIV/0!</v>
      </c>
      <c r="Q462" s="111" t="str">
        <f t="shared" si="7"/>
        <v>#DIV/0!</v>
      </c>
      <c r="R462" s="122">
        <f t="shared" si="271"/>
        <v>0</v>
      </c>
      <c r="S462" s="113" t="str">
        <f t="shared" si="9"/>
        <v>#DIV/0!</v>
      </c>
      <c r="T462" s="114"/>
      <c r="U462" s="114"/>
      <c r="V462" s="114"/>
      <c r="W462" s="114"/>
      <c r="X462" s="115"/>
      <c r="Y462" s="98"/>
      <c r="Z462" s="98"/>
    </row>
    <row r="463" hidden="1" outlineLevel="1">
      <c r="A463" s="293"/>
      <c r="B463" s="116"/>
      <c r="C463" s="294" t="s">
        <v>75</v>
      </c>
      <c r="D463" s="301"/>
      <c r="E463" s="296"/>
      <c r="F463" s="296"/>
      <c r="G463" s="104" t="str">
        <f t="shared" si="265"/>
        <v>#DIV/0!</v>
      </c>
      <c r="H463" s="105" t="str">
        <f t="shared" si="266"/>
        <v>#DIV/0!</v>
      </c>
      <c r="I463" s="106" t="str">
        <f t="shared" si="267"/>
        <v>#DIV/0!</v>
      </c>
      <c r="J463" s="302">
        <v>8.56</v>
      </c>
      <c r="K463" s="278">
        <v>452.0</v>
      </c>
      <c r="L463" s="296"/>
      <c r="M463" s="303">
        <v>0.0</v>
      </c>
      <c r="N463" s="109" t="str">
        <f t="shared" si="272"/>
        <v>#DIV/0!</v>
      </c>
      <c r="O463" s="110">
        <f t="shared" si="5"/>
        <v>0</v>
      </c>
      <c r="P463" s="109" t="str">
        <f t="shared" si="6"/>
        <v>#DIV/0!</v>
      </c>
      <c r="Q463" s="111" t="str">
        <f t="shared" si="7"/>
        <v>#DIV/0!</v>
      </c>
      <c r="R463" s="304">
        <f t="shared" si="271"/>
        <v>0</v>
      </c>
      <c r="S463" s="113" t="str">
        <f t="shared" si="9"/>
        <v>#DIV/0!</v>
      </c>
      <c r="T463" s="114"/>
      <c r="U463" s="114"/>
      <c r="V463" s="114"/>
      <c r="W463" s="114"/>
      <c r="X463" s="115"/>
      <c r="Y463" s="98"/>
      <c r="Z463" s="98"/>
    </row>
    <row r="464" hidden="1" outlineLevel="1">
      <c r="A464" s="293"/>
      <c r="B464" s="116"/>
      <c r="C464" s="294" t="s">
        <v>76</v>
      </c>
      <c r="D464" s="298"/>
      <c r="E464" s="296"/>
      <c r="F464" s="296"/>
      <c r="G464" s="104" t="str">
        <f t="shared" si="265"/>
        <v>#DIV/0!</v>
      </c>
      <c r="H464" s="105" t="str">
        <f t="shared" si="266"/>
        <v>#DIV/0!</v>
      </c>
      <c r="I464" s="106" t="str">
        <f t="shared" si="267"/>
        <v>#DIV/0!</v>
      </c>
      <c r="J464" s="120">
        <v>294.88</v>
      </c>
      <c r="K464" s="278">
        <v>13620.0</v>
      </c>
      <c r="L464" s="296"/>
      <c r="M464" s="121">
        <v>317.82</v>
      </c>
      <c r="N464" s="109">
        <f t="shared" si="272"/>
        <v>0.9278207791</v>
      </c>
      <c r="O464" s="110">
        <f t="shared" si="5"/>
        <v>1.077794357</v>
      </c>
      <c r="P464" s="109" t="str">
        <f t="shared" si="6"/>
        <v>#DIV/0!</v>
      </c>
      <c r="Q464" s="111" t="str">
        <f t="shared" si="7"/>
        <v>#DIV/0!</v>
      </c>
      <c r="R464" s="122">
        <f t="shared" si="271"/>
        <v>-317.82</v>
      </c>
      <c r="S464" s="113" t="str">
        <f t="shared" si="9"/>
        <v>#DIV/0!</v>
      </c>
      <c r="T464" s="114"/>
      <c r="U464" s="114"/>
      <c r="V464" s="114"/>
      <c r="W464" s="114"/>
      <c r="X464" s="115"/>
      <c r="Y464" s="98"/>
      <c r="Z464" s="98"/>
    </row>
    <row r="465" hidden="1" outlineLevel="1">
      <c r="A465" s="293"/>
      <c r="B465" s="99" t="s">
        <v>37</v>
      </c>
      <c r="C465" s="294" t="s">
        <v>77</v>
      </c>
      <c r="D465" s="305"/>
      <c r="E465" s="296"/>
      <c r="F465" s="296"/>
      <c r="G465" s="104" t="str">
        <f t="shared" si="265"/>
        <v>#DIV/0!</v>
      </c>
      <c r="H465" s="105" t="str">
        <f t="shared" si="266"/>
        <v>#DIV/0!</v>
      </c>
      <c r="I465" s="106" t="str">
        <f t="shared" si="267"/>
        <v>#DIV/0!</v>
      </c>
      <c r="J465" s="123">
        <v>89.44</v>
      </c>
      <c r="K465" s="278">
        <v>4153.0</v>
      </c>
      <c r="L465" s="296"/>
      <c r="M465" s="124">
        <v>0.0</v>
      </c>
      <c r="N465" s="109" t="str">
        <f t="shared" si="272"/>
        <v>#DIV/0!</v>
      </c>
      <c r="O465" s="110">
        <f t="shared" si="5"/>
        <v>0</v>
      </c>
      <c r="P465" s="109" t="str">
        <f t="shared" si="6"/>
        <v>#DIV/0!</v>
      </c>
      <c r="Q465" s="111" t="str">
        <f t="shared" si="7"/>
        <v>#DIV/0!</v>
      </c>
      <c r="R465" s="125">
        <f t="shared" si="271"/>
        <v>0</v>
      </c>
      <c r="S465" s="113" t="str">
        <f t="shared" si="9"/>
        <v>#DIV/0!</v>
      </c>
      <c r="T465" s="114"/>
      <c r="U465" s="114"/>
      <c r="V465" s="114"/>
      <c r="W465" s="114"/>
      <c r="X465" s="115"/>
      <c r="Y465" s="98"/>
      <c r="Z465" s="98"/>
    </row>
    <row r="466" hidden="1" outlineLevel="1">
      <c r="A466" s="293"/>
      <c r="B466" s="116"/>
      <c r="C466" s="294" t="s">
        <v>78</v>
      </c>
      <c r="D466" s="306"/>
      <c r="E466" s="296"/>
      <c r="F466" s="296"/>
      <c r="G466" s="104" t="str">
        <f t="shared" si="265"/>
        <v>#DIV/0!</v>
      </c>
      <c r="H466" s="105" t="str">
        <f t="shared" si="266"/>
        <v>#DIV/0!</v>
      </c>
      <c r="I466" s="106" t="str">
        <f t="shared" si="267"/>
        <v>#DIV/0!</v>
      </c>
      <c r="J466" s="126">
        <v>152.0</v>
      </c>
      <c r="K466" s="278">
        <v>21244.0</v>
      </c>
      <c r="L466" s="296"/>
      <c r="M466" s="127">
        <v>0.0</v>
      </c>
      <c r="N466" s="109" t="str">
        <f t="shared" si="272"/>
        <v>#DIV/0!</v>
      </c>
      <c r="O466" s="110">
        <f t="shared" si="5"/>
        <v>0</v>
      </c>
      <c r="P466" s="109" t="str">
        <f t="shared" si="6"/>
        <v>#DIV/0!</v>
      </c>
      <c r="Q466" s="111" t="str">
        <f t="shared" si="7"/>
        <v>#DIV/0!</v>
      </c>
      <c r="R466" s="128">
        <f t="shared" si="271"/>
        <v>0</v>
      </c>
      <c r="S466" s="113" t="str">
        <f t="shared" si="9"/>
        <v>#DIV/0!</v>
      </c>
      <c r="T466" s="114"/>
      <c r="U466" s="114"/>
      <c r="V466" s="114"/>
      <c r="W466" s="114"/>
      <c r="X466" s="115"/>
      <c r="Y466" s="98"/>
      <c r="Z466" s="98"/>
    </row>
    <row r="467" hidden="1" outlineLevel="1">
      <c r="A467" s="293"/>
      <c r="B467" s="116"/>
      <c r="C467" s="294" t="s">
        <v>79</v>
      </c>
      <c r="D467" s="307"/>
      <c r="E467" s="296"/>
      <c r="F467" s="296"/>
      <c r="G467" s="104" t="str">
        <f t="shared" si="265"/>
        <v>#DIV/0!</v>
      </c>
      <c r="H467" s="105" t="str">
        <f t="shared" si="266"/>
        <v>#DIV/0!</v>
      </c>
      <c r="I467" s="106" t="str">
        <f t="shared" si="267"/>
        <v>#DIV/0!</v>
      </c>
      <c r="J467" s="129">
        <v>37.98</v>
      </c>
      <c r="K467" s="278">
        <v>5292.0</v>
      </c>
      <c r="L467" s="296"/>
      <c r="M467" s="130">
        <v>171.8</v>
      </c>
      <c r="N467" s="109">
        <f t="shared" si="272"/>
        <v>0.2210710128</v>
      </c>
      <c r="O467" s="110">
        <f t="shared" si="5"/>
        <v>4.523433386</v>
      </c>
      <c r="P467" s="109" t="str">
        <f t="shared" si="6"/>
        <v>#DIV/0!</v>
      </c>
      <c r="Q467" s="111" t="str">
        <f t="shared" si="7"/>
        <v>#DIV/0!</v>
      </c>
      <c r="R467" s="131">
        <f t="shared" si="271"/>
        <v>-171.8</v>
      </c>
      <c r="S467" s="113" t="str">
        <f t="shared" si="9"/>
        <v>#DIV/0!</v>
      </c>
      <c r="T467" s="114"/>
      <c r="U467" s="114"/>
      <c r="V467" s="114"/>
      <c r="W467" s="114"/>
      <c r="X467" s="115"/>
      <c r="Y467" s="98"/>
      <c r="Z467" s="98"/>
    </row>
    <row r="468" hidden="1" outlineLevel="1">
      <c r="A468" s="293"/>
      <c r="B468" s="116"/>
      <c r="C468" s="294" t="s">
        <v>80</v>
      </c>
      <c r="D468" s="307"/>
      <c r="E468" s="296"/>
      <c r="F468" s="296"/>
      <c r="G468" s="308"/>
      <c r="H468" s="102"/>
      <c r="I468" s="309"/>
      <c r="J468" s="135">
        <v>226.77</v>
      </c>
      <c r="K468" s="278">
        <v>18045.0</v>
      </c>
      <c r="L468" s="296"/>
      <c r="M468" s="136">
        <v>784.81</v>
      </c>
      <c r="N468" s="109">
        <f t="shared" si="272"/>
        <v>0.2889489176</v>
      </c>
      <c r="O468" s="110">
        <f t="shared" si="5"/>
        <v>3.460819332</v>
      </c>
      <c r="P468" s="109" t="str">
        <f t="shared" si="6"/>
        <v>#DIV/0!</v>
      </c>
      <c r="Q468" s="111" t="str">
        <f t="shared" si="7"/>
        <v>#DIV/0!</v>
      </c>
      <c r="R468" s="137">
        <f t="shared" si="271"/>
        <v>-784.81</v>
      </c>
      <c r="S468" s="113" t="str">
        <f t="shared" si="9"/>
        <v>#DIV/0!</v>
      </c>
      <c r="T468" s="114"/>
      <c r="U468" s="114"/>
      <c r="V468" s="114"/>
      <c r="W468" s="114"/>
      <c r="X468" s="115"/>
      <c r="Y468" s="98"/>
      <c r="Z468" s="98"/>
    </row>
    <row r="469" hidden="1" outlineLevel="1">
      <c r="A469" s="310" t="str">
        <f t="shared" ref="A469:A470" si="273">iferror(if(B469&gt;0,month(B469)&amp;"-"&amp;year(B469),B469),)</f>
        <v>11-2025</v>
      </c>
      <c r="B469" s="99">
        <v>45976.0</v>
      </c>
      <c r="C469" s="294" t="s">
        <v>81</v>
      </c>
      <c r="D469" s="311"/>
      <c r="E469" s="296"/>
      <c r="F469" s="296"/>
      <c r="G469" s="104" t="str">
        <f t="shared" ref="G469:G480" si="275">E469/F469</f>
        <v>#DIV/0!</v>
      </c>
      <c r="H469" s="105" t="str">
        <f t="shared" ref="H469:H480" si="276">D469/E469</f>
        <v>#DIV/0!</v>
      </c>
      <c r="I469" s="106" t="str">
        <f t="shared" ref="I469:I480" si="277">H469/G469</f>
        <v>#DIV/0!</v>
      </c>
      <c r="J469" s="117">
        <v>0.0</v>
      </c>
      <c r="K469" s="278">
        <v>0.0</v>
      </c>
      <c r="L469" s="296"/>
      <c r="M469" s="118">
        <v>0.0</v>
      </c>
      <c r="N469" s="109" t="str">
        <f t="shared" si="272"/>
        <v>#DIV/0!</v>
      </c>
      <c r="O469" s="110" t="str">
        <f t="shared" si="5"/>
        <v>#DIV/0!</v>
      </c>
      <c r="P469" s="109" t="str">
        <f t="shared" si="6"/>
        <v>#DIV/0!</v>
      </c>
      <c r="Q469" s="111" t="str">
        <f t="shared" si="7"/>
        <v>#DIV/0!</v>
      </c>
      <c r="R469" s="112">
        <f t="shared" si="271"/>
        <v>0</v>
      </c>
      <c r="S469" s="113" t="str">
        <f t="shared" si="9"/>
        <v>#DIV/0!</v>
      </c>
      <c r="T469" s="114"/>
      <c r="U469" s="114"/>
      <c r="V469" s="114"/>
      <c r="W469" s="114"/>
      <c r="X469" s="115"/>
      <c r="Y469" s="98"/>
      <c r="Z469" s="98"/>
    </row>
    <row r="470" collapsed="1">
      <c r="A470" s="293" t="str">
        <f t="shared" si="273"/>
        <v/>
      </c>
      <c r="B470" s="80" t="s">
        <v>133</v>
      </c>
      <c r="C470" s="312"/>
      <c r="D470" s="151">
        <f t="shared" ref="D470:F470" si="274">SUM(D458:D469)</f>
        <v>0</v>
      </c>
      <c r="E470" s="153">
        <f t="shared" si="274"/>
        <v>0</v>
      </c>
      <c r="F470" s="153">
        <f t="shared" si="274"/>
        <v>0</v>
      </c>
      <c r="G470" s="154" t="str">
        <f t="shared" si="275"/>
        <v>#DIV/0!</v>
      </c>
      <c r="H470" s="155" t="str">
        <f t="shared" si="276"/>
        <v>#DIV/0!</v>
      </c>
      <c r="I470" s="156" t="str">
        <f t="shared" si="277"/>
        <v>#DIV/0!</v>
      </c>
      <c r="J470" s="151">
        <f t="shared" ref="J470:M470" si="278">SUM(J458:J469)</f>
        <v>1232.65</v>
      </c>
      <c r="K470" s="313">
        <f t="shared" si="278"/>
        <v>112847</v>
      </c>
      <c r="L470" s="153">
        <f t="shared" si="278"/>
        <v>0</v>
      </c>
      <c r="M470" s="157">
        <f t="shared" si="278"/>
        <v>2798.86</v>
      </c>
      <c r="N470" s="158">
        <f t="shared" si="272"/>
        <v>0.4404114532</v>
      </c>
      <c r="O470" s="159">
        <f t="shared" si="5"/>
        <v>2.270603983</v>
      </c>
      <c r="P470" s="158" t="str">
        <f t="shared" si="6"/>
        <v>#DIV/0!</v>
      </c>
      <c r="Q470" s="160" t="str">
        <f t="shared" si="7"/>
        <v>#DIV/0!</v>
      </c>
      <c r="R470" s="161">
        <f>SUM(R458:R469)</f>
        <v>-2798.86</v>
      </c>
      <c r="S470" s="162" t="str">
        <f t="shared" si="9"/>
        <v>#DIV/0!</v>
      </c>
      <c r="T470" s="164" t="str">
        <f t="shared" ref="T470:U470" si="279">IFERROR((D470-D48)/D470,)</f>
        <v/>
      </c>
      <c r="U470" s="164" t="str">
        <f t="shared" si="279"/>
        <v/>
      </c>
      <c r="V470" s="164" t="str">
        <f t="shared" ref="V470:W470" si="280">IFERROR((D470-monthly_reporting_2021!D261)/D470, )</f>
        <v/>
      </c>
      <c r="W470" s="164" t="str">
        <f t="shared" si="280"/>
        <v/>
      </c>
      <c r="X470" s="98"/>
      <c r="Y470" s="98"/>
      <c r="Z470" s="98"/>
    </row>
    <row r="471" hidden="1" outlineLevel="1">
      <c r="A471" s="293"/>
      <c r="B471" s="99">
        <v>45977.0</v>
      </c>
      <c r="C471" s="294" t="s">
        <v>70</v>
      </c>
      <c r="D471" s="295"/>
      <c r="E471" s="296"/>
      <c r="F471" s="296"/>
      <c r="G471" s="104" t="str">
        <f t="shared" si="275"/>
        <v>#DIV/0!</v>
      </c>
      <c r="H471" s="105" t="str">
        <f t="shared" si="276"/>
        <v>#DIV/0!</v>
      </c>
      <c r="I471" s="106" t="str">
        <f t="shared" si="277"/>
        <v>#DIV/0!</v>
      </c>
      <c r="J471" s="107">
        <v>542.28</v>
      </c>
      <c r="K471" s="278">
        <v>50952.0</v>
      </c>
      <c r="L471" s="296"/>
      <c r="M471" s="108">
        <v>3249.9</v>
      </c>
      <c r="N471" s="109">
        <f t="shared" si="272"/>
        <v>0.1668605188</v>
      </c>
      <c r="O471" s="110">
        <f t="shared" si="5"/>
        <v>5.993029431</v>
      </c>
      <c r="P471" s="109" t="str">
        <f t="shared" si="6"/>
        <v>#DIV/0!</v>
      </c>
      <c r="Q471" s="111" t="str">
        <f t="shared" si="7"/>
        <v>#DIV/0!</v>
      </c>
      <c r="R471" s="112">
        <f t="shared" ref="R471:R482" si="281">D471-M471</f>
        <v>-3249.9</v>
      </c>
      <c r="S471" s="113" t="str">
        <f t="shared" si="9"/>
        <v>#DIV/0!</v>
      </c>
      <c r="T471" s="114"/>
      <c r="U471" s="114"/>
      <c r="V471" s="114"/>
      <c r="W471" s="114"/>
      <c r="X471" s="115"/>
      <c r="Y471" s="98"/>
      <c r="Z471" s="98"/>
    </row>
    <row r="472" hidden="1" outlineLevel="1">
      <c r="A472" s="293"/>
      <c r="B472" s="116"/>
      <c r="C472" s="294" t="s">
        <v>71</v>
      </c>
      <c r="D472" s="297"/>
      <c r="E472" s="296"/>
      <c r="F472" s="296"/>
      <c r="G472" s="104" t="str">
        <f t="shared" si="275"/>
        <v>#DIV/0!</v>
      </c>
      <c r="H472" s="105" t="str">
        <f t="shared" si="276"/>
        <v>#DIV/0!</v>
      </c>
      <c r="I472" s="106" t="str">
        <f t="shared" si="277"/>
        <v>#DIV/0!</v>
      </c>
      <c r="J472" s="117">
        <v>51.84</v>
      </c>
      <c r="K472" s="278">
        <v>4778.0</v>
      </c>
      <c r="L472" s="296"/>
      <c r="M472" s="118">
        <v>19.98</v>
      </c>
      <c r="N472" s="109">
        <f t="shared" si="272"/>
        <v>2.594594595</v>
      </c>
      <c r="O472" s="110">
        <f t="shared" si="5"/>
        <v>0.3854166667</v>
      </c>
      <c r="P472" s="109" t="str">
        <f t="shared" si="6"/>
        <v>#DIV/0!</v>
      </c>
      <c r="Q472" s="111" t="str">
        <f t="shared" si="7"/>
        <v>#DIV/0!</v>
      </c>
      <c r="R472" s="119">
        <f t="shared" si="281"/>
        <v>-19.98</v>
      </c>
      <c r="S472" s="113" t="str">
        <f t="shared" si="9"/>
        <v>#DIV/0!</v>
      </c>
      <c r="T472" s="114"/>
      <c r="U472" s="114"/>
      <c r="V472" s="114"/>
      <c r="W472" s="114"/>
      <c r="X472" s="115"/>
      <c r="Y472" s="98"/>
      <c r="Z472" s="98"/>
    </row>
    <row r="473" hidden="1" outlineLevel="1">
      <c r="A473" s="293"/>
      <c r="B473" s="116"/>
      <c r="C473" s="294" t="s">
        <v>72</v>
      </c>
      <c r="D473" s="298"/>
      <c r="E473" s="296"/>
      <c r="F473" s="296"/>
      <c r="G473" s="104" t="str">
        <f t="shared" si="275"/>
        <v>#DIV/0!</v>
      </c>
      <c r="H473" s="105" t="str">
        <f t="shared" si="276"/>
        <v>#DIV/0!</v>
      </c>
      <c r="I473" s="106" t="str">
        <f t="shared" si="277"/>
        <v>#DIV/0!</v>
      </c>
      <c r="J473" s="120">
        <v>158.64</v>
      </c>
      <c r="K473" s="278">
        <v>16687.0</v>
      </c>
      <c r="L473" s="296"/>
      <c r="M473" s="121">
        <v>557.74</v>
      </c>
      <c r="N473" s="109">
        <f>(J473/M473)</f>
        <v>0.2844336071</v>
      </c>
      <c r="O473" s="110">
        <f t="shared" si="5"/>
        <v>3.515758951</v>
      </c>
      <c r="P473" s="109" t="str">
        <f t="shared" si="6"/>
        <v>#DIV/0!</v>
      </c>
      <c r="Q473" s="111" t="str">
        <f t="shared" si="7"/>
        <v>#DIV/0!</v>
      </c>
      <c r="R473" s="122">
        <f t="shared" si="281"/>
        <v>-557.74</v>
      </c>
      <c r="S473" s="113" t="str">
        <f t="shared" si="9"/>
        <v>#DIV/0!</v>
      </c>
      <c r="T473" s="114"/>
      <c r="U473" s="114"/>
      <c r="V473" s="114"/>
      <c r="W473" s="114"/>
      <c r="X473" s="115"/>
      <c r="Y473" s="98"/>
      <c r="Z473" s="98"/>
    </row>
    <row r="474" hidden="1" outlineLevel="1">
      <c r="A474" s="293"/>
      <c r="B474" s="116"/>
      <c r="C474" s="294" t="s">
        <v>73</v>
      </c>
      <c r="D474" s="298"/>
      <c r="E474" s="296"/>
      <c r="F474" s="296"/>
      <c r="G474" s="104" t="str">
        <f t="shared" si="275"/>
        <v>#DIV/0!</v>
      </c>
      <c r="H474" s="105" t="str">
        <f t="shared" si="276"/>
        <v>#DIV/0!</v>
      </c>
      <c r="I474" s="106" t="str">
        <f t="shared" si="277"/>
        <v>#DIV/0!</v>
      </c>
      <c r="J474" s="120">
        <v>41.41</v>
      </c>
      <c r="K474" s="278">
        <v>6806.0</v>
      </c>
      <c r="L474" s="296"/>
      <c r="M474" s="121">
        <v>191.99</v>
      </c>
      <c r="N474" s="109">
        <f t="shared" ref="N474:N485" si="282">J474/M474</f>
        <v>0.2156883171</v>
      </c>
      <c r="O474" s="110">
        <f t="shared" si="5"/>
        <v>4.63631973</v>
      </c>
      <c r="P474" s="109" t="str">
        <f t="shared" si="6"/>
        <v>#DIV/0!</v>
      </c>
      <c r="Q474" s="111" t="str">
        <f t="shared" si="7"/>
        <v>#DIV/0!</v>
      </c>
      <c r="R474" s="122">
        <f t="shared" si="281"/>
        <v>-191.99</v>
      </c>
      <c r="S474" s="113" t="str">
        <f t="shared" si="9"/>
        <v>#DIV/0!</v>
      </c>
      <c r="T474" s="114"/>
      <c r="U474" s="114"/>
      <c r="V474" s="114"/>
      <c r="W474" s="114"/>
      <c r="X474" s="115"/>
      <c r="Y474" s="98"/>
      <c r="Z474" s="98"/>
    </row>
    <row r="475" hidden="1" outlineLevel="1">
      <c r="A475" s="293"/>
      <c r="B475" s="116"/>
      <c r="C475" s="294" t="s">
        <v>74</v>
      </c>
      <c r="D475" s="299"/>
      <c r="E475" s="296"/>
      <c r="F475" s="296"/>
      <c r="G475" s="104" t="str">
        <f t="shared" si="275"/>
        <v>#DIV/0!</v>
      </c>
      <c r="H475" s="105" t="str">
        <f t="shared" si="276"/>
        <v>#DIV/0!</v>
      </c>
      <c r="I475" s="106" t="str">
        <f t="shared" si="277"/>
        <v>#DIV/0!</v>
      </c>
      <c r="J475" s="300">
        <v>62.41</v>
      </c>
      <c r="K475" s="278">
        <v>4226.0</v>
      </c>
      <c r="L475" s="296"/>
      <c r="M475" s="300">
        <v>220.74</v>
      </c>
      <c r="N475" s="109">
        <f t="shared" si="282"/>
        <v>0.2827308145</v>
      </c>
      <c r="O475" s="110">
        <f t="shared" si="5"/>
        <v>3.536933184</v>
      </c>
      <c r="P475" s="109" t="str">
        <f t="shared" si="6"/>
        <v>#DIV/0!</v>
      </c>
      <c r="Q475" s="111" t="str">
        <f t="shared" si="7"/>
        <v>#DIV/0!</v>
      </c>
      <c r="R475" s="122">
        <f t="shared" si="281"/>
        <v>-220.74</v>
      </c>
      <c r="S475" s="113" t="str">
        <f t="shared" si="9"/>
        <v>#DIV/0!</v>
      </c>
      <c r="T475" s="114"/>
      <c r="U475" s="114"/>
      <c r="V475" s="114"/>
      <c r="W475" s="114"/>
      <c r="X475" s="115"/>
      <c r="Y475" s="98"/>
      <c r="Z475" s="98"/>
    </row>
    <row r="476" hidden="1" outlineLevel="1">
      <c r="A476" s="293"/>
      <c r="B476" s="116"/>
      <c r="C476" s="294" t="s">
        <v>75</v>
      </c>
      <c r="D476" s="301"/>
      <c r="E476" s="296"/>
      <c r="F476" s="296"/>
      <c r="G476" s="104" t="str">
        <f t="shared" si="275"/>
        <v>#DIV/0!</v>
      </c>
      <c r="H476" s="105" t="str">
        <f t="shared" si="276"/>
        <v>#DIV/0!</v>
      </c>
      <c r="I476" s="106" t="str">
        <f t="shared" si="277"/>
        <v>#DIV/0!</v>
      </c>
      <c r="J476" s="302">
        <v>19.87</v>
      </c>
      <c r="K476" s="278">
        <v>1051.0</v>
      </c>
      <c r="L476" s="296"/>
      <c r="M476" s="303">
        <v>117.0</v>
      </c>
      <c r="N476" s="109">
        <f t="shared" si="282"/>
        <v>0.1698290598</v>
      </c>
      <c r="O476" s="110">
        <f t="shared" si="5"/>
        <v>5.88827378</v>
      </c>
      <c r="P476" s="109" t="str">
        <f t="shared" si="6"/>
        <v>#DIV/0!</v>
      </c>
      <c r="Q476" s="111" t="str">
        <f t="shared" si="7"/>
        <v>#DIV/0!</v>
      </c>
      <c r="R476" s="304">
        <f t="shared" si="281"/>
        <v>-117</v>
      </c>
      <c r="S476" s="113" t="str">
        <f t="shared" si="9"/>
        <v>#DIV/0!</v>
      </c>
      <c r="T476" s="114"/>
      <c r="U476" s="114"/>
      <c r="V476" s="114"/>
      <c r="W476" s="114"/>
      <c r="X476" s="115"/>
      <c r="Y476" s="98"/>
      <c r="Z476" s="98"/>
    </row>
    <row r="477" hidden="1" outlineLevel="1">
      <c r="A477" s="293"/>
      <c r="B477" s="116"/>
      <c r="C477" s="294" t="s">
        <v>76</v>
      </c>
      <c r="D477" s="298"/>
      <c r="E477" s="296"/>
      <c r="F477" s="296"/>
      <c r="G477" s="104" t="str">
        <f t="shared" si="275"/>
        <v>#DIV/0!</v>
      </c>
      <c r="H477" s="105" t="str">
        <f t="shared" si="276"/>
        <v>#DIV/0!</v>
      </c>
      <c r="I477" s="106" t="str">
        <f t="shared" si="277"/>
        <v>#DIV/0!</v>
      </c>
      <c r="J477" s="120">
        <v>219.15</v>
      </c>
      <c r="K477" s="278">
        <v>13869.0</v>
      </c>
      <c r="L477" s="296"/>
      <c r="M477" s="121">
        <v>565.05</v>
      </c>
      <c r="N477" s="109">
        <f t="shared" si="282"/>
        <v>0.3878417839</v>
      </c>
      <c r="O477" s="110">
        <f t="shared" si="5"/>
        <v>2.578370979</v>
      </c>
      <c r="P477" s="109" t="str">
        <f t="shared" si="6"/>
        <v>#DIV/0!</v>
      </c>
      <c r="Q477" s="111" t="str">
        <f t="shared" si="7"/>
        <v>#DIV/0!</v>
      </c>
      <c r="R477" s="122">
        <f t="shared" si="281"/>
        <v>-565.05</v>
      </c>
      <c r="S477" s="113" t="str">
        <f t="shared" si="9"/>
        <v>#DIV/0!</v>
      </c>
      <c r="T477" s="114"/>
      <c r="U477" s="114"/>
      <c r="V477" s="114"/>
      <c r="W477" s="114"/>
      <c r="X477" s="115"/>
      <c r="Y477" s="98"/>
      <c r="Z477" s="98"/>
    </row>
    <row r="478" hidden="1" outlineLevel="1">
      <c r="A478" s="293"/>
      <c r="B478" s="99" t="s">
        <v>37</v>
      </c>
      <c r="C478" s="294" t="s">
        <v>77</v>
      </c>
      <c r="D478" s="305"/>
      <c r="E478" s="296"/>
      <c r="F478" s="296"/>
      <c r="G478" s="104" t="str">
        <f t="shared" si="275"/>
        <v>#DIV/0!</v>
      </c>
      <c r="H478" s="105" t="str">
        <f t="shared" si="276"/>
        <v>#DIV/0!</v>
      </c>
      <c r="I478" s="106" t="str">
        <f t="shared" si="277"/>
        <v>#DIV/0!</v>
      </c>
      <c r="J478" s="123">
        <v>95.45</v>
      </c>
      <c r="K478" s="278">
        <v>5841.0</v>
      </c>
      <c r="L478" s="296"/>
      <c r="M478" s="124">
        <v>693.95</v>
      </c>
      <c r="N478" s="109">
        <f t="shared" si="282"/>
        <v>0.1375459327</v>
      </c>
      <c r="O478" s="110">
        <f t="shared" si="5"/>
        <v>7.270298586</v>
      </c>
      <c r="P478" s="109" t="str">
        <f t="shared" si="6"/>
        <v>#DIV/0!</v>
      </c>
      <c r="Q478" s="111" t="str">
        <f t="shared" si="7"/>
        <v>#DIV/0!</v>
      </c>
      <c r="R478" s="125">
        <f t="shared" si="281"/>
        <v>-693.95</v>
      </c>
      <c r="S478" s="113" t="str">
        <f t="shared" si="9"/>
        <v>#DIV/0!</v>
      </c>
      <c r="T478" s="114"/>
      <c r="U478" s="114"/>
      <c r="V478" s="114"/>
      <c r="W478" s="114"/>
      <c r="X478" s="115"/>
      <c r="Y478" s="98"/>
      <c r="Z478" s="98"/>
    </row>
    <row r="479" hidden="1" outlineLevel="1">
      <c r="A479" s="293"/>
      <c r="B479" s="116"/>
      <c r="C479" s="294" t="s">
        <v>78</v>
      </c>
      <c r="D479" s="306"/>
      <c r="E479" s="296"/>
      <c r="F479" s="296"/>
      <c r="G479" s="104" t="str">
        <f t="shared" si="275"/>
        <v>#DIV/0!</v>
      </c>
      <c r="H479" s="105" t="str">
        <f t="shared" si="276"/>
        <v>#DIV/0!</v>
      </c>
      <c r="I479" s="106" t="str">
        <f t="shared" si="277"/>
        <v>#DIV/0!</v>
      </c>
      <c r="J479" s="126">
        <v>382.93</v>
      </c>
      <c r="K479" s="278">
        <v>38795.0</v>
      </c>
      <c r="L479" s="296"/>
      <c r="M479" s="127">
        <v>838.5</v>
      </c>
      <c r="N479" s="109">
        <f t="shared" si="282"/>
        <v>0.4566845558</v>
      </c>
      <c r="O479" s="110">
        <f t="shared" si="5"/>
        <v>2.189695245</v>
      </c>
      <c r="P479" s="109" t="str">
        <f t="shared" si="6"/>
        <v>#DIV/0!</v>
      </c>
      <c r="Q479" s="111" t="str">
        <f t="shared" si="7"/>
        <v>#DIV/0!</v>
      </c>
      <c r="R479" s="128">
        <f t="shared" si="281"/>
        <v>-838.5</v>
      </c>
      <c r="S479" s="113" t="str">
        <f t="shared" si="9"/>
        <v>#DIV/0!</v>
      </c>
      <c r="T479" s="114"/>
      <c r="U479" s="114"/>
      <c r="V479" s="114"/>
      <c r="W479" s="114"/>
      <c r="X479" s="115"/>
      <c r="Y479" s="98"/>
      <c r="Z479" s="98"/>
    </row>
    <row r="480" hidden="1" outlineLevel="1">
      <c r="A480" s="293"/>
      <c r="B480" s="116"/>
      <c r="C480" s="294" t="s">
        <v>79</v>
      </c>
      <c r="D480" s="307"/>
      <c r="E480" s="296"/>
      <c r="F480" s="296"/>
      <c r="G480" s="104" t="str">
        <f t="shared" si="275"/>
        <v>#DIV/0!</v>
      </c>
      <c r="H480" s="105" t="str">
        <f t="shared" si="276"/>
        <v>#DIV/0!</v>
      </c>
      <c r="I480" s="106" t="str">
        <f t="shared" si="277"/>
        <v>#DIV/0!</v>
      </c>
      <c r="J480" s="129">
        <v>69.31</v>
      </c>
      <c r="K480" s="278">
        <v>8839.0</v>
      </c>
      <c r="L480" s="296"/>
      <c r="M480" s="130">
        <v>368.5</v>
      </c>
      <c r="N480" s="109">
        <f t="shared" si="282"/>
        <v>0.1880868385</v>
      </c>
      <c r="O480" s="110">
        <f t="shared" si="5"/>
        <v>5.316693118</v>
      </c>
      <c r="P480" s="109" t="str">
        <f t="shared" si="6"/>
        <v>#DIV/0!</v>
      </c>
      <c r="Q480" s="111" t="str">
        <f t="shared" si="7"/>
        <v>#DIV/0!</v>
      </c>
      <c r="R480" s="131">
        <f t="shared" si="281"/>
        <v>-368.5</v>
      </c>
      <c r="S480" s="113" t="str">
        <f t="shared" si="9"/>
        <v>#DIV/0!</v>
      </c>
      <c r="T480" s="114"/>
      <c r="U480" s="114"/>
      <c r="V480" s="114"/>
      <c r="W480" s="114"/>
      <c r="X480" s="115"/>
      <c r="Y480" s="98"/>
      <c r="Z480" s="98"/>
    </row>
    <row r="481" hidden="1" outlineLevel="1">
      <c r="A481" s="293"/>
      <c r="B481" s="116"/>
      <c r="C481" s="294" t="s">
        <v>80</v>
      </c>
      <c r="D481" s="307"/>
      <c r="E481" s="296"/>
      <c r="F481" s="296"/>
      <c r="G481" s="308"/>
      <c r="H481" s="102"/>
      <c r="I481" s="309"/>
      <c r="J481" s="135">
        <v>468.73</v>
      </c>
      <c r="K481" s="278">
        <v>33080.0</v>
      </c>
      <c r="L481" s="296"/>
      <c r="M481" s="136">
        <v>2392.9</v>
      </c>
      <c r="N481" s="109">
        <f t="shared" si="282"/>
        <v>0.1958836558</v>
      </c>
      <c r="O481" s="110">
        <f t="shared" si="5"/>
        <v>5.10507115</v>
      </c>
      <c r="P481" s="109" t="str">
        <f t="shared" si="6"/>
        <v>#DIV/0!</v>
      </c>
      <c r="Q481" s="111" t="str">
        <f t="shared" si="7"/>
        <v>#DIV/0!</v>
      </c>
      <c r="R481" s="137">
        <f t="shared" si="281"/>
        <v>-2392.9</v>
      </c>
      <c r="S481" s="113" t="str">
        <f t="shared" si="9"/>
        <v>#DIV/0!</v>
      </c>
      <c r="T481" s="114"/>
      <c r="U481" s="114"/>
      <c r="V481" s="114"/>
      <c r="W481" s="114"/>
      <c r="X481" s="115"/>
      <c r="Y481" s="98"/>
      <c r="Z481" s="98"/>
    </row>
    <row r="482" hidden="1" outlineLevel="1">
      <c r="A482" s="310" t="str">
        <f t="shared" ref="A482:A483" si="283">iferror(if(B482&gt;0,month(B482)&amp;"-"&amp;year(B482),B482),)</f>
        <v>11-2025</v>
      </c>
      <c r="B482" s="99">
        <v>45983.0</v>
      </c>
      <c r="C482" s="294" t="s">
        <v>81</v>
      </c>
      <c r="D482" s="311"/>
      <c r="E482" s="296"/>
      <c r="F482" s="296"/>
      <c r="G482" s="104" t="str">
        <f t="shared" ref="G482:G493" si="285">E482/F482</f>
        <v>#DIV/0!</v>
      </c>
      <c r="H482" s="105" t="str">
        <f t="shared" ref="H482:H493" si="286">D482/E482</f>
        <v>#DIV/0!</v>
      </c>
      <c r="I482" s="106" t="str">
        <f t="shared" ref="I482:I493" si="287">H482/G482</f>
        <v>#DIV/0!</v>
      </c>
      <c r="J482" s="117">
        <v>0.0</v>
      </c>
      <c r="K482" s="278">
        <v>0.0</v>
      </c>
      <c r="L482" s="296"/>
      <c r="M482" s="118">
        <v>0.0</v>
      </c>
      <c r="N482" s="109" t="str">
        <f t="shared" si="282"/>
        <v>#DIV/0!</v>
      </c>
      <c r="O482" s="110" t="str">
        <f t="shared" si="5"/>
        <v>#DIV/0!</v>
      </c>
      <c r="P482" s="109" t="str">
        <f t="shared" si="6"/>
        <v>#DIV/0!</v>
      </c>
      <c r="Q482" s="111" t="str">
        <f t="shared" si="7"/>
        <v>#DIV/0!</v>
      </c>
      <c r="R482" s="112">
        <f t="shared" si="281"/>
        <v>0</v>
      </c>
      <c r="S482" s="113" t="str">
        <f t="shared" si="9"/>
        <v>#DIV/0!</v>
      </c>
      <c r="T482" s="114"/>
      <c r="U482" s="114"/>
      <c r="V482" s="114"/>
      <c r="W482" s="114"/>
      <c r="X482" s="115"/>
      <c r="Y482" s="98"/>
      <c r="Z482" s="98"/>
    </row>
    <row r="483" collapsed="1">
      <c r="A483" s="293" t="str">
        <f t="shared" si="283"/>
        <v/>
      </c>
      <c r="B483" s="80" t="s">
        <v>134</v>
      </c>
      <c r="C483" s="312"/>
      <c r="D483" s="151">
        <f t="shared" ref="D483:F483" si="284">SUM(D471:D482)</f>
        <v>0</v>
      </c>
      <c r="E483" s="153">
        <f t="shared" si="284"/>
        <v>0</v>
      </c>
      <c r="F483" s="153">
        <f t="shared" si="284"/>
        <v>0</v>
      </c>
      <c r="G483" s="154" t="str">
        <f t="shared" si="285"/>
        <v>#DIV/0!</v>
      </c>
      <c r="H483" s="155" t="str">
        <f t="shared" si="286"/>
        <v>#DIV/0!</v>
      </c>
      <c r="I483" s="156" t="str">
        <f t="shared" si="287"/>
        <v>#DIV/0!</v>
      </c>
      <c r="J483" s="151">
        <f t="shared" ref="J483:M483" si="288">SUM(J471:J482)</f>
        <v>2112.02</v>
      </c>
      <c r="K483" s="313">
        <f t="shared" si="288"/>
        <v>184924</v>
      </c>
      <c r="L483" s="153">
        <f t="shared" si="288"/>
        <v>0</v>
      </c>
      <c r="M483" s="157">
        <f t="shared" si="288"/>
        <v>9216.25</v>
      </c>
      <c r="N483" s="158">
        <f t="shared" si="282"/>
        <v>0.2291626204</v>
      </c>
      <c r="O483" s="159">
        <f t="shared" si="5"/>
        <v>4.363713412</v>
      </c>
      <c r="P483" s="158" t="str">
        <f t="shared" si="6"/>
        <v>#DIV/0!</v>
      </c>
      <c r="Q483" s="160" t="str">
        <f t="shared" si="7"/>
        <v>#DIV/0!</v>
      </c>
      <c r="R483" s="161">
        <f>SUM(R471:R482)</f>
        <v>-9216.25</v>
      </c>
      <c r="S483" s="162" t="str">
        <f t="shared" si="9"/>
        <v>#DIV/0!</v>
      </c>
      <c r="T483" s="164" t="str">
        <f t="shared" ref="T483:U483" si="289">IFERROR((D483-D48)/D483,)</f>
        <v/>
      </c>
      <c r="U483" s="164" t="str">
        <f t="shared" si="289"/>
        <v/>
      </c>
      <c r="V483" s="164" t="str">
        <f t="shared" ref="V483:W483" si="290">IFERROR((D483-monthly_reporting_2021!D274)/D483, )</f>
        <v/>
      </c>
      <c r="W483" s="164" t="str">
        <f t="shared" si="290"/>
        <v/>
      </c>
      <c r="X483" s="98"/>
      <c r="Y483" s="98"/>
      <c r="Z483" s="98"/>
    </row>
    <row r="484" hidden="1" outlineLevel="1">
      <c r="A484" s="293"/>
      <c r="B484" s="99">
        <v>45984.0</v>
      </c>
      <c r="C484" s="294" t="s">
        <v>70</v>
      </c>
      <c r="D484" s="295"/>
      <c r="E484" s="296"/>
      <c r="F484" s="296"/>
      <c r="G484" s="104" t="str">
        <f t="shared" si="285"/>
        <v>#DIV/0!</v>
      </c>
      <c r="H484" s="105" t="str">
        <f t="shared" si="286"/>
        <v>#DIV/0!</v>
      </c>
      <c r="I484" s="106" t="str">
        <f t="shared" si="287"/>
        <v>#DIV/0!</v>
      </c>
      <c r="J484" s="107">
        <v>2193.7</v>
      </c>
      <c r="K484" s="278">
        <v>104726.0</v>
      </c>
      <c r="L484" s="296"/>
      <c r="M484" s="108">
        <v>19338.72</v>
      </c>
      <c r="N484" s="109">
        <f t="shared" si="282"/>
        <v>0.1134356359</v>
      </c>
      <c r="O484" s="110">
        <f t="shared" si="5"/>
        <v>8.815571865</v>
      </c>
      <c r="P484" s="109" t="str">
        <f t="shared" si="6"/>
        <v>#DIV/0!</v>
      </c>
      <c r="Q484" s="111" t="str">
        <f t="shared" si="7"/>
        <v>#DIV/0!</v>
      </c>
      <c r="R484" s="112">
        <f t="shared" ref="R484:R495" si="291">D484-M484</f>
        <v>-19338.72</v>
      </c>
      <c r="S484" s="113" t="str">
        <f t="shared" si="9"/>
        <v>#DIV/0!</v>
      </c>
      <c r="T484" s="114"/>
      <c r="U484" s="114"/>
      <c r="V484" s="114"/>
      <c r="W484" s="114"/>
      <c r="X484" s="115"/>
      <c r="Y484" s="98"/>
      <c r="Z484" s="98"/>
    </row>
    <row r="485" hidden="1" outlineLevel="1">
      <c r="A485" s="293"/>
      <c r="B485" s="116"/>
      <c r="C485" s="294" t="s">
        <v>71</v>
      </c>
      <c r="D485" s="297"/>
      <c r="E485" s="296"/>
      <c r="F485" s="296"/>
      <c r="G485" s="104" t="str">
        <f t="shared" si="285"/>
        <v>#DIV/0!</v>
      </c>
      <c r="H485" s="105" t="str">
        <f t="shared" si="286"/>
        <v>#DIV/0!</v>
      </c>
      <c r="I485" s="106" t="str">
        <f t="shared" si="287"/>
        <v>#DIV/0!</v>
      </c>
      <c r="J485" s="117">
        <v>63.52</v>
      </c>
      <c r="K485" s="278">
        <v>4154.0</v>
      </c>
      <c r="L485" s="296"/>
      <c r="M485" s="118">
        <v>504.57</v>
      </c>
      <c r="N485" s="109">
        <f t="shared" si="282"/>
        <v>0.1258893711</v>
      </c>
      <c r="O485" s="110">
        <f t="shared" si="5"/>
        <v>7.943482368</v>
      </c>
      <c r="P485" s="109" t="str">
        <f t="shared" si="6"/>
        <v>#DIV/0!</v>
      </c>
      <c r="Q485" s="111" t="str">
        <f t="shared" si="7"/>
        <v>#DIV/0!</v>
      </c>
      <c r="R485" s="119">
        <f t="shared" si="291"/>
        <v>-504.57</v>
      </c>
      <c r="S485" s="113" t="str">
        <f t="shared" si="9"/>
        <v>#DIV/0!</v>
      </c>
      <c r="T485" s="114"/>
      <c r="U485" s="114"/>
      <c r="V485" s="114"/>
      <c r="W485" s="114"/>
      <c r="X485" s="115"/>
      <c r="Y485" s="98"/>
      <c r="Z485" s="98"/>
    </row>
    <row r="486" hidden="1" outlineLevel="1">
      <c r="A486" s="293"/>
      <c r="B486" s="116"/>
      <c r="C486" s="294" t="s">
        <v>72</v>
      </c>
      <c r="D486" s="298"/>
      <c r="E486" s="296"/>
      <c r="F486" s="296"/>
      <c r="G486" s="104" t="str">
        <f t="shared" si="285"/>
        <v>#DIV/0!</v>
      </c>
      <c r="H486" s="105" t="str">
        <f t="shared" si="286"/>
        <v>#DIV/0!</v>
      </c>
      <c r="I486" s="106" t="str">
        <f t="shared" si="287"/>
        <v>#DIV/0!</v>
      </c>
      <c r="J486" s="120">
        <v>308.9</v>
      </c>
      <c r="K486" s="278">
        <v>41715.0</v>
      </c>
      <c r="L486" s="296"/>
      <c r="M486" s="121">
        <v>1401.22</v>
      </c>
      <c r="N486" s="109">
        <f>(J486/M486)</f>
        <v>0.2204507501</v>
      </c>
      <c r="O486" s="110">
        <f t="shared" si="5"/>
        <v>4.53616057</v>
      </c>
      <c r="P486" s="109" t="str">
        <f t="shared" si="6"/>
        <v>#DIV/0!</v>
      </c>
      <c r="Q486" s="111" t="str">
        <f t="shared" si="7"/>
        <v>#DIV/0!</v>
      </c>
      <c r="R486" s="122">
        <f t="shared" si="291"/>
        <v>-1401.22</v>
      </c>
      <c r="S486" s="113" t="str">
        <f t="shared" si="9"/>
        <v>#DIV/0!</v>
      </c>
      <c r="T486" s="114"/>
      <c r="U486" s="114"/>
      <c r="V486" s="114"/>
      <c r="W486" s="114"/>
      <c r="X486" s="115"/>
      <c r="Y486" s="98"/>
      <c r="Z486" s="98"/>
    </row>
    <row r="487" hidden="1" outlineLevel="1">
      <c r="A487" s="293"/>
      <c r="B487" s="116"/>
      <c r="C487" s="294" t="s">
        <v>73</v>
      </c>
      <c r="D487" s="298"/>
      <c r="E487" s="296"/>
      <c r="F487" s="296"/>
      <c r="G487" s="104" t="str">
        <f t="shared" si="285"/>
        <v>#DIV/0!</v>
      </c>
      <c r="H487" s="105" t="str">
        <f t="shared" si="286"/>
        <v>#DIV/0!</v>
      </c>
      <c r="I487" s="106" t="str">
        <f t="shared" si="287"/>
        <v>#DIV/0!</v>
      </c>
      <c r="J487" s="120">
        <v>30.67</v>
      </c>
      <c r="K487" s="278">
        <v>6359.0</v>
      </c>
      <c r="L487" s="296"/>
      <c r="M487" s="121">
        <v>279.38</v>
      </c>
      <c r="N487" s="109">
        <f t="shared" ref="N487:N498" si="292">J487/M487</f>
        <v>0.1097787959</v>
      </c>
      <c r="O487" s="110">
        <f t="shared" si="5"/>
        <v>9.109227258</v>
      </c>
      <c r="P487" s="109" t="str">
        <f t="shared" si="6"/>
        <v>#DIV/0!</v>
      </c>
      <c r="Q487" s="111" t="str">
        <f t="shared" si="7"/>
        <v>#DIV/0!</v>
      </c>
      <c r="R487" s="122">
        <f t="shared" si="291"/>
        <v>-279.38</v>
      </c>
      <c r="S487" s="113" t="str">
        <f t="shared" si="9"/>
        <v>#DIV/0!</v>
      </c>
      <c r="T487" s="114"/>
      <c r="U487" s="114"/>
      <c r="V487" s="114"/>
      <c r="W487" s="114"/>
      <c r="X487" s="115"/>
      <c r="Y487" s="98"/>
      <c r="Z487" s="98"/>
    </row>
    <row r="488" hidden="1" outlineLevel="1">
      <c r="A488" s="293"/>
      <c r="B488" s="116"/>
      <c r="C488" s="294" t="s">
        <v>74</v>
      </c>
      <c r="D488" s="299"/>
      <c r="E488" s="296"/>
      <c r="F488" s="296"/>
      <c r="G488" s="104" t="str">
        <f t="shared" si="285"/>
        <v>#DIV/0!</v>
      </c>
      <c r="H488" s="105" t="str">
        <f t="shared" si="286"/>
        <v>#DIV/0!</v>
      </c>
      <c r="I488" s="106" t="str">
        <f t="shared" si="287"/>
        <v>#DIV/0!</v>
      </c>
      <c r="J488" s="300">
        <v>352.64</v>
      </c>
      <c r="K488" s="278">
        <v>17401.0</v>
      </c>
      <c r="L488" s="296"/>
      <c r="M488" s="300">
        <v>2558.37</v>
      </c>
      <c r="N488" s="109">
        <f t="shared" si="292"/>
        <v>0.1378377639</v>
      </c>
      <c r="O488" s="110">
        <f t="shared" si="5"/>
        <v>7.254905853</v>
      </c>
      <c r="P488" s="109" t="str">
        <f t="shared" si="6"/>
        <v>#DIV/0!</v>
      </c>
      <c r="Q488" s="111" t="str">
        <f t="shared" si="7"/>
        <v>#DIV/0!</v>
      </c>
      <c r="R488" s="122">
        <f t="shared" si="291"/>
        <v>-2558.37</v>
      </c>
      <c r="S488" s="113" t="str">
        <f t="shared" si="9"/>
        <v>#DIV/0!</v>
      </c>
      <c r="T488" s="114"/>
      <c r="U488" s="114"/>
      <c r="V488" s="114"/>
      <c r="W488" s="114"/>
      <c r="X488" s="115"/>
      <c r="Y488" s="98"/>
      <c r="Z488" s="98"/>
    </row>
    <row r="489" hidden="1" outlineLevel="1">
      <c r="A489" s="293"/>
      <c r="B489" s="116"/>
      <c r="C489" s="294" t="s">
        <v>75</v>
      </c>
      <c r="D489" s="301"/>
      <c r="E489" s="296"/>
      <c r="F489" s="296"/>
      <c r="G489" s="104" t="str">
        <f t="shared" si="285"/>
        <v>#DIV/0!</v>
      </c>
      <c r="H489" s="105" t="str">
        <f t="shared" si="286"/>
        <v>#DIV/0!</v>
      </c>
      <c r="I489" s="106" t="str">
        <f t="shared" si="287"/>
        <v>#DIV/0!</v>
      </c>
      <c r="J489" s="302">
        <v>24.79</v>
      </c>
      <c r="K489" s="278">
        <v>1532.0</v>
      </c>
      <c r="L489" s="296"/>
      <c r="M489" s="303">
        <v>119.88</v>
      </c>
      <c r="N489" s="109">
        <f t="shared" si="292"/>
        <v>0.2067901235</v>
      </c>
      <c r="O489" s="110">
        <f t="shared" si="5"/>
        <v>4.835820896</v>
      </c>
      <c r="P489" s="109" t="str">
        <f t="shared" si="6"/>
        <v>#DIV/0!</v>
      </c>
      <c r="Q489" s="111" t="str">
        <f t="shared" si="7"/>
        <v>#DIV/0!</v>
      </c>
      <c r="R489" s="304">
        <f t="shared" si="291"/>
        <v>-119.88</v>
      </c>
      <c r="S489" s="113" t="str">
        <f t="shared" si="9"/>
        <v>#DIV/0!</v>
      </c>
      <c r="T489" s="114"/>
      <c r="U489" s="114"/>
      <c r="V489" s="114"/>
      <c r="W489" s="114"/>
      <c r="X489" s="115"/>
      <c r="Y489" s="98"/>
      <c r="Z489" s="98"/>
    </row>
    <row r="490" hidden="1" outlineLevel="1">
      <c r="A490" s="293"/>
      <c r="B490" s="116"/>
      <c r="C490" s="294" t="s">
        <v>76</v>
      </c>
      <c r="D490" s="298"/>
      <c r="E490" s="296"/>
      <c r="F490" s="296"/>
      <c r="G490" s="104" t="str">
        <f t="shared" si="285"/>
        <v>#DIV/0!</v>
      </c>
      <c r="H490" s="105" t="str">
        <f t="shared" si="286"/>
        <v>#DIV/0!</v>
      </c>
      <c r="I490" s="106" t="str">
        <f t="shared" si="287"/>
        <v>#DIV/0!</v>
      </c>
      <c r="J490" s="120">
        <v>228.49</v>
      </c>
      <c r="K490" s="278">
        <v>14807.0</v>
      </c>
      <c r="L490" s="296"/>
      <c r="M490" s="121">
        <v>1387.29</v>
      </c>
      <c r="N490" s="109">
        <f t="shared" si="292"/>
        <v>0.1647024054</v>
      </c>
      <c r="O490" s="110">
        <f t="shared" si="5"/>
        <v>6.071556742</v>
      </c>
      <c r="P490" s="109" t="str">
        <f t="shared" si="6"/>
        <v>#DIV/0!</v>
      </c>
      <c r="Q490" s="111" t="str">
        <f t="shared" si="7"/>
        <v>#DIV/0!</v>
      </c>
      <c r="R490" s="122">
        <f t="shared" si="291"/>
        <v>-1387.29</v>
      </c>
      <c r="S490" s="113" t="str">
        <f t="shared" si="9"/>
        <v>#DIV/0!</v>
      </c>
      <c r="T490" s="114"/>
      <c r="U490" s="114"/>
      <c r="V490" s="114"/>
      <c r="W490" s="114"/>
      <c r="X490" s="115"/>
      <c r="Y490" s="98"/>
      <c r="Z490" s="98"/>
    </row>
    <row r="491" hidden="1" outlineLevel="1">
      <c r="A491" s="293"/>
      <c r="B491" s="99" t="s">
        <v>37</v>
      </c>
      <c r="C491" s="294" t="s">
        <v>77</v>
      </c>
      <c r="D491" s="305"/>
      <c r="E491" s="296"/>
      <c r="F491" s="296"/>
      <c r="G491" s="104" t="str">
        <f t="shared" si="285"/>
        <v>#DIV/0!</v>
      </c>
      <c r="H491" s="105" t="str">
        <f t="shared" si="286"/>
        <v>#DIV/0!</v>
      </c>
      <c r="I491" s="106" t="str">
        <f t="shared" si="287"/>
        <v>#DIV/0!</v>
      </c>
      <c r="J491" s="123">
        <v>329.6</v>
      </c>
      <c r="K491" s="278">
        <v>10699.0</v>
      </c>
      <c r="L491" s="296"/>
      <c r="M491" s="124">
        <v>925.37</v>
      </c>
      <c r="N491" s="109">
        <f t="shared" si="292"/>
        <v>0.3561818516</v>
      </c>
      <c r="O491" s="110">
        <f t="shared" si="5"/>
        <v>2.807554612</v>
      </c>
      <c r="P491" s="109" t="str">
        <f t="shared" si="6"/>
        <v>#DIV/0!</v>
      </c>
      <c r="Q491" s="111" t="str">
        <f t="shared" si="7"/>
        <v>#DIV/0!</v>
      </c>
      <c r="R491" s="125">
        <f t="shared" si="291"/>
        <v>-925.37</v>
      </c>
      <c r="S491" s="113" t="str">
        <f t="shared" si="9"/>
        <v>#DIV/0!</v>
      </c>
      <c r="T491" s="114"/>
      <c r="U491" s="114"/>
      <c r="V491" s="114"/>
      <c r="W491" s="114"/>
      <c r="X491" s="115"/>
      <c r="Y491" s="98"/>
      <c r="Z491" s="98"/>
    </row>
    <row r="492" hidden="1" outlineLevel="1">
      <c r="A492" s="293"/>
      <c r="B492" s="116"/>
      <c r="C492" s="294" t="s">
        <v>78</v>
      </c>
      <c r="D492" s="306"/>
      <c r="E492" s="296"/>
      <c r="F492" s="296"/>
      <c r="G492" s="104" t="str">
        <f t="shared" si="285"/>
        <v>#DIV/0!</v>
      </c>
      <c r="H492" s="105" t="str">
        <f t="shared" si="286"/>
        <v>#DIV/0!</v>
      </c>
      <c r="I492" s="106" t="str">
        <f t="shared" si="287"/>
        <v>#DIV/0!</v>
      </c>
      <c r="J492" s="126">
        <v>542.92</v>
      </c>
      <c r="K492" s="278">
        <v>55053.0</v>
      </c>
      <c r="L492" s="296"/>
      <c r="M492" s="127">
        <v>5112.34</v>
      </c>
      <c r="N492" s="109">
        <f t="shared" si="292"/>
        <v>0.1061979446</v>
      </c>
      <c r="O492" s="110">
        <f t="shared" si="5"/>
        <v>9.416378104</v>
      </c>
      <c r="P492" s="109" t="str">
        <f t="shared" si="6"/>
        <v>#DIV/0!</v>
      </c>
      <c r="Q492" s="111" t="str">
        <f t="shared" si="7"/>
        <v>#DIV/0!</v>
      </c>
      <c r="R492" s="128">
        <f t="shared" si="291"/>
        <v>-5112.34</v>
      </c>
      <c r="S492" s="113" t="str">
        <f t="shared" si="9"/>
        <v>#DIV/0!</v>
      </c>
      <c r="T492" s="114"/>
      <c r="U492" s="114"/>
      <c r="V492" s="114"/>
      <c r="W492" s="114"/>
      <c r="X492" s="115"/>
      <c r="Y492" s="98"/>
      <c r="Z492" s="98"/>
    </row>
    <row r="493" hidden="1" outlineLevel="1">
      <c r="A493" s="293"/>
      <c r="B493" s="116"/>
      <c r="C493" s="294" t="s">
        <v>79</v>
      </c>
      <c r="D493" s="307"/>
      <c r="E493" s="296"/>
      <c r="F493" s="296"/>
      <c r="G493" s="104" t="str">
        <f t="shared" si="285"/>
        <v>#DIV/0!</v>
      </c>
      <c r="H493" s="105" t="str">
        <f t="shared" si="286"/>
        <v>#DIV/0!</v>
      </c>
      <c r="I493" s="106" t="str">
        <f t="shared" si="287"/>
        <v>#DIV/0!</v>
      </c>
      <c r="J493" s="129">
        <v>264.67</v>
      </c>
      <c r="K493" s="278">
        <v>22074.0</v>
      </c>
      <c r="L493" s="296"/>
      <c r="M493" s="130">
        <v>945.76</v>
      </c>
      <c r="N493" s="109">
        <f t="shared" si="292"/>
        <v>0.2798490103</v>
      </c>
      <c r="O493" s="110">
        <f t="shared" si="5"/>
        <v>3.573355499</v>
      </c>
      <c r="P493" s="109" t="str">
        <f t="shared" si="6"/>
        <v>#DIV/0!</v>
      </c>
      <c r="Q493" s="111" t="str">
        <f t="shared" si="7"/>
        <v>#DIV/0!</v>
      </c>
      <c r="R493" s="131">
        <f t="shared" si="291"/>
        <v>-945.76</v>
      </c>
      <c r="S493" s="113" t="str">
        <f t="shared" si="9"/>
        <v>#DIV/0!</v>
      </c>
      <c r="T493" s="114"/>
      <c r="U493" s="114"/>
      <c r="V493" s="114"/>
      <c r="W493" s="114"/>
      <c r="X493" s="115"/>
      <c r="Y493" s="98"/>
      <c r="Z493" s="98"/>
    </row>
    <row r="494" hidden="1" outlineLevel="1">
      <c r="A494" s="293"/>
      <c r="B494" s="116"/>
      <c r="C494" s="294" t="s">
        <v>80</v>
      </c>
      <c r="D494" s="307"/>
      <c r="E494" s="296"/>
      <c r="F494" s="296"/>
      <c r="G494" s="308"/>
      <c r="H494" s="102"/>
      <c r="I494" s="309"/>
      <c r="J494" s="135">
        <v>617.11</v>
      </c>
      <c r="K494" s="278">
        <v>36717.0</v>
      </c>
      <c r="L494" s="296"/>
      <c r="M494" s="136">
        <v>2086.06</v>
      </c>
      <c r="N494" s="109">
        <f t="shared" si="292"/>
        <v>0.2958256234</v>
      </c>
      <c r="O494" s="110">
        <f t="shared" si="5"/>
        <v>3.380369788</v>
      </c>
      <c r="P494" s="109" t="str">
        <f t="shared" si="6"/>
        <v>#DIV/0!</v>
      </c>
      <c r="Q494" s="111" t="str">
        <f t="shared" si="7"/>
        <v>#DIV/0!</v>
      </c>
      <c r="R494" s="137">
        <f t="shared" si="291"/>
        <v>-2086.06</v>
      </c>
      <c r="S494" s="113" t="str">
        <f t="shared" si="9"/>
        <v>#DIV/0!</v>
      </c>
      <c r="T494" s="114"/>
      <c r="U494" s="114"/>
      <c r="V494" s="114"/>
      <c r="W494" s="114"/>
      <c r="X494" s="115"/>
      <c r="Y494" s="98"/>
      <c r="Z494" s="98"/>
    </row>
    <row r="495" hidden="1" outlineLevel="1">
      <c r="A495" s="310" t="str">
        <f t="shared" ref="A495:A496" si="293">iferror(if(B495&gt;0,month(B495)&amp;"-"&amp;year(B495),B495),)</f>
        <v>11-2025</v>
      </c>
      <c r="B495" s="99">
        <v>45990.0</v>
      </c>
      <c r="C495" s="294" t="s">
        <v>81</v>
      </c>
      <c r="D495" s="311"/>
      <c r="E495" s="296"/>
      <c r="F495" s="296"/>
      <c r="G495" s="104" t="str">
        <f t="shared" ref="G495:G506" si="295">E495/F495</f>
        <v>#DIV/0!</v>
      </c>
      <c r="H495" s="105" t="str">
        <f t="shared" ref="H495:H506" si="296">D495/E495</f>
        <v>#DIV/0!</v>
      </c>
      <c r="I495" s="106" t="str">
        <f t="shared" ref="I495:I506" si="297">H495/G495</f>
        <v>#DIV/0!</v>
      </c>
      <c r="J495" s="117">
        <v>0.0</v>
      </c>
      <c r="K495" s="278">
        <v>0.0</v>
      </c>
      <c r="L495" s="296"/>
      <c r="M495" s="118">
        <v>0.0</v>
      </c>
      <c r="N495" s="109" t="str">
        <f t="shared" si="292"/>
        <v>#DIV/0!</v>
      </c>
      <c r="O495" s="110" t="str">
        <f t="shared" si="5"/>
        <v>#DIV/0!</v>
      </c>
      <c r="P495" s="109" t="str">
        <f t="shared" si="6"/>
        <v>#DIV/0!</v>
      </c>
      <c r="Q495" s="111" t="str">
        <f t="shared" si="7"/>
        <v>#DIV/0!</v>
      </c>
      <c r="R495" s="112">
        <f t="shared" si="291"/>
        <v>0</v>
      </c>
      <c r="S495" s="113" t="str">
        <f t="shared" si="9"/>
        <v>#DIV/0!</v>
      </c>
      <c r="T495" s="114"/>
      <c r="U495" s="114"/>
      <c r="V495" s="114"/>
      <c r="W495" s="114"/>
      <c r="X495" s="115"/>
      <c r="Y495" s="98"/>
      <c r="Z495" s="98"/>
    </row>
    <row r="496" collapsed="1">
      <c r="A496" s="293" t="str">
        <f t="shared" si="293"/>
        <v/>
      </c>
      <c r="B496" s="80" t="s">
        <v>135</v>
      </c>
      <c r="C496" s="312"/>
      <c r="D496" s="151">
        <f t="shared" ref="D496:F496" si="294">SUM(D484:D495)</f>
        <v>0</v>
      </c>
      <c r="E496" s="153">
        <f t="shared" si="294"/>
        <v>0</v>
      </c>
      <c r="F496" s="153">
        <f t="shared" si="294"/>
        <v>0</v>
      </c>
      <c r="G496" s="154" t="str">
        <f t="shared" si="295"/>
        <v>#DIV/0!</v>
      </c>
      <c r="H496" s="155" t="str">
        <f t="shared" si="296"/>
        <v>#DIV/0!</v>
      </c>
      <c r="I496" s="156" t="str">
        <f t="shared" si="297"/>
        <v>#DIV/0!</v>
      </c>
      <c r="J496" s="151">
        <f t="shared" ref="J496:M496" si="298">SUM(J484:J495)</f>
        <v>4957.01</v>
      </c>
      <c r="K496" s="313">
        <f t="shared" si="298"/>
        <v>315237</v>
      </c>
      <c r="L496" s="153">
        <f t="shared" si="298"/>
        <v>0</v>
      </c>
      <c r="M496" s="157">
        <f t="shared" si="298"/>
        <v>34658.96</v>
      </c>
      <c r="N496" s="158">
        <f t="shared" si="292"/>
        <v>0.1430224681</v>
      </c>
      <c r="O496" s="159">
        <f t="shared" si="5"/>
        <v>6.991908429</v>
      </c>
      <c r="P496" s="158" t="str">
        <f t="shared" si="6"/>
        <v>#DIV/0!</v>
      </c>
      <c r="Q496" s="160" t="str">
        <f t="shared" si="7"/>
        <v>#DIV/0!</v>
      </c>
      <c r="R496" s="161">
        <f>SUM(R484:R495)</f>
        <v>-34658.96</v>
      </c>
      <c r="S496" s="162" t="str">
        <f t="shared" si="9"/>
        <v>#DIV/0!</v>
      </c>
      <c r="T496" s="164" t="str">
        <f t="shared" ref="T496:U496" si="299">IFERROR((D496-D48)/D496,)</f>
        <v/>
      </c>
      <c r="U496" s="164" t="str">
        <f t="shared" si="299"/>
        <v/>
      </c>
      <c r="V496" s="164" t="str">
        <f t="shared" ref="V496:W496" si="300">IFERROR((D496-monthly_reporting_2021!D287)/D496, )</f>
        <v/>
      </c>
      <c r="W496" s="164" t="str">
        <f t="shared" si="300"/>
        <v/>
      </c>
      <c r="X496" s="98"/>
      <c r="Y496" s="98"/>
      <c r="Z496" s="98"/>
    </row>
    <row r="497" hidden="1" outlineLevel="1">
      <c r="A497" s="293"/>
      <c r="B497" s="99">
        <v>45991.0</v>
      </c>
      <c r="C497" s="294" t="s">
        <v>70</v>
      </c>
      <c r="D497" s="295"/>
      <c r="E497" s="296"/>
      <c r="F497" s="296"/>
      <c r="G497" s="104" t="str">
        <f t="shared" si="295"/>
        <v>#DIV/0!</v>
      </c>
      <c r="H497" s="105" t="str">
        <f t="shared" si="296"/>
        <v>#DIV/0!</v>
      </c>
      <c r="I497" s="106" t="str">
        <f t="shared" si="297"/>
        <v>#DIV/0!</v>
      </c>
      <c r="J497" s="107">
        <v>2438.19</v>
      </c>
      <c r="K497" s="278">
        <v>100091.0</v>
      </c>
      <c r="L497" s="296"/>
      <c r="M497" s="108">
        <v>9792.99</v>
      </c>
      <c r="N497" s="109">
        <f t="shared" si="292"/>
        <v>0.2489729899</v>
      </c>
      <c r="O497" s="110">
        <f t="shared" si="5"/>
        <v>4.016499945</v>
      </c>
      <c r="P497" s="109" t="str">
        <f t="shared" si="6"/>
        <v>#DIV/0!</v>
      </c>
      <c r="Q497" s="111" t="str">
        <f t="shared" si="7"/>
        <v>#DIV/0!</v>
      </c>
      <c r="R497" s="112">
        <f t="shared" ref="R497:R508" si="301">D497-M497</f>
        <v>-9792.99</v>
      </c>
      <c r="S497" s="113" t="str">
        <f t="shared" si="9"/>
        <v>#DIV/0!</v>
      </c>
      <c r="T497" s="114"/>
      <c r="U497" s="114"/>
      <c r="V497" s="114"/>
      <c r="W497" s="114"/>
      <c r="X497" s="115"/>
      <c r="Y497" s="98"/>
      <c r="Z497" s="98"/>
    </row>
    <row r="498" hidden="1" outlineLevel="1">
      <c r="A498" s="293"/>
      <c r="B498" s="116"/>
      <c r="C498" s="294" t="s">
        <v>71</v>
      </c>
      <c r="D498" s="297"/>
      <c r="E498" s="296"/>
      <c r="F498" s="296"/>
      <c r="G498" s="104" t="str">
        <f t="shared" si="295"/>
        <v>#DIV/0!</v>
      </c>
      <c r="H498" s="105" t="str">
        <f t="shared" si="296"/>
        <v>#DIV/0!</v>
      </c>
      <c r="I498" s="106" t="str">
        <f t="shared" si="297"/>
        <v>#DIV/0!</v>
      </c>
      <c r="J498" s="117">
        <v>60.48</v>
      </c>
      <c r="K498" s="278">
        <v>4985.0</v>
      </c>
      <c r="L498" s="296"/>
      <c r="M498" s="118">
        <v>294.4</v>
      </c>
      <c r="N498" s="109">
        <f t="shared" si="292"/>
        <v>0.2054347826</v>
      </c>
      <c r="O498" s="110">
        <f t="shared" si="5"/>
        <v>4.867724868</v>
      </c>
      <c r="P498" s="109" t="str">
        <f t="shared" si="6"/>
        <v>#DIV/0!</v>
      </c>
      <c r="Q498" s="111" t="str">
        <f t="shared" si="7"/>
        <v>#DIV/0!</v>
      </c>
      <c r="R498" s="119">
        <f t="shared" si="301"/>
        <v>-294.4</v>
      </c>
      <c r="S498" s="113" t="str">
        <f t="shared" si="9"/>
        <v>#DIV/0!</v>
      </c>
      <c r="T498" s="114"/>
      <c r="U498" s="114"/>
      <c r="V498" s="114"/>
      <c r="W498" s="114"/>
      <c r="X498" s="115"/>
      <c r="Y498" s="98"/>
      <c r="Z498" s="98"/>
    </row>
    <row r="499" hidden="1" outlineLevel="1">
      <c r="A499" s="293"/>
      <c r="B499" s="116"/>
      <c r="C499" s="294" t="s">
        <v>72</v>
      </c>
      <c r="D499" s="298"/>
      <c r="E499" s="296"/>
      <c r="F499" s="296"/>
      <c r="G499" s="104" t="str">
        <f t="shared" si="295"/>
        <v>#DIV/0!</v>
      </c>
      <c r="H499" s="105" t="str">
        <f t="shared" si="296"/>
        <v>#DIV/0!</v>
      </c>
      <c r="I499" s="106" t="str">
        <f t="shared" si="297"/>
        <v>#DIV/0!</v>
      </c>
      <c r="J499" s="120">
        <v>524.88</v>
      </c>
      <c r="K499" s="278">
        <v>66042.0</v>
      </c>
      <c r="L499" s="296"/>
      <c r="M499" s="121">
        <v>1235.77</v>
      </c>
      <c r="N499" s="109">
        <f>(J499/M499)</f>
        <v>0.4247392314</v>
      </c>
      <c r="O499" s="110">
        <f t="shared" si="5"/>
        <v>2.354385764</v>
      </c>
      <c r="P499" s="109" t="str">
        <f t="shared" si="6"/>
        <v>#DIV/0!</v>
      </c>
      <c r="Q499" s="111" t="str">
        <f t="shared" si="7"/>
        <v>#DIV/0!</v>
      </c>
      <c r="R499" s="122">
        <f t="shared" si="301"/>
        <v>-1235.77</v>
      </c>
      <c r="S499" s="113" t="str">
        <f t="shared" si="9"/>
        <v>#DIV/0!</v>
      </c>
      <c r="T499" s="114"/>
      <c r="U499" s="114"/>
      <c r="V499" s="114"/>
      <c r="W499" s="114"/>
      <c r="X499" s="115"/>
      <c r="Y499" s="98"/>
      <c r="Z499" s="98"/>
    </row>
    <row r="500" hidden="1" outlineLevel="1">
      <c r="A500" s="293"/>
      <c r="B500" s="116"/>
      <c r="C500" s="294" t="s">
        <v>73</v>
      </c>
      <c r="D500" s="298"/>
      <c r="E500" s="296"/>
      <c r="F500" s="296"/>
      <c r="G500" s="104" t="str">
        <f t="shared" si="295"/>
        <v>#DIV/0!</v>
      </c>
      <c r="H500" s="105" t="str">
        <f t="shared" si="296"/>
        <v>#DIV/0!</v>
      </c>
      <c r="I500" s="106" t="str">
        <f t="shared" si="297"/>
        <v>#DIV/0!</v>
      </c>
      <c r="J500" s="120">
        <v>0.0</v>
      </c>
      <c r="K500" s="278">
        <v>0.0</v>
      </c>
      <c r="L500" s="296"/>
      <c r="M500" s="121">
        <v>0.0</v>
      </c>
      <c r="N500" s="109" t="str">
        <f t="shared" ref="N500:N511" si="302">J500/M500</f>
        <v>#DIV/0!</v>
      </c>
      <c r="O500" s="110" t="str">
        <f t="shared" si="5"/>
        <v>#DIV/0!</v>
      </c>
      <c r="P500" s="109" t="str">
        <f t="shared" si="6"/>
        <v>#DIV/0!</v>
      </c>
      <c r="Q500" s="111" t="str">
        <f t="shared" si="7"/>
        <v>#DIV/0!</v>
      </c>
      <c r="R500" s="122">
        <f t="shared" si="301"/>
        <v>0</v>
      </c>
      <c r="S500" s="113" t="str">
        <f t="shared" si="9"/>
        <v>#DIV/0!</v>
      </c>
      <c r="T500" s="114"/>
      <c r="U500" s="114"/>
      <c r="V500" s="114"/>
      <c r="W500" s="114"/>
      <c r="X500" s="115"/>
      <c r="Y500" s="98"/>
      <c r="Z500" s="98"/>
    </row>
    <row r="501" hidden="1" outlineLevel="1">
      <c r="A501" s="293"/>
      <c r="B501" s="116"/>
      <c r="C501" s="294" t="s">
        <v>74</v>
      </c>
      <c r="D501" s="299"/>
      <c r="E501" s="296"/>
      <c r="F501" s="296"/>
      <c r="G501" s="104" t="str">
        <f t="shared" si="295"/>
        <v>#DIV/0!</v>
      </c>
      <c r="H501" s="105" t="str">
        <f t="shared" si="296"/>
        <v>#DIV/0!</v>
      </c>
      <c r="I501" s="106" t="str">
        <f t="shared" si="297"/>
        <v>#DIV/0!</v>
      </c>
      <c r="J501" s="300">
        <v>721.4</v>
      </c>
      <c r="K501" s="278">
        <v>33682.0</v>
      </c>
      <c r="L501" s="296"/>
      <c r="M501" s="300">
        <v>2435.58</v>
      </c>
      <c r="N501" s="109">
        <f t="shared" si="302"/>
        <v>0.2961922827</v>
      </c>
      <c r="O501" s="110">
        <f t="shared" si="5"/>
        <v>3.376185195</v>
      </c>
      <c r="P501" s="109" t="str">
        <f t="shared" si="6"/>
        <v>#DIV/0!</v>
      </c>
      <c r="Q501" s="111" t="str">
        <f t="shared" si="7"/>
        <v>#DIV/0!</v>
      </c>
      <c r="R501" s="122">
        <f t="shared" si="301"/>
        <v>-2435.58</v>
      </c>
      <c r="S501" s="113" t="str">
        <f t="shared" si="9"/>
        <v>#DIV/0!</v>
      </c>
      <c r="T501" s="114"/>
      <c r="U501" s="114"/>
      <c r="V501" s="114"/>
      <c r="W501" s="114"/>
      <c r="X501" s="115"/>
      <c r="Y501" s="98"/>
      <c r="Z501" s="98"/>
    </row>
    <row r="502" hidden="1" outlineLevel="1">
      <c r="A502" s="293"/>
      <c r="B502" s="116"/>
      <c r="C502" s="294" t="s">
        <v>75</v>
      </c>
      <c r="D502" s="301"/>
      <c r="E502" s="296"/>
      <c r="F502" s="296"/>
      <c r="G502" s="104" t="str">
        <f t="shared" si="295"/>
        <v>#DIV/0!</v>
      </c>
      <c r="H502" s="105" t="str">
        <f t="shared" si="296"/>
        <v>#DIV/0!</v>
      </c>
      <c r="I502" s="106" t="str">
        <f t="shared" si="297"/>
        <v>#DIV/0!</v>
      </c>
      <c r="J502" s="302">
        <v>0.0</v>
      </c>
      <c r="K502" s="278">
        <v>0.0</v>
      </c>
      <c r="L502" s="296"/>
      <c r="M502" s="303">
        <v>0.0</v>
      </c>
      <c r="N502" s="109" t="str">
        <f t="shared" si="302"/>
        <v>#DIV/0!</v>
      </c>
      <c r="O502" s="110" t="str">
        <f t="shared" si="5"/>
        <v>#DIV/0!</v>
      </c>
      <c r="P502" s="109" t="str">
        <f t="shared" si="6"/>
        <v>#DIV/0!</v>
      </c>
      <c r="Q502" s="111" t="str">
        <f t="shared" si="7"/>
        <v>#DIV/0!</v>
      </c>
      <c r="R502" s="304">
        <f t="shared" si="301"/>
        <v>0</v>
      </c>
      <c r="S502" s="113" t="str">
        <f t="shared" si="9"/>
        <v>#DIV/0!</v>
      </c>
      <c r="T502" s="114"/>
      <c r="U502" s="114"/>
      <c r="V502" s="114"/>
      <c r="W502" s="114"/>
      <c r="X502" s="115"/>
      <c r="Y502" s="98"/>
      <c r="Z502" s="98"/>
    </row>
    <row r="503" hidden="1" outlineLevel="1">
      <c r="A503" s="293"/>
      <c r="B503" s="116"/>
      <c r="C503" s="294" t="s">
        <v>76</v>
      </c>
      <c r="D503" s="298"/>
      <c r="E503" s="296"/>
      <c r="F503" s="296"/>
      <c r="G503" s="104" t="str">
        <f t="shared" si="295"/>
        <v>#DIV/0!</v>
      </c>
      <c r="H503" s="105" t="str">
        <f t="shared" si="296"/>
        <v>#DIV/0!</v>
      </c>
      <c r="I503" s="106" t="str">
        <f t="shared" si="297"/>
        <v>#DIV/0!</v>
      </c>
      <c r="J503" s="120">
        <v>186.31</v>
      </c>
      <c r="K503" s="278">
        <v>11400.0</v>
      </c>
      <c r="L503" s="296"/>
      <c r="M503" s="121">
        <v>1166.93</v>
      </c>
      <c r="N503" s="109">
        <f t="shared" si="302"/>
        <v>0.1596582486</v>
      </c>
      <c r="O503" s="110">
        <f t="shared" si="5"/>
        <v>6.263378241</v>
      </c>
      <c r="P503" s="109" t="str">
        <f t="shared" si="6"/>
        <v>#DIV/0!</v>
      </c>
      <c r="Q503" s="111" t="str">
        <f t="shared" si="7"/>
        <v>#DIV/0!</v>
      </c>
      <c r="R503" s="122">
        <f t="shared" si="301"/>
        <v>-1166.93</v>
      </c>
      <c r="S503" s="113" t="str">
        <f t="shared" si="9"/>
        <v>#DIV/0!</v>
      </c>
      <c r="T503" s="114"/>
      <c r="U503" s="114"/>
      <c r="V503" s="114"/>
      <c r="W503" s="114"/>
      <c r="X503" s="115"/>
      <c r="Y503" s="98"/>
      <c r="Z503" s="98"/>
    </row>
    <row r="504" hidden="1" outlineLevel="1">
      <c r="A504" s="293"/>
      <c r="B504" s="99" t="s">
        <v>37</v>
      </c>
      <c r="C504" s="294" t="s">
        <v>77</v>
      </c>
      <c r="D504" s="305"/>
      <c r="E504" s="296"/>
      <c r="F504" s="296"/>
      <c r="G504" s="104" t="str">
        <f t="shared" si="295"/>
        <v>#DIV/0!</v>
      </c>
      <c r="H504" s="105" t="str">
        <f t="shared" si="296"/>
        <v>#DIV/0!</v>
      </c>
      <c r="I504" s="106" t="str">
        <f t="shared" si="297"/>
        <v>#DIV/0!</v>
      </c>
      <c r="J504" s="123">
        <v>393.0</v>
      </c>
      <c r="K504" s="278">
        <v>12693.0</v>
      </c>
      <c r="L504" s="296"/>
      <c r="M504" s="124">
        <v>849.9</v>
      </c>
      <c r="N504" s="109">
        <f t="shared" si="302"/>
        <v>0.462407342</v>
      </c>
      <c r="O504" s="110">
        <f t="shared" si="5"/>
        <v>2.16259542</v>
      </c>
      <c r="P504" s="109" t="str">
        <f t="shared" si="6"/>
        <v>#DIV/0!</v>
      </c>
      <c r="Q504" s="111" t="str">
        <f t="shared" si="7"/>
        <v>#DIV/0!</v>
      </c>
      <c r="R504" s="125">
        <f t="shared" si="301"/>
        <v>-849.9</v>
      </c>
      <c r="S504" s="113" t="str">
        <f t="shared" si="9"/>
        <v>#DIV/0!</v>
      </c>
      <c r="T504" s="114"/>
      <c r="U504" s="114"/>
      <c r="V504" s="114"/>
      <c r="W504" s="114"/>
      <c r="X504" s="115"/>
      <c r="Y504" s="98"/>
      <c r="Z504" s="98"/>
    </row>
    <row r="505" hidden="1" outlineLevel="1">
      <c r="A505" s="293"/>
      <c r="B505" s="116"/>
      <c r="C505" s="294" t="s">
        <v>78</v>
      </c>
      <c r="D505" s="306"/>
      <c r="E505" s="296"/>
      <c r="F505" s="296"/>
      <c r="G505" s="104" t="str">
        <f t="shared" si="295"/>
        <v>#DIV/0!</v>
      </c>
      <c r="H505" s="105" t="str">
        <f t="shared" si="296"/>
        <v>#DIV/0!</v>
      </c>
      <c r="I505" s="106" t="str">
        <f t="shared" si="297"/>
        <v>#DIV/0!</v>
      </c>
      <c r="J505" s="126">
        <v>1350.8</v>
      </c>
      <c r="K505" s="278">
        <v>99705.0</v>
      </c>
      <c r="L505" s="296"/>
      <c r="M505" s="127">
        <v>3445.62</v>
      </c>
      <c r="N505" s="109">
        <f t="shared" si="302"/>
        <v>0.3920339445</v>
      </c>
      <c r="O505" s="110">
        <f t="shared" si="5"/>
        <v>2.550799526</v>
      </c>
      <c r="P505" s="109" t="str">
        <f t="shared" si="6"/>
        <v>#DIV/0!</v>
      </c>
      <c r="Q505" s="111" t="str">
        <f t="shared" si="7"/>
        <v>#DIV/0!</v>
      </c>
      <c r="R505" s="128">
        <f t="shared" si="301"/>
        <v>-3445.62</v>
      </c>
      <c r="S505" s="113" t="str">
        <f t="shared" si="9"/>
        <v>#DIV/0!</v>
      </c>
      <c r="T505" s="114"/>
      <c r="U505" s="114"/>
      <c r="V505" s="114"/>
      <c r="W505" s="114"/>
      <c r="X505" s="115"/>
      <c r="Y505" s="98"/>
      <c r="Z505" s="98"/>
    </row>
    <row r="506" hidden="1" outlineLevel="1">
      <c r="A506" s="293"/>
      <c r="B506" s="116"/>
      <c r="C506" s="294" t="s">
        <v>79</v>
      </c>
      <c r="D506" s="307"/>
      <c r="E506" s="296"/>
      <c r="F506" s="296"/>
      <c r="G506" s="104" t="str">
        <f t="shared" si="295"/>
        <v>#DIV/0!</v>
      </c>
      <c r="H506" s="105" t="str">
        <f t="shared" si="296"/>
        <v>#DIV/0!</v>
      </c>
      <c r="I506" s="106" t="str">
        <f t="shared" si="297"/>
        <v>#DIV/0!</v>
      </c>
      <c r="J506" s="129">
        <v>374.71</v>
      </c>
      <c r="K506" s="278">
        <v>34099.0</v>
      </c>
      <c r="L506" s="296"/>
      <c r="M506" s="130">
        <v>745.36</v>
      </c>
      <c r="N506" s="109">
        <f t="shared" si="302"/>
        <v>0.5027235162</v>
      </c>
      <c r="O506" s="110">
        <f t="shared" si="5"/>
        <v>1.989164954</v>
      </c>
      <c r="P506" s="109" t="str">
        <f t="shared" si="6"/>
        <v>#DIV/0!</v>
      </c>
      <c r="Q506" s="111" t="str">
        <f t="shared" si="7"/>
        <v>#DIV/0!</v>
      </c>
      <c r="R506" s="131">
        <f t="shared" si="301"/>
        <v>-745.36</v>
      </c>
      <c r="S506" s="113" t="str">
        <f t="shared" si="9"/>
        <v>#DIV/0!</v>
      </c>
      <c r="T506" s="114"/>
      <c r="U506" s="114"/>
      <c r="V506" s="114"/>
      <c r="W506" s="114"/>
      <c r="X506" s="115"/>
      <c r="Y506" s="98"/>
      <c r="Z506" s="98"/>
    </row>
    <row r="507" hidden="1" outlineLevel="1">
      <c r="A507" s="293"/>
      <c r="B507" s="116"/>
      <c r="C507" s="294" t="s">
        <v>80</v>
      </c>
      <c r="D507" s="307"/>
      <c r="E507" s="296"/>
      <c r="F507" s="296"/>
      <c r="G507" s="308"/>
      <c r="H507" s="102"/>
      <c r="I507" s="309"/>
      <c r="J507" s="135">
        <v>657.34</v>
      </c>
      <c r="K507" s="278">
        <v>36595.0</v>
      </c>
      <c r="L507" s="296"/>
      <c r="M507" s="136">
        <v>3145.05</v>
      </c>
      <c r="N507" s="109">
        <f t="shared" si="302"/>
        <v>0.2090078059</v>
      </c>
      <c r="O507" s="110">
        <f t="shared" si="5"/>
        <v>4.784510299</v>
      </c>
      <c r="P507" s="109" t="str">
        <f t="shared" si="6"/>
        <v>#DIV/0!</v>
      </c>
      <c r="Q507" s="111" t="str">
        <f t="shared" si="7"/>
        <v>#DIV/0!</v>
      </c>
      <c r="R507" s="137">
        <f t="shared" si="301"/>
        <v>-3145.05</v>
      </c>
      <c r="S507" s="113" t="str">
        <f t="shared" si="9"/>
        <v>#DIV/0!</v>
      </c>
      <c r="T507" s="114"/>
      <c r="U507" s="114"/>
      <c r="V507" s="114"/>
      <c r="W507" s="114"/>
      <c r="X507" s="115"/>
      <c r="Y507" s="98"/>
      <c r="Z507" s="98"/>
    </row>
    <row r="508" hidden="1" outlineLevel="1">
      <c r="A508" s="310" t="str">
        <f t="shared" ref="A508:A509" si="303">iferror(if(B508&gt;0,month(B508)&amp;"-"&amp;year(B508),B508),)</f>
        <v>12-2025</v>
      </c>
      <c r="B508" s="99">
        <v>45997.0</v>
      </c>
      <c r="C508" s="294" t="s">
        <v>81</v>
      </c>
      <c r="D508" s="311"/>
      <c r="E508" s="296"/>
      <c r="F508" s="296"/>
      <c r="G508" s="104" t="str">
        <f t="shared" ref="G508:G519" si="305">E508/F508</f>
        <v>#DIV/0!</v>
      </c>
      <c r="H508" s="105" t="str">
        <f t="shared" ref="H508:H519" si="306">D508/E508</f>
        <v>#DIV/0!</v>
      </c>
      <c r="I508" s="106" t="str">
        <f t="shared" ref="I508:I519" si="307">H508/G508</f>
        <v>#DIV/0!</v>
      </c>
      <c r="J508" s="117">
        <v>0.0</v>
      </c>
      <c r="K508" s="278">
        <v>0.0</v>
      </c>
      <c r="L508" s="296"/>
      <c r="M508" s="118">
        <v>0.0</v>
      </c>
      <c r="N508" s="109" t="str">
        <f t="shared" si="302"/>
        <v>#DIV/0!</v>
      </c>
      <c r="O508" s="110" t="str">
        <f t="shared" si="5"/>
        <v>#DIV/0!</v>
      </c>
      <c r="P508" s="109" t="str">
        <f t="shared" si="6"/>
        <v>#DIV/0!</v>
      </c>
      <c r="Q508" s="111" t="str">
        <f t="shared" si="7"/>
        <v>#DIV/0!</v>
      </c>
      <c r="R508" s="112">
        <f t="shared" si="301"/>
        <v>0</v>
      </c>
      <c r="S508" s="113" t="str">
        <f t="shared" si="9"/>
        <v>#DIV/0!</v>
      </c>
      <c r="T508" s="114"/>
      <c r="U508" s="114"/>
      <c r="V508" s="114"/>
      <c r="W508" s="114"/>
      <c r="X508" s="115"/>
      <c r="Y508" s="98"/>
      <c r="Z508" s="98"/>
    </row>
    <row r="509" collapsed="1">
      <c r="A509" s="293" t="str">
        <f t="shared" si="303"/>
        <v/>
      </c>
      <c r="B509" s="80" t="s">
        <v>136</v>
      </c>
      <c r="C509" s="312"/>
      <c r="D509" s="151">
        <f t="shared" ref="D509:F509" si="304">SUM(D497:D508)</f>
        <v>0</v>
      </c>
      <c r="E509" s="153">
        <f t="shared" si="304"/>
        <v>0</v>
      </c>
      <c r="F509" s="153">
        <f t="shared" si="304"/>
        <v>0</v>
      </c>
      <c r="G509" s="154" t="str">
        <f t="shared" si="305"/>
        <v>#DIV/0!</v>
      </c>
      <c r="H509" s="155" t="str">
        <f t="shared" si="306"/>
        <v>#DIV/0!</v>
      </c>
      <c r="I509" s="156" t="str">
        <f t="shared" si="307"/>
        <v>#DIV/0!</v>
      </c>
      <c r="J509" s="151">
        <f t="shared" ref="J509:M509" si="308">SUM(J497:J508)</f>
        <v>6707.11</v>
      </c>
      <c r="K509" s="313">
        <f t="shared" si="308"/>
        <v>399292</v>
      </c>
      <c r="L509" s="153">
        <f t="shared" si="308"/>
        <v>0</v>
      </c>
      <c r="M509" s="157">
        <f t="shared" si="308"/>
        <v>23111.6</v>
      </c>
      <c r="N509" s="158">
        <f t="shared" si="302"/>
        <v>0.2902053514</v>
      </c>
      <c r="O509" s="159">
        <f t="shared" si="5"/>
        <v>3.445835837</v>
      </c>
      <c r="P509" s="158" t="str">
        <f t="shared" si="6"/>
        <v>#DIV/0!</v>
      </c>
      <c r="Q509" s="160" t="str">
        <f t="shared" si="7"/>
        <v>#DIV/0!</v>
      </c>
      <c r="R509" s="161">
        <f>SUM(R497:R508)</f>
        <v>-23111.6</v>
      </c>
      <c r="S509" s="162" t="str">
        <f t="shared" si="9"/>
        <v>#DIV/0!</v>
      </c>
      <c r="T509" s="164" t="str">
        <f t="shared" ref="T509:U509" si="309">IFERROR((D509-D48)/D509,)</f>
        <v/>
      </c>
      <c r="U509" s="164" t="str">
        <f t="shared" si="309"/>
        <v/>
      </c>
      <c r="V509" s="164" t="str">
        <f t="shared" ref="V509:W509" si="310">IFERROR((D509-monthly_reporting_2021!D300)/D509, )</f>
        <v/>
      </c>
      <c r="W509" s="164" t="str">
        <f t="shared" si="310"/>
        <v/>
      </c>
      <c r="X509" s="98"/>
      <c r="Y509" s="98"/>
      <c r="Z509" s="98"/>
    </row>
    <row r="510" hidden="1" outlineLevel="1">
      <c r="A510" s="293"/>
      <c r="B510" s="99">
        <v>45998.0</v>
      </c>
      <c r="C510" s="294" t="s">
        <v>70</v>
      </c>
      <c r="D510" s="295"/>
      <c r="E510" s="296"/>
      <c r="F510" s="296"/>
      <c r="G510" s="104" t="str">
        <f t="shared" si="305"/>
        <v>#DIV/0!</v>
      </c>
      <c r="H510" s="105" t="str">
        <f t="shared" si="306"/>
        <v>#DIV/0!</v>
      </c>
      <c r="I510" s="106" t="str">
        <f t="shared" si="307"/>
        <v>#DIV/0!</v>
      </c>
      <c r="J510" s="107">
        <v>1020.75</v>
      </c>
      <c r="K510" s="278">
        <v>70421.0</v>
      </c>
      <c r="L510" s="296"/>
      <c r="M510" s="108">
        <v>4359.78</v>
      </c>
      <c r="N510" s="109">
        <f t="shared" si="302"/>
        <v>0.2341287863</v>
      </c>
      <c r="O510" s="110">
        <f t="shared" si="5"/>
        <v>4.271153564</v>
      </c>
      <c r="P510" s="109" t="str">
        <f t="shared" si="6"/>
        <v>#DIV/0!</v>
      </c>
      <c r="Q510" s="111" t="str">
        <f t="shared" si="7"/>
        <v>#DIV/0!</v>
      </c>
      <c r="R510" s="112">
        <f t="shared" ref="R510:R521" si="311">D510-M510</f>
        <v>-4359.78</v>
      </c>
      <c r="S510" s="113" t="str">
        <f t="shared" si="9"/>
        <v>#DIV/0!</v>
      </c>
      <c r="T510" s="114"/>
      <c r="U510" s="114"/>
      <c r="V510" s="114"/>
      <c r="W510" s="114"/>
      <c r="X510" s="115"/>
      <c r="Y510" s="98"/>
      <c r="Z510" s="98"/>
    </row>
    <row r="511" hidden="1" outlineLevel="1">
      <c r="A511" s="293"/>
      <c r="B511" s="116"/>
      <c r="C511" s="294" t="s">
        <v>71</v>
      </c>
      <c r="D511" s="297"/>
      <c r="E511" s="296"/>
      <c r="F511" s="296"/>
      <c r="G511" s="104" t="str">
        <f t="shared" si="305"/>
        <v>#DIV/0!</v>
      </c>
      <c r="H511" s="105" t="str">
        <f t="shared" si="306"/>
        <v>#DIV/0!</v>
      </c>
      <c r="I511" s="106" t="str">
        <f t="shared" si="307"/>
        <v>#DIV/0!</v>
      </c>
      <c r="J511" s="117">
        <v>45.59</v>
      </c>
      <c r="K511" s="278">
        <v>4989.0</v>
      </c>
      <c r="L511" s="296"/>
      <c r="M511" s="118">
        <v>239.8</v>
      </c>
      <c r="N511" s="109">
        <f t="shared" si="302"/>
        <v>0.190116764</v>
      </c>
      <c r="O511" s="110">
        <f t="shared" si="5"/>
        <v>5.259925422</v>
      </c>
      <c r="P511" s="109" t="str">
        <f t="shared" si="6"/>
        <v>#DIV/0!</v>
      </c>
      <c r="Q511" s="111" t="str">
        <f t="shared" si="7"/>
        <v>#DIV/0!</v>
      </c>
      <c r="R511" s="119">
        <f t="shared" si="311"/>
        <v>-239.8</v>
      </c>
      <c r="S511" s="113" t="str">
        <f t="shared" si="9"/>
        <v>#DIV/0!</v>
      </c>
      <c r="T511" s="114"/>
      <c r="U511" s="114"/>
      <c r="V511" s="114"/>
      <c r="W511" s="114"/>
      <c r="X511" s="115"/>
      <c r="Y511" s="98"/>
      <c r="Z511" s="98"/>
    </row>
    <row r="512" hidden="1" outlineLevel="1">
      <c r="A512" s="293"/>
      <c r="B512" s="116"/>
      <c r="C512" s="294" t="s">
        <v>72</v>
      </c>
      <c r="D512" s="298"/>
      <c r="E512" s="296"/>
      <c r="F512" s="296"/>
      <c r="G512" s="104" t="str">
        <f t="shared" si="305"/>
        <v>#DIV/0!</v>
      </c>
      <c r="H512" s="105" t="str">
        <f t="shared" si="306"/>
        <v>#DIV/0!</v>
      </c>
      <c r="I512" s="106" t="str">
        <f t="shared" si="307"/>
        <v>#DIV/0!</v>
      </c>
      <c r="J512" s="120">
        <v>201.01</v>
      </c>
      <c r="K512" s="278">
        <v>24953.0</v>
      </c>
      <c r="L512" s="296"/>
      <c r="M512" s="121">
        <v>766.93</v>
      </c>
      <c r="N512" s="109">
        <f>(J512/M512)</f>
        <v>0.2620969319</v>
      </c>
      <c r="O512" s="110">
        <f t="shared" si="5"/>
        <v>3.815382319</v>
      </c>
      <c r="P512" s="109" t="str">
        <f t="shared" si="6"/>
        <v>#DIV/0!</v>
      </c>
      <c r="Q512" s="111" t="str">
        <f t="shared" si="7"/>
        <v>#DIV/0!</v>
      </c>
      <c r="R512" s="122">
        <f t="shared" si="311"/>
        <v>-766.93</v>
      </c>
      <c r="S512" s="113" t="str">
        <f t="shared" si="9"/>
        <v>#DIV/0!</v>
      </c>
      <c r="T512" s="114"/>
      <c r="U512" s="114"/>
      <c r="V512" s="114"/>
      <c r="W512" s="114"/>
      <c r="X512" s="115"/>
      <c r="Y512" s="98"/>
      <c r="Z512" s="98"/>
    </row>
    <row r="513" hidden="1" outlineLevel="1">
      <c r="A513" s="293"/>
      <c r="B513" s="116"/>
      <c r="C513" s="294" t="s">
        <v>73</v>
      </c>
      <c r="D513" s="298"/>
      <c r="E513" s="296"/>
      <c r="F513" s="296"/>
      <c r="G513" s="104" t="str">
        <f t="shared" si="305"/>
        <v>#DIV/0!</v>
      </c>
      <c r="H513" s="105" t="str">
        <f t="shared" si="306"/>
        <v>#DIV/0!</v>
      </c>
      <c r="I513" s="106" t="str">
        <f t="shared" si="307"/>
        <v>#DIV/0!</v>
      </c>
      <c r="J513" s="120">
        <v>72.65</v>
      </c>
      <c r="K513" s="278">
        <v>11992.0</v>
      </c>
      <c r="L513" s="296"/>
      <c r="M513" s="121">
        <v>185.85</v>
      </c>
      <c r="N513" s="109">
        <f t="shared" ref="N513:N524" si="312">J513/M513</f>
        <v>0.3909066451</v>
      </c>
      <c r="O513" s="110">
        <f t="shared" si="5"/>
        <v>2.55815554</v>
      </c>
      <c r="P513" s="109" t="str">
        <f t="shared" si="6"/>
        <v>#DIV/0!</v>
      </c>
      <c r="Q513" s="111" t="str">
        <f t="shared" si="7"/>
        <v>#DIV/0!</v>
      </c>
      <c r="R513" s="122">
        <f t="shared" si="311"/>
        <v>-185.85</v>
      </c>
      <c r="S513" s="113" t="str">
        <f t="shared" si="9"/>
        <v>#DIV/0!</v>
      </c>
      <c r="T513" s="114"/>
      <c r="U513" s="114"/>
      <c r="V513" s="114"/>
      <c r="W513" s="114"/>
      <c r="X513" s="115"/>
      <c r="Y513" s="98"/>
      <c r="Z513" s="98"/>
    </row>
    <row r="514" hidden="1" outlineLevel="1">
      <c r="A514" s="293"/>
      <c r="B514" s="116"/>
      <c r="C514" s="294" t="s">
        <v>74</v>
      </c>
      <c r="D514" s="299"/>
      <c r="E514" s="296"/>
      <c r="F514" s="296"/>
      <c r="G514" s="104" t="str">
        <f t="shared" si="305"/>
        <v>#DIV/0!</v>
      </c>
      <c r="H514" s="105" t="str">
        <f t="shared" si="306"/>
        <v>#DIV/0!</v>
      </c>
      <c r="I514" s="106" t="str">
        <f t="shared" si="307"/>
        <v>#DIV/0!</v>
      </c>
      <c r="J514" s="300">
        <v>164.75</v>
      </c>
      <c r="K514" s="278">
        <v>15016.0</v>
      </c>
      <c r="L514" s="296"/>
      <c r="M514" s="300">
        <v>1525.51</v>
      </c>
      <c r="N514" s="109">
        <f t="shared" si="312"/>
        <v>0.10799667</v>
      </c>
      <c r="O514" s="110">
        <f t="shared" si="5"/>
        <v>9.259544765</v>
      </c>
      <c r="P514" s="109" t="str">
        <f t="shared" si="6"/>
        <v>#DIV/0!</v>
      </c>
      <c r="Q514" s="111" t="str">
        <f t="shared" si="7"/>
        <v>#DIV/0!</v>
      </c>
      <c r="R514" s="122">
        <f t="shared" si="311"/>
        <v>-1525.51</v>
      </c>
      <c r="S514" s="113" t="str">
        <f t="shared" si="9"/>
        <v>#DIV/0!</v>
      </c>
      <c r="T514" s="114"/>
      <c r="U514" s="114"/>
      <c r="V514" s="114"/>
      <c r="W514" s="114"/>
      <c r="X514" s="115"/>
      <c r="Y514" s="98"/>
      <c r="Z514" s="98"/>
    </row>
    <row r="515" hidden="1" outlineLevel="1">
      <c r="A515" s="293"/>
      <c r="B515" s="116"/>
      <c r="C515" s="294" t="s">
        <v>75</v>
      </c>
      <c r="D515" s="301"/>
      <c r="E515" s="296"/>
      <c r="F515" s="296"/>
      <c r="G515" s="104" t="str">
        <f t="shared" si="305"/>
        <v>#DIV/0!</v>
      </c>
      <c r="H515" s="105" t="str">
        <f t="shared" si="306"/>
        <v>#DIV/0!</v>
      </c>
      <c r="I515" s="106" t="str">
        <f t="shared" si="307"/>
        <v>#DIV/0!</v>
      </c>
      <c r="J515" s="302">
        <v>23.08</v>
      </c>
      <c r="K515" s="278">
        <v>2958.0</v>
      </c>
      <c r="L515" s="296"/>
      <c r="M515" s="303">
        <v>79.95</v>
      </c>
      <c r="N515" s="109">
        <f t="shared" si="312"/>
        <v>0.2886804253</v>
      </c>
      <c r="O515" s="110">
        <f t="shared" si="5"/>
        <v>3.464038128</v>
      </c>
      <c r="P515" s="109" t="str">
        <f t="shared" si="6"/>
        <v>#DIV/0!</v>
      </c>
      <c r="Q515" s="111" t="str">
        <f t="shared" si="7"/>
        <v>#DIV/0!</v>
      </c>
      <c r="R515" s="304">
        <f t="shared" si="311"/>
        <v>-79.95</v>
      </c>
      <c r="S515" s="113" t="str">
        <f t="shared" si="9"/>
        <v>#DIV/0!</v>
      </c>
      <c r="T515" s="114"/>
      <c r="U515" s="114"/>
      <c r="V515" s="114"/>
      <c r="W515" s="114"/>
      <c r="X515" s="115"/>
      <c r="Y515" s="98"/>
      <c r="Z515" s="98"/>
    </row>
    <row r="516" hidden="1" outlineLevel="1">
      <c r="A516" s="293"/>
      <c r="B516" s="116"/>
      <c r="C516" s="294" t="s">
        <v>76</v>
      </c>
      <c r="D516" s="298"/>
      <c r="E516" s="296"/>
      <c r="F516" s="296"/>
      <c r="G516" s="104" t="str">
        <f t="shared" si="305"/>
        <v>#DIV/0!</v>
      </c>
      <c r="H516" s="105" t="str">
        <f t="shared" si="306"/>
        <v>#DIV/0!</v>
      </c>
      <c r="I516" s="106" t="str">
        <f t="shared" si="307"/>
        <v>#DIV/0!</v>
      </c>
      <c r="J516" s="120">
        <v>62.64</v>
      </c>
      <c r="K516" s="278">
        <v>2893.0</v>
      </c>
      <c r="L516" s="296"/>
      <c r="M516" s="121">
        <v>634.85</v>
      </c>
      <c r="N516" s="109">
        <f t="shared" si="312"/>
        <v>0.09866897692</v>
      </c>
      <c r="O516" s="110">
        <f t="shared" si="5"/>
        <v>10.13489783</v>
      </c>
      <c r="P516" s="109" t="str">
        <f t="shared" si="6"/>
        <v>#DIV/0!</v>
      </c>
      <c r="Q516" s="111" t="str">
        <f t="shared" si="7"/>
        <v>#DIV/0!</v>
      </c>
      <c r="R516" s="122">
        <f t="shared" si="311"/>
        <v>-634.85</v>
      </c>
      <c r="S516" s="113" t="str">
        <f t="shared" si="9"/>
        <v>#DIV/0!</v>
      </c>
      <c r="T516" s="114"/>
      <c r="U516" s="114"/>
      <c r="V516" s="114"/>
      <c r="W516" s="114"/>
      <c r="X516" s="115"/>
      <c r="Y516" s="98"/>
      <c r="Z516" s="98"/>
    </row>
    <row r="517" hidden="1" outlineLevel="1">
      <c r="A517" s="293"/>
      <c r="B517" s="99" t="s">
        <v>37</v>
      </c>
      <c r="C517" s="294" t="s">
        <v>77</v>
      </c>
      <c r="D517" s="305"/>
      <c r="E517" s="296"/>
      <c r="F517" s="296"/>
      <c r="G517" s="104" t="str">
        <f t="shared" si="305"/>
        <v>#DIV/0!</v>
      </c>
      <c r="H517" s="105" t="str">
        <f t="shared" si="306"/>
        <v>#DIV/0!</v>
      </c>
      <c r="I517" s="106" t="str">
        <f t="shared" si="307"/>
        <v>#DIV/0!</v>
      </c>
      <c r="J517" s="123">
        <v>85.1</v>
      </c>
      <c r="K517" s="278">
        <v>3538.0</v>
      </c>
      <c r="L517" s="296"/>
      <c r="M517" s="124">
        <v>669.99</v>
      </c>
      <c r="N517" s="109">
        <f t="shared" si="312"/>
        <v>0.1270168211</v>
      </c>
      <c r="O517" s="110">
        <f t="shared" si="5"/>
        <v>7.872972973</v>
      </c>
      <c r="P517" s="109" t="str">
        <f t="shared" si="6"/>
        <v>#DIV/0!</v>
      </c>
      <c r="Q517" s="111" t="str">
        <f t="shared" si="7"/>
        <v>#DIV/0!</v>
      </c>
      <c r="R517" s="125">
        <f t="shared" si="311"/>
        <v>-669.99</v>
      </c>
      <c r="S517" s="113" t="str">
        <f t="shared" si="9"/>
        <v>#DIV/0!</v>
      </c>
      <c r="T517" s="114"/>
      <c r="U517" s="114"/>
      <c r="V517" s="114"/>
      <c r="W517" s="114"/>
      <c r="X517" s="115"/>
      <c r="Y517" s="98"/>
      <c r="Z517" s="98"/>
    </row>
    <row r="518" hidden="1" outlineLevel="1">
      <c r="A518" s="293"/>
      <c r="B518" s="116"/>
      <c r="C518" s="294" t="s">
        <v>78</v>
      </c>
      <c r="D518" s="306"/>
      <c r="E518" s="296"/>
      <c r="F518" s="296"/>
      <c r="G518" s="104" t="str">
        <f t="shared" si="305"/>
        <v>#DIV/0!</v>
      </c>
      <c r="H518" s="105" t="str">
        <f t="shared" si="306"/>
        <v>#DIV/0!</v>
      </c>
      <c r="I518" s="106" t="str">
        <f t="shared" si="307"/>
        <v>#DIV/0!</v>
      </c>
      <c r="J518" s="126">
        <v>216.08</v>
      </c>
      <c r="K518" s="278">
        <v>36288.0</v>
      </c>
      <c r="L518" s="296"/>
      <c r="M518" s="127">
        <v>346.21</v>
      </c>
      <c r="N518" s="109">
        <f t="shared" si="312"/>
        <v>0.6241298634</v>
      </c>
      <c r="O518" s="110">
        <f t="shared" si="5"/>
        <v>1.602230655</v>
      </c>
      <c r="P518" s="109" t="str">
        <f t="shared" si="6"/>
        <v>#DIV/0!</v>
      </c>
      <c r="Q518" s="111" t="str">
        <f t="shared" si="7"/>
        <v>#DIV/0!</v>
      </c>
      <c r="R518" s="128">
        <f t="shared" si="311"/>
        <v>-346.21</v>
      </c>
      <c r="S518" s="113" t="str">
        <f t="shared" si="9"/>
        <v>#DIV/0!</v>
      </c>
      <c r="T518" s="114"/>
      <c r="U518" s="114"/>
      <c r="V518" s="114"/>
      <c r="W518" s="114"/>
      <c r="X518" s="115"/>
      <c r="Y518" s="98"/>
      <c r="Z518" s="98"/>
    </row>
    <row r="519" hidden="1" outlineLevel="1">
      <c r="A519" s="293"/>
      <c r="B519" s="116"/>
      <c r="C519" s="294" t="s">
        <v>79</v>
      </c>
      <c r="D519" s="307"/>
      <c r="E519" s="296"/>
      <c r="F519" s="296"/>
      <c r="G519" s="104" t="str">
        <f t="shared" si="305"/>
        <v>#DIV/0!</v>
      </c>
      <c r="H519" s="105" t="str">
        <f t="shared" si="306"/>
        <v>#DIV/0!</v>
      </c>
      <c r="I519" s="106" t="str">
        <f t="shared" si="307"/>
        <v>#DIV/0!</v>
      </c>
      <c r="J519" s="129">
        <v>156.26</v>
      </c>
      <c r="K519" s="278">
        <v>21328.0</v>
      </c>
      <c r="L519" s="296"/>
      <c r="M519" s="130">
        <v>566.84</v>
      </c>
      <c r="N519" s="109">
        <f t="shared" si="312"/>
        <v>0.275668619</v>
      </c>
      <c r="O519" s="110">
        <f t="shared" si="5"/>
        <v>3.627543837</v>
      </c>
      <c r="P519" s="109" t="str">
        <f t="shared" si="6"/>
        <v>#DIV/0!</v>
      </c>
      <c r="Q519" s="111" t="str">
        <f t="shared" si="7"/>
        <v>#DIV/0!</v>
      </c>
      <c r="R519" s="131">
        <f t="shared" si="311"/>
        <v>-566.84</v>
      </c>
      <c r="S519" s="113" t="str">
        <f t="shared" si="9"/>
        <v>#DIV/0!</v>
      </c>
      <c r="T519" s="114"/>
      <c r="U519" s="114"/>
      <c r="V519" s="114"/>
      <c r="W519" s="114"/>
      <c r="X519" s="115"/>
      <c r="Y519" s="98"/>
      <c r="Z519" s="98"/>
    </row>
    <row r="520" hidden="1" outlineLevel="1">
      <c r="A520" s="293"/>
      <c r="B520" s="116"/>
      <c r="C520" s="294" t="s">
        <v>80</v>
      </c>
      <c r="D520" s="307"/>
      <c r="E520" s="296"/>
      <c r="F520" s="296"/>
      <c r="G520" s="308"/>
      <c r="H520" s="102"/>
      <c r="I520" s="309"/>
      <c r="J520" s="135">
        <v>256.26</v>
      </c>
      <c r="K520" s="278">
        <v>20169.0</v>
      </c>
      <c r="L520" s="296"/>
      <c r="M520" s="136">
        <v>1524.69</v>
      </c>
      <c r="N520" s="109">
        <f t="shared" si="312"/>
        <v>0.16807351</v>
      </c>
      <c r="O520" s="110">
        <f t="shared" si="5"/>
        <v>5.94977757</v>
      </c>
      <c r="P520" s="109" t="str">
        <f t="shared" si="6"/>
        <v>#DIV/0!</v>
      </c>
      <c r="Q520" s="111" t="str">
        <f t="shared" si="7"/>
        <v>#DIV/0!</v>
      </c>
      <c r="R520" s="137">
        <f t="shared" si="311"/>
        <v>-1524.69</v>
      </c>
      <c r="S520" s="113" t="str">
        <f t="shared" si="9"/>
        <v>#DIV/0!</v>
      </c>
      <c r="T520" s="114"/>
      <c r="U520" s="114"/>
      <c r="V520" s="114"/>
      <c r="W520" s="114"/>
      <c r="X520" s="115"/>
      <c r="Y520" s="98"/>
      <c r="Z520" s="98"/>
    </row>
    <row r="521" hidden="1" outlineLevel="1">
      <c r="A521" s="310" t="str">
        <f t="shared" ref="A521:A522" si="313">iferror(if(B521&gt;0,month(B521)&amp;"-"&amp;year(B521),B521),)</f>
        <v>12-2025</v>
      </c>
      <c r="B521" s="99">
        <v>46004.0</v>
      </c>
      <c r="C521" s="294" t="s">
        <v>81</v>
      </c>
      <c r="D521" s="311"/>
      <c r="E521" s="296"/>
      <c r="F521" s="296"/>
      <c r="G521" s="104" t="str">
        <f t="shared" ref="G521:G532" si="315">E521/F521</f>
        <v>#DIV/0!</v>
      </c>
      <c r="H521" s="105" t="str">
        <f t="shared" ref="H521:H532" si="316">D521/E521</f>
        <v>#DIV/0!</v>
      </c>
      <c r="I521" s="106" t="str">
        <f t="shared" ref="I521:I532" si="317">H521/G521</f>
        <v>#DIV/0!</v>
      </c>
      <c r="J521" s="117">
        <v>0.0</v>
      </c>
      <c r="K521" s="278">
        <v>0.0</v>
      </c>
      <c r="L521" s="296"/>
      <c r="M521" s="118">
        <v>0.0</v>
      </c>
      <c r="N521" s="109" t="str">
        <f t="shared" si="312"/>
        <v>#DIV/0!</v>
      </c>
      <c r="O521" s="110" t="str">
        <f t="shared" si="5"/>
        <v>#DIV/0!</v>
      </c>
      <c r="P521" s="109" t="str">
        <f t="shared" si="6"/>
        <v>#DIV/0!</v>
      </c>
      <c r="Q521" s="111" t="str">
        <f t="shared" si="7"/>
        <v>#DIV/0!</v>
      </c>
      <c r="R521" s="112">
        <f t="shared" si="311"/>
        <v>0</v>
      </c>
      <c r="S521" s="113" t="str">
        <f t="shared" si="9"/>
        <v>#DIV/0!</v>
      </c>
      <c r="T521" s="114"/>
      <c r="U521" s="114"/>
      <c r="V521" s="114"/>
      <c r="W521" s="114"/>
      <c r="X521" s="115"/>
      <c r="Y521" s="98"/>
      <c r="Z521" s="98"/>
    </row>
    <row r="522" collapsed="1">
      <c r="A522" s="293" t="str">
        <f t="shared" si="313"/>
        <v/>
      </c>
      <c r="B522" s="80" t="s">
        <v>137</v>
      </c>
      <c r="C522" s="312"/>
      <c r="D522" s="151">
        <f t="shared" ref="D522:F522" si="314">SUM(D510:D521)</f>
        <v>0</v>
      </c>
      <c r="E522" s="153">
        <f t="shared" si="314"/>
        <v>0</v>
      </c>
      <c r="F522" s="153">
        <f t="shared" si="314"/>
        <v>0</v>
      </c>
      <c r="G522" s="154" t="str">
        <f t="shared" si="315"/>
        <v>#DIV/0!</v>
      </c>
      <c r="H522" s="155" t="str">
        <f t="shared" si="316"/>
        <v>#DIV/0!</v>
      </c>
      <c r="I522" s="156" t="str">
        <f t="shared" si="317"/>
        <v>#DIV/0!</v>
      </c>
      <c r="J522" s="151">
        <f t="shared" ref="J522:M522" si="318">SUM(J510:J521)</f>
        <v>2304.17</v>
      </c>
      <c r="K522" s="313">
        <f t="shared" si="318"/>
        <v>214545</v>
      </c>
      <c r="L522" s="153">
        <f t="shared" si="318"/>
        <v>0</v>
      </c>
      <c r="M522" s="157">
        <f t="shared" si="318"/>
        <v>10900.4</v>
      </c>
      <c r="N522" s="158">
        <f t="shared" si="312"/>
        <v>0.2113839859</v>
      </c>
      <c r="O522" s="159">
        <f t="shared" si="5"/>
        <v>4.730727333</v>
      </c>
      <c r="P522" s="158" t="str">
        <f t="shared" si="6"/>
        <v>#DIV/0!</v>
      </c>
      <c r="Q522" s="160" t="str">
        <f t="shared" si="7"/>
        <v>#DIV/0!</v>
      </c>
      <c r="R522" s="161">
        <f>SUM(R510:R521)</f>
        <v>-10900.4</v>
      </c>
      <c r="S522" s="162" t="str">
        <f t="shared" si="9"/>
        <v>#DIV/0!</v>
      </c>
      <c r="T522" s="164" t="str">
        <f t="shared" ref="T522:U522" si="319">IFERROR((D522-D48)/D522,)</f>
        <v/>
      </c>
      <c r="U522" s="164" t="str">
        <f t="shared" si="319"/>
        <v/>
      </c>
      <c r="V522" s="164" t="str">
        <f t="shared" ref="V522:W522" si="320">IFERROR((D522-monthly_reporting_2021!D313)/D522, )</f>
        <v/>
      </c>
      <c r="W522" s="164" t="str">
        <f t="shared" si="320"/>
        <v/>
      </c>
      <c r="X522" s="98"/>
      <c r="Y522" s="98"/>
      <c r="Z522" s="98"/>
    </row>
    <row r="523" hidden="1" outlineLevel="1">
      <c r="A523" s="293"/>
      <c r="B523" s="99">
        <v>46005.0</v>
      </c>
      <c r="C523" s="294" t="s">
        <v>70</v>
      </c>
      <c r="D523" s="295"/>
      <c r="E523" s="296"/>
      <c r="F523" s="296"/>
      <c r="G523" s="104" t="str">
        <f t="shared" si="315"/>
        <v>#DIV/0!</v>
      </c>
      <c r="H523" s="105" t="str">
        <f t="shared" si="316"/>
        <v>#DIV/0!</v>
      </c>
      <c r="I523" s="106" t="str">
        <f t="shared" si="317"/>
        <v>#DIV/0!</v>
      </c>
      <c r="J523" s="107">
        <v>3287.84</v>
      </c>
      <c r="K523" s="278">
        <v>120983.0</v>
      </c>
      <c r="L523" s="296"/>
      <c r="M523" s="108">
        <v>15215.62</v>
      </c>
      <c r="N523" s="109">
        <f t="shared" si="312"/>
        <v>0.2160832092</v>
      </c>
      <c r="O523" s="110">
        <f t="shared" si="5"/>
        <v>4.627846854</v>
      </c>
      <c r="P523" s="109" t="str">
        <f t="shared" si="6"/>
        <v>#DIV/0!</v>
      </c>
      <c r="Q523" s="111" t="str">
        <f t="shared" si="7"/>
        <v>#DIV/0!</v>
      </c>
      <c r="R523" s="112">
        <f t="shared" ref="R523:R534" si="321">D523-M523</f>
        <v>-15215.62</v>
      </c>
      <c r="S523" s="113" t="str">
        <f t="shared" si="9"/>
        <v>#DIV/0!</v>
      </c>
      <c r="T523" s="114"/>
      <c r="U523" s="114"/>
      <c r="V523" s="114"/>
      <c r="W523" s="114"/>
      <c r="X523" s="115"/>
      <c r="Y523" s="98"/>
      <c r="Z523" s="98"/>
    </row>
    <row r="524" hidden="1" outlineLevel="1">
      <c r="A524" s="293"/>
      <c r="B524" s="116"/>
      <c r="C524" s="294" t="s">
        <v>71</v>
      </c>
      <c r="D524" s="297"/>
      <c r="E524" s="296"/>
      <c r="F524" s="296"/>
      <c r="G524" s="104" t="str">
        <f t="shared" si="315"/>
        <v>#DIV/0!</v>
      </c>
      <c r="H524" s="105" t="str">
        <f t="shared" si="316"/>
        <v>#DIV/0!</v>
      </c>
      <c r="I524" s="106" t="str">
        <f t="shared" si="317"/>
        <v>#DIV/0!</v>
      </c>
      <c r="J524" s="117">
        <v>165.96</v>
      </c>
      <c r="K524" s="278">
        <v>21541.0</v>
      </c>
      <c r="L524" s="296"/>
      <c r="M524" s="118">
        <v>443.63</v>
      </c>
      <c r="N524" s="109">
        <f t="shared" si="312"/>
        <v>0.3740955301</v>
      </c>
      <c r="O524" s="110">
        <f t="shared" si="5"/>
        <v>2.673114003</v>
      </c>
      <c r="P524" s="109" t="str">
        <f t="shared" si="6"/>
        <v>#DIV/0!</v>
      </c>
      <c r="Q524" s="111" t="str">
        <f t="shared" si="7"/>
        <v>#DIV/0!</v>
      </c>
      <c r="R524" s="119">
        <f t="shared" si="321"/>
        <v>-443.63</v>
      </c>
      <c r="S524" s="113" t="str">
        <f t="shared" si="9"/>
        <v>#DIV/0!</v>
      </c>
      <c r="T524" s="114"/>
      <c r="U524" s="114"/>
      <c r="V524" s="114"/>
      <c r="W524" s="114"/>
      <c r="X524" s="115"/>
      <c r="Y524" s="98"/>
      <c r="Z524" s="98"/>
    </row>
    <row r="525" hidden="1" outlineLevel="1">
      <c r="A525" s="293"/>
      <c r="B525" s="116"/>
      <c r="C525" s="294" t="s">
        <v>72</v>
      </c>
      <c r="D525" s="298"/>
      <c r="E525" s="296"/>
      <c r="F525" s="296"/>
      <c r="G525" s="104" t="str">
        <f t="shared" si="315"/>
        <v>#DIV/0!</v>
      </c>
      <c r="H525" s="105" t="str">
        <f t="shared" si="316"/>
        <v>#DIV/0!</v>
      </c>
      <c r="I525" s="106" t="str">
        <f t="shared" si="317"/>
        <v>#DIV/0!</v>
      </c>
      <c r="J525" s="120">
        <v>229.45</v>
      </c>
      <c r="K525" s="278">
        <v>28644.0</v>
      </c>
      <c r="L525" s="296"/>
      <c r="M525" s="121">
        <v>200.97</v>
      </c>
      <c r="N525" s="109">
        <f>(J525/M525)</f>
        <v>1.141712693</v>
      </c>
      <c r="O525" s="110">
        <f t="shared" si="5"/>
        <v>0.8758770974</v>
      </c>
      <c r="P525" s="109" t="str">
        <f t="shared" si="6"/>
        <v>#DIV/0!</v>
      </c>
      <c r="Q525" s="111" t="str">
        <f t="shared" si="7"/>
        <v>#DIV/0!</v>
      </c>
      <c r="R525" s="122">
        <f t="shared" si="321"/>
        <v>-200.97</v>
      </c>
      <c r="S525" s="113" t="str">
        <f t="shared" si="9"/>
        <v>#DIV/0!</v>
      </c>
      <c r="T525" s="114"/>
      <c r="U525" s="114"/>
      <c r="V525" s="114"/>
      <c r="W525" s="114"/>
      <c r="X525" s="115"/>
      <c r="Y525" s="98"/>
      <c r="Z525" s="98"/>
    </row>
    <row r="526" hidden="1" outlineLevel="1">
      <c r="A526" s="293"/>
      <c r="B526" s="116"/>
      <c r="C526" s="294" t="s">
        <v>73</v>
      </c>
      <c r="D526" s="298"/>
      <c r="E526" s="296"/>
      <c r="F526" s="296"/>
      <c r="G526" s="104" t="str">
        <f t="shared" si="315"/>
        <v>#DIV/0!</v>
      </c>
      <c r="H526" s="105" t="str">
        <f t="shared" si="316"/>
        <v>#DIV/0!</v>
      </c>
      <c r="I526" s="106" t="str">
        <f t="shared" si="317"/>
        <v>#DIV/0!</v>
      </c>
      <c r="J526" s="120">
        <v>145.85</v>
      </c>
      <c r="K526" s="278">
        <v>22876.0</v>
      </c>
      <c r="L526" s="296"/>
      <c r="M526" s="121">
        <v>62.95</v>
      </c>
      <c r="N526" s="109">
        <f t="shared" ref="N526:N537" si="322">J526/M526</f>
        <v>2.316918189</v>
      </c>
      <c r="O526" s="110">
        <f t="shared" si="5"/>
        <v>0.4316078162</v>
      </c>
      <c r="P526" s="109" t="str">
        <f t="shared" si="6"/>
        <v>#DIV/0!</v>
      </c>
      <c r="Q526" s="111" t="str">
        <f t="shared" si="7"/>
        <v>#DIV/0!</v>
      </c>
      <c r="R526" s="122">
        <f t="shared" si="321"/>
        <v>-62.95</v>
      </c>
      <c r="S526" s="113" t="str">
        <f t="shared" si="9"/>
        <v>#DIV/0!</v>
      </c>
      <c r="T526" s="114"/>
      <c r="U526" s="114"/>
      <c r="V526" s="114"/>
      <c r="W526" s="114"/>
      <c r="X526" s="115"/>
      <c r="Y526" s="98"/>
      <c r="Z526" s="98"/>
    </row>
    <row r="527" hidden="1" outlineLevel="1">
      <c r="A527" s="293"/>
      <c r="B527" s="116"/>
      <c r="C527" s="294" t="s">
        <v>74</v>
      </c>
      <c r="D527" s="299"/>
      <c r="E527" s="296"/>
      <c r="F527" s="296"/>
      <c r="G527" s="104" t="str">
        <f t="shared" si="315"/>
        <v>#DIV/0!</v>
      </c>
      <c r="H527" s="105" t="str">
        <f t="shared" si="316"/>
        <v>#DIV/0!</v>
      </c>
      <c r="I527" s="106" t="str">
        <f t="shared" si="317"/>
        <v>#DIV/0!</v>
      </c>
      <c r="J527" s="300">
        <v>0.0</v>
      </c>
      <c r="K527" s="278">
        <v>0.0</v>
      </c>
      <c r="L527" s="296"/>
      <c r="M527" s="300">
        <v>0.0</v>
      </c>
      <c r="N527" s="109" t="str">
        <f t="shared" si="322"/>
        <v>#DIV/0!</v>
      </c>
      <c r="O527" s="110" t="str">
        <f t="shared" si="5"/>
        <v>#DIV/0!</v>
      </c>
      <c r="P527" s="109" t="str">
        <f t="shared" si="6"/>
        <v>#DIV/0!</v>
      </c>
      <c r="Q527" s="111" t="str">
        <f t="shared" si="7"/>
        <v>#DIV/0!</v>
      </c>
      <c r="R527" s="122">
        <f t="shared" si="321"/>
        <v>0</v>
      </c>
      <c r="S527" s="113" t="str">
        <f t="shared" si="9"/>
        <v>#DIV/0!</v>
      </c>
      <c r="T527" s="114"/>
      <c r="U527" s="114"/>
      <c r="V527" s="114"/>
      <c r="W527" s="114"/>
      <c r="X527" s="115"/>
      <c r="Y527" s="98"/>
      <c r="Z527" s="98"/>
    </row>
    <row r="528" hidden="1" outlineLevel="1">
      <c r="A528" s="293"/>
      <c r="B528" s="116"/>
      <c r="C528" s="294" t="s">
        <v>75</v>
      </c>
      <c r="D528" s="301"/>
      <c r="E528" s="296"/>
      <c r="F528" s="296"/>
      <c r="G528" s="104" t="str">
        <f t="shared" si="315"/>
        <v>#DIV/0!</v>
      </c>
      <c r="H528" s="105" t="str">
        <f t="shared" si="316"/>
        <v>#DIV/0!</v>
      </c>
      <c r="I528" s="106" t="str">
        <f t="shared" si="317"/>
        <v>#DIV/0!</v>
      </c>
      <c r="J528" s="302">
        <v>139.37</v>
      </c>
      <c r="K528" s="278">
        <v>15979.0</v>
      </c>
      <c r="L528" s="296"/>
      <c r="M528" s="303">
        <v>0.0</v>
      </c>
      <c r="N528" s="109" t="str">
        <f t="shared" si="322"/>
        <v>#DIV/0!</v>
      </c>
      <c r="O528" s="110">
        <f t="shared" si="5"/>
        <v>0</v>
      </c>
      <c r="P528" s="109" t="str">
        <f t="shared" si="6"/>
        <v>#DIV/0!</v>
      </c>
      <c r="Q528" s="111" t="str">
        <f t="shared" si="7"/>
        <v>#DIV/0!</v>
      </c>
      <c r="R528" s="304">
        <f t="shared" si="321"/>
        <v>0</v>
      </c>
      <c r="S528" s="113" t="str">
        <f t="shared" si="9"/>
        <v>#DIV/0!</v>
      </c>
      <c r="T528" s="114"/>
      <c r="U528" s="114"/>
      <c r="V528" s="114"/>
      <c r="W528" s="114"/>
      <c r="X528" s="115"/>
      <c r="Y528" s="98"/>
      <c r="Z528" s="98"/>
    </row>
    <row r="529" hidden="1" outlineLevel="1">
      <c r="A529" s="293"/>
      <c r="B529" s="116"/>
      <c r="C529" s="294" t="s">
        <v>76</v>
      </c>
      <c r="D529" s="298"/>
      <c r="E529" s="296"/>
      <c r="F529" s="296"/>
      <c r="G529" s="104" t="str">
        <f t="shared" si="315"/>
        <v>#DIV/0!</v>
      </c>
      <c r="H529" s="105" t="str">
        <f t="shared" si="316"/>
        <v>#DIV/0!</v>
      </c>
      <c r="I529" s="106" t="str">
        <f t="shared" si="317"/>
        <v>#DIV/0!</v>
      </c>
      <c r="J529" s="120">
        <v>177.76</v>
      </c>
      <c r="K529" s="278">
        <v>8140.0</v>
      </c>
      <c r="L529" s="296"/>
      <c r="M529" s="121">
        <v>1067.84</v>
      </c>
      <c r="N529" s="109">
        <f t="shared" si="322"/>
        <v>0.1664668864</v>
      </c>
      <c r="O529" s="110">
        <f t="shared" si="5"/>
        <v>6.00720072</v>
      </c>
      <c r="P529" s="109" t="str">
        <f t="shared" si="6"/>
        <v>#DIV/0!</v>
      </c>
      <c r="Q529" s="111" t="str">
        <f t="shared" si="7"/>
        <v>#DIV/0!</v>
      </c>
      <c r="R529" s="122">
        <f t="shared" si="321"/>
        <v>-1067.84</v>
      </c>
      <c r="S529" s="113" t="str">
        <f t="shared" si="9"/>
        <v>#DIV/0!</v>
      </c>
      <c r="T529" s="114"/>
      <c r="U529" s="114"/>
      <c r="V529" s="114"/>
      <c r="W529" s="114"/>
      <c r="X529" s="115"/>
      <c r="Y529" s="98"/>
      <c r="Z529" s="98"/>
    </row>
    <row r="530" hidden="1" outlineLevel="1">
      <c r="A530" s="293"/>
      <c r="B530" s="99" t="s">
        <v>37</v>
      </c>
      <c r="C530" s="294" t="s">
        <v>77</v>
      </c>
      <c r="D530" s="305"/>
      <c r="E530" s="296"/>
      <c r="F530" s="296"/>
      <c r="G530" s="104" t="str">
        <f t="shared" si="315"/>
        <v>#DIV/0!</v>
      </c>
      <c r="H530" s="105" t="str">
        <f t="shared" si="316"/>
        <v>#DIV/0!</v>
      </c>
      <c r="I530" s="106" t="str">
        <f t="shared" si="317"/>
        <v>#DIV/0!</v>
      </c>
      <c r="J530" s="123">
        <v>202.99</v>
      </c>
      <c r="K530" s="278">
        <v>6454.0</v>
      </c>
      <c r="L530" s="296"/>
      <c r="M530" s="124">
        <v>979.95</v>
      </c>
      <c r="N530" s="109">
        <f t="shared" si="322"/>
        <v>0.2071432216</v>
      </c>
      <c r="O530" s="110">
        <f t="shared" si="5"/>
        <v>4.827577713</v>
      </c>
      <c r="P530" s="109" t="str">
        <f t="shared" si="6"/>
        <v>#DIV/0!</v>
      </c>
      <c r="Q530" s="111" t="str">
        <f t="shared" si="7"/>
        <v>#DIV/0!</v>
      </c>
      <c r="R530" s="125">
        <f t="shared" si="321"/>
        <v>-979.95</v>
      </c>
      <c r="S530" s="113" t="str">
        <f t="shared" si="9"/>
        <v>#DIV/0!</v>
      </c>
      <c r="T530" s="114"/>
      <c r="U530" s="114"/>
      <c r="V530" s="114"/>
      <c r="W530" s="114"/>
      <c r="X530" s="115"/>
      <c r="Y530" s="98"/>
      <c r="Z530" s="98"/>
    </row>
    <row r="531" hidden="1" outlineLevel="1">
      <c r="A531" s="293"/>
      <c r="B531" s="116"/>
      <c r="C531" s="294" t="s">
        <v>78</v>
      </c>
      <c r="D531" s="306"/>
      <c r="E531" s="296"/>
      <c r="F531" s="296"/>
      <c r="G531" s="104" t="str">
        <f t="shared" si="315"/>
        <v>#DIV/0!</v>
      </c>
      <c r="H531" s="105" t="str">
        <f t="shared" si="316"/>
        <v>#DIV/0!</v>
      </c>
      <c r="I531" s="106" t="str">
        <f t="shared" si="317"/>
        <v>#DIV/0!</v>
      </c>
      <c r="J531" s="126">
        <v>885.48</v>
      </c>
      <c r="K531" s="278">
        <v>63672.0</v>
      </c>
      <c r="L531" s="296"/>
      <c r="M531" s="127">
        <v>3766.16</v>
      </c>
      <c r="N531" s="109">
        <f t="shared" si="322"/>
        <v>0.2351148119</v>
      </c>
      <c r="O531" s="110">
        <f t="shared" si="5"/>
        <v>4.25324118</v>
      </c>
      <c r="P531" s="109" t="str">
        <f t="shared" si="6"/>
        <v>#DIV/0!</v>
      </c>
      <c r="Q531" s="111" t="str">
        <f t="shared" si="7"/>
        <v>#DIV/0!</v>
      </c>
      <c r="R531" s="128">
        <f t="shared" si="321"/>
        <v>-3766.16</v>
      </c>
      <c r="S531" s="113" t="str">
        <f t="shared" si="9"/>
        <v>#DIV/0!</v>
      </c>
      <c r="T531" s="114"/>
      <c r="U531" s="114"/>
      <c r="V531" s="114"/>
      <c r="W531" s="114"/>
      <c r="X531" s="115"/>
      <c r="Y531" s="98"/>
      <c r="Z531" s="98"/>
    </row>
    <row r="532" hidden="1" outlineLevel="1">
      <c r="A532" s="293"/>
      <c r="B532" s="116"/>
      <c r="C532" s="294" t="s">
        <v>79</v>
      </c>
      <c r="D532" s="307"/>
      <c r="E532" s="296"/>
      <c r="F532" s="296"/>
      <c r="G532" s="104" t="str">
        <f t="shared" si="315"/>
        <v>#DIV/0!</v>
      </c>
      <c r="H532" s="105" t="str">
        <f t="shared" si="316"/>
        <v>#DIV/0!</v>
      </c>
      <c r="I532" s="106" t="str">
        <f t="shared" si="317"/>
        <v>#DIV/0!</v>
      </c>
      <c r="J532" s="129">
        <v>199.53</v>
      </c>
      <c r="K532" s="278">
        <v>31283.0</v>
      </c>
      <c r="L532" s="296"/>
      <c r="M532" s="130">
        <v>352.11</v>
      </c>
      <c r="N532" s="109">
        <f t="shared" si="322"/>
        <v>0.5666695067</v>
      </c>
      <c r="O532" s="110">
        <f t="shared" si="5"/>
        <v>1.764697038</v>
      </c>
      <c r="P532" s="109" t="str">
        <f t="shared" si="6"/>
        <v>#DIV/0!</v>
      </c>
      <c r="Q532" s="111" t="str">
        <f t="shared" si="7"/>
        <v>#DIV/0!</v>
      </c>
      <c r="R532" s="131">
        <f t="shared" si="321"/>
        <v>-352.11</v>
      </c>
      <c r="S532" s="113" t="str">
        <f t="shared" si="9"/>
        <v>#DIV/0!</v>
      </c>
      <c r="T532" s="114"/>
      <c r="U532" s="114"/>
      <c r="V532" s="114"/>
      <c r="W532" s="114"/>
      <c r="X532" s="115"/>
      <c r="Y532" s="98"/>
      <c r="Z532" s="98"/>
    </row>
    <row r="533" hidden="1" outlineLevel="1">
      <c r="A533" s="293"/>
      <c r="B533" s="116"/>
      <c r="C533" s="294" t="s">
        <v>80</v>
      </c>
      <c r="D533" s="307"/>
      <c r="E533" s="296"/>
      <c r="F533" s="296"/>
      <c r="G533" s="308"/>
      <c r="H533" s="102"/>
      <c r="I533" s="309"/>
      <c r="J533" s="135">
        <v>317.02</v>
      </c>
      <c r="K533" s="278">
        <v>27295.0</v>
      </c>
      <c r="L533" s="296"/>
      <c r="M533" s="136">
        <v>2389.66</v>
      </c>
      <c r="N533" s="109">
        <f t="shared" si="322"/>
        <v>0.1326632241</v>
      </c>
      <c r="O533" s="110">
        <f t="shared" si="5"/>
        <v>7.537884045</v>
      </c>
      <c r="P533" s="109" t="str">
        <f t="shared" si="6"/>
        <v>#DIV/0!</v>
      </c>
      <c r="Q533" s="111" t="str">
        <f t="shared" si="7"/>
        <v>#DIV/0!</v>
      </c>
      <c r="R533" s="137">
        <f t="shared" si="321"/>
        <v>-2389.66</v>
      </c>
      <c r="S533" s="113" t="str">
        <f t="shared" si="9"/>
        <v>#DIV/0!</v>
      </c>
      <c r="T533" s="114"/>
      <c r="U533" s="114"/>
      <c r="V533" s="114"/>
      <c r="W533" s="114"/>
      <c r="X533" s="115"/>
      <c r="Y533" s="98"/>
      <c r="Z533" s="98"/>
    </row>
    <row r="534" hidden="1" outlineLevel="1">
      <c r="A534" s="310" t="str">
        <f t="shared" ref="A534:A535" si="323">iferror(if(B534&gt;0,month(B534)&amp;"-"&amp;year(B534),B534),)</f>
        <v>12-2025</v>
      </c>
      <c r="B534" s="99">
        <v>46011.0</v>
      </c>
      <c r="C534" s="294" t="s">
        <v>81</v>
      </c>
      <c r="D534" s="311"/>
      <c r="E534" s="296"/>
      <c r="F534" s="296"/>
      <c r="G534" s="104" t="str">
        <f t="shared" ref="G534:G545" si="325">E534/F534</f>
        <v>#DIV/0!</v>
      </c>
      <c r="H534" s="105" t="str">
        <f t="shared" ref="H534:H545" si="326">D534/E534</f>
        <v>#DIV/0!</v>
      </c>
      <c r="I534" s="106" t="str">
        <f t="shared" ref="I534:I545" si="327">H534/G534</f>
        <v>#DIV/0!</v>
      </c>
      <c r="J534" s="117">
        <v>0.0</v>
      </c>
      <c r="K534" s="278">
        <v>0.0</v>
      </c>
      <c r="L534" s="296"/>
      <c r="M534" s="118">
        <v>0.0</v>
      </c>
      <c r="N534" s="109" t="str">
        <f t="shared" si="322"/>
        <v>#DIV/0!</v>
      </c>
      <c r="O534" s="110" t="str">
        <f t="shared" si="5"/>
        <v>#DIV/0!</v>
      </c>
      <c r="P534" s="109" t="str">
        <f t="shared" si="6"/>
        <v>#DIV/0!</v>
      </c>
      <c r="Q534" s="111" t="str">
        <f t="shared" si="7"/>
        <v>#DIV/0!</v>
      </c>
      <c r="R534" s="112">
        <f t="shared" si="321"/>
        <v>0</v>
      </c>
      <c r="S534" s="113" t="str">
        <f t="shared" si="9"/>
        <v>#DIV/0!</v>
      </c>
      <c r="T534" s="114"/>
      <c r="U534" s="114"/>
      <c r="V534" s="114"/>
      <c r="W534" s="114"/>
      <c r="X534" s="115"/>
      <c r="Y534" s="98"/>
      <c r="Z534" s="98"/>
    </row>
    <row r="535" collapsed="1">
      <c r="A535" s="293" t="str">
        <f t="shared" si="323"/>
        <v/>
      </c>
      <c r="B535" s="80" t="s">
        <v>138</v>
      </c>
      <c r="C535" s="312"/>
      <c r="D535" s="151">
        <f t="shared" ref="D535:F535" si="324">SUM(D523:D534)</f>
        <v>0</v>
      </c>
      <c r="E535" s="153">
        <f t="shared" si="324"/>
        <v>0</v>
      </c>
      <c r="F535" s="153">
        <f t="shared" si="324"/>
        <v>0</v>
      </c>
      <c r="G535" s="154" t="str">
        <f t="shared" si="325"/>
        <v>#DIV/0!</v>
      </c>
      <c r="H535" s="155" t="str">
        <f t="shared" si="326"/>
        <v>#DIV/0!</v>
      </c>
      <c r="I535" s="156" t="str">
        <f t="shared" si="327"/>
        <v>#DIV/0!</v>
      </c>
      <c r="J535" s="151">
        <f t="shared" ref="J535:M535" si="328">SUM(J523:J534)</f>
        <v>5751.25</v>
      </c>
      <c r="K535" s="313">
        <f t="shared" si="328"/>
        <v>346867</v>
      </c>
      <c r="L535" s="153">
        <f t="shared" si="328"/>
        <v>0</v>
      </c>
      <c r="M535" s="157">
        <f t="shared" si="328"/>
        <v>24478.89</v>
      </c>
      <c r="N535" s="158">
        <f t="shared" si="322"/>
        <v>0.2349473363</v>
      </c>
      <c r="O535" s="159">
        <f t="shared" si="5"/>
        <v>4.256272984</v>
      </c>
      <c r="P535" s="158" t="str">
        <f t="shared" si="6"/>
        <v>#DIV/0!</v>
      </c>
      <c r="Q535" s="160" t="str">
        <f t="shared" si="7"/>
        <v>#DIV/0!</v>
      </c>
      <c r="R535" s="161">
        <f>SUM(R523:R534)</f>
        <v>-24478.89</v>
      </c>
      <c r="S535" s="162" t="str">
        <f t="shared" si="9"/>
        <v>#DIV/0!</v>
      </c>
      <c r="T535" s="164" t="str">
        <f t="shared" ref="T535:U535" si="329">IFERROR((D535-D48)/D535,)</f>
        <v/>
      </c>
      <c r="U535" s="164" t="str">
        <f t="shared" si="329"/>
        <v/>
      </c>
      <c r="V535" s="164" t="str">
        <f t="shared" ref="V535:W535" si="330">IFERROR((D535-monthly_reporting_2021!D326)/D535, )</f>
        <v/>
      </c>
      <c r="W535" s="164" t="str">
        <f t="shared" si="330"/>
        <v/>
      </c>
      <c r="X535" s="98"/>
      <c r="Y535" s="98"/>
      <c r="Z535" s="98"/>
    </row>
    <row r="536" outlineLevel="1">
      <c r="A536" s="205"/>
      <c r="B536" s="206">
        <v>46012.0</v>
      </c>
      <c r="C536" s="200" t="s">
        <v>70</v>
      </c>
      <c r="D536" s="101"/>
      <c r="E536" s="103"/>
      <c r="F536" s="103"/>
      <c r="G536" s="104" t="str">
        <f t="shared" si="325"/>
        <v>#DIV/0!</v>
      </c>
      <c r="H536" s="105" t="str">
        <f t="shared" si="326"/>
        <v>#DIV/0!</v>
      </c>
      <c r="I536" s="106" t="str">
        <f t="shared" si="327"/>
        <v>#DIV/0!</v>
      </c>
      <c r="J536" s="170">
        <v>2974.57</v>
      </c>
      <c r="K536" s="314">
        <v>115078.0</v>
      </c>
      <c r="L536" s="169"/>
      <c r="M536" s="171">
        <v>10437.51</v>
      </c>
      <c r="N536" s="216">
        <f t="shared" si="322"/>
        <v>0.2849884695</v>
      </c>
      <c r="O536" s="217">
        <f t="shared" si="5"/>
        <v>3.508913893</v>
      </c>
      <c r="P536" s="216" t="str">
        <f t="shared" si="6"/>
        <v>#DIV/0!</v>
      </c>
      <c r="Q536" s="315" t="str">
        <f t="shared" si="7"/>
        <v>#DIV/0!</v>
      </c>
      <c r="R536" s="316">
        <f t="shared" ref="R536:R547" si="331">D536-M536</f>
        <v>-10437.51</v>
      </c>
      <c r="S536" s="317" t="str">
        <f t="shared" si="9"/>
        <v>#DIV/0!</v>
      </c>
      <c r="T536" s="221"/>
      <c r="U536" s="221"/>
      <c r="V536" s="221"/>
      <c r="W536" s="221"/>
      <c r="X536" s="14"/>
    </row>
    <row r="537" outlineLevel="1">
      <c r="A537" s="205"/>
      <c r="B537" s="206"/>
      <c r="C537" s="200" t="s">
        <v>71</v>
      </c>
      <c r="D537" s="117"/>
      <c r="E537" s="103"/>
      <c r="F537" s="103"/>
      <c r="G537" s="104" t="str">
        <f t="shared" si="325"/>
        <v>#DIV/0!</v>
      </c>
      <c r="H537" s="105" t="str">
        <f t="shared" si="326"/>
        <v>#DIV/0!</v>
      </c>
      <c r="I537" s="106" t="str">
        <f t="shared" si="327"/>
        <v>#DIV/0!</v>
      </c>
      <c r="J537" s="175">
        <v>145.64</v>
      </c>
      <c r="K537" s="314">
        <v>19906.0</v>
      </c>
      <c r="L537" s="103"/>
      <c r="M537" s="176">
        <v>319.75</v>
      </c>
      <c r="N537" s="216">
        <f t="shared" si="322"/>
        <v>0.4554808444</v>
      </c>
      <c r="O537" s="217">
        <f t="shared" si="5"/>
        <v>2.19548201</v>
      </c>
      <c r="P537" s="216" t="str">
        <f t="shared" si="6"/>
        <v>#DIV/0!</v>
      </c>
      <c r="Q537" s="315" t="str">
        <f t="shared" si="7"/>
        <v>#DIV/0!</v>
      </c>
      <c r="R537" s="318">
        <f t="shared" si="331"/>
        <v>-319.75</v>
      </c>
      <c r="S537" s="317" t="str">
        <f t="shared" si="9"/>
        <v>#DIV/0!</v>
      </c>
      <c r="T537" s="221"/>
      <c r="U537" s="221"/>
      <c r="V537" s="221"/>
      <c r="W537" s="221"/>
      <c r="X537" s="14"/>
    </row>
    <row r="538" outlineLevel="1">
      <c r="A538" s="205"/>
      <c r="B538" s="206"/>
      <c r="C538" s="200" t="s">
        <v>72</v>
      </c>
      <c r="D538" s="120"/>
      <c r="E538" s="103"/>
      <c r="F538" s="103"/>
      <c r="G538" s="104" t="str">
        <f t="shared" si="325"/>
        <v>#DIV/0!</v>
      </c>
      <c r="H538" s="105" t="str">
        <f t="shared" si="326"/>
        <v>#DIV/0!</v>
      </c>
      <c r="I538" s="106" t="str">
        <f t="shared" si="327"/>
        <v>#DIV/0!</v>
      </c>
      <c r="J538" s="177">
        <v>161.15</v>
      </c>
      <c r="K538" s="314">
        <v>19653.0</v>
      </c>
      <c r="L538" s="169"/>
      <c r="M538" s="178">
        <v>993.57</v>
      </c>
      <c r="N538" s="216">
        <f>(J538/M538)</f>
        <v>0.1621929003</v>
      </c>
      <c r="O538" s="217">
        <f t="shared" si="5"/>
        <v>6.165497983</v>
      </c>
      <c r="P538" s="216" t="str">
        <f t="shared" si="6"/>
        <v>#DIV/0!</v>
      </c>
      <c r="Q538" s="315" t="str">
        <f t="shared" si="7"/>
        <v>#DIV/0!</v>
      </c>
      <c r="R538" s="319">
        <f t="shared" si="331"/>
        <v>-993.57</v>
      </c>
      <c r="S538" s="317" t="str">
        <f t="shared" si="9"/>
        <v>#DIV/0!</v>
      </c>
      <c r="T538" s="221"/>
      <c r="U538" s="221"/>
      <c r="V538" s="221"/>
      <c r="W538" s="221"/>
      <c r="X538" s="14"/>
    </row>
    <row r="539" outlineLevel="1">
      <c r="A539" s="205"/>
      <c r="B539" s="206"/>
      <c r="C539" s="200" t="s">
        <v>73</v>
      </c>
      <c r="D539" s="120"/>
      <c r="E539" s="103"/>
      <c r="F539" s="103"/>
      <c r="G539" s="104" t="str">
        <f t="shared" si="325"/>
        <v>#DIV/0!</v>
      </c>
      <c r="H539" s="105" t="str">
        <f t="shared" si="326"/>
        <v>#DIV/0!</v>
      </c>
      <c r="I539" s="106" t="str">
        <f t="shared" si="327"/>
        <v>#DIV/0!</v>
      </c>
      <c r="J539" s="177">
        <v>195.37</v>
      </c>
      <c r="K539" s="314">
        <v>28885.0</v>
      </c>
      <c r="L539" s="103"/>
      <c r="M539" s="178">
        <v>359.7</v>
      </c>
      <c r="N539" s="216">
        <f t="shared" ref="N539:N550" si="332">J539/M539</f>
        <v>0.543147067</v>
      </c>
      <c r="O539" s="217">
        <f t="shared" si="5"/>
        <v>1.841121974</v>
      </c>
      <c r="P539" s="216" t="str">
        <f t="shared" si="6"/>
        <v>#DIV/0!</v>
      </c>
      <c r="Q539" s="315" t="str">
        <f t="shared" si="7"/>
        <v>#DIV/0!</v>
      </c>
      <c r="R539" s="319">
        <f t="shared" si="331"/>
        <v>-359.7</v>
      </c>
      <c r="S539" s="317" t="str">
        <f t="shared" si="9"/>
        <v>#DIV/0!</v>
      </c>
      <c r="T539" s="221"/>
      <c r="U539" s="221"/>
      <c r="V539" s="221"/>
      <c r="W539" s="221"/>
      <c r="X539" s="14"/>
    </row>
    <row r="540" outlineLevel="1">
      <c r="A540" s="205"/>
      <c r="B540" s="206"/>
      <c r="C540" s="200" t="s">
        <v>74</v>
      </c>
      <c r="D540" s="300"/>
      <c r="E540" s="103"/>
      <c r="F540" s="103"/>
      <c r="G540" s="104" t="str">
        <f t="shared" si="325"/>
        <v>#DIV/0!</v>
      </c>
      <c r="H540" s="105" t="str">
        <f t="shared" si="326"/>
        <v>#DIV/0!</v>
      </c>
      <c r="I540" s="106" t="str">
        <f t="shared" si="327"/>
        <v>#DIV/0!</v>
      </c>
      <c r="J540" s="320">
        <v>11.15</v>
      </c>
      <c r="K540" s="314">
        <v>1607.0</v>
      </c>
      <c r="L540" s="169"/>
      <c r="M540" s="320">
        <v>0.0</v>
      </c>
      <c r="N540" s="216" t="str">
        <f t="shared" si="332"/>
        <v>#DIV/0!</v>
      </c>
      <c r="O540" s="217">
        <f t="shared" si="5"/>
        <v>0</v>
      </c>
      <c r="P540" s="216" t="str">
        <f t="shared" si="6"/>
        <v>#DIV/0!</v>
      </c>
      <c r="Q540" s="315" t="str">
        <f t="shared" si="7"/>
        <v>#DIV/0!</v>
      </c>
      <c r="R540" s="319">
        <f t="shared" si="331"/>
        <v>0</v>
      </c>
      <c r="S540" s="317" t="str">
        <f t="shared" si="9"/>
        <v>#DIV/0!</v>
      </c>
      <c r="T540" s="221"/>
      <c r="U540" s="221"/>
      <c r="V540" s="221"/>
      <c r="W540" s="221"/>
      <c r="X540" s="14"/>
    </row>
    <row r="541" outlineLevel="1">
      <c r="A541" s="205"/>
      <c r="B541" s="206"/>
      <c r="C541" s="200" t="s">
        <v>75</v>
      </c>
      <c r="D541" s="302"/>
      <c r="E541" s="103"/>
      <c r="F541" s="103"/>
      <c r="G541" s="104" t="str">
        <f t="shared" si="325"/>
        <v>#DIV/0!</v>
      </c>
      <c r="H541" s="105" t="str">
        <f t="shared" si="326"/>
        <v>#DIV/0!</v>
      </c>
      <c r="I541" s="106" t="str">
        <f t="shared" si="327"/>
        <v>#DIV/0!</v>
      </c>
      <c r="J541" s="321">
        <v>215.11</v>
      </c>
      <c r="K541" s="314">
        <v>27058.0</v>
      </c>
      <c r="L541" s="103"/>
      <c r="M541" s="322">
        <v>22.48</v>
      </c>
      <c r="N541" s="216">
        <f t="shared" si="332"/>
        <v>9.568950178</v>
      </c>
      <c r="O541" s="217">
        <f t="shared" si="5"/>
        <v>0.104504672</v>
      </c>
      <c r="P541" s="216" t="str">
        <f t="shared" si="6"/>
        <v>#DIV/0!</v>
      </c>
      <c r="Q541" s="315" t="str">
        <f t="shared" si="7"/>
        <v>#DIV/0!</v>
      </c>
      <c r="R541" s="323">
        <f t="shared" si="331"/>
        <v>-22.48</v>
      </c>
      <c r="S541" s="317" t="str">
        <f t="shared" si="9"/>
        <v>#DIV/0!</v>
      </c>
      <c r="T541" s="221"/>
      <c r="U541" s="221"/>
      <c r="V541" s="221"/>
      <c r="W541" s="221"/>
      <c r="X541" s="14"/>
    </row>
    <row r="542" outlineLevel="1">
      <c r="A542" s="205"/>
      <c r="B542" s="206"/>
      <c r="C542" s="200" t="s">
        <v>76</v>
      </c>
      <c r="D542" s="120"/>
      <c r="E542" s="103"/>
      <c r="F542" s="103"/>
      <c r="G542" s="104" t="str">
        <f t="shared" si="325"/>
        <v>#DIV/0!</v>
      </c>
      <c r="H542" s="105" t="str">
        <f t="shared" si="326"/>
        <v>#DIV/0!</v>
      </c>
      <c r="I542" s="106" t="str">
        <f t="shared" si="327"/>
        <v>#DIV/0!</v>
      </c>
      <c r="J542" s="177">
        <v>452.36</v>
      </c>
      <c r="K542" s="314">
        <v>16814.0</v>
      </c>
      <c r="L542" s="103"/>
      <c r="M542" s="178">
        <v>1418.79</v>
      </c>
      <c r="N542" s="216">
        <f t="shared" si="332"/>
        <v>0.3188350637</v>
      </c>
      <c r="O542" s="217">
        <f t="shared" si="5"/>
        <v>3.136417897</v>
      </c>
      <c r="P542" s="216" t="str">
        <f t="shared" si="6"/>
        <v>#DIV/0!</v>
      </c>
      <c r="Q542" s="315" t="str">
        <f t="shared" si="7"/>
        <v>#DIV/0!</v>
      </c>
      <c r="R542" s="319">
        <f t="shared" si="331"/>
        <v>-1418.79</v>
      </c>
      <c r="S542" s="317" t="str">
        <f t="shared" si="9"/>
        <v>#DIV/0!</v>
      </c>
      <c r="T542" s="221"/>
      <c r="U542" s="221"/>
      <c r="V542" s="221"/>
      <c r="W542" s="221"/>
      <c r="X542" s="14"/>
    </row>
    <row r="543" outlineLevel="1">
      <c r="A543" s="205"/>
      <c r="B543" s="324" t="s">
        <v>37</v>
      </c>
      <c r="C543" s="200" t="s">
        <v>77</v>
      </c>
      <c r="D543" s="123"/>
      <c r="E543" s="103"/>
      <c r="F543" s="103"/>
      <c r="G543" s="104" t="str">
        <f t="shared" si="325"/>
        <v>#DIV/0!</v>
      </c>
      <c r="H543" s="105" t="str">
        <f t="shared" si="326"/>
        <v>#DIV/0!</v>
      </c>
      <c r="I543" s="106" t="str">
        <f t="shared" si="327"/>
        <v>#DIV/0!</v>
      </c>
      <c r="J543" s="180">
        <v>147.77</v>
      </c>
      <c r="K543" s="314">
        <v>6193.0</v>
      </c>
      <c r="L543" s="103"/>
      <c r="M543" s="181">
        <v>217.13</v>
      </c>
      <c r="N543" s="216">
        <f t="shared" si="332"/>
        <v>0.6805600332</v>
      </c>
      <c r="O543" s="217">
        <f t="shared" si="5"/>
        <v>1.469378088</v>
      </c>
      <c r="P543" s="216" t="str">
        <f t="shared" si="6"/>
        <v>#DIV/0!</v>
      </c>
      <c r="Q543" s="315" t="str">
        <f t="shared" si="7"/>
        <v>#DIV/0!</v>
      </c>
      <c r="R543" s="325">
        <f t="shared" si="331"/>
        <v>-217.13</v>
      </c>
      <c r="S543" s="317" t="str">
        <f t="shared" si="9"/>
        <v>#DIV/0!</v>
      </c>
      <c r="T543" s="221"/>
      <c r="U543" s="221"/>
      <c r="V543" s="221"/>
      <c r="W543" s="221"/>
      <c r="X543" s="14"/>
    </row>
    <row r="544" outlineLevel="1">
      <c r="A544" s="205"/>
      <c r="B544" s="206"/>
      <c r="C544" s="200" t="s">
        <v>78</v>
      </c>
      <c r="D544" s="126"/>
      <c r="E544" s="103"/>
      <c r="F544" s="103"/>
      <c r="G544" s="104" t="str">
        <f t="shared" si="325"/>
        <v>#DIV/0!</v>
      </c>
      <c r="H544" s="105" t="str">
        <f t="shared" si="326"/>
        <v>#DIV/0!</v>
      </c>
      <c r="I544" s="106" t="str">
        <f t="shared" si="327"/>
        <v>#DIV/0!</v>
      </c>
      <c r="J544" s="182">
        <v>1782.88</v>
      </c>
      <c r="K544" s="314">
        <v>165168.0</v>
      </c>
      <c r="L544" s="169"/>
      <c r="M544" s="183">
        <v>1677.74</v>
      </c>
      <c r="N544" s="216">
        <f t="shared" si="332"/>
        <v>1.062667636</v>
      </c>
      <c r="O544" s="217">
        <f t="shared" si="5"/>
        <v>0.9410279996</v>
      </c>
      <c r="P544" s="216" t="str">
        <f t="shared" si="6"/>
        <v>#DIV/0!</v>
      </c>
      <c r="Q544" s="315" t="str">
        <f t="shared" si="7"/>
        <v>#DIV/0!</v>
      </c>
      <c r="R544" s="326">
        <f t="shared" si="331"/>
        <v>-1677.74</v>
      </c>
      <c r="S544" s="317" t="str">
        <f t="shared" si="9"/>
        <v>#DIV/0!</v>
      </c>
      <c r="T544" s="221"/>
      <c r="U544" s="221"/>
      <c r="V544" s="221"/>
      <c r="W544" s="221"/>
      <c r="X544" s="14"/>
    </row>
    <row r="545" outlineLevel="1">
      <c r="A545" s="205"/>
      <c r="B545" s="206"/>
      <c r="C545" s="200" t="s">
        <v>79</v>
      </c>
      <c r="D545" s="129"/>
      <c r="E545" s="103"/>
      <c r="F545" s="103"/>
      <c r="G545" s="104" t="str">
        <f t="shared" si="325"/>
        <v>#DIV/0!</v>
      </c>
      <c r="H545" s="105" t="str">
        <f t="shared" si="326"/>
        <v>#DIV/0!</v>
      </c>
      <c r="I545" s="106" t="str">
        <f t="shared" si="327"/>
        <v>#DIV/0!</v>
      </c>
      <c r="J545" s="184">
        <v>128.2</v>
      </c>
      <c r="K545" s="314">
        <v>23119.0</v>
      </c>
      <c r="L545" s="103"/>
      <c r="M545" s="185">
        <v>427.86</v>
      </c>
      <c r="N545" s="216">
        <f t="shared" si="332"/>
        <v>0.2996307203</v>
      </c>
      <c r="O545" s="217">
        <f t="shared" si="5"/>
        <v>3.337441498</v>
      </c>
      <c r="P545" s="216" t="str">
        <f t="shared" si="6"/>
        <v>#DIV/0!</v>
      </c>
      <c r="Q545" s="315" t="str">
        <f t="shared" si="7"/>
        <v>#DIV/0!</v>
      </c>
      <c r="R545" s="327">
        <f t="shared" si="331"/>
        <v>-427.86</v>
      </c>
      <c r="S545" s="317" t="str">
        <f t="shared" si="9"/>
        <v>#DIV/0!</v>
      </c>
      <c r="T545" s="221"/>
      <c r="U545" s="221"/>
      <c r="V545" s="221"/>
      <c r="W545" s="221"/>
      <c r="X545" s="14"/>
    </row>
    <row r="546" outlineLevel="1">
      <c r="A546" s="205"/>
      <c r="B546" s="206"/>
      <c r="C546" s="200" t="s">
        <v>80</v>
      </c>
      <c r="D546" s="129"/>
      <c r="E546" s="103"/>
      <c r="F546" s="103"/>
      <c r="G546" s="104"/>
      <c r="H546" s="105"/>
      <c r="I546" s="106"/>
      <c r="J546" s="188">
        <v>440.24</v>
      </c>
      <c r="K546" s="314">
        <v>41970.0</v>
      </c>
      <c r="L546" s="103"/>
      <c r="M546" s="189">
        <v>3015.09</v>
      </c>
      <c r="N546" s="216">
        <f t="shared" si="332"/>
        <v>0.1460122252</v>
      </c>
      <c r="O546" s="217">
        <f t="shared" si="5"/>
        <v>6.848741595</v>
      </c>
      <c r="P546" s="216" t="str">
        <f t="shared" si="6"/>
        <v>#DIV/0!</v>
      </c>
      <c r="Q546" s="315" t="str">
        <f t="shared" si="7"/>
        <v>#DIV/0!</v>
      </c>
      <c r="R546" s="328">
        <f t="shared" si="331"/>
        <v>-3015.09</v>
      </c>
      <c r="S546" s="317" t="str">
        <f t="shared" si="9"/>
        <v>#DIV/0!</v>
      </c>
      <c r="T546" s="221"/>
      <c r="U546" s="221"/>
      <c r="V546" s="221"/>
      <c r="W546" s="221"/>
      <c r="X546" s="14"/>
    </row>
    <row r="547" outlineLevel="1">
      <c r="A547" s="205" t="str">
        <f t="shared" ref="A547:A548" si="333">iferror(if(B547&gt;0,month(B547)&amp;"-"&amp;year(B547),B547),)</f>
        <v>12-2025</v>
      </c>
      <c r="B547" s="206">
        <v>46018.0</v>
      </c>
      <c r="C547" s="200" t="s">
        <v>81</v>
      </c>
      <c r="D547" s="329"/>
      <c r="E547" s="210"/>
      <c r="F547" s="210"/>
      <c r="G547" s="211" t="str">
        <f t="shared" ref="G547:G558" si="335">E547/F547</f>
        <v>#DIV/0!</v>
      </c>
      <c r="H547" s="212" t="str">
        <f t="shared" ref="H547:H558" si="336">D547/E547</f>
        <v>#DIV/0!</v>
      </c>
      <c r="I547" s="330" t="str">
        <f t="shared" ref="I547:I558" si="337">H547/G547</f>
        <v>#DIV/0!</v>
      </c>
      <c r="J547" s="175">
        <v>0.0</v>
      </c>
      <c r="K547" s="169">
        <v>0.0</v>
      </c>
      <c r="L547" s="169"/>
      <c r="M547" s="176">
        <v>0.0</v>
      </c>
      <c r="N547" s="216" t="str">
        <f t="shared" si="332"/>
        <v>#DIV/0!</v>
      </c>
      <c r="O547" s="217" t="str">
        <f t="shared" si="5"/>
        <v>#DIV/0!</v>
      </c>
      <c r="P547" s="216" t="str">
        <f t="shared" si="6"/>
        <v>#DIV/0!</v>
      </c>
      <c r="Q547" s="315" t="str">
        <f t="shared" si="7"/>
        <v>#DIV/0!</v>
      </c>
      <c r="R547" s="316">
        <f t="shared" si="331"/>
        <v>0</v>
      </c>
      <c r="S547" s="317" t="str">
        <f t="shared" si="9"/>
        <v>#DIV/0!</v>
      </c>
      <c r="T547" s="221"/>
      <c r="U547" s="221"/>
      <c r="V547" s="221"/>
      <c r="W547" s="221"/>
      <c r="X547" s="14"/>
    </row>
    <row r="548">
      <c r="A548" s="98" t="str">
        <f t="shared" si="333"/>
        <v/>
      </c>
      <c r="B548" s="149" t="s">
        <v>61</v>
      </c>
      <c r="C548" s="150"/>
      <c r="D548" s="151">
        <f t="shared" ref="D548:F548" si="334">SUM(D536:D547)</f>
        <v>0</v>
      </c>
      <c r="E548" s="202">
        <f t="shared" si="334"/>
        <v>0</v>
      </c>
      <c r="F548" s="202">
        <f t="shared" si="334"/>
        <v>0</v>
      </c>
      <c r="G548" s="154" t="str">
        <f t="shared" si="335"/>
        <v>#DIV/0!</v>
      </c>
      <c r="H548" s="155" t="str">
        <f t="shared" si="336"/>
        <v>#DIV/0!</v>
      </c>
      <c r="I548" s="156" t="str">
        <f t="shared" si="337"/>
        <v>#DIV/0!</v>
      </c>
      <c r="J548" s="151">
        <f t="shared" ref="J548:M548" si="338">SUM(J536:J547)</f>
        <v>6654.44</v>
      </c>
      <c r="K548" s="313">
        <f t="shared" si="338"/>
        <v>465451</v>
      </c>
      <c r="L548" s="202">
        <f t="shared" si="338"/>
        <v>0</v>
      </c>
      <c r="M548" s="157">
        <f t="shared" si="338"/>
        <v>18889.62</v>
      </c>
      <c r="N548" s="158">
        <f t="shared" si="332"/>
        <v>0.352280247</v>
      </c>
      <c r="O548" s="159">
        <f t="shared" si="5"/>
        <v>2.838649082</v>
      </c>
      <c r="P548" s="158" t="str">
        <f t="shared" si="6"/>
        <v>#DIV/0!</v>
      </c>
      <c r="Q548" s="160" t="str">
        <f t="shared" si="7"/>
        <v>#DIV/0!</v>
      </c>
      <c r="R548" s="161">
        <f>SUM(R536:R547)</f>
        <v>-18889.62</v>
      </c>
      <c r="S548" s="162" t="str">
        <f t="shared" si="9"/>
        <v>#DIV/0!</v>
      </c>
      <c r="T548" s="163" t="str">
        <f t="shared" ref="T548:U548" si="339">IFERROR((D548-D48)/D548,)</f>
        <v/>
      </c>
      <c r="U548" s="163" t="str">
        <f t="shared" si="339"/>
        <v/>
      </c>
      <c r="V548" s="163" t="str">
        <f t="shared" ref="V548:W548" si="340">IFERROR((D548-monthly_reporting_2021!D339)/D548, )</f>
        <v/>
      </c>
      <c r="W548" s="163" t="str">
        <f t="shared" si="340"/>
        <v/>
      </c>
      <c r="X548" s="98"/>
      <c r="Y548" s="98"/>
      <c r="Z548" s="98"/>
    </row>
    <row r="549" outlineLevel="1">
      <c r="A549" s="205"/>
      <c r="B549" s="206">
        <v>46019.0</v>
      </c>
      <c r="C549" s="200" t="s">
        <v>70</v>
      </c>
      <c r="D549" s="101"/>
      <c r="E549" s="103"/>
      <c r="F549" s="103"/>
      <c r="G549" s="104" t="str">
        <f t="shared" si="335"/>
        <v>#DIV/0!</v>
      </c>
      <c r="H549" s="105" t="str">
        <f t="shared" si="336"/>
        <v>#DIV/0!</v>
      </c>
      <c r="I549" s="106" t="str">
        <f t="shared" si="337"/>
        <v>#DIV/0!</v>
      </c>
      <c r="J549" s="170">
        <v>1881.73</v>
      </c>
      <c r="K549" s="314">
        <v>105735.0</v>
      </c>
      <c r="L549" s="169"/>
      <c r="M549" s="171">
        <v>7796.98</v>
      </c>
      <c r="N549" s="216">
        <f t="shared" si="332"/>
        <v>0.2413408781</v>
      </c>
      <c r="O549" s="217">
        <f t="shared" si="5"/>
        <v>4.14351687</v>
      </c>
      <c r="P549" s="216" t="str">
        <f t="shared" si="6"/>
        <v>#DIV/0!</v>
      </c>
      <c r="Q549" s="315" t="str">
        <f t="shared" si="7"/>
        <v>#DIV/0!</v>
      </c>
      <c r="R549" s="316">
        <f t="shared" ref="R549:R560" si="341">D549-M549</f>
        <v>-7796.98</v>
      </c>
      <c r="S549" s="317" t="str">
        <f t="shared" si="9"/>
        <v>#DIV/0!</v>
      </c>
      <c r="T549" s="221"/>
      <c r="U549" s="221"/>
      <c r="V549" s="221"/>
      <c r="W549" s="221"/>
      <c r="X549" s="14"/>
    </row>
    <row r="550" outlineLevel="1">
      <c r="A550" s="205"/>
      <c r="B550" s="206"/>
      <c r="C550" s="200" t="s">
        <v>71</v>
      </c>
      <c r="D550" s="117"/>
      <c r="E550" s="103"/>
      <c r="F550" s="103"/>
      <c r="G550" s="104" t="str">
        <f t="shared" si="335"/>
        <v>#DIV/0!</v>
      </c>
      <c r="H550" s="105" t="str">
        <f t="shared" si="336"/>
        <v>#DIV/0!</v>
      </c>
      <c r="I550" s="106" t="str">
        <f t="shared" si="337"/>
        <v>#DIV/0!</v>
      </c>
      <c r="J550" s="175">
        <v>121.46</v>
      </c>
      <c r="K550" s="314">
        <v>15074.0</v>
      </c>
      <c r="L550" s="103"/>
      <c r="M550" s="176">
        <v>509.6</v>
      </c>
      <c r="N550" s="216">
        <f t="shared" si="332"/>
        <v>0.2383437991</v>
      </c>
      <c r="O550" s="217">
        <f t="shared" si="5"/>
        <v>4.195619957</v>
      </c>
      <c r="P550" s="216" t="str">
        <f t="shared" si="6"/>
        <v>#DIV/0!</v>
      </c>
      <c r="Q550" s="315" t="str">
        <f t="shared" si="7"/>
        <v>#DIV/0!</v>
      </c>
      <c r="R550" s="318">
        <f t="shared" si="341"/>
        <v>-509.6</v>
      </c>
      <c r="S550" s="317" t="str">
        <f t="shared" si="9"/>
        <v>#DIV/0!</v>
      </c>
      <c r="T550" s="221"/>
      <c r="U550" s="221"/>
      <c r="V550" s="221"/>
      <c r="W550" s="221"/>
      <c r="X550" s="14"/>
    </row>
    <row r="551" outlineLevel="1">
      <c r="A551" s="205"/>
      <c r="B551" s="206"/>
      <c r="C551" s="200" t="s">
        <v>72</v>
      </c>
      <c r="D551" s="120"/>
      <c r="E551" s="103"/>
      <c r="F551" s="103"/>
      <c r="G551" s="104" t="str">
        <f t="shared" si="335"/>
        <v>#DIV/0!</v>
      </c>
      <c r="H551" s="105" t="str">
        <f t="shared" si="336"/>
        <v>#DIV/0!</v>
      </c>
      <c r="I551" s="106" t="str">
        <f t="shared" si="337"/>
        <v>#DIV/0!</v>
      </c>
      <c r="J551" s="177">
        <v>424.73</v>
      </c>
      <c r="K551" s="314">
        <v>66686.0</v>
      </c>
      <c r="L551" s="169"/>
      <c r="M551" s="178">
        <v>1592.61</v>
      </c>
      <c r="N551" s="216">
        <f>(J551/M551)</f>
        <v>0.2666880153</v>
      </c>
      <c r="O551" s="217">
        <f t="shared" si="5"/>
        <v>3.749699809</v>
      </c>
      <c r="P551" s="216" t="str">
        <f t="shared" si="6"/>
        <v>#DIV/0!</v>
      </c>
      <c r="Q551" s="315" t="str">
        <f t="shared" si="7"/>
        <v>#DIV/0!</v>
      </c>
      <c r="R551" s="319">
        <f t="shared" si="341"/>
        <v>-1592.61</v>
      </c>
      <c r="S551" s="317" t="str">
        <f t="shared" si="9"/>
        <v>#DIV/0!</v>
      </c>
      <c r="T551" s="221"/>
      <c r="U551" s="221"/>
      <c r="V551" s="221"/>
      <c r="W551" s="221"/>
      <c r="X551" s="14"/>
    </row>
    <row r="552" outlineLevel="1">
      <c r="A552" s="205"/>
      <c r="B552" s="206"/>
      <c r="C552" s="200" t="s">
        <v>73</v>
      </c>
      <c r="D552" s="120"/>
      <c r="E552" s="103"/>
      <c r="F552" s="103"/>
      <c r="G552" s="104" t="str">
        <f t="shared" si="335"/>
        <v>#DIV/0!</v>
      </c>
      <c r="H552" s="105" t="str">
        <f t="shared" si="336"/>
        <v>#DIV/0!</v>
      </c>
      <c r="I552" s="106" t="str">
        <f t="shared" si="337"/>
        <v>#DIV/0!</v>
      </c>
      <c r="J552" s="177">
        <v>78.85</v>
      </c>
      <c r="K552" s="314">
        <v>48745.0</v>
      </c>
      <c r="L552" s="103"/>
      <c r="M552" s="178">
        <v>182.85</v>
      </c>
      <c r="N552" s="216">
        <f t="shared" ref="N552:N561" si="342">J552/M552</f>
        <v>0.4312277823</v>
      </c>
      <c r="O552" s="217">
        <f t="shared" si="5"/>
        <v>2.318960051</v>
      </c>
      <c r="P552" s="216" t="str">
        <f t="shared" si="6"/>
        <v>#DIV/0!</v>
      </c>
      <c r="Q552" s="315" t="str">
        <f t="shared" si="7"/>
        <v>#DIV/0!</v>
      </c>
      <c r="R552" s="319">
        <f t="shared" si="341"/>
        <v>-182.85</v>
      </c>
      <c r="S552" s="317" t="str">
        <f t="shared" si="9"/>
        <v>#DIV/0!</v>
      </c>
      <c r="T552" s="221"/>
      <c r="U552" s="221"/>
      <c r="V552" s="221"/>
      <c r="W552" s="221"/>
      <c r="X552" s="14"/>
    </row>
    <row r="553" outlineLevel="1">
      <c r="A553" s="205"/>
      <c r="B553" s="206"/>
      <c r="C553" s="200" t="s">
        <v>74</v>
      </c>
      <c r="D553" s="300"/>
      <c r="E553" s="103"/>
      <c r="F553" s="103"/>
      <c r="G553" s="104" t="str">
        <f t="shared" si="335"/>
        <v>#DIV/0!</v>
      </c>
      <c r="H553" s="105" t="str">
        <f t="shared" si="336"/>
        <v>#DIV/0!</v>
      </c>
      <c r="I553" s="106" t="str">
        <f t="shared" si="337"/>
        <v>#DIV/0!</v>
      </c>
      <c r="J553" s="320">
        <v>228.46</v>
      </c>
      <c r="K553" s="314">
        <v>24816.0</v>
      </c>
      <c r="L553" s="169"/>
      <c r="M553" s="320">
        <v>959.68</v>
      </c>
      <c r="N553" s="216">
        <f t="shared" si="342"/>
        <v>0.2380585195</v>
      </c>
      <c r="O553" s="217">
        <f t="shared" si="5"/>
        <v>4.200647816</v>
      </c>
      <c r="P553" s="216" t="str">
        <f t="shared" si="6"/>
        <v>#DIV/0!</v>
      </c>
      <c r="Q553" s="315" t="str">
        <f t="shared" si="7"/>
        <v>#DIV/0!</v>
      </c>
      <c r="R553" s="319">
        <f t="shared" si="341"/>
        <v>-959.68</v>
      </c>
      <c r="S553" s="317" t="str">
        <f t="shared" si="9"/>
        <v>#DIV/0!</v>
      </c>
      <c r="T553" s="221"/>
      <c r="U553" s="221"/>
      <c r="V553" s="221"/>
      <c r="W553" s="221"/>
      <c r="X553" s="14"/>
    </row>
    <row r="554" outlineLevel="1">
      <c r="A554" s="205"/>
      <c r="B554" s="206"/>
      <c r="C554" s="200" t="s">
        <v>75</v>
      </c>
      <c r="D554" s="302"/>
      <c r="E554" s="103"/>
      <c r="F554" s="103"/>
      <c r="G554" s="104" t="str">
        <f t="shared" si="335"/>
        <v>#DIV/0!</v>
      </c>
      <c r="H554" s="105" t="str">
        <f t="shared" si="336"/>
        <v>#DIV/0!</v>
      </c>
      <c r="I554" s="106" t="str">
        <f t="shared" si="337"/>
        <v>#DIV/0!</v>
      </c>
      <c r="J554" s="321">
        <v>33.91</v>
      </c>
      <c r="K554" s="314">
        <v>21585.0</v>
      </c>
      <c r="L554" s="103"/>
      <c r="M554" s="322">
        <v>22.48</v>
      </c>
      <c r="N554" s="216">
        <f t="shared" si="342"/>
        <v>1.508451957</v>
      </c>
      <c r="O554" s="217">
        <f t="shared" si="5"/>
        <v>0.6629312887</v>
      </c>
      <c r="P554" s="216" t="str">
        <f t="shared" si="6"/>
        <v>#DIV/0!</v>
      </c>
      <c r="Q554" s="315" t="str">
        <f t="shared" si="7"/>
        <v>#DIV/0!</v>
      </c>
      <c r="R554" s="323">
        <f t="shared" si="341"/>
        <v>-22.48</v>
      </c>
      <c r="S554" s="317" t="str">
        <f t="shared" si="9"/>
        <v>#DIV/0!</v>
      </c>
      <c r="T554" s="221"/>
      <c r="U554" s="221"/>
      <c r="V554" s="221"/>
      <c r="W554" s="221"/>
      <c r="X554" s="14"/>
    </row>
    <row r="555" outlineLevel="1">
      <c r="A555" s="205"/>
      <c r="B555" s="206"/>
      <c r="C555" s="200" t="s">
        <v>76</v>
      </c>
      <c r="D555" s="120"/>
      <c r="E555" s="103"/>
      <c r="F555" s="103"/>
      <c r="G555" s="104" t="str">
        <f t="shared" si="335"/>
        <v>#DIV/0!</v>
      </c>
      <c r="H555" s="105" t="str">
        <f t="shared" si="336"/>
        <v>#DIV/0!</v>
      </c>
      <c r="I555" s="106" t="str">
        <f t="shared" si="337"/>
        <v>#DIV/0!</v>
      </c>
      <c r="J555" s="177">
        <v>651.49</v>
      </c>
      <c r="K555" s="314">
        <v>29812.0</v>
      </c>
      <c r="L555" s="103"/>
      <c r="M555" s="178">
        <v>3259.38</v>
      </c>
      <c r="N555" s="216">
        <f t="shared" si="342"/>
        <v>0.1998815726</v>
      </c>
      <c r="O555" s="217">
        <f t="shared" si="5"/>
        <v>5.00296244</v>
      </c>
      <c r="P555" s="216" t="str">
        <f t="shared" si="6"/>
        <v>#DIV/0!</v>
      </c>
      <c r="Q555" s="315" t="str">
        <f t="shared" si="7"/>
        <v>#DIV/0!</v>
      </c>
      <c r="R555" s="319">
        <f t="shared" si="341"/>
        <v>-3259.38</v>
      </c>
      <c r="S555" s="317" t="str">
        <f t="shared" si="9"/>
        <v>#DIV/0!</v>
      </c>
      <c r="T555" s="221"/>
      <c r="U555" s="221"/>
      <c r="V555" s="221"/>
      <c r="W555" s="221"/>
      <c r="X555" s="14"/>
    </row>
    <row r="556" outlineLevel="1">
      <c r="A556" s="205"/>
      <c r="B556" s="324" t="s">
        <v>37</v>
      </c>
      <c r="C556" s="200" t="s">
        <v>77</v>
      </c>
      <c r="D556" s="123"/>
      <c r="E556" s="103"/>
      <c r="F556" s="103"/>
      <c r="G556" s="104" t="str">
        <f t="shared" si="335"/>
        <v>#DIV/0!</v>
      </c>
      <c r="H556" s="105" t="str">
        <f t="shared" si="336"/>
        <v>#DIV/0!</v>
      </c>
      <c r="I556" s="106" t="str">
        <f t="shared" si="337"/>
        <v>#DIV/0!</v>
      </c>
      <c r="J556" s="180">
        <v>29.45</v>
      </c>
      <c r="K556" s="314">
        <v>10095.0</v>
      </c>
      <c r="L556" s="103"/>
      <c r="M556" s="181">
        <v>717.79</v>
      </c>
      <c r="N556" s="216">
        <f t="shared" si="342"/>
        <v>0.04102871313</v>
      </c>
      <c r="O556" s="217">
        <f t="shared" si="5"/>
        <v>24.37317487</v>
      </c>
      <c r="P556" s="216" t="str">
        <f t="shared" si="6"/>
        <v>#DIV/0!</v>
      </c>
      <c r="Q556" s="315" t="str">
        <f t="shared" si="7"/>
        <v>#DIV/0!</v>
      </c>
      <c r="R556" s="325">
        <f t="shared" si="341"/>
        <v>-717.79</v>
      </c>
      <c r="S556" s="317" t="str">
        <f t="shared" si="9"/>
        <v>#DIV/0!</v>
      </c>
      <c r="T556" s="221"/>
      <c r="U556" s="221"/>
      <c r="V556" s="221"/>
      <c r="W556" s="221"/>
      <c r="X556" s="14"/>
    </row>
    <row r="557" outlineLevel="1">
      <c r="A557" s="205"/>
      <c r="B557" s="206"/>
      <c r="C557" s="200" t="s">
        <v>78</v>
      </c>
      <c r="D557" s="126"/>
      <c r="E557" s="103"/>
      <c r="F557" s="103"/>
      <c r="G557" s="104" t="str">
        <f t="shared" si="335"/>
        <v>#DIV/0!</v>
      </c>
      <c r="H557" s="105" t="str">
        <f t="shared" si="336"/>
        <v>#DIV/0!</v>
      </c>
      <c r="I557" s="106" t="str">
        <f t="shared" si="337"/>
        <v>#DIV/0!</v>
      </c>
      <c r="J557" s="182">
        <v>888.27</v>
      </c>
      <c r="K557" s="314">
        <v>108458.0</v>
      </c>
      <c r="L557" s="169"/>
      <c r="M557" s="183">
        <v>662.4</v>
      </c>
      <c r="N557" s="216">
        <f t="shared" si="342"/>
        <v>1.340987319</v>
      </c>
      <c r="O557" s="217">
        <f t="shared" si="5"/>
        <v>0.745719207</v>
      </c>
      <c r="P557" s="216" t="str">
        <f t="shared" si="6"/>
        <v>#DIV/0!</v>
      </c>
      <c r="Q557" s="315" t="str">
        <f t="shared" si="7"/>
        <v>#DIV/0!</v>
      </c>
      <c r="R557" s="326">
        <f t="shared" si="341"/>
        <v>-662.4</v>
      </c>
      <c r="S557" s="317" t="str">
        <f t="shared" si="9"/>
        <v>#DIV/0!</v>
      </c>
      <c r="T557" s="221"/>
      <c r="U557" s="221"/>
      <c r="V557" s="221"/>
      <c r="W557" s="221"/>
      <c r="X557" s="14"/>
    </row>
    <row r="558" outlineLevel="1">
      <c r="A558" s="205"/>
      <c r="B558" s="206"/>
      <c r="C558" s="200" t="s">
        <v>79</v>
      </c>
      <c r="D558" s="129"/>
      <c r="E558" s="103"/>
      <c r="F558" s="103"/>
      <c r="G558" s="104" t="str">
        <f t="shared" si="335"/>
        <v>#DIV/0!</v>
      </c>
      <c r="H558" s="105" t="str">
        <f t="shared" si="336"/>
        <v>#DIV/0!</v>
      </c>
      <c r="I558" s="106" t="str">
        <f t="shared" si="337"/>
        <v>#DIV/0!</v>
      </c>
      <c r="J558" s="184">
        <v>115.71</v>
      </c>
      <c r="K558" s="314">
        <v>20775.0</v>
      </c>
      <c r="L558" s="103"/>
      <c r="M558" s="185">
        <v>404.63</v>
      </c>
      <c r="N558" s="216">
        <f t="shared" si="342"/>
        <v>0.2859649556</v>
      </c>
      <c r="O558" s="217">
        <f t="shared" si="5"/>
        <v>3.496931985</v>
      </c>
      <c r="P558" s="216" t="str">
        <f t="shared" si="6"/>
        <v>#DIV/0!</v>
      </c>
      <c r="Q558" s="315" t="str">
        <f t="shared" si="7"/>
        <v>#DIV/0!</v>
      </c>
      <c r="R558" s="327">
        <f t="shared" si="341"/>
        <v>-404.63</v>
      </c>
      <c r="S558" s="317" t="str">
        <f t="shared" si="9"/>
        <v>#DIV/0!</v>
      </c>
      <c r="T558" s="221"/>
      <c r="U558" s="221"/>
      <c r="V558" s="221"/>
      <c r="W558" s="221"/>
      <c r="X558" s="14"/>
    </row>
    <row r="559" outlineLevel="1">
      <c r="A559" s="205"/>
      <c r="B559" s="206"/>
      <c r="C559" s="200" t="s">
        <v>80</v>
      </c>
      <c r="D559" s="129"/>
      <c r="E559" s="103"/>
      <c r="F559" s="103"/>
      <c r="G559" s="104"/>
      <c r="H559" s="105"/>
      <c r="I559" s="106"/>
      <c r="J559" s="188">
        <v>425.83</v>
      </c>
      <c r="K559" s="314">
        <v>55401.0</v>
      </c>
      <c r="L559" s="103"/>
      <c r="M559" s="189">
        <v>2105.6</v>
      </c>
      <c r="N559" s="216">
        <f t="shared" si="342"/>
        <v>0.2022368921</v>
      </c>
      <c r="O559" s="217">
        <f t="shared" si="5"/>
        <v>4.94469624</v>
      </c>
      <c r="P559" s="216" t="str">
        <f t="shared" si="6"/>
        <v>#DIV/0!</v>
      </c>
      <c r="Q559" s="315" t="str">
        <f t="shared" si="7"/>
        <v>#DIV/0!</v>
      </c>
      <c r="R559" s="328">
        <f t="shared" si="341"/>
        <v>-2105.6</v>
      </c>
      <c r="S559" s="317" t="str">
        <f t="shared" si="9"/>
        <v>#DIV/0!</v>
      </c>
      <c r="T559" s="221"/>
      <c r="U559" s="221"/>
      <c r="V559" s="221"/>
      <c r="W559" s="221"/>
      <c r="X559" s="14"/>
    </row>
    <row r="560" outlineLevel="1">
      <c r="A560" s="205" t="str">
        <f t="shared" ref="A560:A561" si="343">iferror(if(B560&gt;0,month(B560)&amp;"-"&amp;year(B560),B560),)</f>
        <v>1-2026</v>
      </c>
      <c r="B560" s="206">
        <v>46025.0</v>
      </c>
      <c r="C560" s="200" t="s">
        <v>81</v>
      </c>
      <c r="D560" s="329"/>
      <c r="E560" s="210"/>
      <c r="F560" s="210"/>
      <c r="G560" s="211" t="str">
        <f t="shared" ref="G560:G561" si="345">E560/F560</f>
        <v>#DIV/0!</v>
      </c>
      <c r="H560" s="212" t="str">
        <f t="shared" ref="H560:H561" si="346">D560/E560</f>
        <v>#DIV/0!</v>
      </c>
      <c r="I560" s="330" t="str">
        <f t="shared" ref="I560:I561" si="347">H560/G560</f>
        <v>#DIV/0!</v>
      </c>
      <c r="J560" s="175">
        <v>0.0</v>
      </c>
      <c r="K560" s="169">
        <v>0.0</v>
      </c>
      <c r="L560" s="169"/>
      <c r="M560" s="176">
        <v>0.0</v>
      </c>
      <c r="N560" s="216" t="str">
        <f t="shared" si="342"/>
        <v>#DIV/0!</v>
      </c>
      <c r="O560" s="217" t="str">
        <f t="shared" si="5"/>
        <v>#DIV/0!</v>
      </c>
      <c r="P560" s="216" t="str">
        <f t="shared" si="6"/>
        <v>#DIV/0!</v>
      </c>
      <c r="Q560" s="315" t="str">
        <f t="shared" si="7"/>
        <v>#DIV/0!</v>
      </c>
      <c r="R560" s="316">
        <f t="shared" si="341"/>
        <v>0</v>
      </c>
      <c r="S560" s="317" t="str">
        <f t="shared" si="9"/>
        <v>#DIV/0!</v>
      </c>
      <c r="T560" s="221"/>
      <c r="U560" s="221"/>
      <c r="V560" s="221"/>
      <c r="W560" s="221"/>
      <c r="X560" s="14"/>
    </row>
    <row r="561">
      <c r="A561" s="98" t="str">
        <f t="shared" si="343"/>
        <v/>
      </c>
      <c r="B561" s="203" t="s">
        <v>62</v>
      </c>
      <c r="C561" s="150"/>
      <c r="D561" s="151">
        <f t="shared" ref="D561:F561" si="344">SUM(D549:D560)</f>
        <v>0</v>
      </c>
      <c r="E561" s="202">
        <f t="shared" si="344"/>
        <v>0</v>
      </c>
      <c r="F561" s="202">
        <f t="shared" si="344"/>
        <v>0</v>
      </c>
      <c r="G561" s="154" t="str">
        <f t="shared" si="345"/>
        <v>#DIV/0!</v>
      </c>
      <c r="H561" s="155" t="str">
        <f t="shared" si="346"/>
        <v>#DIV/0!</v>
      </c>
      <c r="I561" s="156" t="str">
        <f t="shared" si="347"/>
        <v>#DIV/0!</v>
      </c>
      <c r="J561" s="151">
        <f t="shared" ref="J561:M561" si="348">SUM(J549:J560)</f>
        <v>4879.89</v>
      </c>
      <c r="K561" s="313">
        <f t="shared" si="348"/>
        <v>507182</v>
      </c>
      <c r="L561" s="202">
        <f t="shared" si="348"/>
        <v>0</v>
      </c>
      <c r="M561" s="157">
        <f t="shared" si="348"/>
        <v>18214</v>
      </c>
      <c r="N561" s="158">
        <f t="shared" si="342"/>
        <v>0.2679197321</v>
      </c>
      <c r="O561" s="159">
        <f t="shared" si="5"/>
        <v>3.732461183</v>
      </c>
      <c r="P561" s="158" t="str">
        <f t="shared" si="6"/>
        <v>#DIV/0!</v>
      </c>
      <c r="Q561" s="160" t="str">
        <f t="shared" si="7"/>
        <v>#DIV/0!</v>
      </c>
      <c r="R561" s="161">
        <f>SUM(R549:R560)</f>
        <v>-18214</v>
      </c>
      <c r="S561" s="162" t="str">
        <f t="shared" si="9"/>
        <v>#DIV/0!</v>
      </c>
      <c r="T561" s="163" t="str">
        <f t="shared" ref="T561:U561" si="349">IFERROR((D561-D548)/D561,)</f>
        <v/>
      </c>
      <c r="U561" s="163" t="str">
        <f t="shared" si="349"/>
        <v/>
      </c>
      <c r="V561" s="163" t="str">
        <f t="shared" ref="V561:W561" si="350">IFERROR((D561-monthly_reporting_2021!D334)/D561, )</f>
        <v/>
      </c>
      <c r="W561" s="163" t="str">
        <f t="shared" si="350"/>
        <v/>
      </c>
      <c r="X561" s="98"/>
      <c r="Y561" s="98"/>
      <c r="Z561" s="98"/>
    </row>
  </sheetData>
  <mergeCells count="25">
    <mergeCell ref="S3:V3"/>
    <mergeCell ref="S4:U4"/>
    <mergeCell ref="S7:V7"/>
    <mergeCell ref="S8:U8"/>
    <mergeCell ref="S9:V9"/>
    <mergeCell ref="A1:B1"/>
    <mergeCell ref="A2:B2"/>
    <mergeCell ref="C2:W2"/>
    <mergeCell ref="F3:I3"/>
    <mergeCell ref="N3:Q3"/>
    <mergeCell ref="F4:H4"/>
    <mergeCell ref="F5:I5"/>
    <mergeCell ref="S5:V5"/>
    <mergeCell ref="F9:I9"/>
    <mergeCell ref="D10:I10"/>
    <mergeCell ref="L10:S10"/>
    <mergeCell ref="V10:W10"/>
    <mergeCell ref="X10:Y10"/>
    <mergeCell ref="N4:P4"/>
    <mergeCell ref="N5:Q5"/>
    <mergeCell ref="F7:I7"/>
    <mergeCell ref="N7:Q7"/>
    <mergeCell ref="F8:H8"/>
    <mergeCell ref="N8:P8"/>
    <mergeCell ref="N9:Q9"/>
  </mergeCells>
  <conditionalFormatting sqref="C5 F5:I5 K5:Q5 S5:V5 C9 K9">
    <cfRule type="cellIs" dxfId="0" priority="1" operator="greaterThanOrEqual">
      <formula>0</formula>
    </cfRule>
  </conditionalFormatting>
  <conditionalFormatting sqref="C5 F5:I5 K5:Q5 S5:V5 C9 K9">
    <cfRule type="cellIs" dxfId="1" priority="2" operator="lessThanOrEqual">
      <formula>0</formula>
    </cfRule>
  </conditionalFormatting>
  <conditionalFormatting sqref="F9:V9">
    <cfRule type="cellIs" dxfId="0" priority="3" operator="lessThanOrEqual">
      <formula>0</formula>
    </cfRule>
  </conditionalFormatting>
  <conditionalFormatting sqref="F9:V9">
    <cfRule type="cellIs" dxfId="1" priority="4" operator="greaterThanOrEqual">
      <formula>0</formula>
    </cfRule>
  </conditionalFormatting>
  <conditionalFormatting sqref="T12:Y561">
    <cfRule type="cellIs" dxfId="2" priority="5" operator="greaterThanOrEqual">
      <formula>0</formula>
    </cfRule>
  </conditionalFormatting>
  <conditionalFormatting sqref="T12:Y561">
    <cfRule type="cellIs" dxfId="3" priority="6" operator="lessThan">
      <formula>0</formula>
    </cfRule>
  </conditionalFormatting>
  <conditionalFormatting sqref="V12:W561">
    <cfRule type="cellIs" dxfId="0" priority="7" operator="greaterThanOrEqual">
      <formula>0</formula>
    </cfRule>
  </conditionalFormatting>
  <conditionalFormatting sqref="V12:W561">
    <cfRule type="cellIs" dxfId="4" priority="8" operator="lessThan">
      <formula>0</formula>
    </cfRule>
  </conditionalFormatting>
  <dataValidations>
    <dataValidation type="list" allowBlank="1" sqref="B12 B24 B36 B48 B60 B72 B84 B96 B108 B120 B132 B144 B156 B168 B180 B192 B204 B216 B228 B240 B252 B264 B276 B288 B300 B312 B324 B336 B348 B360 B372 B384 B396 B408 B420 B432 B444 B457 B470 B483 B496 B509 B522 B535 B548 B561">
      <formula1>"Previous Week,Current Week"</formula1>
    </dataValidation>
  </dataValidations>
  <hyperlinks>
    <hyperlink r:id="rId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Right="0"/>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75" outlineLevelRow="1"/>
  <cols>
    <col customWidth="1" min="1" max="1" width="10.63"/>
    <col customWidth="1" min="2" max="2" width="18.25"/>
    <col customWidth="1" min="3" max="3" width="14.13"/>
    <col customWidth="1" min="4" max="4" width="11.5"/>
    <col customWidth="1" min="5" max="11" width="10.38"/>
    <col customWidth="1" min="12" max="12" width="9.75"/>
    <col customWidth="1" min="13" max="13" width="11.13"/>
    <col customWidth="1" min="14" max="18" width="9.75"/>
    <col customWidth="1" min="19" max="19" width="10.88"/>
    <col customWidth="1" min="20" max="25" width="9.75"/>
    <col customWidth="1" min="26" max="26" width="0.38"/>
  </cols>
  <sheetData>
    <row r="1" ht="93.75" customHeight="1">
      <c r="A1" s="1" t="s">
        <v>141</v>
      </c>
      <c r="B1" s="2"/>
      <c r="C1" s="3"/>
      <c r="D1" s="4"/>
      <c r="E1" s="4"/>
      <c r="F1" s="4"/>
      <c r="G1" s="4"/>
      <c r="H1" s="4"/>
      <c r="I1" s="4"/>
      <c r="J1" s="4"/>
      <c r="K1" s="4"/>
      <c r="L1" s="5"/>
      <c r="M1" s="4"/>
      <c r="N1" s="6"/>
      <c r="O1" s="4"/>
      <c r="P1" s="4"/>
      <c r="Q1" s="4"/>
      <c r="R1" s="4"/>
      <c r="S1" s="4"/>
      <c r="T1" s="7"/>
      <c r="U1" s="7"/>
      <c r="V1" s="4"/>
      <c r="W1" s="4"/>
      <c r="X1" s="4"/>
      <c r="Y1" s="4"/>
      <c r="Z1" s="4"/>
    </row>
    <row r="2">
      <c r="A2" s="8"/>
      <c r="B2" s="9"/>
      <c r="C2" s="10" t="s">
        <v>1</v>
      </c>
      <c r="D2" s="11"/>
      <c r="E2" s="11"/>
      <c r="F2" s="11"/>
      <c r="G2" s="11"/>
      <c r="H2" s="11"/>
      <c r="I2" s="11"/>
      <c r="J2" s="11"/>
      <c r="K2" s="11"/>
      <c r="L2" s="11"/>
      <c r="M2" s="11"/>
      <c r="N2" s="11"/>
      <c r="O2" s="11"/>
      <c r="P2" s="11"/>
      <c r="Q2" s="11"/>
      <c r="R2" s="11"/>
      <c r="S2" s="11"/>
      <c r="T2" s="11"/>
      <c r="U2" s="11"/>
      <c r="V2" s="11"/>
      <c r="W2" s="9"/>
      <c r="X2" s="12" t="str">
        <f>(#REF!+#REF!+#REF!+#REF!)-(monthly_reporting_2021!D17+monthly_reporting_2021!D23+monthly_reporting_2021!D29+monthly_reporting_2021!D35)</f>
        <v>#REF!</v>
      </c>
      <c r="Y2" s="13" t="str">
        <f>((#REF!+#REF!+#REF!+#REF!)-(monthly_reporting_2021!E17+monthly_reporting_2021!E23+monthly_reporting_2021!E29+monthly_reporting_2021!E35))/(#REF!+#REF!+#REF!+#REF!)</f>
        <v>#REF!</v>
      </c>
      <c r="Z2" s="14"/>
    </row>
    <row r="3" ht="21.0" customHeight="1">
      <c r="A3" s="52"/>
      <c r="B3" s="418"/>
      <c r="C3" s="419" t="s">
        <v>2</v>
      </c>
      <c r="D3" s="420"/>
      <c r="E3" s="420"/>
      <c r="F3" s="421" t="s">
        <v>3</v>
      </c>
      <c r="G3" s="11"/>
      <c r="H3" s="11"/>
      <c r="I3" s="9"/>
      <c r="J3" s="420"/>
      <c r="K3" s="422" t="s">
        <v>4</v>
      </c>
      <c r="L3" s="11"/>
      <c r="M3" s="11"/>
      <c r="N3" s="9"/>
      <c r="O3" s="14"/>
      <c r="P3" s="14"/>
      <c r="Q3" s="14"/>
      <c r="R3" s="14"/>
      <c r="S3" s="14"/>
      <c r="T3" s="423"/>
      <c r="U3" s="423"/>
      <c r="V3" s="14"/>
      <c r="W3" s="14"/>
      <c r="X3" s="14"/>
      <c r="Y3" s="14"/>
      <c r="Z3" s="14"/>
    </row>
    <row r="4" ht="21.0" customHeight="1">
      <c r="A4" s="52"/>
      <c r="B4" s="418"/>
      <c r="C4" s="424">
        <f>VLOOKUP("Current Week",$B$11:$X$266,match("SALES",$B$11:$X$11,0),FALSE)</f>
        <v>21475.38</v>
      </c>
      <c r="D4" s="420"/>
      <c r="E4" s="420"/>
      <c r="F4" s="425">
        <f>VLOOKUP("Current Week",$B$11:$X$266,match("Units Sold",$B$11:$X$11,0),FALSE)</f>
        <v>129</v>
      </c>
      <c r="G4" s="11"/>
      <c r="H4" s="9"/>
      <c r="I4" s="14"/>
      <c r="J4" s="420"/>
      <c r="K4" s="425">
        <f>VLOOKUP("Current Week",$B$11:$X$266,match("Ordered Items",$B$11:$X$11,0),FALSE)</f>
        <v>131</v>
      </c>
      <c r="L4" s="11"/>
      <c r="M4" s="9"/>
      <c r="N4" s="14"/>
      <c r="O4" s="14"/>
      <c r="P4" s="14"/>
      <c r="Q4" s="14"/>
      <c r="R4" s="14"/>
      <c r="S4" s="14"/>
      <c r="T4" s="423"/>
      <c r="U4" s="423"/>
      <c r="V4" s="14"/>
      <c r="W4" s="14"/>
      <c r="X4" s="14"/>
      <c r="Y4" s="14"/>
      <c r="Z4" s="14"/>
    </row>
    <row r="5">
      <c r="A5" s="245"/>
      <c r="B5" s="426"/>
      <c r="C5" s="34">
        <f>(C4-(VLOOKUP("Previous Week",$B$11:$X$270,match("SALES",$B$11:$X$11,0),FALSE)))/C4</f>
        <v>-0.08699217429</v>
      </c>
      <c r="D5" s="35"/>
      <c r="E5" s="35"/>
      <c r="F5" s="37">
        <f>(F4-(VLOOKUP("Previous Week",$B$11:$X$270,match("Units Sold",$B$11:$X$11,0),FALSE)))/F4</f>
        <v>-0.1627906977</v>
      </c>
      <c r="G5" s="11"/>
      <c r="H5" s="11"/>
      <c r="I5" s="9"/>
      <c r="J5" s="35"/>
      <c r="K5" s="37">
        <f>(K4-(VLOOKUP("Previous Week",$B$11:$X$270,match("Ordered Items",$B$11:$X$11,0),FALSE)))/K4</f>
        <v>-0.2061068702</v>
      </c>
      <c r="L5" s="11"/>
      <c r="M5" s="11"/>
      <c r="N5" s="9"/>
      <c r="O5" s="427"/>
      <c r="P5" s="427"/>
      <c r="Q5" s="427"/>
      <c r="R5" s="427"/>
      <c r="S5" s="427"/>
      <c r="T5" s="427"/>
      <c r="U5" s="427"/>
      <c r="V5" s="427"/>
      <c r="W5" s="427"/>
      <c r="X5" s="427"/>
      <c r="Y5" s="427"/>
      <c r="Z5" s="427"/>
    </row>
    <row r="6" ht="6.0" customHeight="1">
      <c r="A6" s="52"/>
      <c r="B6" s="418"/>
      <c r="C6" s="419"/>
      <c r="D6" s="420"/>
      <c r="E6" s="420"/>
      <c r="F6" s="14"/>
      <c r="G6" s="14"/>
      <c r="H6" s="14"/>
      <c r="I6" s="14"/>
      <c r="J6" s="420"/>
      <c r="K6" s="14"/>
      <c r="L6" s="14"/>
      <c r="M6" s="14"/>
      <c r="N6" s="14"/>
      <c r="O6" s="14"/>
      <c r="P6" s="14"/>
      <c r="Q6" s="14"/>
      <c r="R6" s="14"/>
      <c r="S6" s="14"/>
      <c r="T6" s="423"/>
      <c r="U6" s="423"/>
      <c r="V6" s="14"/>
      <c r="W6" s="14"/>
      <c r="X6" s="14"/>
      <c r="Y6" s="14"/>
      <c r="Z6" s="14"/>
    </row>
    <row r="7" ht="17.25" customHeight="1">
      <c r="A7" s="52"/>
      <c r="B7" s="418"/>
      <c r="C7" s="419" t="s">
        <v>5</v>
      </c>
      <c r="D7" s="420"/>
      <c r="E7" s="420"/>
      <c r="F7" s="428" t="s">
        <v>6</v>
      </c>
      <c r="G7" s="11"/>
      <c r="H7" s="11"/>
      <c r="I7" s="9"/>
      <c r="J7" s="420"/>
      <c r="K7" s="428" t="s">
        <v>7</v>
      </c>
      <c r="L7" s="11"/>
      <c r="M7" s="11"/>
      <c r="N7" s="9"/>
      <c r="O7" s="14"/>
      <c r="P7" s="14"/>
      <c r="Q7" s="14"/>
      <c r="R7" s="14"/>
      <c r="S7" s="14"/>
      <c r="T7" s="423"/>
      <c r="U7" s="423"/>
      <c r="V7" s="14"/>
      <c r="W7" s="14"/>
      <c r="X7" s="14"/>
      <c r="Y7" s="14"/>
      <c r="Z7" s="14"/>
    </row>
    <row r="8" ht="21.0" customHeight="1">
      <c r="A8" s="52"/>
      <c r="B8" s="418"/>
      <c r="C8" s="424">
        <f>VLOOKUP("Current Week",$B$11:$X$266,match("AD SALES",$B$11:$X$11,0),FALSE)</f>
        <v>4541.92</v>
      </c>
      <c r="D8" s="420"/>
      <c r="E8" s="420"/>
      <c r="F8" s="429">
        <f>VLOOKUP("Current Week",$B$11:$X$266,match("SP AD SPEND",$B$11:$X$11,0),FALSE)</f>
        <v>902.48</v>
      </c>
      <c r="G8" s="11"/>
      <c r="H8" s="9"/>
      <c r="I8" s="14"/>
      <c r="J8" s="420"/>
      <c r="K8" s="430">
        <f>F8/C8</f>
        <v>0.1987001092</v>
      </c>
      <c r="L8" s="11"/>
      <c r="M8" s="9"/>
      <c r="N8" s="14"/>
      <c r="O8" s="14"/>
      <c r="P8" s="14"/>
      <c r="Q8" s="14"/>
      <c r="R8" s="14"/>
      <c r="S8" s="14"/>
      <c r="T8" s="423"/>
      <c r="U8" s="423"/>
      <c r="V8" s="14"/>
      <c r="W8" s="14"/>
      <c r="X8" s="14"/>
      <c r="Y8" s="14"/>
      <c r="Z8" s="14"/>
    </row>
    <row r="9" ht="14.25" customHeight="1">
      <c r="A9" s="236"/>
      <c r="B9" s="431"/>
      <c r="C9" s="45">
        <f>(C8-(VLOOKUP("Previous Week",$B$11:$X$270,match("AD SALES",$B$11:$X$11,0),FALSE)))/C8</f>
        <v>-0.1132560679</v>
      </c>
      <c r="D9" s="35"/>
      <c r="E9" s="35"/>
      <c r="F9" s="46">
        <f>(F8-(VLOOKUP("Previous Week",$B$11:$X$270,match("SP AD SPEND",$B$11:$X$11,0),FALSE)))/F8</f>
        <v>-0.1345182165</v>
      </c>
      <c r="I9" s="47"/>
      <c r="J9" s="35"/>
      <c r="K9" s="48">
        <f>(K8-(VLOOKUP("Previous Week",$B$11:$X$270,match("ACOS",$B$11:$X$11,0),FALSE)))/K8</f>
        <v>-0.0190990637</v>
      </c>
      <c r="N9" s="47"/>
      <c r="O9" s="432"/>
      <c r="P9" s="432"/>
      <c r="Q9" s="432"/>
      <c r="R9" s="432"/>
      <c r="S9" s="432"/>
      <c r="T9" s="433"/>
      <c r="U9" s="433"/>
      <c r="V9" s="432"/>
      <c r="W9" s="432"/>
      <c r="X9" s="432"/>
      <c r="Y9" s="432"/>
      <c r="Z9" s="434"/>
    </row>
    <row r="10" ht="15.0" customHeight="1">
      <c r="A10" s="52"/>
      <c r="B10" s="53"/>
      <c r="C10" s="54"/>
      <c r="D10" s="55" t="s">
        <v>8</v>
      </c>
      <c r="E10" s="56"/>
      <c r="F10" s="56"/>
      <c r="G10" s="56"/>
      <c r="H10" s="56"/>
      <c r="I10" s="57"/>
      <c r="J10" s="55"/>
      <c r="K10" s="58"/>
      <c r="L10" s="59" t="s">
        <v>9</v>
      </c>
      <c r="M10" s="56"/>
      <c r="N10" s="56"/>
      <c r="O10" s="56"/>
      <c r="P10" s="56"/>
      <c r="Q10" s="56"/>
      <c r="R10" s="56"/>
      <c r="S10" s="57"/>
      <c r="T10" s="60"/>
      <c r="U10" s="61"/>
      <c r="V10" s="62" t="s">
        <v>10</v>
      </c>
      <c r="W10" s="57"/>
      <c r="X10" s="63" t="s">
        <v>11</v>
      </c>
      <c r="Y10" s="57"/>
      <c r="Z10" s="14"/>
    </row>
    <row r="11" ht="37.5" customHeight="1">
      <c r="A11" s="64" t="s">
        <v>12</v>
      </c>
      <c r="B11" s="65" t="s">
        <v>13</v>
      </c>
      <c r="C11" s="66" t="s">
        <v>14</v>
      </c>
      <c r="D11" s="67" t="s">
        <v>15</v>
      </c>
      <c r="E11" s="69" t="s">
        <v>17</v>
      </c>
      <c r="F11" s="70" t="s">
        <v>18</v>
      </c>
      <c r="G11" s="69" t="s">
        <v>19</v>
      </c>
      <c r="H11" s="69" t="s">
        <v>20</v>
      </c>
      <c r="I11" s="71" t="s">
        <v>21</v>
      </c>
      <c r="J11" s="72" t="s">
        <v>22</v>
      </c>
      <c r="K11" s="69" t="s">
        <v>23</v>
      </c>
      <c r="L11" s="70" t="s">
        <v>24</v>
      </c>
      <c r="M11" s="69" t="s">
        <v>25</v>
      </c>
      <c r="N11" s="69" t="s">
        <v>7</v>
      </c>
      <c r="O11" s="69" t="s">
        <v>26</v>
      </c>
      <c r="P11" s="64" t="s">
        <v>27</v>
      </c>
      <c r="Q11" s="74" t="s">
        <v>28</v>
      </c>
      <c r="R11" s="75" t="s">
        <v>29</v>
      </c>
      <c r="S11" s="64" t="s">
        <v>30</v>
      </c>
      <c r="T11" s="76" t="s">
        <v>15</v>
      </c>
      <c r="U11" s="77" t="s">
        <v>31</v>
      </c>
      <c r="V11" s="76" t="s">
        <v>15</v>
      </c>
      <c r="W11" s="77" t="s">
        <v>31</v>
      </c>
      <c r="X11" s="69"/>
    </row>
    <row r="12">
      <c r="A12" s="79"/>
      <c r="B12" s="80"/>
      <c r="C12" s="81"/>
      <c r="D12" s="82"/>
      <c r="E12" s="84"/>
      <c r="F12" s="84"/>
      <c r="G12" s="85"/>
      <c r="H12" s="86"/>
      <c r="I12" s="87"/>
      <c r="J12" s="82"/>
      <c r="K12" s="88"/>
      <c r="L12" s="88"/>
      <c r="M12" s="89"/>
      <c r="N12" s="90"/>
      <c r="O12" s="91"/>
      <c r="P12" s="90"/>
      <c r="Q12" s="92"/>
      <c r="R12" s="93"/>
      <c r="S12" s="94"/>
      <c r="T12" s="95"/>
      <c r="U12" s="95"/>
      <c r="V12" s="96"/>
      <c r="W12" s="96"/>
      <c r="X12" s="97"/>
    </row>
    <row r="13" hidden="1" outlineLevel="1">
      <c r="A13" s="382" t="str">
        <f>iferror(if(B13&gt;0,month(B13)&amp;"-"&amp;year(B13),B13),)</f>
        <v>9-2024</v>
      </c>
      <c r="B13" s="99">
        <v>45557.0</v>
      </c>
      <c r="C13" s="200" t="s">
        <v>32</v>
      </c>
      <c r="D13" s="101"/>
      <c r="E13" s="103"/>
      <c r="F13" s="103"/>
      <c r="G13" s="104" t="str">
        <f t="shared" ref="G13:G265" si="1">E13/F13</f>
        <v>#DIV/0!</v>
      </c>
      <c r="H13" s="105" t="str">
        <f t="shared" ref="H13:H265" si="2">D13/E13</f>
        <v>#DIV/0!</v>
      </c>
      <c r="I13" s="106" t="str">
        <f t="shared" ref="I13:I265" si="3">H13/G13</f>
        <v>#DIV/0!</v>
      </c>
      <c r="J13" s="101"/>
      <c r="K13" s="278"/>
      <c r="L13" s="103"/>
      <c r="M13" s="108"/>
      <c r="N13" s="109" t="str">
        <f t="shared" ref="N13:N266" si="4">J13/M13</f>
        <v>#DIV/0!</v>
      </c>
      <c r="O13" s="110" t="str">
        <f t="shared" ref="O13:O266" si="5">M13/J13</f>
        <v>#DIV/0!</v>
      </c>
      <c r="P13" s="109" t="str">
        <f t="shared" ref="P13:P266" si="6">J13/D13</f>
        <v>#DIV/0!</v>
      </c>
      <c r="Q13" s="111" t="str">
        <f t="shared" ref="Q13:Q266" si="7">M13/D13</f>
        <v>#DIV/0!</v>
      </c>
      <c r="R13" s="112">
        <f t="shared" ref="R13:R24" si="8">D13-M13</f>
        <v>0</v>
      </c>
      <c r="S13" s="113" t="str">
        <f t="shared" ref="S13:S266" si="9">J13/L13</f>
        <v>#DIV/0!</v>
      </c>
      <c r="T13" s="114"/>
      <c r="U13" s="114"/>
      <c r="V13" s="114"/>
      <c r="W13" s="114"/>
      <c r="X13" s="115"/>
    </row>
    <row r="14" hidden="1" outlineLevel="1">
      <c r="A14" s="293"/>
      <c r="B14" s="166"/>
      <c r="C14" s="200" t="s">
        <v>33</v>
      </c>
      <c r="D14" s="117"/>
      <c r="E14" s="103"/>
      <c r="F14" s="103"/>
      <c r="G14" s="104" t="str">
        <f t="shared" si="1"/>
        <v>#DIV/0!</v>
      </c>
      <c r="H14" s="105" t="str">
        <f t="shared" si="2"/>
        <v>#DIV/0!</v>
      </c>
      <c r="I14" s="106" t="str">
        <f t="shared" si="3"/>
        <v>#DIV/0!</v>
      </c>
      <c r="J14" s="117"/>
      <c r="K14" s="278"/>
      <c r="L14" s="103"/>
      <c r="M14" s="118"/>
      <c r="N14" s="109" t="str">
        <f t="shared" si="4"/>
        <v>#DIV/0!</v>
      </c>
      <c r="O14" s="110" t="str">
        <f t="shared" si="5"/>
        <v>#DIV/0!</v>
      </c>
      <c r="P14" s="109" t="str">
        <f t="shared" si="6"/>
        <v>#DIV/0!</v>
      </c>
      <c r="Q14" s="111" t="str">
        <f t="shared" si="7"/>
        <v>#DIV/0!</v>
      </c>
      <c r="R14" s="119">
        <f t="shared" si="8"/>
        <v>0</v>
      </c>
      <c r="S14" s="113" t="str">
        <f t="shared" si="9"/>
        <v>#DIV/0!</v>
      </c>
      <c r="T14" s="114"/>
      <c r="U14" s="114"/>
      <c r="V14" s="114"/>
      <c r="W14" s="114"/>
      <c r="X14" s="115"/>
    </row>
    <row r="15" hidden="1" outlineLevel="1">
      <c r="A15" s="293"/>
      <c r="B15" s="166"/>
      <c r="C15" s="200" t="s">
        <v>85</v>
      </c>
      <c r="D15" s="117"/>
      <c r="E15" s="103"/>
      <c r="F15" s="103"/>
      <c r="G15" s="104" t="str">
        <f t="shared" si="1"/>
        <v>#DIV/0!</v>
      </c>
      <c r="H15" s="105" t="str">
        <f t="shared" si="2"/>
        <v>#DIV/0!</v>
      </c>
      <c r="I15" s="106" t="str">
        <f t="shared" si="3"/>
        <v>#DIV/0!</v>
      </c>
      <c r="J15" s="117"/>
      <c r="K15" s="278"/>
      <c r="L15" s="103"/>
      <c r="M15" s="118"/>
      <c r="N15" s="109" t="str">
        <f t="shared" si="4"/>
        <v>#DIV/0!</v>
      </c>
      <c r="O15" s="110" t="str">
        <f t="shared" si="5"/>
        <v>#DIV/0!</v>
      </c>
      <c r="P15" s="109" t="str">
        <f t="shared" si="6"/>
        <v>#DIV/0!</v>
      </c>
      <c r="Q15" s="111" t="str">
        <f t="shared" si="7"/>
        <v>#DIV/0!</v>
      </c>
      <c r="R15" s="119">
        <f t="shared" si="8"/>
        <v>0</v>
      </c>
      <c r="S15" s="113" t="str">
        <f t="shared" si="9"/>
        <v>#DIV/0!</v>
      </c>
      <c r="T15" s="114"/>
      <c r="U15" s="114"/>
      <c r="V15" s="114"/>
      <c r="W15" s="114"/>
      <c r="X15" s="115"/>
    </row>
    <row r="16" hidden="1" outlineLevel="1">
      <c r="A16" s="293"/>
      <c r="B16" s="166"/>
      <c r="C16" s="200" t="s">
        <v>36</v>
      </c>
      <c r="D16" s="117"/>
      <c r="E16" s="103"/>
      <c r="F16" s="103"/>
      <c r="G16" s="104" t="str">
        <f t="shared" si="1"/>
        <v>#DIV/0!</v>
      </c>
      <c r="H16" s="105" t="str">
        <f t="shared" si="2"/>
        <v>#DIV/0!</v>
      </c>
      <c r="I16" s="106" t="str">
        <f t="shared" si="3"/>
        <v>#DIV/0!</v>
      </c>
      <c r="J16" s="117"/>
      <c r="K16" s="278"/>
      <c r="L16" s="103"/>
      <c r="M16" s="118"/>
      <c r="N16" s="109" t="str">
        <f t="shared" si="4"/>
        <v>#DIV/0!</v>
      </c>
      <c r="O16" s="110" t="str">
        <f t="shared" si="5"/>
        <v>#DIV/0!</v>
      </c>
      <c r="P16" s="109" t="str">
        <f t="shared" si="6"/>
        <v>#DIV/0!</v>
      </c>
      <c r="Q16" s="111" t="str">
        <f t="shared" si="7"/>
        <v>#DIV/0!</v>
      </c>
      <c r="R16" s="119">
        <f t="shared" si="8"/>
        <v>0</v>
      </c>
      <c r="S16" s="113" t="str">
        <f t="shared" si="9"/>
        <v>#DIV/0!</v>
      </c>
      <c r="T16" s="114"/>
      <c r="U16" s="114"/>
      <c r="V16" s="114"/>
      <c r="W16" s="114"/>
      <c r="X16" s="115"/>
    </row>
    <row r="17" hidden="1" outlineLevel="1">
      <c r="A17" s="293"/>
      <c r="B17" s="166"/>
      <c r="C17" s="200" t="s">
        <v>38</v>
      </c>
      <c r="D17" s="117"/>
      <c r="E17" s="103"/>
      <c r="F17" s="103"/>
      <c r="G17" s="104" t="str">
        <f t="shared" si="1"/>
        <v>#DIV/0!</v>
      </c>
      <c r="H17" s="105" t="str">
        <f t="shared" si="2"/>
        <v>#DIV/0!</v>
      </c>
      <c r="I17" s="106" t="str">
        <f t="shared" si="3"/>
        <v>#DIV/0!</v>
      </c>
      <c r="J17" s="117"/>
      <c r="K17" s="278"/>
      <c r="L17" s="103"/>
      <c r="M17" s="118"/>
      <c r="N17" s="109" t="str">
        <f t="shared" si="4"/>
        <v>#DIV/0!</v>
      </c>
      <c r="O17" s="110" t="str">
        <f t="shared" si="5"/>
        <v>#DIV/0!</v>
      </c>
      <c r="P17" s="109" t="str">
        <f t="shared" si="6"/>
        <v>#DIV/0!</v>
      </c>
      <c r="Q17" s="111" t="str">
        <f t="shared" si="7"/>
        <v>#DIV/0!</v>
      </c>
      <c r="R17" s="119">
        <f t="shared" si="8"/>
        <v>0</v>
      </c>
      <c r="S17" s="113" t="str">
        <f t="shared" si="9"/>
        <v>#DIV/0!</v>
      </c>
      <c r="T17" s="114"/>
      <c r="U17" s="114"/>
      <c r="V17" s="114"/>
      <c r="W17" s="114"/>
      <c r="X17" s="115"/>
    </row>
    <row r="18" hidden="1" outlineLevel="1">
      <c r="A18" s="293"/>
      <c r="B18" s="166"/>
      <c r="C18" s="200" t="s">
        <v>39</v>
      </c>
      <c r="D18" s="117"/>
      <c r="E18" s="103"/>
      <c r="F18" s="103"/>
      <c r="G18" s="104" t="str">
        <f t="shared" si="1"/>
        <v>#DIV/0!</v>
      </c>
      <c r="H18" s="105" t="str">
        <f t="shared" si="2"/>
        <v>#DIV/0!</v>
      </c>
      <c r="I18" s="106" t="str">
        <f t="shared" si="3"/>
        <v>#DIV/0!</v>
      </c>
      <c r="J18" s="117"/>
      <c r="K18" s="278"/>
      <c r="L18" s="103"/>
      <c r="M18" s="118"/>
      <c r="N18" s="109" t="str">
        <f t="shared" si="4"/>
        <v>#DIV/0!</v>
      </c>
      <c r="O18" s="110" t="str">
        <f t="shared" si="5"/>
        <v>#DIV/0!</v>
      </c>
      <c r="P18" s="109" t="str">
        <f t="shared" si="6"/>
        <v>#DIV/0!</v>
      </c>
      <c r="Q18" s="111" t="str">
        <f t="shared" si="7"/>
        <v>#DIV/0!</v>
      </c>
      <c r="R18" s="119">
        <f t="shared" si="8"/>
        <v>0</v>
      </c>
      <c r="S18" s="113" t="str">
        <f t="shared" si="9"/>
        <v>#DIV/0!</v>
      </c>
      <c r="T18" s="114"/>
      <c r="U18" s="114"/>
      <c r="V18" s="114"/>
      <c r="W18" s="114"/>
      <c r="X18" s="115"/>
    </row>
    <row r="19" hidden="1" outlineLevel="1">
      <c r="A19" s="293"/>
      <c r="B19" s="166"/>
      <c r="C19" s="200" t="s">
        <v>40</v>
      </c>
      <c r="D19" s="117"/>
      <c r="E19" s="103"/>
      <c r="F19" s="103"/>
      <c r="G19" s="104" t="str">
        <f t="shared" si="1"/>
        <v>#DIV/0!</v>
      </c>
      <c r="H19" s="105" t="str">
        <f t="shared" si="2"/>
        <v>#DIV/0!</v>
      </c>
      <c r="I19" s="106" t="str">
        <f t="shared" si="3"/>
        <v>#DIV/0!</v>
      </c>
      <c r="J19" s="117"/>
      <c r="K19" s="278"/>
      <c r="L19" s="103"/>
      <c r="M19" s="118"/>
      <c r="N19" s="109" t="str">
        <f t="shared" si="4"/>
        <v>#DIV/0!</v>
      </c>
      <c r="O19" s="110" t="str">
        <f t="shared" si="5"/>
        <v>#DIV/0!</v>
      </c>
      <c r="P19" s="109" t="str">
        <f t="shared" si="6"/>
        <v>#DIV/0!</v>
      </c>
      <c r="Q19" s="111" t="str">
        <f t="shared" si="7"/>
        <v>#DIV/0!</v>
      </c>
      <c r="R19" s="119">
        <f t="shared" si="8"/>
        <v>0</v>
      </c>
      <c r="S19" s="113" t="str">
        <f t="shared" si="9"/>
        <v>#DIV/0!</v>
      </c>
      <c r="T19" s="114"/>
      <c r="U19" s="114"/>
      <c r="V19" s="114"/>
      <c r="W19" s="114"/>
      <c r="X19" s="115"/>
    </row>
    <row r="20" hidden="1" outlineLevel="1">
      <c r="A20" s="293"/>
      <c r="B20" s="99"/>
      <c r="C20" s="200" t="s">
        <v>41</v>
      </c>
      <c r="D20" s="132"/>
      <c r="E20" s="103"/>
      <c r="F20" s="103"/>
      <c r="G20" s="104" t="str">
        <f t="shared" si="1"/>
        <v>#DIV/0!</v>
      </c>
      <c r="H20" s="105" t="str">
        <f t="shared" si="2"/>
        <v>#DIV/0!</v>
      </c>
      <c r="I20" s="106" t="str">
        <f t="shared" si="3"/>
        <v>#DIV/0!</v>
      </c>
      <c r="J20" s="132"/>
      <c r="K20" s="278"/>
      <c r="L20" s="103"/>
      <c r="M20" s="133"/>
      <c r="N20" s="109" t="str">
        <f t="shared" si="4"/>
        <v>#DIV/0!</v>
      </c>
      <c r="O20" s="110" t="str">
        <f t="shared" si="5"/>
        <v>#DIV/0!</v>
      </c>
      <c r="P20" s="109" t="str">
        <f t="shared" si="6"/>
        <v>#DIV/0!</v>
      </c>
      <c r="Q20" s="111" t="str">
        <f t="shared" si="7"/>
        <v>#DIV/0!</v>
      </c>
      <c r="R20" s="134">
        <f t="shared" si="8"/>
        <v>0</v>
      </c>
      <c r="S20" s="113" t="str">
        <f t="shared" si="9"/>
        <v>#DIV/0!</v>
      </c>
      <c r="T20" s="114"/>
      <c r="U20" s="114"/>
      <c r="V20" s="114"/>
      <c r="W20" s="114"/>
      <c r="X20" s="115"/>
    </row>
    <row r="21" hidden="1" outlineLevel="1">
      <c r="A21" s="293"/>
      <c r="B21" s="166"/>
      <c r="C21" s="200" t="s">
        <v>43</v>
      </c>
      <c r="D21" s="135"/>
      <c r="E21" s="103"/>
      <c r="F21" s="103"/>
      <c r="G21" s="104" t="str">
        <f t="shared" si="1"/>
        <v>#DIV/0!</v>
      </c>
      <c r="H21" s="105" t="str">
        <f t="shared" si="2"/>
        <v>#DIV/0!</v>
      </c>
      <c r="I21" s="106" t="str">
        <f t="shared" si="3"/>
        <v>#DIV/0!</v>
      </c>
      <c r="J21" s="135"/>
      <c r="K21" s="278"/>
      <c r="L21" s="103"/>
      <c r="M21" s="136"/>
      <c r="N21" s="109" t="str">
        <f t="shared" si="4"/>
        <v>#DIV/0!</v>
      </c>
      <c r="O21" s="110" t="str">
        <f t="shared" si="5"/>
        <v>#DIV/0!</v>
      </c>
      <c r="P21" s="109" t="str">
        <f t="shared" si="6"/>
        <v>#DIV/0!</v>
      </c>
      <c r="Q21" s="111" t="str">
        <f t="shared" si="7"/>
        <v>#DIV/0!</v>
      </c>
      <c r="R21" s="137">
        <f t="shared" si="8"/>
        <v>0</v>
      </c>
      <c r="S21" s="113" t="str">
        <f t="shared" si="9"/>
        <v>#DIV/0!</v>
      </c>
      <c r="T21" s="114"/>
      <c r="U21" s="114"/>
      <c r="V21" s="114"/>
      <c r="W21" s="114"/>
      <c r="X21" s="115"/>
    </row>
    <row r="22" hidden="1" outlineLevel="1">
      <c r="A22" s="293"/>
      <c r="B22" s="99"/>
      <c r="C22" s="200" t="s">
        <v>44</v>
      </c>
      <c r="D22" s="138"/>
      <c r="E22" s="103"/>
      <c r="F22" s="103"/>
      <c r="G22" s="104" t="str">
        <f t="shared" si="1"/>
        <v>#DIV/0!</v>
      </c>
      <c r="H22" s="105" t="str">
        <f t="shared" si="2"/>
        <v>#DIV/0!</v>
      </c>
      <c r="I22" s="106" t="str">
        <f t="shared" si="3"/>
        <v>#DIV/0!</v>
      </c>
      <c r="J22" s="138"/>
      <c r="K22" s="278"/>
      <c r="L22" s="103"/>
      <c r="M22" s="139"/>
      <c r="N22" s="109" t="str">
        <f t="shared" si="4"/>
        <v>#DIV/0!</v>
      </c>
      <c r="O22" s="110" t="str">
        <f t="shared" si="5"/>
        <v>#DIV/0!</v>
      </c>
      <c r="P22" s="109" t="str">
        <f t="shared" si="6"/>
        <v>#DIV/0!</v>
      </c>
      <c r="Q22" s="111" t="str">
        <f t="shared" si="7"/>
        <v>#DIV/0!</v>
      </c>
      <c r="R22" s="140">
        <f t="shared" si="8"/>
        <v>0</v>
      </c>
      <c r="S22" s="113" t="str">
        <f t="shared" si="9"/>
        <v>#DIV/0!</v>
      </c>
      <c r="T22" s="114"/>
      <c r="U22" s="114"/>
      <c r="V22" s="114"/>
      <c r="W22" s="114"/>
      <c r="X22" s="115"/>
    </row>
    <row r="23" hidden="1" outlineLevel="1">
      <c r="A23" s="413"/>
      <c r="B23" s="166"/>
      <c r="C23" s="358" t="s">
        <v>45</v>
      </c>
      <c r="D23" s="101"/>
      <c r="E23" s="103"/>
      <c r="F23" s="103"/>
      <c r="G23" s="104" t="str">
        <f t="shared" si="1"/>
        <v>#DIV/0!</v>
      </c>
      <c r="H23" s="105" t="str">
        <f t="shared" si="2"/>
        <v>#DIV/0!</v>
      </c>
      <c r="I23" s="106" t="str">
        <f t="shared" si="3"/>
        <v>#DIV/0!</v>
      </c>
      <c r="J23" s="101"/>
      <c r="K23" s="278"/>
      <c r="L23" s="103"/>
      <c r="M23" s="108"/>
      <c r="N23" s="109" t="str">
        <f t="shared" si="4"/>
        <v>#DIV/0!</v>
      </c>
      <c r="O23" s="110" t="str">
        <f t="shared" si="5"/>
        <v>#DIV/0!</v>
      </c>
      <c r="P23" s="109" t="str">
        <f t="shared" si="6"/>
        <v>#DIV/0!</v>
      </c>
      <c r="Q23" s="111" t="str">
        <f t="shared" si="7"/>
        <v>#DIV/0!</v>
      </c>
      <c r="R23" s="112">
        <f t="shared" si="8"/>
        <v>0</v>
      </c>
      <c r="S23" s="113" t="str">
        <f t="shared" si="9"/>
        <v>#DIV/0!</v>
      </c>
      <c r="T23" s="143"/>
      <c r="U23" s="143"/>
      <c r="V23" s="143"/>
      <c r="W23" s="144"/>
      <c r="X23" s="145"/>
    </row>
    <row r="24" hidden="1" outlineLevel="1">
      <c r="A24" s="310" t="str">
        <f t="shared" ref="A24:A26" si="10">iferror(if(B24&gt;0,month(B24)&amp;"-"&amp;year(B24),B24),)</f>
        <v>9-2024</v>
      </c>
      <c r="B24" s="99">
        <v>45563.0</v>
      </c>
      <c r="C24" s="200" t="s">
        <v>46</v>
      </c>
      <c r="D24" s="146"/>
      <c r="E24" s="103"/>
      <c r="F24" s="103"/>
      <c r="G24" s="104" t="str">
        <f t="shared" si="1"/>
        <v>#DIV/0!</v>
      </c>
      <c r="H24" s="105" t="str">
        <f t="shared" si="2"/>
        <v>#DIV/0!</v>
      </c>
      <c r="I24" s="106" t="str">
        <f t="shared" si="3"/>
        <v>#DIV/0!</v>
      </c>
      <c r="J24" s="146"/>
      <c r="K24" s="278"/>
      <c r="L24" s="103"/>
      <c r="M24" s="147"/>
      <c r="N24" s="109" t="str">
        <f t="shared" si="4"/>
        <v>#DIV/0!</v>
      </c>
      <c r="O24" s="110" t="str">
        <f t="shared" si="5"/>
        <v>#DIV/0!</v>
      </c>
      <c r="P24" s="109" t="str">
        <f t="shared" si="6"/>
        <v>#DIV/0!</v>
      </c>
      <c r="Q24" s="111" t="str">
        <f t="shared" si="7"/>
        <v>#DIV/0!</v>
      </c>
      <c r="R24" s="112">
        <f t="shared" si="8"/>
        <v>0</v>
      </c>
      <c r="S24" s="113" t="str">
        <f t="shared" si="9"/>
        <v>#DIV/0!</v>
      </c>
      <c r="T24" s="114"/>
      <c r="U24" s="114"/>
      <c r="V24" s="114"/>
      <c r="W24" s="114"/>
      <c r="X24" s="115"/>
    </row>
    <row r="25" collapsed="1">
      <c r="A25" s="413" t="str">
        <f t="shared" si="10"/>
        <v/>
      </c>
      <c r="B25" s="362" t="s">
        <v>126</v>
      </c>
      <c r="C25" s="414"/>
      <c r="D25" s="364">
        <f t="shared" ref="D25:F25" si="11">SUM(D13:D24)</f>
        <v>0</v>
      </c>
      <c r="E25" s="366">
        <f t="shared" si="11"/>
        <v>0</v>
      </c>
      <c r="F25" s="366">
        <f t="shared" si="11"/>
        <v>0</v>
      </c>
      <c r="G25" s="367" t="str">
        <f t="shared" si="1"/>
        <v>#DIV/0!</v>
      </c>
      <c r="H25" s="365" t="str">
        <f t="shared" si="2"/>
        <v>#DIV/0!</v>
      </c>
      <c r="I25" s="368" t="str">
        <f t="shared" si="3"/>
        <v>#DIV/0!</v>
      </c>
      <c r="J25" s="369">
        <f t="shared" ref="J25:M25" si="12">SUM(J13:J24)</f>
        <v>0</v>
      </c>
      <c r="K25" s="370">
        <f t="shared" si="12"/>
        <v>0</v>
      </c>
      <c r="L25" s="366">
        <f t="shared" si="12"/>
        <v>0</v>
      </c>
      <c r="M25" s="364">
        <f t="shared" si="12"/>
        <v>0</v>
      </c>
      <c r="N25" s="371" t="str">
        <f t="shared" si="4"/>
        <v>#DIV/0!</v>
      </c>
      <c r="O25" s="372" t="str">
        <f t="shared" si="5"/>
        <v>#DIV/0!</v>
      </c>
      <c r="P25" s="371" t="str">
        <f t="shared" si="6"/>
        <v>#DIV/0!</v>
      </c>
      <c r="Q25" s="373" t="str">
        <f t="shared" si="7"/>
        <v>#DIV/0!</v>
      </c>
      <c r="R25" s="374">
        <f>SUM(R13:R24)</f>
        <v>0</v>
      </c>
      <c r="S25" s="375" t="str">
        <f t="shared" si="9"/>
        <v>#DIV/0!</v>
      </c>
      <c r="T25" s="415" t="str">
        <f t="shared" ref="T25:U25" si="13">IFERROR((D25-#REF!)/D25,)</f>
        <v/>
      </c>
      <c r="U25" s="415" t="str">
        <f t="shared" si="13"/>
        <v/>
      </c>
      <c r="V25" s="377" t="str">
        <f t="shared" ref="V25:W25" si="14">IFERROR((D25-monthly_reporting_2021!D49)/D25, )</f>
        <v/>
      </c>
      <c r="W25" s="378" t="str">
        <f t="shared" si="14"/>
        <v/>
      </c>
      <c r="X25" s="98"/>
    </row>
    <row r="26" hidden="1" outlineLevel="1">
      <c r="A26" s="310" t="str">
        <f t="shared" si="10"/>
        <v>9-2024</v>
      </c>
      <c r="B26" s="99">
        <v>45564.0</v>
      </c>
      <c r="C26" s="294" t="s">
        <v>32</v>
      </c>
      <c r="D26" s="167">
        <v>803.8</v>
      </c>
      <c r="E26" s="169">
        <v>5.0</v>
      </c>
      <c r="F26" s="169">
        <v>6.0</v>
      </c>
      <c r="G26" s="104">
        <f t="shared" si="1"/>
        <v>0.8333333333</v>
      </c>
      <c r="H26" s="105">
        <f t="shared" si="2"/>
        <v>160.76</v>
      </c>
      <c r="I26" s="106">
        <f t="shared" si="3"/>
        <v>192.912</v>
      </c>
      <c r="J26" s="101">
        <v>65.67</v>
      </c>
      <c r="K26" s="314">
        <v>13527.0</v>
      </c>
      <c r="L26" s="103">
        <v>3.0</v>
      </c>
      <c r="M26" s="108">
        <v>389.0</v>
      </c>
      <c r="N26" s="109">
        <f t="shared" si="4"/>
        <v>0.1688174807</v>
      </c>
      <c r="O26" s="110">
        <f t="shared" si="5"/>
        <v>5.92355718</v>
      </c>
      <c r="P26" s="109">
        <f t="shared" si="6"/>
        <v>0.08169942772</v>
      </c>
      <c r="Q26" s="111">
        <f t="shared" si="7"/>
        <v>0.4839512316</v>
      </c>
      <c r="R26" s="112">
        <f t="shared" ref="R26:R42" si="15">D26-M26</f>
        <v>414.8</v>
      </c>
      <c r="S26" s="113">
        <f t="shared" si="9"/>
        <v>21.89</v>
      </c>
      <c r="T26" s="114"/>
      <c r="U26" s="114"/>
      <c r="V26" s="114"/>
      <c r="W26" s="114"/>
      <c r="X26" s="115"/>
      <c r="Y26" s="98"/>
      <c r="Z26" s="98"/>
    </row>
    <row r="27" hidden="1" outlineLevel="1">
      <c r="A27" s="293"/>
      <c r="B27" s="116"/>
      <c r="C27" s="294" t="s">
        <v>33</v>
      </c>
      <c r="D27" s="175">
        <v>1080.7</v>
      </c>
      <c r="E27" s="169">
        <v>14.0</v>
      </c>
      <c r="F27" s="169">
        <v>11.0</v>
      </c>
      <c r="G27" s="104">
        <f t="shared" si="1"/>
        <v>1.272727273</v>
      </c>
      <c r="H27" s="105">
        <f t="shared" si="2"/>
        <v>77.19285714</v>
      </c>
      <c r="I27" s="106">
        <f t="shared" si="3"/>
        <v>60.65153061</v>
      </c>
      <c r="J27" s="117">
        <v>1.0</v>
      </c>
      <c r="K27" s="314">
        <v>1334.0</v>
      </c>
      <c r="L27" s="103">
        <v>0.0</v>
      </c>
      <c r="M27" s="118">
        <v>0.0</v>
      </c>
      <c r="N27" s="109" t="str">
        <f t="shared" si="4"/>
        <v>#DIV/0!</v>
      </c>
      <c r="O27" s="110">
        <f t="shared" si="5"/>
        <v>0</v>
      </c>
      <c r="P27" s="109">
        <f t="shared" si="6"/>
        <v>0.0009253261775</v>
      </c>
      <c r="Q27" s="111">
        <f t="shared" si="7"/>
        <v>0</v>
      </c>
      <c r="R27" s="119">
        <f t="shared" si="15"/>
        <v>1080.7</v>
      </c>
      <c r="S27" s="113" t="str">
        <f t="shared" si="9"/>
        <v>#DIV/0!</v>
      </c>
      <c r="T27" s="114"/>
      <c r="U27" s="114"/>
      <c r="V27" s="114"/>
      <c r="W27" s="114"/>
      <c r="X27" s="115"/>
      <c r="Y27" s="98"/>
      <c r="Z27" s="98"/>
    </row>
    <row r="28" hidden="1" outlineLevel="1">
      <c r="A28" s="293"/>
      <c r="B28" s="116"/>
      <c r="C28" s="294" t="s">
        <v>34</v>
      </c>
      <c r="D28" s="177">
        <v>0.0</v>
      </c>
      <c r="E28" s="169">
        <v>0.0</v>
      </c>
      <c r="F28" s="169">
        <v>0.0</v>
      </c>
      <c r="G28" s="104" t="str">
        <f t="shared" si="1"/>
        <v>#DIV/0!</v>
      </c>
      <c r="H28" s="105" t="str">
        <f t="shared" si="2"/>
        <v>#DIV/0!</v>
      </c>
      <c r="I28" s="106" t="str">
        <f t="shared" si="3"/>
        <v>#DIV/0!</v>
      </c>
      <c r="J28" s="120">
        <v>0.0</v>
      </c>
      <c r="K28" s="314">
        <v>0.0</v>
      </c>
      <c r="L28" s="103">
        <v>0.0</v>
      </c>
      <c r="M28" s="121">
        <v>0.0</v>
      </c>
      <c r="N28" s="109" t="str">
        <f t="shared" si="4"/>
        <v>#DIV/0!</v>
      </c>
      <c r="O28" s="110" t="str">
        <f t="shared" si="5"/>
        <v>#DIV/0!</v>
      </c>
      <c r="P28" s="109" t="str">
        <f t="shared" si="6"/>
        <v>#DIV/0!</v>
      </c>
      <c r="Q28" s="111" t="str">
        <f t="shared" si="7"/>
        <v>#DIV/0!</v>
      </c>
      <c r="R28" s="122">
        <f t="shared" si="15"/>
        <v>0</v>
      </c>
      <c r="S28" s="113" t="str">
        <f t="shared" si="9"/>
        <v>#DIV/0!</v>
      </c>
      <c r="T28" s="114"/>
      <c r="U28" s="114"/>
      <c r="V28" s="114"/>
      <c r="W28" s="114"/>
      <c r="X28" s="115"/>
      <c r="Y28" s="98"/>
      <c r="Z28" s="98"/>
    </row>
    <row r="29" hidden="1" outlineLevel="1">
      <c r="A29" s="293"/>
      <c r="B29" s="116"/>
      <c r="C29" s="294" t="s">
        <v>35</v>
      </c>
      <c r="D29" s="177">
        <v>899.25</v>
      </c>
      <c r="E29" s="169">
        <v>15.0</v>
      </c>
      <c r="F29" s="169">
        <v>10.0</v>
      </c>
      <c r="G29" s="104">
        <f t="shared" si="1"/>
        <v>1.5</v>
      </c>
      <c r="H29" s="105">
        <f t="shared" si="2"/>
        <v>59.95</v>
      </c>
      <c r="I29" s="106">
        <f t="shared" si="3"/>
        <v>39.96666667</v>
      </c>
      <c r="J29" s="120">
        <v>54.67</v>
      </c>
      <c r="K29" s="314">
        <v>4307.0</v>
      </c>
      <c r="L29" s="103">
        <v>7.0</v>
      </c>
      <c r="M29" s="121">
        <v>419.65</v>
      </c>
      <c r="N29" s="109">
        <f t="shared" si="4"/>
        <v>0.1302752294</v>
      </c>
      <c r="O29" s="110">
        <f t="shared" si="5"/>
        <v>7.676056338</v>
      </c>
      <c r="P29" s="109">
        <f t="shared" si="6"/>
        <v>0.06079510703</v>
      </c>
      <c r="Q29" s="111">
        <f t="shared" si="7"/>
        <v>0.4666666667</v>
      </c>
      <c r="R29" s="122">
        <f t="shared" si="15"/>
        <v>479.6</v>
      </c>
      <c r="S29" s="113">
        <f t="shared" si="9"/>
        <v>7.81</v>
      </c>
      <c r="T29" s="114"/>
      <c r="U29" s="114"/>
      <c r="V29" s="114"/>
      <c r="W29" s="114"/>
      <c r="X29" s="115"/>
      <c r="Y29" s="98"/>
      <c r="Z29" s="98"/>
    </row>
    <row r="30" hidden="1" outlineLevel="1">
      <c r="A30" s="293"/>
      <c r="B30" s="116"/>
      <c r="C30" s="200" t="s">
        <v>65</v>
      </c>
      <c r="D30" s="320">
        <v>0.0</v>
      </c>
      <c r="E30" s="169">
        <v>0.0</v>
      </c>
      <c r="F30" s="169">
        <v>0.0</v>
      </c>
      <c r="G30" s="104" t="str">
        <f t="shared" si="1"/>
        <v>#DIV/0!</v>
      </c>
      <c r="H30" s="105" t="str">
        <f t="shared" si="2"/>
        <v>#DIV/0!</v>
      </c>
      <c r="I30" s="106" t="str">
        <f t="shared" si="3"/>
        <v>#DIV/0!</v>
      </c>
      <c r="J30" s="300">
        <v>0.0</v>
      </c>
      <c r="K30" s="314">
        <v>0.0</v>
      </c>
      <c r="L30" s="103">
        <v>0.0</v>
      </c>
      <c r="M30" s="435">
        <v>0.0</v>
      </c>
      <c r="N30" s="109" t="str">
        <f t="shared" si="4"/>
        <v>#DIV/0!</v>
      </c>
      <c r="O30" s="110" t="str">
        <f t="shared" si="5"/>
        <v>#DIV/0!</v>
      </c>
      <c r="P30" s="109" t="str">
        <f t="shared" si="6"/>
        <v>#DIV/0!</v>
      </c>
      <c r="Q30" s="111" t="str">
        <f t="shared" si="7"/>
        <v>#DIV/0!</v>
      </c>
      <c r="R30" s="122">
        <f t="shared" si="15"/>
        <v>0</v>
      </c>
      <c r="S30" s="113" t="str">
        <f t="shared" si="9"/>
        <v>#DIV/0!</v>
      </c>
      <c r="T30" s="114"/>
      <c r="U30" s="114"/>
      <c r="V30" s="114"/>
      <c r="W30" s="114"/>
      <c r="X30" s="115"/>
      <c r="Y30" s="98"/>
      <c r="Z30" s="98"/>
    </row>
    <row r="31" hidden="1" outlineLevel="1">
      <c r="A31" s="293"/>
      <c r="B31" s="116"/>
      <c r="C31" s="294" t="s">
        <v>85</v>
      </c>
      <c r="D31" s="321">
        <v>115.02</v>
      </c>
      <c r="E31" s="169">
        <v>2.0</v>
      </c>
      <c r="F31" s="169">
        <v>2.0</v>
      </c>
      <c r="G31" s="104">
        <f t="shared" si="1"/>
        <v>1</v>
      </c>
      <c r="H31" s="105">
        <f t="shared" si="2"/>
        <v>57.51</v>
      </c>
      <c r="I31" s="106">
        <f t="shared" si="3"/>
        <v>57.51</v>
      </c>
      <c r="J31" s="302">
        <v>5.55</v>
      </c>
      <c r="K31" s="314">
        <v>0.0</v>
      </c>
      <c r="L31" s="103">
        <v>0.0</v>
      </c>
      <c r="M31" s="303">
        <v>0.0</v>
      </c>
      <c r="N31" s="109" t="str">
        <f t="shared" si="4"/>
        <v>#DIV/0!</v>
      </c>
      <c r="O31" s="110">
        <f t="shared" si="5"/>
        <v>0</v>
      </c>
      <c r="P31" s="109">
        <f t="shared" si="6"/>
        <v>0.04825247783</v>
      </c>
      <c r="Q31" s="111">
        <f t="shared" si="7"/>
        <v>0</v>
      </c>
      <c r="R31" s="304">
        <f t="shared" si="15"/>
        <v>115.02</v>
      </c>
      <c r="S31" s="113" t="str">
        <f t="shared" si="9"/>
        <v>#DIV/0!</v>
      </c>
      <c r="T31" s="114"/>
      <c r="U31" s="114"/>
      <c r="V31" s="114"/>
      <c r="W31" s="114"/>
      <c r="X31" s="115"/>
      <c r="Y31" s="98"/>
      <c r="Z31" s="98"/>
    </row>
    <row r="32" hidden="1" outlineLevel="1">
      <c r="A32" s="293"/>
      <c r="B32" s="116"/>
      <c r="C32" s="294" t="s">
        <v>36</v>
      </c>
      <c r="D32" s="177">
        <v>369.7</v>
      </c>
      <c r="E32" s="169">
        <v>6.0</v>
      </c>
      <c r="F32" s="169">
        <v>6.0</v>
      </c>
      <c r="G32" s="104">
        <f t="shared" si="1"/>
        <v>1</v>
      </c>
      <c r="H32" s="105">
        <f t="shared" si="2"/>
        <v>61.61666667</v>
      </c>
      <c r="I32" s="106">
        <f t="shared" si="3"/>
        <v>61.61666667</v>
      </c>
      <c r="J32" s="120">
        <v>6.48</v>
      </c>
      <c r="K32" s="314">
        <v>4126.0</v>
      </c>
      <c r="L32" s="103">
        <v>0.0</v>
      </c>
      <c r="M32" s="121">
        <v>0.0</v>
      </c>
      <c r="N32" s="109" t="str">
        <f t="shared" si="4"/>
        <v>#DIV/0!</v>
      </c>
      <c r="O32" s="110">
        <f t="shared" si="5"/>
        <v>0</v>
      </c>
      <c r="P32" s="109">
        <f t="shared" si="6"/>
        <v>0.01752772518</v>
      </c>
      <c r="Q32" s="111">
        <f t="shared" si="7"/>
        <v>0</v>
      </c>
      <c r="R32" s="122">
        <f t="shared" si="15"/>
        <v>369.7</v>
      </c>
      <c r="S32" s="113" t="str">
        <f t="shared" si="9"/>
        <v>#DIV/0!</v>
      </c>
      <c r="T32" s="114"/>
      <c r="U32" s="114"/>
      <c r="V32" s="114"/>
      <c r="W32" s="114"/>
      <c r="X32" s="115"/>
      <c r="Y32" s="98"/>
      <c r="Z32" s="98"/>
    </row>
    <row r="33" hidden="1" outlineLevel="1">
      <c r="A33" s="293"/>
      <c r="B33" s="99" t="s">
        <v>37</v>
      </c>
      <c r="C33" s="294" t="s">
        <v>38</v>
      </c>
      <c r="D33" s="180">
        <v>332.96</v>
      </c>
      <c r="E33" s="169">
        <v>4.0</v>
      </c>
      <c r="F33" s="169">
        <v>4.0</v>
      </c>
      <c r="G33" s="104">
        <f t="shared" si="1"/>
        <v>1</v>
      </c>
      <c r="H33" s="105">
        <f t="shared" si="2"/>
        <v>83.24</v>
      </c>
      <c r="I33" s="106">
        <f t="shared" si="3"/>
        <v>83.24</v>
      </c>
      <c r="J33" s="123">
        <v>0.85</v>
      </c>
      <c r="K33" s="314">
        <v>1816.0</v>
      </c>
      <c r="L33" s="103">
        <v>0.0</v>
      </c>
      <c r="M33" s="124">
        <v>0.0</v>
      </c>
      <c r="N33" s="109" t="str">
        <f t="shared" si="4"/>
        <v>#DIV/0!</v>
      </c>
      <c r="O33" s="110">
        <f t="shared" si="5"/>
        <v>0</v>
      </c>
      <c r="P33" s="109">
        <f t="shared" si="6"/>
        <v>0.002552859202</v>
      </c>
      <c r="Q33" s="111">
        <f t="shared" si="7"/>
        <v>0</v>
      </c>
      <c r="R33" s="125">
        <f t="shared" si="15"/>
        <v>332.96</v>
      </c>
      <c r="S33" s="113" t="str">
        <f t="shared" si="9"/>
        <v>#DIV/0!</v>
      </c>
      <c r="T33" s="114"/>
      <c r="U33" s="114"/>
      <c r="V33" s="114"/>
      <c r="W33" s="114"/>
      <c r="X33" s="115"/>
      <c r="Y33" s="98"/>
      <c r="Z33" s="98"/>
    </row>
    <row r="34" hidden="1" outlineLevel="1">
      <c r="A34" s="293"/>
      <c r="B34" s="116"/>
      <c r="C34" s="294" t="s">
        <v>39</v>
      </c>
      <c r="D34" s="182">
        <v>0.0</v>
      </c>
      <c r="E34" s="169">
        <v>0.0</v>
      </c>
      <c r="F34" s="169">
        <v>1.0</v>
      </c>
      <c r="G34" s="104">
        <f t="shared" si="1"/>
        <v>0</v>
      </c>
      <c r="H34" s="105" t="str">
        <f t="shared" si="2"/>
        <v>#DIV/0!</v>
      </c>
      <c r="I34" s="106" t="str">
        <f t="shared" si="3"/>
        <v>#DIV/0!</v>
      </c>
      <c r="J34" s="126">
        <v>54.18</v>
      </c>
      <c r="K34" s="314">
        <v>94.0</v>
      </c>
      <c r="L34" s="103">
        <v>1.0</v>
      </c>
      <c r="M34" s="127">
        <v>99.95</v>
      </c>
      <c r="N34" s="109">
        <f t="shared" si="4"/>
        <v>0.5420710355</v>
      </c>
      <c r="O34" s="110">
        <f t="shared" si="5"/>
        <v>1.84477667</v>
      </c>
      <c r="P34" s="109" t="str">
        <f t="shared" si="6"/>
        <v>#DIV/0!</v>
      </c>
      <c r="Q34" s="111" t="str">
        <f t="shared" si="7"/>
        <v>#DIV/0!</v>
      </c>
      <c r="R34" s="128">
        <f t="shared" si="15"/>
        <v>-99.95</v>
      </c>
      <c r="S34" s="113">
        <f t="shared" si="9"/>
        <v>54.18</v>
      </c>
      <c r="T34" s="114"/>
      <c r="U34" s="114"/>
      <c r="V34" s="114"/>
      <c r="W34" s="114"/>
      <c r="X34" s="115"/>
      <c r="Y34" s="98"/>
      <c r="Z34" s="98"/>
    </row>
    <row r="35" hidden="1" outlineLevel="1">
      <c r="A35" s="293"/>
      <c r="B35" s="116"/>
      <c r="C35" s="294" t="s">
        <v>40</v>
      </c>
      <c r="D35" s="184">
        <v>0.0</v>
      </c>
      <c r="E35" s="169">
        <v>0.0</v>
      </c>
      <c r="F35" s="169">
        <v>0.0</v>
      </c>
      <c r="G35" s="104" t="str">
        <f t="shared" si="1"/>
        <v>#DIV/0!</v>
      </c>
      <c r="H35" s="105" t="str">
        <f t="shared" si="2"/>
        <v>#DIV/0!</v>
      </c>
      <c r="I35" s="106" t="str">
        <f t="shared" si="3"/>
        <v>#DIV/0!</v>
      </c>
      <c r="J35" s="129">
        <v>0.0</v>
      </c>
      <c r="K35" s="314">
        <v>213470.0</v>
      </c>
      <c r="L35" s="103">
        <v>0.0</v>
      </c>
      <c r="M35" s="130">
        <v>0.0</v>
      </c>
      <c r="N35" s="109" t="str">
        <f t="shared" si="4"/>
        <v>#DIV/0!</v>
      </c>
      <c r="O35" s="110" t="str">
        <f t="shared" si="5"/>
        <v>#DIV/0!</v>
      </c>
      <c r="P35" s="109" t="str">
        <f t="shared" si="6"/>
        <v>#DIV/0!</v>
      </c>
      <c r="Q35" s="111" t="str">
        <f t="shared" si="7"/>
        <v>#DIV/0!</v>
      </c>
      <c r="R35" s="131">
        <f t="shared" si="15"/>
        <v>0</v>
      </c>
      <c r="S35" s="113" t="str">
        <f t="shared" si="9"/>
        <v>#DIV/0!</v>
      </c>
      <c r="T35" s="114"/>
      <c r="U35" s="114"/>
      <c r="V35" s="114"/>
      <c r="W35" s="114"/>
      <c r="X35" s="115"/>
      <c r="Y35" s="98"/>
      <c r="Z35" s="98"/>
    </row>
    <row r="36" hidden="1" outlineLevel="1">
      <c r="A36" s="293"/>
      <c r="B36" s="116"/>
      <c r="C36" s="294" t="s">
        <v>41</v>
      </c>
      <c r="D36" s="186">
        <v>607.55</v>
      </c>
      <c r="E36" s="169">
        <v>5.0</v>
      </c>
      <c r="F36" s="169">
        <v>5.0</v>
      </c>
      <c r="G36" s="104">
        <f t="shared" si="1"/>
        <v>1</v>
      </c>
      <c r="H36" s="105">
        <f t="shared" si="2"/>
        <v>121.51</v>
      </c>
      <c r="I36" s="106">
        <f t="shared" si="3"/>
        <v>121.51</v>
      </c>
      <c r="J36" s="132">
        <v>0.0</v>
      </c>
      <c r="K36" s="314">
        <v>0.0</v>
      </c>
      <c r="L36" s="103">
        <v>0.0</v>
      </c>
      <c r="M36" s="133">
        <v>0.0</v>
      </c>
      <c r="N36" s="109" t="str">
        <f t="shared" si="4"/>
        <v>#DIV/0!</v>
      </c>
      <c r="O36" s="110" t="str">
        <f t="shared" si="5"/>
        <v>#DIV/0!</v>
      </c>
      <c r="P36" s="109">
        <f t="shared" si="6"/>
        <v>0</v>
      </c>
      <c r="Q36" s="111">
        <f t="shared" si="7"/>
        <v>0</v>
      </c>
      <c r="R36" s="134">
        <f t="shared" si="15"/>
        <v>607.55</v>
      </c>
      <c r="S36" s="113" t="str">
        <f t="shared" si="9"/>
        <v>#DIV/0!</v>
      </c>
      <c r="T36" s="114"/>
      <c r="U36" s="114"/>
      <c r="V36" s="114"/>
      <c r="W36" s="114"/>
      <c r="X36" s="115"/>
      <c r="Y36" s="98"/>
      <c r="Z36" s="98"/>
    </row>
    <row r="37" hidden="1" outlineLevel="1">
      <c r="A37" s="293"/>
      <c r="B37" s="116"/>
      <c r="C37" s="294" t="s">
        <v>42</v>
      </c>
      <c r="D37" s="177">
        <v>0.0</v>
      </c>
      <c r="E37" s="169">
        <v>0.0</v>
      </c>
      <c r="F37" s="169">
        <v>0.0</v>
      </c>
      <c r="G37" s="104" t="str">
        <f t="shared" si="1"/>
        <v>#DIV/0!</v>
      </c>
      <c r="H37" s="105" t="str">
        <f t="shared" si="2"/>
        <v>#DIV/0!</v>
      </c>
      <c r="I37" s="106" t="str">
        <f t="shared" si="3"/>
        <v>#DIV/0!</v>
      </c>
      <c r="J37" s="120">
        <v>0.0</v>
      </c>
      <c r="K37" s="314">
        <v>8.0</v>
      </c>
      <c r="L37" s="103">
        <v>0.0</v>
      </c>
      <c r="M37" s="121">
        <v>0.0</v>
      </c>
      <c r="N37" s="109" t="str">
        <f t="shared" si="4"/>
        <v>#DIV/0!</v>
      </c>
      <c r="O37" s="110" t="str">
        <f t="shared" si="5"/>
        <v>#DIV/0!</v>
      </c>
      <c r="P37" s="109" t="str">
        <f t="shared" si="6"/>
        <v>#DIV/0!</v>
      </c>
      <c r="Q37" s="111" t="str">
        <f t="shared" si="7"/>
        <v>#DIV/0!</v>
      </c>
      <c r="R37" s="122">
        <f t="shared" si="15"/>
        <v>0</v>
      </c>
      <c r="S37" s="113" t="str">
        <f t="shared" si="9"/>
        <v>#DIV/0!</v>
      </c>
      <c r="T37" s="114"/>
      <c r="U37" s="114"/>
      <c r="V37" s="114"/>
      <c r="W37" s="114"/>
      <c r="X37" s="115"/>
      <c r="Y37" s="98"/>
      <c r="Z37" s="98"/>
    </row>
    <row r="38" hidden="1" outlineLevel="1">
      <c r="A38" s="293"/>
      <c r="B38" s="116"/>
      <c r="C38" s="294" t="s">
        <v>43</v>
      </c>
      <c r="D38" s="188">
        <v>0.0</v>
      </c>
      <c r="E38" s="169">
        <v>0.0</v>
      </c>
      <c r="F38" s="169">
        <v>0.0</v>
      </c>
      <c r="G38" s="104" t="str">
        <f t="shared" si="1"/>
        <v>#DIV/0!</v>
      </c>
      <c r="H38" s="105" t="str">
        <f t="shared" si="2"/>
        <v>#DIV/0!</v>
      </c>
      <c r="I38" s="106" t="str">
        <f t="shared" si="3"/>
        <v>#DIV/0!</v>
      </c>
      <c r="J38" s="135">
        <v>0.0</v>
      </c>
      <c r="K38" s="314">
        <v>0.0</v>
      </c>
      <c r="L38" s="103">
        <v>0.0</v>
      </c>
      <c r="M38" s="136">
        <v>0.0</v>
      </c>
      <c r="N38" s="109" t="str">
        <f t="shared" si="4"/>
        <v>#DIV/0!</v>
      </c>
      <c r="O38" s="110" t="str">
        <f t="shared" si="5"/>
        <v>#DIV/0!</v>
      </c>
      <c r="P38" s="109" t="str">
        <f t="shared" si="6"/>
        <v>#DIV/0!</v>
      </c>
      <c r="Q38" s="111" t="str">
        <f t="shared" si="7"/>
        <v>#DIV/0!</v>
      </c>
      <c r="R38" s="137">
        <f t="shared" si="15"/>
        <v>0</v>
      </c>
      <c r="S38" s="113" t="str">
        <f t="shared" si="9"/>
        <v>#DIV/0!</v>
      </c>
      <c r="T38" s="114"/>
      <c r="U38" s="114"/>
      <c r="V38" s="114"/>
      <c r="W38" s="114"/>
      <c r="X38" s="115"/>
      <c r="Y38" s="98"/>
      <c r="Z38" s="98"/>
    </row>
    <row r="39" hidden="1" outlineLevel="1">
      <c r="A39" s="293"/>
      <c r="B39" s="116"/>
      <c r="C39" s="294" t="s">
        <v>44</v>
      </c>
      <c r="D39" s="190">
        <v>20.7</v>
      </c>
      <c r="E39" s="169">
        <v>0.0</v>
      </c>
      <c r="F39" s="169">
        <v>1.0</v>
      </c>
      <c r="G39" s="104">
        <f t="shared" si="1"/>
        <v>0</v>
      </c>
      <c r="H39" s="105" t="str">
        <f t="shared" si="2"/>
        <v>#DIV/0!</v>
      </c>
      <c r="I39" s="106" t="str">
        <f t="shared" si="3"/>
        <v>#DIV/0!</v>
      </c>
      <c r="J39" s="138">
        <v>0.0</v>
      </c>
      <c r="K39" s="314">
        <v>1048.0</v>
      </c>
      <c r="L39" s="103">
        <v>0.0</v>
      </c>
      <c r="M39" s="139">
        <v>0.0</v>
      </c>
      <c r="N39" s="109" t="str">
        <f t="shared" si="4"/>
        <v>#DIV/0!</v>
      </c>
      <c r="O39" s="110" t="str">
        <f t="shared" si="5"/>
        <v>#DIV/0!</v>
      </c>
      <c r="P39" s="109">
        <f t="shared" si="6"/>
        <v>0</v>
      </c>
      <c r="Q39" s="111">
        <f t="shared" si="7"/>
        <v>0</v>
      </c>
      <c r="R39" s="140">
        <f t="shared" si="15"/>
        <v>20.7</v>
      </c>
      <c r="S39" s="113" t="str">
        <f t="shared" si="9"/>
        <v>#DIV/0!</v>
      </c>
      <c r="T39" s="114"/>
      <c r="U39" s="114"/>
      <c r="V39" s="114"/>
      <c r="W39" s="114"/>
      <c r="X39" s="115"/>
      <c r="Y39" s="98"/>
      <c r="Z39" s="98"/>
    </row>
    <row r="40" hidden="1" outlineLevel="1">
      <c r="A40" s="413"/>
      <c r="B40" s="116"/>
      <c r="C40" s="380" t="s">
        <v>45</v>
      </c>
      <c r="D40" s="167">
        <v>0.0</v>
      </c>
      <c r="E40" s="169">
        <v>0.0</v>
      </c>
      <c r="F40" s="169">
        <v>0.0</v>
      </c>
      <c r="G40" s="104" t="str">
        <f t="shared" si="1"/>
        <v>#DIV/0!</v>
      </c>
      <c r="H40" s="105" t="str">
        <f t="shared" si="2"/>
        <v>#DIV/0!</v>
      </c>
      <c r="I40" s="106" t="str">
        <f t="shared" si="3"/>
        <v>#DIV/0!</v>
      </c>
      <c r="J40" s="101">
        <v>0.0</v>
      </c>
      <c r="K40" s="314">
        <v>0.0</v>
      </c>
      <c r="L40" s="103">
        <v>0.0</v>
      </c>
      <c r="M40" s="108">
        <v>0.0</v>
      </c>
      <c r="N40" s="109" t="str">
        <f t="shared" si="4"/>
        <v>#DIV/0!</v>
      </c>
      <c r="O40" s="110" t="str">
        <f t="shared" si="5"/>
        <v>#DIV/0!</v>
      </c>
      <c r="P40" s="109" t="str">
        <f t="shared" si="6"/>
        <v>#DIV/0!</v>
      </c>
      <c r="Q40" s="111" t="str">
        <f t="shared" si="7"/>
        <v>#DIV/0!</v>
      </c>
      <c r="R40" s="112">
        <f t="shared" si="15"/>
        <v>0</v>
      </c>
      <c r="S40" s="113" t="str">
        <f t="shared" si="9"/>
        <v>#DIV/0!</v>
      </c>
      <c r="T40" s="143"/>
      <c r="U40" s="143"/>
      <c r="V40" s="143"/>
      <c r="W40" s="144"/>
      <c r="X40" s="145"/>
      <c r="Y40" s="98"/>
      <c r="Z40" s="98"/>
    </row>
    <row r="41" hidden="1" outlineLevel="1">
      <c r="A41" s="310"/>
      <c r="B41" s="99"/>
      <c r="C41" s="294" t="s">
        <v>46</v>
      </c>
      <c r="D41" s="196">
        <v>519.35</v>
      </c>
      <c r="E41" s="169">
        <v>13.0</v>
      </c>
      <c r="F41" s="169">
        <v>12.0</v>
      </c>
      <c r="G41" s="104">
        <f t="shared" si="1"/>
        <v>1.083333333</v>
      </c>
      <c r="H41" s="105">
        <f t="shared" si="2"/>
        <v>39.95</v>
      </c>
      <c r="I41" s="106">
        <f t="shared" si="3"/>
        <v>36.87692308</v>
      </c>
      <c r="J41" s="146">
        <v>19.06</v>
      </c>
      <c r="K41" s="314">
        <v>11339.0</v>
      </c>
      <c r="L41" s="103">
        <v>6.0</v>
      </c>
      <c r="M41" s="147">
        <v>199.75</v>
      </c>
      <c r="N41" s="109">
        <f t="shared" si="4"/>
        <v>0.09541927409</v>
      </c>
      <c r="O41" s="110">
        <f t="shared" si="5"/>
        <v>10.48006296</v>
      </c>
      <c r="P41" s="109">
        <f t="shared" si="6"/>
        <v>0.0366997208</v>
      </c>
      <c r="Q41" s="111">
        <f t="shared" si="7"/>
        <v>0.3846153846</v>
      </c>
      <c r="R41" s="112">
        <f t="shared" si="15"/>
        <v>319.6</v>
      </c>
      <c r="S41" s="113">
        <f t="shared" si="9"/>
        <v>3.176666667</v>
      </c>
      <c r="T41" s="114"/>
      <c r="U41" s="114"/>
      <c r="V41" s="114"/>
      <c r="W41" s="114"/>
      <c r="X41" s="115"/>
      <c r="Y41" s="98"/>
      <c r="Z41" s="98"/>
    </row>
    <row r="42" hidden="1" outlineLevel="1">
      <c r="A42" s="310" t="str">
        <f t="shared" ref="A42:A43" si="16">iferror(if(B42&gt;0,month(B42)&amp;"-"&amp;year(B42),B42),)</f>
        <v>10-2024</v>
      </c>
      <c r="B42" s="99">
        <v>45570.0</v>
      </c>
      <c r="C42" s="207" t="s">
        <v>49</v>
      </c>
      <c r="D42" s="196">
        <v>0.0</v>
      </c>
      <c r="E42" s="169">
        <v>0.0</v>
      </c>
      <c r="F42" s="169">
        <v>0.0</v>
      </c>
      <c r="G42" s="104" t="str">
        <f t="shared" si="1"/>
        <v>#DIV/0!</v>
      </c>
      <c r="H42" s="105" t="str">
        <f t="shared" si="2"/>
        <v>#DIV/0!</v>
      </c>
      <c r="I42" s="106" t="str">
        <f t="shared" si="3"/>
        <v>#DIV/0!</v>
      </c>
      <c r="J42" s="196">
        <v>0.0</v>
      </c>
      <c r="K42" s="314">
        <v>0.0</v>
      </c>
      <c r="L42" s="169">
        <v>0.0</v>
      </c>
      <c r="M42" s="197">
        <v>0.0</v>
      </c>
      <c r="N42" s="109" t="str">
        <f t="shared" si="4"/>
        <v>#DIV/0!</v>
      </c>
      <c r="O42" s="110" t="str">
        <f t="shared" si="5"/>
        <v>#DIV/0!</v>
      </c>
      <c r="P42" s="109" t="str">
        <f t="shared" si="6"/>
        <v>#DIV/0!</v>
      </c>
      <c r="Q42" s="111" t="str">
        <f t="shared" si="7"/>
        <v>#DIV/0!</v>
      </c>
      <c r="R42" s="112">
        <f t="shared" si="15"/>
        <v>0</v>
      </c>
      <c r="S42" s="113" t="str">
        <f t="shared" si="9"/>
        <v>#DIV/0!</v>
      </c>
      <c r="T42" s="114"/>
      <c r="U42" s="114"/>
      <c r="V42" s="114"/>
      <c r="W42" s="114"/>
      <c r="X42" s="115"/>
      <c r="Y42" s="98"/>
      <c r="Z42" s="98"/>
    </row>
    <row r="43" collapsed="1">
      <c r="A43" s="413" t="str">
        <f t="shared" si="16"/>
        <v/>
      </c>
      <c r="B43" s="362" t="s">
        <v>127</v>
      </c>
      <c r="C43" s="414"/>
      <c r="D43" s="364">
        <f t="shared" ref="D43:F43" si="17">SUM(D26:D41)</f>
        <v>4749.03</v>
      </c>
      <c r="E43" s="366">
        <f t="shared" si="17"/>
        <v>64</v>
      </c>
      <c r="F43" s="366">
        <f t="shared" si="17"/>
        <v>58</v>
      </c>
      <c r="G43" s="367">
        <f t="shared" si="1"/>
        <v>1.103448276</v>
      </c>
      <c r="H43" s="365">
        <f t="shared" si="2"/>
        <v>74.20359375</v>
      </c>
      <c r="I43" s="368">
        <f t="shared" si="3"/>
        <v>67.24700684</v>
      </c>
      <c r="J43" s="369">
        <f>SUM(J26:J42)</f>
        <v>207.46</v>
      </c>
      <c r="K43" s="370">
        <f>SUM(K26:K41)</f>
        <v>251069</v>
      </c>
      <c r="L43" s="366">
        <f t="shared" ref="L43:M43" si="18">SUM(L26:L42)</f>
        <v>17</v>
      </c>
      <c r="M43" s="364">
        <f t="shared" si="18"/>
        <v>1108.35</v>
      </c>
      <c r="N43" s="371">
        <f t="shared" si="4"/>
        <v>0.1871791402</v>
      </c>
      <c r="O43" s="372">
        <f t="shared" si="5"/>
        <v>5.342475658</v>
      </c>
      <c r="P43" s="371">
        <f t="shared" si="6"/>
        <v>0.04368471035</v>
      </c>
      <c r="Q43" s="373">
        <f t="shared" si="7"/>
        <v>0.2333845017</v>
      </c>
      <c r="R43" s="374">
        <f>SUM(R26:R41)</f>
        <v>3640.68</v>
      </c>
      <c r="S43" s="375">
        <f t="shared" si="9"/>
        <v>12.20352941</v>
      </c>
      <c r="T43" s="415" t="str">
        <f t="shared" ref="T43:U43" si="19">IFERROR((D43-#REF!)/D43,)</f>
        <v/>
      </c>
      <c r="U43" s="415" t="str">
        <f t="shared" si="19"/>
        <v/>
      </c>
      <c r="V43" s="377" t="str">
        <f t="shared" ref="V43:W43" si="20">IFERROR((D43-monthly_reporting_2021!D49)/D43, )</f>
        <v/>
      </c>
      <c r="W43" s="378" t="str">
        <f t="shared" si="20"/>
        <v/>
      </c>
      <c r="X43" s="98"/>
      <c r="Y43" s="98"/>
      <c r="Z43" s="98"/>
    </row>
    <row r="44" hidden="1" outlineLevel="1">
      <c r="A44" s="293"/>
      <c r="B44" s="99">
        <v>45571.0</v>
      </c>
      <c r="C44" s="294" t="s">
        <v>32</v>
      </c>
      <c r="D44" s="167">
        <v>7564.65</v>
      </c>
      <c r="E44" s="169">
        <v>21.0</v>
      </c>
      <c r="F44" s="169">
        <v>22.0</v>
      </c>
      <c r="G44" s="104">
        <f t="shared" si="1"/>
        <v>0.9545454545</v>
      </c>
      <c r="H44" s="105">
        <f t="shared" si="2"/>
        <v>360.2214286</v>
      </c>
      <c r="I44" s="106">
        <f t="shared" si="3"/>
        <v>377.3748299</v>
      </c>
      <c r="J44" s="101">
        <v>605.68</v>
      </c>
      <c r="K44" s="314">
        <v>46335.0</v>
      </c>
      <c r="L44" s="103">
        <v>14.0</v>
      </c>
      <c r="M44" s="108">
        <v>3570.5</v>
      </c>
      <c r="N44" s="109">
        <f t="shared" si="4"/>
        <v>0.169634505</v>
      </c>
      <c r="O44" s="110">
        <f t="shared" si="5"/>
        <v>5.895027077</v>
      </c>
      <c r="P44" s="109">
        <f t="shared" si="6"/>
        <v>0.08006715446</v>
      </c>
      <c r="Q44" s="111">
        <f t="shared" si="7"/>
        <v>0.4719980435</v>
      </c>
      <c r="R44" s="112">
        <f t="shared" ref="R44:R60" si="21">D44-M44</f>
        <v>3994.15</v>
      </c>
      <c r="S44" s="113">
        <f t="shared" si="9"/>
        <v>43.26285714</v>
      </c>
      <c r="T44" s="114"/>
      <c r="U44" s="114"/>
      <c r="V44" s="114"/>
      <c r="W44" s="114"/>
      <c r="X44" s="115"/>
      <c r="Y44" s="98"/>
      <c r="Z44" s="98"/>
    </row>
    <row r="45" hidden="1" outlineLevel="1">
      <c r="A45" s="293"/>
      <c r="B45" s="116"/>
      <c r="C45" s="294" t="s">
        <v>33</v>
      </c>
      <c r="D45" s="175">
        <v>3108.55</v>
      </c>
      <c r="E45" s="169">
        <v>32.0</v>
      </c>
      <c r="F45" s="169">
        <v>24.0</v>
      </c>
      <c r="G45" s="104">
        <f t="shared" si="1"/>
        <v>1.333333333</v>
      </c>
      <c r="H45" s="105">
        <f t="shared" si="2"/>
        <v>97.1421875</v>
      </c>
      <c r="I45" s="106">
        <f t="shared" si="3"/>
        <v>72.85664063</v>
      </c>
      <c r="J45" s="117">
        <v>7.02</v>
      </c>
      <c r="K45" s="314">
        <v>2439.0</v>
      </c>
      <c r="L45" s="103">
        <v>0.0</v>
      </c>
      <c r="M45" s="118">
        <v>0.0</v>
      </c>
      <c r="N45" s="109" t="str">
        <f t="shared" si="4"/>
        <v>#DIV/0!</v>
      </c>
      <c r="O45" s="110">
        <f t="shared" si="5"/>
        <v>0</v>
      </c>
      <c r="P45" s="109">
        <f t="shared" si="6"/>
        <v>0.002258287626</v>
      </c>
      <c r="Q45" s="111">
        <f t="shared" si="7"/>
        <v>0</v>
      </c>
      <c r="R45" s="119">
        <f t="shared" si="21"/>
        <v>3108.55</v>
      </c>
      <c r="S45" s="113" t="str">
        <f t="shared" si="9"/>
        <v>#DIV/0!</v>
      </c>
      <c r="T45" s="114"/>
      <c r="U45" s="114"/>
      <c r="V45" s="114"/>
      <c r="W45" s="114"/>
      <c r="X45" s="115"/>
      <c r="Y45" s="98"/>
      <c r="Z45" s="98"/>
    </row>
    <row r="46" hidden="1" outlineLevel="1">
      <c r="A46" s="293"/>
      <c r="B46" s="116"/>
      <c r="C46" s="294" t="s">
        <v>34</v>
      </c>
      <c r="D46" s="177">
        <v>0.0</v>
      </c>
      <c r="E46" s="169">
        <v>0.0</v>
      </c>
      <c r="F46" s="169">
        <v>0.0</v>
      </c>
      <c r="G46" s="104" t="str">
        <f t="shared" si="1"/>
        <v>#DIV/0!</v>
      </c>
      <c r="H46" s="105" t="str">
        <f t="shared" si="2"/>
        <v>#DIV/0!</v>
      </c>
      <c r="I46" s="106" t="str">
        <f t="shared" si="3"/>
        <v>#DIV/0!</v>
      </c>
      <c r="J46" s="120">
        <v>0.0</v>
      </c>
      <c r="K46" s="314">
        <v>0.0</v>
      </c>
      <c r="L46" s="103">
        <v>0.0</v>
      </c>
      <c r="M46" s="121">
        <v>0.0</v>
      </c>
      <c r="N46" s="109" t="str">
        <f t="shared" si="4"/>
        <v>#DIV/0!</v>
      </c>
      <c r="O46" s="110" t="str">
        <f t="shared" si="5"/>
        <v>#DIV/0!</v>
      </c>
      <c r="P46" s="109" t="str">
        <f t="shared" si="6"/>
        <v>#DIV/0!</v>
      </c>
      <c r="Q46" s="111" t="str">
        <f t="shared" si="7"/>
        <v>#DIV/0!</v>
      </c>
      <c r="R46" s="122">
        <f t="shared" si="21"/>
        <v>0</v>
      </c>
      <c r="S46" s="113" t="str">
        <f t="shared" si="9"/>
        <v>#DIV/0!</v>
      </c>
      <c r="T46" s="114"/>
      <c r="U46" s="114"/>
      <c r="V46" s="114"/>
      <c r="W46" s="114"/>
      <c r="X46" s="115"/>
      <c r="Y46" s="98"/>
      <c r="Z46" s="98"/>
    </row>
    <row r="47" hidden="1" outlineLevel="1">
      <c r="A47" s="293"/>
      <c r="B47" s="116"/>
      <c r="C47" s="294" t="s">
        <v>35</v>
      </c>
      <c r="D47" s="177">
        <v>539.55</v>
      </c>
      <c r="E47" s="169">
        <v>9.0</v>
      </c>
      <c r="F47" s="169">
        <v>9.0</v>
      </c>
      <c r="G47" s="104">
        <f t="shared" si="1"/>
        <v>1</v>
      </c>
      <c r="H47" s="105">
        <f t="shared" si="2"/>
        <v>59.95</v>
      </c>
      <c r="I47" s="106">
        <f t="shared" si="3"/>
        <v>59.95</v>
      </c>
      <c r="J47" s="120">
        <v>121.0</v>
      </c>
      <c r="K47" s="314">
        <v>6157.0</v>
      </c>
      <c r="L47" s="103">
        <v>6.0</v>
      </c>
      <c r="M47" s="121">
        <v>359.7</v>
      </c>
      <c r="N47" s="109">
        <f t="shared" si="4"/>
        <v>0.3363914373</v>
      </c>
      <c r="O47" s="110">
        <f t="shared" si="5"/>
        <v>2.972727273</v>
      </c>
      <c r="P47" s="109">
        <f t="shared" si="6"/>
        <v>0.2242609582</v>
      </c>
      <c r="Q47" s="111">
        <f t="shared" si="7"/>
        <v>0.6666666667</v>
      </c>
      <c r="R47" s="122">
        <f t="shared" si="21"/>
        <v>179.85</v>
      </c>
      <c r="S47" s="113">
        <f t="shared" si="9"/>
        <v>20.16666667</v>
      </c>
      <c r="T47" s="114"/>
      <c r="U47" s="114"/>
      <c r="V47" s="114"/>
      <c r="W47" s="114"/>
      <c r="X47" s="115"/>
      <c r="Y47" s="98"/>
      <c r="Z47" s="98"/>
    </row>
    <row r="48" hidden="1" outlineLevel="1">
      <c r="A48" s="293"/>
      <c r="B48" s="116"/>
      <c r="C48" s="200" t="s">
        <v>65</v>
      </c>
      <c r="D48" s="320">
        <v>0.0</v>
      </c>
      <c r="E48" s="169">
        <v>0.0</v>
      </c>
      <c r="F48" s="169">
        <v>0.0</v>
      </c>
      <c r="G48" s="104" t="str">
        <f t="shared" si="1"/>
        <v>#DIV/0!</v>
      </c>
      <c r="H48" s="105" t="str">
        <f t="shared" si="2"/>
        <v>#DIV/0!</v>
      </c>
      <c r="I48" s="106" t="str">
        <f t="shared" si="3"/>
        <v>#DIV/0!</v>
      </c>
      <c r="J48" s="300">
        <v>0.0</v>
      </c>
      <c r="K48" s="314">
        <v>0.0</v>
      </c>
      <c r="L48" s="103">
        <v>0.0</v>
      </c>
      <c r="M48" s="300">
        <v>0.0</v>
      </c>
      <c r="N48" s="109" t="str">
        <f t="shared" si="4"/>
        <v>#DIV/0!</v>
      </c>
      <c r="O48" s="110" t="str">
        <f t="shared" si="5"/>
        <v>#DIV/0!</v>
      </c>
      <c r="P48" s="109" t="str">
        <f t="shared" si="6"/>
        <v>#DIV/0!</v>
      </c>
      <c r="Q48" s="111" t="str">
        <f t="shared" si="7"/>
        <v>#DIV/0!</v>
      </c>
      <c r="R48" s="122">
        <f t="shared" si="21"/>
        <v>0</v>
      </c>
      <c r="S48" s="113" t="str">
        <f t="shared" si="9"/>
        <v>#DIV/0!</v>
      </c>
      <c r="T48" s="114"/>
      <c r="U48" s="114"/>
      <c r="V48" s="114"/>
      <c r="W48" s="114"/>
      <c r="X48" s="115"/>
      <c r="Y48" s="98"/>
      <c r="Z48" s="98"/>
    </row>
    <row r="49" hidden="1" outlineLevel="1">
      <c r="A49" s="293"/>
      <c r="B49" s="116"/>
      <c r="C49" s="294" t="s">
        <v>85</v>
      </c>
      <c r="D49" s="321">
        <v>184.93</v>
      </c>
      <c r="E49" s="169">
        <v>3.0</v>
      </c>
      <c r="F49" s="169">
        <v>3.0</v>
      </c>
      <c r="G49" s="104">
        <f t="shared" si="1"/>
        <v>1</v>
      </c>
      <c r="H49" s="105">
        <f t="shared" si="2"/>
        <v>61.64333333</v>
      </c>
      <c r="I49" s="106">
        <f t="shared" si="3"/>
        <v>61.64333333</v>
      </c>
      <c r="J49" s="302">
        <v>36.68</v>
      </c>
      <c r="K49" s="314">
        <v>0.0</v>
      </c>
      <c r="L49" s="103">
        <v>0.0</v>
      </c>
      <c r="M49" s="303">
        <v>0.0</v>
      </c>
      <c r="N49" s="109" t="str">
        <f t="shared" si="4"/>
        <v>#DIV/0!</v>
      </c>
      <c r="O49" s="110">
        <f t="shared" si="5"/>
        <v>0</v>
      </c>
      <c r="P49" s="109">
        <f t="shared" si="6"/>
        <v>0.1983453199</v>
      </c>
      <c r="Q49" s="111">
        <f t="shared" si="7"/>
        <v>0</v>
      </c>
      <c r="R49" s="304">
        <f t="shared" si="21"/>
        <v>184.93</v>
      </c>
      <c r="S49" s="113" t="str">
        <f t="shared" si="9"/>
        <v>#DIV/0!</v>
      </c>
      <c r="T49" s="114"/>
      <c r="U49" s="114"/>
      <c r="V49" s="114"/>
      <c r="W49" s="114"/>
      <c r="X49" s="115"/>
      <c r="Y49" s="98"/>
      <c r="Z49" s="98"/>
    </row>
    <row r="50" hidden="1" outlineLevel="1">
      <c r="A50" s="293"/>
      <c r="B50" s="116"/>
      <c r="C50" s="294" t="s">
        <v>36</v>
      </c>
      <c r="D50" s="177">
        <v>799.68</v>
      </c>
      <c r="E50" s="169">
        <v>12.0</v>
      </c>
      <c r="F50" s="169">
        <v>15.0</v>
      </c>
      <c r="G50" s="104">
        <f t="shared" si="1"/>
        <v>0.8</v>
      </c>
      <c r="H50" s="105">
        <f t="shared" si="2"/>
        <v>66.64</v>
      </c>
      <c r="I50" s="106">
        <f t="shared" si="3"/>
        <v>83.3</v>
      </c>
      <c r="J50" s="120">
        <v>12.57</v>
      </c>
      <c r="K50" s="314">
        <v>5515.0</v>
      </c>
      <c r="L50" s="103">
        <v>4.0</v>
      </c>
      <c r="M50" s="121">
        <v>279.8</v>
      </c>
      <c r="N50" s="109">
        <f t="shared" si="4"/>
        <v>0.04492494639</v>
      </c>
      <c r="O50" s="110">
        <f t="shared" si="5"/>
        <v>22.25934765</v>
      </c>
      <c r="P50" s="109">
        <f t="shared" si="6"/>
        <v>0.01571878752</v>
      </c>
      <c r="Q50" s="111">
        <f t="shared" si="7"/>
        <v>0.349889956</v>
      </c>
      <c r="R50" s="122">
        <f t="shared" si="21"/>
        <v>519.88</v>
      </c>
      <c r="S50" s="113">
        <f t="shared" si="9"/>
        <v>3.1425</v>
      </c>
      <c r="T50" s="114"/>
      <c r="U50" s="114"/>
      <c r="V50" s="114"/>
      <c r="W50" s="114"/>
      <c r="X50" s="115"/>
      <c r="Y50" s="98"/>
      <c r="Z50" s="98"/>
    </row>
    <row r="51" hidden="1" outlineLevel="1">
      <c r="A51" s="293"/>
      <c r="B51" s="99" t="s">
        <v>37</v>
      </c>
      <c r="C51" s="294" t="s">
        <v>38</v>
      </c>
      <c r="D51" s="180">
        <v>480.71</v>
      </c>
      <c r="E51" s="169">
        <v>4.0</v>
      </c>
      <c r="F51" s="169">
        <v>5.0</v>
      </c>
      <c r="G51" s="104">
        <f t="shared" si="1"/>
        <v>0.8</v>
      </c>
      <c r="H51" s="105">
        <f t="shared" si="2"/>
        <v>120.1775</v>
      </c>
      <c r="I51" s="106">
        <f t="shared" si="3"/>
        <v>150.221875</v>
      </c>
      <c r="J51" s="123">
        <v>12.48</v>
      </c>
      <c r="K51" s="314">
        <v>2459.0</v>
      </c>
      <c r="L51" s="103">
        <v>0.0</v>
      </c>
      <c r="M51" s="124">
        <v>0.0</v>
      </c>
      <c r="N51" s="109" t="str">
        <f t="shared" si="4"/>
        <v>#DIV/0!</v>
      </c>
      <c r="O51" s="110">
        <f t="shared" si="5"/>
        <v>0</v>
      </c>
      <c r="P51" s="109">
        <f t="shared" si="6"/>
        <v>0.02596159847</v>
      </c>
      <c r="Q51" s="111">
        <f t="shared" si="7"/>
        <v>0</v>
      </c>
      <c r="R51" s="125">
        <f t="shared" si="21"/>
        <v>480.71</v>
      </c>
      <c r="S51" s="113" t="str">
        <f t="shared" si="9"/>
        <v>#DIV/0!</v>
      </c>
      <c r="T51" s="114"/>
      <c r="U51" s="114"/>
      <c r="V51" s="114"/>
      <c r="W51" s="114"/>
      <c r="X51" s="115"/>
      <c r="Y51" s="98"/>
      <c r="Z51" s="98"/>
    </row>
    <row r="52" hidden="1" outlineLevel="1">
      <c r="A52" s="293"/>
      <c r="B52" s="116"/>
      <c r="C52" s="294" t="s">
        <v>39</v>
      </c>
      <c r="D52" s="182">
        <v>139.96</v>
      </c>
      <c r="E52" s="169">
        <v>1.0</v>
      </c>
      <c r="F52" s="169">
        <v>2.0</v>
      </c>
      <c r="G52" s="104">
        <f t="shared" si="1"/>
        <v>0.5</v>
      </c>
      <c r="H52" s="105">
        <f t="shared" si="2"/>
        <v>139.96</v>
      </c>
      <c r="I52" s="106">
        <f t="shared" si="3"/>
        <v>279.92</v>
      </c>
      <c r="J52" s="126">
        <v>272.19</v>
      </c>
      <c r="K52" s="314">
        <v>3341.0</v>
      </c>
      <c r="L52" s="103">
        <v>1.0</v>
      </c>
      <c r="M52" s="127">
        <v>64.96</v>
      </c>
      <c r="N52" s="109">
        <f t="shared" si="4"/>
        <v>4.190116995</v>
      </c>
      <c r="O52" s="110">
        <f t="shared" si="5"/>
        <v>0.2386568206</v>
      </c>
      <c r="P52" s="109">
        <f t="shared" si="6"/>
        <v>1.944769934</v>
      </c>
      <c r="Q52" s="111">
        <f t="shared" si="7"/>
        <v>0.4641326093</v>
      </c>
      <c r="R52" s="128">
        <f t="shared" si="21"/>
        <v>75</v>
      </c>
      <c r="S52" s="113">
        <f t="shared" si="9"/>
        <v>272.19</v>
      </c>
      <c r="T52" s="114"/>
      <c r="U52" s="114"/>
      <c r="V52" s="114"/>
      <c r="W52" s="114"/>
      <c r="X52" s="115"/>
      <c r="Y52" s="98"/>
      <c r="Z52" s="98"/>
    </row>
    <row r="53" hidden="1" outlineLevel="1">
      <c r="A53" s="293"/>
      <c r="B53" s="116"/>
      <c r="C53" s="294" t="s">
        <v>40</v>
      </c>
      <c r="D53" s="184">
        <v>54.95</v>
      </c>
      <c r="E53" s="169">
        <v>1.0</v>
      </c>
      <c r="F53" s="169">
        <v>2.0</v>
      </c>
      <c r="G53" s="104">
        <f t="shared" si="1"/>
        <v>0.5</v>
      </c>
      <c r="H53" s="105">
        <f t="shared" si="2"/>
        <v>54.95</v>
      </c>
      <c r="I53" s="106">
        <f t="shared" si="3"/>
        <v>109.9</v>
      </c>
      <c r="J53" s="129">
        <v>0.0</v>
      </c>
      <c r="K53" s="314">
        <v>200741.0</v>
      </c>
      <c r="L53" s="103">
        <v>0.0</v>
      </c>
      <c r="M53" s="130">
        <v>0.0</v>
      </c>
      <c r="N53" s="109" t="str">
        <f t="shared" si="4"/>
        <v>#DIV/0!</v>
      </c>
      <c r="O53" s="110" t="str">
        <f t="shared" si="5"/>
        <v>#DIV/0!</v>
      </c>
      <c r="P53" s="109">
        <f t="shared" si="6"/>
        <v>0</v>
      </c>
      <c r="Q53" s="111">
        <f t="shared" si="7"/>
        <v>0</v>
      </c>
      <c r="R53" s="131">
        <f t="shared" si="21"/>
        <v>54.95</v>
      </c>
      <c r="S53" s="113" t="str">
        <f t="shared" si="9"/>
        <v>#DIV/0!</v>
      </c>
      <c r="T53" s="114"/>
      <c r="U53" s="114"/>
      <c r="V53" s="114"/>
      <c r="W53" s="114"/>
      <c r="X53" s="115"/>
      <c r="Y53" s="98"/>
      <c r="Z53" s="98"/>
    </row>
    <row r="54" hidden="1" outlineLevel="1">
      <c r="A54" s="293"/>
      <c r="B54" s="116"/>
      <c r="C54" s="294" t="s">
        <v>41</v>
      </c>
      <c r="D54" s="186">
        <v>1158.25</v>
      </c>
      <c r="E54" s="169">
        <v>12.0</v>
      </c>
      <c r="F54" s="169">
        <v>12.0</v>
      </c>
      <c r="G54" s="104">
        <f t="shared" si="1"/>
        <v>1</v>
      </c>
      <c r="H54" s="105">
        <f t="shared" si="2"/>
        <v>96.52083333</v>
      </c>
      <c r="I54" s="106">
        <f t="shared" si="3"/>
        <v>96.52083333</v>
      </c>
      <c r="J54" s="132">
        <v>3.14</v>
      </c>
      <c r="K54" s="314">
        <v>0.0</v>
      </c>
      <c r="L54" s="103">
        <v>3.0</v>
      </c>
      <c r="M54" s="133">
        <v>770.1</v>
      </c>
      <c r="N54" s="109">
        <f t="shared" si="4"/>
        <v>0.004077392546</v>
      </c>
      <c r="O54" s="110">
        <f t="shared" si="5"/>
        <v>245.2547771</v>
      </c>
      <c r="P54" s="109">
        <f t="shared" si="6"/>
        <v>0.002710986402</v>
      </c>
      <c r="Q54" s="111">
        <f t="shared" si="7"/>
        <v>0.6648823656</v>
      </c>
      <c r="R54" s="134">
        <f t="shared" si="21"/>
        <v>388.15</v>
      </c>
      <c r="S54" s="113">
        <f t="shared" si="9"/>
        <v>1.046666667</v>
      </c>
      <c r="T54" s="114"/>
      <c r="U54" s="114"/>
      <c r="V54" s="114"/>
      <c r="W54" s="114"/>
      <c r="X54" s="115"/>
      <c r="Y54" s="98"/>
      <c r="Z54" s="98"/>
    </row>
    <row r="55" hidden="1" outlineLevel="1">
      <c r="A55" s="293"/>
      <c r="B55" s="116"/>
      <c r="C55" s="294" t="s">
        <v>42</v>
      </c>
      <c r="D55" s="177">
        <v>0.0</v>
      </c>
      <c r="E55" s="169">
        <v>0.0</v>
      </c>
      <c r="F55" s="169">
        <v>0.0</v>
      </c>
      <c r="G55" s="104" t="str">
        <f t="shared" si="1"/>
        <v>#DIV/0!</v>
      </c>
      <c r="H55" s="105" t="str">
        <f t="shared" si="2"/>
        <v>#DIV/0!</v>
      </c>
      <c r="I55" s="106" t="str">
        <f t="shared" si="3"/>
        <v>#DIV/0!</v>
      </c>
      <c r="J55" s="120">
        <v>0.0</v>
      </c>
      <c r="K55" s="314">
        <v>4524.0</v>
      </c>
      <c r="L55" s="103">
        <v>0.0</v>
      </c>
      <c r="M55" s="121">
        <v>0.0</v>
      </c>
      <c r="N55" s="109" t="str">
        <f t="shared" si="4"/>
        <v>#DIV/0!</v>
      </c>
      <c r="O55" s="110" t="str">
        <f t="shared" si="5"/>
        <v>#DIV/0!</v>
      </c>
      <c r="P55" s="109" t="str">
        <f t="shared" si="6"/>
        <v>#DIV/0!</v>
      </c>
      <c r="Q55" s="111" t="str">
        <f t="shared" si="7"/>
        <v>#DIV/0!</v>
      </c>
      <c r="R55" s="122">
        <f t="shared" si="21"/>
        <v>0</v>
      </c>
      <c r="S55" s="113" t="str">
        <f t="shared" si="9"/>
        <v>#DIV/0!</v>
      </c>
      <c r="T55" s="114"/>
      <c r="U55" s="114"/>
      <c r="V55" s="114"/>
      <c r="W55" s="114"/>
      <c r="X55" s="115"/>
      <c r="Y55" s="98"/>
      <c r="Z55" s="98"/>
    </row>
    <row r="56" hidden="1" outlineLevel="1">
      <c r="A56" s="293"/>
      <c r="B56" s="116"/>
      <c r="C56" s="294" t="s">
        <v>43</v>
      </c>
      <c r="D56" s="188">
        <v>-58.5</v>
      </c>
      <c r="E56" s="169">
        <v>0.0</v>
      </c>
      <c r="F56" s="169">
        <v>1.0</v>
      </c>
      <c r="G56" s="104">
        <f t="shared" si="1"/>
        <v>0</v>
      </c>
      <c r="H56" s="105" t="str">
        <f t="shared" si="2"/>
        <v>#DIV/0!</v>
      </c>
      <c r="I56" s="106" t="str">
        <f t="shared" si="3"/>
        <v>#DIV/0!</v>
      </c>
      <c r="J56" s="135">
        <v>0.0</v>
      </c>
      <c r="K56" s="314">
        <v>0.0</v>
      </c>
      <c r="L56" s="103">
        <v>0.0</v>
      </c>
      <c r="M56" s="136">
        <v>0.0</v>
      </c>
      <c r="N56" s="109" t="str">
        <f t="shared" si="4"/>
        <v>#DIV/0!</v>
      </c>
      <c r="O56" s="110" t="str">
        <f t="shared" si="5"/>
        <v>#DIV/0!</v>
      </c>
      <c r="P56" s="109">
        <f t="shared" si="6"/>
        <v>0</v>
      </c>
      <c r="Q56" s="111">
        <f t="shared" si="7"/>
        <v>0</v>
      </c>
      <c r="R56" s="137">
        <f t="shared" si="21"/>
        <v>-58.5</v>
      </c>
      <c r="S56" s="113" t="str">
        <f t="shared" si="9"/>
        <v>#DIV/0!</v>
      </c>
      <c r="T56" s="114"/>
      <c r="U56" s="114"/>
      <c r="V56" s="114"/>
      <c r="W56" s="114"/>
      <c r="X56" s="115"/>
      <c r="Y56" s="98"/>
      <c r="Z56" s="98"/>
    </row>
    <row r="57" hidden="1" outlineLevel="1">
      <c r="A57" s="293"/>
      <c r="B57" s="116"/>
      <c r="C57" s="294" t="s">
        <v>44</v>
      </c>
      <c r="D57" s="190">
        <v>60.87</v>
      </c>
      <c r="E57" s="169">
        <v>1.0</v>
      </c>
      <c r="F57" s="169">
        <v>1.0</v>
      </c>
      <c r="G57" s="104">
        <f t="shared" si="1"/>
        <v>1</v>
      </c>
      <c r="H57" s="105">
        <f t="shared" si="2"/>
        <v>60.87</v>
      </c>
      <c r="I57" s="106">
        <f t="shared" si="3"/>
        <v>60.87</v>
      </c>
      <c r="J57" s="138">
        <v>1.92</v>
      </c>
      <c r="K57" s="314">
        <v>2362.0</v>
      </c>
      <c r="L57" s="103">
        <v>0.0</v>
      </c>
      <c r="M57" s="139">
        <v>0.0</v>
      </c>
      <c r="N57" s="109" t="str">
        <f t="shared" si="4"/>
        <v>#DIV/0!</v>
      </c>
      <c r="O57" s="110">
        <f t="shared" si="5"/>
        <v>0</v>
      </c>
      <c r="P57" s="109">
        <f t="shared" si="6"/>
        <v>0.03154263184</v>
      </c>
      <c r="Q57" s="111">
        <f t="shared" si="7"/>
        <v>0</v>
      </c>
      <c r="R57" s="140">
        <f t="shared" si="21"/>
        <v>60.87</v>
      </c>
      <c r="S57" s="113" t="str">
        <f t="shared" si="9"/>
        <v>#DIV/0!</v>
      </c>
      <c r="T57" s="114"/>
      <c r="U57" s="114"/>
      <c r="V57" s="114"/>
      <c r="W57" s="114"/>
      <c r="X57" s="115"/>
      <c r="Y57" s="98"/>
      <c r="Z57" s="98"/>
    </row>
    <row r="58" hidden="1" outlineLevel="1">
      <c r="A58" s="413"/>
      <c r="B58" s="116"/>
      <c r="C58" s="380" t="s">
        <v>45</v>
      </c>
      <c r="D58" s="167">
        <v>0.0</v>
      </c>
      <c r="E58" s="169">
        <v>0.0</v>
      </c>
      <c r="F58" s="169">
        <v>0.0</v>
      </c>
      <c r="G58" s="104" t="str">
        <f t="shared" si="1"/>
        <v>#DIV/0!</v>
      </c>
      <c r="H58" s="105" t="str">
        <f t="shared" si="2"/>
        <v>#DIV/0!</v>
      </c>
      <c r="I58" s="106" t="str">
        <f t="shared" si="3"/>
        <v>#DIV/0!</v>
      </c>
      <c r="J58" s="101">
        <v>0.0</v>
      </c>
      <c r="K58" s="314">
        <v>0.0</v>
      </c>
      <c r="L58" s="103">
        <v>0.0</v>
      </c>
      <c r="M58" s="108">
        <v>0.0</v>
      </c>
      <c r="N58" s="109" t="str">
        <f t="shared" si="4"/>
        <v>#DIV/0!</v>
      </c>
      <c r="O58" s="110" t="str">
        <f t="shared" si="5"/>
        <v>#DIV/0!</v>
      </c>
      <c r="P58" s="109" t="str">
        <f t="shared" si="6"/>
        <v>#DIV/0!</v>
      </c>
      <c r="Q58" s="111" t="str">
        <f t="shared" si="7"/>
        <v>#DIV/0!</v>
      </c>
      <c r="R58" s="112">
        <f t="shared" si="21"/>
        <v>0</v>
      </c>
      <c r="S58" s="113" t="str">
        <f t="shared" si="9"/>
        <v>#DIV/0!</v>
      </c>
      <c r="T58" s="143"/>
      <c r="U58" s="143"/>
      <c r="V58" s="143"/>
      <c r="W58" s="144"/>
      <c r="X58" s="145"/>
      <c r="Y58" s="98"/>
      <c r="Z58" s="98"/>
    </row>
    <row r="59" hidden="1" outlineLevel="1">
      <c r="A59" s="310"/>
      <c r="B59" s="99"/>
      <c r="C59" s="294" t="s">
        <v>46</v>
      </c>
      <c r="D59" s="196">
        <v>680.12</v>
      </c>
      <c r="E59" s="169">
        <v>19.0</v>
      </c>
      <c r="F59" s="169">
        <v>18.0</v>
      </c>
      <c r="G59" s="104">
        <f t="shared" si="1"/>
        <v>1.055555556</v>
      </c>
      <c r="H59" s="105">
        <f t="shared" si="2"/>
        <v>35.79578947</v>
      </c>
      <c r="I59" s="106">
        <f t="shared" si="3"/>
        <v>33.91180055</v>
      </c>
      <c r="J59" s="146">
        <v>43.11</v>
      </c>
      <c r="K59" s="314">
        <v>23251.0</v>
      </c>
      <c r="L59" s="103">
        <v>7.0</v>
      </c>
      <c r="M59" s="147">
        <v>179.76</v>
      </c>
      <c r="N59" s="109">
        <f t="shared" si="4"/>
        <v>0.2398197597</v>
      </c>
      <c r="O59" s="110">
        <f t="shared" si="5"/>
        <v>4.169798191</v>
      </c>
      <c r="P59" s="109">
        <f t="shared" si="6"/>
        <v>0.06338587308</v>
      </c>
      <c r="Q59" s="111">
        <f t="shared" si="7"/>
        <v>0.2643062989</v>
      </c>
      <c r="R59" s="112">
        <f t="shared" si="21"/>
        <v>500.36</v>
      </c>
      <c r="S59" s="113">
        <f t="shared" si="9"/>
        <v>6.158571429</v>
      </c>
      <c r="T59" s="114"/>
      <c r="U59" s="114"/>
      <c r="V59" s="114"/>
      <c r="W59" s="114"/>
      <c r="X59" s="115"/>
      <c r="Y59" s="98"/>
      <c r="Z59" s="98"/>
    </row>
    <row r="60" hidden="1" outlineLevel="1">
      <c r="A60" s="310" t="str">
        <f t="shared" ref="A60:A61" si="22">iferror(if(B60&gt;0,month(B60)&amp;"-"&amp;year(B60),B60),)</f>
        <v>10-2024</v>
      </c>
      <c r="B60" s="99">
        <v>45577.0</v>
      </c>
      <c r="C60" s="207" t="s">
        <v>49</v>
      </c>
      <c r="D60" s="196">
        <v>0.0</v>
      </c>
      <c r="E60" s="169">
        <v>0.0</v>
      </c>
      <c r="F60" s="169">
        <v>0.0</v>
      </c>
      <c r="G60" s="104" t="str">
        <f t="shared" si="1"/>
        <v>#DIV/0!</v>
      </c>
      <c r="H60" s="105" t="str">
        <f t="shared" si="2"/>
        <v>#DIV/0!</v>
      </c>
      <c r="I60" s="106" t="str">
        <f t="shared" si="3"/>
        <v>#DIV/0!</v>
      </c>
      <c r="J60" s="196">
        <v>0.0</v>
      </c>
      <c r="K60" s="314">
        <v>0.0</v>
      </c>
      <c r="L60" s="169">
        <v>0.0</v>
      </c>
      <c r="M60" s="197">
        <v>0.0</v>
      </c>
      <c r="N60" s="109" t="str">
        <f t="shared" si="4"/>
        <v>#DIV/0!</v>
      </c>
      <c r="O60" s="110" t="str">
        <f t="shared" si="5"/>
        <v>#DIV/0!</v>
      </c>
      <c r="P60" s="109" t="str">
        <f t="shared" si="6"/>
        <v>#DIV/0!</v>
      </c>
      <c r="Q60" s="111" t="str">
        <f t="shared" si="7"/>
        <v>#DIV/0!</v>
      </c>
      <c r="R60" s="112">
        <f t="shared" si="21"/>
        <v>0</v>
      </c>
      <c r="S60" s="113" t="str">
        <f t="shared" si="9"/>
        <v>#DIV/0!</v>
      </c>
      <c r="T60" s="114"/>
      <c r="U60" s="114"/>
      <c r="V60" s="114"/>
      <c r="W60" s="114"/>
      <c r="X60" s="115"/>
      <c r="Y60" s="98"/>
      <c r="Z60" s="98"/>
    </row>
    <row r="61" collapsed="1">
      <c r="A61" s="413" t="str">
        <f t="shared" si="22"/>
        <v/>
      </c>
      <c r="B61" s="362" t="s">
        <v>128</v>
      </c>
      <c r="C61" s="414"/>
      <c r="D61" s="364">
        <f t="shared" ref="D61:F61" si="23">SUM(D44:D59)</f>
        <v>14713.72</v>
      </c>
      <c r="E61" s="366">
        <f t="shared" si="23"/>
        <v>115</v>
      </c>
      <c r="F61" s="366">
        <f t="shared" si="23"/>
        <v>114</v>
      </c>
      <c r="G61" s="367">
        <f t="shared" si="1"/>
        <v>1.00877193</v>
      </c>
      <c r="H61" s="365">
        <f t="shared" si="2"/>
        <v>127.9453913</v>
      </c>
      <c r="I61" s="368">
        <f t="shared" si="3"/>
        <v>126.8328227</v>
      </c>
      <c r="J61" s="369">
        <f>SUM(J44:J60)</f>
        <v>1115.79</v>
      </c>
      <c r="K61" s="370">
        <f>SUM(K44:K59)</f>
        <v>297124</v>
      </c>
      <c r="L61" s="366">
        <f t="shared" ref="L61:M61" si="24">SUM(L44:L60)</f>
        <v>35</v>
      </c>
      <c r="M61" s="364">
        <f t="shared" si="24"/>
        <v>5224.82</v>
      </c>
      <c r="N61" s="371">
        <f t="shared" si="4"/>
        <v>0.2135556823</v>
      </c>
      <c r="O61" s="372">
        <f t="shared" si="5"/>
        <v>4.682619489</v>
      </c>
      <c r="P61" s="371">
        <f t="shared" si="6"/>
        <v>0.07583330388</v>
      </c>
      <c r="Q61" s="373">
        <f t="shared" si="7"/>
        <v>0.3550985067</v>
      </c>
      <c r="R61" s="374">
        <f>SUM(R44:R59)</f>
        <v>9488.9</v>
      </c>
      <c r="S61" s="375">
        <f t="shared" si="9"/>
        <v>31.87971429</v>
      </c>
      <c r="T61" s="415" t="str">
        <f t="shared" ref="T61:U61" si="25">IFERROR((D61-#REF!)/D61,)</f>
        <v/>
      </c>
      <c r="U61" s="415" t="str">
        <f t="shared" si="25"/>
        <v/>
      </c>
      <c r="V61" s="377" t="str">
        <f t="shared" ref="V61:W61" si="26">IFERROR((D61-monthly_reporting_2021!D49)/D61, )</f>
        <v/>
      </c>
      <c r="W61" s="378" t="str">
        <f t="shared" si="26"/>
        <v/>
      </c>
      <c r="X61" s="98"/>
      <c r="Y61" s="98"/>
      <c r="Z61" s="98"/>
    </row>
    <row r="62" hidden="1" outlineLevel="1">
      <c r="A62" s="293"/>
      <c r="B62" s="99">
        <v>45578.0</v>
      </c>
      <c r="C62" s="294" t="s">
        <v>32</v>
      </c>
      <c r="D62" s="167">
        <v>378.65</v>
      </c>
      <c r="E62" s="169">
        <v>4.0</v>
      </c>
      <c r="F62" s="169">
        <v>6.0</v>
      </c>
      <c r="G62" s="104">
        <f t="shared" si="1"/>
        <v>0.6666666667</v>
      </c>
      <c r="H62" s="105">
        <f t="shared" si="2"/>
        <v>94.6625</v>
      </c>
      <c r="I62" s="106">
        <f t="shared" si="3"/>
        <v>141.99375</v>
      </c>
      <c r="J62" s="101">
        <v>219.79</v>
      </c>
      <c r="K62" s="314">
        <v>27574.0</v>
      </c>
      <c r="L62" s="103">
        <v>0.0</v>
      </c>
      <c r="M62" s="108">
        <v>0.0</v>
      </c>
      <c r="N62" s="109" t="str">
        <f t="shared" si="4"/>
        <v>#DIV/0!</v>
      </c>
      <c r="O62" s="110">
        <f t="shared" si="5"/>
        <v>0</v>
      </c>
      <c r="P62" s="109">
        <f t="shared" si="6"/>
        <v>0.5804568863</v>
      </c>
      <c r="Q62" s="111">
        <f t="shared" si="7"/>
        <v>0</v>
      </c>
      <c r="R62" s="112">
        <f t="shared" ref="R62:R78" si="27">D62-M62</f>
        <v>378.65</v>
      </c>
      <c r="S62" s="113" t="str">
        <f t="shared" si="9"/>
        <v>#DIV/0!</v>
      </c>
      <c r="T62" s="114"/>
      <c r="U62" s="114"/>
      <c r="V62" s="114"/>
      <c r="W62" s="114"/>
      <c r="X62" s="115"/>
      <c r="Y62" s="98"/>
      <c r="Z62" s="98"/>
    </row>
    <row r="63" hidden="1" outlineLevel="1">
      <c r="A63" s="293"/>
      <c r="B63" s="116"/>
      <c r="C63" s="294" t="s">
        <v>33</v>
      </c>
      <c r="D63" s="175">
        <v>1512.39</v>
      </c>
      <c r="E63" s="169">
        <v>14.0</v>
      </c>
      <c r="F63" s="169">
        <v>19.0</v>
      </c>
      <c r="G63" s="104">
        <f t="shared" si="1"/>
        <v>0.7368421053</v>
      </c>
      <c r="H63" s="105">
        <f t="shared" si="2"/>
        <v>108.0278571</v>
      </c>
      <c r="I63" s="106">
        <f t="shared" si="3"/>
        <v>146.6092347</v>
      </c>
      <c r="J63" s="117">
        <v>6.0</v>
      </c>
      <c r="K63" s="314">
        <v>1366.0</v>
      </c>
      <c r="L63" s="103">
        <v>0.0</v>
      </c>
      <c r="M63" s="118">
        <v>0.0</v>
      </c>
      <c r="N63" s="109" t="str">
        <f t="shared" si="4"/>
        <v>#DIV/0!</v>
      </c>
      <c r="O63" s="110">
        <f t="shared" si="5"/>
        <v>0</v>
      </c>
      <c r="P63" s="109">
        <f t="shared" si="6"/>
        <v>0.003967230675</v>
      </c>
      <c r="Q63" s="111">
        <f t="shared" si="7"/>
        <v>0</v>
      </c>
      <c r="R63" s="119">
        <f t="shared" si="27"/>
        <v>1512.39</v>
      </c>
      <c r="S63" s="113" t="str">
        <f t="shared" si="9"/>
        <v>#DIV/0!</v>
      </c>
      <c r="T63" s="114"/>
      <c r="U63" s="114"/>
      <c r="V63" s="114"/>
      <c r="W63" s="114"/>
      <c r="X63" s="115"/>
      <c r="Y63" s="98"/>
      <c r="Z63" s="98"/>
    </row>
    <row r="64" hidden="1" outlineLevel="1">
      <c r="A64" s="293"/>
      <c r="B64" s="116"/>
      <c r="C64" s="294" t="s">
        <v>34</v>
      </c>
      <c r="D64" s="177">
        <v>69.95</v>
      </c>
      <c r="E64" s="169">
        <v>1.0</v>
      </c>
      <c r="F64" s="169">
        <v>1.0</v>
      </c>
      <c r="G64" s="104">
        <f t="shared" si="1"/>
        <v>1</v>
      </c>
      <c r="H64" s="105">
        <f t="shared" si="2"/>
        <v>69.95</v>
      </c>
      <c r="I64" s="106">
        <f t="shared" si="3"/>
        <v>69.95</v>
      </c>
      <c r="J64" s="120">
        <v>0.0</v>
      </c>
      <c r="K64" s="314">
        <v>0.0</v>
      </c>
      <c r="L64" s="103">
        <v>0.0</v>
      </c>
      <c r="M64" s="121">
        <v>0.0</v>
      </c>
      <c r="N64" s="109" t="str">
        <f t="shared" si="4"/>
        <v>#DIV/0!</v>
      </c>
      <c r="O64" s="110" t="str">
        <f t="shared" si="5"/>
        <v>#DIV/0!</v>
      </c>
      <c r="P64" s="109">
        <f t="shared" si="6"/>
        <v>0</v>
      </c>
      <c r="Q64" s="111">
        <f t="shared" si="7"/>
        <v>0</v>
      </c>
      <c r="R64" s="122">
        <f t="shared" si="27"/>
        <v>69.95</v>
      </c>
      <c r="S64" s="113" t="str">
        <f t="shared" si="9"/>
        <v>#DIV/0!</v>
      </c>
      <c r="T64" s="114"/>
      <c r="U64" s="114"/>
      <c r="V64" s="114"/>
      <c r="W64" s="114"/>
      <c r="X64" s="115"/>
      <c r="Y64" s="98"/>
      <c r="Z64" s="98"/>
    </row>
    <row r="65" hidden="1" outlineLevel="1">
      <c r="A65" s="293"/>
      <c r="B65" s="116"/>
      <c r="C65" s="294" t="s">
        <v>35</v>
      </c>
      <c r="D65" s="177">
        <v>419.65</v>
      </c>
      <c r="E65" s="169">
        <v>7.0</v>
      </c>
      <c r="F65" s="169">
        <v>8.0</v>
      </c>
      <c r="G65" s="104">
        <f t="shared" si="1"/>
        <v>0.875</v>
      </c>
      <c r="H65" s="105">
        <f t="shared" si="2"/>
        <v>59.95</v>
      </c>
      <c r="I65" s="106">
        <f t="shared" si="3"/>
        <v>68.51428571</v>
      </c>
      <c r="J65" s="120">
        <v>68.36</v>
      </c>
      <c r="K65" s="314">
        <v>6922.0</v>
      </c>
      <c r="L65" s="103">
        <v>6.0</v>
      </c>
      <c r="M65" s="121">
        <v>359.7</v>
      </c>
      <c r="N65" s="109">
        <f t="shared" si="4"/>
        <v>0.1900472616</v>
      </c>
      <c r="O65" s="110">
        <f t="shared" si="5"/>
        <v>5.261849035</v>
      </c>
      <c r="P65" s="109">
        <f t="shared" si="6"/>
        <v>0.1628976528</v>
      </c>
      <c r="Q65" s="111">
        <f t="shared" si="7"/>
        <v>0.8571428571</v>
      </c>
      <c r="R65" s="122">
        <f t="shared" si="27"/>
        <v>59.95</v>
      </c>
      <c r="S65" s="113">
        <f t="shared" si="9"/>
        <v>11.39333333</v>
      </c>
      <c r="T65" s="114"/>
      <c r="U65" s="114"/>
      <c r="V65" s="114"/>
      <c r="W65" s="114"/>
      <c r="X65" s="115"/>
      <c r="Y65" s="98"/>
      <c r="Z65" s="98"/>
    </row>
    <row r="66" hidden="1" outlineLevel="1">
      <c r="A66" s="293"/>
      <c r="B66" s="116"/>
      <c r="C66" s="200" t="s">
        <v>65</v>
      </c>
      <c r="D66" s="320">
        <v>0.0</v>
      </c>
      <c r="E66" s="169">
        <v>0.0</v>
      </c>
      <c r="F66" s="169">
        <v>0.0</v>
      </c>
      <c r="G66" s="104" t="str">
        <f t="shared" si="1"/>
        <v>#DIV/0!</v>
      </c>
      <c r="H66" s="105" t="str">
        <f t="shared" si="2"/>
        <v>#DIV/0!</v>
      </c>
      <c r="I66" s="106" t="str">
        <f t="shared" si="3"/>
        <v>#DIV/0!</v>
      </c>
      <c r="J66" s="300">
        <v>0.0</v>
      </c>
      <c r="K66" s="314">
        <v>0.0</v>
      </c>
      <c r="L66" s="103">
        <v>0.0</v>
      </c>
      <c r="M66" s="300">
        <v>0.0</v>
      </c>
      <c r="N66" s="109" t="str">
        <f t="shared" si="4"/>
        <v>#DIV/0!</v>
      </c>
      <c r="O66" s="110" t="str">
        <f t="shared" si="5"/>
        <v>#DIV/0!</v>
      </c>
      <c r="P66" s="109" t="str">
        <f t="shared" si="6"/>
        <v>#DIV/0!</v>
      </c>
      <c r="Q66" s="111" t="str">
        <f t="shared" si="7"/>
        <v>#DIV/0!</v>
      </c>
      <c r="R66" s="122">
        <f t="shared" si="27"/>
        <v>0</v>
      </c>
      <c r="S66" s="113" t="str">
        <f t="shared" si="9"/>
        <v>#DIV/0!</v>
      </c>
      <c r="T66" s="114"/>
      <c r="U66" s="114"/>
      <c r="V66" s="114"/>
      <c r="W66" s="114"/>
      <c r="X66" s="115"/>
      <c r="Y66" s="98"/>
      <c r="Z66" s="98"/>
    </row>
    <row r="67" hidden="1" outlineLevel="1">
      <c r="A67" s="293"/>
      <c r="B67" s="116"/>
      <c r="C67" s="294" t="s">
        <v>85</v>
      </c>
      <c r="D67" s="321">
        <v>184.93</v>
      </c>
      <c r="E67" s="169">
        <v>3.0</v>
      </c>
      <c r="F67" s="169">
        <v>3.0</v>
      </c>
      <c r="G67" s="104">
        <f t="shared" si="1"/>
        <v>1</v>
      </c>
      <c r="H67" s="105">
        <f t="shared" si="2"/>
        <v>61.64333333</v>
      </c>
      <c r="I67" s="106">
        <f t="shared" si="3"/>
        <v>61.64333333</v>
      </c>
      <c r="J67" s="302">
        <v>48.23</v>
      </c>
      <c r="K67" s="314">
        <v>0.0</v>
      </c>
      <c r="L67" s="103">
        <v>1.0</v>
      </c>
      <c r="M67" s="303">
        <v>59.99</v>
      </c>
      <c r="N67" s="109">
        <f t="shared" si="4"/>
        <v>0.8039673279</v>
      </c>
      <c r="O67" s="110">
        <f t="shared" si="5"/>
        <v>1.24383164</v>
      </c>
      <c r="P67" s="109">
        <f t="shared" si="6"/>
        <v>0.2608013843</v>
      </c>
      <c r="Q67" s="111">
        <f t="shared" si="7"/>
        <v>0.3243930136</v>
      </c>
      <c r="R67" s="304">
        <f t="shared" si="27"/>
        <v>124.94</v>
      </c>
      <c r="S67" s="113">
        <f t="shared" si="9"/>
        <v>48.23</v>
      </c>
      <c r="T67" s="114"/>
      <c r="U67" s="114"/>
      <c r="V67" s="114"/>
      <c r="W67" s="114"/>
      <c r="X67" s="115"/>
      <c r="Y67" s="98"/>
      <c r="Z67" s="98"/>
    </row>
    <row r="68" hidden="1" outlineLevel="1">
      <c r="A68" s="293"/>
      <c r="B68" s="116"/>
      <c r="C68" s="294" t="s">
        <v>36</v>
      </c>
      <c r="D68" s="177">
        <v>489.6</v>
      </c>
      <c r="E68" s="169">
        <v>8.0</v>
      </c>
      <c r="F68" s="169">
        <v>4.0</v>
      </c>
      <c r="G68" s="104">
        <f t="shared" si="1"/>
        <v>2</v>
      </c>
      <c r="H68" s="105">
        <f t="shared" si="2"/>
        <v>61.2</v>
      </c>
      <c r="I68" s="106">
        <f t="shared" si="3"/>
        <v>30.6</v>
      </c>
      <c r="J68" s="120">
        <v>13.16</v>
      </c>
      <c r="K68" s="314">
        <v>5838.0</v>
      </c>
      <c r="L68" s="103">
        <v>0.0</v>
      </c>
      <c r="M68" s="121">
        <v>0.0</v>
      </c>
      <c r="N68" s="109" t="str">
        <f t="shared" si="4"/>
        <v>#DIV/0!</v>
      </c>
      <c r="O68" s="110">
        <f t="shared" si="5"/>
        <v>0</v>
      </c>
      <c r="P68" s="109">
        <f t="shared" si="6"/>
        <v>0.02687908497</v>
      </c>
      <c r="Q68" s="111">
        <f t="shared" si="7"/>
        <v>0</v>
      </c>
      <c r="R68" s="122">
        <f t="shared" si="27"/>
        <v>489.6</v>
      </c>
      <c r="S68" s="113" t="str">
        <f t="shared" si="9"/>
        <v>#DIV/0!</v>
      </c>
      <c r="T68" s="114"/>
      <c r="U68" s="114"/>
      <c r="V68" s="114"/>
      <c r="W68" s="114"/>
      <c r="X68" s="115"/>
      <c r="Y68" s="98"/>
      <c r="Z68" s="98"/>
    </row>
    <row r="69" hidden="1" outlineLevel="1">
      <c r="A69" s="293"/>
      <c r="B69" s="99" t="s">
        <v>37</v>
      </c>
      <c r="C69" s="294" t="s">
        <v>38</v>
      </c>
      <c r="D69" s="180">
        <v>24.95</v>
      </c>
      <c r="E69" s="169">
        <v>1.0</v>
      </c>
      <c r="F69" s="169">
        <v>1.0</v>
      </c>
      <c r="G69" s="104">
        <f t="shared" si="1"/>
        <v>1</v>
      </c>
      <c r="H69" s="105">
        <f t="shared" si="2"/>
        <v>24.95</v>
      </c>
      <c r="I69" s="106">
        <f t="shared" si="3"/>
        <v>24.95</v>
      </c>
      <c r="J69" s="123">
        <v>5.46</v>
      </c>
      <c r="K69" s="314">
        <v>2747.0</v>
      </c>
      <c r="L69" s="103">
        <v>0.0</v>
      </c>
      <c r="M69" s="124">
        <v>0.0</v>
      </c>
      <c r="N69" s="109" t="str">
        <f t="shared" si="4"/>
        <v>#DIV/0!</v>
      </c>
      <c r="O69" s="110">
        <f t="shared" si="5"/>
        <v>0</v>
      </c>
      <c r="P69" s="109">
        <f t="shared" si="6"/>
        <v>0.2188376754</v>
      </c>
      <c r="Q69" s="111">
        <f t="shared" si="7"/>
        <v>0</v>
      </c>
      <c r="R69" s="125">
        <f t="shared" si="27"/>
        <v>24.95</v>
      </c>
      <c r="S69" s="113" t="str">
        <f t="shared" si="9"/>
        <v>#DIV/0!</v>
      </c>
      <c r="T69" s="114"/>
      <c r="U69" s="114"/>
      <c r="V69" s="114"/>
      <c r="W69" s="114"/>
      <c r="X69" s="115"/>
      <c r="Y69" s="98"/>
      <c r="Z69" s="98"/>
    </row>
    <row r="70" hidden="1" outlineLevel="1">
      <c r="A70" s="293"/>
      <c r="B70" s="116"/>
      <c r="C70" s="294" t="s">
        <v>39</v>
      </c>
      <c r="D70" s="182">
        <v>99.95</v>
      </c>
      <c r="E70" s="169">
        <v>1.0</v>
      </c>
      <c r="F70" s="169">
        <v>1.0</v>
      </c>
      <c r="G70" s="104">
        <f t="shared" si="1"/>
        <v>1</v>
      </c>
      <c r="H70" s="105">
        <f t="shared" si="2"/>
        <v>99.95</v>
      </c>
      <c r="I70" s="106">
        <f t="shared" si="3"/>
        <v>99.95</v>
      </c>
      <c r="J70" s="126">
        <v>132.82</v>
      </c>
      <c r="K70" s="314">
        <v>2947.0</v>
      </c>
      <c r="L70" s="103">
        <v>2.0</v>
      </c>
      <c r="M70" s="127">
        <v>263.95</v>
      </c>
      <c r="N70" s="109">
        <f t="shared" si="4"/>
        <v>0.5032013639</v>
      </c>
      <c r="O70" s="110">
        <f t="shared" si="5"/>
        <v>1.987276013</v>
      </c>
      <c r="P70" s="109">
        <f t="shared" si="6"/>
        <v>1.328864432</v>
      </c>
      <c r="Q70" s="111">
        <f t="shared" si="7"/>
        <v>2.64082041</v>
      </c>
      <c r="R70" s="128">
        <f t="shared" si="27"/>
        <v>-164</v>
      </c>
      <c r="S70" s="113">
        <f t="shared" si="9"/>
        <v>66.41</v>
      </c>
      <c r="T70" s="114"/>
      <c r="U70" s="114"/>
      <c r="V70" s="114"/>
      <c r="W70" s="114"/>
      <c r="X70" s="115"/>
      <c r="Y70" s="98"/>
      <c r="Z70" s="98"/>
    </row>
    <row r="71" hidden="1" outlineLevel="1">
      <c r="A71" s="293"/>
      <c r="B71" s="116"/>
      <c r="C71" s="294" t="s">
        <v>40</v>
      </c>
      <c r="D71" s="184">
        <v>54.95</v>
      </c>
      <c r="E71" s="169">
        <v>1.0</v>
      </c>
      <c r="F71" s="169">
        <v>1.0</v>
      </c>
      <c r="G71" s="104">
        <f t="shared" si="1"/>
        <v>1</v>
      </c>
      <c r="H71" s="105">
        <f t="shared" si="2"/>
        <v>54.95</v>
      </c>
      <c r="I71" s="106">
        <f t="shared" si="3"/>
        <v>54.95</v>
      </c>
      <c r="J71" s="129">
        <v>0.0</v>
      </c>
      <c r="K71" s="314">
        <v>233376.0</v>
      </c>
      <c r="L71" s="103">
        <v>0.0</v>
      </c>
      <c r="M71" s="130">
        <v>0.0</v>
      </c>
      <c r="N71" s="109" t="str">
        <f t="shared" si="4"/>
        <v>#DIV/0!</v>
      </c>
      <c r="O71" s="110" t="str">
        <f t="shared" si="5"/>
        <v>#DIV/0!</v>
      </c>
      <c r="P71" s="109">
        <f t="shared" si="6"/>
        <v>0</v>
      </c>
      <c r="Q71" s="111">
        <f t="shared" si="7"/>
        <v>0</v>
      </c>
      <c r="R71" s="131">
        <f t="shared" si="27"/>
        <v>54.95</v>
      </c>
      <c r="S71" s="113" t="str">
        <f t="shared" si="9"/>
        <v>#DIV/0!</v>
      </c>
      <c r="T71" s="114"/>
      <c r="U71" s="114"/>
      <c r="V71" s="114"/>
      <c r="W71" s="114"/>
      <c r="X71" s="115"/>
      <c r="Y71" s="98"/>
      <c r="Z71" s="98"/>
    </row>
    <row r="72" hidden="1" outlineLevel="1">
      <c r="A72" s="293"/>
      <c r="B72" s="116"/>
      <c r="C72" s="294" t="s">
        <v>41</v>
      </c>
      <c r="D72" s="186">
        <v>910.4</v>
      </c>
      <c r="E72" s="169">
        <v>9.0</v>
      </c>
      <c r="F72" s="169">
        <v>8.0</v>
      </c>
      <c r="G72" s="104">
        <f t="shared" si="1"/>
        <v>1.125</v>
      </c>
      <c r="H72" s="105">
        <f t="shared" si="2"/>
        <v>101.1555556</v>
      </c>
      <c r="I72" s="106">
        <f t="shared" si="3"/>
        <v>89.91604938</v>
      </c>
      <c r="J72" s="132">
        <v>8.7</v>
      </c>
      <c r="K72" s="314">
        <v>0.0</v>
      </c>
      <c r="L72" s="103">
        <v>2.0</v>
      </c>
      <c r="M72" s="133">
        <v>110.0</v>
      </c>
      <c r="N72" s="109">
        <f t="shared" si="4"/>
        <v>0.07909090909</v>
      </c>
      <c r="O72" s="110">
        <f t="shared" si="5"/>
        <v>12.64367816</v>
      </c>
      <c r="P72" s="109">
        <f t="shared" si="6"/>
        <v>0.009556239016</v>
      </c>
      <c r="Q72" s="111">
        <f t="shared" si="7"/>
        <v>0.1208260105</v>
      </c>
      <c r="R72" s="134">
        <f t="shared" si="27"/>
        <v>800.4</v>
      </c>
      <c r="S72" s="113">
        <f t="shared" si="9"/>
        <v>4.35</v>
      </c>
      <c r="T72" s="114"/>
      <c r="U72" s="114"/>
      <c r="V72" s="114"/>
      <c r="W72" s="114"/>
      <c r="X72" s="115"/>
      <c r="Y72" s="98"/>
      <c r="Z72" s="98"/>
    </row>
    <row r="73" hidden="1" outlineLevel="1">
      <c r="A73" s="293"/>
      <c r="B73" s="116"/>
      <c r="C73" s="294" t="s">
        <v>42</v>
      </c>
      <c r="D73" s="177">
        <v>0.0</v>
      </c>
      <c r="E73" s="169">
        <v>0.0</v>
      </c>
      <c r="F73" s="169">
        <v>0.0</v>
      </c>
      <c r="G73" s="104" t="str">
        <f t="shared" si="1"/>
        <v>#DIV/0!</v>
      </c>
      <c r="H73" s="105" t="str">
        <f t="shared" si="2"/>
        <v>#DIV/0!</v>
      </c>
      <c r="I73" s="106" t="str">
        <f t="shared" si="3"/>
        <v>#DIV/0!</v>
      </c>
      <c r="J73" s="120">
        <v>0.0</v>
      </c>
      <c r="K73" s="314">
        <v>6163.0</v>
      </c>
      <c r="L73" s="103">
        <v>0.0</v>
      </c>
      <c r="M73" s="121">
        <v>0.0</v>
      </c>
      <c r="N73" s="109" t="str">
        <f t="shared" si="4"/>
        <v>#DIV/0!</v>
      </c>
      <c r="O73" s="110" t="str">
        <f t="shared" si="5"/>
        <v>#DIV/0!</v>
      </c>
      <c r="P73" s="109" t="str">
        <f t="shared" si="6"/>
        <v>#DIV/0!</v>
      </c>
      <c r="Q73" s="111" t="str">
        <f t="shared" si="7"/>
        <v>#DIV/0!</v>
      </c>
      <c r="R73" s="122">
        <f t="shared" si="27"/>
        <v>0</v>
      </c>
      <c r="S73" s="113" t="str">
        <f t="shared" si="9"/>
        <v>#DIV/0!</v>
      </c>
      <c r="T73" s="114"/>
      <c r="U73" s="114"/>
      <c r="V73" s="114"/>
      <c r="W73" s="114"/>
      <c r="X73" s="115"/>
      <c r="Y73" s="98"/>
      <c r="Z73" s="98"/>
    </row>
    <row r="74" hidden="1" outlineLevel="1">
      <c r="A74" s="293"/>
      <c r="B74" s="116"/>
      <c r="C74" s="294" t="s">
        <v>43</v>
      </c>
      <c r="D74" s="188">
        <v>0.0</v>
      </c>
      <c r="E74" s="169">
        <v>0.0</v>
      </c>
      <c r="F74" s="169">
        <v>0.0</v>
      </c>
      <c r="G74" s="104" t="str">
        <f t="shared" si="1"/>
        <v>#DIV/0!</v>
      </c>
      <c r="H74" s="105" t="str">
        <f t="shared" si="2"/>
        <v>#DIV/0!</v>
      </c>
      <c r="I74" s="106" t="str">
        <f t="shared" si="3"/>
        <v>#DIV/0!</v>
      </c>
      <c r="J74" s="135">
        <v>0.0</v>
      </c>
      <c r="K74" s="314">
        <v>0.0</v>
      </c>
      <c r="L74" s="103">
        <v>0.0</v>
      </c>
      <c r="M74" s="136">
        <v>0.0</v>
      </c>
      <c r="N74" s="109" t="str">
        <f t="shared" si="4"/>
        <v>#DIV/0!</v>
      </c>
      <c r="O74" s="110" t="str">
        <f t="shared" si="5"/>
        <v>#DIV/0!</v>
      </c>
      <c r="P74" s="109" t="str">
        <f t="shared" si="6"/>
        <v>#DIV/0!</v>
      </c>
      <c r="Q74" s="111" t="str">
        <f t="shared" si="7"/>
        <v>#DIV/0!</v>
      </c>
      <c r="R74" s="137">
        <f t="shared" si="27"/>
        <v>0</v>
      </c>
      <c r="S74" s="113" t="str">
        <f t="shared" si="9"/>
        <v>#DIV/0!</v>
      </c>
      <c r="T74" s="114"/>
      <c r="U74" s="114"/>
      <c r="V74" s="114"/>
      <c r="W74" s="114"/>
      <c r="X74" s="115"/>
      <c r="Y74" s="98"/>
      <c r="Z74" s="98"/>
    </row>
    <row r="75" hidden="1" outlineLevel="1">
      <c r="A75" s="293"/>
      <c r="B75" s="116"/>
      <c r="C75" s="294" t="s">
        <v>44</v>
      </c>
      <c r="D75" s="190">
        <v>0.0</v>
      </c>
      <c r="E75" s="169">
        <v>0.0</v>
      </c>
      <c r="F75" s="169">
        <v>0.0</v>
      </c>
      <c r="G75" s="104" t="str">
        <f t="shared" si="1"/>
        <v>#DIV/0!</v>
      </c>
      <c r="H75" s="105" t="str">
        <f t="shared" si="2"/>
        <v>#DIV/0!</v>
      </c>
      <c r="I75" s="106" t="str">
        <f t="shared" si="3"/>
        <v>#DIV/0!</v>
      </c>
      <c r="J75" s="138">
        <v>0.76</v>
      </c>
      <c r="K75" s="314">
        <v>1120.0</v>
      </c>
      <c r="L75" s="103">
        <v>0.0</v>
      </c>
      <c r="M75" s="139">
        <v>0.0</v>
      </c>
      <c r="N75" s="109" t="str">
        <f t="shared" si="4"/>
        <v>#DIV/0!</v>
      </c>
      <c r="O75" s="110">
        <f t="shared" si="5"/>
        <v>0</v>
      </c>
      <c r="P75" s="109" t="str">
        <f t="shared" si="6"/>
        <v>#DIV/0!</v>
      </c>
      <c r="Q75" s="111" t="str">
        <f t="shared" si="7"/>
        <v>#DIV/0!</v>
      </c>
      <c r="R75" s="140">
        <f t="shared" si="27"/>
        <v>0</v>
      </c>
      <c r="S75" s="113" t="str">
        <f t="shared" si="9"/>
        <v>#DIV/0!</v>
      </c>
      <c r="T75" s="114"/>
      <c r="U75" s="114"/>
      <c r="V75" s="114"/>
      <c r="W75" s="114"/>
      <c r="X75" s="115"/>
      <c r="Y75" s="98"/>
      <c r="Z75" s="98"/>
    </row>
    <row r="76" hidden="1" outlineLevel="1">
      <c r="A76" s="413"/>
      <c r="B76" s="116"/>
      <c r="C76" s="380" t="s">
        <v>45</v>
      </c>
      <c r="D76" s="167">
        <v>0.0</v>
      </c>
      <c r="E76" s="169">
        <v>0.0</v>
      </c>
      <c r="F76" s="169">
        <v>0.0</v>
      </c>
      <c r="G76" s="104" t="str">
        <f t="shared" si="1"/>
        <v>#DIV/0!</v>
      </c>
      <c r="H76" s="105" t="str">
        <f t="shared" si="2"/>
        <v>#DIV/0!</v>
      </c>
      <c r="I76" s="106" t="str">
        <f t="shared" si="3"/>
        <v>#DIV/0!</v>
      </c>
      <c r="J76" s="101">
        <v>0.0</v>
      </c>
      <c r="K76" s="314">
        <v>0.0</v>
      </c>
      <c r="L76" s="103">
        <v>0.0</v>
      </c>
      <c r="M76" s="108">
        <v>0.0</v>
      </c>
      <c r="N76" s="109" t="str">
        <f t="shared" si="4"/>
        <v>#DIV/0!</v>
      </c>
      <c r="O76" s="110" t="str">
        <f t="shared" si="5"/>
        <v>#DIV/0!</v>
      </c>
      <c r="P76" s="109" t="str">
        <f t="shared" si="6"/>
        <v>#DIV/0!</v>
      </c>
      <c r="Q76" s="111" t="str">
        <f t="shared" si="7"/>
        <v>#DIV/0!</v>
      </c>
      <c r="R76" s="112">
        <f t="shared" si="27"/>
        <v>0</v>
      </c>
      <c r="S76" s="113" t="str">
        <f t="shared" si="9"/>
        <v>#DIV/0!</v>
      </c>
      <c r="T76" s="143"/>
      <c r="U76" s="143"/>
      <c r="V76" s="143"/>
      <c r="W76" s="144"/>
      <c r="X76" s="145"/>
      <c r="Y76" s="98"/>
      <c r="Z76" s="98"/>
    </row>
    <row r="77" hidden="1" outlineLevel="1">
      <c r="A77" s="310"/>
      <c r="B77" s="99"/>
      <c r="C77" s="294" t="s">
        <v>46</v>
      </c>
      <c r="D77" s="196">
        <v>239.7</v>
      </c>
      <c r="E77" s="169">
        <v>6.0</v>
      </c>
      <c r="F77" s="169">
        <v>5.0</v>
      </c>
      <c r="G77" s="104">
        <f t="shared" si="1"/>
        <v>1.2</v>
      </c>
      <c r="H77" s="105">
        <f t="shared" si="2"/>
        <v>39.95</v>
      </c>
      <c r="I77" s="106">
        <f t="shared" si="3"/>
        <v>33.29166667</v>
      </c>
      <c r="J77" s="146">
        <v>52.14</v>
      </c>
      <c r="K77" s="314">
        <v>26589.0</v>
      </c>
      <c r="L77" s="103">
        <v>3.0</v>
      </c>
      <c r="M77" s="147">
        <v>119.85</v>
      </c>
      <c r="N77" s="109">
        <f t="shared" si="4"/>
        <v>0.4350438048</v>
      </c>
      <c r="O77" s="110">
        <f t="shared" si="5"/>
        <v>2.298619102</v>
      </c>
      <c r="P77" s="109">
        <f t="shared" si="6"/>
        <v>0.2175219024</v>
      </c>
      <c r="Q77" s="111">
        <f t="shared" si="7"/>
        <v>0.5</v>
      </c>
      <c r="R77" s="112">
        <f t="shared" si="27"/>
        <v>119.85</v>
      </c>
      <c r="S77" s="113">
        <f t="shared" si="9"/>
        <v>17.38</v>
      </c>
      <c r="T77" s="114"/>
      <c r="U77" s="114"/>
      <c r="V77" s="114"/>
      <c r="W77" s="114"/>
      <c r="X77" s="115"/>
      <c r="Y77" s="98"/>
      <c r="Z77" s="98"/>
    </row>
    <row r="78" hidden="1" outlineLevel="1">
      <c r="A78" s="310" t="str">
        <f t="shared" ref="A78:A79" si="28">iferror(if(B78&gt;0,month(B78)&amp;"-"&amp;year(B78),B78),)</f>
        <v>10-2024</v>
      </c>
      <c r="B78" s="99">
        <v>45584.0</v>
      </c>
      <c r="C78" s="207" t="s">
        <v>49</v>
      </c>
      <c r="D78" s="196">
        <v>0.0</v>
      </c>
      <c r="E78" s="169">
        <v>0.0</v>
      </c>
      <c r="F78" s="169">
        <v>0.0</v>
      </c>
      <c r="G78" s="104" t="str">
        <f t="shared" si="1"/>
        <v>#DIV/0!</v>
      </c>
      <c r="H78" s="105" t="str">
        <f t="shared" si="2"/>
        <v>#DIV/0!</v>
      </c>
      <c r="I78" s="106" t="str">
        <f t="shared" si="3"/>
        <v>#DIV/0!</v>
      </c>
      <c r="J78" s="196">
        <v>0.0</v>
      </c>
      <c r="K78" s="314">
        <v>0.0</v>
      </c>
      <c r="L78" s="169">
        <v>0.0</v>
      </c>
      <c r="M78" s="197">
        <v>0.0</v>
      </c>
      <c r="N78" s="109" t="str">
        <f t="shared" si="4"/>
        <v>#DIV/0!</v>
      </c>
      <c r="O78" s="110" t="str">
        <f t="shared" si="5"/>
        <v>#DIV/0!</v>
      </c>
      <c r="P78" s="109" t="str">
        <f t="shared" si="6"/>
        <v>#DIV/0!</v>
      </c>
      <c r="Q78" s="111" t="str">
        <f t="shared" si="7"/>
        <v>#DIV/0!</v>
      </c>
      <c r="R78" s="112">
        <f t="shared" si="27"/>
        <v>0</v>
      </c>
      <c r="S78" s="113" t="str">
        <f t="shared" si="9"/>
        <v>#DIV/0!</v>
      </c>
      <c r="T78" s="114"/>
      <c r="U78" s="114"/>
      <c r="V78" s="114"/>
      <c r="W78" s="114"/>
      <c r="X78" s="115"/>
      <c r="Y78" s="98"/>
      <c r="Z78" s="98"/>
    </row>
    <row r="79" collapsed="1">
      <c r="A79" s="413" t="str">
        <f t="shared" si="28"/>
        <v/>
      </c>
      <c r="B79" s="362" t="s">
        <v>129</v>
      </c>
      <c r="C79" s="414"/>
      <c r="D79" s="364">
        <f t="shared" ref="D79:F79" si="29">SUM(D62:D77)</f>
        <v>4385.12</v>
      </c>
      <c r="E79" s="366">
        <f t="shared" si="29"/>
        <v>55</v>
      </c>
      <c r="F79" s="366">
        <f t="shared" si="29"/>
        <v>57</v>
      </c>
      <c r="G79" s="367">
        <f t="shared" si="1"/>
        <v>0.9649122807</v>
      </c>
      <c r="H79" s="365">
        <f t="shared" si="2"/>
        <v>79.72945455</v>
      </c>
      <c r="I79" s="368">
        <f t="shared" si="3"/>
        <v>82.62870744</v>
      </c>
      <c r="J79" s="369">
        <f>SUM(J62:J78)</f>
        <v>555.42</v>
      </c>
      <c r="K79" s="370">
        <f>SUM(K62:K77)</f>
        <v>314642</v>
      </c>
      <c r="L79" s="366">
        <f t="shared" ref="L79:M79" si="30">SUM(L62:L78)</f>
        <v>14</v>
      </c>
      <c r="M79" s="364">
        <f t="shared" si="30"/>
        <v>913.49</v>
      </c>
      <c r="N79" s="371">
        <f t="shared" si="4"/>
        <v>0.6080197922</v>
      </c>
      <c r="O79" s="372">
        <f t="shared" si="5"/>
        <v>1.644683303</v>
      </c>
      <c r="P79" s="371">
        <f t="shared" si="6"/>
        <v>0.1266601598</v>
      </c>
      <c r="Q79" s="373">
        <f t="shared" si="7"/>
        <v>0.20831585</v>
      </c>
      <c r="R79" s="374">
        <f>SUM(R62:R77)</f>
        <v>3471.63</v>
      </c>
      <c r="S79" s="375">
        <f t="shared" si="9"/>
        <v>39.67285714</v>
      </c>
      <c r="T79" s="415" t="str">
        <f t="shared" ref="T79:U79" si="31">IFERROR((D79-#REF!)/D79,)</f>
        <v/>
      </c>
      <c r="U79" s="415" t="str">
        <f t="shared" si="31"/>
        <v/>
      </c>
      <c r="V79" s="377" t="str">
        <f t="shared" ref="V79:W79" si="32">IFERROR((D79-monthly_reporting_2021!D49)/D79, )</f>
        <v/>
      </c>
      <c r="W79" s="378" t="str">
        <f t="shared" si="32"/>
        <v/>
      </c>
      <c r="X79" s="98"/>
      <c r="Y79" s="98"/>
      <c r="Z79" s="98"/>
    </row>
    <row r="80" hidden="1" outlineLevel="1">
      <c r="A80" s="293"/>
      <c r="B80" s="99">
        <v>45585.0</v>
      </c>
      <c r="C80" s="294" t="s">
        <v>32</v>
      </c>
      <c r="D80" s="167">
        <v>1007.89</v>
      </c>
      <c r="E80" s="169">
        <v>4.0</v>
      </c>
      <c r="F80" s="169">
        <v>3.0</v>
      </c>
      <c r="G80" s="104">
        <f t="shared" si="1"/>
        <v>1.333333333</v>
      </c>
      <c r="H80" s="105">
        <f t="shared" si="2"/>
        <v>251.9725</v>
      </c>
      <c r="I80" s="106">
        <f t="shared" si="3"/>
        <v>188.979375</v>
      </c>
      <c r="J80" s="101">
        <v>78.67</v>
      </c>
      <c r="K80" s="314">
        <v>11254.0</v>
      </c>
      <c r="L80" s="103">
        <v>2.0</v>
      </c>
      <c r="M80" s="108">
        <v>109.9</v>
      </c>
      <c r="N80" s="109">
        <f t="shared" si="4"/>
        <v>0.7158325751</v>
      </c>
      <c r="O80" s="110">
        <f t="shared" si="5"/>
        <v>1.396974704</v>
      </c>
      <c r="P80" s="109">
        <f t="shared" si="6"/>
        <v>0.07805415273</v>
      </c>
      <c r="Q80" s="111">
        <f t="shared" si="7"/>
        <v>0.1090396769</v>
      </c>
      <c r="R80" s="112">
        <f t="shared" ref="R80:R96" si="33">D80-M80</f>
        <v>897.99</v>
      </c>
      <c r="S80" s="113">
        <f t="shared" si="9"/>
        <v>39.335</v>
      </c>
      <c r="T80" s="114"/>
      <c r="U80" s="114"/>
      <c r="V80" s="114"/>
      <c r="W80" s="114"/>
      <c r="X80" s="115"/>
      <c r="Y80" s="98"/>
      <c r="Z80" s="98"/>
    </row>
    <row r="81" hidden="1" outlineLevel="1">
      <c r="A81" s="293"/>
      <c r="B81" s="116"/>
      <c r="C81" s="294" t="s">
        <v>33</v>
      </c>
      <c r="D81" s="175">
        <v>1644.35</v>
      </c>
      <c r="E81" s="169">
        <v>14.0</v>
      </c>
      <c r="F81" s="169">
        <v>14.0</v>
      </c>
      <c r="G81" s="104">
        <f t="shared" si="1"/>
        <v>1</v>
      </c>
      <c r="H81" s="105">
        <f t="shared" si="2"/>
        <v>117.4535714</v>
      </c>
      <c r="I81" s="106">
        <f t="shared" si="3"/>
        <v>117.4535714</v>
      </c>
      <c r="J81" s="117">
        <v>5.0</v>
      </c>
      <c r="K81" s="314">
        <v>936.0</v>
      </c>
      <c r="L81" s="103">
        <v>0.0</v>
      </c>
      <c r="M81" s="118">
        <v>0.0</v>
      </c>
      <c r="N81" s="109" t="str">
        <f t="shared" si="4"/>
        <v>#DIV/0!</v>
      </c>
      <c r="O81" s="110">
        <f t="shared" si="5"/>
        <v>0</v>
      </c>
      <c r="P81" s="109">
        <f t="shared" si="6"/>
        <v>0.003040715176</v>
      </c>
      <c r="Q81" s="111">
        <f t="shared" si="7"/>
        <v>0</v>
      </c>
      <c r="R81" s="119">
        <f t="shared" si="33"/>
        <v>1644.35</v>
      </c>
      <c r="S81" s="113" t="str">
        <f t="shared" si="9"/>
        <v>#DIV/0!</v>
      </c>
      <c r="T81" s="114"/>
      <c r="U81" s="114"/>
      <c r="V81" s="114"/>
      <c r="W81" s="114"/>
      <c r="X81" s="115"/>
      <c r="Y81" s="98"/>
      <c r="Z81" s="98"/>
    </row>
    <row r="82" hidden="1" outlineLevel="1">
      <c r="A82" s="293"/>
      <c r="B82" s="116"/>
      <c r="C82" s="294" t="s">
        <v>34</v>
      </c>
      <c r="D82" s="177">
        <v>0.0</v>
      </c>
      <c r="E82" s="169">
        <v>0.0</v>
      </c>
      <c r="F82" s="169">
        <v>0.0</v>
      </c>
      <c r="G82" s="104" t="str">
        <f t="shared" si="1"/>
        <v>#DIV/0!</v>
      </c>
      <c r="H82" s="105" t="str">
        <f t="shared" si="2"/>
        <v>#DIV/0!</v>
      </c>
      <c r="I82" s="106" t="str">
        <f t="shared" si="3"/>
        <v>#DIV/0!</v>
      </c>
      <c r="J82" s="120">
        <v>0.0</v>
      </c>
      <c r="K82" s="314">
        <v>0.0</v>
      </c>
      <c r="L82" s="103">
        <v>0.0</v>
      </c>
      <c r="M82" s="121">
        <v>0.0</v>
      </c>
      <c r="N82" s="109" t="str">
        <f t="shared" si="4"/>
        <v>#DIV/0!</v>
      </c>
      <c r="O82" s="110" t="str">
        <f t="shared" si="5"/>
        <v>#DIV/0!</v>
      </c>
      <c r="P82" s="109" t="str">
        <f t="shared" si="6"/>
        <v>#DIV/0!</v>
      </c>
      <c r="Q82" s="111" t="str">
        <f t="shared" si="7"/>
        <v>#DIV/0!</v>
      </c>
      <c r="R82" s="122">
        <f t="shared" si="33"/>
        <v>0</v>
      </c>
      <c r="S82" s="113" t="str">
        <f t="shared" si="9"/>
        <v>#DIV/0!</v>
      </c>
      <c r="T82" s="114"/>
      <c r="U82" s="114"/>
      <c r="V82" s="114"/>
      <c r="W82" s="114"/>
      <c r="X82" s="115"/>
      <c r="Y82" s="98"/>
      <c r="Z82" s="98"/>
    </row>
    <row r="83" hidden="1" outlineLevel="1">
      <c r="A83" s="293"/>
      <c r="B83" s="116"/>
      <c r="C83" s="294" t="s">
        <v>35</v>
      </c>
      <c r="D83" s="177">
        <v>839.3</v>
      </c>
      <c r="E83" s="169">
        <v>14.0</v>
      </c>
      <c r="F83" s="169">
        <v>11.0</v>
      </c>
      <c r="G83" s="104">
        <f t="shared" si="1"/>
        <v>1.272727273</v>
      </c>
      <c r="H83" s="105">
        <f t="shared" si="2"/>
        <v>59.95</v>
      </c>
      <c r="I83" s="106">
        <f t="shared" si="3"/>
        <v>47.10357143</v>
      </c>
      <c r="J83" s="120">
        <v>104.64</v>
      </c>
      <c r="K83" s="314">
        <v>7815.0</v>
      </c>
      <c r="L83" s="103">
        <v>10.0</v>
      </c>
      <c r="M83" s="121">
        <v>599.5</v>
      </c>
      <c r="N83" s="109">
        <f t="shared" si="4"/>
        <v>0.1745454545</v>
      </c>
      <c r="O83" s="110">
        <f t="shared" si="5"/>
        <v>5.729166667</v>
      </c>
      <c r="P83" s="109">
        <f t="shared" si="6"/>
        <v>0.1246753247</v>
      </c>
      <c r="Q83" s="111">
        <f t="shared" si="7"/>
        <v>0.7142857143</v>
      </c>
      <c r="R83" s="122">
        <f t="shared" si="33"/>
        <v>239.8</v>
      </c>
      <c r="S83" s="113">
        <f t="shared" si="9"/>
        <v>10.464</v>
      </c>
      <c r="T83" s="114"/>
      <c r="U83" s="114"/>
      <c r="V83" s="114"/>
      <c r="W83" s="114"/>
      <c r="X83" s="115"/>
      <c r="Y83" s="98"/>
      <c r="Z83" s="98"/>
    </row>
    <row r="84" hidden="1" outlineLevel="1">
      <c r="A84" s="293"/>
      <c r="B84" s="116"/>
      <c r="C84" s="200" t="s">
        <v>65</v>
      </c>
      <c r="D84" s="320">
        <v>0.0</v>
      </c>
      <c r="E84" s="169">
        <v>0.0</v>
      </c>
      <c r="F84" s="169">
        <v>0.0</v>
      </c>
      <c r="G84" s="104" t="str">
        <f t="shared" si="1"/>
        <v>#DIV/0!</v>
      </c>
      <c r="H84" s="105" t="str">
        <f t="shared" si="2"/>
        <v>#DIV/0!</v>
      </c>
      <c r="I84" s="106" t="str">
        <f t="shared" si="3"/>
        <v>#DIV/0!</v>
      </c>
      <c r="J84" s="300">
        <v>0.0</v>
      </c>
      <c r="K84" s="314">
        <v>0.0</v>
      </c>
      <c r="L84" s="103">
        <v>0.0</v>
      </c>
      <c r="M84" s="300">
        <v>0.0</v>
      </c>
      <c r="N84" s="109" t="str">
        <f t="shared" si="4"/>
        <v>#DIV/0!</v>
      </c>
      <c r="O84" s="110" t="str">
        <f t="shared" si="5"/>
        <v>#DIV/0!</v>
      </c>
      <c r="P84" s="109" t="str">
        <f t="shared" si="6"/>
        <v>#DIV/0!</v>
      </c>
      <c r="Q84" s="111" t="str">
        <f t="shared" si="7"/>
        <v>#DIV/0!</v>
      </c>
      <c r="R84" s="122">
        <f t="shared" si="33"/>
        <v>0</v>
      </c>
      <c r="S84" s="113" t="str">
        <f t="shared" si="9"/>
        <v>#DIV/0!</v>
      </c>
      <c r="T84" s="114"/>
      <c r="U84" s="114"/>
      <c r="V84" s="114"/>
      <c r="W84" s="114"/>
      <c r="X84" s="115"/>
      <c r="Y84" s="98"/>
      <c r="Z84" s="98"/>
    </row>
    <row r="85" hidden="1" outlineLevel="1">
      <c r="A85" s="293"/>
      <c r="B85" s="116"/>
      <c r="C85" s="294" t="s">
        <v>85</v>
      </c>
      <c r="D85" s="321">
        <v>0.0</v>
      </c>
      <c r="E85" s="169">
        <v>0.0</v>
      </c>
      <c r="F85" s="169">
        <v>0.0</v>
      </c>
      <c r="G85" s="104" t="str">
        <f t="shared" si="1"/>
        <v>#DIV/0!</v>
      </c>
      <c r="H85" s="105" t="str">
        <f t="shared" si="2"/>
        <v>#DIV/0!</v>
      </c>
      <c r="I85" s="106" t="str">
        <f t="shared" si="3"/>
        <v>#DIV/0!</v>
      </c>
      <c r="J85" s="302">
        <v>30.78</v>
      </c>
      <c r="K85" s="314">
        <v>0.0</v>
      </c>
      <c r="L85" s="103">
        <v>0.0</v>
      </c>
      <c r="M85" s="303">
        <v>0.0</v>
      </c>
      <c r="N85" s="109" t="str">
        <f t="shared" si="4"/>
        <v>#DIV/0!</v>
      </c>
      <c r="O85" s="110">
        <f t="shared" si="5"/>
        <v>0</v>
      </c>
      <c r="P85" s="109" t="str">
        <f t="shared" si="6"/>
        <v>#DIV/0!</v>
      </c>
      <c r="Q85" s="111" t="str">
        <f t="shared" si="7"/>
        <v>#DIV/0!</v>
      </c>
      <c r="R85" s="304">
        <f t="shared" si="33"/>
        <v>0</v>
      </c>
      <c r="S85" s="113" t="str">
        <f t="shared" si="9"/>
        <v>#DIV/0!</v>
      </c>
      <c r="T85" s="114"/>
      <c r="U85" s="114"/>
      <c r="V85" s="114"/>
      <c r="W85" s="114"/>
      <c r="X85" s="115"/>
      <c r="Y85" s="98"/>
      <c r="Z85" s="98"/>
    </row>
    <row r="86" hidden="1" outlineLevel="1">
      <c r="A86" s="293"/>
      <c r="B86" s="116"/>
      <c r="C86" s="294" t="s">
        <v>36</v>
      </c>
      <c r="D86" s="177">
        <v>489.88</v>
      </c>
      <c r="E86" s="169">
        <v>8.0</v>
      </c>
      <c r="F86" s="169">
        <v>7.0</v>
      </c>
      <c r="G86" s="104">
        <f t="shared" si="1"/>
        <v>1.142857143</v>
      </c>
      <c r="H86" s="105">
        <f t="shared" si="2"/>
        <v>61.235</v>
      </c>
      <c r="I86" s="106">
        <f t="shared" si="3"/>
        <v>53.580625</v>
      </c>
      <c r="J86" s="120">
        <v>16.17</v>
      </c>
      <c r="K86" s="314">
        <v>14312.0</v>
      </c>
      <c r="L86" s="103">
        <v>2.0</v>
      </c>
      <c r="M86" s="121">
        <v>139.9</v>
      </c>
      <c r="N86" s="109">
        <f t="shared" si="4"/>
        <v>0.115582559</v>
      </c>
      <c r="O86" s="110">
        <f t="shared" si="5"/>
        <v>8.651824366</v>
      </c>
      <c r="P86" s="109">
        <f t="shared" si="6"/>
        <v>0.03300808361</v>
      </c>
      <c r="Q86" s="111">
        <f t="shared" si="7"/>
        <v>0.2855801421</v>
      </c>
      <c r="R86" s="122">
        <f t="shared" si="33"/>
        <v>349.98</v>
      </c>
      <c r="S86" s="113">
        <f t="shared" si="9"/>
        <v>8.085</v>
      </c>
      <c r="T86" s="114"/>
      <c r="U86" s="114"/>
      <c r="V86" s="114"/>
      <c r="W86" s="114"/>
      <c r="X86" s="115"/>
      <c r="Y86" s="98"/>
      <c r="Z86" s="98"/>
    </row>
    <row r="87" hidden="1" outlineLevel="1">
      <c r="A87" s="293"/>
      <c r="B87" s="99" t="s">
        <v>37</v>
      </c>
      <c r="C87" s="294" t="s">
        <v>38</v>
      </c>
      <c r="D87" s="180">
        <v>24.95</v>
      </c>
      <c r="E87" s="169">
        <v>1.0</v>
      </c>
      <c r="F87" s="169">
        <v>1.0</v>
      </c>
      <c r="G87" s="104">
        <f t="shared" si="1"/>
        <v>1</v>
      </c>
      <c r="H87" s="105">
        <f t="shared" si="2"/>
        <v>24.95</v>
      </c>
      <c r="I87" s="106">
        <f t="shared" si="3"/>
        <v>24.95</v>
      </c>
      <c r="J87" s="123">
        <v>6.47</v>
      </c>
      <c r="K87" s="314">
        <v>2898.0</v>
      </c>
      <c r="L87" s="103">
        <v>1.0</v>
      </c>
      <c r="M87" s="124">
        <v>24.95</v>
      </c>
      <c r="N87" s="109">
        <f t="shared" si="4"/>
        <v>0.2593186373</v>
      </c>
      <c r="O87" s="110">
        <f t="shared" si="5"/>
        <v>3.85625966</v>
      </c>
      <c r="P87" s="109">
        <f t="shared" si="6"/>
        <v>0.2593186373</v>
      </c>
      <c r="Q87" s="111">
        <f t="shared" si="7"/>
        <v>1</v>
      </c>
      <c r="R87" s="125">
        <f t="shared" si="33"/>
        <v>0</v>
      </c>
      <c r="S87" s="113">
        <f t="shared" si="9"/>
        <v>6.47</v>
      </c>
      <c r="T87" s="114"/>
      <c r="U87" s="114"/>
      <c r="V87" s="114"/>
      <c r="W87" s="114"/>
      <c r="X87" s="115"/>
      <c r="Y87" s="98"/>
      <c r="Z87" s="98"/>
    </row>
    <row r="88" hidden="1" outlineLevel="1">
      <c r="A88" s="293"/>
      <c r="B88" s="116"/>
      <c r="C88" s="294" t="s">
        <v>39</v>
      </c>
      <c r="D88" s="182">
        <v>263.95</v>
      </c>
      <c r="E88" s="169">
        <v>2.0</v>
      </c>
      <c r="F88" s="169">
        <v>2.0</v>
      </c>
      <c r="G88" s="104">
        <f t="shared" si="1"/>
        <v>1</v>
      </c>
      <c r="H88" s="105">
        <f t="shared" si="2"/>
        <v>131.975</v>
      </c>
      <c r="I88" s="106">
        <f t="shared" si="3"/>
        <v>131.975</v>
      </c>
      <c r="J88" s="126">
        <v>88.43</v>
      </c>
      <c r="K88" s="314">
        <v>2279.0</v>
      </c>
      <c r="L88" s="103">
        <v>1.0</v>
      </c>
      <c r="M88" s="127">
        <v>99.95</v>
      </c>
      <c r="N88" s="109">
        <f t="shared" si="4"/>
        <v>0.8847423712</v>
      </c>
      <c r="O88" s="110">
        <f t="shared" si="5"/>
        <v>1.130272532</v>
      </c>
      <c r="P88" s="109">
        <f t="shared" si="6"/>
        <v>0.335025573</v>
      </c>
      <c r="Q88" s="111">
        <f t="shared" si="7"/>
        <v>0.3786702027</v>
      </c>
      <c r="R88" s="128">
        <f t="shared" si="33"/>
        <v>164</v>
      </c>
      <c r="S88" s="113">
        <f t="shared" si="9"/>
        <v>88.43</v>
      </c>
      <c r="T88" s="114"/>
      <c r="U88" s="114"/>
      <c r="V88" s="114"/>
      <c r="W88" s="114"/>
      <c r="X88" s="115"/>
      <c r="Y88" s="98"/>
      <c r="Z88" s="98"/>
    </row>
    <row r="89" hidden="1" outlineLevel="1">
      <c r="A89" s="293"/>
      <c r="B89" s="116"/>
      <c r="C89" s="294" t="s">
        <v>40</v>
      </c>
      <c r="D89" s="184">
        <v>0.0</v>
      </c>
      <c r="E89" s="169">
        <v>0.0</v>
      </c>
      <c r="F89" s="169">
        <v>0.0</v>
      </c>
      <c r="G89" s="104" t="str">
        <f t="shared" si="1"/>
        <v>#DIV/0!</v>
      </c>
      <c r="H89" s="105" t="str">
        <f t="shared" si="2"/>
        <v>#DIV/0!</v>
      </c>
      <c r="I89" s="106" t="str">
        <f t="shared" si="3"/>
        <v>#DIV/0!</v>
      </c>
      <c r="J89" s="129">
        <v>0.0</v>
      </c>
      <c r="K89" s="314">
        <v>169671.0</v>
      </c>
      <c r="L89" s="103">
        <v>0.0</v>
      </c>
      <c r="M89" s="130">
        <v>0.0</v>
      </c>
      <c r="N89" s="109" t="str">
        <f t="shared" si="4"/>
        <v>#DIV/0!</v>
      </c>
      <c r="O89" s="110" t="str">
        <f t="shared" si="5"/>
        <v>#DIV/0!</v>
      </c>
      <c r="P89" s="109" t="str">
        <f t="shared" si="6"/>
        <v>#DIV/0!</v>
      </c>
      <c r="Q89" s="111" t="str">
        <f t="shared" si="7"/>
        <v>#DIV/0!</v>
      </c>
      <c r="R89" s="131">
        <f t="shared" si="33"/>
        <v>0</v>
      </c>
      <c r="S89" s="113" t="str">
        <f t="shared" si="9"/>
        <v>#DIV/0!</v>
      </c>
      <c r="T89" s="114"/>
      <c r="U89" s="114"/>
      <c r="V89" s="114"/>
      <c r="W89" s="114"/>
      <c r="X89" s="115"/>
      <c r="Y89" s="98"/>
      <c r="Z89" s="98"/>
    </row>
    <row r="90" hidden="1" outlineLevel="1">
      <c r="A90" s="293"/>
      <c r="B90" s="116"/>
      <c r="C90" s="294" t="s">
        <v>41</v>
      </c>
      <c r="D90" s="186">
        <v>2096.83</v>
      </c>
      <c r="E90" s="169">
        <v>20.0</v>
      </c>
      <c r="F90" s="169">
        <v>17.0</v>
      </c>
      <c r="G90" s="104">
        <f t="shared" si="1"/>
        <v>1.176470588</v>
      </c>
      <c r="H90" s="105">
        <f t="shared" si="2"/>
        <v>104.8415</v>
      </c>
      <c r="I90" s="106">
        <f t="shared" si="3"/>
        <v>89.115275</v>
      </c>
      <c r="J90" s="132">
        <v>13.26</v>
      </c>
      <c r="K90" s="314">
        <v>0.0</v>
      </c>
      <c r="L90" s="103">
        <v>3.0</v>
      </c>
      <c r="M90" s="133">
        <v>366.7</v>
      </c>
      <c r="N90" s="109">
        <f t="shared" si="4"/>
        <v>0.03616034906</v>
      </c>
      <c r="O90" s="110">
        <f t="shared" si="5"/>
        <v>27.6546003</v>
      </c>
      <c r="P90" s="109">
        <f t="shared" si="6"/>
        <v>0.006323831689</v>
      </c>
      <c r="Q90" s="111">
        <f t="shared" si="7"/>
        <v>0.1748830377</v>
      </c>
      <c r="R90" s="134">
        <f t="shared" si="33"/>
        <v>1730.13</v>
      </c>
      <c r="S90" s="113">
        <f t="shared" si="9"/>
        <v>4.42</v>
      </c>
      <c r="T90" s="114"/>
      <c r="U90" s="114"/>
      <c r="V90" s="114"/>
      <c r="W90" s="114"/>
      <c r="X90" s="115"/>
      <c r="Y90" s="98"/>
      <c r="Z90" s="98"/>
    </row>
    <row r="91" hidden="1" outlineLevel="1">
      <c r="A91" s="293"/>
      <c r="B91" s="116"/>
      <c r="C91" s="294" t="s">
        <v>42</v>
      </c>
      <c r="D91" s="177">
        <v>0.0</v>
      </c>
      <c r="E91" s="169">
        <v>0.0</v>
      </c>
      <c r="F91" s="169">
        <v>0.0</v>
      </c>
      <c r="G91" s="104" t="str">
        <f t="shared" si="1"/>
        <v>#DIV/0!</v>
      </c>
      <c r="H91" s="105" t="str">
        <f t="shared" si="2"/>
        <v>#DIV/0!</v>
      </c>
      <c r="I91" s="106" t="str">
        <f t="shared" si="3"/>
        <v>#DIV/0!</v>
      </c>
      <c r="J91" s="120">
        <v>0.0</v>
      </c>
      <c r="K91" s="314">
        <v>6681.0</v>
      </c>
      <c r="L91" s="103">
        <v>0.0</v>
      </c>
      <c r="M91" s="121">
        <v>0.0</v>
      </c>
      <c r="N91" s="109" t="str">
        <f t="shared" si="4"/>
        <v>#DIV/0!</v>
      </c>
      <c r="O91" s="110" t="str">
        <f t="shared" si="5"/>
        <v>#DIV/0!</v>
      </c>
      <c r="P91" s="109" t="str">
        <f t="shared" si="6"/>
        <v>#DIV/0!</v>
      </c>
      <c r="Q91" s="111" t="str">
        <f t="shared" si="7"/>
        <v>#DIV/0!</v>
      </c>
      <c r="R91" s="122">
        <f t="shared" si="33"/>
        <v>0</v>
      </c>
      <c r="S91" s="113" t="str">
        <f t="shared" si="9"/>
        <v>#DIV/0!</v>
      </c>
      <c r="T91" s="114"/>
      <c r="U91" s="114"/>
      <c r="V91" s="114"/>
      <c r="W91" s="114"/>
      <c r="X91" s="115"/>
      <c r="Y91" s="98"/>
      <c r="Z91" s="98"/>
    </row>
    <row r="92" hidden="1" outlineLevel="1">
      <c r="A92" s="293"/>
      <c r="B92" s="116"/>
      <c r="C92" s="294" t="s">
        <v>43</v>
      </c>
      <c r="D92" s="188">
        <v>0.0</v>
      </c>
      <c r="E92" s="169">
        <v>0.0</v>
      </c>
      <c r="F92" s="169">
        <v>0.0</v>
      </c>
      <c r="G92" s="104" t="str">
        <f t="shared" si="1"/>
        <v>#DIV/0!</v>
      </c>
      <c r="H92" s="105" t="str">
        <f t="shared" si="2"/>
        <v>#DIV/0!</v>
      </c>
      <c r="I92" s="106" t="str">
        <f t="shared" si="3"/>
        <v>#DIV/0!</v>
      </c>
      <c r="J92" s="135">
        <v>0.0</v>
      </c>
      <c r="K92" s="314">
        <v>0.0</v>
      </c>
      <c r="L92" s="103">
        <v>0.0</v>
      </c>
      <c r="M92" s="136">
        <v>0.0</v>
      </c>
      <c r="N92" s="109" t="str">
        <f t="shared" si="4"/>
        <v>#DIV/0!</v>
      </c>
      <c r="O92" s="110" t="str">
        <f t="shared" si="5"/>
        <v>#DIV/0!</v>
      </c>
      <c r="P92" s="109" t="str">
        <f t="shared" si="6"/>
        <v>#DIV/0!</v>
      </c>
      <c r="Q92" s="111" t="str">
        <f t="shared" si="7"/>
        <v>#DIV/0!</v>
      </c>
      <c r="R92" s="137">
        <f t="shared" si="33"/>
        <v>0</v>
      </c>
      <c r="S92" s="113" t="str">
        <f t="shared" si="9"/>
        <v>#DIV/0!</v>
      </c>
      <c r="T92" s="114"/>
      <c r="U92" s="114"/>
      <c r="V92" s="114"/>
      <c r="W92" s="114"/>
      <c r="X92" s="115"/>
      <c r="Y92" s="98"/>
      <c r="Z92" s="98"/>
    </row>
    <row r="93" hidden="1" outlineLevel="1">
      <c r="A93" s="293"/>
      <c r="B93" s="116"/>
      <c r="C93" s="294" t="s">
        <v>44</v>
      </c>
      <c r="D93" s="190">
        <v>179.85</v>
      </c>
      <c r="E93" s="169">
        <v>3.0</v>
      </c>
      <c r="F93" s="169">
        <v>3.0</v>
      </c>
      <c r="G93" s="104">
        <f t="shared" si="1"/>
        <v>1</v>
      </c>
      <c r="H93" s="105">
        <f t="shared" si="2"/>
        <v>59.95</v>
      </c>
      <c r="I93" s="106">
        <f t="shared" si="3"/>
        <v>59.95</v>
      </c>
      <c r="J93" s="138">
        <v>0.0</v>
      </c>
      <c r="K93" s="314">
        <v>611.0</v>
      </c>
      <c r="L93" s="103">
        <v>0.0</v>
      </c>
      <c r="M93" s="139">
        <v>0.0</v>
      </c>
      <c r="N93" s="109" t="str">
        <f t="shared" si="4"/>
        <v>#DIV/0!</v>
      </c>
      <c r="O93" s="110" t="str">
        <f t="shared" si="5"/>
        <v>#DIV/0!</v>
      </c>
      <c r="P93" s="109">
        <f t="shared" si="6"/>
        <v>0</v>
      </c>
      <c r="Q93" s="111">
        <f t="shared" si="7"/>
        <v>0</v>
      </c>
      <c r="R93" s="140">
        <f t="shared" si="33"/>
        <v>179.85</v>
      </c>
      <c r="S93" s="113" t="str">
        <f t="shared" si="9"/>
        <v>#DIV/0!</v>
      </c>
      <c r="T93" s="114"/>
      <c r="U93" s="114"/>
      <c r="V93" s="114"/>
      <c r="W93" s="114"/>
      <c r="X93" s="115"/>
      <c r="Y93" s="98"/>
      <c r="Z93" s="98"/>
    </row>
    <row r="94" hidden="1" outlineLevel="1">
      <c r="A94" s="413"/>
      <c r="B94" s="116"/>
      <c r="C94" s="380" t="s">
        <v>45</v>
      </c>
      <c r="D94" s="167">
        <v>0.0</v>
      </c>
      <c r="E94" s="169">
        <v>0.0</v>
      </c>
      <c r="F94" s="169">
        <v>0.0</v>
      </c>
      <c r="G94" s="104" t="str">
        <f t="shared" si="1"/>
        <v>#DIV/0!</v>
      </c>
      <c r="H94" s="105" t="str">
        <f t="shared" si="2"/>
        <v>#DIV/0!</v>
      </c>
      <c r="I94" s="106" t="str">
        <f t="shared" si="3"/>
        <v>#DIV/0!</v>
      </c>
      <c r="J94" s="101">
        <v>0.0</v>
      </c>
      <c r="K94" s="314">
        <v>0.0</v>
      </c>
      <c r="L94" s="103">
        <v>0.0</v>
      </c>
      <c r="M94" s="108">
        <v>0.0</v>
      </c>
      <c r="N94" s="109" t="str">
        <f t="shared" si="4"/>
        <v>#DIV/0!</v>
      </c>
      <c r="O94" s="110" t="str">
        <f t="shared" si="5"/>
        <v>#DIV/0!</v>
      </c>
      <c r="P94" s="109" t="str">
        <f t="shared" si="6"/>
        <v>#DIV/0!</v>
      </c>
      <c r="Q94" s="111" t="str">
        <f t="shared" si="7"/>
        <v>#DIV/0!</v>
      </c>
      <c r="R94" s="112">
        <f t="shared" si="33"/>
        <v>0</v>
      </c>
      <c r="S94" s="113" t="str">
        <f t="shared" si="9"/>
        <v>#DIV/0!</v>
      </c>
      <c r="T94" s="143"/>
      <c r="U94" s="143"/>
      <c r="V94" s="143"/>
      <c r="W94" s="144"/>
      <c r="X94" s="145"/>
      <c r="Y94" s="98"/>
      <c r="Z94" s="98"/>
    </row>
    <row r="95" hidden="1" outlineLevel="1">
      <c r="A95" s="310"/>
      <c r="B95" s="99"/>
      <c r="C95" s="294" t="s">
        <v>46</v>
      </c>
      <c r="D95" s="196">
        <v>319.6</v>
      </c>
      <c r="E95" s="169">
        <v>8.0</v>
      </c>
      <c r="F95" s="169">
        <v>9.0</v>
      </c>
      <c r="G95" s="104">
        <f t="shared" si="1"/>
        <v>0.8888888889</v>
      </c>
      <c r="H95" s="105">
        <f t="shared" si="2"/>
        <v>39.95</v>
      </c>
      <c r="I95" s="106">
        <f t="shared" si="3"/>
        <v>44.94375</v>
      </c>
      <c r="J95" s="146">
        <v>34.48</v>
      </c>
      <c r="K95" s="314">
        <v>29173.0</v>
      </c>
      <c r="L95" s="103">
        <v>3.0</v>
      </c>
      <c r="M95" s="147">
        <v>119.85</v>
      </c>
      <c r="N95" s="109">
        <f t="shared" si="4"/>
        <v>0.2876929495</v>
      </c>
      <c r="O95" s="110">
        <f t="shared" si="5"/>
        <v>3.475928074</v>
      </c>
      <c r="P95" s="109">
        <f t="shared" si="6"/>
        <v>0.1078848561</v>
      </c>
      <c r="Q95" s="111">
        <f t="shared" si="7"/>
        <v>0.375</v>
      </c>
      <c r="R95" s="112">
        <f t="shared" si="33"/>
        <v>199.75</v>
      </c>
      <c r="S95" s="113">
        <f t="shared" si="9"/>
        <v>11.49333333</v>
      </c>
      <c r="T95" s="114"/>
      <c r="U95" s="114"/>
      <c r="V95" s="114"/>
      <c r="W95" s="114"/>
      <c r="X95" s="115"/>
      <c r="Y95" s="98"/>
      <c r="Z95" s="98"/>
    </row>
    <row r="96" hidden="1" outlineLevel="1">
      <c r="A96" s="310" t="str">
        <f t="shared" ref="A96:A97" si="34">iferror(if(B96&gt;0,month(B96)&amp;"-"&amp;year(B96),B96),)</f>
        <v>10-2024</v>
      </c>
      <c r="B96" s="99">
        <v>45591.0</v>
      </c>
      <c r="C96" s="207" t="s">
        <v>49</v>
      </c>
      <c r="D96" s="196">
        <v>0.0</v>
      </c>
      <c r="E96" s="169">
        <v>0.0</v>
      </c>
      <c r="F96" s="169">
        <v>0.0</v>
      </c>
      <c r="G96" s="104" t="str">
        <f t="shared" si="1"/>
        <v>#DIV/0!</v>
      </c>
      <c r="H96" s="105" t="str">
        <f t="shared" si="2"/>
        <v>#DIV/0!</v>
      </c>
      <c r="I96" s="106" t="str">
        <f t="shared" si="3"/>
        <v>#DIV/0!</v>
      </c>
      <c r="J96" s="196">
        <v>0.0</v>
      </c>
      <c r="K96" s="314">
        <v>0.0</v>
      </c>
      <c r="L96" s="169">
        <v>0.0</v>
      </c>
      <c r="M96" s="197">
        <v>0.0</v>
      </c>
      <c r="N96" s="109" t="str">
        <f t="shared" si="4"/>
        <v>#DIV/0!</v>
      </c>
      <c r="O96" s="110" t="str">
        <f t="shared" si="5"/>
        <v>#DIV/0!</v>
      </c>
      <c r="P96" s="109" t="str">
        <f t="shared" si="6"/>
        <v>#DIV/0!</v>
      </c>
      <c r="Q96" s="111" t="str">
        <f t="shared" si="7"/>
        <v>#DIV/0!</v>
      </c>
      <c r="R96" s="112">
        <f t="shared" si="33"/>
        <v>0</v>
      </c>
      <c r="S96" s="113" t="str">
        <f t="shared" si="9"/>
        <v>#DIV/0!</v>
      </c>
      <c r="T96" s="114"/>
      <c r="U96" s="114"/>
      <c r="V96" s="114"/>
      <c r="W96" s="114"/>
      <c r="X96" s="115"/>
      <c r="Y96" s="98"/>
      <c r="Z96" s="98"/>
    </row>
    <row r="97" collapsed="1">
      <c r="A97" s="413" t="str">
        <f t="shared" si="34"/>
        <v/>
      </c>
      <c r="B97" s="362" t="s">
        <v>130</v>
      </c>
      <c r="C97" s="414"/>
      <c r="D97" s="364">
        <f t="shared" ref="D97:F97" si="35">SUM(D80:D95)</f>
        <v>6866.6</v>
      </c>
      <c r="E97" s="366">
        <f t="shared" si="35"/>
        <v>74</v>
      </c>
      <c r="F97" s="366">
        <f t="shared" si="35"/>
        <v>67</v>
      </c>
      <c r="G97" s="367">
        <f t="shared" si="1"/>
        <v>1.104477612</v>
      </c>
      <c r="H97" s="365">
        <f t="shared" si="2"/>
        <v>92.79189189</v>
      </c>
      <c r="I97" s="368">
        <f t="shared" si="3"/>
        <v>84.0142805</v>
      </c>
      <c r="J97" s="369">
        <f>SUM(J80:J96)</f>
        <v>377.9</v>
      </c>
      <c r="K97" s="370">
        <f>SUM(K80:K95)</f>
        <v>245630</v>
      </c>
      <c r="L97" s="366">
        <f t="shared" ref="L97:M97" si="36">SUM(L80:L96)</f>
        <v>22</v>
      </c>
      <c r="M97" s="364">
        <f t="shared" si="36"/>
        <v>1460.75</v>
      </c>
      <c r="N97" s="371">
        <f t="shared" si="4"/>
        <v>0.2587027212</v>
      </c>
      <c r="O97" s="372">
        <f t="shared" si="5"/>
        <v>3.865440593</v>
      </c>
      <c r="P97" s="371">
        <f t="shared" si="6"/>
        <v>0.0550345149</v>
      </c>
      <c r="Q97" s="373">
        <f t="shared" si="7"/>
        <v>0.2127326479</v>
      </c>
      <c r="R97" s="374">
        <f>SUM(R80:R95)</f>
        <v>5405.85</v>
      </c>
      <c r="S97" s="375">
        <f t="shared" si="9"/>
        <v>17.17727273</v>
      </c>
      <c r="T97" s="415" t="str">
        <f t="shared" ref="T97:U97" si="37">IFERROR((D97-#REF!)/D97,)</f>
        <v/>
      </c>
      <c r="U97" s="415" t="str">
        <f t="shared" si="37"/>
        <v/>
      </c>
      <c r="V97" s="377" t="str">
        <f t="shared" ref="V97:W97" si="38">IFERROR((D97-monthly_reporting_2021!D49)/D97, )</f>
        <v/>
      </c>
      <c r="W97" s="378" t="str">
        <f t="shared" si="38"/>
        <v/>
      </c>
      <c r="X97" s="98"/>
      <c r="Y97" s="98"/>
      <c r="Z97" s="98"/>
    </row>
    <row r="98" hidden="1" outlineLevel="1">
      <c r="A98" s="293"/>
      <c r="B98" s="99">
        <v>45592.0</v>
      </c>
      <c r="C98" s="294" t="s">
        <v>32</v>
      </c>
      <c r="D98" s="167">
        <v>2135.9</v>
      </c>
      <c r="E98" s="169">
        <v>6.0</v>
      </c>
      <c r="F98" s="169">
        <v>5.0</v>
      </c>
      <c r="G98" s="104">
        <f t="shared" si="1"/>
        <v>1.2</v>
      </c>
      <c r="H98" s="105">
        <f t="shared" si="2"/>
        <v>355.9833333</v>
      </c>
      <c r="I98" s="106">
        <f t="shared" si="3"/>
        <v>296.6527778</v>
      </c>
      <c r="J98" s="101">
        <v>109.16</v>
      </c>
      <c r="K98" s="314">
        <v>13239.0</v>
      </c>
      <c r="L98" s="103">
        <v>3.0</v>
      </c>
      <c r="M98" s="108">
        <v>1557.0</v>
      </c>
      <c r="N98" s="109">
        <f t="shared" si="4"/>
        <v>0.07010918433</v>
      </c>
      <c r="O98" s="110">
        <f t="shared" si="5"/>
        <v>14.26346647</v>
      </c>
      <c r="P98" s="109">
        <f t="shared" si="6"/>
        <v>0.05110726158</v>
      </c>
      <c r="Q98" s="111">
        <f t="shared" si="7"/>
        <v>0.7289667119</v>
      </c>
      <c r="R98" s="112">
        <f t="shared" ref="R98:R114" si="39">D98-M98</f>
        <v>578.9</v>
      </c>
      <c r="S98" s="113">
        <f t="shared" si="9"/>
        <v>36.38666667</v>
      </c>
      <c r="T98" s="114"/>
      <c r="U98" s="114"/>
      <c r="V98" s="114"/>
      <c r="W98" s="114"/>
      <c r="X98" s="115"/>
      <c r="Y98" s="98"/>
      <c r="Z98" s="98"/>
    </row>
    <row r="99" hidden="1" outlineLevel="1">
      <c r="A99" s="293"/>
      <c r="B99" s="116"/>
      <c r="C99" s="294" t="s">
        <v>33</v>
      </c>
      <c r="D99" s="175">
        <v>2231.55</v>
      </c>
      <c r="E99" s="169">
        <v>33.0</v>
      </c>
      <c r="F99" s="169">
        <v>15.0</v>
      </c>
      <c r="G99" s="104">
        <f t="shared" si="1"/>
        <v>2.2</v>
      </c>
      <c r="H99" s="105">
        <f t="shared" si="2"/>
        <v>67.62272727</v>
      </c>
      <c r="I99" s="106">
        <f t="shared" si="3"/>
        <v>30.73760331</v>
      </c>
      <c r="J99" s="117">
        <v>0.0</v>
      </c>
      <c r="K99" s="314">
        <v>581.0</v>
      </c>
      <c r="L99" s="103">
        <v>0.0</v>
      </c>
      <c r="M99" s="118">
        <v>0.0</v>
      </c>
      <c r="N99" s="109" t="str">
        <f t="shared" si="4"/>
        <v>#DIV/0!</v>
      </c>
      <c r="O99" s="110" t="str">
        <f t="shared" si="5"/>
        <v>#DIV/0!</v>
      </c>
      <c r="P99" s="109">
        <f t="shared" si="6"/>
        <v>0</v>
      </c>
      <c r="Q99" s="111">
        <f t="shared" si="7"/>
        <v>0</v>
      </c>
      <c r="R99" s="119">
        <f t="shared" si="39"/>
        <v>2231.55</v>
      </c>
      <c r="S99" s="113" t="str">
        <f t="shared" si="9"/>
        <v>#DIV/0!</v>
      </c>
      <c r="T99" s="114"/>
      <c r="U99" s="114"/>
      <c r="V99" s="114"/>
      <c r="W99" s="114"/>
      <c r="X99" s="115"/>
      <c r="Y99" s="98"/>
      <c r="Z99" s="98"/>
    </row>
    <row r="100" hidden="1" outlineLevel="1">
      <c r="A100" s="293"/>
      <c r="B100" s="116"/>
      <c r="C100" s="294" t="s">
        <v>34</v>
      </c>
      <c r="D100" s="177">
        <v>0.0</v>
      </c>
      <c r="E100" s="169">
        <v>0.0</v>
      </c>
      <c r="F100" s="169">
        <v>0.0</v>
      </c>
      <c r="G100" s="104" t="str">
        <f t="shared" si="1"/>
        <v>#DIV/0!</v>
      </c>
      <c r="H100" s="105" t="str">
        <f t="shared" si="2"/>
        <v>#DIV/0!</v>
      </c>
      <c r="I100" s="106" t="str">
        <f t="shared" si="3"/>
        <v>#DIV/0!</v>
      </c>
      <c r="J100" s="120">
        <v>0.0</v>
      </c>
      <c r="K100" s="314">
        <v>0.0</v>
      </c>
      <c r="L100" s="103">
        <v>0.0</v>
      </c>
      <c r="M100" s="121">
        <v>0.0</v>
      </c>
      <c r="N100" s="109" t="str">
        <f t="shared" si="4"/>
        <v>#DIV/0!</v>
      </c>
      <c r="O100" s="110" t="str">
        <f t="shared" si="5"/>
        <v>#DIV/0!</v>
      </c>
      <c r="P100" s="109" t="str">
        <f t="shared" si="6"/>
        <v>#DIV/0!</v>
      </c>
      <c r="Q100" s="111" t="str">
        <f t="shared" si="7"/>
        <v>#DIV/0!</v>
      </c>
      <c r="R100" s="122">
        <f t="shared" si="39"/>
        <v>0</v>
      </c>
      <c r="S100" s="113" t="str">
        <f t="shared" si="9"/>
        <v>#DIV/0!</v>
      </c>
      <c r="T100" s="114"/>
      <c r="U100" s="114"/>
      <c r="V100" s="114"/>
      <c r="W100" s="114"/>
      <c r="X100" s="115"/>
      <c r="Y100" s="98"/>
      <c r="Z100" s="98"/>
    </row>
    <row r="101" hidden="1" outlineLevel="1">
      <c r="A101" s="293"/>
      <c r="B101" s="116"/>
      <c r="C101" s="294" t="s">
        <v>35</v>
      </c>
      <c r="D101" s="177">
        <v>299.75</v>
      </c>
      <c r="E101" s="169">
        <v>5.0</v>
      </c>
      <c r="F101" s="169">
        <v>5.0</v>
      </c>
      <c r="G101" s="104">
        <f t="shared" si="1"/>
        <v>1</v>
      </c>
      <c r="H101" s="105">
        <f t="shared" si="2"/>
        <v>59.95</v>
      </c>
      <c r="I101" s="106">
        <f t="shared" si="3"/>
        <v>59.95</v>
      </c>
      <c r="J101" s="120">
        <v>100.59</v>
      </c>
      <c r="K101" s="314">
        <v>8112.0</v>
      </c>
      <c r="L101" s="103">
        <v>5.0</v>
      </c>
      <c r="M101" s="121">
        <v>299.75</v>
      </c>
      <c r="N101" s="109">
        <f t="shared" si="4"/>
        <v>0.3355796497</v>
      </c>
      <c r="O101" s="110">
        <f t="shared" si="5"/>
        <v>2.979918481</v>
      </c>
      <c r="P101" s="109">
        <f t="shared" si="6"/>
        <v>0.3355796497</v>
      </c>
      <c r="Q101" s="111">
        <f t="shared" si="7"/>
        <v>1</v>
      </c>
      <c r="R101" s="122">
        <f t="shared" si="39"/>
        <v>0</v>
      </c>
      <c r="S101" s="113">
        <f t="shared" si="9"/>
        <v>20.118</v>
      </c>
      <c r="T101" s="114"/>
      <c r="U101" s="114"/>
      <c r="V101" s="114"/>
      <c r="W101" s="114"/>
      <c r="X101" s="115"/>
      <c r="Y101" s="98"/>
      <c r="Z101" s="98"/>
    </row>
    <row r="102" hidden="1" outlineLevel="1">
      <c r="A102" s="293"/>
      <c r="B102" s="116"/>
      <c r="C102" s="200" t="s">
        <v>65</v>
      </c>
      <c r="D102" s="320">
        <v>108.0</v>
      </c>
      <c r="E102" s="169">
        <v>3.0</v>
      </c>
      <c r="F102" s="169">
        <v>2.0</v>
      </c>
      <c r="G102" s="104">
        <f t="shared" si="1"/>
        <v>1.5</v>
      </c>
      <c r="H102" s="105">
        <f t="shared" si="2"/>
        <v>36</v>
      </c>
      <c r="I102" s="106">
        <f t="shared" si="3"/>
        <v>24</v>
      </c>
      <c r="J102" s="300">
        <v>0.0</v>
      </c>
      <c r="K102" s="314">
        <v>0.0</v>
      </c>
      <c r="L102" s="103">
        <v>0.0</v>
      </c>
      <c r="M102" s="300">
        <v>0.0</v>
      </c>
      <c r="N102" s="109" t="str">
        <f t="shared" si="4"/>
        <v>#DIV/0!</v>
      </c>
      <c r="O102" s="110" t="str">
        <f t="shared" si="5"/>
        <v>#DIV/0!</v>
      </c>
      <c r="P102" s="109">
        <f t="shared" si="6"/>
        <v>0</v>
      </c>
      <c r="Q102" s="111">
        <f t="shared" si="7"/>
        <v>0</v>
      </c>
      <c r="R102" s="122">
        <f t="shared" si="39"/>
        <v>108</v>
      </c>
      <c r="S102" s="113" t="str">
        <f t="shared" si="9"/>
        <v>#DIV/0!</v>
      </c>
      <c r="T102" s="114"/>
      <c r="U102" s="114"/>
      <c r="V102" s="114"/>
      <c r="W102" s="114"/>
      <c r="X102" s="115"/>
      <c r="Y102" s="98"/>
      <c r="Z102" s="98"/>
    </row>
    <row r="103" hidden="1" outlineLevel="1">
      <c r="A103" s="293"/>
      <c r="B103" s="116"/>
      <c r="C103" s="294" t="s">
        <v>85</v>
      </c>
      <c r="D103" s="321">
        <v>301.69</v>
      </c>
      <c r="E103" s="169">
        <v>5.0</v>
      </c>
      <c r="F103" s="169">
        <v>4.0</v>
      </c>
      <c r="G103" s="104">
        <f t="shared" si="1"/>
        <v>1.25</v>
      </c>
      <c r="H103" s="105">
        <f t="shared" si="2"/>
        <v>60.338</v>
      </c>
      <c r="I103" s="106">
        <f t="shared" si="3"/>
        <v>48.2704</v>
      </c>
      <c r="J103" s="302">
        <v>21.31</v>
      </c>
      <c r="K103" s="314">
        <v>0.0</v>
      </c>
      <c r="L103" s="103">
        <v>2.0</v>
      </c>
      <c r="M103" s="303">
        <v>119.98</v>
      </c>
      <c r="N103" s="109">
        <f t="shared" si="4"/>
        <v>0.1776129355</v>
      </c>
      <c r="O103" s="110">
        <f t="shared" si="5"/>
        <v>5.630220554</v>
      </c>
      <c r="P103" s="109">
        <f t="shared" si="6"/>
        <v>0.07063542046</v>
      </c>
      <c r="Q103" s="111">
        <f t="shared" si="7"/>
        <v>0.3976929961</v>
      </c>
      <c r="R103" s="304">
        <f t="shared" si="39"/>
        <v>181.71</v>
      </c>
      <c r="S103" s="113">
        <f t="shared" si="9"/>
        <v>10.655</v>
      </c>
      <c r="T103" s="114"/>
      <c r="U103" s="114"/>
      <c r="V103" s="114"/>
      <c r="W103" s="114"/>
      <c r="X103" s="115"/>
      <c r="Y103" s="98"/>
      <c r="Z103" s="98"/>
    </row>
    <row r="104" hidden="1" outlineLevel="1">
      <c r="A104" s="293"/>
      <c r="B104" s="116"/>
      <c r="C104" s="294" t="s">
        <v>36</v>
      </c>
      <c r="D104" s="177">
        <v>689.45</v>
      </c>
      <c r="E104" s="169">
        <v>11.0</v>
      </c>
      <c r="F104" s="169">
        <v>7.0</v>
      </c>
      <c r="G104" s="104">
        <f t="shared" si="1"/>
        <v>1.571428571</v>
      </c>
      <c r="H104" s="105">
        <f t="shared" si="2"/>
        <v>62.67727273</v>
      </c>
      <c r="I104" s="106">
        <f t="shared" si="3"/>
        <v>39.88553719</v>
      </c>
      <c r="J104" s="120">
        <v>18.36</v>
      </c>
      <c r="K104" s="314">
        <v>15764.0</v>
      </c>
      <c r="L104" s="103">
        <v>2.0</v>
      </c>
      <c r="M104" s="121">
        <v>129.9</v>
      </c>
      <c r="N104" s="109">
        <f t="shared" si="4"/>
        <v>0.1413394919</v>
      </c>
      <c r="O104" s="110">
        <f t="shared" si="5"/>
        <v>7.075163399</v>
      </c>
      <c r="P104" s="109">
        <f t="shared" si="6"/>
        <v>0.0266299224</v>
      </c>
      <c r="Q104" s="111">
        <f t="shared" si="7"/>
        <v>0.1884110523</v>
      </c>
      <c r="R104" s="122">
        <f t="shared" si="39"/>
        <v>559.55</v>
      </c>
      <c r="S104" s="113">
        <f t="shared" si="9"/>
        <v>9.18</v>
      </c>
      <c r="T104" s="114"/>
      <c r="U104" s="114"/>
      <c r="V104" s="114"/>
      <c r="W104" s="114"/>
      <c r="X104" s="115"/>
      <c r="Y104" s="98"/>
      <c r="Z104" s="98"/>
    </row>
    <row r="105" hidden="1" outlineLevel="1">
      <c r="A105" s="293"/>
      <c r="B105" s="99" t="s">
        <v>37</v>
      </c>
      <c r="C105" s="294" t="s">
        <v>38</v>
      </c>
      <c r="D105" s="180">
        <v>32.95</v>
      </c>
      <c r="E105" s="169">
        <v>1.0</v>
      </c>
      <c r="F105" s="169">
        <v>1.0</v>
      </c>
      <c r="G105" s="104">
        <f t="shared" si="1"/>
        <v>1</v>
      </c>
      <c r="H105" s="105">
        <f t="shared" si="2"/>
        <v>32.95</v>
      </c>
      <c r="I105" s="106">
        <f t="shared" si="3"/>
        <v>32.95</v>
      </c>
      <c r="J105" s="123">
        <v>5.31</v>
      </c>
      <c r="K105" s="314">
        <v>3631.0</v>
      </c>
      <c r="L105" s="103">
        <v>1.0</v>
      </c>
      <c r="M105" s="124">
        <v>32.95</v>
      </c>
      <c r="N105" s="109">
        <f t="shared" si="4"/>
        <v>0.1611532625</v>
      </c>
      <c r="O105" s="110">
        <f t="shared" si="5"/>
        <v>6.20527307</v>
      </c>
      <c r="P105" s="109">
        <f t="shared" si="6"/>
        <v>0.1611532625</v>
      </c>
      <c r="Q105" s="111">
        <f t="shared" si="7"/>
        <v>1</v>
      </c>
      <c r="R105" s="125">
        <f t="shared" si="39"/>
        <v>0</v>
      </c>
      <c r="S105" s="113">
        <f t="shared" si="9"/>
        <v>5.31</v>
      </c>
      <c r="T105" s="114"/>
      <c r="U105" s="114"/>
      <c r="V105" s="114"/>
      <c r="W105" s="114"/>
      <c r="X105" s="115"/>
      <c r="Y105" s="98"/>
      <c r="Z105" s="98"/>
    </row>
    <row r="106" hidden="1" outlineLevel="1">
      <c r="A106" s="293"/>
      <c r="B106" s="116"/>
      <c r="C106" s="294" t="s">
        <v>39</v>
      </c>
      <c r="D106" s="182">
        <v>99.95</v>
      </c>
      <c r="E106" s="169">
        <v>1.0</v>
      </c>
      <c r="F106" s="169">
        <v>1.0</v>
      </c>
      <c r="G106" s="104">
        <f t="shared" si="1"/>
        <v>1</v>
      </c>
      <c r="H106" s="105">
        <f t="shared" si="2"/>
        <v>99.95</v>
      </c>
      <c r="I106" s="106">
        <f t="shared" si="3"/>
        <v>99.95</v>
      </c>
      <c r="J106" s="126">
        <v>9.35</v>
      </c>
      <c r="K106" s="314">
        <v>2765.0</v>
      </c>
      <c r="L106" s="103">
        <v>1.0</v>
      </c>
      <c r="M106" s="127">
        <v>99.95</v>
      </c>
      <c r="N106" s="109">
        <f t="shared" si="4"/>
        <v>0.09354677339</v>
      </c>
      <c r="O106" s="110">
        <f t="shared" si="5"/>
        <v>10.68983957</v>
      </c>
      <c r="P106" s="109">
        <f t="shared" si="6"/>
        <v>0.09354677339</v>
      </c>
      <c r="Q106" s="111">
        <f t="shared" si="7"/>
        <v>1</v>
      </c>
      <c r="R106" s="128">
        <f t="shared" si="39"/>
        <v>0</v>
      </c>
      <c r="S106" s="113">
        <f t="shared" si="9"/>
        <v>9.35</v>
      </c>
      <c r="T106" s="114"/>
      <c r="U106" s="114"/>
      <c r="V106" s="114"/>
      <c r="W106" s="114"/>
      <c r="X106" s="115"/>
      <c r="Y106" s="98"/>
      <c r="Z106" s="98"/>
    </row>
    <row r="107" hidden="1" outlineLevel="1">
      <c r="A107" s="293"/>
      <c r="B107" s="116"/>
      <c r="C107" s="294" t="s">
        <v>40</v>
      </c>
      <c r="D107" s="184">
        <v>0.0</v>
      </c>
      <c r="E107" s="169">
        <v>0.0</v>
      </c>
      <c r="F107" s="169">
        <v>0.0</v>
      </c>
      <c r="G107" s="104" t="str">
        <f t="shared" si="1"/>
        <v>#DIV/0!</v>
      </c>
      <c r="H107" s="105" t="str">
        <f t="shared" si="2"/>
        <v>#DIV/0!</v>
      </c>
      <c r="I107" s="106" t="str">
        <f t="shared" si="3"/>
        <v>#DIV/0!</v>
      </c>
      <c r="J107" s="129">
        <v>0.0</v>
      </c>
      <c r="K107" s="314">
        <v>165372.0</v>
      </c>
      <c r="L107" s="103">
        <v>0.0</v>
      </c>
      <c r="M107" s="130">
        <v>0.0</v>
      </c>
      <c r="N107" s="109" t="str">
        <f t="shared" si="4"/>
        <v>#DIV/0!</v>
      </c>
      <c r="O107" s="110" t="str">
        <f t="shared" si="5"/>
        <v>#DIV/0!</v>
      </c>
      <c r="P107" s="109" t="str">
        <f t="shared" si="6"/>
        <v>#DIV/0!</v>
      </c>
      <c r="Q107" s="111" t="str">
        <f t="shared" si="7"/>
        <v>#DIV/0!</v>
      </c>
      <c r="R107" s="131">
        <f t="shared" si="39"/>
        <v>0</v>
      </c>
      <c r="S107" s="113" t="str">
        <f t="shared" si="9"/>
        <v>#DIV/0!</v>
      </c>
      <c r="T107" s="114"/>
      <c r="U107" s="114"/>
      <c r="V107" s="114"/>
      <c r="W107" s="114"/>
      <c r="X107" s="115"/>
      <c r="Y107" s="98"/>
      <c r="Z107" s="98"/>
    </row>
    <row r="108" hidden="1" outlineLevel="1">
      <c r="A108" s="293"/>
      <c r="B108" s="116"/>
      <c r="C108" s="294" t="s">
        <v>41</v>
      </c>
      <c r="D108" s="186">
        <v>1271.73</v>
      </c>
      <c r="E108" s="169">
        <v>16.0</v>
      </c>
      <c r="F108" s="169">
        <v>14.0</v>
      </c>
      <c r="G108" s="104">
        <f t="shared" si="1"/>
        <v>1.142857143</v>
      </c>
      <c r="H108" s="105">
        <f t="shared" si="2"/>
        <v>79.483125</v>
      </c>
      <c r="I108" s="106">
        <f t="shared" si="3"/>
        <v>69.54773438</v>
      </c>
      <c r="J108" s="132">
        <v>7.53</v>
      </c>
      <c r="K108" s="314">
        <v>0.0</v>
      </c>
      <c r="L108" s="103">
        <v>5.0</v>
      </c>
      <c r="M108" s="133">
        <v>275.0</v>
      </c>
      <c r="N108" s="109">
        <f t="shared" si="4"/>
        <v>0.02738181818</v>
      </c>
      <c r="O108" s="110">
        <f t="shared" si="5"/>
        <v>36.52058433</v>
      </c>
      <c r="P108" s="109">
        <f t="shared" si="6"/>
        <v>0.005921068151</v>
      </c>
      <c r="Q108" s="111">
        <f t="shared" si="7"/>
        <v>0.2162408687</v>
      </c>
      <c r="R108" s="134">
        <f t="shared" si="39"/>
        <v>996.73</v>
      </c>
      <c r="S108" s="113">
        <f t="shared" si="9"/>
        <v>1.506</v>
      </c>
      <c r="T108" s="114"/>
      <c r="U108" s="114"/>
      <c r="V108" s="114"/>
      <c r="W108" s="114"/>
      <c r="X108" s="115"/>
      <c r="Y108" s="98"/>
      <c r="Z108" s="98"/>
    </row>
    <row r="109" hidden="1" outlineLevel="1">
      <c r="A109" s="293"/>
      <c r="B109" s="116"/>
      <c r="C109" s="294" t="s">
        <v>42</v>
      </c>
      <c r="D109" s="177">
        <v>0.0</v>
      </c>
      <c r="E109" s="169">
        <v>0.0</v>
      </c>
      <c r="F109" s="169">
        <v>0.0</v>
      </c>
      <c r="G109" s="104" t="str">
        <f t="shared" si="1"/>
        <v>#DIV/0!</v>
      </c>
      <c r="H109" s="105" t="str">
        <f t="shared" si="2"/>
        <v>#DIV/0!</v>
      </c>
      <c r="I109" s="106" t="str">
        <f t="shared" si="3"/>
        <v>#DIV/0!</v>
      </c>
      <c r="J109" s="120">
        <v>0.0</v>
      </c>
      <c r="K109" s="314">
        <v>5673.0</v>
      </c>
      <c r="L109" s="103">
        <v>0.0</v>
      </c>
      <c r="M109" s="121">
        <v>0.0</v>
      </c>
      <c r="N109" s="109" t="str">
        <f t="shared" si="4"/>
        <v>#DIV/0!</v>
      </c>
      <c r="O109" s="110" t="str">
        <f t="shared" si="5"/>
        <v>#DIV/0!</v>
      </c>
      <c r="P109" s="109" t="str">
        <f t="shared" si="6"/>
        <v>#DIV/0!</v>
      </c>
      <c r="Q109" s="111" t="str">
        <f t="shared" si="7"/>
        <v>#DIV/0!</v>
      </c>
      <c r="R109" s="122">
        <f t="shared" si="39"/>
        <v>0</v>
      </c>
      <c r="S109" s="113" t="str">
        <f t="shared" si="9"/>
        <v>#DIV/0!</v>
      </c>
      <c r="T109" s="114"/>
      <c r="U109" s="114"/>
      <c r="V109" s="114"/>
      <c r="W109" s="114"/>
      <c r="X109" s="115"/>
      <c r="Y109" s="98"/>
      <c r="Z109" s="98"/>
    </row>
    <row r="110" hidden="1" outlineLevel="1">
      <c r="A110" s="293"/>
      <c r="B110" s="116"/>
      <c r="C110" s="294" t="s">
        <v>43</v>
      </c>
      <c r="D110" s="188">
        <v>195.0</v>
      </c>
      <c r="E110" s="169">
        <v>1.0</v>
      </c>
      <c r="F110" s="169">
        <v>1.0</v>
      </c>
      <c r="G110" s="104">
        <f t="shared" si="1"/>
        <v>1</v>
      </c>
      <c r="H110" s="105">
        <f t="shared" si="2"/>
        <v>195</v>
      </c>
      <c r="I110" s="106">
        <f t="shared" si="3"/>
        <v>195</v>
      </c>
      <c r="J110" s="135">
        <v>0.0</v>
      </c>
      <c r="K110" s="314">
        <v>0.0</v>
      </c>
      <c r="L110" s="103">
        <v>0.0</v>
      </c>
      <c r="M110" s="136">
        <v>0.0</v>
      </c>
      <c r="N110" s="109" t="str">
        <f t="shared" si="4"/>
        <v>#DIV/0!</v>
      </c>
      <c r="O110" s="110" t="str">
        <f t="shared" si="5"/>
        <v>#DIV/0!</v>
      </c>
      <c r="P110" s="109">
        <f t="shared" si="6"/>
        <v>0</v>
      </c>
      <c r="Q110" s="111">
        <f t="shared" si="7"/>
        <v>0</v>
      </c>
      <c r="R110" s="137">
        <f t="shared" si="39"/>
        <v>195</v>
      </c>
      <c r="S110" s="113" t="str">
        <f t="shared" si="9"/>
        <v>#DIV/0!</v>
      </c>
      <c r="T110" s="114"/>
      <c r="U110" s="114"/>
      <c r="V110" s="114"/>
      <c r="W110" s="114"/>
      <c r="X110" s="115"/>
      <c r="Y110" s="98"/>
      <c r="Z110" s="98"/>
    </row>
    <row r="111" hidden="1" outlineLevel="1">
      <c r="A111" s="293"/>
      <c r="B111" s="116"/>
      <c r="C111" s="294" t="s">
        <v>44</v>
      </c>
      <c r="D111" s="190">
        <v>0.0</v>
      </c>
      <c r="E111" s="169">
        <v>0.0</v>
      </c>
      <c r="F111" s="169">
        <v>1.0</v>
      </c>
      <c r="G111" s="104">
        <f t="shared" si="1"/>
        <v>0</v>
      </c>
      <c r="H111" s="105" t="str">
        <f t="shared" si="2"/>
        <v>#DIV/0!</v>
      </c>
      <c r="I111" s="106" t="str">
        <f t="shared" si="3"/>
        <v>#DIV/0!</v>
      </c>
      <c r="J111" s="138">
        <v>0.8</v>
      </c>
      <c r="K111" s="314">
        <v>663.0</v>
      </c>
      <c r="L111" s="103">
        <v>0.0</v>
      </c>
      <c r="M111" s="139">
        <v>0.0</v>
      </c>
      <c r="N111" s="109" t="str">
        <f t="shared" si="4"/>
        <v>#DIV/0!</v>
      </c>
      <c r="O111" s="110">
        <f t="shared" si="5"/>
        <v>0</v>
      </c>
      <c r="P111" s="109" t="str">
        <f t="shared" si="6"/>
        <v>#DIV/0!</v>
      </c>
      <c r="Q111" s="111" t="str">
        <f t="shared" si="7"/>
        <v>#DIV/0!</v>
      </c>
      <c r="R111" s="140">
        <f t="shared" si="39"/>
        <v>0</v>
      </c>
      <c r="S111" s="113" t="str">
        <f t="shared" si="9"/>
        <v>#DIV/0!</v>
      </c>
      <c r="T111" s="114"/>
      <c r="U111" s="114"/>
      <c r="V111" s="114"/>
      <c r="W111" s="114"/>
      <c r="X111" s="115"/>
      <c r="Y111" s="98"/>
      <c r="Z111" s="98"/>
    </row>
    <row r="112" hidden="1" outlineLevel="1">
      <c r="A112" s="413"/>
      <c r="B112" s="116"/>
      <c r="C112" s="380" t="s">
        <v>45</v>
      </c>
      <c r="D112" s="167">
        <v>19.95</v>
      </c>
      <c r="E112" s="169">
        <v>1.0</v>
      </c>
      <c r="F112" s="169">
        <v>1.0</v>
      </c>
      <c r="G112" s="104">
        <f t="shared" si="1"/>
        <v>1</v>
      </c>
      <c r="H112" s="105">
        <f t="shared" si="2"/>
        <v>19.95</v>
      </c>
      <c r="I112" s="106">
        <f t="shared" si="3"/>
        <v>19.95</v>
      </c>
      <c r="J112" s="101">
        <v>0.0</v>
      </c>
      <c r="K112" s="314">
        <v>0.0</v>
      </c>
      <c r="L112" s="103">
        <v>0.0</v>
      </c>
      <c r="M112" s="108">
        <v>0.0</v>
      </c>
      <c r="N112" s="109" t="str">
        <f t="shared" si="4"/>
        <v>#DIV/0!</v>
      </c>
      <c r="O112" s="110" t="str">
        <f t="shared" si="5"/>
        <v>#DIV/0!</v>
      </c>
      <c r="P112" s="109">
        <f t="shared" si="6"/>
        <v>0</v>
      </c>
      <c r="Q112" s="111">
        <f t="shared" si="7"/>
        <v>0</v>
      </c>
      <c r="R112" s="112">
        <f t="shared" si="39"/>
        <v>19.95</v>
      </c>
      <c r="S112" s="113" t="str">
        <f t="shared" si="9"/>
        <v>#DIV/0!</v>
      </c>
      <c r="T112" s="143"/>
      <c r="U112" s="143"/>
      <c r="V112" s="143"/>
      <c r="W112" s="144"/>
      <c r="X112" s="145"/>
      <c r="Y112" s="98"/>
      <c r="Z112" s="98"/>
    </row>
    <row r="113" hidden="1" outlineLevel="1">
      <c r="A113" s="310"/>
      <c r="B113" s="99"/>
      <c r="C113" s="294" t="s">
        <v>46</v>
      </c>
      <c r="D113" s="196">
        <v>479.4</v>
      </c>
      <c r="E113" s="169">
        <v>12.0</v>
      </c>
      <c r="F113" s="169">
        <v>11.0</v>
      </c>
      <c r="G113" s="104">
        <f t="shared" si="1"/>
        <v>1.090909091</v>
      </c>
      <c r="H113" s="105">
        <f t="shared" si="2"/>
        <v>39.95</v>
      </c>
      <c r="I113" s="106">
        <f t="shared" si="3"/>
        <v>36.62083333</v>
      </c>
      <c r="J113" s="146">
        <v>33.35</v>
      </c>
      <c r="K113" s="314">
        <v>28007.0</v>
      </c>
      <c r="L113" s="103">
        <v>5.0</v>
      </c>
      <c r="M113" s="147">
        <v>199.75</v>
      </c>
      <c r="N113" s="109">
        <f t="shared" si="4"/>
        <v>0.1669586984</v>
      </c>
      <c r="O113" s="110">
        <f t="shared" si="5"/>
        <v>5.989505247</v>
      </c>
      <c r="P113" s="109">
        <f t="shared" si="6"/>
        <v>0.06956612432</v>
      </c>
      <c r="Q113" s="111">
        <f t="shared" si="7"/>
        <v>0.4166666667</v>
      </c>
      <c r="R113" s="112">
        <f t="shared" si="39"/>
        <v>279.65</v>
      </c>
      <c r="S113" s="113">
        <f t="shared" si="9"/>
        <v>6.67</v>
      </c>
      <c r="T113" s="114"/>
      <c r="U113" s="114"/>
      <c r="V113" s="114"/>
      <c r="W113" s="114"/>
      <c r="X113" s="115"/>
      <c r="Y113" s="98"/>
      <c r="Z113" s="98"/>
    </row>
    <row r="114" hidden="1" outlineLevel="1">
      <c r="A114" s="310" t="str">
        <f t="shared" ref="A114:A115" si="40">iferror(if(B114&gt;0,month(B114)&amp;"-"&amp;year(B114),B114),)</f>
        <v>11-2024</v>
      </c>
      <c r="B114" s="99">
        <v>45598.0</v>
      </c>
      <c r="C114" s="207" t="s">
        <v>49</v>
      </c>
      <c r="D114" s="196">
        <v>0.0</v>
      </c>
      <c r="E114" s="169">
        <v>0.0</v>
      </c>
      <c r="F114" s="169">
        <v>0.0</v>
      </c>
      <c r="G114" s="104" t="str">
        <f t="shared" si="1"/>
        <v>#DIV/0!</v>
      </c>
      <c r="H114" s="105" t="str">
        <f t="shared" si="2"/>
        <v>#DIV/0!</v>
      </c>
      <c r="I114" s="106" t="str">
        <f t="shared" si="3"/>
        <v>#DIV/0!</v>
      </c>
      <c r="J114" s="196">
        <v>0.0</v>
      </c>
      <c r="K114" s="314">
        <v>0.0</v>
      </c>
      <c r="L114" s="169">
        <v>0.0</v>
      </c>
      <c r="M114" s="197">
        <v>0.0</v>
      </c>
      <c r="N114" s="109" t="str">
        <f t="shared" si="4"/>
        <v>#DIV/0!</v>
      </c>
      <c r="O114" s="110" t="str">
        <f t="shared" si="5"/>
        <v>#DIV/0!</v>
      </c>
      <c r="P114" s="109" t="str">
        <f t="shared" si="6"/>
        <v>#DIV/0!</v>
      </c>
      <c r="Q114" s="111" t="str">
        <f t="shared" si="7"/>
        <v>#DIV/0!</v>
      </c>
      <c r="R114" s="112">
        <f t="shared" si="39"/>
        <v>0</v>
      </c>
      <c r="S114" s="113" t="str">
        <f t="shared" si="9"/>
        <v>#DIV/0!</v>
      </c>
      <c r="T114" s="114"/>
      <c r="U114" s="114"/>
      <c r="V114" s="114"/>
      <c r="W114" s="114"/>
      <c r="X114" s="115"/>
      <c r="Y114" s="98"/>
      <c r="Z114" s="98"/>
    </row>
    <row r="115" collapsed="1">
      <c r="A115" s="413" t="str">
        <f t="shared" si="40"/>
        <v/>
      </c>
      <c r="B115" s="362" t="s">
        <v>131</v>
      </c>
      <c r="C115" s="414"/>
      <c r="D115" s="364">
        <f t="shared" ref="D115:F115" si="41">SUM(D98:D113)</f>
        <v>7865.32</v>
      </c>
      <c r="E115" s="366">
        <f t="shared" si="41"/>
        <v>95</v>
      </c>
      <c r="F115" s="366">
        <f t="shared" si="41"/>
        <v>68</v>
      </c>
      <c r="G115" s="367">
        <f t="shared" si="1"/>
        <v>1.397058824</v>
      </c>
      <c r="H115" s="365">
        <f t="shared" si="2"/>
        <v>82.79284211</v>
      </c>
      <c r="I115" s="368">
        <f t="shared" si="3"/>
        <v>59.26224488</v>
      </c>
      <c r="J115" s="369">
        <f>SUM(J98:J114)</f>
        <v>305.76</v>
      </c>
      <c r="K115" s="370">
        <f>SUM(K98:K113)</f>
        <v>243807</v>
      </c>
      <c r="L115" s="366">
        <f t="shared" ref="L115:M115" si="42">SUM(L98:L114)</f>
        <v>24</v>
      </c>
      <c r="M115" s="364">
        <f t="shared" si="42"/>
        <v>2714.28</v>
      </c>
      <c r="N115" s="371">
        <f t="shared" si="4"/>
        <v>0.1126486582</v>
      </c>
      <c r="O115" s="372">
        <f t="shared" si="5"/>
        <v>8.877158556</v>
      </c>
      <c r="P115" s="371">
        <f t="shared" si="6"/>
        <v>0.03887445139</v>
      </c>
      <c r="Q115" s="373">
        <f t="shared" si="7"/>
        <v>0.3450946687</v>
      </c>
      <c r="R115" s="374">
        <f>SUM(R98:R113)</f>
        <v>5151.04</v>
      </c>
      <c r="S115" s="375">
        <f t="shared" si="9"/>
        <v>12.74</v>
      </c>
      <c r="T115" s="415" t="str">
        <f t="shared" ref="T115:U115" si="43">IFERROR((D115-#REF!)/D115,)</f>
        <v/>
      </c>
      <c r="U115" s="415" t="str">
        <f t="shared" si="43"/>
        <v/>
      </c>
      <c r="V115" s="377" t="str">
        <f t="shared" ref="V115:W115" si="44">IFERROR((D115-monthly_reporting_2021!D49)/D115, )</f>
        <v/>
      </c>
      <c r="W115" s="378" t="str">
        <f t="shared" si="44"/>
        <v/>
      </c>
      <c r="X115" s="98"/>
      <c r="Y115" s="98"/>
      <c r="Z115" s="98"/>
    </row>
    <row r="116" hidden="1" outlineLevel="1">
      <c r="A116" s="293"/>
      <c r="B116" s="99">
        <v>45599.0</v>
      </c>
      <c r="C116" s="294" t="s">
        <v>32</v>
      </c>
      <c r="D116" s="167">
        <v>3154.45</v>
      </c>
      <c r="E116" s="169">
        <v>10.0</v>
      </c>
      <c r="F116" s="169">
        <v>7.0</v>
      </c>
      <c r="G116" s="104">
        <f t="shared" si="1"/>
        <v>1.428571429</v>
      </c>
      <c r="H116" s="105">
        <f t="shared" si="2"/>
        <v>315.445</v>
      </c>
      <c r="I116" s="106">
        <f t="shared" si="3"/>
        <v>220.8115</v>
      </c>
      <c r="J116" s="101">
        <v>124.7</v>
      </c>
      <c r="K116" s="314">
        <v>17850.0</v>
      </c>
      <c r="L116" s="103">
        <v>5.0</v>
      </c>
      <c r="M116" s="108">
        <v>906.0</v>
      </c>
      <c r="N116" s="109">
        <f t="shared" si="4"/>
        <v>0.1376379691</v>
      </c>
      <c r="O116" s="110">
        <f t="shared" si="5"/>
        <v>7.265437049</v>
      </c>
      <c r="P116" s="109">
        <f t="shared" si="6"/>
        <v>0.03953145556</v>
      </c>
      <c r="Q116" s="111">
        <f t="shared" si="7"/>
        <v>0.2872133018</v>
      </c>
      <c r="R116" s="112">
        <f t="shared" ref="R116:R132" si="45">D116-M116</f>
        <v>2248.45</v>
      </c>
      <c r="S116" s="113">
        <f t="shared" si="9"/>
        <v>24.94</v>
      </c>
      <c r="T116" s="114"/>
      <c r="U116" s="114"/>
      <c r="V116" s="114"/>
      <c r="W116" s="114"/>
      <c r="X116" s="115"/>
      <c r="Y116" s="98"/>
      <c r="Z116" s="98"/>
    </row>
    <row r="117" hidden="1" outlineLevel="1">
      <c r="A117" s="293"/>
      <c r="B117" s="116"/>
      <c r="C117" s="294" t="s">
        <v>33</v>
      </c>
      <c r="D117" s="175">
        <v>1357.67</v>
      </c>
      <c r="E117" s="169">
        <v>14.0</v>
      </c>
      <c r="F117" s="169">
        <v>13.0</v>
      </c>
      <c r="G117" s="104">
        <f t="shared" si="1"/>
        <v>1.076923077</v>
      </c>
      <c r="H117" s="105">
        <f t="shared" si="2"/>
        <v>96.97642857</v>
      </c>
      <c r="I117" s="106">
        <f t="shared" si="3"/>
        <v>90.04954082</v>
      </c>
      <c r="J117" s="117">
        <v>3.02</v>
      </c>
      <c r="K117" s="314">
        <v>2205.0</v>
      </c>
      <c r="L117" s="103">
        <v>0.0</v>
      </c>
      <c r="M117" s="118">
        <v>0.0</v>
      </c>
      <c r="N117" s="109" t="str">
        <f t="shared" si="4"/>
        <v>#DIV/0!</v>
      </c>
      <c r="O117" s="110">
        <f t="shared" si="5"/>
        <v>0</v>
      </c>
      <c r="P117" s="109">
        <f t="shared" si="6"/>
        <v>0.002224399154</v>
      </c>
      <c r="Q117" s="111">
        <f t="shared" si="7"/>
        <v>0</v>
      </c>
      <c r="R117" s="119">
        <f t="shared" si="45"/>
        <v>1357.67</v>
      </c>
      <c r="S117" s="113" t="str">
        <f t="shared" si="9"/>
        <v>#DIV/0!</v>
      </c>
      <c r="T117" s="114"/>
      <c r="U117" s="114"/>
      <c r="V117" s="114"/>
      <c r="W117" s="114"/>
      <c r="X117" s="115"/>
      <c r="Y117" s="98"/>
      <c r="Z117" s="98"/>
    </row>
    <row r="118" hidden="1" outlineLevel="1">
      <c r="A118" s="293"/>
      <c r="B118" s="116"/>
      <c r="C118" s="294" t="s">
        <v>34</v>
      </c>
      <c r="D118" s="177">
        <v>0.0</v>
      </c>
      <c r="E118" s="169">
        <v>0.0</v>
      </c>
      <c r="F118" s="169">
        <v>0.0</v>
      </c>
      <c r="G118" s="104" t="str">
        <f t="shared" si="1"/>
        <v>#DIV/0!</v>
      </c>
      <c r="H118" s="105" t="str">
        <f t="shared" si="2"/>
        <v>#DIV/0!</v>
      </c>
      <c r="I118" s="106" t="str">
        <f t="shared" si="3"/>
        <v>#DIV/0!</v>
      </c>
      <c r="J118" s="120">
        <v>0.0</v>
      </c>
      <c r="K118" s="314">
        <v>0.0</v>
      </c>
      <c r="L118" s="103">
        <v>0.0</v>
      </c>
      <c r="M118" s="121">
        <v>0.0</v>
      </c>
      <c r="N118" s="109" t="str">
        <f t="shared" si="4"/>
        <v>#DIV/0!</v>
      </c>
      <c r="O118" s="110" t="str">
        <f t="shared" si="5"/>
        <v>#DIV/0!</v>
      </c>
      <c r="P118" s="109" t="str">
        <f t="shared" si="6"/>
        <v>#DIV/0!</v>
      </c>
      <c r="Q118" s="111" t="str">
        <f t="shared" si="7"/>
        <v>#DIV/0!</v>
      </c>
      <c r="R118" s="122">
        <f t="shared" si="45"/>
        <v>0</v>
      </c>
      <c r="S118" s="113" t="str">
        <f t="shared" si="9"/>
        <v>#DIV/0!</v>
      </c>
      <c r="T118" s="114"/>
      <c r="U118" s="114"/>
      <c r="V118" s="114"/>
      <c r="W118" s="114"/>
      <c r="X118" s="115"/>
      <c r="Y118" s="98"/>
      <c r="Z118" s="98"/>
    </row>
    <row r="119" hidden="1" outlineLevel="1">
      <c r="A119" s="293"/>
      <c r="B119" s="116"/>
      <c r="C119" s="294" t="s">
        <v>35</v>
      </c>
      <c r="D119" s="177">
        <v>359.7</v>
      </c>
      <c r="E119" s="169">
        <v>6.0</v>
      </c>
      <c r="F119" s="169">
        <v>6.0</v>
      </c>
      <c r="G119" s="104">
        <f t="shared" si="1"/>
        <v>1</v>
      </c>
      <c r="H119" s="105">
        <f t="shared" si="2"/>
        <v>59.95</v>
      </c>
      <c r="I119" s="106">
        <f t="shared" si="3"/>
        <v>59.95</v>
      </c>
      <c r="J119" s="120">
        <v>103.24</v>
      </c>
      <c r="K119" s="314">
        <v>7476.0</v>
      </c>
      <c r="L119" s="103">
        <v>5.0</v>
      </c>
      <c r="M119" s="121">
        <v>299.75</v>
      </c>
      <c r="N119" s="109">
        <f t="shared" si="4"/>
        <v>0.3444203503</v>
      </c>
      <c r="O119" s="110">
        <f t="shared" si="5"/>
        <v>2.903428904</v>
      </c>
      <c r="P119" s="109">
        <f t="shared" si="6"/>
        <v>0.2870169586</v>
      </c>
      <c r="Q119" s="111">
        <f t="shared" si="7"/>
        <v>0.8333333333</v>
      </c>
      <c r="R119" s="122">
        <f t="shared" si="45"/>
        <v>59.95</v>
      </c>
      <c r="S119" s="113">
        <f t="shared" si="9"/>
        <v>20.648</v>
      </c>
      <c r="T119" s="114"/>
      <c r="U119" s="114"/>
      <c r="V119" s="114"/>
      <c r="W119" s="114"/>
      <c r="X119" s="115"/>
      <c r="Y119" s="98"/>
      <c r="Z119" s="98"/>
    </row>
    <row r="120" hidden="1" outlineLevel="1">
      <c r="A120" s="293"/>
      <c r="B120" s="116"/>
      <c r="C120" s="294" t="s">
        <v>65</v>
      </c>
      <c r="D120" s="320">
        <v>78.0</v>
      </c>
      <c r="E120" s="169">
        <v>2.0</v>
      </c>
      <c r="F120" s="169">
        <v>1.0</v>
      </c>
      <c r="G120" s="104">
        <f t="shared" si="1"/>
        <v>2</v>
      </c>
      <c r="H120" s="105">
        <f t="shared" si="2"/>
        <v>39</v>
      </c>
      <c r="I120" s="106">
        <f t="shared" si="3"/>
        <v>19.5</v>
      </c>
      <c r="J120" s="300">
        <v>0.0</v>
      </c>
      <c r="K120" s="314">
        <v>0.0</v>
      </c>
      <c r="L120" s="103">
        <v>0.0</v>
      </c>
      <c r="M120" s="300">
        <v>0.0</v>
      </c>
      <c r="N120" s="109" t="str">
        <f t="shared" si="4"/>
        <v>#DIV/0!</v>
      </c>
      <c r="O120" s="110" t="str">
        <f t="shared" si="5"/>
        <v>#DIV/0!</v>
      </c>
      <c r="P120" s="109">
        <f t="shared" si="6"/>
        <v>0</v>
      </c>
      <c r="Q120" s="111">
        <f t="shared" si="7"/>
        <v>0</v>
      </c>
      <c r="R120" s="122">
        <f t="shared" si="45"/>
        <v>78</v>
      </c>
      <c r="S120" s="113" t="str">
        <f t="shared" si="9"/>
        <v>#DIV/0!</v>
      </c>
      <c r="T120" s="114"/>
      <c r="U120" s="114"/>
      <c r="V120" s="114"/>
      <c r="W120" s="114"/>
      <c r="X120" s="115"/>
      <c r="Y120" s="98"/>
      <c r="Z120" s="98"/>
    </row>
    <row r="121" hidden="1" outlineLevel="1">
      <c r="A121" s="293"/>
      <c r="B121" s="116"/>
      <c r="C121" s="294" t="s">
        <v>85</v>
      </c>
      <c r="D121" s="321">
        <v>319.79</v>
      </c>
      <c r="E121" s="169">
        <v>5.0</v>
      </c>
      <c r="F121" s="169">
        <v>2.0</v>
      </c>
      <c r="G121" s="104">
        <f t="shared" si="1"/>
        <v>2.5</v>
      </c>
      <c r="H121" s="105">
        <f t="shared" si="2"/>
        <v>63.958</v>
      </c>
      <c r="I121" s="106">
        <f t="shared" si="3"/>
        <v>25.5832</v>
      </c>
      <c r="J121" s="302">
        <v>36.17</v>
      </c>
      <c r="K121" s="314">
        <v>0.0</v>
      </c>
      <c r="L121" s="103">
        <v>5.0</v>
      </c>
      <c r="M121" s="303">
        <v>319.79</v>
      </c>
      <c r="N121" s="109">
        <f t="shared" si="4"/>
        <v>0.1131054755</v>
      </c>
      <c r="O121" s="110">
        <f t="shared" si="5"/>
        <v>8.841304949</v>
      </c>
      <c r="P121" s="109">
        <f t="shared" si="6"/>
        <v>0.1131054755</v>
      </c>
      <c r="Q121" s="111">
        <f t="shared" si="7"/>
        <v>1</v>
      </c>
      <c r="R121" s="304">
        <f t="shared" si="45"/>
        <v>0</v>
      </c>
      <c r="S121" s="113">
        <f t="shared" si="9"/>
        <v>7.234</v>
      </c>
      <c r="T121" s="114"/>
      <c r="U121" s="114"/>
      <c r="V121" s="114"/>
      <c r="W121" s="114"/>
      <c r="X121" s="115"/>
      <c r="Y121" s="98"/>
      <c r="Z121" s="98"/>
    </row>
    <row r="122" hidden="1" outlineLevel="1">
      <c r="A122" s="293"/>
      <c r="B122" s="116"/>
      <c r="C122" s="294" t="s">
        <v>36</v>
      </c>
      <c r="D122" s="177">
        <v>979.25</v>
      </c>
      <c r="E122" s="169">
        <v>15.0</v>
      </c>
      <c r="F122" s="169">
        <v>12.0</v>
      </c>
      <c r="G122" s="104">
        <f t="shared" si="1"/>
        <v>1.25</v>
      </c>
      <c r="H122" s="105">
        <f t="shared" si="2"/>
        <v>65.28333333</v>
      </c>
      <c r="I122" s="106">
        <f t="shared" si="3"/>
        <v>52.22666667</v>
      </c>
      <c r="J122" s="120">
        <v>30.69</v>
      </c>
      <c r="K122" s="314">
        <v>18530.0</v>
      </c>
      <c r="L122" s="103">
        <v>2.0</v>
      </c>
      <c r="M122" s="121">
        <v>139.9</v>
      </c>
      <c r="N122" s="109">
        <f t="shared" si="4"/>
        <v>0.2193709793</v>
      </c>
      <c r="O122" s="110">
        <f t="shared" si="5"/>
        <v>4.558488107</v>
      </c>
      <c r="P122" s="109">
        <f t="shared" si="6"/>
        <v>0.03134031146</v>
      </c>
      <c r="Q122" s="111">
        <f t="shared" si="7"/>
        <v>0.1428644371</v>
      </c>
      <c r="R122" s="122">
        <f t="shared" si="45"/>
        <v>839.35</v>
      </c>
      <c r="S122" s="113">
        <f t="shared" si="9"/>
        <v>15.345</v>
      </c>
      <c r="T122" s="114"/>
      <c r="U122" s="114"/>
      <c r="V122" s="114"/>
      <c r="W122" s="114"/>
      <c r="X122" s="115"/>
      <c r="Y122" s="98"/>
      <c r="Z122" s="98"/>
    </row>
    <row r="123" hidden="1" outlineLevel="1">
      <c r="A123" s="293"/>
      <c r="B123" s="99" t="s">
        <v>37</v>
      </c>
      <c r="C123" s="294" t="s">
        <v>38</v>
      </c>
      <c r="D123" s="180">
        <v>211.75</v>
      </c>
      <c r="E123" s="169">
        <v>5.0</v>
      </c>
      <c r="F123" s="169">
        <v>5.0</v>
      </c>
      <c r="G123" s="104">
        <f t="shared" si="1"/>
        <v>1</v>
      </c>
      <c r="H123" s="105">
        <f t="shared" si="2"/>
        <v>42.35</v>
      </c>
      <c r="I123" s="106">
        <f t="shared" si="3"/>
        <v>42.35</v>
      </c>
      <c r="J123" s="123">
        <v>8.88</v>
      </c>
      <c r="K123" s="314">
        <v>3373.0</v>
      </c>
      <c r="L123" s="103">
        <v>0.0</v>
      </c>
      <c r="M123" s="124">
        <v>0.0</v>
      </c>
      <c r="N123" s="109" t="str">
        <f t="shared" si="4"/>
        <v>#DIV/0!</v>
      </c>
      <c r="O123" s="110">
        <f t="shared" si="5"/>
        <v>0</v>
      </c>
      <c r="P123" s="109">
        <f t="shared" si="6"/>
        <v>0.04193624557</v>
      </c>
      <c r="Q123" s="111">
        <f t="shared" si="7"/>
        <v>0</v>
      </c>
      <c r="R123" s="125">
        <f t="shared" si="45"/>
        <v>211.75</v>
      </c>
      <c r="S123" s="113" t="str">
        <f t="shared" si="9"/>
        <v>#DIV/0!</v>
      </c>
      <c r="T123" s="114"/>
      <c r="U123" s="114"/>
      <c r="V123" s="114"/>
      <c r="W123" s="114"/>
      <c r="X123" s="115"/>
      <c r="Y123" s="98"/>
      <c r="Z123" s="98"/>
    </row>
    <row r="124" hidden="1" outlineLevel="1">
      <c r="A124" s="293"/>
      <c r="B124" s="116"/>
      <c r="C124" s="294" t="s">
        <v>39</v>
      </c>
      <c r="D124" s="182">
        <v>99.95</v>
      </c>
      <c r="E124" s="169">
        <v>1.0</v>
      </c>
      <c r="F124" s="169">
        <v>1.0</v>
      </c>
      <c r="G124" s="104">
        <f t="shared" si="1"/>
        <v>1</v>
      </c>
      <c r="H124" s="105">
        <f t="shared" si="2"/>
        <v>99.95</v>
      </c>
      <c r="I124" s="106">
        <f t="shared" si="3"/>
        <v>99.95</v>
      </c>
      <c r="J124" s="126">
        <v>85.13</v>
      </c>
      <c r="K124" s="314">
        <v>3936.0</v>
      </c>
      <c r="L124" s="103">
        <v>0.0</v>
      </c>
      <c r="M124" s="127">
        <v>0.0</v>
      </c>
      <c r="N124" s="109" t="str">
        <f t="shared" si="4"/>
        <v>#DIV/0!</v>
      </c>
      <c r="O124" s="110">
        <f t="shared" si="5"/>
        <v>0</v>
      </c>
      <c r="P124" s="109">
        <f t="shared" si="6"/>
        <v>0.8517258629</v>
      </c>
      <c r="Q124" s="111">
        <f t="shared" si="7"/>
        <v>0</v>
      </c>
      <c r="R124" s="128">
        <f t="shared" si="45"/>
        <v>99.95</v>
      </c>
      <c r="S124" s="113" t="str">
        <f t="shared" si="9"/>
        <v>#DIV/0!</v>
      </c>
      <c r="T124" s="114"/>
      <c r="U124" s="114"/>
      <c r="V124" s="114"/>
      <c r="W124" s="114"/>
      <c r="X124" s="115"/>
      <c r="Y124" s="98"/>
      <c r="Z124" s="98"/>
    </row>
    <row r="125" hidden="1" outlineLevel="1">
      <c r="A125" s="293"/>
      <c r="B125" s="116"/>
      <c r="C125" s="294" t="s">
        <v>40</v>
      </c>
      <c r="D125" s="184">
        <v>0.0</v>
      </c>
      <c r="E125" s="169">
        <v>0.0</v>
      </c>
      <c r="F125" s="169">
        <v>0.0</v>
      </c>
      <c r="G125" s="104" t="str">
        <f t="shared" si="1"/>
        <v>#DIV/0!</v>
      </c>
      <c r="H125" s="105" t="str">
        <f t="shared" si="2"/>
        <v>#DIV/0!</v>
      </c>
      <c r="I125" s="106" t="str">
        <f t="shared" si="3"/>
        <v>#DIV/0!</v>
      </c>
      <c r="J125" s="129">
        <v>0.0</v>
      </c>
      <c r="K125" s="314">
        <v>194007.0</v>
      </c>
      <c r="L125" s="103">
        <v>0.0</v>
      </c>
      <c r="M125" s="130">
        <v>0.0</v>
      </c>
      <c r="N125" s="109" t="str">
        <f t="shared" si="4"/>
        <v>#DIV/0!</v>
      </c>
      <c r="O125" s="110" t="str">
        <f t="shared" si="5"/>
        <v>#DIV/0!</v>
      </c>
      <c r="P125" s="109" t="str">
        <f t="shared" si="6"/>
        <v>#DIV/0!</v>
      </c>
      <c r="Q125" s="111" t="str">
        <f t="shared" si="7"/>
        <v>#DIV/0!</v>
      </c>
      <c r="R125" s="131">
        <f t="shared" si="45"/>
        <v>0</v>
      </c>
      <c r="S125" s="113" t="str">
        <f t="shared" si="9"/>
        <v>#DIV/0!</v>
      </c>
      <c r="T125" s="114"/>
      <c r="U125" s="114"/>
      <c r="V125" s="114"/>
      <c r="W125" s="114"/>
      <c r="X125" s="115"/>
      <c r="Y125" s="98"/>
      <c r="Z125" s="98"/>
    </row>
    <row r="126" hidden="1" outlineLevel="1">
      <c r="A126" s="293"/>
      <c r="B126" s="116"/>
      <c r="C126" s="294" t="s">
        <v>41</v>
      </c>
      <c r="D126" s="186">
        <v>1973.8</v>
      </c>
      <c r="E126" s="169">
        <v>21.0</v>
      </c>
      <c r="F126" s="169">
        <v>20.0</v>
      </c>
      <c r="G126" s="104">
        <f t="shared" si="1"/>
        <v>1.05</v>
      </c>
      <c r="H126" s="105">
        <f t="shared" si="2"/>
        <v>93.99047619</v>
      </c>
      <c r="I126" s="106">
        <f t="shared" si="3"/>
        <v>89.51473923</v>
      </c>
      <c r="J126" s="132">
        <v>28.84</v>
      </c>
      <c r="K126" s="314">
        <v>0.0</v>
      </c>
      <c r="L126" s="103">
        <v>7.0</v>
      </c>
      <c r="M126" s="133">
        <v>681.55</v>
      </c>
      <c r="N126" s="109">
        <f t="shared" si="4"/>
        <v>0.04231531069</v>
      </c>
      <c r="O126" s="110">
        <f t="shared" si="5"/>
        <v>23.63210818</v>
      </c>
      <c r="P126" s="109">
        <f t="shared" si="6"/>
        <v>0.01461140946</v>
      </c>
      <c r="Q126" s="111">
        <f t="shared" si="7"/>
        <v>0.3452984092</v>
      </c>
      <c r="R126" s="134">
        <f t="shared" si="45"/>
        <v>1292.25</v>
      </c>
      <c r="S126" s="113">
        <f t="shared" si="9"/>
        <v>4.12</v>
      </c>
      <c r="T126" s="114"/>
      <c r="U126" s="114"/>
      <c r="V126" s="114"/>
      <c r="W126" s="114"/>
      <c r="X126" s="115"/>
      <c r="Y126" s="98"/>
      <c r="Z126" s="98"/>
    </row>
    <row r="127" hidden="1" outlineLevel="1">
      <c r="A127" s="293"/>
      <c r="B127" s="116"/>
      <c r="C127" s="294" t="s">
        <v>42</v>
      </c>
      <c r="D127" s="177">
        <v>0.0</v>
      </c>
      <c r="E127" s="169">
        <v>0.0</v>
      </c>
      <c r="F127" s="169">
        <v>0.0</v>
      </c>
      <c r="G127" s="104" t="str">
        <f t="shared" si="1"/>
        <v>#DIV/0!</v>
      </c>
      <c r="H127" s="105" t="str">
        <f t="shared" si="2"/>
        <v>#DIV/0!</v>
      </c>
      <c r="I127" s="106" t="str">
        <f t="shared" si="3"/>
        <v>#DIV/0!</v>
      </c>
      <c r="J127" s="120">
        <v>0.0</v>
      </c>
      <c r="K127" s="314">
        <v>7983.0</v>
      </c>
      <c r="L127" s="103">
        <v>0.0</v>
      </c>
      <c r="M127" s="121">
        <v>0.0</v>
      </c>
      <c r="N127" s="109" t="str">
        <f t="shared" si="4"/>
        <v>#DIV/0!</v>
      </c>
      <c r="O127" s="110" t="str">
        <f t="shared" si="5"/>
        <v>#DIV/0!</v>
      </c>
      <c r="P127" s="109" t="str">
        <f t="shared" si="6"/>
        <v>#DIV/0!</v>
      </c>
      <c r="Q127" s="111" t="str">
        <f t="shared" si="7"/>
        <v>#DIV/0!</v>
      </c>
      <c r="R127" s="122">
        <f t="shared" si="45"/>
        <v>0</v>
      </c>
      <c r="S127" s="113" t="str">
        <f t="shared" si="9"/>
        <v>#DIV/0!</v>
      </c>
      <c r="T127" s="114"/>
      <c r="U127" s="114"/>
      <c r="V127" s="114"/>
      <c r="W127" s="114"/>
      <c r="X127" s="115"/>
      <c r="Y127" s="98"/>
      <c r="Z127" s="98"/>
    </row>
    <row r="128" hidden="1" outlineLevel="1">
      <c r="A128" s="293"/>
      <c r="B128" s="116"/>
      <c r="C128" s="294" t="s">
        <v>43</v>
      </c>
      <c r="D128" s="188">
        <v>0.0</v>
      </c>
      <c r="E128" s="169">
        <v>0.0</v>
      </c>
      <c r="F128" s="169">
        <v>0.0</v>
      </c>
      <c r="G128" s="104" t="str">
        <f t="shared" si="1"/>
        <v>#DIV/0!</v>
      </c>
      <c r="H128" s="105" t="str">
        <f t="shared" si="2"/>
        <v>#DIV/0!</v>
      </c>
      <c r="I128" s="106" t="str">
        <f t="shared" si="3"/>
        <v>#DIV/0!</v>
      </c>
      <c r="J128" s="135">
        <v>0.0</v>
      </c>
      <c r="K128" s="314">
        <v>0.0</v>
      </c>
      <c r="L128" s="103">
        <v>0.0</v>
      </c>
      <c r="M128" s="136">
        <v>0.0</v>
      </c>
      <c r="N128" s="109" t="str">
        <f t="shared" si="4"/>
        <v>#DIV/0!</v>
      </c>
      <c r="O128" s="110" t="str">
        <f t="shared" si="5"/>
        <v>#DIV/0!</v>
      </c>
      <c r="P128" s="109" t="str">
        <f t="shared" si="6"/>
        <v>#DIV/0!</v>
      </c>
      <c r="Q128" s="111" t="str">
        <f t="shared" si="7"/>
        <v>#DIV/0!</v>
      </c>
      <c r="R128" s="137">
        <f t="shared" si="45"/>
        <v>0</v>
      </c>
      <c r="S128" s="113" t="str">
        <f t="shared" si="9"/>
        <v>#DIV/0!</v>
      </c>
      <c r="T128" s="114"/>
      <c r="U128" s="114"/>
      <c r="V128" s="114"/>
      <c r="W128" s="114"/>
      <c r="X128" s="115"/>
      <c r="Y128" s="98"/>
      <c r="Z128" s="98"/>
    </row>
    <row r="129" hidden="1" outlineLevel="1">
      <c r="A129" s="293"/>
      <c r="B129" s="116"/>
      <c r="C129" s="294" t="s">
        <v>44</v>
      </c>
      <c r="D129" s="190">
        <v>59.95</v>
      </c>
      <c r="E129" s="169">
        <v>1.0</v>
      </c>
      <c r="F129" s="169">
        <v>1.0</v>
      </c>
      <c r="G129" s="104">
        <f t="shared" si="1"/>
        <v>1</v>
      </c>
      <c r="H129" s="105">
        <f t="shared" si="2"/>
        <v>59.95</v>
      </c>
      <c r="I129" s="106">
        <f t="shared" si="3"/>
        <v>59.95</v>
      </c>
      <c r="J129" s="138">
        <v>1.58</v>
      </c>
      <c r="K129" s="314">
        <v>692.0</v>
      </c>
      <c r="L129" s="103">
        <v>0.0</v>
      </c>
      <c r="M129" s="139">
        <v>0.0</v>
      </c>
      <c r="N129" s="109" t="str">
        <f t="shared" si="4"/>
        <v>#DIV/0!</v>
      </c>
      <c r="O129" s="110">
        <f t="shared" si="5"/>
        <v>0</v>
      </c>
      <c r="P129" s="109">
        <f t="shared" si="6"/>
        <v>0.02635529608</v>
      </c>
      <c r="Q129" s="111">
        <f t="shared" si="7"/>
        <v>0</v>
      </c>
      <c r="R129" s="140">
        <f t="shared" si="45"/>
        <v>59.95</v>
      </c>
      <c r="S129" s="113" t="str">
        <f t="shared" si="9"/>
        <v>#DIV/0!</v>
      </c>
      <c r="T129" s="114"/>
      <c r="U129" s="114"/>
      <c r="V129" s="114"/>
      <c r="W129" s="114"/>
      <c r="X129" s="115"/>
      <c r="Y129" s="98"/>
      <c r="Z129" s="98"/>
    </row>
    <row r="130" hidden="1" outlineLevel="1">
      <c r="A130" s="413"/>
      <c r="B130" s="116"/>
      <c r="C130" s="380" t="s">
        <v>45</v>
      </c>
      <c r="D130" s="167">
        <v>39.9</v>
      </c>
      <c r="E130" s="169">
        <v>2.0</v>
      </c>
      <c r="F130" s="169">
        <v>2.0</v>
      </c>
      <c r="G130" s="104">
        <f t="shared" si="1"/>
        <v>1</v>
      </c>
      <c r="H130" s="105">
        <f t="shared" si="2"/>
        <v>19.95</v>
      </c>
      <c r="I130" s="106">
        <f t="shared" si="3"/>
        <v>19.95</v>
      </c>
      <c r="J130" s="101">
        <v>0.0</v>
      </c>
      <c r="K130" s="314">
        <v>0.0</v>
      </c>
      <c r="L130" s="103">
        <v>0.0</v>
      </c>
      <c r="M130" s="108">
        <v>0.0</v>
      </c>
      <c r="N130" s="109" t="str">
        <f t="shared" si="4"/>
        <v>#DIV/0!</v>
      </c>
      <c r="O130" s="110" t="str">
        <f t="shared" si="5"/>
        <v>#DIV/0!</v>
      </c>
      <c r="P130" s="109">
        <f t="shared" si="6"/>
        <v>0</v>
      </c>
      <c r="Q130" s="111">
        <f t="shared" si="7"/>
        <v>0</v>
      </c>
      <c r="R130" s="112">
        <f t="shared" si="45"/>
        <v>39.9</v>
      </c>
      <c r="S130" s="113" t="str">
        <f t="shared" si="9"/>
        <v>#DIV/0!</v>
      </c>
      <c r="T130" s="143"/>
      <c r="U130" s="143"/>
      <c r="V130" s="143"/>
      <c r="W130" s="144"/>
      <c r="X130" s="145"/>
      <c r="Y130" s="98"/>
      <c r="Z130" s="98"/>
    </row>
    <row r="131" hidden="1" outlineLevel="1">
      <c r="A131" s="310"/>
      <c r="B131" s="99"/>
      <c r="C131" s="294" t="s">
        <v>46</v>
      </c>
      <c r="D131" s="196">
        <v>431.52</v>
      </c>
      <c r="E131" s="169">
        <v>12.0</v>
      </c>
      <c r="F131" s="169">
        <v>13.0</v>
      </c>
      <c r="G131" s="104">
        <f t="shared" si="1"/>
        <v>0.9230769231</v>
      </c>
      <c r="H131" s="105">
        <f t="shared" si="2"/>
        <v>35.96</v>
      </c>
      <c r="I131" s="106">
        <f t="shared" si="3"/>
        <v>38.95666667</v>
      </c>
      <c r="J131" s="146">
        <v>36.91</v>
      </c>
      <c r="K131" s="314">
        <v>27910.0</v>
      </c>
      <c r="L131" s="103">
        <v>10.0</v>
      </c>
      <c r="M131" s="147">
        <v>323.64</v>
      </c>
      <c r="N131" s="109">
        <f t="shared" si="4"/>
        <v>0.1140464714</v>
      </c>
      <c r="O131" s="110">
        <f t="shared" si="5"/>
        <v>8.768355459</v>
      </c>
      <c r="P131" s="109">
        <f t="shared" si="6"/>
        <v>0.08553485354</v>
      </c>
      <c r="Q131" s="111">
        <f t="shared" si="7"/>
        <v>0.75</v>
      </c>
      <c r="R131" s="112">
        <f t="shared" si="45"/>
        <v>107.88</v>
      </c>
      <c r="S131" s="113">
        <f t="shared" si="9"/>
        <v>3.691</v>
      </c>
      <c r="T131" s="114"/>
      <c r="U131" s="114"/>
      <c r="V131" s="114"/>
      <c r="W131" s="114"/>
      <c r="X131" s="115"/>
      <c r="Y131" s="98"/>
      <c r="Z131" s="98"/>
    </row>
    <row r="132" hidden="1" outlineLevel="1">
      <c r="A132" s="310" t="str">
        <f t="shared" ref="A132:A133" si="46">iferror(if(B132&gt;0,month(B132)&amp;"-"&amp;year(B132),B132),)</f>
        <v>11-2024</v>
      </c>
      <c r="B132" s="99">
        <v>45605.0</v>
      </c>
      <c r="C132" s="207" t="s">
        <v>49</v>
      </c>
      <c r="D132" s="196">
        <v>0.0</v>
      </c>
      <c r="E132" s="169">
        <v>0.0</v>
      </c>
      <c r="F132" s="169">
        <v>0.0</v>
      </c>
      <c r="G132" s="104" t="str">
        <f t="shared" si="1"/>
        <v>#DIV/0!</v>
      </c>
      <c r="H132" s="105" t="str">
        <f t="shared" si="2"/>
        <v>#DIV/0!</v>
      </c>
      <c r="I132" s="106" t="str">
        <f t="shared" si="3"/>
        <v>#DIV/0!</v>
      </c>
      <c r="J132" s="196">
        <v>0.0</v>
      </c>
      <c r="K132" s="314">
        <v>0.0</v>
      </c>
      <c r="L132" s="169">
        <v>0.0</v>
      </c>
      <c r="M132" s="197">
        <v>0.0</v>
      </c>
      <c r="N132" s="109" t="str">
        <f t="shared" si="4"/>
        <v>#DIV/0!</v>
      </c>
      <c r="O132" s="110" t="str">
        <f t="shared" si="5"/>
        <v>#DIV/0!</v>
      </c>
      <c r="P132" s="109" t="str">
        <f t="shared" si="6"/>
        <v>#DIV/0!</v>
      </c>
      <c r="Q132" s="111" t="str">
        <f t="shared" si="7"/>
        <v>#DIV/0!</v>
      </c>
      <c r="R132" s="112">
        <f t="shared" si="45"/>
        <v>0</v>
      </c>
      <c r="S132" s="113" t="str">
        <f t="shared" si="9"/>
        <v>#DIV/0!</v>
      </c>
      <c r="T132" s="114"/>
      <c r="U132" s="114"/>
      <c r="V132" s="114"/>
      <c r="W132" s="114"/>
      <c r="X132" s="115"/>
      <c r="Y132" s="98"/>
      <c r="Z132" s="98"/>
    </row>
    <row r="133" collapsed="1">
      <c r="A133" s="413" t="str">
        <f t="shared" si="46"/>
        <v/>
      </c>
      <c r="B133" s="362" t="s">
        <v>132</v>
      </c>
      <c r="C133" s="414"/>
      <c r="D133" s="364">
        <f t="shared" ref="D133:F133" si="47">SUM(D116:D132)</f>
        <v>9065.73</v>
      </c>
      <c r="E133" s="366">
        <f t="shared" si="47"/>
        <v>94</v>
      </c>
      <c r="F133" s="366">
        <f t="shared" si="47"/>
        <v>83</v>
      </c>
      <c r="G133" s="367">
        <f t="shared" si="1"/>
        <v>1.13253012</v>
      </c>
      <c r="H133" s="365">
        <f t="shared" si="2"/>
        <v>96.44393617</v>
      </c>
      <c r="I133" s="368">
        <f t="shared" si="3"/>
        <v>85.15794364</v>
      </c>
      <c r="J133" s="369">
        <f t="shared" ref="J133:M133" si="48">SUM(J116:J132)</f>
        <v>459.16</v>
      </c>
      <c r="K133" s="370">
        <f t="shared" si="48"/>
        <v>283962</v>
      </c>
      <c r="L133" s="366">
        <f t="shared" si="48"/>
        <v>34</v>
      </c>
      <c r="M133" s="364">
        <f t="shared" si="48"/>
        <v>2670.63</v>
      </c>
      <c r="N133" s="371">
        <f t="shared" si="4"/>
        <v>0.1719294698</v>
      </c>
      <c r="O133" s="372">
        <f t="shared" si="5"/>
        <v>5.816338531</v>
      </c>
      <c r="P133" s="371">
        <f t="shared" si="6"/>
        <v>0.05064787943</v>
      </c>
      <c r="Q133" s="373">
        <f t="shared" si="7"/>
        <v>0.2945852127</v>
      </c>
      <c r="R133" s="374">
        <f>SUM(R116:R132)</f>
        <v>6395.1</v>
      </c>
      <c r="S133" s="375">
        <f t="shared" si="9"/>
        <v>13.50470588</v>
      </c>
      <c r="T133" s="415" t="str">
        <f t="shared" ref="T133:U133" si="49">IFERROR((D133-#REF!)/D133,)</f>
        <v/>
      </c>
      <c r="U133" s="415" t="str">
        <f t="shared" si="49"/>
        <v/>
      </c>
      <c r="V133" s="377" t="str">
        <f t="shared" ref="V133:W133" si="50">IFERROR((D133-monthly_reporting_2021!D49)/D133, )</f>
        <v/>
      </c>
      <c r="W133" s="378" t="str">
        <f t="shared" si="50"/>
        <v/>
      </c>
      <c r="X133" s="98"/>
      <c r="Y133" s="98"/>
      <c r="Z133" s="98"/>
    </row>
    <row r="134" hidden="1" outlineLevel="1">
      <c r="A134" s="293"/>
      <c r="B134" s="99">
        <v>45606.0</v>
      </c>
      <c r="C134" s="294" t="s">
        <v>32</v>
      </c>
      <c r="D134" s="167">
        <v>1666.05</v>
      </c>
      <c r="E134" s="169">
        <v>7.0</v>
      </c>
      <c r="F134" s="169">
        <v>8.0</v>
      </c>
      <c r="G134" s="104">
        <f t="shared" si="1"/>
        <v>0.875</v>
      </c>
      <c r="H134" s="105">
        <f t="shared" si="2"/>
        <v>238.0071429</v>
      </c>
      <c r="I134" s="106">
        <f t="shared" si="3"/>
        <v>272.0081633</v>
      </c>
      <c r="J134" s="101">
        <v>169.35</v>
      </c>
      <c r="K134" s="314">
        <v>38590.0</v>
      </c>
      <c r="L134" s="103">
        <v>3.0</v>
      </c>
      <c r="M134" s="171">
        <v>517.0</v>
      </c>
      <c r="N134" s="109">
        <f t="shared" si="4"/>
        <v>0.3275628627</v>
      </c>
      <c r="O134" s="110">
        <f t="shared" si="5"/>
        <v>3.052849129</v>
      </c>
      <c r="P134" s="109">
        <f t="shared" si="6"/>
        <v>0.1016476096</v>
      </c>
      <c r="Q134" s="111">
        <f t="shared" si="7"/>
        <v>0.3103148165</v>
      </c>
      <c r="R134" s="112">
        <f t="shared" ref="R134:R150" si="51">D134-M134</f>
        <v>1149.05</v>
      </c>
      <c r="S134" s="113">
        <f t="shared" si="9"/>
        <v>56.45</v>
      </c>
      <c r="T134" s="114"/>
      <c r="U134" s="114"/>
      <c r="V134" s="114"/>
      <c r="W134" s="114"/>
      <c r="X134" s="115"/>
      <c r="Y134" s="98"/>
      <c r="Z134" s="98"/>
    </row>
    <row r="135" hidden="1" outlineLevel="1">
      <c r="A135" s="293"/>
      <c r="B135" s="116"/>
      <c r="C135" s="294" t="s">
        <v>33</v>
      </c>
      <c r="D135" s="175">
        <v>988.09</v>
      </c>
      <c r="E135" s="169">
        <v>7.0</v>
      </c>
      <c r="F135" s="169">
        <v>12.0</v>
      </c>
      <c r="G135" s="104">
        <f t="shared" si="1"/>
        <v>0.5833333333</v>
      </c>
      <c r="H135" s="105">
        <f t="shared" si="2"/>
        <v>141.1557143</v>
      </c>
      <c r="I135" s="106">
        <f t="shared" si="3"/>
        <v>241.9812245</v>
      </c>
      <c r="J135" s="117">
        <v>144.79</v>
      </c>
      <c r="K135" s="314">
        <v>22599.0</v>
      </c>
      <c r="L135" s="103">
        <v>2.0</v>
      </c>
      <c r="M135" s="176">
        <v>0.0</v>
      </c>
      <c r="N135" s="109" t="str">
        <f t="shared" si="4"/>
        <v>#DIV/0!</v>
      </c>
      <c r="O135" s="110">
        <f t="shared" si="5"/>
        <v>0</v>
      </c>
      <c r="P135" s="109">
        <f t="shared" si="6"/>
        <v>0.1465352346</v>
      </c>
      <c r="Q135" s="111">
        <f t="shared" si="7"/>
        <v>0</v>
      </c>
      <c r="R135" s="119">
        <f t="shared" si="51"/>
        <v>988.09</v>
      </c>
      <c r="S135" s="113">
        <f t="shared" si="9"/>
        <v>72.395</v>
      </c>
      <c r="T135" s="114"/>
      <c r="U135" s="114"/>
      <c r="V135" s="114"/>
      <c r="W135" s="114"/>
      <c r="X135" s="115"/>
      <c r="Y135" s="98"/>
      <c r="Z135" s="98"/>
    </row>
    <row r="136" hidden="1" outlineLevel="1">
      <c r="A136" s="293"/>
      <c r="B136" s="116"/>
      <c r="C136" s="294" t="s">
        <v>34</v>
      </c>
      <c r="D136" s="177">
        <v>0.0</v>
      </c>
      <c r="E136" s="169">
        <v>0.0</v>
      </c>
      <c r="F136" s="169">
        <v>0.0</v>
      </c>
      <c r="G136" s="104" t="str">
        <f t="shared" si="1"/>
        <v>#DIV/0!</v>
      </c>
      <c r="H136" s="105" t="str">
        <f t="shared" si="2"/>
        <v>#DIV/0!</v>
      </c>
      <c r="I136" s="106" t="str">
        <f t="shared" si="3"/>
        <v>#DIV/0!</v>
      </c>
      <c r="J136" s="120">
        <v>0.0</v>
      </c>
      <c r="K136" s="314">
        <v>0.0</v>
      </c>
      <c r="L136" s="103">
        <v>0.0</v>
      </c>
      <c r="M136" s="178">
        <v>0.0</v>
      </c>
      <c r="N136" s="109" t="str">
        <f t="shared" si="4"/>
        <v>#DIV/0!</v>
      </c>
      <c r="O136" s="110" t="str">
        <f t="shared" si="5"/>
        <v>#DIV/0!</v>
      </c>
      <c r="P136" s="109" t="str">
        <f t="shared" si="6"/>
        <v>#DIV/0!</v>
      </c>
      <c r="Q136" s="111" t="str">
        <f t="shared" si="7"/>
        <v>#DIV/0!</v>
      </c>
      <c r="R136" s="122">
        <f t="shared" si="51"/>
        <v>0</v>
      </c>
      <c r="S136" s="113" t="str">
        <f t="shared" si="9"/>
        <v>#DIV/0!</v>
      </c>
      <c r="T136" s="114"/>
      <c r="U136" s="114"/>
      <c r="V136" s="114"/>
      <c r="W136" s="114"/>
      <c r="X136" s="115"/>
      <c r="Y136" s="98"/>
      <c r="Z136" s="98"/>
    </row>
    <row r="137" hidden="1" outlineLevel="1">
      <c r="A137" s="293"/>
      <c r="B137" s="116"/>
      <c r="C137" s="294" t="s">
        <v>35</v>
      </c>
      <c r="D137" s="177">
        <v>659.45</v>
      </c>
      <c r="E137" s="169">
        <v>11.0</v>
      </c>
      <c r="F137" s="169">
        <v>10.0</v>
      </c>
      <c r="G137" s="104">
        <f t="shared" si="1"/>
        <v>1.1</v>
      </c>
      <c r="H137" s="105">
        <f t="shared" si="2"/>
        <v>59.95</v>
      </c>
      <c r="I137" s="106">
        <f t="shared" si="3"/>
        <v>54.5</v>
      </c>
      <c r="J137" s="120">
        <v>80.06</v>
      </c>
      <c r="K137" s="314">
        <v>7027.0</v>
      </c>
      <c r="L137" s="103">
        <v>6.0</v>
      </c>
      <c r="M137" s="178">
        <v>359.7</v>
      </c>
      <c r="N137" s="109">
        <f t="shared" si="4"/>
        <v>0.2225743675</v>
      </c>
      <c r="O137" s="110">
        <f t="shared" si="5"/>
        <v>4.49288034</v>
      </c>
      <c r="P137" s="109">
        <f t="shared" si="6"/>
        <v>0.1214042005</v>
      </c>
      <c r="Q137" s="111">
        <f t="shared" si="7"/>
        <v>0.5454545455</v>
      </c>
      <c r="R137" s="122">
        <f t="shared" si="51"/>
        <v>299.75</v>
      </c>
      <c r="S137" s="113">
        <f t="shared" si="9"/>
        <v>13.34333333</v>
      </c>
      <c r="T137" s="114"/>
      <c r="U137" s="114"/>
      <c r="V137" s="114"/>
      <c r="W137" s="114"/>
      <c r="X137" s="115"/>
      <c r="Y137" s="98"/>
      <c r="Z137" s="98"/>
    </row>
    <row r="138" hidden="1" outlineLevel="1">
      <c r="A138" s="293"/>
      <c r="B138" s="116"/>
      <c r="C138" s="294" t="s">
        <v>65</v>
      </c>
      <c r="D138" s="320">
        <v>72.0</v>
      </c>
      <c r="E138" s="169">
        <v>2.0</v>
      </c>
      <c r="F138" s="169">
        <v>1.0</v>
      </c>
      <c r="G138" s="104">
        <f t="shared" si="1"/>
        <v>2</v>
      </c>
      <c r="H138" s="105">
        <f t="shared" si="2"/>
        <v>36</v>
      </c>
      <c r="I138" s="106">
        <f t="shared" si="3"/>
        <v>18</v>
      </c>
      <c r="J138" s="300">
        <v>0.0</v>
      </c>
      <c r="K138" s="314">
        <v>0.0</v>
      </c>
      <c r="L138" s="103">
        <v>0.0</v>
      </c>
      <c r="M138" s="320">
        <v>0.0</v>
      </c>
      <c r="N138" s="109" t="str">
        <f t="shared" si="4"/>
        <v>#DIV/0!</v>
      </c>
      <c r="O138" s="110" t="str">
        <f t="shared" si="5"/>
        <v>#DIV/0!</v>
      </c>
      <c r="P138" s="109">
        <f t="shared" si="6"/>
        <v>0</v>
      </c>
      <c r="Q138" s="111">
        <f t="shared" si="7"/>
        <v>0</v>
      </c>
      <c r="R138" s="122">
        <f t="shared" si="51"/>
        <v>72</v>
      </c>
      <c r="S138" s="113" t="str">
        <f t="shared" si="9"/>
        <v>#DIV/0!</v>
      </c>
      <c r="T138" s="114"/>
      <c r="U138" s="114"/>
      <c r="V138" s="114"/>
      <c r="W138" s="114"/>
      <c r="X138" s="115"/>
      <c r="Y138" s="98"/>
      <c r="Z138" s="98"/>
    </row>
    <row r="139" hidden="1" outlineLevel="1">
      <c r="A139" s="293"/>
      <c r="B139" s="116"/>
      <c r="C139" s="294" t="s">
        <v>85</v>
      </c>
      <c r="D139" s="321">
        <v>249.88</v>
      </c>
      <c r="E139" s="169">
        <v>4.0</v>
      </c>
      <c r="F139" s="169">
        <v>2.0</v>
      </c>
      <c r="G139" s="104">
        <f t="shared" si="1"/>
        <v>2</v>
      </c>
      <c r="H139" s="105">
        <f t="shared" si="2"/>
        <v>62.47</v>
      </c>
      <c r="I139" s="106">
        <f t="shared" si="3"/>
        <v>31.235</v>
      </c>
      <c r="J139" s="302">
        <v>40.88</v>
      </c>
      <c r="K139" s="314">
        <v>15705.0</v>
      </c>
      <c r="L139" s="103">
        <v>0.0</v>
      </c>
      <c r="M139" s="322">
        <v>0.0</v>
      </c>
      <c r="N139" s="109" t="str">
        <f t="shared" si="4"/>
        <v>#DIV/0!</v>
      </c>
      <c r="O139" s="110">
        <f t="shared" si="5"/>
        <v>0</v>
      </c>
      <c r="P139" s="109">
        <f t="shared" si="6"/>
        <v>0.1635985273</v>
      </c>
      <c r="Q139" s="111">
        <f t="shared" si="7"/>
        <v>0</v>
      </c>
      <c r="R139" s="304">
        <f t="shared" si="51"/>
        <v>249.88</v>
      </c>
      <c r="S139" s="113" t="str">
        <f t="shared" si="9"/>
        <v>#DIV/0!</v>
      </c>
      <c r="T139" s="114"/>
      <c r="U139" s="114"/>
      <c r="V139" s="114"/>
      <c r="W139" s="114"/>
      <c r="X139" s="115"/>
      <c r="Y139" s="98"/>
      <c r="Z139" s="98"/>
    </row>
    <row r="140" hidden="1" outlineLevel="1">
      <c r="A140" s="293"/>
      <c r="B140" s="116"/>
      <c r="C140" s="294" t="s">
        <v>36</v>
      </c>
      <c r="D140" s="177">
        <v>549.55</v>
      </c>
      <c r="E140" s="169">
        <v>9.0</v>
      </c>
      <c r="F140" s="169">
        <v>7.0</v>
      </c>
      <c r="G140" s="104">
        <f t="shared" si="1"/>
        <v>1.285714286</v>
      </c>
      <c r="H140" s="105">
        <f t="shared" si="2"/>
        <v>61.06111111</v>
      </c>
      <c r="I140" s="106">
        <f t="shared" si="3"/>
        <v>47.49197531</v>
      </c>
      <c r="J140" s="120">
        <v>22.0</v>
      </c>
      <c r="K140" s="314">
        <v>3043.0</v>
      </c>
      <c r="L140" s="103">
        <v>2.0</v>
      </c>
      <c r="M140" s="178">
        <v>119.9</v>
      </c>
      <c r="N140" s="109">
        <f t="shared" si="4"/>
        <v>0.1834862385</v>
      </c>
      <c r="O140" s="110">
        <f t="shared" si="5"/>
        <v>5.45</v>
      </c>
      <c r="P140" s="109">
        <f t="shared" si="6"/>
        <v>0.04003275407</v>
      </c>
      <c r="Q140" s="111">
        <f t="shared" si="7"/>
        <v>0.2181785097</v>
      </c>
      <c r="R140" s="122">
        <f t="shared" si="51"/>
        <v>429.65</v>
      </c>
      <c r="S140" s="113">
        <f t="shared" si="9"/>
        <v>11</v>
      </c>
      <c r="T140" s="114"/>
      <c r="U140" s="114"/>
      <c r="V140" s="114"/>
      <c r="W140" s="114"/>
      <c r="X140" s="115"/>
      <c r="Y140" s="98"/>
      <c r="Z140" s="98"/>
    </row>
    <row r="141" hidden="1" outlineLevel="1">
      <c r="A141" s="293"/>
      <c r="B141" s="436" t="s">
        <v>37</v>
      </c>
      <c r="C141" s="294" t="s">
        <v>38</v>
      </c>
      <c r="D141" s="180">
        <v>310.6</v>
      </c>
      <c r="E141" s="169">
        <v>8.0</v>
      </c>
      <c r="F141" s="169">
        <v>4.0</v>
      </c>
      <c r="G141" s="104">
        <f t="shared" si="1"/>
        <v>2</v>
      </c>
      <c r="H141" s="105">
        <f t="shared" si="2"/>
        <v>38.825</v>
      </c>
      <c r="I141" s="106">
        <f t="shared" si="3"/>
        <v>19.4125</v>
      </c>
      <c r="J141" s="123">
        <v>12.83</v>
      </c>
      <c r="K141" s="314">
        <v>3931.0</v>
      </c>
      <c r="L141" s="103">
        <v>4.0</v>
      </c>
      <c r="M141" s="181">
        <v>131.8</v>
      </c>
      <c r="N141" s="109">
        <f t="shared" si="4"/>
        <v>0.09734446131</v>
      </c>
      <c r="O141" s="110">
        <f t="shared" si="5"/>
        <v>10.27279813</v>
      </c>
      <c r="P141" s="109">
        <f t="shared" si="6"/>
        <v>0.04130714746</v>
      </c>
      <c r="Q141" s="111">
        <f t="shared" si="7"/>
        <v>0.4243399871</v>
      </c>
      <c r="R141" s="125">
        <f t="shared" si="51"/>
        <v>178.8</v>
      </c>
      <c r="S141" s="113">
        <f t="shared" si="9"/>
        <v>3.2075</v>
      </c>
      <c r="T141" s="114"/>
      <c r="U141" s="114"/>
      <c r="V141" s="114"/>
      <c r="W141" s="114"/>
      <c r="X141" s="115"/>
      <c r="Y141" s="98"/>
      <c r="Z141" s="98"/>
    </row>
    <row r="142" hidden="1" outlineLevel="1">
      <c r="A142" s="293"/>
      <c r="B142" s="116"/>
      <c r="C142" s="294" t="s">
        <v>39</v>
      </c>
      <c r="D142" s="182">
        <v>24.95</v>
      </c>
      <c r="E142" s="169">
        <v>1.0</v>
      </c>
      <c r="F142" s="169">
        <v>1.0</v>
      </c>
      <c r="G142" s="104">
        <f t="shared" si="1"/>
        <v>1</v>
      </c>
      <c r="H142" s="105">
        <f t="shared" si="2"/>
        <v>24.95</v>
      </c>
      <c r="I142" s="106">
        <f t="shared" si="3"/>
        <v>24.95</v>
      </c>
      <c r="J142" s="126">
        <v>168.9</v>
      </c>
      <c r="K142" s="314">
        <v>301644.0</v>
      </c>
      <c r="L142" s="103">
        <v>0.0</v>
      </c>
      <c r="M142" s="183">
        <v>0.0</v>
      </c>
      <c r="N142" s="109" t="str">
        <f t="shared" si="4"/>
        <v>#DIV/0!</v>
      </c>
      <c r="O142" s="110">
        <f t="shared" si="5"/>
        <v>0</v>
      </c>
      <c r="P142" s="109">
        <f t="shared" si="6"/>
        <v>6.769539078</v>
      </c>
      <c r="Q142" s="111">
        <f t="shared" si="7"/>
        <v>0</v>
      </c>
      <c r="R142" s="128">
        <f t="shared" si="51"/>
        <v>24.95</v>
      </c>
      <c r="S142" s="113" t="str">
        <f t="shared" si="9"/>
        <v>#DIV/0!</v>
      </c>
      <c r="T142" s="114"/>
      <c r="U142" s="114"/>
      <c r="V142" s="114"/>
      <c r="W142" s="114"/>
      <c r="X142" s="115"/>
      <c r="Y142" s="98"/>
      <c r="Z142" s="98"/>
    </row>
    <row r="143" hidden="1" outlineLevel="1">
      <c r="A143" s="293"/>
      <c r="B143" s="116"/>
      <c r="C143" s="294" t="s">
        <v>40</v>
      </c>
      <c r="D143" s="184">
        <v>0.0</v>
      </c>
      <c r="E143" s="169">
        <v>0.0</v>
      </c>
      <c r="F143" s="169">
        <v>0.0</v>
      </c>
      <c r="G143" s="104" t="str">
        <f t="shared" si="1"/>
        <v>#DIV/0!</v>
      </c>
      <c r="H143" s="105" t="str">
        <f t="shared" si="2"/>
        <v>#DIV/0!</v>
      </c>
      <c r="I143" s="106" t="str">
        <f t="shared" si="3"/>
        <v>#DIV/0!</v>
      </c>
      <c r="J143" s="129">
        <v>0.0</v>
      </c>
      <c r="K143" s="314">
        <v>0.0</v>
      </c>
      <c r="L143" s="103">
        <v>0.0</v>
      </c>
      <c r="M143" s="185">
        <v>0.0</v>
      </c>
      <c r="N143" s="109" t="str">
        <f t="shared" si="4"/>
        <v>#DIV/0!</v>
      </c>
      <c r="O143" s="110" t="str">
        <f t="shared" si="5"/>
        <v>#DIV/0!</v>
      </c>
      <c r="P143" s="109" t="str">
        <f t="shared" si="6"/>
        <v>#DIV/0!</v>
      </c>
      <c r="Q143" s="111" t="str">
        <f t="shared" si="7"/>
        <v>#DIV/0!</v>
      </c>
      <c r="R143" s="131">
        <f t="shared" si="51"/>
        <v>0</v>
      </c>
      <c r="S143" s="113" t="str">
        <f t="shared" si="9"/>
        <v>#DIV/0!</v>
      </c>
      <c r="T143" s="114"/>
      <c r="U143" s="114"/>
      <c r="V143" s="114"/>
      <c r="W143" s="114"/>
      <c r="X143" s="115"/>
      <c r="Y143" s="98"/>
      <c r="Z143" s="98"/>
    </row>
    <row r="144" hidden="1" outlineLevel="1">
      <c r="A144" s="293"/>
      <c r="B144" s="116"/>
      <c r="C144" s="294" t="s">
        <v>41</v>
      </c>
      <c r="D144" s="186">
        <v>1765.4</v>
      </c>
      <c r="E144" s="169">
        <v>25.0</v>
      </c>
      <c r="F144" s="169">
        <v>21.0</v>
      </c>
      <c r="G144" s="104">
        <f t="shared" si="1"/>
        <v>1.19047619</v>
      </c>
      <c r="H144" s="105">
        <f t="shared" si="2"/>
        <v>70.616</v>
      </c>
      <c r="I144" s="106">
        <f t="shared" si="3"/>
        <v>59.31744</v>
      </c>
      <c r="J144" s="132">
        <v>46.03</v>
      </c>
      <c r="K144" s="314">
        <v>14418.0</v>
      </c>
      <c r="L144" s="103">
        <v>8.0</v>
      </c>
      <c r="M144" s="187">
        <v>628.7</v>
      </c>
      <c r="N144" s="109">
        <f t="shared" si="4"/>
        <v>0.07321456975</v>
      </c>
      <c r="O144" s="110">
        <f t="shared" si="5"/>
        <v>13.6584836</v>
      </c>
      <c r="P144" s="109">
        <f t="shared" si="6"/>
        <v>0.02607341112</v>
      </c>
      <c r="Q144" s="111">
        <f t="shared" si="7"/>
        <v>0.3561232582</v>
      </c>
      <c r="R144" s="134">
        <f t="shared" si="51"/>
        <v>1136.7</v>
      </c>
      <c r="S144" s="113">
        <f t="shared" si="9"/>
        <v>5.75375</v>
      </c>
      <c r="T144" s="114"/>
      <c r="U144" s="114"/>
      <c r="V144" s="114"/>
      <c r="W144" s="114"/>
      <c r="X144" s="115"/>
      <c r="Y144" s="98"/>
      <c r="Z144" s="98"/>
    </row>
    <row r="145" hidden="1" outlineLevel="1">
      <c r="A145" s="293"/>
      <c r="B145" s="116"/>
      <c r="C145" s="294" t="s">
        <v>42</v>
      </c>
      <c r="D145" s="177">
        <v>0.0</v>
      </c>
      <c r="E145" s="169">
        <v>0.0</v>
      </c>
      <c r="F145" s="169">
        <v>0.0</v>
      </c>
      <c r="G145" s="104" t="str">
        <f t="shared" si="1"/>
        <v>#DIV/0!</v>
      </c>
      <c r="H145" s="105" t="str">
        <f t="shared" si="2"/>
        <v>#DIV/0!</v>
      </c>
      <c r="I145" s="106" t="str">
        <f t="shared" si="3"/>
        <v>#DIV/0!</v>
      </c>
      <c r="J145" s="120">
        <v>6.75</v>
      </c>
      <c r="K145" s="314">
        <v>11147.0</v>
      </c>
      <c r="L145" s="103">
        <v>0.0</v>
      </c>
      <c r="M145" s="178">
        <v>0.0</v>
      </c>
      <c r="N145" s="109" t="str">
        <f t="shared" si="4"/>
        <v>#DIV/0!</v>
      </c>
      <c r="O145" s="110">
        <f t="shared" si="5"/>
        <v>0</v>
      </c>
      <c r="P145" s="109" t="str">
        <f t="shared" si="6"/>
        <v>#DIV/0!</v>
      </c>
      <c r="Q145" s="111" t="str">
        <f t="shared" si="7"/>
        <v>#DIV/0!</v>
      </c>
      <c r="R145" s="122">
        <f t="shared" si="51"/>
        <v>0</v>
      </c>
      <c r="S145" s="113" t="str">
        <f t="shared" si="9"/>
        <v>#DIV/0!</v>
      </c>
      <c r="T145" s="114"/>
      <c r="U145" s="114"/>
      <c r="V145" s="114"/>
      <c r="W145" s="114"/>
      <c r="X145" s="115"/>
      <c r="Y145" s="98"/>
      <c r="Z145" s="98"/>
    </row>
    <row r="146" hidden="1" outlineLevel="1">
      <c r="A146" s="293"/>
      <c r="B146" s="116"/>
      <c r="C146" s="294" t="s">
        <v>43</v>
      </c>
      <c r="D146" s="188">
        <v>0.0</v>
      </c>
      <c r="E146" s="169">
        <v>0.0</v>
      </c>
      <c r="F146" s="169">
        <v>0.0</v>
      </c>
      <c r="G146" s="104" t="str">
        <f t="shared" si="1"/>
        <v>#DIV/0!</v>
      </c>
      <c r="H146" s="105" t="str">
        <f t="shared" si="2"/>
        <v>#DIV/0!</v>
      </c>
      <c r="I146" s="106" t="str">
        <f t="shared" si="3"/>
        <v>#DIV/0!</v>
      </c>
      <c r="J146" s="135">
        <v>19.28</v>
      </c>
      <c r="K146" s="314">
        <v>17256.0</v>
      </c>
      <c r="L146" s="103">
        <v>0.0</v>
      </c>
      <c r="M146" s="189">
        <v>0.0</v>
      </c>
      <c r="N146" s="109" t="str">
        <f t="shared" si="4"/>
        <v>#DIV/0!</v>
      </c>
      <c r="O146" s="110">
        <f t="shared" si="5"/>
        <v>0</v>
      </c>
      <c r="P146" s="109" t="str">
        <f t="shared" si="6"/>
        <v>#DIV/0!</v>
      </c>
      <c r="Q146" s="111" t="str">
        <f t="shared" si="7"/>
        <v>#DIV/0!</v>
      </c>
      <c r="R146" s="137">
        <f t="shared" si="51"/>
        <v>0</v>
      </c>
      <c r="S146" s="113" t="str">
        <f t="shared" si="9"/>
        <v>#DIV/0!</v>
      </c>
      <c r="T146" s="114"/>
      <c r="U146" s="114"/>
      <c r="V146" s="114"/>
      <c r="W146" s="114"/>
      <c r="X146" s="115"/>
      <c r="Y146" s="98"/>
      <c r="Z146" s="98"/>
    </row>
    <row r="147" hidden="1" outlineLevel="1">
      <c r="A147" s="293"/>
      <c r="B147" s="116"/>
      <c r="C147" s="294" t="s">
        <v>44</v>
      </c>
      <c r="D147" s="190">
        <v>0.0</v>
      </c>
      <c r="E147" s="169">
        <v>0.0</v>
      </c>
      <c r="F147" s="169">
        <v>0.0</v>
      </c>
      <c r="G147" s="104" t="str">
        <f t="shared" si="1"/>
        <v>#DIV/0!</v>
      </c>
      <c r="H147" s="105" t="str">
        <f t="shared" si="2"/>
        <v>#DIV/0!</v>
      </c>
      <c r="I147" s="106" t="str">
        <f t="shared" si="3"/>
        <v>#DIV/0!</v>
      </c>
      <c r="J147" s="138">
        <v>0.79</v>
      </c>
      <c r="K147" s="314">
        <v>820.0</v>
      </c>
      <c r="L147" s="103">
        <v>0.0</v>
      </c>
      <c r="M147" s="191">
        <v>0.0</v>
      </c>
      <c r="N147" s="109" t="str">
        <f t="shared" si="4"/>
        <v>#DIV/0!</v>
      </c>
      <c r="O147" s="110">
        <f t="shared" si="5"/>
        <v>0</v>
      </c>
      <c r="P147" s="109" t="str">
        <f t="shared" si="6"/>
        <v>#DIV/0!</v>
      </c>
      <c r="Q147" s="111" t="str">
        <f t="shared" si="7"/>
        <v>#DIV/0!</v>
      </c>
      <c r="R147" s="140">
        <f t="shared" si="51"/>
        <v>0</v>
      </c>
      <c r="S147" s="113" t="str">
        <f t="shared" si="9"/>
        <v>#DIV/0!</v>
      </c>
      <c r="T147" s="114"/>
      <c r="U147" s="114"/>
      <c r="V147" s="114"/>
      <c r="W147" s="114"/>
      <c r="X147" s="115"/>
      <c r="Y147" s="98"/>
      <c r="Z147" s="98"/>
    </row>
    <row r="148" hidden="1" outlineLevel="1">
      <c r="A148" s="413"/>
      <c r="B148" s="116"/>
      <c r="C148" s="380" t="s">
        <v>45</v>
      </c>
      <c r="D148" s="167">
        <v>0.0</v>
      </c>
      <c r="E148" s="169">
        <v>0.0</v>
      </c>
      <c r="F148" s="169">
        <v>0.0</v>
      </c>
      <c r="G148" s="104" t="str">
        <f t="shared" si="1"/>
        <v>#DIV/0!</v>
      </c>
      <c r="H148" s="105" t="str">
        <f t="shared" si="2"/>
        <v>#DIV/0!</v>
      </c>
      <c r="I148" s="106" t="str">
        <f t="shared" si="3"/>
        <v>#DIV/0!</v>
      </c>
      <c r="J148" s="101">
        <v>0.0</v>
      </c>
      <c r="K148" s="314">
        <v>0.0</v>
      </c>
      <c r="L148" s="103">
        <v>0.0</v>
      </c>
      <c r="M148" s="171">
        <v>0.0</v>
      </c>
      <c r="N148" s="109" t="str">
        <f t="shared" si="4"/>
        <v>#DIV/0!</v>
      </c>
      <c r="O148" s="110" t="str">
        <f t="shared" si="5"/>
        <v>#DIV/0!</v>
      </c>
      <c r="P148" s="109" t="str">
        <f t="shared" si="6"/>
        <v>#DIV/0!</v>
      </c>
      <c r="Q148" s="111" t="str">
        <f t="shared" si="7"/>
        <v>#DIV/0!</v>
      </c>
      <c r="R148" s="112">
        <f t="shared" si="51"/>
        <v>0</v>
      </c>
      <c r="S148" s="113" t="str">
        <f t="shared" si="9"/>
        <v>#DIV/0!</v>
      </c>
      <c r="T148" s="143"/>
      <c r="U148" s="143"/>
      <c r="V148" s="143"/>
      <c r="W148" s="144"/>
      <c r="X148" s="145"/>
      <c r="Y148" s="98"/>
      <c r="Z148" s="98"/>
    </row>
    <row r="149" hidden="1" outlineLevel="1">
      <c r="A149" s="310"/>
      <c r="B149" s="99"/>
      <c r="C149" s="294" t="s">
        <v>46</v>
      </c>
      <c r="D149" s="196">
        <v>498.44</v>
      </c>
      <c r="E149" s="169">
        <v>14.0</v>
      </c>
      <c r="F149" s="169">
        <v>16.0</v>
      </c>
      <c r="G149" s="104">
        <f t="shared" si="1"/>
        <v>0.875</v>
      </c>
      <c r="H149" s="105">
        <f t="shared" si="2"/>
        <v>35.60285714</v>
      </c>
      <c r="I149" s="106">
        <f t="shared" si="3"/>
        <v>40.68897959</v>
      </c>
      <c r="J149" s="146">
        <v>49.79</v>
      </c>
      <c r="K149" s="314">
        <v>31083.0</v>
      </c>
      <c r="L149" s="103">
        <v>8.0</v>
      </c>
      <c r="M149" s="197">
        <v>215.76</v>
      </c>
      <c r="N149" s="109">
        <f t="shared" si="4"/>
        <v>0.2307656656</v>
      </c>
      <c r="O149" s="110">
        <f t="shared" si="5"/>
        <v>4.333400281</v>
      </c>
      <c r="P149" s="109">
        <f t="shared" si="6"/>
        <v>0.09989166199</v>
      </c>
      <c r="Q149" s="111">
        <f t="shared" si="7"/>
        <v>0.4328705561</v>
      </c>
      <c r="R149" s="112">
        <f t="shared" si="51"/>
        <v>282.68</v>
      </c>
      <c r="S149" s="113">
        <f t="shared" si="9"/>
        <v>6.22375</v>
      </c>
      <c r="T149" s="114"/>
      <c r="U149" s="114"/>
      <c r="V149" s="114"/>
      <c r="W149" s="114"/>
      <c r="X149" s="115"/>
      <c r="Y149" s="98"/>
      <c r="Z149" s="98"/>
    </row>
    <row r="150" hidden="1" outlineLevel="1">
      <c r="A150" s="310" t="str">
        <f t="shared" ref="A150:A151" si="52">iferror(if(B150&gt;0,month(B150)&amp;"-"&amp;year(B150),B150),)</f>
        <v>11-2024</v>
      </c>
      <c r="B150" s="99">
        <v>45612.0</v>
      </c>
      <c r="C150" s="207" t="s">
        <v>49</v>
      </c>
      <c r="D150" s="196">
        <v>0.0</v>
      </c>
      <c r="E150" s="169">
        <v>0.0</v>
      </c>
      <c r="F150" s="169">
        <v>0.0</v>
      </c>
      <c r="G150" s="104" t="str">
        <f t="shared" si="1"/>
        <v>#DIV/0!</v>
      </c>
      <c r="H150" s="105" t="str">
        <f t="shared" si="2"/>
        <v>#DIV/0!</v>
      </c>
      <c r="I150" s="106" t="str">
        <f t="shared" si="3"/>
        <v>#DIV/0!</v>
      </c>
      <c r="J150" s="196">
        <v>0.0</v>
      </c>
      <c r="K150" s="314">
        <v>0.0</v>
      </c>
      <c r="L150" s="169">
        <v>0.0</v>
      </c>
      <c r="M150" s="197">
        <v>0.0</v>
      </c>
      <c r="N150" s="109" t="str">
        <f t="shared" si="4"/>
        <v>#DIV/0!</v>
      </c>
      <c r="O150" s="110" t="str">
        <f t="shared" si="5"/>
        <v>#DIV/0!</v>
      </c>
      <c r="P150" s="109" t="str">
        <f t="shared" si="6"/>
        <v>#DIV/0!</v>
      </c>
      <c r="Q150" s="111" t="str">
        <f t="shared" si="7"/>
        <v>#DIV/0!</v>
      </c>
      <c r="R150" s="112">
        <f t="shared" si="51"/>
        <v>0</v>
      </c>
      <c r="S150" s="113" t="str">
        <f t="shared" si="9"/>
        <v>#DIV/0!</v>
      </c>
      <c r="T150" s="114"/>
      <c r="U150" s="114"/>
      <c r="V150" s="114"/>
      <c r="W150" s="114"/>
      <c r="X150" s="115"/>
      <c r="Y150" s="98"/>
      <c r="Z150" s="98"/>
    </row>
    <row r="151" collapsed="1">
      <c r="A151" s="382" t="str">
        <f t="shared" si="52"/>
        <v/>
      </c>
      <c r="B151" s="362" t="s">
        <v>133</v>
      </c>
      <c r="C151" s="384"/>
      <c r="D151" s="385">
        <f t="shared" ref="D151:F151" si="53">SUM(D134:D150)</f>
        <v>6784.41</v>
      </c>
      <c r="E151" s="387">
        <f t="shared" si="53"/>
        <v>88</v>
      </c>
      <c r="F151" s="387">
        <f t="shared" si="53"/>
        <v>82</v>
      </c>
      <c r="G151" s="388">
        <f t="shared" si="1"/>
        <v>1.073170732</v>
      </c>
      <c r="H151" s="386">
        <f t="shared" si="2"/>
        <v>77.09556818</v>
      </c>
      <c r="I151" s="389">
        <f t="shared" si="3"/>
        <v>71.83905217</v>
      </c>
      <c r="J151" s="390">
        <f t="shared" ref="J151:M151" si="54">SUM(J134:J150)</f>
        <v>761.45</v>
      </c>
      <c r="K151" s="437">
        <f t="shared" si="54"/>
        <v>467263</v>
      </c>
      <c r="L151" s="387">
        <f t="shared" si="54"/>
        <v>33</v>
      </c>
      <c r="M151" s="385">
        <f t="shared" si="54"/>
        <v>1972.86</v>
      </c>
      <c r="N151" s="391">
        <f t="shared" si="4"/>
        <v>0.3859625113</v>
      </c>
      <c r="O151" s="392">
        <f t="shared" si="5"/>
        <v>2.590925208</v>
      </c>
      <c r="P151" s="391">
        <f t="shared" si="6"/>
        <v>0.112235257</v>
      </c>
      <c r="Q151" s="393">
        <f t="shared" si="7"/>
        <v>0.2907931567</v>
      </c>
      <c r="R151" s="394">
        <f>SUM(R134:R150)</f>
        <v>4811.55</v>
      </c>
      <c r="S151" s="395">
        <f t="shared" si="9"/>
        <v>23.07424242</v>
      </c>
      <c r="T151" s="396" t="str">
        <f t="shared" ref="T151:U151" si="55">IFERROR((D151-#REF!)/D151,)</f>
        <v/>
      </c>
      <c r="U151" s="396" t="str">
        <f t="shared" si="55"/>
        <v/>
      </c>
      <c r="V151" s="396" t="str">
        <f t="shared" ref="V151:W151" si="56">IFERROR((D151-monthly_reporting_2021!D32)/D151, )</f>
        <v/>
      </c>
      <c r="W151" s="397" t="str">
        <f t="shared" si="56"/>
        <v/>
      </c>
      <c r="X151" s="97"/>
    </row>
    <row r="152" hidden="1" outlineLevel="1">
      <c r="A152" s="293"/>
      <c r="B152" s="99">
        <v>45613.0</v>
      </c>
      <c r="C152" s="294" t="s">
        <v>32</v>
      </c>
      <c r="D152" s="167">
        <v>8280.46</v>
      </c>
      <c r="E152" s="169">
        <v>19.0</v>
      </c>
      <c r="F152" s="169">
        <v>14.0</v>
      </c>
      <c r="G152" s="104">
        <f t="shared" si="1"/>
        <v>1.357142857</v>
      </c>
      <c r="H152" s="105">
        <f t="shared" si="2"/>
        <v>435.8136842</v>
      </c>
      <c r="I152" s="106">
        <f t="shared" si="3"/>
        <v>321.1258726</v>
      </c>
      <c r="J152" s="101">
        <v>186.02</v>
      </c>
      <c r="K152" s="314">
        <v>26293.0</v>
      </c>
      <c r="L152" s="103">
        <v>9.0</v>
      </c>
      <c r="M152" s="171">
        <v>2623.03</v>
      </c>
      <c r="N152" s="109">
        <f t="shared" si="4"/>
        <v>0.07091798416</v>
      </c>
      <c r="O152" s="110">
        <f t="shared" si="5"/>
        <v>14.10079561</v>
      </c>
      <c r="P152" s="109">
        <f t="shared" si="6"/>
        <v>0.02246493552</v>
      </c>
      <c r="Q152" s="111">
        <f t="shared" si="7"/>
        <v>0.3167734643</v>
      </c>
      <c r="R152" s="112">
        <f t="shared" ref="R152:R168" si="57">D152-M152</f>
        <v>5657.43</v>
      </c>
      <c r="S152" s="113">
        <f t="shared" si="9"/>
        <v>20.66888889</v>
      </c>
      <c r="T152" s="114"/>
      <c r="U152" s="114"/>
      <c r="V152" s="114"/>
      <c r="W152" s="114"/>
      <c r="X152" s="115"/>
      <c r="Y152" s="98"/>
      <c r="Z152" s="98"/>
    </row>
    <row r="153" hidden="1" outlineLevel="1">
      <c r="A153" s="293"/>
      <c r="B153" s="116"/>
      <c r="C153" s="294" t="s">
        <v>33</v>
      </c>
      <c r="D153" s="175">
        <v>4007.05</v>
      </c>
      <c r="E153" s="169">
        <v>18.0</v>
      </c>
      <c r="F153" s="169">
        <v>22.0</v>
      </c>
      <c r="G153" s="104">
        <f t="shared" si="1"/>
        <v>0.8181818182</v>
      </c>
      <c r="H153" s="105">
        <f t="shared" si="2"/>
        <v>222.6138889</v>
      </c>
      <c r="I153" s="106">
        <f t="shared" si="3"/>
        <v>272.083642</v>
      </c>
      <c r="J153" s="117">
        <v>49.95</v>
      </c>
      <c r="K153" s="314">
        <v>17187.0</v>
      </c>
      <c r="L153" s="103">
        <v>3.0</v>
      </c>
      <c r="M153" s="176">
        <v>36.9</v>
      </c>
      <c r="N153" s="109">
        <f t="shared" si="4"/>
        <v>1.353658537</v>
      </c>
      <c r="O153" s="110">
        <f t="shared" si="5"/>
        <v>0.7387387387</v>
      </c>
      <c r="P153" s="109">
        <f t="shared" si="6"/>
        <v>0.0124655295</v>
      </c>
      <c r="Q153" s="111">
        <f t="shared" si="7"/>
        <v>0.009208769544</v>
      </c>
      <c r="R153" s="119">
        <f t="shared" si="57"/>
        <v>3970.15</v>
      </c>
      <c r="S153" s="113">
        <f t="shared" si="9"/>
        <v>16.65</v>
      </c>
      <c r="T153" s="114"/>
      <c r="U153" s="114"/>
      <c r="V153" s="114"/>
      <c r="W153" s="114"/>
      <c r="X153" s="115"/>
      <c r="Y153" s="98"/>
      <c r="Z153" s="98"/>
    </row>
    <row r="154" hidden="1" outlineLevel="1">
      <c r="A154" s="293"/>
      <c r="B154" s="116"/>
      <c r="C154" s="294" t="s">
        <v>34</v>
      </c>
      <c r="D154" s="177">
        <v>0.0</v>
      </c>
      <c r="E154" s="169">
        <v>0.0</v>
      </c>
      <c r="F154" s="169">
        <v>0.0</v>
      </c>
      <c r="G154" s="104" t="str">
        <f t="shared" si="1"/>
        <v>#DIV/0!</v>
      </c>
      <c r="H154" s="105" t="str">
        <f t="shared" si="2"/>
        <v>#DIV/0!</v>
      </c>
      <c r="I154" s="106" t="str">
        <f t="shared" si="3"/>
        <v>#DIV/0!</v>
      </c>
      <c r="J154" s="120">
        <v>0.0</v>
      </c>
      <c r="K154" s="314">
        <v>0.0</v>
      </c>
      <c r="L154" s="103">
        <v>0.0</v>
      </c>
      <c r="M154" s="178">
        <v>0.0</v>
      </c>
      <c r="N154" s="109" t="str">
        <f t="shared" si="4"/>
        <v>#DIV/0!</v>
      </c>
      <c r="O154" s="110" t="str">
        <f t="shared" si="5"/>
        <v>#DIV/0!</v>
      </c>
      <c r="P154" s="109" t="str">
        <f t="shared" si="6"/>
        <v>#DIV/0!</v>
      </c>
      <c r="Q154" s="111" t="str">
        <f t="shared" si="7"/>
        <v>#DIV/0!</v>
      </c>
      <c r="R154" s="122">
        <f t="shared" si="57"/>
        <v>0</v>
      </c>
      <c r="S154" s="113" t="str">
        <f t="shared" si="9"/>
        <v>#DIV/0!</v>
      </c>
      <c r="T154" s="114"/>
      <c r="U154" s="114"/>
      <c r="V154" s="114"/>
      <c r="W154" s="114"/>
      <c r="X154" s="115"/>
      <c r="Y154" s="98"/>
      <c r="Z154" s="98"/>
    </row>
    <row r="155" hidden="1" outlineLevel="1">
      <c r="A155" s="293"/>
      <c r="B155" s="116"/>
      <c r="C155" s="294" t="s">
        <v>35</v>
      </c>
      <c r="D155" s="177">
        <v>239.8</v>
      </c>
      <c r="E155" s="169">
        <v>4.0</v>
      </c>
      <c r="F155" s="169">
        <v>4.0</v>
      </c>
      <c r="G155" s="104">
        <f t="shared" si="1"/>
        <v>1</v>
      </c>
      <c r="H155" s="105">
        <f t="shared" si="2"/>
        <v>59.95</v>
      </c>
      <c r="I155" s="106">
        <f t="shared" si="3"/>
        <v>59.95</v>
      </c>
      <c r="J155" s="120">
        <v>81.63</v>
      </c>
      <c r="K155" s="314">
        <v>6910.0</v>
      </c>
      <c r="L155" s="103">
        <v>1.0</v>
      </c>
      <c r="M155" s="178">
        <v>59.95</v>
      </c>
      <c r="N155" s="109">
        <f t="shared" si="4"/>
        <v>1.361634696</v>
      </c>
      <c r="O155" s="110">
        <f t="shared" si="5"/>
        <v>0.7344113684</v>
      </c>
      <c r="P155" s="109">
        <f t="shared" si="6"/>
        <v>0.3404086739</v>
      </c>
      <c r="Q155" s="111">
        <f t="shared" si="7"/>
        <v>0.25</v>
      </c>
      <c r="R155" s="122">
        <f t="shared" si="57"/>
        <v>179.85</v>
      </c>
      <c r="S155" s="113">
        <f t="shared" si="9"/>
        <v>81.63</v>
      </c>
      <c r="T155" s="114"/>
      <c r="U155" s="114"/>
      <c r="V155" s="114"/>
      <c r="W155" s="114"/>
      <c r="X155" s="115"/>
      <c r="Y155" s="98"/>
      <c r="Z155" s="98"/>
    </row>
    <row r="156" hidden="1" outlineLevel="1">
      <c r="A156" s="293"/>
      <c r="B156" s="116"/>
      <c r="C156" s="294" t="s">
        <v>65</v>
      </c>
      <c r="D156" s="320">
        <v>0.0</v>
      </c>
      <c r="E156" s="169">
        <v>0.0</v>
      </c>
      <c r="F156" s="169">
        <v>0.0</v>
      </c>
      <c r="G156" s="104" t="str">
        <f t="shared" si="1"/>
        <v>#DIV/0!</v>
      </c>
      <c r="H156" s="105" t="str">
        <f t="shared" si="2"/>
        <v>#DIV/0!</v>
      </c>
      <c r="I156" s="106" t="str">
        <f t="shared" si="3"/>
        <v>#DIV/0!</v>
      </c>
      <c r="J156" s="300">
        <v>0.0</v>
      </c>
      <c r="K156" s="314">
        <v>0.0</v>
      </c>
      <c r="L156" s="103">
        <v>0.0</v>
      </c>
      <c r="M156" s="320">
        <v>0.0</v>
      </c>
      <c r="N156" s="109" t="str">
        <f t="shared" si="4"/>
        <v>#DIV/0!</v>
      </c>
      <c r="O156" s="110" t="str">
        <f t="shared" si="5"/>
        <v>#DIV/0!</v>
      </c>
      <c r="P156" s="109" t="str">
        <f t="shared" si="6"/>
        <v>#DIV/0!</v>
      </c>
      <c r="Q156" s="111" t="str">
        <f t="shared" si="7"/>
        <v>#DIV/0!</v>
      </c>
      <c r="R156" s="122">
        <f t="shared" si="57"/>
        <v>0</v>
      </c>
      <c r="S156" s="113" t="str">
        <f t="shared" si="9"/>
        <v>#DIV/0!</v>
      </c>
      <c r="T156" s="114"/>
      <c r="U156" s="114"/>
      <c r="V156" s="114"/>
      <c r="W156" s="114"/>
      <c r="X156" s="115"/>
      <c r="Y156" s="98"/>
      <c r="Z156" s="98"/>
    </row>
    <row r="157" hidden="1" outlineLevel="1">
      <c r="A157" s="293"/>
      <c r="B157" s="116"/>
      <c r="C157" s="294" t="s">
        <v>85</v>
      </c>
      <c r="D157" s="321">
        <v>244.92</v>
      </c>
      <c r="E157" s="169">
        <v>4.0</v>
      </c>
      <c r="F157" s="169">
        <v>4.0</v>
      </c>
      <c r="G157" s="104">
        <f t="shared" si="1"/>
        <v>1</v>
      </c>
      <c r="H157" s="105">
        <f t="shared" si="2"/>
        <v>61.23</v>
      </c>
      <c r="I157" s="106">
        <f t="shared" si="3"/>
        <v>61.23</v>
      </c>
      <c r="J157" s="302">
        <v>38.48</v>
      </c>
      <c r="K157" s="314">
        <v>7805.0</v>
      </c>
      <c r="L157" s="103">
        <v>1.0</v>
      </c>
      <c r="M157" s="322">
        <v>59.99</v>
      </c>
      <c r="N157" s="109">
        <f t="shared" si="4"/>
        <v>0.64144024</v>
      </c>
      <c r="O157" s="110">
        <f t="shared" si="5"/>
        <v>1.558991684</v>
      </c>
      <c r="P157" s="109">
        <f t="shared" si="6"/>
        <v>0.1571125265</v>
      </c>
      <c r="Q157" s="111">
        <f t="shared" si="7"/>
        <v>0.2449371223</v>
      </c>
      <c r="R157" s="304">
        <f t="shared" si="57"/>
        <v>184.93</v>
      </c>
      <c r="S157" s="113">
        <f t="shared" si="9"/>
        <v>38.48</v>
      </c>
      <c r="T157" s="114"/>
      <c r="U157" s="114"/>
      <c r="V157" s="114"/>
      <c r="W157" s="114"/>
      <c r="X157" s="115"/>
      <c r="Y157" s="98"/>
      <c r="Z157" s="98"/>
    </row>
    <row r="158" hidden="1" outlineLevel="1">
      <c r="A158" s="293"/>
      <c r="B158" s="116"/>
      <c r="C158" s="294" t="s">
        <v>36</v>
      </c>
      <c r="D158" s="177">
        <v>579.83</v>
      </c>
      <c r="E158" s="169">
        <v>9.0</v>
      </c>
      <c r="F158" s="169">
        <v>9.0</v>
      </c>
      <c r="G158" s="104">
        <f t="shared" si="1"/>
        <v>1</v>
      </c>
      <c r="H158" s="105">
        <f t="shared" si="2"/>
        <v>64.42555556</v>
      </c>
      <c r="I158" s="106">
        <f t="shared" si="3"/>
        <v>64.42555556</v>
      </c>
      <c r="J158" s="120">
        <v>71.24</v>
      </c>
      <c r="K158" s="314">
        <v>4134.0</v>
      </c>
      <c r="L158" s="103">
        <v>1.0</v>
      </c>
      <c r="M158" s="178">
        <v>69.95</v>
      </c>
      <c r="N158" s="109">
        <f t="shared" si="4"/>
        <v>1.018441744</v>
      </c>
      <c r="O158" s="110">
        <f t="shared" si="5"/>
        <v>0.9818921954</v>
      </c>
      <c r="P158" s="109">
        <f t="shared" si="6"/>
        <v>0.122863598</v>
      </c>
      <c r="Q158" s="111">
        <f t="shared" si="7"/>
        <v>0.1206388079</v>
      </c>
      <c r="R158" s="122">
        <f t="shared" si="57"/>
        <v>509.88</v>
      </c>
      <c r="S158" s="113">
        <f t="shared" si="9"/>
        <v>71.24</v>
      </c>
      <c r="T158" s="114"/>
      <c r="U158" s="114"/>
      <c r="V158" s="114"/>
      <c r="W158" s="114"/>
      <c r="X158" s="115"/>
      <c r="Y158" s="98"/>
      <c r="Z158" s="98"/>
    </row>
    <row r="159" hidden="1" outlineLevel="1">
      <c r="A159" s="293"/>
      <c r="B159" s="99" t="s">
        <v>37</v>
      </c>
      <c r="C159" s="294" t="s">
        <v>38</v>
      </c>
      <c r="D159" s="180">
        <v>33.14</v>
      </c>
      <c r="E159" s="169">
        <v>2.0</v>
      </c>
      <c r="F159" s="169">
        <v>5.0</v>
      </c>
      <c r="G159" s="104">
        <f t="shared" si="1"/>
        <v>0.4</v>
      </c>
      <c r="H159" s="105">
        <f t="shared" si="2"/>
        <v>16.57</v>
      </c>
      <c r="I159" s="106">
        <f t="shared" si="3"/>
        <v>41.425</v>
      </c>
      <c r="J159" s="123">
        <v>64.97</v>
      </c>
      <c r="K159" s="314">
        <v>8876.0</v>
      </c>
      <c r="L159" s="103">
        <v>0.0</v>
      </c>
      <c r="M159" s="181">
        <v>0.0</v>
      </c>
      <c r="N159" s="109" t="str">
        <f t="shared" si="4"/>
        <v>#DIV/0!</v>
      </c>
      <c r="O159" s="110">
        <f t="shared" si="5"/>
        <v>0</v>
      </c>
      <c r="P159" s="109">
        <f t="shared" si="6"/>
        <v>1.96047073</v>
      </c>
      <c r="Q159" s="111">
        <f t="shared" si="7"/>
        <v>0</v>
      </c>
      <c r="R159" s="125">
        <f t="shared" si="57"/>
        <v>33.14</v>
      </c>
      <c r="S159" s="113" t="str">
        <f t="shared" si="9"/>
        <v>#DIV/0!</v>
      </c>
      <c r="T159" s="114"/>
      <c r="U159" s="114"/>
      <c r="V159" s="114"/>
      <c r="W159" s="114"/>
      <c r="X159" s="115"/>
      <c r="Y159" s="98"/>
      <c r="Z159" s="98"/>
    </row>
    <row r="160" hidden="1" outlineLevel="1">
      <c r="A160" s="293"/>
      <c r="B160" s="116"/>
      <c r="C160" s="294" t="s">
        <v>39</v>
      </c>
      <c r="D160" s="182">
        <v>99.95</v>
      </c>
      <c r="E160" s="169">
        <v>1.0</v>
      </c>
      <c r="F160" s="169">
        <v>1.0</v>
      </c>
      <c r="G160" s="104">
        <f t="shared" si="1"/>
        <v>1</v>
      </c>
      <c r="H160" s="105">
        <f t="shared" si="2"/>
        <v>99.95</v>
      </c>
      <c r="I160" s="106">
        <f t="shared" si="3"/>
        <v>99.95</v>
      </c>
      <c r="J160" s="126">
        <v>167.87</v>
      </c>
      <c r="K160" s="314">
        <v>315267.0</v>
      </c>
      <c r="L160" s="103">
        <v>1.0</v>
      </c>
      <c r="M160" s="183">
        <v>99.95</v>
      </c>
      <c r="N160" s="109">
        <f t="shared" si="4"/>
        <v>1.67953977</v>
      </c>
      <c r="O160" s="110">
        <f t="shared" si="5"/>
        <v>0.5954012033</v>
      </c>
      <c r="P160" s="109">
        <f t="shared" si="6"/>
        <v>1.67953977</v>
      </c>
      <c r="Q160" s="111">
        <f t="shared" si="7"/>
        <v>1</v>
      </c>
      <c r="R160" s="128">
        <f t="shared" si="57"/>
        <v>0</v>
      </c>
      <c r="S160" s="113">
        <f t="shared" si="9"/>
        <v>167.87</v>
      </c>
      <c r="T160" s="114"/>
      <c r="U160" s="114"/>
      <c r="V160" s="114"/>
      <c r="W160" s="114"/>
      <c r="X160" s="115"/>
      <c r="Y160" s="98"/>
      <c r="Z160" s="98"/>
    </row>
    <row r="161" hidden="1" outlineLevel="1">
      <c r="A161" s="293"/>
      <c r="B161" s="116"/>
      <c r="C161" s="294" t="s">
        <v>40</v>
      </c>
      <c r="D161" s="184">
        <v>54.95</v>
      </c>
      <c r="E161" s="169">
        <v>1.0</v>
      </c>
      <c r="F161" s="169">
        <v>1.0</v>
      </c>
      <c r="G161" s="104">
        <f t="shared" si="1"/>
        <v>1</v>
      </c>
      <c r="H161" s="105">
        <f t="shared" si="2"/>
        <v>54.95</v>
      </c>
      <c r="I161" s="106">
        <f t="shared" si="3"/>
        <v>54.95</v>
      </c>
      <c r="J161" s="129">
        <v>0.0</v>
      </c>
      <c r="K161" s="314">
        <v>0.0</v>
      </c>
      <c r="L161" s="103">
        <v>0.0</v>
      </c>
      <c r="M161" s="185">
        <v>0.0</v>
      </c>
      <c r="N161" s="109" t="str">
        <f t="shared" si="4"/>
        <v>#DIV/0!</v>
      </c>
      <c r="O161" s="110" t="str">
        <f t="shared" si="5"/>
        <v>#DIV/0!</v>
      </c>
      <c r="P161" s="109">
        <f t="shared" si="6"/>
        <v>0</v>
      </c>
      <c r="Q161" s="111">
        <f t="shared" si="7"/>
        <v>0</v>
      </c>
      <c r="R161" s="131">
        <f t="shared" si="57"/>
        <v>54.95</v>
      </c>
      <c r="S161" s="113" t="str">
        <f t="shared" si="9"/>
        <v>#DIV/0!</v>
      </c>
      <c r="T161" s="114"/>
      <c r="U161" s="114"/>
      <c r="V161" s="114"/>
      <c r="W161" s="114"/>
      <c r="X161" s="115"/>
      <c r="Y161" s="98"/>
      <c r="Z161" s="98"/>
    </row>
    <row r="162" hidden="1" outlineLevel="1">
      <c r="A162" s="293"/>
      <c r="B162" s="116"/>
      <c r="C162" s="294" t="s">
        <v>41</v>
      </c>
      <c r="D162" s="186">
        <v>562.0</v>
      </c>
      <c r="E162" s="169">
        <v>10.0</v>
      </c>
      <c r="F162" s="169">
        <v>11.0</v>
      </c>
      <c r="G162" s="104">
        <f t="shared" si="1"/>
        <v>0.9090909091</v>
      </c>
      <c r="H162" s="105">
        <f t="shared" si="2"/>
        <v>56.2</v>
      </c>
      <c r="I162" s="106">
        <f t="shared" si="3"/>
        <v>61.82</v>
      </c>
      <c r="J162" s="132">
        <v>41.57</v>
      </c>
      <c r="K162" s="314">
        <v>11690.0</v>
      </c>
      <c r="L162" s="103">
        <v>1.0</v>
      </c>
      <c r="M162" s="187">
        <v>55.0</v>
      </c>
      <c r="N162" s="109">
        <f t="shared" si="4"/>
        <v>0.7558181818</v>
      </c>
      <c r="O162" s="110">
        <f t="shared" si="5"/>
        <v>1.323069521</v>
      </c>
      <c r="P162" s="109">
        <f t="shared" si="6"/>
        <v>0.07396797153</v>
      </c>
      <c r="Q162" s="111">
        <f t="shared" si="7"/>
        <v>0.09786476868</v>
      </c>
      <c r="R162" s="134">
        <f t="shared" si="57"/>
        <v>507</v>
      </c>
      <c r="S162" s="113">
        <f t="shared" si="9"/>
        <v>41.57</v>
      </c>
      <c r="T162" s="114"/>
      <c r="U162" s="114"/>
      <c r="V162" s="114"/>
      <c r="W162" s="114"/>
      <c r="X162" s="115"/>
      <c r="Y162" s="98"/>
      <c r="Z162" s="98"/>
    </row>
    <row r="163" hidden="1" outlineLevel="1">
      <c r="A163" s="293"/>
      <c r="B163" s="116"/>
      <c r="C163" s="294" t="s">
        <v>42</v>
      </c>
      <c r="D163" s="177">
        <v>0.0</v>
      </c>
      <c r="E163" s="169">
        <v>0.0</v>
      </c>
      <c r="F163" s="169">
        <v>0.0</v>
      </c>
      <c r="G163" s="104" t="str">
        <f t="shared" si="1"/>
        <v>#DIV/0!</v>
      </c>
      <c r="H163" s="105" t="str">
        <f t="shared" si="2"/>
        <v>#DIV/0!</v>
      </c>
      <c r="I163" s="106" t="str">
        <f t="shared" si="3"/>
        <v>#DIV/0!</v>
      </c>
      <c r="J163" s="120">
        <v>5.47</v>
      </c>
      <c r="K163" s="314">
        <v>6439.0</v>
      </c>
      <c r="L163" s="103">
        <v>0.0</v>
      </c>
      <c r="M163" s="178">
        <v>0.0</v>
      </c>
      <c r="N163" s="109" t="str">
        <f t="shared" si="4"/>
        <v>#DIV/0!</v>
      </c>
      <c r="O163" s="110">
        <f t="shared" si="5"/>
        <v>0</v>
      </c>
      <c r="P163" s="109" t="str">
        <f t="shared" si="6"/>
        <v>#DIV/0!</v>
      </c>
      <c r="Q163" s="111" t="str">
        <f t="shared" si="7"/>
        <v>#DIV/0!</v>
      </c>
      <c r="R163" s="122">
        <f t="shared" si="57"/>
        <v>0</v>
      </c>
      <c r="S163" s="113" t="str">
        <f t="shared" si="9"/>
        <v>#DIV/0!</v>
      </c>
      <c r="T163" s="114"/>
      <c r="U163" s="114"/>
      <c r="V163" s="114"/>
      <c r="W163" s="114"/>
      <c r="X163" s="115"/>
      <c r="Y163" s="98"/>
      <c r="Z163" s="98"/>
    </row>
    <row r="164" hidden="1" outlineLevel="1">
      <c r="A164" s="293"/>
      <c r="B164" s="116"/>
      <c r="C164" s="294" t="s">
        <v>43</v>
      </c>
      <c r="D164" s="188">
        <v>782.96</v>
      </c>
      <c r="E164" s="169">
        <v>5.0</v>
      </c>
      <c r="F164" s="169">
        <v>5.0</v>
      </c>
      <c r="G164" s="104">
        <f t="shared" si="1"/>
        <v>1</v>
      </c>
      <c r="H164" s="105">
        <f t="shared" si="2"/>
        <v>156.592</v>
      </c>
      <c r="I164" s="106">
        <f t="shared" si="3"/>
        <v>156.592</v>
      </c>
      <c r="J164" s="135">
        <v>26.72</v>
      </c>
      <c r="K164" s="314">
        <v>26790.0</v>
      </c>
      <c r="L164" s="103">
        <v>2.0</v>
      </c>
      <c r="M164" s="189">
        <v>312.0</v>
      </c>
      <c r="N164" s="109">
        <f t="shared" si="4"/>
        <v>0.08564102564</v>
      </c>
      <c r="O164" s="110">
        <f t="shared" si="5"/>
        <v>11.67664671</v>
      </c>
      <c r="P164" s="109">
        <f t="shared" si="6"/>
        <v>0.03412690303</v>
      </c>
      <c r="Q164" s="111">
        <f t="shared" si="7"/>
        <v>0.3984877899</v>
      </c>
      <c r="R164" s="137">
        <f t="shared" si="57"/>
        <v>470.96</v>
      </c>
      <c r="S164" s="113">
        <f t="shared" si="9"/>
        <v>13.36</v>
      </c>
      <c r="T164" s="114"/>
      <c r="U164" s="114"/>
      <c r="V164" s="114"/>
      <c r="W164" s="114"/>
      <c r="X164" s="115"/>
      <c r="Y164" s="98"/>
      <c r="Z164" s="98"/>
    </row>
    <row r="165" hidden="1" outlineLevel="1">
      <c r="A165" s="293"/>
      <c r="B165" s="116"/>
      <c r="C165" s="294" t="s">
        <v>44</v>
      </c>
      <c r="D165" s="190">
        <v>119.9</v>
      </c>
      <c r="E165" s="169">
        <v>2.0</v>
      </c>
      <c r="F165" s="169">
        <v>2.0</v>
      </c>
      <c r="G165" s="104">
        <f t="shared" si="1"/>
        <v>1</v>
      </c>
      <c r="H165" s="105">
        <f t="shared" si="2"/>
        <v>59.95</v>
      </c>
      <c r="I165" s="106">
        <f t="shared" si="3"/>
        <v>59.95</v>
      </c>
      <c r="J165" s="138">
        <v>1.99</v>
      </c>
      <c r="K165" s="314">
        <v>876.0</v>
      </c>
      <c r="L165" s="103">
        <v>0.0</v>
      </c>
      <c r="M165" s="191">
        <v>0.0</v>
      </c>
      <c r="N165" s="109" t="str">
        <f t="shared" si="4"/>
        <v>#DIV/0!</v>
      </c>
      <c r="O165" s="110">
        <f t="shared" si="5"/>
        <v>0</v>
      </c>
      <c r="P165" s="109">
        <f t="shared" si="6"/>
        <v>0.0165971643</v>
      </c>
      <c r="Q165" s="111">
        <f t="shared" si="7"/>
        <v>0</v>
      </c>
      <c r="R165" s="140">
        <f t="shared" si="57"/>
        <v>119.9</v>
      </c>
      <c r="S165" s="113" t="str">
        <f t="shared" si="9"/>
        <v>#DIV/0!</v>
      </c>
      <c r="T165" s="114"/>
      <c r="U165" s="114"/>
      <c r="V165" s="114"/>
      <c r="W165" s="114"/>
      <c r="X165" s="115"/>
      <c r="Y165" s="98"/>
      <c r="Z165" s="98"/>
    </row>
    <row r="166" hidden="1" outlineLevel="1">
      <c r="A166" s="413"/>
      <c r="B166" s="116"/>
      <c r="C166" s="380" t="s">
        <v>45</v>
      </c>
      <c r="D166" s="167">
        <v>0.0</v>
      </c>
      <c r="E166" s="169">
        <v>0.0</v>
      </c>
      <c r="F166" s="169">
        <v>0.0</v>
      </c>
      <c r="G166" s="104" t="str">
        <f t="shared" si="1"/>
        <v>#DIV/0!</v>
      </c>
      <c r="H166" s="105" t="str">
        <f t="shared" si="2"/>
        <v>#DIV/0!</v>
      </c>
      <c r="I166" s="106" t="str">
        <f t="shared" si="3"/>
        <v>#DIV/0!</v>
      </c>
      <c r="J166" s="101">
        <v>0.0</v>
      </c>
      <c r="K166" s="314">
        <v>0.0</v>
      </c>
      <c r="L166" s="103">
        <v>0.0</v>
      </c>
      <c r="M166" s="171">
        <v>0.0</v>
      </c>
      <c r="N166" s="109" t="str">
        <f t="shared" si="4"/>
        <v>#DIV/0!</v>
      </c>
      <c r="O166" s="110" t="str">
        <f t="shared" si="5"/>
        <v>#DIV/0!</v>
      </c>
      <c r="P166" s="109" t="str">
        <f t="shared" si="6"/>
        <v>#DIV/0!</v>
      </c>
      <c r="Q166" s="111" t="str">
        <f t="shared" si="7"/>
        <v>#DIV/0!</v>
      </c>
      <c r="R166" s="112">
        <f t="shared" si="57"/>
        <v>0</v>
      </c>
      <c r="S166" s="113" t="str">
        <f t="shared" si="9"/>
        <v>#DIV/0!</v>
      </c>
      <c r="T166" s="143"/>
      <c r="U166" s="143"/>
      <c r="V166" s="143"/>
      <c r="W166" s="144"/>
      <c r="X166" s="145"/>
      <c r="Y166" s="98"/>
      <c r="Z166" s="98"/>
    </row>
    <row r="167" hidden="1" outlineLevel="1">
      <c r="A167" s="310"/>
      <c r="B167" s="99"/>
      <c r="C167" s="294" t="s">
        <v>46</v>
      </c>
      <c r="D167" s="196">
        <v>467.48</v>
      </c>
      <c r="E167" s="169">
        <v>13.0</v>
      </c>
      <c r="F167" s="169">
        <v>13.0</v>
      </c>
      <c r="G167" s="104">
        <f t="shared" si="1"/>
        <v>1</v>
      </c>
      <c r="H167" s="105">
        <f t="shared" si="2"/>
        <v>35.96</v>
      </c>
      <c r="I167" s="106">
        <f t="shared" si="3"/>
        <v>35.96</v>
      </c>
      <c r="J167" s="146">
        <v>71.95</v>
      </c>
      <c r="K167" s="314">
        <v>25228.0</v>
      </c>
      <c r="L167" s="103">
        <v>3.0</v>
      </c>
      <c r="M167" s="197">
        <v>107.88</v>
      </c>
      <c r="N167" s="109">
        <f t="shared" si="4"/>
        <v>0.6669447534</v>
      </c>
      <c r="O167" s="110">
        <f t="shared" si="5"/>
        <v>1.499374566</v>
      </c>
      <c r="P167" s="109">
        <f t="shared" si="6"/>
        <v>0.1539103277</v>
      </c>
      <c r="Q167" s="111">
        <f t="shared" si="7"/>
        <v>0.2307692308</v>
      </c>
      <c r="R167" s="112">
        <f t="shared" si="57"/>
        <v>359.6</v>
      </c>
      <c r="S167" s="113">
        <f t="shared" si="9"/>
        <v>23.98333333</v>
      </c>
      <c r="T167" s="114"/>
      <c r="U167" s="114"/>
      <c r="V167" s="114"/>
      <c r="W167" s="114"/>
      <c r="X167" s="115"/>
      <c r="Y167" s="98"/>
      <c r="Z167" s="98"/>
    </row>
    <row r="168" hidden="1" outlineLevel="1">
      <c r="A168" s="310" t="str">
        <f t="shared" ref="A168:A169" si="58">iferror(if(B168&gt;0,month(B168)&amp;"-"&amp;year(B168),B168),)</f>
        <v>11-2024</v>
      </c>
      <c r="B168" s="99">
        <v>45619.0</v>
      </c>
      <c r="C168" s="207" t="s">
        <v>49</v>
      </c>
      <c r="D168" s="196">
        <v>0.0</v>
      </c>
      <c r="E168" s="169">
        <v>0.0</v>
      </c>
      <c r="F168" s="169">
        <v>0.0</v>
      </c>
      <c r="G168" s="104" t="str">
        <f t="shared" si="1"/>
        <v>#DIV/0!</v>
      </c>
      <c r="H168" s="105" t="str">
        <f t="shared" si="2"/>
        <v>#DIV/0!</v>
      </c>
      <c r="I168" s="106" t="str">
        <f t="shared" si="3"/>
        <v>#DIV/0!</v>
      </c>
      <c r="J168" s="196">
        <v>3.19</v>
      </c>
      <c r="K168" s="314">
        <v>11055.0</v>
      </c>
      <c r="L168" s="169">
        <v>0.0</v>
      </c>
      <c r="M168" s="197">
        <v>0.0</v>
      </c>
      <c r="N168" s="109" t="str">
        <f t="shared" si="4"/>
        <v>#DIV/0!</v>
      </c>
      <c r="O168" s="110">
        <f t="shared" si="5"/>
        <v>0</v>
      </c>
      <c r="P168" s="109" t="str">
        <f t="shared" si="6"/>
        <v>#DIV/0!</v>
      </c>
      <c r="Q168" s="111" t="str">
        <f t="shared" si="7"/>
        <v>#DIV/0!</v>
      </c>
      <c r="R168" s="112">
        <f t="shared" si="57"/>
        <v>0</v>
      </c>
      <c r="S168" s="113" t="str">
        <f t="shared" si="9"/>
        <v>#DIV/0!</v>
      </c>
      <c r="T168" s="114"/>
      <c r="U168" s="114"/>
      <c r="V168" s="114"/>
      <c r="W168" s="114"/>
      <c r="X168" s="115"/>
      <c r="Y168" s="98"/>
      <c r="Z168" s="98"/>
    </row>
    <row r="169" collapsed="1">
      <c r="A169" s="413" t="str">
        <f t="shared" si="58"/>
        <v/>
      </c>
      <c r="B169" s="362" t="s">
        <v>134</v>
      </c>
      <c r="C169" s="414"/>
      <c r="D169" s="364">
        <f t="shared" ref="D169:F169" si="59">SUM(D152:D168)</f>
        <v>15472.44</v>
      </c>
      <c r="E169" s="366">
        <f t="shared" si="59"/>
        <v>88</v>
      </c>
      <c r="F169" s="366">
        <f t="shared" si="59"/>
        <v>91</v>
      </c>
      <c r="G169" s="367">
        <f t="shared" si="1"/>
        <v>0.967032967</v>
      </c>
      <c r="H169" s="365">
        <f t="shared" si="2"/>
        <v>175.8231818</v>
      </c>
      <c r="I169" s="368">
        <f t="shared" si="3"/>
        <v>181.8171539</v>
      </c>
      <c r="J169" s="369">
        <f t="shared" ref="J169:M169" si="60">SUM(J152:J168)</f>
        <v>811.05</v>
      </c>
      <c r="K169" s="370">
        <f t="shared" si="60"/>
        <v>468550</v>
      </c>
      <c r="L169" s="366">
        <f t="shared" si="60"/>
        <v>22</v>
      </c>
      <c r="M169" s="364">
        <f t="shared" si="60"/>
        <v>3424.65</v>
      </c>
      <c r="N169" s="371">
        <f t="shared" si="4"/>
        <v>0.236827121</v>
      </c>
      <c r="O169" s="372">
        <f t="shared" si="5"/>
        <v>4.222489366</v>
      </c>
      <c r="P169" s="371">
        <f t="shared" si="6"/>
        <v>0.05241901083</v>
      </c>
      <c r="Q169" s="373">
        <f t="shared" si="7"/>
        <v>0.2213387158</v>
      </c>
      <c r="R169" s="374">
        <f>SUM(R152:R168)</f>
        <v>12047.79</v>
      </c>
      <c r="S169" s="375">
        <f t="shared" si="9"/>
        <v>36.86590909</v>
      </c>
      <c r="T169" s="415" t="str">
        <f t="shared" ref="T169:U169" si="61">IFERROR((D169-#REF!)/D169,)</f>
        <v/>
      </c>
      <c r="U169" s="415" t="str">
        <f t="shared" si="61"/>
        <v/>
      </c>
      <c r="V169" s="377" t="str">
        <f t="shared" ref="V169:W169" si="62">IFERROR((D169-monthly_reporting_2021!D49)/D169, )</f>
        <v/>
      </c>
      <c r="W169" s="378" t="str">
        <f t="shared" si="62"/>
        <v/>
      </c>
      <c r="X169" s="98"/>
      <c r="Y169" s="98"/>
      <c r="Z169" s="98"/>
    </row>
    <row r="170" hidden="1" outlineLevel="1">
      <c r="A170" s="293"/>
      <c r="B170" s="99">
        <v>45620.0</v>
      </c>
      <c r="C170" s="294" t="s">
        <v>32</v>
      </c>
      <c r="D170" s="167">
        <v>13177.52</v>
      </c>
      <c r="E170" s="169">
        <v>40.0</v>
      </c>
      <c r="F170" s="169">
        <v>43.0</v>
      </c>
      <c r="G170" s="104">
        <f t="shared" si="1"/>
        <v>0.9302325581</v>
      </c>
      <c r="H170" s="105">
        <f t="shared" si="2"/>
        <v>329.438</v>
      </c>
      <c r="I170" s="106">
        <f t="shared" si="3"/>
        <v>354.14585</v>
      </c>
      <c r="J170" s="101">
        <v>220.45</v>
      </c>
      <c r="K170" s="314">
        <v>140.0</v>
      </c>
      <c r="L170" s="103">
        <v>20.0</v>
      </c>
      <c r="M170" s="171">
        <v>4606.57</v>
      </c>
      <c r="N170" s="109">
        <f t="shared" si="4"/>
        <v>0.04785556282</v>
      </c>
      <c r="O170" s="110">
        <f t="shared" si="5"/>
        <v>20.89621229</v>
      </c>
      <c r="P170" s="109">
        <f t="shared" si="6"/>
        <v>0.01672924799</v>
      </c>
      <c r="Q170" s="111">
        <f t="shared" si="7"/>
        <v>0.3495779175</v>
      </c>
      <c r="R170" s="112">
        <f t="shared" ref="R170:R186" si="63">D170-M170</f>
        <v>8570.95</v>
      </c>
      <c r="S170" s="113">
        <f t="shared" si="9"/>
        <v>11.0225</v>
      </c>
      <c r="T170" s="114"/>
      <c r="U170" s="114"/>
      <c r="V170" s="114"/>
      <c r="W170" s="114"/>
      <c r="X170" s="115"/>
      <c r="Y170" s="98"/>
      <c r="Z170" s="98"/>
    </row>
    <row r="171" hidden="1" outlineLevel="1">
      <c r="A171" s="293"/>
      <c r="B171" s="116"/>
      <c r="C171" s="294" t="s">
        <v>33</v>
      </c>
      <c r="D171" s="175">
        <v>11326.16</v>
      </c>
      <c r="E171" s="169">
        <v>45.0</v>
      </c>
      <c r="F171" s="169">
        <v>52.0</v>
      </c>
      <c r="G171" s="104">
        <f t="shared" si="1"/>
        <v>0.8653846154</v>
      </c>
      <c r="H171" s="105">
        <f t="shared" si="2"/>
        <v>251.6924444</v>
      </c>
      <c r="I171" s="106">
        <f t="shared" si="3"/>
        <v>290.8446025</v>
      </c>
      <c r="J171" s="117">
        <v>71.45</v>
      </c>
      <c r="K171" s="314">
        <v>42.0</v>
      </c>
      <c r="L171" s="103">
        <v>6.0</v>
      </c>
      <c r="M171" s="176">
        <v>1587.8</v>
      </c>
      <c r="N171" s="109">
        <f t="shared" si="4"/>
        <v>0.0449993702</v>
      </c>
      <c r="O171" s="110">
        <f t="shared" si="5"/>
        <v>22.22253324</v>
      </c>
      <c r="P171" s="109">
        <f t="shared" si="6"/>
        <v>0.006308404614</v>
      </c>
      <c r="Q171" s="111">
        <f t="shared" si="7"/>
        <v>0.1401887312</v>
      </c>
      <c r="R171" s="119">
        <f t="shared" si="63"/>
        <v>9738.36</v>
      </c>
      <c r="S171" s="113">
        <f t="shared" si="9"/>
        <v>11.90833333</v>
      </c>
      <c r="T171" s="114"/>
      <c r="U171" s="114"/>
      <c r="V171" s="114"/>
      <c r="W171" s="114"/>
      <c r="X171" s="115"/>
      <c r="Y171" s="98"/>
      <c r="Z171" s="98"/>
    </row>
    <row r="172" hidden="1" outlineLevel="1">
      <c r="A172" s="293"/>
      <c r="B172" s="116"/>
      <c r="C172" s="294" t="s">
        <v>34</v>
      </c>
      <c r="D172" s="177">
        <v>69.95</v>
      </c>
      <c r="E172" s="169">
        <v>1.0</v>
      </c>
      <c r="F172" s="169">
        <v>1.0</v>
      </c>
      <c r="G172" s="104">
        <f t="shared" si="1"/>
        <v>1</v>
      </c>
      <c r="H172" s="105">
        <f t="shared" si="2"/>
        <v>69.95</v>
      </c>
      <c r="I172" s="106">
        <f t="shared" si="3"/>
        <v>69.95</v>
      </c>
      <c r="J172" s="120">
        <v>0.0</v>
      </c>
      <c r="K172" s="314">
        <v>0.0</v>
      </c>
      <c r="L172" s="103">
        <v>0.0</v>
      </c>
      <c r="M172" s="178">
        <v>0.0</v>
      </c>
      <c r="N172" s="109" t="str">
        <f t="shared" si="4"/>
        <v>#DIV/0!</v>
      </c>
      <c r="O172" s="110" t="str">
        <f t="shared" si="5"/>
        <v>#DIV/0!</v>
      </c>
      <c r="P172" s="109">
        <f t="shared" si="6"/>
        <v>0</v>
      </c>
      <c r="Q172" s="111">
        <f t="shared" si="7"/>
        <v>0</v>
      </c>
      <c r="R172" s="122">
        <f t="shared" si="63"/>
        <v>69.95</v>
      </c>
      <c r="S172" s="113" t="str">
        <f t="shared" si="9"/>
        <v>#DIV/0!</v>
      </c>
      <c r="T172" s="114"/>
      <c r="U172" s="114"/>
      <c r="V172" s="114"/>
      <c r="W172" s="114"/>
      <c r="X172" s="115"/>
      <c r="Y172" s="98"/>
      <c r="Z172" s="98"/>
    </row>
    <row r="173" hidden="1" outlineLevel="1">
      <c r="A173" s="293"/>
      <c r="B173" s="116"/>
      <c r="C173" s="294" t="s">
        <v>35</v>
      </c>
      <c r="D173" s="177">
        <v>602.63</v>
      </c>
      <c r="E173" s="169">
        <v>10.0</v>
      </c>
      <c r="F173" s="169">
        <v>10.0</v>
      </c>
      <c r="G173" s="104">
        <f t="shared" si="1"/>
        <v>1</v>
      </c>
      <c r="H173" s="105">
        <f t="shared" si="2"/>
        <v>60.263</v>
      </c>
      <c r="I173" s="106">
        <f t="shared" si="3"/>
        <v>60.263</v>
      </c>
      <c r="J173" s="120">
        <v>91.24</v>
      </c>
      <c r="K173" s="314">
        <v>59.0</v>
      </c>
      <c r="L173" s="103">
        <v>4.0</v>
      </c>
      <c r="M173" s="178">
        <v>239.8</v>
      </c>
      <c r="N173" s="109">
        <f t="shared" si="4"/>
        <v>0.3804837364</v>
      </c>
      <c r="O173" s="110">
        <f t="shared" si="5"/>
        <v>2.628233231</v>
      </c>
      <c r="P173" s="109">
        <f t="shared" si="6"/>
        <v>0.1514030168</v>
      </c>
      <c r="Q173" s="111">
        <f t="shared" si="7"/>
        <v>0.39792244</v>
      </c>
      <c r="R173" s="122">
        <f t="shared" si="63"/>
        <v>362.83</v>
      </c>
      <c r="S173" s="113">
        <f t="shared" si="9"/>
        <v>22.81</v>
      </c>
      <c r="T173" s="114"/>
      <c r="U173" s="114"/>
      <c r="V173" s="114"/>
      <c r="W173" s="114"/>
      <c r="X173" s="115"/>
      <c r="Y173" s="98"/>
      <c r="Z173" s="98"/>
    </row>
    <row r="174" hidden="1" outlineLevel="1">
      <c r="A174" s="293"/>
      <c r="B174" s="116"/>
      <c r="C174" s="294" t="s">
        <v>65</v>
      </c>
      <c r="D174" s="320">
        <v>0.0</v>
      </c>
      <c r="E174" s="169">
        <v>0.0</v>
      </c>
      <c r="F174" s="169">
        <v>0.0</v>
      </c>
      <c r="G174" s="104" t="str">
        <f t="shared" si="1"/>
        <v>#DIV/0!</v>
      </c>
      <c r="H174" s="105" t="str">
        <f t="shared" si="2"/>
        <v>#DIV/0!</v>
      </c>
      <c r="I174" s="106" t="str">
        <f t="shared" si="3"/>
        <v>#DIV/0!</v>
      </c>
      <c r="J174" s="300">
        <v>0.0</v>
      </c>
      <c r="K174" s="314">
        <v>0.0</v>
      </c>
      <c r="L174" s="103">
        <v>0.0</v>
      </c>
      <c r="M174" s="320">
        <v>0.0</v>
      </c>
      <c r="N174" s="109" t="str">
        <f t="shared" si="4"/>
        <v>#DIV/0!</v>
      </c>
      <c r="O174" s="110" t="str">
        <f t="shared" si="5"/>
        <v>#DIV/0!</v>
      </c>
      <c r="P174" s="109" t="str">
        <f t="shared" si="6"/>
        <v>#DIV/0!</v>
      </c>
      <c r="Q174" s="111" t="str">
        <f t="shared" si="7"/>
        <v>#DIV/0!</v>
      </c>
      <c r="R174" s="122">
        <f t="shared" si="63"/>
        <v>0</v>
      </c>
      <c r="S174" s="113" t="str">
        <f t="shared" si="9"/>
        <v>#DIV/0!</v>
      </c>
      <c r="T174" s="114"/>
      <c r="U174" s="114"/>
      <c r="V174" s="114"/>
      <c r="W174" s="114"/>
      <c r="X174" s="115"/>
      <c r="Y174" s="98"/>
      <c r="Z174" s="98"/>
    </row>
    <row r="175" hidden="1" outlineLevel="1">
      <c r="A175" s="293"/>
      <c r="B175" s="116"/>
      <c r="C175" s="294" t="s">
        <v>85</v>
      </c>
      <c r="D175" s="321">
        <v>180.87</v>
      </c>
      <c r="E175" s="169">
        <v>3.0</v>
      </c>
      <c r="F175" s="169">
        <v>3.0</v>
      </c>
      <c r="G175" s="104">
        <f t="shared" si="1"/>
        <v>1</v>
      </c>
      <c r="H175" s="105">
        <f t="shared" si="2"/>
        <v>60.29</v>
      </c>
      <c r="I175" s="106">
        <f t="shared" si="3"/>
        <v>60.29</v>
      </c>
      <c r="J175" s="302">
        <v>28.19</v>
      </c>
      <c r="K175" s="314">
        <v>11.0</v>
      </c>
      <c r="L175" s="103">
        <v>0.0</v>
      </c>
      <c r="M175" s="322">
        <v>0.0</v>
      </c>
      <c r="N175" s="109" t="str">
        <f t="shared" si="4"/>
        <v>#DIV/0!</v>
      </c>
      <c r="O175" s="110">
        <f t="shared" si="5"/>
        <v>0</v>
      </c>
      <c r="P175" s="109">
        <f t="shared" si="6"/>
        <v>0.1558577984</v>
      </c>
      <c r="Q175" s="111">
        <f t="shared" si="7"/>
        <v>0</v>
      </c>
      <c r="R175" s="304">
        <f t="shared" si="63"/>
        <v>180.87</v>
      </c>
      <c r="S175" s="113" t="str">
        <f t="shared" si="9"/>
        <v>#DIV/0!</v>
      </c>
      <c r="T175" s="114"/>
      <c r="U175" s="114"/>
      <c r="V175" s="114"/>
      <c r="W175" s="114"/>
      <c r="X175" s="115"/>
      <c r="Y175" s="98"/>
      <c r="Z175" s="98"/>
    </row>
    <row r="176" hidden="1" outlineLevel="1">
      <c r="A176" s="293"/>
      <c r="B176" s="116"/>
      <c r="C176" s="294" t="s">
        <v>36</v>
      </c>
      <c r="D176" s="177">
        <v>669.5</v>
      </c>
      <c r="E176" s="169">
        <v>10.0</v>
      </c>
      <c r="F176" s="169">
        <v>8.0</v>
      </c>
      <c r="G176" s="104">
        <f t="shared" si="1"/>
        <v>1.25</v>
      </c>
      <c r="H176" s="105">
        <f t="shared" si="2"/>
        <v>66.95</v>
      </c>
      <c r="I176" s="106">
        <f t="shared" si="3"/>
        <v>53.56</v>
      </c>
      <c r="J176" s="120">
        <v>100.59</v>
      </c>
      <c r="K176" s="314">
        <v>32.0</v>
      </c>
      <c r="L176" s="103">
        <v>3.0</v>
      </c>
      <c r="M176" s="178">
        <v>209.85</v>
      </c>
      <c r="N176" s="109">
        <f t="shared" si="4"/>
        <v>0.4793423874</v>
      </c>
      <c r="O176" s="110">
        <f t="shared" si="5"/>
        <v>2.08619147</v>
      </c>
      <c r="P176" s="109">
        <f t="shared" si="6"/>
        <v>0.1502464526</v>
      </c>
      <c r="Q176" s="111">
        <f t="shared" si="7"/>
        <v>0.3134428678</v>
      </c>
      <c r="R176" s="122">
        <f t="shared" si="63"/>
        <v>459.65</v>
      </c>
      <c r="S176" s="113">
        <f t="shared" si="9"/>
        <v>33.53</v>
      </c>
      <c r="T176" s="114"/>
      <c r="U176" s="114"/>
      <c r="V176" s="114"/>
      <c r="W176" s="114"/>
      <c r="X176" s="115"/>
      <c r="Y176" s="98"/>
      <c r="Z176" s="98"/>
    </row>
    <row r="177" hidden="1" outlineLevel="1">
      <c r="A177" s="293"/>
      <c r="B177" s="99" t="s">
        <v>37</v>
      </c>
      <c r="C177" s="294" t="s">
        <v>38</v>
      </c>
      <c r="D177" s="180">
        <v>1549.59</v>
      </c>
      <c r="E177" s="169">
        <v>36.0</v>
      </c>
      <c r="F177" s="169">
        <v>35.0</v>
      </c>
      <c r="G177" s="104">
        <f t="shared" si="1"/>
        <v>1.028571429</v>
      </c>
      <c r="H177" s="105">
        <f t="shared" si="2"/>
        <v>43.04416667</v>
      </c>
      <c r="I177" s="106">
        <f t="shared" si="3"/>
        <v>41.84849537</v>
      </c>
      <c r="J177" s="123">
        <v>406.07</v>
      </c>
      <c r="K177" s="314">
        <v>234.0</v>
      </c>
      <c r="L177" s="103">
        <v>14.0</v>
      </c>
      <c r="M177" s="181">
        <v>285.84</v>
      </c>
      <c r="N177" s="109">
        <f t="shared" si="4"/>
        <v>1.420619927</v>
      </c>
      <c r="O177" s="110">
        <f t="shared" si="5"/>
        <v>0.7039180437</v>
      </c>
      <c r="P177" s="109">
        <f t="shared" si="6"/>
        <v>0.2620499616</v>
      </c>
      <c r="Q177" s="111">
        <f t="shared" si="7"/>
        <v>0.1844616963</v>
      </c>
      <c r="R177" s="125">
        <f t="shared" si="63"/>
        <v>1263.75</v>
      </c>
      <c r="S177" s="113">
        <f t="shared" si="9"/>
        <v>29.005</v>
      </c>
      <c r="T177" s="114"/>
      <c r="U177" s="114"/>
      <c r="V177" s="114"/>
      <c r="W177" s="114"/>
      <c r="X177" s="115"/>
      <c r="Y177" s="98"/>
      <c r="Z177" s="98"/>
    </row>
    <row r="178" hidden="1" outlineLevel="1">
      <c r="A178" s="293"/>
      <c r="B178" s="116"/>
      <c r="C178" s="294" t="s">
        <v>39</v>
      </c>
      <c r="D178" s="182">
        <v>309.78</v>
      </c>
      <c r="E178" s="169">
        <v>6.0</v>
      </c>
      <c r="F178" s="169">
        <v>6.0</v>
      </c>
      <c r="G178" s="104">
        <f t="shared" si="1"/>
        <v>1</v>
      </c>
      <c r="H178" s="105">
        <f t="shared" si="2"/>
        <v>51.63</v>
      </c>
      <c r="I178" s="106">
        <f t="shared" si="3"/>
        <v>51.63</v>
      </c>
      <c r="J178" s="126">
        <v>238.88</v>
      </c>
      <c r="K178" s="314">
        <v>161.0</v>
      </c>
      <c r="L178" s="103">
        <v>1.0</v>
      </c>
      <c r="M178" s="183">
        <v>64.97</v>
      </c>
      <c r="N178" s="109">
        <f t="shared" si="4"/>
        <v>3.676773896</v>
      </c>
      <c r="O178" s="110">
        <f t="shared" si="5"/>
        <v>0.271977562</v>
      </c>
      <c r="P178" s="109">
        <f t="shared" si="6"/>
        <v>0.7711278972</v>
      </c>
      <c r="Q178" s="111">
        <f t="shared" si="7"/>
        <v>0.2097294854</v>
      </c>
      <c r="R178" s="128">
        <f t="shared" si="63"/>
        <v>244.81</v>
      </c>
      <c r="S178" s="113">
        <f t="shared" si="9"/>
        <v>238.88</v>
      </c>
      <c r="T178" s="114"/>
      <c r="U178" s="114"/>
      <c r="V178" s="114"/>
      <c r="W178" s="114"/>
      <c r="X178" s="115"/>
      <c r="Y178" s="98"/>
      <c r="Z178" s="98"/>
    </row>
    <row r="179" hidden="1" outlineLevel="1">
      <c r="A179" s="293"/>
      <c r="B179" s="116"/>
      <c r="C179" s="294" t="s">
        <v>40</v>
      </c>
      <c r="D179" s="184">
        <v>0.0</v>
      </c>
      <c r="E179" s="169">
        <v>0.0</v>
      </c>
      <c r="F179" s="169">
        <v>0.0</v>
      </c>
      <c r="G179" s="104" t="str">
        <f t="shared" si="1"/>
        <v>#DIV/0!</v>
      </c>
      <c r="H179" s="105" t="str">
        <f t="shared" si="2"/>
        <v>#DIV/0!</v>
      </c>
      <c r="I179" s="106" t="str">
        <f t="shared" si="3"/>
        <v>#DIV/0!</v>
      </c>
      <c r="J179" s="129">
        <v>0.0</v>
      </c>
      <c r="K179" s="314">
        <v>0.0</v>
      </c>
      <c r="L179" s="103">
        <v>0.0</v>
      </c>
      <c r="M179" s="185">
        <v>0.0</v>
      </c>
      <c r="N179" s="109" t="str">
        <f t="shared" si="4"/>
        <v>#DIV/0!</v>
      </c>
      <c r="O179" s="110" t="str">
        <f t="shared" si="5"/>
        <v>#DIV/0!</v>
      </c>
      <c r="P179" s="109" t="str">
        <f t="shared" si="6"/>
        <v>#DIV/0!</v>
      </c>
      <c r="Q179" s="111" t="str">
        <f t="shared" si="7"/>
        <v>#DIV/0!</v>
      </c>
      <c r="R179" s="131">
        <f t="shared" si="63"/>
        <v>0</v>
      </c>
      <c r="S179" s="113" t="str">
        <f t="shared" si="9"/>
        <v>#DIV/0!</v>
      </c>
      <c r="T179" s="114"/>
      <c r="U179" s="114"/>
      <c r="V179" s="114"/>
      <c r="W179" s="114"/>
      <c r="X179" s="115"/>
      <c r="Y179" s="98"/>
      <c r="Z179" s="98"/>
    </row>
    <row r="180" hidden="1" outlineLevel="1">
      <c r="A180" s="293"/>
      <c r="B180" s="116"/>
      <c r="C180" s="294" t="s">
        <v>41</v>
      </c>
      <c r="D180" s="186">
        <v>550.99</v>
      </c>
      <c r="E180" s="169">
        <v>10.0</v>
      </c>
      <c r="F180" s="169">
        <v>11.0</v>
      </c>
      <c r="G180" s="104">
        <f t="shared" si="1"/>
        <v>0.9090909091</v>
      </c>
      <c r="H180" s="105">
        <f t="shared" si="2"/>
        <v>55.099</v>
      </c>
      <c r="I180" s="106">
        <f t="shared" si="3"/>
        <v>60.6089</v>
      </c>
      <c r="J180" s="132">
        <v>50.59</v>
      </c>
      <c r="K180" s="314">
        <v>37.0</v>
      </c>
      <c r="L180" s="103">
        <v>2.0</v>
      </c>
      <c r="M180" s="187">
        <v>299.7</v>
      </c>
      <c r="N180" s="109">
        <f t="shared" si="4"/>
        <v>0.1688021355</v>
      </c>
      <c r="O180" s="110">
        <f t="shared" si="5"/>
        <v>5.924095671</v>
      </c>
      <c r="P180" s="109">
        <f t="shared" si="6"/>
        <v>0.09181654839</v>
      </c>
      <c r="Q180" s="111">
        <f t="shared" si="7"/>
        <v>0.5439300169</v>
      </c>
      <c r="R180" s="134">
        <f t="shared" si="63"/>
        <v>251.29</v>
      </c>
      <c r="S180" s="113">
        <f t="shared" si="9"/>
        <v>25.295</v>
      </c>
      <c r="T180" s="114"/>
      <c r="U180" s="114"/>
      <c r="V180" s="114"/>
      <c r="W180" s="114"/>
      <c r="X180" s="115"/>
      <c r="Y180" s="98"/>
      <c r="Z180" s="98"/>
    </row>
    <row r="181" hidden="1" outlineLevel="1">
      <c r="A181" s="293"/>
      <c r="B181" s="116"/>
      <c r="C181" s="294" t="s">
        <v>42</v>
      </c>
      <c r="D181" s="177">
        <v>169.91</v>
      </c>
      <c r="E181" s="169">
        <v>5.0</v>
      </c>
      <c r="F181" s="169">
        <v>4.0</v>
      </c>
      <c r="G181" s="104">
        <f t="shared" si="1"/>
        <v>1.25</v>
      </c>
      <c r="H181" s="105">
        <f t="shared" si="2"/>
        <v>33.982</v>
      </c>
      <c r="I181" s="106">
        <f t="shared" si="3"/>
        <v>27.1856</v>
      </c>
      <c r="J181" s="120">
        <v>6.14</v>
      </c>
      <c r="K181" s="314">
        <v>10.0</v>
      </c>
      <c r="L181" s="103">
        <v>4.0</v>
      </c>
      <c r="M181" s="178">
        <v>79.96</v>
      </c>
      <c r="N181" s="109">
        <f t="shared" si="4"/>
        <v>0.0767883942</v>
      </c>
      <c r="O181" s="110">
        <f t="shared" si="5"/>
        <v>13.0228013</v>
      </c>
      <c r="P181" s="109">
        <f t="shared" si="6"/>
        <v>0.03613677829</v>
      </c>
      <c r="Q181" s="111">
        <f t="shared" si="7"/>
        <v>0.4706020835</v>
      </c>
      <c r="R181" s="122">
        <f t="shared" si="63"/>
        <v>89.95</v>
      </c>
      <c r="S181" s="113">
        <f t="shared" si="9"/>
        <v>1.535</v>
      </c>
      <c r="T181" s="114"/>
      <c r="U181" s="114"/>
      <c r="V181" s="114"/>
      <c r="W181" s="114"/>
      <c r="X181" s="115"/>
      <c r="Y181" s="98"/>
      <c r="Z181" s="98"/>
    </row>
    <row r="182" hidden="1" outlineLevel="1">
      <c r="A182" s="293"/>
      <c r="B182" s="116"/>
      <c r="C182" s="294" t="s">
        <v>43</v>
      </c>
      <c r="D182" s="188">
        <v>1607.88</v>
      </c>
      <c r="E182" s="169">
        <v>11.0</v>
      </c>
      <c r="F182" s="169">
        <v>11.0</v>
      </c>
      <c r="G182" s="104">
        <f t="shared" si="1"/>
        <v>1</v>
      </c>
      <c r="H182" s="105">
        <f t="shared" si="2"/>
        <v>146.1709091</v>
      </c>
      <c r="I182" s="106">
        <f t="shared" si="3"/>
        <v>146.1709091</v>
      </c>
      <c r="J182" s="135">
        <v>49.21</v>
      </c>
      <c r="K182" s="314">
        <v>88.0</v>
      </c>
      <c r="L182" s="103">
        <v>3.0</v>
      </c>
      <c r="M182" s="189">
        <v>312.0</v>
      </c>
      <c r="N182" s="109">
        <f t="shared" si="4"/>
        <v>0.157724359</v>
      </c>
      <c r="O182" s="110">
        <f t="shared" si="5"/>
        <v>6.340174761</v>
      </c>
      <c r="P182" s="109">
        <f t="shared" si="6"/>
        <v>0.03060551782</v>
      </c>
      <c r="Q182" s="111">
        <f t="shared" si="7"/>
        <v>0.1940443317</v>
      </c>
      <c r="R182" s="137">
        <f t="shared" si="63"/>
        <v>1295.88</v>
      </c>
      <c r="S182" s="113">
        <f t="shared" si="9"/>
        <v>16.40333333</v>
      </c>
      <c r="T182" s="114"/>
      <c r="U182" s="114"/>
      <c r="V182" s="114"/>
      <c r="W182" s="114"/>
      <c r="X182" s="115"/>
      <c r="Y182" s="98"/>
      <c r="Z182" s="98"/>
    </row>
    <row r="183" hidden="1" outlineLevel="1">
      <c r="A183" s="293"/>
      <c r="B183" s="116"/>
      <c r="C183" s="294" t="s">
        <v>44</v>
      </c>
      <c r="D183" s="190">
        <v>0.0</v>
      </c>
      <c r="E183" s="169">
        <v>0.0</v>
      </c>
      <c r="F183" s="169">
        <v>0.0</v>
      </c>
      <c r="G183" s="104" t="str">
        <f t="shared" si="1"/>
        <v>#DIV/0!</v>
      </c>
      <c r="H183" s="105" t="str">
        <f t="shared" si="2"/>
        <v>#DIV/0!</v>
      </c>
      <c r="I183" s="106" t="str">
        <f t="shared" si="3"/>
        <v>#DIV/0!</v>
      </c>
      <c r="J183" s="138">
        <v>2.17</v>
      </c>
      <c r="K183" s="314">
        <v>2.0</v>
      </c>
      <c r="L183" s="103">
        <v>0.0</v>
      </c>
      <c r="M183" s="191">
        <v>0.0</v>
      </c>
      <c r="N183" s="109" t="str">
        <f t="shared" si="4"/>
        <v>#DIV/0!</v>
      </c>
      <c r="O183" s="110">
        <f t="shared" si="5"/>
        <v>0</v>
      </c>
      <c r="P183" s="109" t="str">
        <f t="shared" si="6"/>
        <v>#DIV/0!</v>
      </c>
      <c r="Q183" s="111" t="str">
        <f t="shared" si="7"/>
        <v>#DIV/0!</v>
      </c>
      <c r="R183" s="140">
        <f t="shared" si="63"/>
        <v>0</v>
      </c>
      <c r="S183" s="113" t="str">
        <f t="shared" si="9"/>
        <v>#DIV/0!</v>
      </c>
      <c r="T183" s="114"/>
      <c r="U183" s="114"/>
      <c r="V183" s="114"/>
      <c r="W183" s="114"/>
      <c r="X183" s="115"/>
      <c r="Y183" s="98"/>
      <c r="Z183" s="98"/>
    </row>
    <row r="184" hidden="1" outlineLevel="1">
      <c r="A184" s="413"/>
      <c r="B184" s="116"/>
      <c r="C184" s="380" t="s">
        <v>45</v>
      </c>
      <c r="D184" s="167">
        <v>0.0</v>
      </c>
      <c r="E184" s="169">
        <v>0.0</v>
      </c>
      <c r="F184" s="169">
        <v>0.0</v>
      </c>
      <c r="G184" s="104" t="str">
        <f t="shared" si="1"/>
        <v>#DIV/0!</v>
      </c>
      <c r="H184" s="105" t="str">
        <f t="shared" si="2"/>
        <v>#DIV/0!</v>
      </c>
      <c r="I184" s="106" t="str">
        <f t="shared" si="3"/>
        <v>#DIV/0!</v>
      </c>
      <c r="J184" s="101">
        <v>0.0</v>
      </c>
      <c r="K184" s="314">
        <v>0.0</v>
      </c>
      <c r="L184" s="103">
        <v>5.0</v>
      </c>
      <c r="M184" s="171">
        <v>0.0</v>
      </c>
      <c r="N184" s="109" t="str">
        <f t="shared" si="4"/>
        <v>#DIV/0!</v>
      </c>
      <c r="O184" s="110" t="str">
        <f t="shared" si="5"/>
        <v>#DIV/0!</v>
      </c>
      <c r="P184" s="109" t="str">
        <f t="shared" si="6"/>
        <v>#DIV/0!</v>
      </c>
      <c r="Q184" s="111" t="str">
        <f t="shared" si="7"/>
        <v>#DIV/0!</v>
      </c>
      <c r="R184" s="112">
        <f t="shared" si="63"/>
        <v>0</v>
      </c>
      <c r="S184" s="113">
        <f t="shared" si="9"/>
        <v>0</v>
      </c>
      <c r="T184" s="143"/>
      <c r="U184" s="143"/>
      <c r="V184" s="143"/>
      <c r="W184" s="144"/>
      <c r="X184" s="145"/>
      <c r="Y184" s="98"/>
      <c r="Z184" s="98"/>
    </row>
    <row r="185" hidden="1" outlineLevel="1">
      <c r="A185" s="310"/>
      <c r="B185" s="99"/>
      <c r="C185" s="294" t="s">
        <v>46</v>
      </c>
      <c r="D185" s="196">
        <v>323.64</v>
      </c>
      <c r="E185" s="169">
        <v>9.0</v>
      </c>
      <c r="F185" s="169">
        <v>12.0</v>
      </c>
      <c r="G185" s="104">
        <f t="shared" si="1"/>
        <v>0.75</v>
      </c>
      <c r="H185" s="105">
        <f t="shared" si="2"/>
        <v>35.96</v>
      </c>
      <c r="I185" s="106">
        <f t="shared" si="3"/>
        <v>47.94666667</v>
      </c>
      <c r="J185" s="146">
        <v>121.98</v>
      </c>
      <c r="K185" s="314">
        <v>108.0</v>
      </c>
      <c r="L185" s="103">
        <v>1.0</v>
      </c>
      <c r="M185" s="197">
        <v>35.96</v>
      </c>
      <c r="N185" s="109">
        <f t="shared" si="4"/>
        <v>3.392102336</v>
      </c>
      <c r="O185" s="110">
        <f t="shared" si="5"/>
        <v>0.2948024266</v>
      </c>
      <c r="P185" s="109">
        <f t="shared" si="6"/>
        <v>0.3769002595</v>
      </c>
      <c r="Q185" s="111">
        <f t="shared" si="7"/>
        <v>0.1111111111</v>
      </c>
      <c r="R185" s="112">
        <f t="shared" si="63"/>
        <v>287.68</v>
      </c>
      <c r="S185" s="113">
        <f t="shared" si="9"/>
        <v>121.98</v>
      </c>
      <c r="T185" s="114"/>
      <c r="U185" s="114"/>
      <c r="V185" s="114"/>
      <c r="W185" s="114"/>
      <c r="X185" s="115"/>
      <c r="Y185" s="98"/>
      <c r="Z185" s="98"/>
    </row>
    <row r="186" hidden="1" outlineLevel="1">
      <c r="A186" s="310" t="str">
        <f t="shared" ref="A186:A187" si="64">iferror(if(B186&gt;0,month(B186)&amp;"-"&amp;year(B186),B186),)</f>
        <v>11-2024</v>
      </c>
      <c r="B186" s="99">
        <v>45626.0</v>
      </c>
      <c r="C186" s="207" t="s">
        <v>49</v>
      </c>
      <c r="D186" s="196">
        <v>146.96</v>
      </c>
      <c r="E186" s="169">
        <v>1.0</v>
      </c>
      <c r="F186" s="169">
        <v>1.0</v>
      </c>
      <c r="G186" s="104">
        <f t="shared" si="1"/>
        <v>1</v>
      </c>
      <c r="H186" s="105">
        <f t="shared" si="2"/>
        <v>146.96</v>
      </c>
      <c r="I186" s="106">
        <f t="shared" si="3"/>
        <v>146.96</v>
      </c>
      <c r="J186" s="196">
        <v>4.17</v>
      </c>
      <c r="K186" s="314">
        <v>11.0</v>
      </c>
      <c r="L186" s="169">
        <v>1.0</v>
      </c>
      <c r="M186" s="197">
        <v>146.96</v>
      </c>
      <c r="N186" s="109">
        <f t="shared" si="4"/>
        <v>0.02837506805</v>
      </c>
      <c r="O186" s="110">
        <f t="shared" si="5"/>
        <v>35.24220624</v>
      </c>
      <c r="P186" s="109">
        <f t="shared" si="6"/>
        <v>0.02837506805</v>
      </c>
      <c r="Q186" s="111">
        <f t="shared" si="7"/>
        <v>1</v>
      </c>
      <c r="R186" s="112">
        <f t="shared" si="63"/>
        <v>0</v>
      </c>
      <c r="S186" s="113">
        <f t="shared" si="9"/>
        <v>4.17</v>
      </c>
      <c r="T186" s="114"/>
      <c r="U186" s="114"/>
      <c r="V186" s="114"/>
      <c r="W186" s="114"/>
      <c r="X186" s="115"/>
      <c r="Y186" s="98"/>
      <c r="Z186" s="98"/>
    </row>
    <row r="187" collapsed="1">
      <c r="A187" s="413" t="str">
        <f t="shared" si="64"/>
        <v/>
      </c>
      <c r="B187" s="362" t="s">
        <v>135</v>
      </c>
      <c r="C187" s="414"/>
      <c r="D187" s="364">
        <f t="shared" ref="D187:F187" si="65">SUM(D170:D186)</f>
        <v>30685.38</v>
      </c>
      <c r="E187" s="366">
        <f t="shared" si="65"/>
        <v>187</v>
      </c>
      <c r="F187" s="366">
        <f t="shared" si="65"/>
        <v>197</v>
      </c>
      <c r="G187" s="367">
        <f t="shared" si="1"/>
        <v>0.9492385787</v>
      </c>
      <c r="H187" s="365">
        <f t="shared" si="2"/>
        <v>164.0929412</v>
      </c>
      <c r="I187" s="368">
        <f t="shared" si="3"/>
        <v>172.8679648</v>
      </c>
      <c r="J187" s="369">
        <f t="shared" ref="J187:M187" si="66">SUM(J170:J186)</f>
        <v>1391.13</v>
      </c>
      <c r="K187" s="370">
        <f t="shared" si="66"/>
        <v>935</v>
      </c>
      <c r="L187" s="366">
        <f t="shared" si="66"/>
        <v>64</v>
      </c>
      <c r="M187" s="364">
        <f t="shared" si="66"/>
        <v>7869.41</v>
      </c>
      <c r="N187" s="371">
        <f t="shared" si="4"/>
        <v>0.1767769121</v>
      </c>
      <c r="O187" s="372">
        <f t="shared" si="5"/>
        <v>5.656847311</v>
      </c>
      <c r="P187" s="371">
        <f t="shared" si="6"/>
        <v>0.04533527041</v>
      </c>
      <c r="Q187" s="373">
        <f t="shared" si="7"/>
        <v>0.2564547025</v>
      </c>
      <c r="R187" s="374">
        <f>SUM(R170:R186)</f>
        <v>22815.97</v>
      </c>
      <c r="S187" s="375">
        <f t="shared" si="9"/>
        <v>21.73640625</v>
      </c>
      <c r="T187" s="415" t="str">
        <f t="shared" ref="T187:U187" si="67">IFERROR((D187-#REF!)/D187,)</f>
        <v/>
      </c>
      <c r="U187" s="415" t="str">
        <f t="shared" si="67"/>
        <v/>
      </c>
      <c r="V187" s="377" t="str">
        <f t="shared" ref="V187:W187" si="68">IFERROR((D187-monthly_reporting_2021!D49)/D187, )</f>
        <v/>
      </c>
      <c r="W187" s="378" t="str">
        <f t="shared" si="68"/>
        <v/>
      </c>
      <c r="X187" s="98"/>
      <c r="Y187" s="98"/>
      <c r="Z187" s="98"/>
    </row>
    <row r="188" hidden="1" outlineLevel="1">
      <c r="A188" s="293"/>
      <c r="B188" s="99">
        <v>45627.0</v>
      </c>
      <c r="C188" s="294" t="s">
        <v>32</v>
      </c>
      <c r="D188" s="167">
        <v>7360.63</v>
      </c>
      <c r="E188" s="169">
        <v>25.0</v>
      </c>
      <c r="F188" s="169">
        <v>27.0</v>
      </c>
      <c r="G188" s="104">
        <f t="shared" si="1"/>
        <v>0.9259259259</v>
      </c>
      <c r="H188" s="105">
        <f t="shared" si="2"/>
        <v>294.4252</v>
      </c>
      <c r="I188" s="106">
        <f t="shared" si="3"/>
        <v>317.979216</v>
      </c>
      <c r="J188" s="101">
        <v>79.99</v>
      </c>
      <c r="K188" s="314">
        <v>26192.0</v>
      </c>
      <c r="L188" s="103">
        <v>5.0</v>
      </c>
      <c r="M188" s="171">
        <v>1230.03</v>
      </c>
      <c r="N188" s="109">
        <f t="shared" si="4"/>
        <v>0.0650309342</v>
      </c>
      <c r="O188" s="110">
        <f t="shared" si="5"/>
        <v>15.37729716</v>
      </c>
      <c r="P188" s="109">
        <f t="shared" si="6"/>
        <v>0.01086727631</v>
      </c>
      <c r="Q188" s="111">
        <f t="shared" si="7"/>
        <v>0.1671093371</v>
      </c>
      <c r="R188" s="112">
        <f t="shared" ref="R188:R204" si="69">D188-M188</f>
        <v>6130.6</v>
      </c>
      <c r="S188" s="113">
        <f t="shared" si="9"/>
        <v>15.998</v>
      </c>
      <c r="T188" s="114"/>
      <c r="U188" s="114"/>
      <c r="V188" s="114"/>
      <c r="W188" s="114"/>
      <c r="X188" s="115"/>
      <c r="Y188" s="98"/>
      <c r="Z188" s="98"/>
    </row>
    <row r="189" hidden="1" outlineLevel="1">
      <c r="A189" s="293"/>
      <c r="B189" s="116"/>
      <c r="C189" s="294" t="s">
        <v>33</v>
      </c>
      <c r="D189" s="175">
        <v>17172.03</v>
      </c>
      <c r="E189" s="169">
        <v>61.0</v>
      </c>
      <c r="F189" s="169">
        <v>72.0</v>
      </c>
      <c r="G189" s="104">
        <f t="shared" si="1"/>
        <v>0.8472222222</v>
      </c>
      <c r="H189" s="105">
        <f t="shared" si="2"/>
        <v>281.5086885</v>
      </c>
      <c r="I189" s="106">
        <f t="shared" si="3"/>
        <v>332.2725504</v>
      </c>
      <c r="J189" s="117">
        <v>111.67</v>
      </c>
      <c r="K189" s="314">
        <v>16225.0</v>
      </c>
      <c r="L189" s="103">
        <v>13.0</v>
      </c>
      <c r="M189" s="176">
        <v>2490.16</v>
      </c>
      <c r="N189" s="109">
        <f t="shared" si="4"/>
        <v>0.04484450798</v>
      </c>
      <c r="O189" s="110">
        <f t="shared" si="5"/>
        <v>22.29927465</v>
      </c>
      <c r="P189" s="109">
        <f t="shared" si="6"/>
        <v>0.006503016824</v>
      </c>
      <c r="Q189" s="111">
        <f t="shared" si="7"/>
        <v>0.1450125582</v>
      </c>
      <c r="R189" s="119">
        <f t="shared" si="69"/>
        <v>14681.87</v>
      </c>
      <c r="S189" s="113">
        <f t="shared" si="9"/>
        <v>8.59</v>
      </c>
      <c r="T189" s="114"/>
      <c r="U189" s="114"/>
      <c r="V189" s="114"/>
      <c r="W189" s="114"/>
      <c r="X189" s="115"/>
      <c r="Y189" s="98"/>
      <c r="Z189" s="98"/>
    </row>
    <row r="190" hidden="1" outlineLevel="1">
      <c r="A190" s="293"/>
      <c r="B190" s="116"/>
      <c r="C190" s="294" t="s">
        <v>34</v>
      </c>
      <c r="D190" s="177">
        <v>-69.95</v>
      </c>
      <c r="E190" s="169">
        <v>-1.0</v>
      </c>
      <c r="F190" s="169">
        <v>0.0</v>
      </c>
      <c r="G190" s="104" t="str">
        <f t="shared" si="1"/>
        <v>#DIV/0!</v>
      </c>
      <c r="H190" s="105">
        <f t="shared" si="2"/>
        <v>69.95</v>
      </c>
      <c r="I190" s="106" t="str">
        <f t="shared" si="3"/>
        <v>#DIV/0!</v>
      </c>
      <c r="J190" s="120">
        <v>0.0</v>
      </c>
      <c r="K190" s="314">
        <v>0.0</v>
      </c>
      <c r="L190" s="103">
        <v>0.0</v>
      </c>
      <c r="M190" s="178">
        <v>0.0</v>
      </c>
      <c r="N190" s="109" t="str">
        <f t="shared" si="4"/>
        <v>#DIV/0!</v>
      </c>
      <c r="O190" s="110" t="str">
        <f t="shared" si="5"/>
        <v>#DIV/0!</v>
      </c>
      <c r="P190" s="109">
        <f t="shared" si="6"/>
        <v>0</v>
      </c>
      <c r="Q190" s="111">
        <f t="shared" si="7"/>
        <v>0</v>
      </c>
      <c r="R190" s="122">
        <f t="shared" si="69"/>
        <v>-69.95</v>
      </c>
      <c r="S190" s="113" t="str">
        <f t="shared" si="9"/>
        <v>#DIV/0!</v>
      </c>
      <c r="T190" s="114"/>
      <c r="U190" s="114"/>
      <c r="V190" s="114"/>
      <c r="W190" s="114"/>
      <c r="X190" s="115"/>
      <c r="Y190" s="98"/>
      <c r="Z190" s="98"/>
    </row>
    <row r="191" hidden="1" outlineLevel="1">
      <c r="A191" s="293"/>
      <c r="B191" s="116"/>
      <c r="C191" s="294" t="s">
        <v>35</v>
      </c>
      <c r="D191" s="177">
        <v>479.6</v>
      </c>
      <c r="E191" s="169">
        <v>8.0</v>
      </c>
      <c r="F191" s="169">
        <v>6.0</v>
      </c>
      <c r="G191" s="104">
        <f t="shared" si="1"/>
        <v>1.333333333</v>
      </c>
      <c r="H191" s="105">
        <f t="shared" si="2"/>
        <v>59.95</v>
      </c>
      <c r="I191" s="106">
        <f t="shared" si="3"/>
        <v>44.9625</v>
      </c>
      <c r="J191" s="120">
        <v>88.11</v>
      </c>
      <c r="K191" s="314">
        <v>7703.0</v>
      </c>
      <c r="L191" s="103">
        <v>4.0</v>
      </c>
      <c r="M191" s="178">
        <v>239.8</v>
      </c>
      <c r="N191" s="109">
        <f t="shared" si="4"/>
        <v>0.3674311927</v>
      </c>
      <c r="O191" s="110">
        <f t="shared" si="5"/>
        <v>2.721598002</v>
      </c>
      <c r="P191" s="109">
        <f t="shared" si="6"/>
        <v>0.1837155963</v>
      </c>
      <c r="Q191" s="111">
        <f t="shared" si="7"/>
        <v>0.5</v>
      </c>
      <c r="R191" s="122">
        <f t="shared" si="69"/>
        <v>239.8</v>
      </c>
      <c r="S191" s="113">
        <f t="shared" si="9"/>
        <v>22.0275</v>
      </c>
      <c r="T191" s="114"/>
      <c r="U191" s="114"/>
      <c r="V191" s="114"/>
      <c r="W191" s="114"/>
      <c r="X191" s="115"/>
      <c r="Y191" s="98"/>
      <c r="Z191" s="98"/>
    </row>
    <row r="192" hidden="1" outlineLevel="1">
      <c r="A192" s="293"/>
      <c r="B192" s="116"/>
      <c r="C192" s="294" t="s">
        <v>65</v>
      </c>
      <c r="D192" s="320">
        <v>0.0</v>
      </c>
      <c r="E192" s="169">
        <v>0.0</v>
      </c>
      <c r="F192" s="169">
        <v>0.0</v>
      </c>
      <c r="G192" s="104" t="str">
        <f t="shared" si="1"/>
        <v>#DIV/0!</v>
      </c>
      <c r="H192" s="105" t="str">
        <f t="shared" si="2"/>
        <v>#DIV/0!</v>
      </c>
      <c r="I192" s="106" t="str">
        <f t="shared" si="3"/>
        <v>#DIV/0!</v>
      </c>
      <c r="J192" s="300">
        <v>0.0</v>
      </c>
      <c r="K192" s="314">
        <v>0.0</v>
      </c>
      <c r="L192" s="103">
        <v>0.0</v>
      </c>
      <c r="M192" s="320">
        <v>0.0</v>
      </c>
      <c r="N192" s="109" t="str">
        <f t="shared" si="4"/>
        <v>#DIV/0!</v>
      </c>
      <c r="O192" s="110" t="str">
        <f t="shared" si="5"/>
        <v>#DIV/0!</v>
      </c>
      <c r="P192" s="109" t="str">
        <f t="shared" si="6"/>
        <v>#DIV/0!</v>
      </c>
      <c r="Q192" s="111" t="str">
        <f t="shared" si="7"/>
        <v>#DIV/0!</v>
      </c>
      <c r="R192" s="122">
        <f t="shared" si="69"/>
        <v>0</v>
      </c>
      <c r="S192" s="113" t="str">
        <f t="shared" si="9"/>
        <v>#DIV/0!</v>
      </c>
      <c r="T192" s="114"/>
      <c r="U192" s="114"/>
      <c r="V192" s="114"/>
      <c r="W192" s="114"/>
      <c r="X192" s="115"/>
      <c r="Y192" s="98"/>
      <c r="Z192" s="98"/>
    </row>
    <row r="193" hidden="1" outlineLevel="1">
      <c r="A193" s="293"/>
      <c r="B193" s="116"/>
      <c r="C193" s="294" t="s">
        <v>85</v>
      </c>
      <c r="D193" s="321">
        <v>59.99</v>
      </c>
      <c r="E193" s="169">
        <v>1.0</v>
      </c>
      <c r="F193" s="169">
        <v>1.0</v>
      </c>
      <c r="G193" s="104">
        <f t="shared" si="1"/>
        <v>1</v>
      </c>
      <c r="H193" s="105">
        <f t="shared" si="2"/>
        <v>59.99</v>
      </c>
      <c r="I193" s="106">
        <f t="shared" si="3"/>
        <v>59.99</v>
      </c>
      <c r="J193" s="302">
        <v>36.18</v>
      </c>
      <c r="K193" s="314">
        <v>10669.0</v>
      </c>
      <c r="L193" s="103">
        <v>0.0</v>
      </c>
      <c r="M193" s="322">
        <v>0.0</v>
      </c>
      <c r="N193" s="109" t="str">
        <f t="shared" si="4"/>
        <v>#DIV/0!</v>
      </c>
      <c r="O193" s="110">
        <f t="shared" si="5"/>
        <v>0</v>
      </c>
      <c r="P193" s="109">
        <f t="shared" si="6"/>
        <v>0.6031005168</v>
      </c>
      <c r="Q193" s="111">
        <f t="shared" si="7"/>
        <v>0</v>
      </c>
      <c r="R193" s="304">
        <f t="shared" si="69"/>
        <v>59.99</v>
      </c>
      <c r="S193" s="113" t="str">
        <f t="shared" si="9"/>
        <v>#DIV/0!</v>
      </c>
      <c r="T193" s="114"/>
      <c r="U193" s="114"/>
      <c r="V193" s="114"/>
      <c r="W193" s="114"/>
      <c r="X193" s="115"/>
      <c r="Y193" s="98"/>
      <c r="Z193" s="98"/>
    </row>
    <row r="194" hidden="1" outlineLevel="1">
      <c r="A194" s="293"/>
      <c r="B194" s="116"/>
      <c r="C194" s="294" t="s">
        <v>36</v>
      </c>
      <c r="D194" s="177">
        <v>474.88</v>
      </c>
      <c r="E194" s="169">
        <v>8.0</v>
      </c>
      <c r="F194" s="169">
        <v>8.0</v>
      </c>
      <c r="G194" s="104">
        <f t="shared" si="1"/>
        <v>1</v>
      </c>
      <c r="H194" s="105">
        <f t="shared" si="2"/>
        <v>59.36</v>
      </c>
      <c r="I194" s="106">
        <f t="shared" si="3"/>
        <v>59.36</v>
      </c>
      <c r="J194" s="120">
        <v>108.74</v>
      </c>
      <c r="K194" s="314">
        <v>3994.0</v>
      </c>
      <c r="L194" s="103">
        <v>0.0</v>
      </c>
      <c r="M194" s="178">
        <v>0.0</v>
      </c>
      <c r="N194" s="109" t="str">
        <f t="shared" si="4"/>
        <v>#DIV/0!</v>
      </c>
      <c r="O194" s="110">
        <f t="shared" si="5"/>
        <v>0</v>
      </c>
      <c r="P194" s="109">
        <f t="shared" si="6"/>
        <v>0.2289841644</v>
      </c>
      <c r="Q194" s="111">
        <f t="shared" si="7"/>
        <v>0</v>
      </c>
      <c r="R194" s="122">
        <f t="shared" si="69"/>
        <v>474.88</v>
      </c>
      <c r="S194" s="113" t="str">
        <f t="shared" si="9"/>
        <v>#DIV/0!</v>
      </c>
      <c r="T194" s="114"/>
      <c r="U194" s="114"/>
      <c r="V194" s="114"/>
      <c r="W194" s="114"/>
      <c r="X194" s="115"/>
      <c r="Y194" s="98"/>
      <c r="Z194" s="98"/>
    </row>
    <row r="195" hidden="1" outlineLevel="1">
      <c r="A195" s="293"/>
      <c r="B195" s="99" t="s">
        <v>37</v>
      </c>
      <c r="C195" s="294" t="s">
        <v>38</v>
      </c>
      <c r="D195" s="180">
        <v>1623.45</v>
      </c>
      <c r="E195" s="169">
        <v>23.0</v>
      </c>
      <c r="F195" s="169">
        <v>29.0</v>
      </c>
      <c r="G195" s="104">
        <f t="shared" si="1"/>
        <v>0.7931034483</v>
      </c>
      <c r="H195" s="105">
        <f t="shared" si="2"/>
        <v>70.58478261</v>
      </c>
      <c r="I195" s="106">
        <f t="shared" si="3"/>
        <v>88.99820416</v>
      </c>
      <c r="J195" s="123">
        <v>254.35</v>
      </c>
      <c r="K195" s="314">
        <v>21511.0</v>
      </c>
      <c r="L195" s="103">
        <v>2.0</v>
      </c>
      <c r="M195" s="181">
        <v>43.12</v>
      </c>
      <c r="N195" s="109">
        <f t="shared" si="4"/>
        <v>5.898654917</v>
      </c>
      <c r="O195" s="110">
        <f t="shared" si="5"/>
        <v>0.169530175</v>
      </c>
      <c r="P195" s="109">
        <f t="shared" si="6"/>
        <v>0.1566725184</v>
      </c>
      <c r="Q195" s="111">
        <f t="shared" si="7"/>
        <v>0.02656071946</v>
      </c>
      <c r="R195" s="125">
        <f t="shared" si="69"/>
        <v>1580.33</v>
      </c>
      <c r="S195" s="113">
        <f t="shared" si="9"/>
        <v>127.175</v>
      </c>
      <c r="T195" s="114"/>
      <c r="U195" s="114"/>
      <c r="V195" s="114"/>
      <c r="W195" s="114"/>
      <c r="X195" s="115"/>
      <c r="Y195" s="98"/>
      <c r="Z195" s="98"/>
    </row>
    <row r="196" hidden="1" outlineLevel="1">
      <c r="A196" s="293"/>
      <c r="B196" s="116"/>
      <c r="C196" s="294" t="s">
        <v>39</v>
      </c>
      <c r="D196" s="182">
        <v>284.83</v>
      </c>
      <c r="E196" s="169">
        <v>5.0</v>
      </c>
      <c r="F196" s="169">
        <v>5.0</v>
      </c>
      <c r="G196" s="104">
        <f t="shared" si="1"/>
        <v>1</v>
      </c>
      <c r="H196" s="105">
        <f t="shared" si="2"/>
        <v>56.966</v>
      </c>
      <c r="I196" s="106">
        <f t="shared" si="3"/>
        <v>56.966</v>
      </c>
      <c r="J196" s="126">
        <v>102.1</v>
      </c>
      <c r="K196" s="314">
        <v>143493.0</v>
      </c>
      <c r="L196" s="103">
        <v>0.0</v>
      </c>
      <c r="M196" s="183">
        <v>0.0</v>
      </c>
      <c r="N196" s="109" t="str">
        <f t="shared" si="4"/>
        <v>#DIV/0!</v>
      </c>
      <c r="O196" s="110">
        <f t="shared" si="5"/>
        <v>0</v>
      </c>
      <c r="P196" s="109">
        <f t="shared" si="6"/>
        <v>0.3584594319</v>
      </c>
      <c r="Q196" s="111">
        <f t="shared" si="7"/>
        <v>0</v>
      </c>
      <c r="R196" s="128">
        <f t="shared" si="69"/>
        <v>284.83</v>
      </c>
      <c r="S196" s="113" t="str">
        <f t="shared" si="9"/>
        <v>#DIV/0!</v>
      </c>
      <c r="T196" s="114"/>
      <c r="U196" s="114"/>
      <c r="V196" s="114"/>
      <c r="W196" s="114"/>
      <c r="X196" s="115"/>
      <c r="Y196" s="98"/>
      <c r="Z196" s="98"/>
    </row>
    <row r="197" hidden="1" outlineLevel="1">
      <c r="A197" s="293"/>
      <c r="B197" s="116"/>
      <c r="C197" s="294" t="s">
        <v>40</v>
      </c>
      <c r="D197" s="184">
        <v>0.0</v>
      </c>
      <c r="E197" s="169">
        <v>0.0</v>
      </c>
      <c r="F197" s="169">
        <v>0.0</v>
      </c>
      <c r="G197" s="104" t="str">
        <f t="shared" si="1"/>
        <v>#DIV/0!</v>
      </c>
      <c r="H197" s="105" t="str">
        <f t="shared" si="2"/>
        <v>#DIV/0!</v>
      </c>
      <c r="I197" s="106" t="str">
        <f t="shared" si="3"/>
        <v>#DIV/0!</v>
      </c>
      <c r="J197" s="129">
        <v>0.0</v>
      </c>
      <c r="K197" s="314">
        <v>0.0</v>
      </c>
      <c r="L197" s="103">
        <v>0.0</v>
      </c>
      <c r="M197" s="185">
        <v>0.0</v>
      </c>
      <c r="N197" s="109" t="str">
        <f t="shared" si="4"/>
        <v>#DIV/0!</v>
      </c>
      <c r="O197" s="110" t="str">
        <f t="shared" si="5"/>
        <v>#DIV/0!</v>
      </c>
      <c r="P197" s="109" t="str">
        <f t="shared" si="6"/>
        <v>#DIV/0!</v>
      </c>
      <c r="Q197" s="111" t="str">
        <f t="shared" si="7"/>
        <v>#DIV/0!</v>
      </c>
      <c r="R197" s="131">
        <f t="shared" si="69"/>
        <v>0</v>
      </c>
      <c r="S197" s="113" t="str">
        <f t="shared" si="9"/>
        <v>#DIV/0!</v>
      </c>
      <c r="T197" s="114"/>
      <c r="U197" s="114"/>
      <c r="V197" s="114"/>
      <c r="W197" s="114"/>
      <c r="X197" s="115"/>
      <c r="Y197" s="98"/>
      <c r="Z197" s="98"/>
    </row>
    <row r="198" hidden="1" outlineLevel="1">
      <c r="A198" s="293"/>
      <c r="B198" s="116"/>
      <c r="C198" s="294" t="s">
        <v>41</v>
      </c>
      <c r="D198" s="186">
        <v>1560.55</v>
      </c>
      <c r="E198" s="169">
        <v>23.0</v>
      </c>
      <c r="F198" s="169">
        <v>19.0</v>
      </c>
      <c r="G198" s="104">
        <f t="shared" si="1"/>
        <v>1.210526316</v>
      </c>
      <c r="H198" s="105">
        <f t="shared" si="2"/>
        <v>67.85</v>
      </c>
      <c r="I198" s="106">
        <f t="shared" si="3"/>
        <v>56.05</v>
      </c>
      <c r="J198" s="132">
        <v>59.72</v>
      </c>
      <c r="K198" s="314">
        <v>12017.0</v>
      </c>
      <c r="L198" s="103">
        <v>9.0</v>
      </c>
      <c r="M198" s="187">
        <v>1025.1</v>
      </c>
      <c r="N198" s="109">
        <f t="shared" si="4"/>
        <v>0.05825773095</v>
      </c>
      <c r="O198" s="110">
        <f t="shared" si="5"/>
        <v>17.16510382</v>
      </c>
      <c r="P198" s="109">
        <f t="shared" si="6"/>
        <v>0.03826855916</v>
      </c>
      <c r="Q198" s="111">
        <f t="shared" si="7"/>
        <v>0.656883791</v>
      </c>
      <c r="R198" s="134">
        <f t="shared" si="69"/>
        <v>535.45</v>
      </c>
      <c r="S198" s="113">
        <f t="shared" si="9"/>
        <v>6.635555556</v>
      </c>
      <c r="T198" s="114"/>
      <c r="U198" s="114"/>
      <c r="V198" s="114"/>
      <c r="W198" s="114"/>
      <c r="X198" s="115"/>
      <c r="Y198" s="98"/>
      <c r="Z198" s="98"/>
    </row>
    <row r="199" hidden="1" outlineLevel="1">
      <c r="A199" s="293"/>
      <c r="B199" s="116"/>
      <c r="C199" s="294" t="s">
        <v>42</v>
      </c>
      <c r="D199" s="177">
        <v>-0.01</v>
      </c>
      <c r="E199" s="169">
        <v>-1.0</v>
      </c>
      <c r="F199" s="169">
        <v>2.0</v>
      </c>
      <c r="G199" s="104">
        <f t="shared" si="1"/>
        <v>-0.5</v>
      </c>
      <c r="H199" s="105">
        <f t="shared" si="2"/>
        <v>0.01</v>
      </c>
      <c r="I199" s="106">
        <f t="shared" si="3"/>
        <v>-0.02</v>
      </c>
      <c r="J199" s="120">
        <v>13.12</v>
      </c>
      <c r="K199" s="314">
        <v>12415.0</v>
      </c>
      <c r="L199" s="103">
        <v>2.0</v>
      </c>
      <c r="M199" s="178">
        <v>119.93</v>
      </c>
      <c r="N199" s="109">
        <f t="shared" si="4"/>
        <v>0.1093971483</v>
      </c>
      <c r="O199" s="110">
        <f t="shared" si="5"/>
        <v>9.141006098</v>
      </c>
      <c r="P199" s="109">
        <f t="shared" si="6"/>
        <v>-1312</v>
      </c>
      <c r="Q199" s="111">
        <f t="shared" si="7"/>
        <v>-11993</v>
      </c>
      <c r="R199" s="122">
        <f t="shared" si="69"/>
        <v>-119.94</v>
      </c>
      <c r="S199" s="113">
        <f t="shared" si="9"/>
        <v>6.56</v>
      </c>
      <c r="T199" s="114"/>
      <c r="U199" s="114"/>
      <c r="V199" s="114"/>
      <c r="W199" s="114"/>
      <c r="X199" s="115"/>
      <c r="Y199" s="98"/>
      <c r="Z199" s="98"/>
    </row>
    <row r="200" hidden="1" outlineLevel="1">
      <c r="A200" s="293"/>
      <c r="B200" s="116"/>
      <c r="C200" s="294" t="s">
        <v>43</v>
      </c>
      <c r="D200" s="188">
        <v>1823.99</v>
      </c>
      <c r="E200" s="169">
        <v>11.0</v>
      </c>
      <c r="F200" s="169">
        <v>12.0</v>
      </c>
      <c r="G200" s="104">
        <f t="shared" si="1"/>
        <v>0.9166666667</v>
      </c>
      <c r="H200" s="105">
        <f t="shared" si="2"/>
        <v>165.8172727</v>
      </c>
      <c r="I200" s="106">
        <f t="shared" si="3"/>
        <v>180.8915702</v>
      </c>
      <c r="J200" s="135">
        <v>30.37</v>
      </c>
      <c r="K200" s="314">
        <v>29346.0</v>
      </c>
      <c r="L200" s="103">
        <v>6.0</v>
      </c>
      <c r="M200" s="189">
        <v>975.0</v>
      </c>
      <c r="N200" s="109">
        <f t="shared" si="4"/>
        <v>0.03114871795</v>
      </c>
      <c r="O200" s="110">
        <f t="shared" si="5"/>
        <v>32.10405005</v>
      </c>
      <c r="P200" s="109">
        <f t="shared" si="6"/>
        <v>0.01665031058</v>
      </c>
      <c r="Q200" s="111">
        <f t="shared" si="7"/>
        <v>0.5345424043</v>
      </c>
      <c r="R200" s="137">
        <f t="shared" si="69"/>
        <v>848.99</v>
      </c>
      <c r="S200" s="113">
        <f t="shared" si="9"/>
        <v>5.061666667</v>
      </c>
      <c r="T200" s="114"/>
      <c r="U200" s="114"/>
      <c r="V200" s="114"/>
      <c r="W200" s="114"/>
      <c r="X200" s="115"/>
      <c r="Y200" s="98"/>
      <c r="Z200" s="98"/>
    </row>
    <row r="201" hidden="1" outlineLevel="1">
      <c r="A201" s="293"/>
      <c r="B201" s="116"/>
      <c r="C201" s="294" t="s">
        <v>44</v>
      </c>
      <c r="D201" s="190">
        <v>60.65</v>
      </c>
      <c r="E201" s="169">
        <v>1.0</v>
      </c>
      <c r="F201" s="169">
        <v>1.0</v>
      </c>
      <c r="G201" s="104">
        <f t="shared" si="1"/>
        <v>1</v>
      </c>
      <c r="H201" s="105">
        <f t="shared" si="2"/>
        <v>60.65</v>
      </c>
      <c r="I201" s="106">
        <f t="shared" si="3"/>
        <v>60.65</v>
      </c>
      <c r="J201" s="138">
        <v>4.58</v>
      </c>
      <c r="K201" s="314">
        <v>1112.0</v>
      </c>
      <c r="L201" s="103">
        <v>0.0</v>
      </c>
      <c r="M201" s="191">
        <v>0.0</v>
      </c>
      <c r="N201" s="109" t="str">
        <f t="shared" si="4"/>
        <v>#DIV/0!</v>
      </c>
      <c r="O201" s="110">
        <f t="shared" si="5"/>
        <v>0</v>
      </c>
      <c r="P201" s="109">
        <f t="shared" si="6"/>
        <v>0.07551525144</v>
      </c>
      <c r="Q201" s="111">
        <f t="shared" si="7"/>
        <v>0</v>
      </c>
      <c r="R201" s="140">
        <f t="shared" si="69"/>
        <v>60.65</v>
      </c>
      <c r="S201" s="113" t="str">
        <f t="shared" si="9"/>
        <v>#DIV/0!</v>
      </c>
      <c r="T201" s="114"/>
      <c r="U201" s="114"/>
      <c r="V201" s="114"/>
      <c r="W201" s="114"/>
      <c r="X201" s="115"/>
      <c r="Y201" s="98"/>
      <c r="Z201" s="98"/>
    </row>
    <row r="202" hidden="1" outlineLevel="1">
      <c r="A202" s="413"/>
      <c r="B202" s="116"/>
      <c r="C202" s="380" t="s">
        <v>45</v>
      </c>
      <c r="D202" s="167">
        <v>39.9</v>
      </c>
      <c r="E202" s="169">
        <v>2.0</v>
      </c>
      <c r="F202" s="169">
        <v>2.0</v>
      </c>
      <c r="G202" s="104">
        <f t="shared" si="1"/>
        <v>1</v>
      </c>
      <c r="H202" s="105">
        <f t="shared" si="2"/>
        <v>19.95</v>
      </c>
      <c r="I202" s="106">
        <f t="shared" si="3"/>
        <v>19.95</v>
      </c>
      <c r="J202" s="101">
        <v>0.0</v>
      </c>
      <c r="K202" s="314">
        <v>0.0</v>
      </c>
      <c r="L202" s="103">
        <v>0.0</v>
      </c>
      <c r="M202" s="171">
        <v>0.0</v>
      </c>
      <c r="N202" s="109" t="str">
        <f t="shared" si="4"/>
        <v>#DIV/0!</v>
      </c>
      <c r="O202" s="110" t="str">
        <f t="shared" si="5"/>
        <v>#DIV/0!</v>
      </c>
      <c r="P202" s="109">
        <f t="shared" si="6"/>
        <v>0</v>
      </c>
      <c r="Q202" s="111">
        <f t="shared" si="7"/>
        <v>0</v>
      </c>
      <c r="R202" s="112">
        <f t="shared" si="69"/>
        <v>39.9</v>
      </c>
      <c r="S202" s="113" t="str">
        <f t="shared" si="9"/>
        <v>#DIV/0!</v>
      </c>
      <c r="T202" s="143"/>
      <c r="U202" s="143"/>
      <c r="V202" s="143"/>
      <c r="W202" s="144"/>
      <c r="X202" s="145"/>
      <c r="Y202" s="98"/>
      <c r="Z202" s="98"/>
    </row>
    <row r="203" hidden="1" outlineLevel="1">
      <c r="A203" s="310"/>
      <c r="B203" s="99"/>
      <c r="C203" s="294" t="s">
        <v>46</v>
      </c>
      <c r="D203" s="196">
        <v>970.92</v>
      </c>
      <c r="E203" s="169">
        <v>27.0</v>
      </c>
      <c r="F203" s="169">
        <v>24.0</v>
      </c>
      <c r="G203" s="104">
        <f t="shared" si="1"/>
        <v>1.125</v>
      </c>
      <c r="H203" s="105">
        <f t="shared" si="2"/>
        <v>35.96</v>
      </c>
      <c r="I203" s="106">
        <f t="shared" si="3"/>
        <v>31.96444444</v>
      </c>
      <c r="J203" s="146">
        <v>141.19</v>
      </c>
      <c r="K203" s="314">
        <v>36774.0</v>
      </c>
      <c r="L203" s="103">
        <v>14.0</v>
      </c>
      <c r="M203" s="197">
        <v>359.6</v>
      </c>
      <c r="N203" s="109">
        <f t="shared" si="4"/>
        <v>0.3926307008</v>
      </c>
      <c r="O203" s="110">
        <f t="shared" si="5"/>
        <v>2.546922587</v>
      </c>
      <c r="P203" s="109">
        <f t="shared" si="6"/>
        <v>0.1454187781</v>
      </c>
      <c r="Q203" s="111">
        <f t="shared" si="7"/>
        <v>0.3703703704</v>
      </c>
      <c r="R203" s="112">
        <f t="shared" si="69"/>
        <v>611.32</v>
      </c>
      <c r="S203" s="113">
        <f t="shared" si="9"/>
        <v>10.085</v>
      </c>
      <c r="T203" s="114"/>
      <c r="U203" s="114"/>
      <c r="V203" s="114"/>
      <c r="W203" s="114"/>
      <c r="X203" s="115"/>
      <c r="Y203" s="98"/>
      <c r="Z203" s="98"/>
    </row>
    <row r="204" hidden="1" outlineLevel="1">
      <c r="A204" s="310" t="str">
        <f t="shared" ref="A204:A205" si="70">iferror(if(B204&gt;0,month(B204)&amp;"-"&amp;year(B204),B204),)</f>
        <v>12-2024</v>
      </c>
      <c r="B204" s="99">
        <v>45633.0</v>
      </c>
      <c r="C204" s="207" t="s">
        <v>49</v>
      </c>
      <c r="D204" s="196">
        <v>0.0</v>
      </c>
      <c r="E204" s="169">
        <v>0.0</v>
      </c>
      <c r="F204" s="169">
        <v>0.0</v>
      </c>
      <c r="G204" s="104" t="str">
        <f t="shared" si="1"/>
        <v>#DIV/0!</v>
      </c>
      <c r="H204" s="105" t="str">
        <f t="shared" si="2"/>
        <v>#DIV/0!</v>
      </c>
      <c r="I204" s="106" t="str">
        <f t="shared" si="3"/>
        <v>#DIV/0!</v>
      </c>
      <c r="J204" s="196">
        <v>0.8</v>
      </c>
      <c r="K204" s="314">
        <v>13918.0</v>
      </c>
      <c r="L204" s="169">
        <v>0.0</v>
      </c>
      <c r="M204" s="197">
        <v>0.0</v>
      </c>
      <c r="N204" s="109" t="str">
        <f t="shared" si="4"/>
        <v>#DIV/0!</v>
      </c>
      <c r="O204" s="110">
        <f t="shared" si="5"/>
        <v>0</v>
      </c>
      <c r="P204" s="109" t="str">
        <f t="shared" si="6"/>
        <v>#DIV/0!</v>
      </c>
      <c r="Q204" s="111" t="str">
        <f t="shared" si="7"/>
        <v>#DIV/0!</v>
      </c>
      <c r="R204" s="112">
        <f t="shared" si="69"/>
        <v>0</v>
      </c>
      <c r="S204" s="113" t="str">
        <f t="shared" si="9"/>
        <v>#DIV/0!</v>
      </c>
      <c r="T204" s="114"/>
      <c r="U204" s="114"/>
      <c r="V204" s="114"/>
      <c r="W204" s="114"/>
      <c r="X204" s="115"/>
      <c r="Y204" s="98"/>
      <c r="Z204" s="98"/>
    </row>
    <row r="205" collapsed="1">
      <c r="A205" s="413" t="str">
        <f t="shared" si="70"/>
        <v/>
      </c>
      <c r="B205" s="362" t="s">
        <v>136</v>
      </c>
      <c r="C205" s="414"/>
      <c r="D205" s="364">
        <f t="shared" ref="D205:F205" si="71">SUM(D188:D204)</f>
        <v>31841.46</v>
      </c>
      <c r="E205" s="366">
        <f t="shared" si="71"/>
        <v>193</v>
      </c>
      <c r="F205" s="366">
        <f t="shared" si="71"/>
        <v>208</v>
      </c>
      <c r="G205" s="367">
        <f t="shared" si="1"/>
        <v>0.9278846154</v>
      </c>
      <c r="H205" s="365">
        <f t="shared" si="2"/>
        <v>164.981658</v>
      </c>
      <c r="I205" s="368">
        <f t="shared" si="3"/>
        <v>177.8040667</v>
      </c>
      <c r="J205" s="369">
        <f t="shared" ref="J205:M205" si="72">SUM(J188:J204)</f>
        <v>1030.92</v>
      </c>
      <c r="K205" s="370">
        <f t="shared" si="72"/>
        <v>335369</v>
      </c>
      <c r="L205" s="366">
        <f t="shared" si="72"/>
        <v>55</v>
      </c>
      <c r="M205" s="364">
        <f t="shared" si="72"/>
        <v>6482.74</v>
      </c>
      <c r="N205" s="371">
        <f t="shared" si="4"/>
        <v>0.1590253504</v>
      </c>
      <c r="O205" s="372">
        <f t="shared" si="5"/>
        <v>6.288305591</v>
      </c>
      <c r="P205" s="371">
        <f t="shared" si="6"/>
        <v>0.0323766561</v>
      </c>
      <c r="Q205" s="373">
        <f t="shared" si="7"/>
        <v>0.2035943075</v>
      </c>
      <c r="R205" s="374">
        <f>SUM(R188:R204)</f>
        <v>25358.72</v>
      </c>
      <c r="S205" s="375">
        <f t="shared" si="9"/>
        <v>18.744</v>
      </c>
      <c r="T205" s="415" t="str">
        <f t="shared" ref="T205:U205" si="73">IFERROR((D205-#REF!)/D205,)</f>
        <v/>
      </c>
      <c r="U205" s="415" t="str">
        <f t="shared" si="73"/>
        <v/>
      </c>
      <c r="V205" s="377" t="str">
        <f t="shared" ref="V205:W205" si="74">IFERROR((D205-monthly_reporting_2021!D49)/D205, )</f>
        <v/>
      </c>
      <c r="W205" s="378" t="str">
        <f t="shared" si="74"/>
        <v/>
      </c>
      <c r="X205" s="98"/>
      <c r="Y205" s="98"/>
      <c r="Z205" s="98"/>
    </row>
    <row r="206" hidden="1" outlineLevel="1">
      <c r="A206" s="293"/>
      <c r="B206" s="99">
        <v>45634.0</v>
      </c>
      <c r="C206" s="294" t="s">
        <v>32</v>
      </c>
      <c r="D206" s="167">
        <v>2802.67</v>
      </c>
      <c r="E206" s="169">
        <v>8.0</v>
      </c>
      <c r="F206" s="169">
        <v>11.0</v>
      </c>
      <c r="G206" s="104">
        <f t="shared" si="1"/>
        <v>0.7272727273</v>
      </c>
      <c r="H206" s="105">
        <f t="shared" si="2"/>
        <v>350.33375</v>
      </c>
      <c r="I206" s="106">
        <f t="shared" si="3"/>
        <v>481.7089063</v>
      </c>
      <c r="J206" s="101">
        <v>75.01</v>
      </c>
      <c r="K206" s="314">
        <v>17828.0</v>
      </c>
      <c r="L206" s="103">
        <v>3.0</v>
      </c>
      <c r="M206" s="171">
        <v>69.95</v>
      </c>
      <c r="N206" s="109">
        <f t="shared" si="4"/>
        <v>1.072337384</v>
      </c>
      <c r="O206" s="110">
        <f t="shared" si="5"/>
        <v>0.9325423277</v>
      </c>
      <c r="P206" s="109">
        <f t="shared" si="6"/>
        <v>0.02676376455</v>
      </c>
      <c r="Q206" s="111">
        <f t="shared" si="7"/>
        <v>0.02495834329</v>
      </c>
      <c r="R206" s="112">
        <f t="shared" ref="R206:R222" si="75">D206-M206</f>
        <v>2732.72</v>
      </c>
      <c r="S206" s="113">
        <f t="shared" si="9"/>
        <v>25.00333333</v>
      </c>
      <c r="T206" s="114"/>
      <c r="U206" s="114"/>
      <c r="V206" s="114"/>
      <c r="W206" s="114"/>
      <c r="X206" s="115"/>
      <c r="Y206" s="98"/>
      <c r="Z206" s="98"/>
    </row>
    <row r="207" hidden="1" outlineLevel="1">
      <c r="A207" s="293"/>
      <c r="B207" s="116"/>
      <c r="C207" s="294" t="s">
        <v>33</v>
      </c>
      <c r="D207" s="175">
        <v>1358.49</v>
      </c>
      <c r="E207" s="169">
        <v>8.0</v>
      </c>
      <c r="F207" s="169">
        <v>18.0</v>
      </c>
      <c r="G207" s="104">
        <f t="shared" si="1"/>
        <v>0.4444444444</v>
      </c>
      <c r="H207" s="105">
        <f t="shared" si="2"/>
        <v>169.81125</v>
      </c>
      <c r="I207" s="106">
        <f t="shared" si="3"/>
        <v>382.0753125</v>
      </c>
      <c r="J207" s="117">
        <v>103.35</v>
      </c>
      <c r="K207" s="314">
        <v>20502.0</v>
      </c>
      <c r="L207" s="103">
        <v>4.0</v>
      </c>
      <c r="M207" s="176">
        <v>284.0</v>
      </c>
      <c r="N207" s="109">
        <f t="shared" si="4"/>
        <v>0.3639084507</v>
      </c>
      <c r="O207" s="110">
        <f t="shared" si="5"/>
        <v>2.74794388</v>
      </c>
      <c r="P207" s="109">
        <f t="shared" si="6"/>
        <v>0.07607711503</v>
      </c>
      <c r="Q207" s="111">
        <f t="shared" si="7"/>
        <v>0.2090556427</v>
      </c>
      <c r="R207" s="119">
        <f t="shared" si="75"/>
        <v>1074.49</v>
      </c>
      <c r="S207" s="113">
        <f t="shared" si="9"/>
        <v>25.8375</v>
      </c>
      <c r="T207" s="114"/>
      <c r="U207" s="114"/>
      <c r="V207" s="114"/>
      <c r="W207" s="114"/>
      <c r="X207" s="115"/>
      <c r="Y207" s="98"/>
      <c r="Z207" s="98"/>
    </row>
    <row r="208" hidden="1" outlineLevel="1">
      <c r="A208" s="293"/>
      <c r="B208" s="116"/>
      <c r="C208" s="294" t="s">
        <v>34</v>
      </c>
      <c r="D208" s="177">
        <v>0.0</v>
      </c>
      <c r="E208" s="169">
        <v>0.0</v>
      </c>
      <c r="F208" s="169">
        <v>0.0</v>
      </c>
      <c r="G208" s="104" t="str">
        <f t="shared" si="1"/>
        <v>#DIV/0!</v>
      </c>
      <c r="H208" s="105" t="str">
        <f t="shared" si="2"/>
        <v>#DIV/0!</v>
      </c>
      <c r="I208" s="106" t="str">
        <f t="shared" si="3"/>
        <v>#DIV/0!</v>
      </c>
      <c r="J208" s="120">
        <v>0.0</v>
      </c>
      <c r="K208" s="314">
        <v>0.0</v>
      </c>
      <c r="L208" s="103">
        <v>0.0</v>
      </c>
      <c r="M208" s="178">
        <v>0.0</v>
      </c>
      <c r="N208" s="109" t="str">
        <f t="shared" si="4"/>
        <v>#DIV/0!</v>
      </c>
      <c r="O208" s="110" t="str">
        <f t="shared" si="5"/>
        <v>#DIV/0!</v>
      </c>
      <c r="P208" s="109" t="str">
        <f t="shared" si="6"/>
        <v>#DIV/0!</v>
      </c>
      <c r="Q208" s="111" t="str">
        <f t="shared" si="7"/>
        <v>#DIV/0!</v>
      </c>
      <c r="R208" s="122">
        <f t="shared" si="75"/>
        <v>0</v>
      </c>
      <c r="S208" s="113" t="str">
        <f t="shared" si="9"/>
        <v>#DIV/0!</v>
      </c>
      <c r="T208" s="114"/>
      <c r="U208" s="114"/>
      <c r="V208" s="114"/>
      <c r="W208" s="114"/>
      <c r="X208" s="115"/>
      <c r="Y208" s="98"/>
      <c r="Z208" s="98"/>
    </row>
    <row r="209" hidden="1" outlineLevel="1">
      <c r="A209" s="293"/>
      <c r="B209" s="116"/>
      <c r="C209" s="294" t="s">
        <v>35</v>
      </c>
      <c r="D209" s="177">
        <v>659.45</v>
      </c>
      <c r="E209" s="169">
        <v>11.0</v>
      </c>
      <c r="F209" s="169">
        <v>9.0</v>
      </c>
      <c r="G209" s="104">
        <f t="shared" si="1"/>
        <v>1.222222222</v>
      </c>
      <c r="H209" s="105">
        <f t="shared" si="2"/>
        <v>59.95</v>
      </c>
      <c r="I209" s="106">
        <f t="shared" si="3"/>
        <v>49.05</v>
      </c>
      <c r="J209" s="120">
        <v>78.76</v>
      </c>
      <c r="K209" s="314">
        <v>5626.0</v>
      </c>
      <c r="L209" s="103">
        <v>3.0</v>
      </c>
      <c r="M209" s="178">
        <v>179.85</v>
      </c>
      <c r="N209" s="109">
        <f t="shared" si="4"/>
        <v>0.4379204893</v>
      </c>
      <c r="O209" s="110">
        <f t="shared" si="5"/>
        <v>2.283519553</v>
      </c>
      <c r="P209" s="109">
        <f t="shared" si="6"/>
        <v>0.1194328607</v>
      </c>
      <c r="Q209" s="111">
        <f t="shared" si="7"/>
        <v>0.2727272727</v>
      </c>
      <c r="R209" s="122">
        <f t="shared" si="75"/>
        <v>479.6</v>
      </c>
      <c r="S209" s="113">
        <f t="shared" si="9"/>
        <v>26.25333333</v>
      </c>
      <c r="T209" s="114"/>
      <c r="U209" s="114"/>
      <c r="V209" s="114"/>
      <c r="W209" s="114"/>
      <c r="X209" s="115"/>
      <c r="Y209" s="98"/>
      <c r="Z209" s="98"/>
    </row>
    <row r="210" hidden="1" outlineLevel="1">
      <c r="A210" s="293"/>
      <c r="B210" s="116"/>
      <c r="C210" s="294" t="s">
        <v>65</v>
      </c>
      <c r="D210" s="320">
        <v>0.0</v>
      </c>
      <c r="E210" s="169">
        <v>0.0</v>
      </c>
      <c r="F210" s="169">
        <v>0.0</v>
      </c>
      <c r="G210" s="104" t="str">
        <f t="shared" si="1"/>
        <v>#DIV/0!</v>
      </c>
      <c r="H210" s="105" t="str">
        <f t="shared" si="2"/>
        <v>#DIV/0!</v>
      </c>
      <c r="I210" s="106" t="str">
        <f t="shared" si="3"/>
        <v>#DIV/0!</v>
      </c>
      <c r="J210" s="300">
        <v>0.0</v>
      </c>
      <c r="K210" s="314">
        <v>0.0</v>
      </c>
      <c r="L210" s="103">
        <v>0.0</v>
      </c>
      <c r="M210" s="320">
        <v>0.0</v>
      </c>
      <c r="N210" s="109" t="str">
        <f t="shared" si="4"/>
        <v>#DIV/0!</v>
      </c>
      <c r="O210" s="110" t="str">
        <f t="shared" si="5"/>
        <v>#DIV/0!</v>
      </c>
      <c r="P210" s="109" t="str">
        <f t="shared" si="6"/>
        <v>#DIV/0!</v>
      </c>
      <c r="Q210" s="111" t="str">
        <f t="shared" si="7"/>
        <v>#DIV/0!</v>
      </c>
      <c r="R210" s="122">
        <f t="shared" si="75"/>
        <v>0</v>
      </c>
      <c r="S210" s="113" t="str">
        <f t="shared" si="9"/>
        <v>#DIV/0!</v>
      </c>
      <c r="T210" s="114"/>
      <c r="U210" s="114"/>
      <c r="V210" s="114"/>
      <c r="W210" s="114"/>
      <c r="X210" s="115"/>
      <c r="Y210" s="98"/>
      <c r="Z210" s="98"/>
    </row>
    <row r="211" hidden="1" outlineLevel="1">
      <c r="A211" s="293"/>
      <c r="B211" s="116"/>
      <c r="C211" s="294" t="s">
        <v>85</v>
      </c>
      <c r="D211" s="321">
        <v>244.92</v>
      </c>
      <c r="E211" s="169">
        <v>4.0</v>
      </c>
      <c r="F211" s="169">
        <v>3.0</v>
      </c>
      <c r="G211" s="104">
        <f t="shared" si="1"/>
        <v>1.333333333</v>
      </c>
      <c r="H211" s="105">
        <f t="shared" si="2"/>
        <v>61.23</v>
      </c>
      <c r="I211" s="106">
        <f t="shared" si="3"/>
        <v>45.9225</v>
      </c>
      <c r="J211" s="302">
        <v>41.86</v>
      </c>
      <c r="K211" s="314">
        <v>8581.0</v>
      </c>
      <c r="L211" s="103">
        <v>2.0</v>
      </c>
      <c r="M211" s="322">
        <v>124.94</v>
      </c>
      <c r="N211" s="109">
        <f t="shared" si="4"/>
        <v>0.3350408196</v>
      </c>
      <c r="O211" s="110">
        <f t="shared" si="5"/>
        <v>2.984710941</v>
      </c>
      <c r="P211" s="109">
        <f t="shared" si="6"/>
        <v>0.1709129512</v>
      </c>
      <c r="Q211" s="111">
        <f t="shared" si="7"/>
        <v>0.5101257553</v>
      </c>
      <c r="R211" s="304">
        <f t="shared" si="75"/>
        <v>119.98</v>
      </c>
      <c r="S211" s="113">
        <f t="shared" si="9"/>
        <v>20.93</v>
      </c>
      <c r="T211" s="114"/>
      <c r="U211" s="114"/>
      <c r="V211" s="114"/>
      <c r="W211" s="114"/>
      <c r="X211" s="115"/>
      <c r="Y211" s="98"/>
      <c r="Z211" s="98"/>
    </row>
    <row r="212" hidden="1" outlineLevel="1">
      <c r="A212" s="293"/>
      <c r="B212" s="116"/>
      <c r="C212" s="294" t="s">
        <v>36</v>
      </c>
      <c r="D212" s="177">
        <v>560.16</v>
      </c>
      <c r="E212" s="169">
        <v>8.0</v>
      </c>
      <c r="F212" s="169">
        <v>8.0</v>
      </c>
      <c r="G212" s="104">
        <f t="shared" si="1"/>
        <v>1</v>
      </c>
      <c r="H212" s="105">
        <f t="shared" si="2"/>
        <v>70.02</v>
      </c>
      <c r="I212" s="106">
        <f t="shared" si="3"/>
        <v>70.02</v>
      </c>
      <c r="J212" s="120">
        <v>116.16</v>
      </c>
      <c r="K212" s="314">
        <v>4288.0</v>
      </c>
      <c r="L212" s="103">
        <v>1.0</v>
      </c>
      <c r="M212" s="178">
        <v>69.95</v>
      </c>
      <c r="N212" s="109">
        <f t="shared" si="4"/>
        <v>1.660614725</v>
      </c>
      <c r="O212" s="110">
        <f t="shared" si="5"/>
        <v>0.6021866391</v>
      </c>
      <c r="P212" s="109">
        <f t="shared" si="6"/>
        <v>0.2073693231</v>
      </c>
      <c r="Q212" s="111">
        <f t="shared" si="7"/>
        <v>0.1248750357</v>
      </c>
      <c r="R212" s="122">
        <f t="shared" si="75"/>
        <v>490.21</v>
      </c>
      <c r="S212" s="113">
        <f t="shared" si="9"/>
        <v>116.16</v>
      </c>
      <c r="T212" s="114"/>
      <c r="U212" s="114"/>
      <c r="V212" s="114"/>
      <c r="W212" s="114"/>
      <c r="X212" s="115"/>
      <c r="Y212" s="98"/>
      <c r="Z212" s="98"/>
    </row>
    <row r="213" hidden="1" outlineLevel="1">
      <c r="A213" s="293"/>
      <c r="B213" s="99" t="s">
        <v>37</v>
      </c>
      <c r="C213" s="294" t="s">
        <v>38</v>
      </c>
      <c r="D213" s="180">
        <v>408.34</v>
      </c>
      <c r="E213" s="169">
        <v>10.0</v>
      </c>
      <c r="F213" s="169">
        <v>13.0</v>
      </c>
      <c r="G213" s="104">
        <f t="shared" si="1"/>
        <v>0.7692307692</v>
      </c>
      <c r="H213" s="105">
        <f t="shared" si="2"/>
        <v>40.834</v>
      </c>
      <c r="I213" s="106">
        <f t="shared" si="3"/>
        <v>53.0842</v>
      </c>
      <c r="J213" s="123">
        <v>67.18</v>
      </c>
      <c r="K213" s="314">
        <v>8262.0</v>
      </c>
      <c r="L213" s="103">
        <v>4.0</v>
      </c>
      <c r="M213" s="181">
        <v>86.24</v>
      </c>
      <c r="N213" s="109">
        <f t="shared" si="4"/>
        <v>0.7789888683</v>
      </c>
      <c r="O213" s="110">
        <f t="shared" si="5"/>
        <v>1.283715391</v>
      </c>
      <c r="P213" s="109">
        <f t="shared" si="6"/>
        <v>0.1645197629</v>
      </c>
      <c r="Q213" s="111">
        <f t="shared" si="7"/>
        <v>0.2111965519</v>
      </c>
      <c r="R213" s="125">
        <f t="shared" si="75"/>
        <v>322.1</v>
      </c>
      <c r="S213" s="113">
        <f t="shared" si="9"/>
        <v>16.795</v>
      </c>
      <c r="T213" s="114"/>
      <c r="U213" s="114"/>
      <c r="V213" s="114"/>
      <c r="W213" s="114"/>
      <c r="X213" s="115"/>
      <c r="Y213" s="98"/>
      <c r="Z213" s="98"/>
    </row>
    <row r="214" hidden="1" outlineLevel="1">
      <c r="A214" s="293"/>
      <c r="B214" s="116"/>
      <c r="C214" s="294" t="s">
        <v>39</v>
      </c>
      <c r="D214" s="182">
        <v>-94.88</v>
      </c>
      <c r="E214" s="169">
        <v>-3.0</v>
      </c>
      <c r="F214" s="169">
        <v>2.0</v>
      </c>
      <c r="G214" s="104">
        <f t="shared" si="1"/>
        <v>-1.5</v>
      </c>
      <c r="H214" s="105">
        <f t="shared" si="2"/>
        <v>31.62666667</v>
      </c>
      <c r="I214" s="106">
        <f t="shared" si="3"/>
        <v>-21.08444444</v>
      </c>
      <c r="J214" s="126">
        <v>70.73</v>
      </c>
      <c r="K214" s="314">
        <v>175649.0</v>
      </c>
      <c r="L214" s="103">
        <v>1.0</v>
      </c>
      <c r="M214" s="183">
        <v>84.96</v>
      </c>
      <c r="N214" s="109">
        <f t="shared" si="4"/>
        <v>0.8325094162</v>
      </c>
      <c r="O214" s="110">
        <f t="shared" si="5"/>
        <v>1.201187615</v>
      </c>
      <c r="P214" s="109">
        <f t="shared" si="6"/>
        <v>-0.7454679595</v>
      </c>
      <c r="Q214" s="111">
        <f t="shared" si="7"/>
        <v>-0.8954468803</v>
      </c>
      <c r="R214" s="128">
        <f t="shared" si="75"/>
        <v>-179.84</v>
      </c>
      <c r="S214" s="113">
        <f t="shared" si="9"/>
        <v>70.73</v>
      </c>
      <c r="T214" s="114"/>
      <c r="U214" s="114"/>
      <c r="V214" s="114"/>
      <c r="W214" s="114"/>
      <c r="X214" s="115"/>
      <c r="Y214" s="98"/>
      <c r="Z214" s="98"/>
    </row>
    <row r="215" hidden="1" outlineLevel="1">
      <c r="A215" s="293"/>
      <c r="B215" s="116"/>
      <c r="C215" s="294" t="s">
        <v>40</v>
      </c>
      <c r="D215" s="184">
        <v>0.0</v>
      </c>
      <c r="E215" s="169">
        <v>0.0</v>
      </c>
      <c r="F215" s="169">
        <v>0.0</v>
      </c>
      <c r="G215" s="104" t="str">
        <f t="shared" si="1"/>
        <v>#DIV/0!</v>
      </c>
      <c r="H215" s="105" t="str">
        <f t="shared" si="2"/>
        <v>#DIV/0!</v>
      </c>
      <c r="I215" s="106" t="str">
        <f t="shared" si="3"/>
        <v>#DIV/0!</v>
      </c>
      <c r="J215" s="129">
        <v>0.0</v>
      </c>
      <c r="K215" s="314">
        <v>0.0</v>
      </c>
      <c r="L215" s="103">
        <v>0.0</v>
      </c>
      <c r="M215" s="185">
        <v>0.0</v>
      </c>
      <c r="N215" s="109" t="str">
        <f t="shared" si="4"/>
        <v>#DIV/0!</v>
      </c>
      <c r="O215" s="110" t="str">
        <f t="shared" si="5"/>
        <v>#DIV/0!</v>
      </c>
      <c r="P215" s="109" t="str">
        <f t="shared" si="6"/>
        <v>#DIV/0!</v>
      </c>
      <c r="Q215" s="111" t="str">
        <f t="shared" si="7"/>
        <v>#DIV/0!</v>
      </c>
      <c r="R215" s="131">
        <f t="shared" si="75"/>
        <v>0</v>
      </c>
      <c r="S215" s="113" t="str">
        <f t="shared" si="9"/>
        <v>#DIV/0!</v>
      </c>
      <c r="T215" s="114"/>
      <c r="U215" s="114"/>
      <c r="V215" s="114"/>
      <c r="W215" s="114"/>
      <c r="X215" s="115"/>
      <c r="Y215" s="98"/>
      <c r="Z215" s="98"/>
    </row>
    <row r="216" hidden="1" outlineLevel="1">
      <c r="A216" s="293"/>
      <c r="B216" s="116"/>
      <c r="C216" s="294" t="s">
        <v>41</v>
      </c>
      <c r="D216" s="186">
        <v>1357.0</v>
      </c>
      <c r="E216" s="169">
        <v>24.0</v>
      </c>
      <c r="F216" s="169">
        <v>24.0</v>
      </c>
      <c r="G216" s="104">
        <f t="shared" si="1"/>
        <v>1</v>
      </c>
      <c r="H216" s="105">
        <f t="shared" si="2"/>
        <v>56.54166667</v>
      </c>
      <c r="I216" s="106">
        <f t="shared" si="3"/>
        <v>56.54166667</v>
      </c>
      <c r="J216" s="132">
        <v>55.81</v>
      </c>
      <c r="K216" s="314">
        <v>11972.0</v>
      </c>
      <c r="L216" s="103">
        <v>11.0</v>
      </c>
      <c r="M216" s="187">
        <v>723.85</v>
      </c>
      <c r="N216" s="109">
        <f t="shared" si="4"/>
        <v>0.07710160945</v>
      </c>
      <c r="O216" s="110">
        <f t="shared" si="5"/>
        <v>12.96989787</v>
      </c>
      <c r="P216" s="109">
        <f t="shared" si="6"/>
        <v>0.0411274871</v>
      </c>
      <c r="Q216" s="111">
        <f t="shared" si="7"/>
        <v>0.5334193073</v>
      </c>
      <c r="R216" s="134">
        <f t="shared" si="75"/>
        <v>633.15</v>
      </c>
      <c r="S216" s="113">
        <f t="shared" si="9"/>
        <v>5.073636364</v>
      </c>
      <c r="T216" s="114"/>
      <c r="U216" s="114"/>
      <c r="V216" s="114"/>
      <c r="W216" s="114"/>
      <c r="X216" s="115"/>
      <c r="Y216" s="98"/>
      <c r="Z216" s="98"/>
    </row>
    <row r="217" hidden="1" outlineLevel="1">
      <c r="A217" s="293"/>
      <c r="B217" s="116"/>
      <c r="C217" s="294" t="s">
        <v>42</v>
      </c>
      <c r="D217" s="177">
        <v>-49.97</v>
      </c>
      <c r="E217" s="169">
        <v>-2.0</v>
      </c>
      <c r="F217" s="169">
        <v>0.0</v>
      </c>
      <c r="G217" s="104" t="str">
        <f t="shared" si="1"/>
        <v>#DIV/0!</v>
      </c>
      <c r="H217" s="105">
        <f t="shared" si="2"/>
        <v>24.985</v>
      </c>
      <c r="I217" s="106" t="str">
        <f t="shared" si="3"/>
        <v>#DIV/0!</v>
      </c>
      <c r="J217" s="120">
        <v>6.31</v>
      </c>
      <c r="K217" s="314">
        <v>12569.0</v>
      </c>
      <c r="L217" s="103">
        <v>0.0</v>
      </c>
      <c r="M217" s="178">
        <v>0.0</v>
      </c>
      <c r="N217" s="109" t="str">
        <f t="shared" si="4"/>
        <v>#DIV/0!</v>
      </c>
      <c r="O217" s="110">
        <f t="shared" si="5"/>
        <v>0</v>
      </c>
      <c r="P217" s="109">
        <f t="shared" si="6"/>
        <v>-0.1262757655</v>
      </c>
      <c r="Q217" s="111">
        <f t="shared" si="7"/>
        <v>0</v>
      </c>
      <c r="R217" s="122">
        <f t="shared" si="75"/>
        <v>-49.97</v>
      </c>
      <c r="S217" s="113" t="str">
        <f t="shared" si="9"/>
        <v>#DIV/0!</v>
      </c>
      <c r="T217" s="114"/>
      <c r="U217" s="114"/>
      <c r="V217" s="114"/>
      <c r="W217" s="114"/>
      <c r="X217" s="115"/>
      <c r="Y217" s="98"/>
      <c r="Z217" s="98"/>
    </row>
    <row r="218" hidden="1" outlineLevel="1">
      <c r="A218" s="293"/>
      <c r="B218" s="116"/>
      <c r="C218" s="294" t="s">
        <v>43</v>
      </c>
      <c r="D218" s="188">
        <v>1082.96</v>
      </c>
      <c r="E218" s="169">
        <v>6.0</v>
      </c>
      <c r="F218" s="169">
        <v>7.0</v>
      </c>
      <c r="G218" s="104">
        <f t="shared" si="1"/>
        <v>0.8571428571</v>
      </c>
      <c r="H218" s="105">
        <f t="shared" si="2"/>
        <v>180.4933333</v>
      </c>
      <c r="I218" s="106">
        <f t="shared" si="3"/>
        <v>210.5755556</v>
      </c>
      <c r="J218" s="135">
        <v>14.24</v>
      </c>
      <c r="K218" s="314">
        <v>19061.0</v>
      </c>
      <c r="L218" s="103">
        <v>2.0</v>
      </c>
      <c r="M218" s="189">
        <v>360.75</v>
      </c>
      <c r="N218" s="109">
        <f t="shared" si="4"/>
        <v>0.03947331947</v>
      </c>
      <c r="O218" s="110">
        <f t="shared" si="5"/>
        <v>25.33356742</v>
      </c>
      <c r="P218" s="109">
        <f t="shared" si="6"/>
        <v>0.01314914678</v>
      </c>
      <c r="Q218" s="111">
        <f t="shared" si="7"/>
        <v>0.3331147965</v>
      </c>
      <c r="R218" s="137">
        <f t="shared" si="75"/>
        <v>722.21</v>
      </c>
      <c r="S218" s="113">
        <f t="shared" si="9"/>
        <v>7.12</v>
      </c>
      <c r="T218" s="114"/>
      <c r="U218" s="114"/>
      <c r="V218" s="114"/>
      <c r="W218" s="114"/>
      <c r="X218" s="115"/>
      <c r="Y218" s="98"/>
      <c r="Z218" s="98"/>
    </row>
    <row r="219" hidden="1" outlineLevel="1">
      <c r="A219" s="293"/>
      <c r="B219" s="116"/>
      <c r="C219" s="294" t="s">
        <v>44</v>
      </c>
      <c r="D219" s="190">
        <v>0.0</v>
      </c>
      <c r="E219" s="169">
        <v>0.0</v>
      </c>
      <c r="F219" s="169">
        <v>0.0</v>
      </c>
      <c r="G219" s="104" t="str">
        <f t="shared" si="1"/>
        <v>#DIV/0!</v>
      </c>
      <c r="H219" s="105" t="str">
        <f t="shared" si="2"/>
        <v>#DIV/0!</v>
      </c>
      <c r="I219" s="106" t="str">
        <f t="shared" si="3"/>
        <v>#DIV/0!</v>
      </c>
      <c r="J219" s="138">
        <v>1.11</v>
      </c>
      <c r="K219" s="314">
        <v>11100.0</v>
      </c>
      <c r="L219" s="103">
        <v>0.0</v>
      </c>
      <c r="M219" s="191">
        <v>0.0</v>
      </c>
      <c r="N219" s="109" t="str">
        <f t="shared" si="4"/>
        <v>#DIV/0!</v>
      </c>
      <c r="O219" s="110">
        <f t="shared" si="5"/>
        <v>0</v>
      </c>
      <c r="P219" s="109" t="str">
        <f t="shared" si="6"/>
        <v>#DIV/0!</v>
      </c>
      <c r="Q219" s="111" t="str">
        <f t="shared" si="7"/>
        <v>#DIV/0!</v>
      </c>
      <c r="R219" s="140">
        <f t="shared" si="75"/>
        <v>0</v>
      </c>
      <c r="S219" s="113" t="str">
        <f t="shared" si="9"/>
        <v>#DIV/0!</v>
      </c>
      <c r="T219" s="114"/>
      <c r="U219" s="114"/>
      <c r="V219" s="114"/>
      <c r="W219" s="114"/>
      <c r="X219" s="115"/>
      <c r="Y219" s="98"/>
      <c r="Z219" s="98"/>
    </row>
    <row r="220" hidden="1" outlineLevel="1">
      <c r="A220" s="413"/>
      <c r="B220" s="116"/>
      <c r="C220" s="380" t="s">
        <v>45</v>
      </c>
      <c r="D220" s="167">
        <v>199.8</v>
      </c>
      <c r="E220" s="169">
        <v>4.0</v>
      </c>
      <c r="F220" s="169">
        <v>4.0</v>
      </c>
      <c r="G220" s="104">
        <f t="shared" si="1"/>
        <v>1</v>
      </c>
      <c r="H220" s="105">
        <f t="shared" si="2"/>
        <v>49.95</v>
      </c>
      <c r="I220" s="106">
        <f t="shared" si="3"/>
        <v>49.95</v>
      </c>
      <c r="J220" s="101">
        <v>0.0</v>
      </c>
      <c r="K220" s="314">
        <v>0.0</v>
      </c>
      <c r="L220" s="103">
        <v>0.0</v>
      </c>
      <c r="M220" s="171">
        <v>0.0</v>
      </c>
      <c r="N220" s="109" t="str">
        <f t="shared" si="4"/>
        <v>#DIV/0!</v>
      </c>
      <c r="O220" s="110" t="str">
        <f t="shared" si="5"/>
        <v>#DIV/0!</v>
      </c>
      <c r="P220" s="109">
        <f t="shared" si="6"/>
        <v>0</v>
      </c>
      <c r="Q220" s="111">
        <f t="shared" si="7"/>
        <v>0</v>
      </c>
      <c r="R220" s="112">
        <f t="shared" si="75"/>
        <v>199.8</v>
      </c>
      <c r="S220" s="113" t="str">
        <f t="shared" si="9"/>
        <v>#DIV/0!</v>
      </c>
      <c r="T220" s="143"/>
      <c r="U220" s="143"/>
      <c r="V220" s="143"/>
      <c r="W220" s="144"/>
      <c r="X220" s="145"/>
      <c r="Y220" s="98"/>
      <c r="Z220" s="98"/>
    </row>
    <row r="221" hidden="1" outlineLevel="1">
      <c r="A221" s="310"/>
      <c r="B221" s="99"/>
      <c r="C221" s="294" t="s">
        <v>46</v>
      </c>
      <c r="D221" s="196">
        <v>1153.97</v>
      </c>
      <c r="E221" s="169">
        <v>34.0</v>
      </c>
      <c r="F221" s="169">
        <v>32.0</v>
      </c>
      <c r="G221" s="104">
        <f t="shared" si="1"/>
        <v>1.0625</v>
      </c>
      <c r="H221" s="105">
        <f t="shared" si="2"/>
        <v>33.94029412</v>
      </c>
      <c r="I221" s="106">
        <f t="shared" si="3"/>
        <v>31.94380623</v>
      </c>
      <c r="J221" s="146">
        <v>148.87</v>
      </c>
      <c r="K221" s="314">
        <v>59787.0</v>
      </c>
      <c r="L221" s="103">
        <v>14.0</v>
      </c>
      <c r="M221" s="197">
        <v>399.18</v>
      </c>
      <c r="N221" s="109">
        <f t="shared" si="4"/>
        <v>0.372939526</v>
      </c>
      <c r="O221" s="110">
        <f t="shared" si="5"/>
        <v>2.681399879</v>
      </c>
      <c r="P221" s="109">
        <f t="shared" si="6"/>
        <v>0.1290068199</v>
      </c>
      <c r="Q221" s="111">
        <f t="shared" si="7"/>
        <v>0.3459188714</v>
      </c>
      <c r="R221" s="112">
        <f t="shared" si="75"/>
        <v>754.79</v>
      </c>
      <c r="S221" s="113">
        <f t="shared" si="9"/>
        <v>10.63357143</v>
      </c>
      <c r="T221" s="114"/>
      <c r="U221" s="114"/>
      <c r="V221" s="114"/>
      <c r="W221" s="114"/>
      <c r="X221" s="115"/>
      <c r="Y221" s="98"/>
      <c r="Z221" s="98"/>
    </row>
    <row r="222" hidden="1" outlineLevel="1">
      <c r="A222" s="310" t="str">
        <f t="shared" ref="A222:A223" si="76">iferror(if(B222&gt;0,month(B222)&amp;"-"&amp;year(B222),B222),)</f>
        <v>12-2024</v>
      </c>
      <c r="B222" s="99">
        <v>45640.0</v>
      </c>
      <c r="C222" s="207" t="s">
        <v>49</v>
      </c>
      <c r="D222" s="196">
        <v>0.0</v>
      </c>
      <c r="E222" s="169">
        <v>0.0</v>
      </c>
      <c r="F222" s="169">
        <v>0.0</v>
      </c>
      <c r="G222" s="104" t="str">
        <f t="shared" si="1"/>
        <v>#DIV/0!</v>
      </c>
      <c r="H222" s="105" t="str">
        <f t="shared" si="2"/>
        <v>#DIV/0!</v>
      </c>
      <c r="I222" s="106" t="str">
        <f t="shared" si="3"/>
        <v>#DIV/0!</v>
      </c>
      <c r="J222" s="196">
        <v>2.54</v>
      </c>
      <c r="K222" s="314">
        <v>12072.0</v>
      </c>
      <c r="L222" s="169">
        <v>0.0</v>
      </c>
      <c r="M222" s="197">
        <v>0.0</v>
      </c>
      <c r="N222" s="109" t="str">
        <f t="shared" si="4"/>
        <v>#DIV/0!</v>
      </c>
      <c r="O222" s="110">
        <f t="shared" si="5"/>
        <v>0</v>
      </c>
      <c r="P222" s="109" t="str">
        <f t="shared" si="6"/>
        <v>#DIV/0!</v>
      </c>
      <c r="Q222" s="111" t="str">
        <f t="shared" si="7"/>
        <v>#DIV/0!</v>
      </c>
      <c r="R222" s="112">
        <f t="shared" si="75"/>
        <v>0</v>
      </c>
      <c r="S222" s="113" t="str">
        <f t="shared" si="9"/>
        <v>#DIV/0!</v>
      </c>
      <c r="T222" s="114"/>
      <c r="U222" s="114"/>
      <c r="V222" s="114"/>
      <c r="W222" s="114"/>
      <c r="X222" s="115"/>
      <c r="Y222" s="98"/>
      <c r="Z222" s="98"/>
    </row>
    <row r="223" collapsed="1">
      <c r="A223" s="413" t="str">
        <f t="shared" si="76"/>
        <v/>
      </c>
      <c r="B223" s="362" t="s">
        <v>137</v>
      </c>
      <c r="C223" s="414"/>
      <c r="D223" s="364">
        <f t="shared" ref="D223:F223" si="77">SUM(D206:D222)</f>
        <v>9682.91</v>
      </c>
      <c r="E223" s="366">
        <f t="shared" si="77"/>
        <v>112</v>
      </c>
      <c r="F223" s="366">
        <f t="shared" si="77"/>
        <v>131</v>
      </c>
      <c r="G223" s="367">
        <f t="shared" si="1"/>
        <v>0.8549618321</v>
      </c>
      <c r="H223" s="365">
        <f t="shared" si="2"/>
        <v>86.45455357</v>
      </c>
      <c r="I223" s="368">
        <f t="shared" si="3"/>
        <v>101.1209511</v>
      </c>
      <c r="J223" s="369">
        <f t="shared" ref="J223:M223" si="78">SUM(J206:J222)</f>
        <v>781.93</v>
      </c>
      <c r="K223" s="370">
        <f t="shared" si="78"/>
        <v>367297</v>
      </c>
      <c r="L223" s="366">
        <f t="shared" si="78"/>
        <v>45</v>
      </c>
      <c r="M223" s="364">
        <f t="shared" si="78"/>
        <v>2383.67</v>
      </c>
      <c r="N223" s="371">
        <f t="shared" si="4"/>
        <v>0.3280361795</v>
      </c>
      <c r="O223" s="372">
        <f t="shared" si="5"/>
        <v>3.048444234</v>
      </c>
      <c r="P223" s="371">
        <f t="shared" si="6"/>
        <v>0.08075361642</v>
      </c>
      <c r="Q223" s="373">
        <f t="shared" si="7"/>
        <v>0.2461728964</v>
      </c>
      <c r="R223" s="374">
        <f>SUM(R206:R222)</f>
        <v>7299.24</v>
      </c>
      <c r="S223" s="375">
        <f t="shared" si="9"/>
        <v>17.37622222</v>
      </c>
      <c r="T223" s="415" t="str">
        <f t="shared" ref="T223:U223" si="79">IFERROR((D223-#REF!)/D223,)</f>
        <v/>
      </c>
      <c r="U223" s="415" t="str">
        <f t="shared" si="79"/>
        <v/>
      </c>
      <c r="V223" s="377" t="str">
        <f t="shared" ref="V223:W223" si="80">IFERROR((D223-monthly_reporting_2021!D49)/D223, )</f>
        <v/>
      </c>
      <c r="W223" s="378" t="str">
        <f t="shared" si="80"/>
        <v/>
      </c>
      <c r="X223" s="98"/>
      <c r="Y223" s="98"/>
      <c r="Z223" s="98"/>
    </row>
    <row r="224" hidden="1" outlineLevel="1">
      <c r="A224" s="205"/>
      <c r="B224" s="206">
        <v>45641.0</v>
      </c>
      <c r="C224" s="207" t="s">
        <v>32</v>
      </c>
      <c r="D224" s="208">
        <v>10331.1</v>
      </c>
      <c r="E224" s="210">
        <v>29.0</v>
      </c>
      <c r="F224" s="210">
        <v>30.0</v>
      </c>
      <c r="G224" s="211">
        <f t="shared" si="1"/>
        <v>0.9666666667</v>
      </c>
      <c r="H224" s="212">
        <f t="shared" si="2"/>
        <v>356.2448276</v>
      </c>
      <c r="I224" s="330">
        <f t="shared" si="3"/>
        <v>368.529132</v>
      </c>
      <c r="J224" s="331">
        <v>93.48</v>
      </c>
      <c r="K224" s="332">
        <v>23980.0</v>
      </c>
      <c r="L224" s="214">
        <v>12.0</v>
      </c>
      <c r="M224" s="333">
        <v>2862.3</v>
      </c>
      <c r="N224" s="216">
        <f t="shared" si="4"/>
        <v>0.03265905041</v>
      </c>
      <c r="O224" s="217">
        <f t="shared" si="5"/>
        <v>30.61938383</v>
      </c>
      <c r="P224" s="216">
        <f t="shared" si="6"/>
        <v>0.009048407236</v>
      </c>
      <c r="Q224" s="315">
        <f t="shared" si="7"/>
        <v>0.2770566542</v>
      </c>
      <c r="R224" s="316">
        <f t="shared" ref="R224:R240" si="81">D224-M224</f>
        <v>7468.8</v>
      </c>
      <c r="S224" s="317">
        <f t="shared" si="9"/>
        <v>7.79</v>
      </c>
      <c r="T224" s="221"/>
      <c r="U224" s="221"/>
      <c r="V224" s="221"/>
      <c r="W224" s="221"/>
      <c r="X224" s="14"/>
    </row>
    <row r="225" hidden="1" outlineLevel="1">
      <c r="A225" s="205"/>
      <c r="B225" s="206"/>
      <c r="C225" s="207" t="s">
        <v>33</v>
      </c>
      <c r="D225" s="223">
        <v>8314.03</v>
      </c>
      <c r="E225" s="210">
        <v>39.0</v>
      </c>
      <c r="F225" s="210">
        <v>46.0</v>
      </c>
      <c r="G225" s="211">
        <f t="shared" si="1"/>
        <v>0.847826087</v>
      </c>
      <c r="H225" s="212">
        <f t="shared" si="2"/>
        <v>213.1802564</v>
      </c>
      <c r="I225" s="330">
        <f t="shared" si="3"/>
        <v>251.4433794</v>
      </c>
      <c r="J225" s="334">
        <v>174.95</v>
      </c>
      <c r="K225" s="332">
        <v>16451.0</v>
      </c>
      <c r="L225" s="214">
        <v>5.0</v>
      </c>
      <c r="M225" s="215">
        <v>654.9</v>
      </c>
      <c r="N225" s="216">
        <f t="shared" si="4"/>
        <v>0.2671400214</v>
      </c>
      <c r="O225" s="217">
        <f t="shared" si="5"/>
        <v>3.743355244</v>
      </c>
      <c r="P225" s="216">
        <f t="shared" si="6"/>
        <v>0.02104274341</v>
      </c>
      <c r="Q225" s="315">
        <f t="shared" si="7"/>
        <v>0.0787704639</v>
      </c>
      <c r="R225" s="318">
        <f t="shared" si="81"/>
        <v>7659.13</v>
      </c>
      <c r="S225" s="317">
        <f t="shared" si="9"/>
        <v>34.99</v>
      </c>
      <c r="T225" s="221"/>
      <c r="U225" s="221"/>
      <c r="V225" s="221"/>
      <c r="W225" s="221"/>
      <c r="X225" s="14"/>
    </row>
    <row r="226" hidden="1" outlineLevel="1">
      <c r="A226" s="205"/>
      <c r="B226" s="206"/>
      <c r="C226" s="207" t="s">
        <v>34</v>
      </c>
      <c r="D226" s="335">
        <v>0.0</v>
      </c>
      <c r="E226" s="210">
        <v>0.0</v>
      </c>
      <c r="F226" s="210">
        <v>0.0</v>
      </c>
      <c r="G226" s="211" t="str">
        <f t="shared" si="1"/>
        <v>#DIV/0!</v>
      </c>
      <c r="H226" s="212" t="str">
        <f t="shared" si="2"/>
        <v>#DIV/0!</v>
      </c>
      <c r="I226" s="330" t="str">
        <f t="shared" si="3"/>
        <v>#DIV/0!</v>
      </c>
      <c r="J226" s="336">
        <v>0.0</v>
      </c>
      <c r="K226" s="332">
        <v>0.0</v>
      </c>
      <c r="L226" s="214">
        <v>0.0</v>
      </c>
      <c r="M226" s="337">
        <v>0.0</v>
      </c>
      <c r="N226" s="216" t="str">
        <f t="shared" si="4"/>
        <v>#DIV/0!</v>
      </c>
      <c r="O226" s="217" t="str">
        <f t="shared" si="5"/>
        <v>#DIV/0!</v>
      </c>
      <c r="P226" s="216" t="str">
        <f t="shared" si="6"/>
        <v>#DIV/0!</v>
      </c>
      <c r="Q226" s="315" t="str">
        <f t="shared" si="7"/>
        <v>#DIV/0!</v>
      </c>
      <c r="R226" s="319">
        <f t="shared" si="81"/>
        <v>0</v>
      </c>
      <c r="S226" s="317" t="str">
        <f t="shared" si="9"/>
        <v>#DIV/0!</v>
      </c>
      <c r="T226" s="221"/>
      <c r="U226" s="221"/>
      <c r="V226" s="221"/>
      <c r="W226" s="221"/>
      <c r="X226" s="14"/>
    </row>
    <row r="227" hidden="1" outlineLevel="1">
      <c r="A227" s="205"/>
      <c r="B227" s="206"/>
      <c r="C227" s="207" t="s">
        <v>35</v>
      </c>
      <c r="D227" s="335">
        <v>59.95</v>
      </c>
      <c r="E227" s="210">
        <v>1.0</v>
      </c>
      <c r="F227" s="210">
        <v>1.0</v>
      </c>
      <c r="G227" s="211">
        <f t="shared" si="1"/>
        <v>1</v>
      </c>
      <c r="H227" s="212">
        <f t="shared" si="2"/>
        <v>59.95</v>
      </c>
      <c r="I227" s="330">
        <f t="shared" si="3"/>
        <v>59.95</v>
      </c>
      <c r="J227" s="336">
        <v>58.66</v>
      </c>
      <c r="K227" s="332">
        <v>3967.0</v>
      </c>
      <c r="L227" s="214">
        <v>1.0</v>
      </c>
      <c r="M227" s="337">
        <v>59.95</v>
      </c>
      <c r="N227" s="216">
        <f t="shared" si="4"/>
        <v>0.9784820684</v>
      </c>
      <c r="O227" s="217">
        <f t="shared" si="5"/>
        <v>1.021991135</v>
      </c>
      <c r="P227" s="216">
        <f t="shared" si="6"/>
        <v>0.9784820684</v>
      </c>
      <c r="Q227" s="315">
        <f t="shared" si="7"/>
        <v>1</v>
      </c>
      <c r="R227" s="319">
        <f t="shared" si="81"/>
        <v>0</v>
      </c>
      <c r="S227" s="317">
        <f t="shared" si="9"/>
        <v>58.66</v>
      </c>
      <c r="T227" s="221"/>
      <c r="U227" s="221"/>
      <c r="V227" s="221"/>
      <c r="W227" s="221"/>
      <c r="X227" s="14"/>
    </row>
    <row r="228" hidden="1" outlineLevel="1">
      <c r="A228" s="205"/>
      <c r="B228" s="206"/>
      <c r="C228" s="207" t="s">
        <v>65</v>
      </c>
      <c r="D228" s="320">
        <v>0.0</v>
      </c>
      <c r="E228" s="210">
        <v>0.0</v>
      </c>
      <c r="F228" s="210">
        <v>0.0</v>
      </c>
      <c r="G228" s="211" t="str">
        <f t="shared" si="1"/>
        <v>#DIV/0!</v>
      </c>
      <c r="H228" s="212" t="str">
        <f t="shared" si="2"/>
        <v>#DIV/0!</v>
      </c>
      <c r="I228" s="330" t="str">
        <f t="shared" si="3"/>
        <v>#DIV/0!</v>
      </c>
      <c r="J228" s="320">
        <v>0.0</v>
      </c>
      <c r="K228" s="332">
        <v>0.0</v>
      </c>
      <c r="L228" s="214">
        <v>0.0</v>
      </c>
      <c r="M228" s="320">
        <v>0.0</v>
      </c>
      <c r="N228" s="216" t="str">
        <f t="shared" si="4"/>
        <v>#DIV/0!</v>
      </c>
      <c r="O228" s="217" t="str">
        <f t="shared" si="5"/>
        <v>#DIV/0!</v>
      </c>
      <c r="P228" s="216" t="str">
        <f t="shared" si="6"/>
        <v>#DIV/0!</v>
      </c>
      <c r="Q228" s="315" t="str">
        <f t="shared" si="7"/>
        <v>#DIV/0!</v>
      </c>
      <c r="R228" s="319">
        <f t="shared" si="81"/>
        <v>0</v>
      </c>
      <c r="S228" s="317" t="str">
        <f t="shared" si="9"/>
        <v>#DIV/0!</v>
      </c>
      <c r="T228" s="221"/>
      <c r="U228" s="221"/>
      <c r="V228" s="221"/>
      <c r="W228" s="221"/>
      <c r="X228" s="14"/>
    </row>
    <row r="229" hidden="1" outlineLevel="1">
      <c r="A229" s="205"/>
      <c r="B229" s="206"/>
      <c r="C229" s="207" t="s">
        <v>85</v>
      </c>
      <c r="D229" s="338">
        <v>239.96</v>
      </c>
      <c r="E229" s="210">
        <v>4.0</v>
      </c>
      <c r="F229" s="210">
        <v>4.0</v>
      </c>
      <c r="G229" s="211">
        <f t="shared" si="1"/>
        <v>1</v>
      </c>
      <c r="H229" s="212">
        <f t="shared" si="2"/>
        <v>59.99</v>
      </c>
      <c r="I229" s="330">
        <f t="shared" si="3"/>
        <v>59.99</v>
      </c>
      <c r="J229" s="339">
        <v>41.79</v>
      </c>
      <c r="K229" s="332">
        <v>11511.0</v>
      </c>
      <c r="L229" s="214">
        <v>1.0</v>
      </c>
      <c r="M229" s="340">
        <v>59.99</v>
      </c>
      <c r="N229" s="216">
        <f t="shared" si="4"/>
        <v>0.6966161027</v>
      </c>
      <c r="O229" s="217">
        <f t="shared" si="5"/>
        <v>1.435510888</v>
      </c>
      <c r="P229" s="216">
        <f t="shared" si="6"/>
        <v>0.1741540257</v>
      </c>
      <c r="Q229" s="315">
        <f t="shared" si="7"/>
        <v>0.25</v>
      </c>
      <c r="R229" s="323">
        <f t="shared" si="81"/>
        <v>179.97</v>
      </c>
      <c r="S229" s="317">
        <f t="shared" si="9"/>
        <v>41.79</v>
      </c>
      <c r="T229" s="221"/>
      <c r="U229" s="221"/>
      <c r="V229" s="221"/>
      <c r="W229" s="221"/>
      <c r="X229" s="14"/>
    </row>
    <row r="230" hidden="1" outlineLevel="1">
      <c r="A230" s="205"/>
      <c r="B230" s="206"/>
      <c r="C230" s="207" t="s">
        <v>36</v>
      </c>
      <c r="D230" s="335">
        <v>689.73</v>
      </c>
      <c r="E230" s="210">
        <v>11.0</v>
      </c>
      <c r="F230" s="210">
        <v>10.0</v>
      </c>
      <c r="G230" s="211">
        <f t="shared" si="1"/>
        <v>1.1</v>
      </c>
      <c r="H230" s="212">
        <f t="shared" si="2"/>
        <v>62.70272727</v>
      </c>
      <c r="I230" s="330">
        <f t="shared" si="3"/>
        <v>57.00247934</v>
      </c>
      <c r="J230" s="336">
        <v>160.43</v>
      </c>
      <c r="K230" s="332">
        <v>4358.0</v>
      </c>
      <c r="L230" s="214">
        <v>4.0</v>
      </c>
      <c r="M230" s="337">
        <v>279.8</v>
      </c>
      <c r="N230" s="216">
        <f t="shared" si="4"/>
        <v>0.5733738385</v>
      </c>
      <c r="O230" s="217">
        <f t="shared" si="5"/>
        <v>1.744062831</v>
      </c>
      <c r="P230" s="216">
        <f t="shared" si="6"/>
        <v>0.2325982631</v>
      </c>
      <c r="Q230" s="315">
        <f t="shared" si="7"/>
        <v>0.4056659852</v>
      </c>
      <c r="R230" s="319">
        <f t="shared" si="81"/>
        <v>409.93</v>
      </c>
      <c r="S230" s="317">
        <f t="shared" si="9"/>
        <v>40.1075</v>
      </c>
      <c r="T230" s="221"/>
      <c r="U230" s="221"/>
      <c r="V230" s="221"/>
      <c r="W230" s="221"/>
      <c r="X230" s="14"/>
    </row>
    <row r="231" hidden="1" outlineLevel="1">
      <c r="A231" s="205"/>
      <c r="B231" s="324" t="s">
        <v>37</v>
      </c>
      <c r="C231" s="207" t="s">
        <v>38</v>
      </c>
      <c r="D231" s="341">
        <v>162.73</v>
      </c>
      <c r="E231" s="210">
        <v>4.0</v>
      </c>
      <c r="F231" s="210">
        <v>7.0</v>
      </c>
      <c r="G231" s="211">
        <f t="shared" si="1"/>
        <v>0.5714285714</v>
      </c>
      <c r="H231" s="212">
        <f t="shared" si="2"/>
        <v>40.6825</v>
      </c>
      <c r="I231" s="330">
        <f t="shared" si="3"/>
        <v>71.194375</v>
      </c>
      <c r="J231" s="342">
        <v>159.89</v>
      </c>
      <c r="K231" s="332">
        <v>17913.0</v>
      </c>
      <c r="L231" s="214">
        <v>0.0</v>
      </c>
      <c r="M231" s="343">
        <v>0.0</v>
      </c>
      <c r="N231" s="216" t="str">
        <f t="shared" si="4"/>
        <v>#DIV/0!</v>
      </c>
      <c r="O231" s="217">
        <f t="shared" si="5"/>
        <v>0</v>
      </c>
      <c r="P231" s="216">
        <f t="shared" si="6"/>
        <v>0.9825477785</v>
      </c>
      <c r="Q231" s="315">
        <f t="shared" si="7"/>
        <v>0</v>
      </c>
      <c r="R231" s="325">
        <f t="shared" si="81"/>
        <v>162.73</v>
      </c>
      <c r="S231" s="317" t="str">
        <f t="shared" si="9"/>
        <v>#DIV/0!</v>
      </c>
      <c r="T231" s="221"/>
      <c r="U231" s="221"/>
      <c r="V231" s="221"/>
      <c r="W231" s="221"/>
      <c r="X231" s="14"/>
    </row>
    <row r="232" hidden="1" outlineLevel="1">
      <c r="A232" s="205"/>
      <c r="B232" s="206"/>
      <c r="C232" s="207" t="s">
        <v>39</v>
      </c>
      <c r="D232" s="344">
        <v>-4.96</v>
      </c>
      <c r="E232" s="210">
        <v>-1.0</v>
      </c>
      <c r="F232" s="210">
        <v>1.0</v>
      </c>
      <c r="G232" s="211">
        <f t="shared" si="1"/>
        <v>-1</v>
      </c>
      <c r="H232" s="212">
        <f t="shared" si="2"/>
        <v>4.96</v>
      </c>
      <c r="I232" s="330">
        <f t="shared" si="3"/>
        <v>-4.96</v>
      </c>
      <c r="J232" s="345">
        <v>79.62</v>
      </c>
      <c r="K232" s="332">
        <v>182108.0</v>
      </c>
      <c r="L232" s="214">
        <v>1.0</v>
      </c>
      <c r="M232" s="346">
        <v>84.96</v>
      </c>
      <c r="N232" s="216">
        <f t="shared" si="4"/>
        <v>0.9371468927</v>
      </c>
      <c r="O232" s="217">
        <f t="shared" si="5"/>
        <v>1.067068576</v>
      </c>
      <c r="P232" s="216">
        <f t="shared" si="6"/>
        <v>-16.05241935</v>
      </c>
      <c r="Q232" s="315">
        <f t="shared" si="7"/>
        <v>-17.12903226</v>
      </c>
      <c r="R232" s="326">
        <f t="shared" si="81"/>
        <v>-89.92</v>
      </c>
      <c r="S232" s="317">
        <f t="shared" si="9"/>
        <v>79.62</v>
      </c>
      <c r="T232" s="221"/>
      <c r="U232" s="221"/>
      <c r="V232" s="221"/>
      <c r="W232" s="221"/>
      <c r="X232" s="14"/>
    </row>
    <row r="233" hidden="1" outlineLevel="1">
      <c r="A233" s="205"/>
      <c r="B233" s="206"/>
      <c r="C233" s="207" t="s">
        <v>40</v>
      </c>
      <c r="D233" s="347">
        <v>274.75</v>
      </c>
      <c r="E233" s="210">
        <v>5.0</v>
      </c>
      <c r="F233" s="210">
        <v>4.0</v>
      </c>
      <c r="G233" s="211">
        <f t="shared" si="1"/>
        <v>1.25</v>
      </c>
      <c r="H233" s="212">
        <f t="shared" si="2"/>
        <v>54.95</v>
      </c>
      <c r="I233" s="330">
        <f t="shared" si="3"/>
        <v>43.96</v>
      </c>
      <c r="J233" s="348">
        <v>0.0</v>
      </c>
      <c r="K233" s="332">
        <v>0.0</v>
      </c>
      <c r="L233" s="214">
        <v>0.0</v>
      </c>
      <c r="M233" s="349">
        <v>0.0</v>
      </c>
      <c r="N233" s="216" t="str">
        <f t="shared" si="4"/>
        <v>#DIV/0!</v>
      </c>
      <c r="O233" s="217" t="str">
        <f t="shared" si="5"/>
        <v>#DIV/0!</v>
      </c>
      <c r="P233" s="216">
        <f t="shared" si="6"/>
        <v>0</v>
      </c>
      <c r="Q233" s="315">
        <f t="shared" si="7"/>
        <v>0</v>
      </c>
      <c r="R233" s="327">
        <f t="shared" si="81"/>
        <v>274.75</v>
      </c>
      <c r="S233" s="317" t="str">
        <f t="shared" si="9"/>
        <v>#DIV/0!</v>
      </c>
      <c r="T233" s="221"/>
      <c r="U233" s="221"/>
      <c r="V233" s="221"/>
      <c r="W233" s="221"/>
      <c r="X233" s="14"/>
    </row>
    <row r="234" hidden="1" outlineLevel="1">
      <c r="A234" s="205"/>
      <c r="B234" s="206"/>
      <c r="C234" s="207" t="s">
        <v>41</v>
      </c>
      <c r="D234" s="224">
        <v>2437.8</v>
      </c>
      <c r="E234" s="210">
        <v>29.0</v>
      </c>
      <c r="F234" s="210">
        <v>24.0</v>
      </c>
      <c r="G234" s="211">
        <f t="shared" si="1"/>
        <v>1.208333333</v>
      </c>
      <c r="H234" s="212">
        <f t="shared" si="2"/>
        <v>84.06206897</v>
      </c>
      <c r="I234" s="330">
        <f t="shared" si="3"/>
        <v>69.5686088</v>
      </c>
      <c r="J234" s="350">
        <v>63.47</v>
      </c>
      <c r="K234" s="332">
        <v>12313.0</v>
      </c>
      <c r="L234" s="214">
        <v>6.0</v>
      </c>
      <c r="M234" s="225">
        <v>579.7</v>
      </c>
      <c r="N234" s="216">
        <f t="shared" si="4"/>
        <v>0.109487666</v>
      </c>
      <c r="O234" s="217">
        <f t="shared" si="5"/>
        <v>9.133448873</v>
      </c>
      <c r="P234" s="216">
        <f t="shared" si="6"/>
        <v>0.02603576996</v>
      </c>
      <c r="Q234" s="315">
        <f t="shared" si="7"/>
        <v>0.2377963738</v>
      </c>
      <c r="R234" s="351">
        <f t="shared" si="81"/>
        <v>1858.1</v>
      </c>
      <c r="S234" s="317">
        <f t="shared" si="9"/>
        <v>10.57833333</v>
      </c>
      <c r="T234" s="221"/>
      <c r="U234" s="221"/>
      <c r="V234" s="221"/>
      <c r="W234" s="221"/>
      <c r="X234" s="14"/>
    </row>
    <row r="235" hidden="1" outlineLevel="1">
      <c r="A235" s="205"/>
      <c r="B235" s="206"/>
      <c r="C235" s="207" t="s">
        <v>42</v>
      </c>
      <c r="D235" s="335">
        <v>67.96</v>
      </c>
      <c r="E235" s="210">
        <v>1.0</v>
      </c>
      <c r="F235" s="210">
        <v>1.0</v>
      </c>
      <c r="G235" s="211">
        <f t="shared" si="1"/>
        <v>1</v>
      </c>
      <c r="H235" s="212">
        <f t="shared" si="2"/>
        <v>67.96</v>
      </c>
      <c r="I235" s="330">
        <f t="shared" si="3"/>
        <v>67.96</v>
      </c>
      <c r="J235" s="336">
        <v>2.14</v>
      </c>
      <c r="K235" s="332">
        <v>10943.0</v>
      </c>
      <c r="L235" s="214">
        <v>0.0</v>
      </c>
      <c r="M235" s="337">
        <v>0.0</v>
      </c>
      <c r="N235" s="216" t="str">
        <f t="shared" si="4"/>
        <v>#DIV/0!</v>
      </c>
      <c r="O235" s="217">
        <f t="shared" si="5"/>
        <v>0</v>
      </c>
      <c r="P235" s="216">
        <f t="shared" si="6"/>
        <v>0.03148911124</v>
      </c>
      <c r="Q235" s="315">
        <f t="shared" si="7"/>
        <v>0</v>
      </c>
      <c r="R235" s="319">
        <f t="shared" si="81"/>
        <v>67.96</v>
      </c>
      <c r="S235" s="317" t="str">
        <f t="shared" si="9"/>
        <v>#DIV/0!</v>
      </c>
      <c r="T235" s="221"/>
      <c r="U235" s="221"/>
      <c r="V235" s="221"/>
      <c r="W235" s="221"/>
      <c r="X235" s="14"/>
    </row>
    <row r="236" hidden="1" outlineLevel="1">
      <c r="A236" s="205"/>
      <c r="B236" s="206"/>
      <c r="C236" s="207" t="s">
        <v>43</v>
      </c>
      <c r="D236" s="226">
        <v>-139.37</v>
      </c>
      <c r="E236" s="210">
        <v>0.0</v>
      </c>
      <c r="F236" s="210">
        <v>3.0</v>
      </c>
      <c r="G236" s="211">
        <f t="shared" si="1"/>
        <v>0</v>
      </c>
      <c r="H236" s="212" t="str">
        <f t="shared" si="2"/>
        <v>#DIV/0!</v>
      </c>
      <c r="I236" s="330" t="str">
        <f t="shared" si="3"/>
        <v>#DIV/0!</v>
      </c>
      <c r="J236" s="352">
        <v>21.79</v>
      </c>
      <c r="K236" s="332">
        <v>21569.0</v>
      </c>
      <c r="L236" s="214">
        <v>0.0</v>
      </c>
      <c r="M236" s="227">
        <v>0.0</v>
      </c>
      <c r="N236" s="216" t="str">
        <f t="shared" si="4"/>
        <v>#DIV/0!</v>
      </c>
      <c r="O236" s="217">
        <f t="shared" si="5"/>
        <v>0</v>
      </c>
      <c r="P236" s="216">
        <f t="shared" si="6"/>
        <v>-0.156346416</v>
      </c>
      <c r="Q236" s="315">
        <f t="shared" si="7"/>
        <v>0</v>
      </c>
      <c r="R236" s="328">
        <f t="shared" si="81"/>
        <v>-139.37</v>
      </c>
      <c r="S236" s="317" t="str">
        <f t="shared" si="9"/>
        <v>#DIV/0!</v>
      </c>
      <c r="T236" s="221"/>
      <c r="U236" s="221"/>
      <c r="V236" s="221"/>
      <c r="W236" s="221"/>
      <c r="X236" s="14"/>
    </row>
    <row r="237" hidden="1" outlineLevel="1">
      <c r="A237" s="205"/>
      <c r="B237" s="206"/>
      <c r="C237" s="207" t="s">
        <v>44</v>
      </c>
      <c r="D237" s="353">
        <v>0.0</v>
      </c>
      <c r="E237" s="210">
        <v>0.0</v>
      </c>
      <c r="F237" s="210">
        <v>0.0</v>
      </c>
      <c r="G237" s="211" t="str">
        <f t="shared" si="1"/>
        <v>#DIV/0!</v>
      </c>
      <c r="H237" s="212" t="str">
        <f t="shared" si="2"/>
        <v>#DIV/0!</v>
      </c>
      <c r="I237" s="330" t="str">
        <f t="shared" si="3"/>
        <v>#DIV/0!</v>
      </c>
      <c r="J237" s="354">
        <v>3.1</v>
      </c>
      <c r="K237" s="332">
        <v>1684.0</v>
      </c>
      <c r="L237" s="214">
        <v>0.0</v>
      </c>
      <c r="M237" s="355">
        <v>0.0</v>
      </c>
      <c r="N237" s="216" t="str">
        <f t="shared" si="4"/>
        <v>#DIV/0!</v>
      </c>
      <c r="O237" s="217">
        <f t="shared" si="5"/>
        <v>0</v>
      </c>
      <c r="P237" s="216" t="str">
        <f t="shared" si="6"/>
        <v>#DIV/0!</v>
      </c>
      <c r="Q237" s="315" t="str">
        <f t="shared" si="7"/>
        <v>#DIV/0!</v>
      </c>
      <c r="R237" s="356">
        <f t="shared" si="81"/>
        <v>0</v>
      </c>
      <c r="S237" s="317" t="str">
        <f t="shared" si="9"/>
        <v>#DIV/0!</v>
      </c>
      <c r="T237" s="221"/>
      <c r="U237" s="221"/>
      <c r="V237" s="221"/>
      <c r="W237" s="221"/>
      <c r="X237" s="14"/>
    </row>
    <row r="238" hidden="1" outlineLevel="1">
      <c r="A238" s="357"/>
      <c r="B238" s="206"/>
      <c r="C238" s="358" t="s">
        <v>45</v>
      </c>
      <c r="D238" s="208">
        <v>0.0</v>
      </c>
      <c r="E238" s="210">
        <v>0.0</v>
      </c>
      <c r="F238" s="210">
        <v>0.0</v>
      </c>
      <c r="G238" s="104" t="str">
        <f t="shared" si="1"/>
        <v>#DIV/0!</v>
      </c>
      <c r="H238" s="105" t="str">
        <f t="shared" si="2"/>
        <v>#DIV/0!</v>
      </c>
      <c r="I238" s="106" t="str">
        <f t="shared" si="3"/>
        <v>#DIV/0!</v>
      </c>
      <c r="J238" s="331">
        <v>0.0</v>
      </c>
      <c r="K238" s="332">
        <v>0.0</v>
      </c>
      <c r="L238" s="214">
        <v>0.0</v>
      </c>
      <c r="M238" s="333">
        <v>0.0</v>
      </c>
      <c r="N238" s="109" t="str">
        <f t="shared" si="4"/>
        <v>#DIV/0!</v>
      </c>
      <c r="O238" s="110" t="str">
        <f t="shared" si="5"/>
        <v>#DIV/0!</v>
      </c>
      <c r="P238" s="109" t="str">
        <f t="shared" si="6"/>
        <v>#DIV/0!</v>
      </c>
      <c r="Q238" s="111" t="str">
        <f t="shared" si="7"/>
        <v>#DIV/0!</v>
      </c>
      <c r="R238" s="112">
        <f t="shared" si="81"/>
        <v>0</v>
      </c>
      <c r="S238" s="113" t="str">
        <f t="shared" si="9"/>
        <v>#DIV/0!</v>
      </c>
      <c r="T238" s="143"/>
      <c r="U238" s="143"/>
      <c r="V238" s="143"/>
      <c r="W238" s="144"/>
      <c r="X238" s="145"/>
    </row>
    <row r="239" hidden="1" outlineLevel="1">
      <c r="A239" s="310"/>
      <c r="B239" s="99"/>
      <c r="C239" s="294" t="s">
        <v>46</v>
      </c>
      <c r="D239" s="196">
        <v>900.09</v>
      </c>
      <c r="E239" s="169">
        <v>28.0</v>
      </c>
      <c r="F239" s="169">
        <v>26.0</v>
      </c>
      <c r="G239" s="104">
        <f t="shared" si="1"/>
        <v>1.076923077</v>
      </c>
      <c r="H239" s="105">
        <f t="shared" si="2"/>
        <v>32.14607143</v>
      </c>
      <c r="I239" s="106">
        <f t="shared" si="3"/>
        <v>29.84992347</v>
      </c>
      <c r="J239" s="146">
        <v>164.56</v>
      </c>
      <c r="K239" s="314">
        <v>45377.0</v>
      </c>
      <c r="L239" s="103">
        <v>18.0</v>
      </c>
      <c r="M239" s="197">
        <v>474.72</v>
      </c>
      <c r="N239" s="109">
        <f t="shared" si="4"/>
        <v>0.3466464442</v>
      </c>
      <c r="O239" s="110">
        <f t="shared" si="5"/>
        <v>2.884783666</v>
      </c>
      <c r="P239" s="109">
        <f t="shared" si="6"/>
        <v>0.1828261618</v>
      </c>
      <c r="Q239" s="111">
        <f t="shared" si="7"/>
        <v>0.5274139253</v>
      </c>
      <c r="R239" s="112">
        <f t="shared" si="81"/>
        <v>425.37</v>
      </c>
      <c r="S239" s="113">
        <f t="shared" si="9"/>
        <v>9.142222222</v>
      </c>
      <c r="T239" s="114"/>
      <c r="U239" s="114"/>
      <c r="V239" s="114"/>
      <c r="W239" s="114"/>
      <c r="X239" s="115"/>
      <c r="Y239" s="98"/>
      <c r="Z239" s="98"/>
    </row>
    <row r="240" hidden="1" outlineLevel="1">
      <c r="A240" s="205" t="str">
        <f t="shared" ref="A240:A241" si="82">iferror(if(B240&gt;0,month(B240)&amp;"-"&amp;year(B240),B240),)</f>
        <v>12-2024</v>
      </c>
      <c r="B240" s="206">
        <v>45647.0</v>
      </c>
      <c r="C240" s="207" t="s">
        <v>49</v>
      </c>
      <c r="D240" s="329">
        <v>9.8</v>
      </c>
      <c r="E240" s="210">
        <v>0.0</v>
      </c>
      <c r="F240" s="210">
        <v>1.0</v>
      </c>
      <c r="G240" s="211">
        <f t="shared" si="1"/>
        <v>0</v>
      </c>
      <c r="H240" s="212" t="str">
        <f t="shared" si="2"/>
        <v>#DIV/0!</v>
      </c>
      <c r="I240" s="330" t="str">
        <f t="shared" si="3"/>
        <v>#DIV/0!</v>
      </c>
      <c r="J240" s="359">
        <v>0.0</v>
      </c>
      <c r="K240" s="332">
        <v>12458.0</v>
      </c>
      <c r="L240" s="214">
        <v>0.0</v>
      </c>
      <c r="M240" s="360">
        <v>0.0</v>
      </c>
      <c r="N240" s="216" t="str">
        <f t="shared" si="4"/>
        <v>#DIV/0!</v>
      </c>
      <c r="O240" s="217" t="str">
        <f t="shared" si="5"/>
        <v>#DIV/0!</v>
      </c>
      <c r="P240" s="216">
        <f t="shared" si="6"/>
        <v>0</v>
      </c>
      <c r="Q240" s="315">
        <f t="shared" si="7"/>
        <v>0</v>
      </c>
      <c r="R240" s="316">
        <f t="shared" si="81"/>
        <v>9.8</v>
      </c>
      <c r="S240" s="317" t="str">
        <f t="shared" si="9"/>
        <v>#DIV/0!</v>
      </c>
      <c r="T240" s="221"/>
      <c r="U240" s="221"/>
      <c r="V240" s="221"/>
      <c r="W240" s="221"/>
      <c r="X240" s="14"/>
    </row>
    <row r="241" collapsed="1">
      <c r="A241" s="382" t="str">
        <f t="shared" si="82"/>
        <v/>
      </c>
      <c r="B241" s="383" t="s">
        <v>61</v>
      </c>
      <c r="C241" s="384"/>
      <c r="D241" s="385">
        <f t="shared" ref="D241:F241" si="83">SUM(D224:D240)</f>
        <v>23343.57</v>
      </c>
      <c r="E241" s="387">
        <f t="shared" si="83"/>
        <v>150</v>
      </c>
      <c r="F241" s="387">
        <f t="shared" si="83"/>
        <v>158</v>
      </c>
      <c r="G241" s="388">
        <f t="shared" si="1"/>
        <v>0.9493670886</v>
      </c>
      <c r="H241" s="386">
        <f t="shared" si="2"/>
        <v>155.6238</v>
      </c>
      <c r="I241" s="389">
        <f t="shared" si="3"/>
        <v>163.923736</v>
      </c>
      <c r="J241" s="390">
        <f t="shared" ref="J241:M241" si="84">SUM(J224:J240)</f>
        <v>1023.88</v>
      </c>
      <c r="K241" s="437">
        <f t="shared" si="84"/>
        <v>364632</v>
      </c>
      <c r="L241" s="387">
        <f t="shared" si="84"/>
        <v>48</v>
      </c>
      <c r="M241" s="385">
        <f t="shared" si="84"/>
        <v>5056.32</v>
      </c>
      <c r="N241" s="391">
        <f t="shared" si="4"/>
        <v>0.2024950952</v>
      </c>
      <c r="O241" s="392">
        <f t="shared" si="5"/>
        <v>4.938391218</v>
      </c>
      <c r="P241" s="391">
        <f t="shared" si="6"/>
        <v>0.04386132884</v>
      </c>
      <c r="Q241" s="393">
        <f t="shared" si="7"/>
        <v>0.2166044011</v>
      </c>
      <c r="R241" s="394">
        <f>SUM(R224:R240)</f>
        <v>18287.25</v>
      </c>
      <c r="S241" s="395">
        <f t="shared" si="9"/>
        <v>21.33083333</v>
      </c>
      <c r="T241" s="396" t="str">
        <f t="shared" ref="T241:U241" si="85">IFERROR((D241-#REF!)/D241,)</f>
        <v/>
      </c>
      <c r="U241" s="396" t="str">
        <f t="shared" si="85"/>
        <v/>
      </c>
      <c r="V241" s="396" t="str">
        <f t="shared" ref="V241:W241" si="86">IFERROR((D241-monthly_reporting_2021!D49)/D241, )</f>
        <v/>
      </c>
      <c r="W241" s="397" t="str">
        <f t="shared" si="86"/>
        <v/>
      </c>
      <c r="X241" s="97"/>
    </row>
    <row r="242" hidden="1" outlineLevel="1">
      <c r="A242" s="293"/>
      <c r="B242" s="99">
        <v>45648.0</v>
      </c>
      <c r="C242" s="294" t="s">
        <v>32</v>
      </c>
      <c r="D242" s="167">
        <v>12504.3</v>
      </c>
      <c r="E242" s="169">
        <v>32.0</v>
      </c>
      <c r="F242" s="169">
        <v>32.0</v>
      </c>
      <c r="G242" s="104">
        <f t="shared" si="1"/>
        <v>1</v>
      </c>
      <c r="H242" s="105">
        <f t="shared" si="2"/>
        <v>390.759375</v>
      </c>
      <c r="I242" s="106">
        <f t="shared" si="3"/>
        <v>390.759375</v>
      </c>
      <c r="J242" s="101">
        <v>106.38</v>
      </c>
      <c r="K242" s="169">
        <v>23406.0</v>
      </c>
      <c r="L242" s="103">
        <v>10.0</v>
      </c>
      <c r="M242" s="171">
        <v>4010.3</v>
      </c>
      <c r="N242" s="109">
        <f t="shared" si="4"/>
        <v>0.02652669376</v>
      </c>
      <c r="O242" s="110">
        <f t="shared" si="5"/>
        <v>37.69787554</v>
      </c>
      <c r="P242" s="109">
        <f t="shared" si="6"/>
        <v>0.008507473429</v>
      </c>
      <c r="Q242" s="111">
        <f t="shared" si="7"/>
        <v>0.3207136745</v>
      </c>
      <c r="R242" s="112">
        <f t="shared" ref="R242:R258" si="87">D242-M242</f>
        <v>8494</v>
      </c>
      <c r="S242" s="113">
        <f t="shared" si="9"/>
        <v>10.638</v>
      </c>
      <c r="T242" s="114"/>
      <c r="U242" s="114"/>
      <c r="V242" s="114"/>
      <c r="W242" s="114"/>
      <c r="X242" s="115"/>
      <c r="Y242" s="98"/>
      <c r="Z242" s="98"/>
    </row>
    <row r="243" hidden="1" outlineLevel="1">
      <c r="A243" s="293"/>
      <c r="B243" s="116"/>
      <c r="C243" s="294" t="s">
        <v>33</v>
      </c>
      <c r="D243" s="175">
        <v>5241.86</v>
      </c>
      <c r="E243" s="169">
        <v>31.0</v>
      </c>
      <c r="F243" s="169">
        <v>37.0</v>
      </c>
      <c r="G243" s="104">
        <f t="shared" si="1"/>
        <v>0.8378378378</v>
      </c>
      <c r="H243" s="105">
        <f t="shared" si="2"/>
        <v>169.0922581</v>
      </c>
      <c r="I243" s="106">
        <f t="shared" si="3"/>
        <v>201.8197919</v>
      </c>
      <c r="J243" s="117">
        <v>104.84</v>
      </c>
      <c r="K243" s="169">
        <v>18706.0</v>
      </c>
      <c r="L243" s="103">
        <v>1.0</v>
      </c>
      <c r="M243" s="176">
        <v>79.95</v>
      </c>
      <c r="N243" s="109">
        <f t="shared" si="4"/>
        <v>1.311319575</v>
      </c>
      <c r="O243" s="110">
        <f t="shared" si="5"/>
        <v>0.7625906143</v>
      </c>
      <c r="P243" s="109">
        <f t="shared" si="6"/>
        <v>0.02000053416</v>
      </c>
      <c r="Q243" s="111">
        <f t="shared" si="7"/>
        <v>0.01525221963</v>
      </c>
      <c r="R243" s="119">
        <f t="shared" si="87"/>
        <v>5161.91</v>
      </c>
      <c r="S243" s="113">
        <f t="shared" si="9"/>
        <v>104.84</v>
      </c>
      <c r="T243" s="114"/>
      <c r="U243" s="114"/>
      <c r="V243" s="114"/>
      <c r="W243" s="114"/>
      <c r="X243" s="115"/>
      <c r="Y243" s="98"/>
      <c r="Z243" s="98"/>
    </row>
    <row r="244" hidden="1" outlineLevel="1">
      <c r="A244" s="293"/>
      <c r="B244" s="116"/>
      <c r="C244" s="294" t="s">
        <v>34</v>
      </c>
      <c r="D244" s="177">
        <v>139.9</v>
      </c>
      <c r="E244" s="169">
        <v>2.0</v>
      </c>
      <c r="F244" s="169">
        <v>1.0</v>
      </c>
      <c r="G244" s="104">
        <f t="shared" si="1"/>
        <v>2</v>
      </c>
      <c r="H244" s="105">
        <f t="shared" si="2"/>
        <v>69.95</v>
      </c>
      <c r="I244" s="106">
        <f t="shared" si="3"/>
        <v>34.975</v>
      </c>
      <c r="J244" s="120">
        <v>0.0</v>
      </c>
      <c r="K244" s="169">
        <v>0.0</v>
      </c>
      <c r="L244" s="103">
        <v>0.0</v>
      </c>
      <c r="M244" s="178">
        <v>0.0</v>
      </c>
      <c r="N244" s="109" t="str">
        <f t="shared" si="4"/>
        <v>#DIV/0!</v>
      </c>
      <c r="O244" s="110" t="str">
        <f t="shared" si="5"/>
        <v>#DIV/0!</v>
      </c>
      <c r="P244" s="109">
        <f t="shared" si="6"/>
        <v>0</v>
      </c>
      <c r="Q244" s="111">
        <f t="shared" si="7"/>
        <v>0</v>
      </c>
      <c r="R244" s="122">
        <f t="shared" si="87"/>
        <v>139.9</v>
      </c>
      <c r="S244" s="113" t="str">
        <f t="shared" si="9"/>
        <v>#DIV/0!</v>
      </c>
      <c r="T244" s="114"/>
      <c r="U244" s="114"/>
      <c r="V244" s="114"/>
      <c r="W244" s="114"/>
      <c r="X244" s="115"/>
      <c r="Y244" s="98"/>
      <c r="Z244" s="98"/>
    </row>
    <row r="245" hidden="1" outlineLevel="1">
      <c r="A245" s="293"/>
      <c r="B245" s="116"/>
      <c r="C245" s="294" t="s">
        <v>35</v>
      </c>
      <c r="D245" s="177">
        <v>359.7</v>
      </c>
      <c r="E245" s="169">
        <v>6.0</v>
      </c>
      <c r="F245" s="169">
        <v>5.0</v>
      </c>
      <c r="G245" s="104">
        <f t="shared" si="1"/>
        <v>1.2</v>
      </c>
      <c r="H245" s="105">
        <f t="shared" si="2"/>
        <v>59.95</v>
      </c>
      <c r="I245" s="106">
        <f t="shared" si="3"/>
        <v>49.95833333</v>
      </c>
      <c r="J245" s="120">
        <v>15.23</v>
      </c>
      <c r="K245" s="169">
        <v>1618.0</v>
      </c>
      <c r="L245" s="103">
        <v>0.0</v>
      </c>
      <c r="M245" s="178">
        <v>0.0</v>
      </c>
      <c r="N245" s="109" t="str">
        <f t="shared" si="4"/>
        <v>#DIV/0!</v>
      </c>
      <c r="O245" s="110">
        <f t="shared" si="5"/>
        <v>0</v>
      </c>
      <c r="P245" s="109">
        <f t="shared" si="6"/>
        <v>0.04234083959</v>
      </c>
      <c r="Q245" s="111">
        <f t="shared" si="7"/>
        <v>0</v>
      </c>
      <c r="R245" s="122">
        <f t="shared" si="87"/>
        <v>359.7</v>
      </c>
      <c r="S245" s="113" t="str">
        <f t="shared" si="9"/>
        <v>#DIV/0!</v>
      </c>
      <c r="T245" s="114"/>
      <c r="U245" s="114"/>
      <c r="V245" s="114"/>
      <c r="W245" s="114"/>
      <c r="X245" s="115"/>
      <c r="Y245" s="98"/>
      <c r="Z245" s="98"/>
    </row>
    <row r="246" hidden="1" outlineLevel="1">
      <c r="A246" s="293"/>
      <c r="B246" s="116"/>
      <c r="C246" s="294" t="s">
        <v>65</v>
      </c>
      <c r="D246" s="320">
        <v>0.0</v>
      </c>
      <c r="E246" s="169">
        <v>0.0</v>
      </c>
      <c r="F246" s="169">
        <v>0.0</v>
      </c>
      <c r="G246" s="104" t="str">
        <f t="shared" si="1"/>
        <v>#DIV/0!</v>
      </c>
      <c r="H246" s="105" t="str">
        <f t="shared" si="2"/>
        <v>#DIV/0!</v>
      </c>
      <c r="I246" s="106" t="str">
        <f t="shared" si="3"/>
        <v>#DIV/0!</v>
      </c>
      <c r="J246" s="300">
        <v>0.0</v>
      </c>
      <c r="K246" s="169">
        <v>0.0</v>
      </c>
      <c r="L246" s="103">
        <v>0.0</v>
      </c>
      <c r="M246" s="320">
        <v>0.0</v>
      </c>
      <c r="N246" s="109" t="str">
        <f t="shared" si="4"/>
        <v>#DIV/0!</v>
      </c>
      <c r="O246" s="110" t="str">
        <f t="shared" si="5"/>
        <v>#DIV/0!</v>
      </c>
      <c r="P246" s="109" t="str">
        <f t="shared" si="6"/>
        <v>#DIV/0!</v>
      </c>
      <c r="Q246" s="111" t="str">
        <f t="shared" si="7"/>
        <v>#DIV/0!</v>
      </c>
      <c r="R246" s="122">
        <f t="shared" si="87"/>
        <v>0</v>
      </c>
      <c r="S246" s="113" t="str">
        <f t="shared" si="9"/>
        <v>#DIV/0!</v>
      </c>
      <c r="T246" s="114"/>
      <c r="U246" s="114"/>
      <c r="V246" s="114"/>
      <c r="W246" s="114"/>
      <c r="X246" s="115"/>
      <c r="Y246" s="98"/>
      <c r="Z246" s="98"/>
    </row>
    <row r="247" hidden="1" outlineLevel="1">
      <c r="A247" s="293"/>
      <c r="B247" s="116"/>
      <c r="C247" s="294" t="s">
        <v>85</v>
      </c>
      <c r="D247" s="321">
        <v>119.98</v>
      </c>
      <c r="E247" s="169">
        <v>2.0</v>
      </c>
      <c r="F247" s="169">
        <v>1.0</v>
      </c>
      <c r="G247" s="104">
        <f t="shared" si="1"/>
        <v>2</v>
      </c>
      <c r="H247" s="105">
        <f t="shared" si="2"/>
        <v>59.99</v>
      </c>
      <c r="I247" s="106">
        <f t="shared" si="3"/>
        <v>29.995</v>
      </c>
      <c r="J247" s="302">
        <v>41.55</v>
      </c>
      <c r="K247" s="169">
        <v>9951.0</v>
      </c>
      <c r="L247" s="103">
        <v>0.0</v>
      </c>
      <c r="M247" s="322">
        <v>0.0</v>
      </c>
      <c r="N247" s="109" t="str">
        <f t="shared" si="4"/>
        <v>#DIV/0!</v>
      </c>
      <c r="O247" s="110">
        <f t="shared" si="5"/>
        <v>0</v>
      </c>
      <c r="P247" s="109">
        <f t="shared" si="6"/>
        <v>0.346307718</v>
      </c>
      <c r="Q247" s="111">
        <f t="shared" si="7"/>
        <v>0</v>
      </c>
      <c r="R247" s="304">
        <f t="shared" si="87"/>
        <v>119.98</v>
      </c>
      <c r="S247" s="113" t="str">
        <f t="shared" si="9"/>
        <v>#DIV/0!</v>
      </c>
      <c r="T247" s="114"/>
      <c r="U247" s="114"/>
      <c r="V247" s="114"/>
      <c r="W247" s="114"/>
      <c r="X247" s="115"/>
      <c r="Y247" s="98"/>
      <c r="Z247" s="98"/>
    </row>
    <row r="248" hidden="1" outlineLevel="1">
      <c r="A248" s="293"/>
      <c r="B248" s="116"/>
      <c r="C248" s="294" t="s">
        <v>36</v>
      </c>
      <c r="D248" s="177">
        <v>849.35</v>
      </c>
      <c r="E248" s="169">
        <v>13.0</v>
      </c>
      <c r="F248" s="169">
        <v>8.0</v>
      </c>
      <c r="G248" s="104">
        <f t="shared" si="1"/>
        <v>1.625</v>
      </c>
      <c r="H248" s="105">
        <f t="shared" si="2"/>
        <v>65.33461538</v>
      </c>
      <c r="I248" s="106">
        <f t="shared" si="3"/>
        <v>40.20591716</v>
      </c>
      <c r="J248" s="120">
        <v>151.87</v>
      </c>
      <c r="K248" s="169">
        <v>3720.0</v>
      </c>
      <c r="L248" s="103">
        <v>1.0</v>
      </c>
      <c r="M248" s="178">
        <v>69.95</v>
      </c>
      <c r="N248" s="109">
        <f t="shared" si="4"/>
        <v>2.17112223</v>
      </c>
      <c r="O248" s="110">
        <f t="shared" si="5"/>
        <v>0.4605912952</v>
      </c>
      <c r="P248" s="109">
        <f t="shared" si="6"/>
        <v>0.1788073232</v>
      </c>
      <c r="Q248" s="111">
        <f t="shared" si="7"/>
        <v>0.0823570966</v>
      </c>
      <c r="R248" s="122">
        <f t="shared" si="87"/>
        <v>779.4</v>
      </c>
      <c r="S248" s="113">
        <f t="shared" si="9"/>
        <v>151.87</v>
      </c>
      <c r="T248" s="114"/>
      <c r="U248" s="114"/>
      <c r="V248" s="114"/>
      <c r="W248" s="114"/>
      <c r="X248" s="115"/>
      <c r="Y248" s="98"/>
      <c r="Z248" s="98"/>
    </row>
    <row r="249" hidden="1" outlineLevel="1">
      <c r="A249" s="293"/>
      <c r="B249" s="99" t="s">
        <v>37</v>
      </c>
      <c r="C249" s="294" t="s">
        <v>38</v>
      </c>
      <c r="D249" s="180">
        <v>765.75</v>
      </c>
      <c r="E249" s="169">
        <v>11.0</v>
      </c>
      <c r="F249" s="169">
        <v>14.0</v>
      </c>
      <c r="G249" s="104">
        <f t="shared" si="1"/>
        <v>0.7857142857</v>
      </c>
      <c r="H249" s="105">
        <f t="shared" si="2"/>
        <v>69.61363636</v>
      </c>
      <c r="I249" s="106">
        <f t="shared" si="3"/>
        <v>88.59917355</v>
      </c>
      <c r="J249" s="123">
        <v>243.42</v>
      </c>
      <c r="K249" s="169">
        <v>28115.0</v>
      </c>
      <c r="L249" s="103">
        <v>4.0</v>
      </c>
      <c r="M249" s="181">
        <v>150.89</v>
      </c>
      <c r="N249" s="109">
        <f t="shared" si="4"/>
        <v>1.613228179</v>
      </c>
      <c r="O249" s="110">
        <f t="shared" si="5"/>
        <v>0.619875113</v>
      </c>
      <c r="P249" s="109">
        <f t="shared" si="6"/>
        <v>0.317884427</v>
      </c>
      <c r="Q249" s="111">
        <f t="shared" si="7"/>
        <v>0.1970486451</v>
      </c>
      <c r="R249" s="125">
        <f t="shared" si="87"/>
        <v>614.86</v>
      </c>
      <c r="S249" s="113">
        <f t="shared" si="9"/>
        <v>60.855</v>
      </c>
      <c r="T249" s="114"/>
      <c r="U249" s="114"/>
      <c r="V249" s="114"/>
      <c r="W249" s="114"/>
      <c r="X249" s="115"/>
      <c r="Y249" s="98"/>
      <c r="Z249" s="98"/>
    </row>
    <row r="250" hidden="1" outlineLevel="1">
      <c r="A250" s="293"/>
      <c r="B250" s="116"/>
      <c r="C250" s="294" t="s">
        <v>39</v>
      </c>
      <c r="D250" s="182">
        <v>0.0</v>
      </c>
      <c r="E250" s="169">
        <v>0.0</v>
      </c>
      <c r="F250" s="169">
        <v>0.0</v>
      </c>
      <c r="G250" s="104" t="str">
        <f t="shared" si="1"/>
        <v>#DIV/0!</v>
      </c>
      <c r="H250" s="105" t="str">
        <f t="shared" si="2"/>
        <v>#DIV/0!</v>
      </c>
      <c r="I250" s="106" t="str">
        <f t="shared" si="3"/>
        <v>#DIV/0!</v>
      </c>
      <c r="J250" s="126">
        <v>53.92</v>
      </c>
      <c r="K250" s="169">
        <v>167085.0</v>
      </c>
      <c r="L250" s="103">
        <v>0.0</v>
      </c>
      <c r="M250" s="183">
        <v>0.0</v>
      </c>
      <c r="N250" s="109" t="str">
        <f t="shared" si="4"/>
        <v>#DIV/0!</v>
      </c>
      <c r="O250" s="110">
        <f t="shared" si="5"/>
        <v>0</v>
      </c>
      <c r="P250" s="109" t="str">
        <f t="shared" si="6"/>
        <v>#DIV/0!</v>
      </c>
      <c r="Q250" s="111" t="str">
        <f t="shared" si="7"/>
        <v>#DIV/0!</v>
      </c>
      <c r="R250" s="128">
        <f t="shared" si="87"/>
        <v>0</v>
      </c>
      <c r="S250" s="113" t="str">
        <f t="shared" si="9"/>
        <v>#DIV/0!</v>
      </c>
      <c r="T250" s="114"/>
      <c r="U250" s="114"/>
      <c r="V250" s="114"/>
      <c r="W250" s="114"/>
      <c r="X250" s="115"/>
      <c r="Y250" s="98"/>
      <c r="Z250" s="98"/>
    </row>
    <row r="251" hidden="1" outlineLevel="1">
      <c r="A251" s="293"/>
      <c r="B251" s="116"/>
      <c r="C251" s="294" t="s">
        <v>40</v>
      </c>
      <c r="D251" s="184">
        <v>0.0</v>
      </c>
      <c r="E251" s="169">
        <v>0.0</v>
      </c>
      <c r="F251" s="169">
        <v>1.0</v>
      </c>
      <c r="G251" s="104">
        <f t="shared" si="1"/>
        <v>0</v>
      </c>
      <c r="H251" s="105" t="str">
        <f t="shared" si="2"/>
        <v>#DIV/0!</v>
      </c>
      <c r="I251" s="106" t="str">
        <f t="shared" si="3"/>
        <v>#DIV/0!</v>
      </c>
      <c r="J251" s="129">
        <v>0.0</v>
      </c>
      <c r="K251" s="169">
        <v>0.0</v>
      </c>
      <c r="L251" s="103">
        <v>0.0</v>
      </c>
      <c r="M251" s="185">
        <v>0.0</v>
      </c>
      <c r="N251" s="109" t="str">
        <f t="shared" si="4"/>
        <v>#DIV/0!</v>
      </c>
      <c r="O251" s="110" t="str">
        <f t="shared" si="5"/>
        <v>#DIV/0!</v>
      </c>
      <c r="P251" s="109" t="str">
        <f t="shared" si="6"/>
        <v>#DIV/0!</v>
      </c>
      <c r="Q251" s="111" t="str">
        <f t="shared" si="7"/>
        <v>#DIV/0!</v>
      </c>
      <c r="R251" s="131">
        <f t="shared" si="87"/>
        <v>0</v>
      </c>
      <c r="S251" s="113" t="str">
        <f t="shared" si="9"/>
        <v>#DIV/0!</v>
      </c>
      <c r="T251" s="114"/>
      <c r="U251" s="114"/>
      <c r="V251" s="114"/>
      <c r="W251" s="114"/>
      <c r="X251" s="115"/>
      <c r="Y251" s="98"/>
      <c r="Z251" s="98"/>
    </row>
    <row r="252" hidden="1" outlineLevel="1">
      <c r="A252" s="293"/>
      <c r="B252" s="116"/>
      <c r="C252" s="294" t="s">
        <v>41</v>
      </c>
      <c r="D252" s="186">
        <v>766.15</v>
      </c>
      <c r="E252" s="169">
        <v>15.0</v>
      </c>
      <c r="F252" s="169">
        <v>14.0</v>
      </c>
      <c r="G252" s="104">
        <f t="shared" si="1"/>
        <v>1.071428571</v>
      </c>
      <c r="H252" s="105">
        <f t="shared" si="2"/>
        <v>51.07666667</v>
      </c>
      <c r="I252" s="106">
        <f t="shared" si="3"/>
        <v>47.67155556</v>
      </c>
      <c r="J252" s="132">
        <v>56.99</v>
      </c>
      <c r="K252" s="169">
        <v>12059.0</v>
      </c>
      <c r="L252" s="103">
        <v>1.0</v>
      </c>
      <c r="M252" s="187">
        <v>67.0</v>
      </c>
      <c r="N252" s="109">
        <f t="shared" si="4"/>
        <v>0.8505970149</v>
      </c>
      <c r="O252" s="110">
        <f t="shared" si="5"/>
        <v>1.17564485</v>
      </c>
      <c r="P252" s="109">
        <f t="shared" si="6"/>
        <v>0.07438491157</v>
      </c>
      <c r="Q252" s="111">
        <f t="shared" si="7"/>
        <v>0.0874502382</v>
      </c>
      <c r="R252" s="134">
        <f t="shared" si="87"/>
        <v>699.15</v>
      </c>
      <c r="S252" s="113">
        <f t="shared" si="9"/>
        <v>56.99</v>
      </c>
      <c r="T252" s="114"/>
      <c r="U252" s="114"/>
      <c r="V252" s="114"/>
      <c r="W252" s="114"/>
      <c r="X252" s="115"/>
      <c r="Y252" s="98"/>
      <c r="Z252" s="98"/>
    </row>
    <row r="253" hidden="1" outlineLevel="1">
      <c r="A253" s="293"/>
      <c r="B253" s="116"/>
      <c r="C253" s="294" t="s">
        <v>42</v>
      </c>
      <c r="D253" s="177">
        <v>-10.91</v>
      </c>
      <c r="E253" s="169">
        <v>1.0</v>
      </c>
      <c r="F253" s="169">
        <v>1.0</v>
      </c>
      <c r="G253" s="104">
        <f t="shared" si="1"/>
        <v>1</v>
      </c>
      <c r="H253" s="105">
        <f t="shared" si="2"/>
        <v>-10.91</v>
      </c>
      <c r="I253" s="106">
        <f t="shared" si="3"/>
        <v>-10.91</v>
      </c>
      <c r="J253" s="120">
        <v>8.58</v>
      </c>
      <c r="K253" s="169">
        <v>10088.0</v>
      </c>
      <c r="L253" s="103">
        <v>1.0</v>
      </c>
      <c r="M253" s="178">
        <v>19.99</v>
      </c>
      <c r="N253" s="109">
        <f t="shared" si="4"/>
        <v>0.4292146073</v>
      </c>
      <c r="O253" s="110">
        <f t="shared" si="5"/>
        <v>2.32983683</v>
      </c>
      <c r="P253" s="109">
        <f t="shared" si="6"/>
        <v>-0.7864344638</v>
      </c>
      <c r="Q253" s="111">
        <f t="shared" si="7"/>
        <v>-1.832263978</v>
      </c>
      <c r="R253" s="122">
        <f t="shared" si="87"/>
        <v>-30.9</v>
      </c>
      <c r="S253" s="113">
        <f t="shared" si="9"/>
        <v>8.58</v>
      </c>
      <c r="T253" s="114"/>
      <c r="U253" s="114"/>
      <c r="V253" s="114"/>
      <c r="W253" s="114"/>
      <c r="X253" s="115"/>
      <c r="Y253" s="98"/>
      <c r="Z253" s="98"/>
    </row>
    <row r="254" hidden="1" outlineLevel="1">
      <c r="A254" s="293"/>
      <c r="B254" s="116"/>
      <c r="C254" s="294" t="s">
        <v>43</v>
      </c>
      <c r="D254" s="188">
        <v>299.9</v>
      </c>
      <c r="E254" s="169">
        <v>2.0</v>
      </c>
      <c r="F254" s="169">
        <v>3.0</v>
      </c>
      <c r="G254" s="104">
        <f t="shared" si="1"/>
        <v>0.6666666667</v>
      </c>
      <c r="H254" s="105">
        <f t="shared" si="2"/>
        <v>149.95</v>
      </c>
      <c r="I254" s="106">
        <f t="shared" si="3"/>
        <v>224.925</v>
      </c>
      <c r="J254" s="135">
        <v>19.96</v>
      </c>
      <c r="K254" s="169">
        <v>26977.0</v>
      </c>
      <c r="L254" s="103">
        <v>0.0</v>
      </c>
      <c r="M254" s="189">
        <v>0.0</v>
      </c>
      <c r="N254" s="109" t="str">
        <f t="shared" si="4"/>
        <v>#DIV/0!</v>
      </c>
      <c r="O254" s="110">
        <f t="shared" si="5"/>
        <v>0</v>
      </c>
      <c r="P254" s="109">
        <f t="shared" si="6"/>
        <v>0.06655551851</v>
      </c>
      <c r="Q254" s="111">
        <f t="shared" si="7"/>
        <v>0</v>
      </c>
      <c r="R254" s="137">
        <f t="shared" si="87"/>
        <v>299.9</v>
      </c>
      <c r="S254" s="113" t="str">
        <f t="shared" si="9"/>
        <v>#DIV/0!</v>
      </c>
      <c r="T254" s="114"/>
      <c r="U254" s="114"/>
      <c r="V254" s="114"/>
      <c r="W254" s="114"/>
      <c r="X254" s="115"/>
      <c r="Y254" s="98"/>
      <c r="Z254" s="98"/>
    </row>
    <row r="255" hidden="1" outlineLevel="1">
      <c r="A255" s="293"/>
      <c r="B255" s="116"/>
      <c r="C255" s="294" t="s">
        <v>44</v>
      </c>
      <c r="D255" s="190">
        <v>0.0</v>
      </c>
      <c r="E255" s="169">
        <v>0.0</v>
      </c>
      <c r="F255" s="169">
        <v>0.0</v>
      </c>
      <c r="G255" s="104" t="str">
        <f t="shared" si="1"/>
        <v>#DIV/0!</v>
      </c>
      <c r="H255" s="105" t="str">
        <f t="shared" si="2"/>
        <v>#DIV/0!</v>
      </c>
      <c r="I255" s="106" t="str">
        <f t="shared" si="3"/>
        <v>#DIV/0!</v>
      </c>
      <c r="J255" s="138">
        <v>1.02</v>
      </c>
      <c r="K255" s="169">
        <v>12691.0</v>
      </c>
      <c r="L255" s="103">
        <v>0.0</v>
      </c>
      <c r="M255" s="191">
        <v>0.0</v>
      </c>
      <c r="N255" s="109" t="str">
        <f t="shared" si="4"/>
        <v>#DIV/0!</v>
      </c>
      <c r="O255" s="110">
        <f t="shared" si="5"/>
        <v>0</v>
      </c>
      <c r="P255" s="109" t="str">
        <f t="shared" si="6"/>
        <v>#DIV/0!</v>
      </c>
      <c r="Q255" s="111" t="str">
        <f t="shared" si="7"/>
        <v>#DIV/0!</v>
      </c>
      <c r="R255" s="140">
        <f t="shared" si="87"/>
        <v>0</v>
      </c>
      <c r="S255" s="113" t="str">
        <f t="shared" si="9"/>
        <v>#DIV/0!</v>
      </c>
      <c r="T255" s="114"/>
      <c r="U255" s="114"/>
      <c r="V255" s="114"/>
      <c r="W255" s="114"/>
      <c r="X255" s="115"/>
      <c r="Y255" s="98"/>
      <c r="Z255" s="98"/>
    </row>
    <row r="256" hidden="1" outlineLevel="1">
      <c r="A256" s="413"/>
      <c r="B256" s="116"/>
      <c r="C256" s="380" t="s">
        <v>45</v>
      </c>
      <c r="D256" s="167">
        <v>79.8</v>
      </c>
      <c r="E256" s="169">
        <v>4.0</v>
      </c>
      <c r="F256" s="169">
        <v>2.0</v>
      </c>
      <c r="G256" s="104">
        <f t="shared" si="1"/>
        <v>2</v>
      </c>
      <c r="H256" s="105">
        <f t="shared" si="2"/>
        <v>19.95</v>
      </c>
      <c r="I256" s="106">
        <f t="shared" si="3"/>
        <v>9.975</v>
      </c>
      <c r="J256" s="101">
        <v>0.0</v>
      </c>
      <c r="K256" s="169">
        <v>0.0</v>
      </c>
      <c r="L256" s="103">
        <v>0.0</v>
      </c>
      <c r="M256" s="171">
        <v>0.0</v>
      </c>
      <c r="N256" s="109" t="str">
        <f t="shared" si="4"/>
        <v>#DIV/0!</v>
      </c>
      <c r="O256" s="110" t="str">
        <f t="shared" si="5"/>
        <v>#DIV/0!</v>
      </c>
      <c r="P256" s="109">
        <f t="shared" si="6"/>
        <v>0</v>
      </c>
      <c r="Q256" s="111">
        <f t="shared" si="7"/>
        <v>0</v>
      </c>
      <c r="R256" s="112">
        <f t="shared" si="87"/>
        <v>79.8</v>
      </c>
      <c r="S256" s="113" t="str">
        <f t="shared" si="9"/>
        <v>#DIV/0!</v>
      </c>
      <c r="T256" s="143"/>
      <c r="U256" s="143"/>
      <c r="V256" s="143"/>
      <c r="W256" s="144"/>
      <c r="X256" s="145"/>
      <c r="Y256" s="98"/>
      <c r="Z256" s="98"/>
    </row>
    <row r="257" hidden="1" outlineLevel="1">
      <c r="A257" s="310"/>
      <c r="B257" s="99"/>
      <c r="C257" s="294" t="s">
        <v>46</v>
      </c>
      <c r="D257" s="196">
        <v>359.6</v>
      </c>
      <c r="E257" s="169">
        <v>10.0</v>
      </c>
      <c r="F257" s="169">
        <v>12.0</v>
      </c>
      <c r="G257" s="104">
        <f t="shared" si="1"/>
        <v>0.8333333333</v>
      </c>
      <c r="H257" s="105">
        <f t="shared" si="2"/>
        <v>35.96</v>
      </c>
      <c r="I257" s="106">
        <f t="shared" si="3"/>
        <v>43.152</v>
      </c>
      <c r="J257" s="146">
        <v>98.1</v>
      </c>
      <c r="K257" s="169">
        <v>44788.0</v>
      </c>
      <c r="L257" s="103">
        <v>4.0</v>
      </c>
      <c r="M257" s="197">
        <v>143.84</v>
      </c>
      <c r="N257" s="109">
        <f t="shared" si="4"/>
        <v>0.6820077864</v>
      </c>
      <c r="O257" s="110">
        <f t="shared" si="5"/>
        <v>1.466258919</v>
      </c>
      <c r="P257" s="109">
        <f t="shared" si="6"/>
        <v>0.2728031146</v>
      </c>
      <c r="Q257" s="111">
        <f t="shared" si="7"/>
        <v>0.4</v>
      </c>
      <c r="R257" s="112">
        <f t="shared" si="87"/>
        <v>215.76</v>
      </c>
      <c r="S257" s="113">
        <f t="shared" si="9"/>
        <v>24.525</v>
      </c>
      <c r="T257" s="114"/>
      <c r="U257" s="114"/>
      <c r="V257" s="114"/>
      <c r="W257" s="114"/>
      <c r="X257" s="115"/>
      <c r="Y257" s="98"/>
      <c r="Z257" s="98"/>
    </row>
    <row r="258" hidden="1" outlineLevel="1">
      <c r="A258" s="310" t="str">
        <f t="shared" ref="A258:A259" si="88">iferror(if(B258&gt;0,month(B258)&amp;"-"&amp;year(B258),B258),)</f>
        <v>12-2024</v>
      </c>
      <c r="B258" s="99">
        <v>45654.0</v>
      </c>
      <c r="C258" s="207" t="s">
        <v>49</v>
      </c>
      <c r="D258" s="196">
        <v>0.0</v>
      </c>
      <c r="E258" s="169">
        <v>0.0</v>
      </c>
      <c r="F258" s="169">
        <v>0.0</v>
      </c>
      <c r="G258" s="104" t="str">
        <f t="shared" si="1"/>
        <v>#DIV/0!</v>
      </c>
      <c r="H258" s="105" t="str">
        <f t="shared" si="2"/>
        <v>#DIV/0!</v>
      </c>
      <c r="I258" s="106" t="str">
        <f t="shared" si="3"/>
        <v>#DIV/0!</v>
      </c>
      <c r="J258" s="196">
        <v>0.62</v>
      </c>
      <c r="K258" s="169">
        <v>8458.0</v>
      </c>
      <c r="L258" s="169">
        <v>0.0</v>
      </c>
      <c r="M258" s="197">
        <v>0.0</v>
      </c>
      <c r="N258" s="109" t="str">
        <f t="shared" si="4"/>
        <v>#DIV/0!</v>
      </c>
      <c r="O258" s="110">
        <f t="shared" si="5"/>
        <v>0</v>
      </c>
      <c r="P258" s="109" t="str">
        <f t="shared" si="6"/>
        <v>#DIV/0!</v>
      </c>
      <c r="Q258" s="111" t="str">
        <f t="shared" si="7"/>
        <v>#DIV/0!</v>
      </c>
      <c r="R258" s="112">
        <f t="shared" si="87"/>
        <v>0</v>
      </c>
      <c r="S258" s="113" t="str">
        <f t="shared" si="9"/>
        <v>#DIV/0!</v>
      </c>
      <c r="T258" s="114"/>
      <c r="U258" s="114"/>
      <c r="V258" s="114"/>
      <c r="W258" s="114"/>
      <c r="X258" s="115"/>
      <c r="Y258" s="98"/>
      <c r="Z258" s="98"/>
    </row>
    <row r="259" collapsed="1">
      <c r="A259" s="205" t="str">
        <f t="shared" si="88"/>
        <v/>
      </c>
      <c r="B259" s="80" t="s">
        <v>62</v>
      </c>
      <c r="C259" s="81"/>
      <c r="D259" s="385">
        <f t="shared" ref="D259:F259" si="89">SUM(D242:D258)</f>
        <v>21475.38</v>
      </c>
      <c r="E259" s="387">
        <f t="shared" si="89"/>
        <v>129</v>
      </c>
      <c r="F259" s="387">
        <f t="shared" si="89"/>
        <v>131</v>
      </c>
      <c r="G259" s="85">
        <f t="shared" si="1"/>
        <v>0.9847328244</v>
      </c>
      <c r="H259" s="86">
        <f t="shared" si="2"/>
        <v>166.475814</v>
      </c>
      <c r="I259" s="87">
        <f t="shared" si="3"/>
        <v>169.0568343</v>
      </c>
      <c r="J259" s="82">
        <f t="shared" ref="J259:M259" si="90">SUM(J242:J258)</f>
        <v>902.48</v>
      </c>
      <c r="K259" s="88">
        <f t="shared" si="90"/>
        <v>367662</v>
      </c>
      <c r="L259" s="88">
        <f t="shared" si="90"/>
        <v>22</v>
      </c>
      <c r="M259" s="89">
        <f t="shared" si="90"/>
        <v>4541.92</v>
      </c>
      <c r="N259" s="90">
        <f t="shared" si="4"/>
        <v>0.1987001092</v>
      </c>
      <c r="O259" s="91">
        <f t="shared" si="5"/>
        <v>5.032709866</v>
      </c>
      <c r="P259" s="90">
        <f t="shared" si="6"/>
        <v>0.04202393625</v>
      </c>
      <c r="Q259" s="92">
        <f t="shared" si="7"/>
        <v>0.2114942786</v>
      </c>
      <c r="R259" s="233">
        <f>SUM(R242:R258)</f>
        <v>16933.46</v>
      </c>
      <c r="S259" s="94">
        <f t="shared" si="9"/>
        <v>41.02181818</v>
      </c>
      <c r="T259" s="95">
        <f t="shared" ref="T259:U259" si="91">IFERROR((D259-D241)/D259,)</f>
        <v>-0.08699217429</v>
      </c>
      <c r="U259" s="95">
        <f t="shared" si="91"/>
        <v>-0.1627906977</v>
      </c>
      <c r="V259" s="96" t="str">
        <f t="shared" ref="V259:W259" si="92">IFERROR((D259-monthly_reporting_2021!D55)/D259, )</f>
        <v/>
      </c>
      <c r="W259" s="96" t="str">
        <f t="shared" si="92"/>
        <v/>
      </c>
      <c r="X259" s="97"/>
    </row>
    <row r="260" hidden="1" outlineLevel="1">
      <c r="A260" s="205"/>
      <c r="B260" s="206"/>
      <c r="C260" s="207" t="s">
        <v>63</v>
      </c>
      <c r="D260" s="208"/>
      <c r="E260" s="210"/>
      <c r="F260" s="210"/>
      <c r="G260" s="211" t="str">
        <f t="shared" si="1"/>
        <v>#DIV/0!</v>
      </c>
      <c r="H260" s="212" t="str">
        <f t="shared" si="2"/>
        <v>#DIV/0!</v>
      </c>
      <c r="I260" s="212" t="str">
        <f t="shared" si="3"/>
        <v>#DIV/0!</v>
      </c>
      <c r="J260" s="213"/>
      <c r="K260" s="214"/>
      <c r="L260" s="214"/>
      <c r="M260" s="215"/>
      <c r="N260" s="216" t="str">
        <f t="shared" si="4"/>
        <v>#DIV/0!</v>
      </c>
      <c r="O260" s="217" t="str">
        <f t="shared" si="5"/>
        <v>#DIV/0!</v>
      </c>
      <c r="P260" s="216" t="str">
        <f t="shared" si="6"/>
        <v>#DIV/0!</v>
      </c>
      <c r="Q260" s="218" t="str">
        <f t="shared" si="7"/>
        <v>#DIV/0!</v>
      </c>
      <c r="R260" s="219"/>
      <c r="S260" s="220" t="str">
        <f t="shared" si="9"/>
        <v>#DIV/0!</v>
      </c>
      <c r="T260" s="221"/>
      <c r="U260" s="221"/>
      <c r="V260" s="221"/>
      <c r="W260" s="221"/>
      <c r="X260" s="14"/>
    </row>
    <row r="261" hidden="1" outlineLevel="1">
      <c r="A261" s="222"/>
      <c r="B261" s="206"/>
      <c r="C261" s="207" t="s">
        <v>35</v>
      </c>
      <c r="D261" s="223"/>
      <c r="E261" s="210"/>
      <c r="F261" s="210"/>
      <c r="G261" s="211" t="str">
        <f t="shared" si="1"/>
        <v>#DIV/0!</v>
      </c>
      <c r="H261" s="212" t="str">
        <f t="shared" si="2"/>
        <v>#DIV/0!</v>
      </c>
      <c r="I261" s="212" t="str">
        <f t="shared" si="3"/>
        <v>#DIV/0!</v>
      </c>
      <c r="J261" s="213"/>
      <c r="K261" s="214"/>
      <c r="L261" s="214"/>
      <c r="M261" s="215"/>
      <c r="N261" s="216" t="str">
        <f t="shared" si="4"/>
        <v>#DIV/0!</v>
      </c>
      <c r="O261" s="217" t="str">
        <f t="shared" si="5"/>
        <v>#DIV/0!</v>
      </c>
      <c r="P261" s="216" t="str">
        <f t="shared" si="6"/>
        <v>#DIV/0!</v>
      </c>
      <c r="Q261" s="218" t="str">
        <f t="shared" si="7"/>
        <v>#DIV/0!</v>
      </c>
      <c r="R261" s="219"/>
      <c r="S261" s="220" t="str">
        <f t="shared" si="9"/>
        <v>#DIV/0!</v>
      </c>
      <c r="T261" s="221"/>
      <c r="U261" s="221"/>
      <c r="V261" s="221"/>
      <c r="W261" s="221"/>
      <c r="X261" s="14"/>
    </row>
    <row r="262" hidden="1" outlineLevel="1">
      <c r="A262" s="222"/>
      <c r="B262" s="206"/>
      <c r="C262" s="207" t="s">
        <v>64</v>
      </c>
      <c r="D262" s="224"/>
      <c r="E262" s="210"/>
      <c r="F262" s="210"/>
      <c r="G262" s="211" t="str">
        <f t="shared" si="1"/>
        <v>#DIV/0!</v>
      </c>
      <c r="H262" s="212" t="str">
        <f t="shared" si="2"/>
        <v>#DIV/0!</v>
      </c>
      <c r="I262" s="212" t="str">
        <f t="shared" si="3"/>
        <v>#DIV/0!</v>
      </c>
      <c r="J262" s="213"/>
      <c r="K262" s="214"/>
      <c r="L262" s="214"/>
      <c r="M262" s="225"/>
      <c r="N262" s="216" t="str">
        <f t="shared" si="4"/>
        <v>#DIV/0!</v>
      </c>
      <c r="O262" s="217" t="str">
        <f t="shared" si="5"/>
        <v>#DIV/0!</v>
      </c>
      <c r="P262" s="216" t="str">
        <f t="shared" si="6"/>
        <v>#DIV/0!</v>
      </c>
      <c r="Q262" s="218" t="str">
        <f t="shared" si="7"/>
        <v>#DIV/0!</v>
      </c>
      <c r="R262" s="219"/>
      <c r="S262" s="220" t="str">
        <f t="shared" si="9"/>
        <v>#DIV/0!</v>
      </c>
      <c r="T262" s="221"/>
      <c r="U262" s="221"/>
      <c r="V262" s="221"/>
      <c r="W262" s="221"/>
      <c r="X262" s="14"/>
    </row>
    <row r="263" hidden="1" outlineLevel="1">
      <c r="A263" s="222"/>
      <c r="B263" s="206"/>
      <c r="C263" s="207" t="s">
        <v>36</v>
      </c>
      <c r="D263" s="226"/>
      <c r="E263" s="210"/>
      <c r="F263" s="210"/>
      <c r="G263" s="211" t="str">
        <f t="shared" si="1"/>
        <v>#DIV/0!</v>
      </c>
      <c r="H263" s="212" t="str">
        <f t="shared" si="2"/>
        <v>#DIV/0!</v>
      </c>
      <c r="I263" s="212" t="str">
        <f t="shared" si="3"/>
        <v>#DIV/0!</v>
      </c>
      <c r="J263" s="213"/>
      <c r="K263" s="214"/>
      <c r="L263" s="214"/>
      <c r="M263" s="227"/>
      <c r="N263" s="216" t="str">
        <f t="shared" si="4"/>
        <v>#DIV/0!</v>
      </c>
      <c r="O263" s="217" t="str">
        <f t="shared" si="5"/>
        <v>#DIV/0!</v>
      </c>
      <c r="P263" s="216" t="str">
        <f t="shared" si="6"/>
        <v>#DIV/0!</v>
      </c>
      <c r="Q263" s="218" t="str">
        <f t="shared" si="7"/>
        <v>#DIV/0!</v>
      </c>
      <c r="R263" s="219"/>
      <c r="S263" s="220" t="str">
        <f t="shared" si="9"/>
        <v>#DIV/0!</v>
      </c>
      <c r="T263" s="221"/>
      <c r="U263" s="221"/>
      <c r="V263" s="221"/>
      <c r="W263" s="221"/>
      <c r="X263" s="14"/>
    </row>
    <row r="264" hidden="1" outlineLevel="1">
      <c r="A264" s="222"/>
      <c r="B264" s="206"/>
      <c r="C264" s="207" t="s">
        <v>41</v>
      </c>
      <c r="D264" s="226"/>
      <c r="E264" s="210"/>
      <c r="F264" s="210"/>
      <c r="G264" s="211" t="str">
        <f t="shared" si="1"/>
        <v>#DIV/0!</v>
      </c>
      <c r="H264" s="212" t="str">
        <f t="shared" si="2"/>
        <v>#DIV/0!</v>
      </c>
      <c r="I264" s="212" t="str">
        <f t="shared" si="3"/>
        <v>#DIV/0!</v>
      </c>
      <c r="J264" s="213"/>
      <c r="K264" s="214"/>
      <c r="L264" s="214"/>
      <c r="M264" s="227"/>
      <c r="N264" s="216" t="str">
        <f t="shared" si="4"/>
        <v>#DIV/0!</v>
      </c>
      <c r="O264" s="217" t="str">
        <f t="shared" si="5"/>
        <v>#DIV/0!</v>
      </c>
      <c r="P264" s="216" t="str">
        <f t="shared" si="6"/>
        <v>#DIV/0!</v>
      </c>
      <c r="Q264" s="218" t="str">
        <f t="shared" si="7"/>
        <v>#DIV/0!</v>
      </c>
      <c r="R264" s="219"/>
      <c r="S264" s="220" t="str">
        <f t="shared" si="9"/>
        <v>#DIV/0!</v>
      </c>
      <c r="T264" s="221"/>
      <c r="U264" s="221"/>
      <c r="V264" s="221"/>
      <c r="W264" s="221"/>
      <c r="X264" s="14"/>
    </row>
    <row r="265" hidden="1" outlineLevel="1">
      <c r="A265" s="222"/>
      <c r="B265" s="206"/>
      <c r="C265" s="207" t="s">
        <v>65</v>
      </c>
      <c r="D265" s="228"/>
      <c r="E265" s="210"/>
      <c r="F265" s="210"/>
      <c r="G265" s="211" t="str">
        <f t="shared" si="1"/>
        <v>#DIV/0!</v>
      </c>
      <c r="H265" s="212" t="str">
        <f t="shared" si="2"/>
        <v>#DIV/0!</v>
      </c>
      <c r="I265" s="212" t="str">
        <f t="shared" si="3"/>
        <v>#DIV/0!</v>
      </c>
      <c r="J265" s="213"/>
      <c r="K265" s="214"/>
      <c r="L265" s="214"/>
      <c r="M265" s="229"/>
      <c r="N265" s="216" t="str">
        <f t="shared" si="4"/>
        <v>#DIV/0!</v>
      </c>
      <c r="O265" s="217" t="str">
        <f t="shared" si="5"/>
        <v>#DIV/0!</v>
      </c>
      <c r="P265" s="216" t="str">
        <f t="shared" si="6"/>
        <v>#DIV/0!</v>
      </c>
      <c r="Q265" s="218" t="str">
        <f t="shared" si="7"/>
        <v>#DIV/0!</v>
      </c>
      <c r="R265" s="219"/>
      <c r="S265" s="220" t="str">
        <f t="shared" si="9"/>
        <v>#DIV/0!</v>
      </c>
      <c r="T265" s="221"/>
      <c r="U265" s="221"/>
      <c r="V265" s="221"/>
      <c r="W265" s="221"/>
      <c r="X265" s="14"/>
    </row>
    <row r="266" hidden="1" outlineLevel="1">
      <c r="A266" s="205" t="str">
        <f>iferror(if(B266&gt;0,month(B266)&amp;"-"&amp;year(B266),B266),)</f>
        <v/>
      </c>
      <c r="B266" s="80"/>
      <c r="C266" s="81"/>
      <c r="D266" s="82">
        <f t="shared" ref="D266:M266" si="93">SUM(D260:D265)</f>
        <v>0</v>
      </c>
      <c r="E266" s="82">
        <f t="shared" si="93"/>
        <v>0</v>
      </c>
      <c r="F266" s="82">
        <f t="shared" si="93"/>
        <v>0</v>
      </c>
      <c r="G266" s="82" t="str">
        <f t="shared" si="93"/>
        <v>#DIV/0!</v>
      </c>
      <c r="H266" s="82" t="str">
        <f t="shared" si="93"/>
        <v>#DIV/0!</v>
      </c>
      <c r="I266" s="82" t="str">
        <f t="shared" si="93"/>
        <v>#DIV/0!</v>
      </c>
      <c r="J266" s="82">
        <f t="shared" si="93"/>
        <v>0</v>
      </c>
      <c r="K266" s="231">
        <f t="shared" si="93"/>
        <v>0</v>
      </c>
      <c r="L266" s="82">
        <f t="shared" si="93"/>
        <v>0</v>
      </c>
      <c r="M266" s="82">
        <f t="shared" si="93"/>
        <v>0</v>
      </c>
      <c r="N266" s="90" t="str">
        <f t="shared" si="4"/>
        <v>#DIV/0!</v>
      </c>
      <c r="O266" s="91" t="str">
        <f t="shared" si="5"/>
        <v>#DIV/0!</v>
      </c>
      <c r="P266" s="90" t="str">
        <f t="shared" si="6"/>
        <v>#DIV/0!</v>
      </c>
      <c r="Q266" s="232" t="str">
        <f t="shared" si="7"/>
        <v>#DIV/0!</v>
      </c>
      <c r="R266" s="233">
        <f>SUM(R260:R265)</f>
        <v>0</v>
      </c>
      <c r="S266" s="234" t="str">
        <f t="shared" si="9"/>
        <v>#DIV/0!</v>
      </c>
      <c r="T266" s="95" t="str">
        <f t="shared" ref="T266:U266" si="94">IFERROR((D266-D258)/D266,)</f>
        <v/>
      </c>
      <c r="U266" s="95" t="str">
        <f t="shared" si="94"/>
        <v/>
      </c>
      <c r="V266" s="96" t="str">
        <f t="shared" ref="V266:W266" si="95">IFERROR((D266-monthly_reporting_2021!D61)/D266, )</f>
        <v/>
      </c>
      <c r="W266" s="96" t="str">
        <f t="shared" si="95"/>
        <v/>
      </c>
      <c r="X266" s="97"/>
    </row>
    <row r="267" collapsed="1">
      <c r="A267" s="205"/>
      <c r="B267" s="235"/>
      <c r="C267" s="236"/>
      <c r="D267" s="237"/>
      <c r="E267" s="235"/>
      <c r="F267" s="235"/>
      <c r="G267" s="239"/>
      <c r="H267" s="240"/>
      <c r="I267" s="240"/>
      <c r="J267" s="237"/>
      <c r="K267" s="241"/>
      <c r="L267" s="241"/>
      <c r="M267" s="237"/>
      <c r="N267" s="242"/>
      <c r="O267" s="243"/>
      <c r="P267" s="244"/>
      <c r="Q267" s="245"/>
      <c r="R267" s="246"/>
      <c r="S267" s="244"/>
      <c r="T267" s="247"/>
      <c r="U267" s="247"/>
      <c r="V267" s="244"/>
      <c r="W267" s="244"/>
      <c r="X267" s="97"/>
    </row>
    <row r="268">
      <c r="A268" s="205"/>
      <c r="B268" s="235"/>
      <c r="C268" s="236"/>
      <c r="D268" s="237"/>
      <c r="E268" s="235"/>
      <c r="F268" s="235"/>
      <c r="G268" s="239"/>
      <c r="H268" s="240"/>
      <c r="I268" s="240"/>
      <c r="J268" s="237"/>
      <c r="K268" s="241"/>
      <c r="L268" s="241"/>
      <c r="M268" s="237"/>
      <c r="N268" s="242"/>
      <c r="O268" s="243"/>
      <c r="P268" s="244"/>
      <c r="Q268" s="245"/>
      <c r="R268" s="246"/>
      <c r="S268" s="244"/>
      <c r="T268" s="247"/>
      <c r="U268" s="247"/>
      <c r="V268" s="244"/>
      <c r="W268" s="244"/>
      <c r="X268" s="97"/>
    </row>
    <row r="269">
      <c r="A269" s="205"/>
      <c r="B269" s="235"/>
      <c r="C269" s="236"/>
      <c r="D269" s="237"/>
      <c r="E269" s="235"/>
      <c r="F269" s="235"/>
      <c r="G269" s="239"/>
      <c r="H269" s="240"/>
      <c r="I269" s="240"/>
      <c r="J269" s="237"/>
      <c r="K269" s="241"/>
      <c r="L269" s="241"/>
      <c r="M269" s="237"/>
      <c r="N269" s="242"/>
      <c r="O269" s="243"/>
      <c r="P269" s="244"/>
      <c r="Q269" s="245"/>
      <c r="R269" s="246"/>
      <c r="S269" s="244"/>
      <c r="T269" s="247"/>
      <c r="U269" s="247"/>
      <c r="V269" s="244"/>
      <c r="W269" s="244"/>
      <c r="X269" s="97"/>
    </row>
    <row r="270">
      <c r="A270" s="205"/>
      <c r="B270" s="235"/>
      <c r="C270" s="236"/>
      <c r="D270" s="237"/>
      <c r="E270" s="235"/>
      <c r="F270" s="235"/>
      <c r="G270" s="239"/>
      <c r="H270" s="240"/>
      <c r="J270" s="237"/>
      <c r="K270" s="241"/>
      <c r="L270" s="241"/>
      <c r="M270" s="237"/>
      <c r="N270" s="242"/>
      <c r="O270" s="243"/>
      <c r="P270" s="244"/>
      <c r="Q270" s="245"/>
      <c r="R270" s="246"/>
      <c r="S270" s="244"/>
      <c r="T270" s="247"/>
      <c r="U270" s="247"/>
      <c r="V270" s="244"/>
      <c r="W270" s="244"/>
      <c r="X270" s="97"/>
    </row>
    <row r="271">
      <c r="A271" s="205"/>
      <c r="B271" s="235"/>
      <c r="C271" s="236"/>
      <c r="D271" s="237"/>
      <c r="E271" s="235"/>
      <c r="F271" s="235"/>
      <c r="G271" s="239"/>
      <c r="H271" s="240"/>
      <c r="J271" s="237"/>
      <c r="K271" s="241"/>
      <c r="L271" s="241"/>
      <c r="M271" s="237"/>
      <c r="N271" s="242"/>
      <c r="O271" s="243"/>
      <c r="P271" s="244"/>
      <c r="Q271" s="245"/>
      <c r="R271" s="246"/>
      <c r="S271" s="244"/>
      <c r="T271" s="247"/>
      <c r="U271" s="247"/>
      <c r="V271" s="244"/>
      <c r="W271" s="244"/>
      <c r="X271" s="97"/>
    </row>
    <row r="272">
      <c r="A272" s="205"/>
      <c r="B272" s="235"/>
      <c r="C272" s="236"/>
      <c r="D272" s="237"/>
      <c r="E272" s="235"/>
      <c r="F272" s="235"/>
      <c r="G272" s="239"/>
      <c r="H272" s="240"/>
      <c r="J272" s="237"/>
      <c r="K272" s="241"/>
      <c r="L272" s="241"/>
      <c r="M272" s="237"/>
      <c r="N272" s="242"/>
      <c r="O272" s="243"/>
      <c r="P272" s="244"/>
      <c r="Q272" s="245"/>
      <c r="R272" s="246"/>
      <c r="S272" s="244"/>
      <c r="T272" s="247"/>
      <c r="U272" s="247"/>
      <c r="V272" s="244"/>
      <c r="W272" s="244"/>
      <c r="X272" s="97"/>
    </row>
    <row r="273">
      <c r="A273" s="205"/>
      <c r="B273" s="235"/>
      <c r="C273" s="236"/>
      <c r="D273" s="237"/>
      <c r="E273" s="235"/>
      <c r="F273" s="235"/>
      <c r="G273" s="239"/>
      <c r="H273" s="240"/>
      <c r="J273" s="237"/>
      <c r="K273" s="241"/>
      <c r="L273" s="241"/>
      <c r="M273" s="237"/>
      <c r="N273" s="242"/>
      <c r="O273" s="243"/>
      <c r="P273" s="244"/>
      <c r="Q273" s="245"/>
      <c r="R273" s="246"/>
      <c r="S273" s="244"/>
      <c r="T273" s="247"/>
      <c r="U273" s="247"/>
      <c r="V273" s="244"/>
      <c r="W273" s="244"/>
      <c r="X273" s="97"/>
    </row>
    <row r="274">
      <c r="A274" s="205"/>
      <c r="B274" s="235"/>
      <c r="C274" s="236"/>
      <c r="D274" s="237"/>
      <c r="E274" s="235"/>
      <c r="F274" s="235"/>
      <c r="G274" s="239"/>
      <c r="H274" s="240"/>
      <c r="J274" s="237"/>
      <c r="K274" s="241"/>
      <c r="L274" s="241"/>
      <c r="M274" s="237"/>
      <c r="N274" s="242"/>
      <c r="O274" s="243"/>
      <c r="P274" s="244"/>
      <c r="Q274" s="245"/>
      <c r="R274" s="246"/>
      <c r="S274" s="244"/>
      <c r="T274" s="247"/>
      <c r="U274" s="247"/>
      <c r="V274" s="244"/>
      <c r="W274" s="244"/>
      <c r="X274" s="97"/>
    </row>
    <row r="275">
      <c r="A275" s="205"/>
      <c r="B275" s="235"/>
      <c r="C275" s="236"/>
      <c r="D275" s="237"/>
      <c r="E275" s="235"/>
      <c r="F275" s="235"/>
      <c r="G275" s="239"/>
      <c r="H275" s="240"/>
      <c r="J275" s="237"/>
      <c r="K275" s="241"/>
      <c r="L275" s="241"/>
      <c r="M275" s="237"/>
      <c r="N275" s="242"/>
      <c r="O275" s="243"/>
      <c r="P275" s="244"/>
      <c r="Q275" s="245"/>
      <c r="R275" s="246"/>
      <c r="S275" s="244"/>
      <c r="T275" s="247"/>
      <c r="U275" s="247"/>
      <c r="V275" s="244"/>
      <c r="W275" s="244"/>
      <c r="X275" s="97"/>
    </row>
    <row r="276">
      <c r="A276" s="205"/>
      <c r="B276" s="235"/>
      <c r="C276" s="236"/>
      <c r="D276" s="237"/>
      <c r="E276" s="235"/>
      <c r="F276" s="235"/>
      <c r="G276" s="239"/>
      <c r="H276" s="240"/>
      <c r="J276" s="237"/>
      <c r="K276" s="241"/>
      <c r="L276" s="241"/>
      <c r="M276" s="237"/>
      <c r="N276" s="242"/>
      <c r="O276" s="243"/>
      <c r="P276" s="244"/>
      <c r="Q276" s="245"/>
      <c r="R276" s="246"/>
      <c r="S276" s="244"/>
      <c r="T276" s="247"/>
      <c r="U276" s="247"/>
      <c r="V276" s="244"/>
      <c r="W276" s="244"/>
      <c r="X276" s="97"/>
    </row>
    <row r="277">
      <c r="A277" s="205"/>
      <c r="B277" s="235"/>
      <c r="C277" s="236"/>
      <c r="D277" s="237"/>
      <c r="E277" s="235"/>
      <c r="F277" s="235"/>
      <c r="G277" s="239"/>
      <c r="H277" s="240"/>
      <c r="J277" s="237"/>
      <c r="K277" s="241"/>
      <c r="L277" s="241"/>
      <c r="M277" s="237"/>
      <c r="N277" s="242"/>
      <c r="O277" s="243"/>
      <c r="P277" s="244"/>
      <c r="Q277" s="245"/>
      <c r="R277" s="246"/>
      <c r="S277" s="244"/>
      <c r="T277" s="247"/>
      <c r="U277" s="247"/>
      <c r="V277" s="244"/>
      <c r="W277" s="244"/>
      <c r="X277" s="97"/>
    </row>
    <row r="278">
      <c r="A278" s="205"/>
      <c r="B278" s="235"/>
      <c r="C278" s="236"/>
      <c r="D278" s="237"/>
      <c r="E278" s="235"/>
      <c r="F278" s="235"/>
      <c r="G278" s="239"/>
      <c r="H278" s="240"/>
      <c r="J278" s="237"/>
      <c r="K278" s="241"/>
      <c r="L278" s="241"/>
      <c r="M278" s="237"/>
      <c r="N278" s="242"/>
      <c r="O278" s="243"/>
      <c r="P278" s="244"/>
      <c r="Q278" s="245"/>
      <c r="R278" s="246"/>
      <c r="S278" s="244"/>
      <c r="T278" s="247"/>
      <c r="U278" s="247"/>
      <c r="V278" s="244"/>
      <c r="W278" s="244"/>
      <c r="X278" s="97"/>
    </row>
    <row r="279">
      <c r="A279" s="205"/>
      <c r="B279" s="235"/>
      <c r="C279" s="236"/>
      <c r="D279" s="237"/>
      <c r="E279" s="235"/>
      <c r="F279" s="235"/>
      <c r="G279" s="239"/>
      <c r="H279" s="240"/>
      <c r="J279" s="237"/>
      <c r="K279" s="241"/>
      <c r="L279" s="241"/>
      <c r="M279" s="237"/>
      <c r="N279" s="242"/>
      <c r="O279" s="243"/>
      <c r="P279" s="244"/>
      <c r="Q279" s="245"/>
      <c r="R279" s="246"/>
      <c r="S279" s="244"/>
      <c r="T279" s="247"/>
      <c r="U279" s="247"/>
      <c r="V279" s="244"/>
      <c r="W279" s="244"/>
      <c r="X279" s="97"/>
    </row>
    <row r="280">
      <c r="A280" s="205"/>
      <c r="B280" s="235"/>
      <c r="C280" s="236"/>
      <c r="D280" s="237"/>
      <c r="E280" s="235"/>
      <c r="F280" s="235"/>
      <c r="G280" s="239"/>
      <c r="H280" s="240"/>
      <c r="J280" s="237"/>
      <c r="K280" s="241"/>
      <c r="L280" s="241"/>
      <c r="M280" s="237"/>
      <c r="N280" s="242"/>
      <c r="O280" s="243"/>
      <c r="P280" s="244"/>
      <c r="Q280" s="245"/>
      <c r="R280" s="246"/>
      <c r="S280" s="244"/>
      <c r="T280" s="247"/>
      <c r="U280" s="247"/>
      <c r="V280" s="244"/>
      <c r="W280" s="244"/>
      <c r="X280" s="97"/>
    </row>
    <row r="281">
      <c r="A281" s="205"/>
      <c r="B281" s="235"/>
      <c r="C281" s="236"/>
      <c r="D281" s="237"/>
      <c r="E281" s="235"/>
      <c r="F281" s="235"/>
      <c r="G281" s="239"/>
      <c r="H281" s="240"/>
      <c r="J281" s="237"/>
      <c r="K281" s="241"/>
      <c r="L281" s="241"/>
      <c r="M281" s="237"/>
      <c r="N281" s="242"/>
      <c r="O281" s="243"/>
      <c r="P281" s="244"/>
      <c r="Q281" s="245"/>
      <c r="R281" s="246"/>
      <c r="S281" s="244"/>
      <c r="T281" s="247"/>
      <c r="U281" s="247"/>
      <c r="V281" s="244"/>
      <c r="W281" s="244"/>
      <c r="X281" s="97"/>
    </row>
    <row r="282">
      <c r="A282" s="205"/>
      <c r="B282" s="235"/>
      <c r="C282" s="236"/>
      <c r="D282" s="237"/>
      <c r="E282" s="235"/>
      <c r="F282" s="235"/>
      <c r="G282" s="239"/>
      <c r="H282" s="240"/>
      <c r="J282" s="237"/>
      <c r="K282" s="241"/>
      <c r="L282" s="241"/>
      <c r="M282" s="237"/>
      <c r="N282" s="242"/>
      <c r="O282" s="243"/>
      <c r="P282" s="244"/>
      <c r="Q282" s="245"/>
      <c r="R282" s="246"/>
      <c r="S282" s="244"/>
      <c r="T282" s="247"/>
      <c r="U282" s="247"/>
      <c r="V282" s="244"/>
      <c r="W282" s="244"/>
      <c r="X282" s="97"/>
    </row>
    <row r="283">
      <c r="A283" s="205"/>
      <c r="B283" s="235"/>
      <c r="C283" s="236"/>
      <c r="D283" s="237"/>
      <c r="E283" s="235"/>
      <c r="F283" s="235"/>
      <c r="G283" s="239"/>
      <c r="H283" s="240"/>
      <c r="J283" s="237"/>
      <c r="K283" s="241"/>
      <c r="L283" s="241"/>
      <c r="M283" s="237"/>
      <c r="N283" s="242"/>
      <c r="O283" s="243"/>
      <c r="P283" s="244"/>
      <c r="Q283" s="245"/>
      <c r="R283" s="246"/>
      <c r="S283" s="244"/>
      <c r="T283" s="247"/>
      <c r="U283" s="247"/>
      <c r="V283" s="244"/>
      <c r="W283" s="244"/>
      <c r="X283" s="97"/>
    </row>
    <row r="284">
      <c r="A284" s="205"/>
      <c r="B284" s="235"/>
      <c r="C284" s="236"/>
      <c r="D284" s="237"/>
      <c r="E284" s="235"/>
      <c r="F284" s="235"/>
      <c r="G284" s="239"/>
      <c r="H284" s="240"/>
      <c r="J284" s="237"/>
      <c r="K284" s="241"/>
      <c r="L284" s="241"/>
      <c r="M284" s="237"/>
      <c r="N284" s="242"/>
      <c r="O284" s="243"/>
      <c r="P284" s="244"/>
      <c r="Q284" s="245"/>
      <c r="R284" s="246"/>
      <c r="S284" s="244"/>
      <c r="T284" s="247"/>
      <c r="U284" s="247"/>
      <c r="V284" s="244"/>
      <c r="W284" s="244"/>
      <c r="X284" s="97"/>
    </row>
    <row r="285">
      <c r="A285" s="205"/>
      <c r="B285" s="235"/>
      <c r="C285" s="236"/>
      <c r="D285" s="237"/>
      <c r="E285" s="235"/>
      <c r="F285" s="235"/>
      <c r="G285" s="239"/>
      <c r="H285" s="240"/>
      <c r="J285" s="237"/>
      <c r="K285" s="241"/>
      <c r="L285" s="241"/>
      <c r="M285" s="237"/>
      <c r="N285" s="242"/>
      <c r="O285" s="243"/>
      <c r="P285" s="244"/>
      <c r="Q285" s="245"/>
      <c r="R285" s="246"/>
      <c r="S285" s="244"/>
      <c r="T285" s="247"/>
      <c r="U285" s="247"/>
      <c r="V285" s="244"/>
      <c r="W285" s="244"/>
      <c r="X285" s="97"/>
    </row>
    <row r="286">
      <c r="A286" s="205"/>
      <c r="B286" s="235"/>
      <c r="C286" s="236"/>
      <c r="D286" s="237"/>
      <c r="E286" s="235"/>
      <c r="F286" s="235"/>
      <c r="G286" s="239"/>
      <c r="H286" s="240"/>
      <c r="J286" s="237"/>
      <c r="K286" s="241"/>
      <c r="L286" s="241"/>
      <c r="M286" s="237"/>
      <c r="N286" s="242"/>
      <c r="O286" s="243"/>
      <c r="P286" s="244"/>
      <c r="Q286" s="245"/>
      <c r="R286" s="246"/>
      <c r="S286" s="244"/>
      <c r="T286" s="247"/>
      <c r="U286" s="247"/>
      <c r="V286" s="244"/>
      <c r="W286" s="244"/>
      <c r="X286" s="97"/>
    </row>
    <row r="287">
      <c r="A287" s="205"/>
      <c r="B287" s="235"/>
      <c r="C287" s="236"/>
      <c r="D287" s="237"/>
      <c r="E287" s="235"/>
      <c r="F287" s="235"/>
      <c r="G287" s="239"/>
      <c r="H287" s="240"/>
      <c r="J287" s="237"/>
      <c r="K287" s="241"/>
      <c r="L287" s="241"/>
      <c r="M287" s="237"/>
      <c r="N287" s="242"/>
      <c r="O287" s="243"/>
      <c r="P287" s="244"/>
      <c r="Q287" s="245"/>
      <c r="R287" s="246"/>
      <c r="S287" s="244"/>
      <c r="T287" s="247"/>
      <c r="U287" s="247"/>
      <c r="V287" s="244"/>
      <c r="W287" s="244"/>
      <c r="X287" s="97"/>
    </row>
    <row r="288">
      <c r="A288" s="205"/>
      <c r="B288" s="235"/>
      <c r="C288" s="236"/>
      <c r="D288" s="237"/>
      <c r="E288" s="235"/>
      <c r="F288" s="235"/>
      <c r="G288" s="239"/>
      <c r="H288" s="240"/>
      <c r="J288" s="237"/>
      <c r="K288" s="241"/>
      <c r="L288" s="241"/>
      <c r="M288" s="237"/>
      <c r="N288" s="242"/>
      <c r="O288" s="243"/>
      <c r="P288" s="244"/>
      <c r="Q288" s="245"/>
      <c r="R288" s="246"/>
      <c r="S288" s="244"/>
      <c r="T288" s="247"/>
      <c r="U288" s="247"/>
      <c r="V288" s="244"/>
      <c r="W288" s="244"/>
      <c r="X288" s="97"/>
    </row>
    <row r="289">
      <c r="A289" s="205"/>
      <c r="B289" s="235"/>
      <c r="C289" s="236"/>
      <c r="D289" s="237"/>
      <c r="E289" s="235"/>
      <c r="F289" s="235"/>
      <c r="G289" s="239"/>
      <c r="H289" s="240"/>
      <c r="J289" s="237"/>
      <c r="K289" s="241"/>
      <c r="L289" s="241"/>
      <c r="M289" s="237"/>
      <c r="N289" s="242"/>
      <c r="O289" s="243"/>
      <c r="P289" s="244"/>
      <c r="Q289" s="245"/>
      <c r="R289" s="246"/>
      <c r="S289" s="244"/>
      <c r="T289" s="247"/>
      <c r="U289" s="247"/>
      <c r="V289" s="244"/>
      <c r="W289" s="244"/>
      <c r="X289" s="97"/>
    </row>
    <row r="290">
      <c r="A290" s="205"/>
      <c r="B290" s="235"/>
      <c r="C290" s="236"/>
      <c r="D290" s="237"/>
      <c r="E290" s="235"/>
      <c r="F290" s="235"/>
      <c r="G290" s="239"/>
      <c r="H290" s="240"/>
      <c r="J290" s="237"/>
      <c r="K290" s="241"/>
      <c r="L290" s="241"/>
      <c r="M290" s="237"/>
      <c r="N290" s="242"/>
      <c r="O290" s="243"/>
      <c r="P290" s="244"/>
      <c r="Q290" s="245"/>
      <c r="R290" s="246"/>
      <c r="S290" s="244"/>
      <c r="T290" s="247"/>
      <c r="U290" s="247"/>
      <c r="V290" s="244"/>
      <c r="W290" s="244"/>
      <c r="X290" s="97"/>
    </row>
    <row r="291">
      <c r="A291" s="205"/>
      <c r="B291" s="235"/>
      <c r="C291" s="236"/>
      <c r="D291" s="237"/>
      <c r="E291" s="235"/>
      <c r="F291" s="235"/>
      <c r="G291" s="239"/>
      <c r="H291" s="240"/>
      <c r="J291" s="237"/>
      <c r="K291" s="241"/>
      <c r="L291" s="241"/>
      <c r="M291" s="237"/>
      <c r="N291" s="242"/>
      <c r="O291" s="243"/>
      <c r="P291" s="244"/>
      <c r="Q291" s="245"/>
      <c r="R291" s="246"/>
      <c r="S291" s="244"/>
      <c r="T291" s="247"/>
      <c r="U291" s="247"/>
      <c r="V291" s="244"/>
      <c r="W291" s="244"/>
      <c r="X291" s="97"/>
    </row>
    <row r="292">
      <c r="A292" s="205"/>
      <c r="B292" s="235"/>
      <c r="C292" s="236"/>
      <c r="D292" s="237"/>
      <c r="E292" s="235"/>
      <c r="F292" s="235"/>
      <c r="G292" s="239"/>
      <c r="H292" s="240"/>
      <c r="J292" s="237"/>
      <c r="K292" s="241"/>
      <c r="L292" s="241"/>
      <c r="M292" s="237"/>
      <c r="N292" s="242"/>
      <c r="O292" s="243"/>
      <c r="P292" s="244"/>
      <c r="Q292" s="245"/>
      <c r="R292" s="246"/>
      <c r="S292" s="244"/>
      <c r="T292" s="247"/>
      <c r="U292" s="247"/>
      <c r="V292" s="244"/>
      <c r="W292" s="244"/>
      <c r="X292" s="97"/>
    </row>
    <row r="293">
      <c r="A293" s="205"/>
      <c r="B293" s="235"/>
      <c r="C293" s="236"/>
      <c r="D293" s="237"/>
      <c r="E293" s="235"/>
      <c r="F293" s="235"/>
      <c r="G293" s="239"/>
      <c r="H293" s="240"/>
      <c r="J293" s="237"/>
      <c r="K293" s="241"/>
      <c r="L293" s="241"/>
      <c r="M293" s="237"/>
      <c r="N293" s="242"/>
      <c r="O293" s="243"/>
      <c r="P293" s="244"/>
      <c r="Q293" s="245"/>
      <c r="R293" s="246"/>
      <c r="S293" s="244"/>
      <c r="T293" s="247"/>
      <c r="U293" s="247"/>
      <c r="V293" s="244"/>
      <c r="W293" s="244"/>
      <c r="X293" s="97"/>
    </row>
    <row r="294">
      <c r="A294" s="205"/>
      <c r="B294" s="235"/>
      <c r="C294" s="236"/>
      <c r="D294" s="237"/>
      <c r="E294" s="235"/>
      <c r="F294" s="235"/>
      <c r="G294" s="239"/>
      <c r="H294" s="240"/>
      <c r="J294" s="237"/>
      <c r="K294" s="241"/>
      <c r="L294" s="241"/>
      <c r="M294" s="237"/>
      <c r="N294" s="242"/>
      <c r="O294" s="243"/>
      <c r="P294" s="244"/>
      <c r="Q294" s="245"/>
      <c r="R294" s="246"/>
      <c r="S294" s="244"/>
      <c r="T294" s="247"/>
      <c r="U294" s="247"/>
      <c r="V294" s="244"/>
      <c r="W294" s="244"/>
      <c r="X294" s="97"/>
    </row>
    <row r="295">
      <c r="A295" s="205"/>
      <c r="B295" s="235"/>
      <c r="C295" s="236"/>
      <c r="D295" s="237"/>
      <c r="E295" s="235"/>
      <c r="F295" s="235"/>
      <c r="G295" s="239"/>
      <c r="H295" s="240"/>
      <c r="J295" s="237"/>
      <c r="K295" s="241"/>
      <c r="L295" s="241"/>
      <c r="M295" s="237"/>
      <c r="N295" s="242"/>
      <c r="O295" s="243"/>
      <c r="P295" s="244"/>
      <c r="Q295" s="245"/>
      <c r="R295" s="246"/>
      <c r="S295" s="244"/>
      <c r="T295" s="247"/>
      <c r="U295" s="247"/>
      <c r="V295" s="244"/>
      <c r="W295" s="244"/>
      <c r="X295" s="97"/>
    </row>
    <row r="296">
      <c r="A296" s="205"/>
      <c r="B296" s="235"/>
      <c r="C296" s="236"/>
      <c r="D296" s="237"/>
      <c r="E296" s="235"/>
      <c r="F296" s="235"/>
      <c r="G296" s="239"/>
      <c r="H296" s="240"/>
      <c r="J296" s="237"/>
      <c r="K296" s="241"/>
      <c r="L296" s="241"/>
      <c r="M296" s="237"/>
      <c r="N296" s="242"/>
      <c r="O296" s="243"/>
      <c r="P296" s="244"/>
      <c r="Q296" s="245"/>
      <c r="R296" s="246"/>
      <c r="S296" s="244"/>
      <c r="T296" s="247"/>
      <c r="U296" s="247"/>
      <c r="V296" s="244"/>
      <c r="W296" s="244"/>
      <c r="X296" s="97"/>
    </row>
    <row r="297">
      <c r="A297" s="205"/>
      <c r="B297" s="235"/>
      <c r="C297" s="236"/>
      <c r="D297" s="237"/>
      <c r="E297" s="235"/>
      <c r="F297" s="235"/>
      <c r="G297" s="239"/>
      <c r="H297" s="240"/>
      <c r="J297" s="237"/>
      <c r="K297" s="241"/>
      <c r="L297" s="241"/>
      <c r="M297" s="237"/>
      <c r="N297" s="242"/>
      <c r="O297" s="243"/>
      <c r="P297" s="244"/>
      <c r="Q297" s="245"/>
      <c r="R297" s="246"/>
      <c r="S297" s="244"/>
      <c r="T297" s="247"/>
      <c r="U297" s="247"/>
      <c r="V297" s="244"/>
      <c r="W297" s="244"/>
      <c r="X297" s="97"/>
    </row>
    <row r="298">
      <c r="A298" s="205"/>
      <c r="B298" s="235"/>
      <c r="C298" s="236"/>
      <c r="D298" s="237"/>
      <c r="E298" s="235"/>
      <c r="F298" s="235"/>
      <c r="G298" s="239"/>
      <c r="H298" s="240"/>
      <c r="J298" s="237"/>
      <c r="K298" s="241"/>
      <c r="L298" s="241"/>
      <c r="M298" s="237"/>
      <c r="N298" s="242"/>
      <c r="O298" s="243"/>
      <c r="P298" s="244"/>
      <c r="Q298" s="245"/>
      <c r="R298" s="246"/>
      <c r="S298" s="244"/>
      <c r="T298" s="247"/>
      <c r="U298" s="247"/>
      <c r="V298" s="244"/>
      <c r="W298" s="244"/>
      <c r="X298" s="97"/>
    </row>
    <row r="299">
      <c r="A299" s="205"/>
      <c r="B299" s="235"/>
      <c r="C299" s="236"/>
      <c r="D299" s="237"/>
      <c r="E299" s="235"/>
      <c r="F299" s="235"/>
      <c r="G299" s="239"/>
      <c r="H299" s="240"/>
      <c r="J299" s="237"/>
      <c r="K299" s="241"/>
      <c r="L299" s="241"/>
      <c r="M299" s="237"/>
      <c r="N299" s="242"/>
      <c r="O299" s="243"/>
      <c r="P299" s="244"/>
      <c r="Q299" s="245"/>
      <c r="R299" s="246"/>
      <c r="S299" s="244"/>
      <c r="T299" s="247"/>
      <c r="U299" s="247"/>
      <c r="V299" s="244"/>
      <c r="W299" s="244"/>
      <c r="X299" s="97"/>
    </row>
    <row r="300">
      <c r="A300" s="205"/>
      <c r="B300" s="235"/>
      <c r="C300" s="236"/>
      <c r="D300" s="237"/>
      <c r="E300" s="235"/>
      <c r="F300" s="235"/>
      <c r="G300" s="239"/>
      <c r="H300" s="240"/>
      <c r="J300" s="237"/>
      <c r="K300" s="241"/>
      <c r="L300" s="241"/>
      <c r="M300" s="237"/>
      <c r="N300" s="242"/>
      <c r="O300" s="243"/>
      <c r="P300" s="244"/>
      <c r="Q300" s="245"/>
      <c r="R300" s="246"/>
      <c r="S300" s="244"/>
      <c r="T300" s="247"/>
      <c r="U300" s="247"/>
      <c r="V300" s="244"/>
      <c r="W300" s="244"/>
      <c r="X300" s="97"/>
    </row>
    <row r="301">
      <c r="A301" s="205"/>
      <c r="B301" s="235"/>
      <c r="C301" s="236"/>
      <c r="D301" s="237"/>
      <c r="E301" s="235"/>
      <c r="F301" s="235"/>
      <c r="G301" s="239"/>
      <c r="H301" s="240"/>
      <c r="J301" s="237"/>
      <c r="K301" s="241"/>
      <c r="L301" s="241"/>
      <c r="M301" s="237"/>
      <c r="N301" s="242"/>
      <c r="O301" s="243"/>
      <c r="P301" s="244"/>
      <c r="Q301" s="245"/>
      <c r="R301" s="246"/>
      <c r="S301" s="244"/>
      <c r="T301" s="247"/>
      <c r="U301" s="247"/>
      <c r="V301" s="244"/>
      <c r="W301" s="244"/>
      <c r="X301" s="97"/>
    </row>
    <row r="302">
      <c r="A302" s="205"/>
      <c r="B302" s="235"/>
      <c r="C302" s="236"/>
      <c r="D302" s="237"/>
      <c r="E302" s="235"/>
      <c r="F302" s="235"/>
      <c r="G302" s="239"/>
      <c r="H302" s="240"/>
      <c r="J302" s="237"/>
      <c r="K302" s="241"/>
      <c r="L302" s="241"/>
      <c r="M302" s="237"/>
      <c r="N302" s="242"/>
      <c r="O302" s="243"/>
      <c r="P302" s="244"/>
      <c r="Q302" s="245"/>
      <c r="R302" s="246"/>
      <c r="S302" s="244"/>
      <c r="T302" s="247"/>
      <c r="U302" s="247"/>
      <c r="V302" s="244"/>
      <c r="W302" s="244"/>
      <c r="X302" s="97"/>
    </row>
    <row r="303">
      <c r="A303" s="205"/>
      <c r="B303" s="235"/>
      <c r="C303" s="236"/>
      <c r="D303" s="237"/>
      <c r="E303" s="235"/>
      <c r="F303" s="235"/>
      <c r="G303" s="239"/>
      <c r="H303" s="240"/>
      <c r="J303" s="237"/>
      <c r="K303" s="241"/>
      <c r="L303" s="241"/>
      <c r="M303" s="237"/>
      <c r="N303" s="242"/>
      <c r="O303" s="243"/>
      <c r="P303" s="244"/>
      <c r="Q303" s="245"/>
      <c r="R303" s="246"/>
      <c r="S303" s="244"/>
      <c r="T303" s="247"/>
      <c r="U303" s="247"/>
      <c r="V303" s="244"/>
      <c r="W303" s="244"/>
      <c r="X303" s="97"/>
    </row>
    <row r="304">
      <c r="A304" s="205"/>
      <c r="B304" s="235"/>
      <c r="C304" s="236"/>
      <c r="D304" s="237"/>
      <c r="E304" s="235"/>
      <c r="F304" s="235"/>
      <c r="G304" s="239"/>
      <c r="H304" s="240"/>
      <c r="J304" s="237"/>
      <c r="K304" s="241"/>
      <c r="L304" s="241"/>
      <c r="M304" s="237"/>
      <c r="N304" s="242"/>
      <c r="O304" s="243"/>
      <c r="P304" s="244"/>
      <c r="Q304" s="245"/>
      <c r="R304" s="246"/>
      <c r="S304" s="244"/>
      <c r="T304" s="247"/>
      <c r="U304" s="247"/>
      <c r="V304" s="244"/>
      <c r="W304" s="244"/>
      <c r="X304" s="97"/>
    </row>
    <row r="305">
      <c r="A305" s="205"/>
      <c r="B305" s="235"/>
      <c r="C305" s="236"/>
      <c r="D305" s="237"/>
      <c r="E305" s="235"/>
      <c r="F305" s="235"/>
      <c r="G305" s="239"/>
      <c r="H305" s="240"/>
      <c r="J305" s="237"/>
      <c r="K305" s="241"/>
      <c r="L305" s="241"/>
      <c r="M305" s="237"/>
      <c r="N305" s="242"/>
      <c r="O305" s="243"/>
      <c r="P305" s="244"/>
      <c r="Q305" s="245"/>
      <c r="R305" s="246"/>
      <c r="S305" s="244"/>
      <c r="T305" s="247"/>
      <c r="U305" s="247"/>
      <c r="V305" s="244"/>
      <c r="W305" s="244"/>
      <c r="X305" s="97"/>
    </row>
    <row r="306">
      <c r="A306" s="205"/>
      <c r="B306" s="235"/>
      <c r="C306" s="236"/>
      <c r="D306" s="237"/>
      <c r="E306" s="235"/>
      <c r="F306" s="235"/>
      <c r="G306" s="239"/>
      <c r="H306" s="240"/>
      <c r="J306" s="237"/>
      <c r="K306" s="241"/>
      <c r="L306" s="241"/>
      <c r="M306" s="237"/>
      <c r="N306" s="242"/>
      <c r="O306" s="243"/>
      <c r="P306" s="244"/>
      <c r="Q306" s="245"/>
      <c r="R306" s="246"/>
      <c r="S306" s="244"/>
      <c r="T306" s="247"/>
      <c r="U306" s="247"/>
      <c r="V306" s="244"/>
      <c r="W306" s="244"/>
      <c r="X306" s="97"/>
    </row>
    <row r="307">
      <c r="A307" s="205"/>
      <c r="B307" s="235"/>
      <c r="C307" s="236"/>
      <c r="D307" s="237"/>
      <c r="E307" s="235"/>
      <c r="F307" s="235"/>
      <c r="G307" s="239"/>
      <c r="H307" s="240"/>
      <c r="J307" s="237"/>
      <c r="K307" s="241"/>
      <c r="L307" s="241"/>
      <c r="M307" s="237"/>
      <c r="N307" s="242"/>
      <c r="O307" s="243"/>
      <c r="P307" s="244"/>
      <c r="Q307" s="245"/>
      <c r="R307" s="246"/>
      <c r="S307" s="244"/>
      <c r="T307" s="247"/>
      <c r="U307" s="247"/>
      <c r="V307" s="244"/>
      <c r="W307" s="244"/>
      <c r="X307" s="97"/>
    </row>
    <row r="308">
      <c r="A308" s="205"/>
      <c r="B308" s="235"/>
      <c r="C308" s="236"/>
      <c r="D308" s="237"/>
      <c r="E308" s="235"/>
      <c r="F308" s="235"/>
      <c r="G308" s="239"/>
      <c r="H308" s="240"/>
      <c r="J308" s="237"/>
      <c r="K308" s="241"/>
      <c r="L308" s="241"/>
      <c r="M308" s="237"/>
      <c r="N308" s="242"/>
      <c r="O308" s="243"/>
      <c r="P308" s="244"/>
      <c r="Q308" s="245"/>
      <c r="R308" s="246"/>
      <c r="S308" s="244"/>
      <c r="T308" s="247"/>
      <c r="U308" s="247"/>
      <c r="V308" s="244"/>
      <c r="W308" s="244"/>
      <c r="X308" s="97"/>
    </row>
    <row r="309">
      <c r="A309" s="205"/>
      <c r="B309" s="235"/>
      <c r="C309" s="236"/>
      <c r="D309" s="237"/>
      <c r="E309" s="235"/>
      <c r="F309" s="235"/>
      <c r="G309" s="239"/>
      <c r="H309" s="240"/>
      <c r="J309" s="237"/>
      <c r="K309" s="241"/>
      <c r="L309" s="241"/>
      <c r="M309" s="237"/>
      <c r="N309" s="242"/>
      <c r="O309" s="243"/>
      <c r="P309" s="244"/>
      <c r="Q309" s="245"/>
      <c r="R309" s="246"/>
      <c r="S309" s="244"/>
      <c r="T309" s="247"/>
      <c r="U309" s="247"/>
      <c r="V309" s="244"/>
      <c r="W309" s="244"/>
      <c r="X309" s="97"/>
    </row>
    <row r="310">
      <c r="A310" s="205"/>
      <c r="B310" s="235"/>
      <c r="C310" s="236"/>
      <c r="D310" s="237"/>
      <c r="E310" s="235"/>
      <c r="F310" s="235"/>
      <c r="G310" s="239"/>
      <c r="H310" s="240"/>
      <c r="J310" s="237"/>
      <c r="K310" s="241"/>
      <c r="L310" s="241"/>
      <c r="M310" s="237"/>
      <c r="N310" s="242"/>
      <c r="O310" s="243"/>
      <c r="P310" s="244"/>
      <c r="Q310" s="245"/>
      <c r="R310" s="246"/>
      <c r="S310" s="244"/>
      <c r="T310" s="247"/>
      <c r="U310" s="247"/>
      <c r="V310" s="244"/>
      <c r="W310" s="244"/>
      <c r="X310" s="97"/>
    </row>
    <row r="311">
      <c r="A311" s="205"/>
      <c r="B311" s="235"/>
      <c r="C311" s="236"/>
      <c r="D311" s="237"/>
      <c r="E311" s="235"/>
      <c r="F311" s="235"/>
      <c r="G311" s="239"/>
      <c r="H311" s="240"/>
      <c r="J311" s="237"/>
      <c r="K311" s="241"/>
      <c r="L311" s="241"/>
      <c r="M311" s="237"/>
      <c r="N311" s="242"/>
      <c r="O311" s="243"/>
      <c r="P311" s="244"/>
      <c r="Q311" s="245"/>
      <c r="R311" s="246"/>
      <c r="S311" s="244"/>
      <c r="T311" s="247"/>
      <c r="U311" s="247"/>
      <c r="V311" s="244"/>
      <c r="W311" s="244"/>
      <c r="X311" s="97"/>
    </row>
    <row r="312">
      <c r="A312" s="205"/>
      <c r="B312" s="235"/>
      <c r="C312" s="236"/>
      <c r="D312" s="237"/>
      <c r="E312" s="235"/>
      <c r="F312" s="235"/>
      <c r="G312" s="239"/>
      <c r="H312" s="240"/>
      <c r="J312" s="237"/>
      <c r="K312" s="241"/>
      <c r="L312" s="241"/>
      <c r="M312" s="237"/>
      <c r="N312" s="242"/>
      <c r="O312" s="243"/>
      <c r="P312" s="244"/>
      <c r="Q312" s="245"/>
      <c r="R312" s="246"/>
      <c r="S312" s="244"/>
      <c r="T312" s="247"/>
      <c r="U312" s="247"/>
      <c r="V312" s="244"/>
      <c r="W312" s="244"/>
      <c r="X312" s="97"/>
    </row>
    <row r="313">
      <c r="A313" s="205"/>
      <c r="B313" s="235"/>
      <c r="C313" s="236"/>
      <c r="D313" s="237"/>
      <c r="E313" s="235"/>
      <c r="F313" s="235"/>
      <c r="G313" s="239"/>
      <c r="H313" s="240"/>
      <c r="J313" s="237"/>
      <c r="K313" s="241"/>
      <c r="L313" s="241"/>
      <c r="M313" s="237"/>
      <c r="N313" s="242"/>
      <c r="O313" s="243"/>
      <c r="P313" s="244"/>
      <c r="Q313" s="245"/>
      <c r="R313" s="246"/>
      <c r="S313" s="244"/>
      <c r="T313" s="247"/>
      <c r="U313" s="247"/>
      <c r="V313" s="244"/>
      <c r="W313" s="244"/>
      <c r="X313" s="97"/>
    </row>
    <row r="314">
      <c r="A314" s="205"/>
      <c r="B314" s="235"/>
      <c r="C314" s="236"/>
      <c r="D314" s="237"/>
      <c r="E314" s="235"/>
      <c r="F314" s="235"/>
      <c r="G314" s="239"/>
      <c r="H314" s="240"/>
      <c r="J314" s="237"/>
      <c r="K314" s="241"/>
      <c r="L314" s="241"/>
      <c r="M314" s="237"/>
      <c r="N314" s="242"/>
      <c r="O314" s="243"/>
      <c r="P314" s="244"/>
      <c r="Q314" s="245"/>
      <c r="R314" s="246"/>
      <c r="S314" s="244"/>
      <c r="T314" s="247"/>
      <c r="U314" s="247"/>
      <c r="V314" s="244"/>
      <c r="W314" s="244"/>
      <c r="X314" s="97"/>
    </row>
    <row r="315">
      <c r="A315" s="205"/>
      <c r="B315" s="235"/>
      <c r="C315" s="236"/>
      <c r="D315" s="237"/>
      <c r="E315" s="235"/>
      <c r="F315" s="235"/>
      <c r="G315" s="239"/>
      <c r="H315" s="240"/>
      <c r="J315" s="237"/>
      <c r="K315" s="241"/>
      <c r="L315" s="241"/>
      <c r="M315" s="237"/>
      <c r="N315" s="242"/>
      <c r="O315" s="243"/>
      <c r="P315" s="244"/>
      <c r="Q315" s="245"/>
      <c r="R315" s="246"/>
      <c r="S315" s="244"/>
      <c r="T315" s="247"/>
      <c r="U315" s="247"/>
      <c r="V315" s="244"/>
      <c r="W315" s="244"/>
      <c r="X315" s="97"/>
    </row>
    <row r="316">
      <c r="A316" s="205"/>
      <c r="B316" s="235"/>
      <c r="C316" s="236"/>
      <c r="D316" s="237"/>
      <c r="E316" s="235"/>
      <c r="F316" s="235"/>
      <c r="G316" s="239"/>
      <c r="H316" s="240"/>
      <c r="J316" s="237"/>
      <c r="K316" s="241"/>
      <c r="L316" s="241"/>
      <c r="M316" s="237"/>
      <c r="N316" s="242"/>
      <c r="O316" s="243"/>
      <c r="P316" s="244"/>
      <c r="Q316" s="245"/>
      <c r="R316" s="246"/>
      <c r="S316" s="244"/>
      <c r="T316" s="247"/>
      <c r="U316" s="247"/>
      <c r="V316" s="244"/>
      <c r="W316" s="244"/>
      <c r="X316" s="97"/>
    </row>
    <row r="317">
      <c r="A317" s="205"/>
      <c r="B317" s="235"/>
      <c r="C317" s="236"/>
      <c r="D317" s="237"/>
      <c r="E317" s="235"/>
      <c r="F317" s="235"/>
      <c r="G317" s="239"/>
      <c r="H317" s="240"/>
      <c r="J317" s="237"/>
      <c r="K317" s="241"/>
      <c r="L317" s="241"/>
      <c r="M317" s="237"/>
      <c r="N317" s="242"/>
      <c r="O317" s="243"/>
      <c r="P317" s="244"/>
      <c r="Q317" s="245"/>
      <c r="R317" s="246"/>
      <c r="S317" s="244"/>
      <c r="T317" s="247"/>
      <c r="U317" s="247"/>
      <c r="V317" s="244"/>
      <c r="W317" s="244"/>
      <c r="X317" s="97"/>
    </row>
    <row r="318">
      <c r="A318" s="205"/>
      <c r="B318" s="235"/>
      <c r="C318" s="236"/>
      <c r="D318" s="237"/>
      <c r="E318" s="235"/>
      <c r="F318" s="235"/>
      <c r="G318" s="239"/>
      <c r="H318" s="240"/>
      <c r="J318" s="237"/>
      <c r="K318" s="241"/>
      <c r="L318" s="241"/>
      <c r="M318" s="237"/>
      <c r="N318" s="242"/>
      <c r="O318" s="243"/>
      <c r="P318" s="244"/>
      <c r="Q318" s="245"/>
      <c r="R318" s="246"/>
      <c r="S318" s="244"/>
      <c r="T318" s="247"/>
      <c r="U318" s="247"/>
      <c r="V318" s="244"/>
      <c r="W318" s="244"/>
      <c r="X318" s="97"/>
    </row>
    <row r="319">
      <c r="A319" s="205"/>
      <c r="B319" s="235"/>
      <c r="C319" s="236"/>
      <c r="D319" s="237"/>
      <c r="E319" s="235"/>
      <c r="F319" s="235"/>
      <c r="G319" s="239"/>
      <c r="H319" s="240"/>
      <c r="J319" s="237"/>
      <c r="K319" s="241"/>
      <c r="L319" s="241"/>
      <c r="M319" s="237"/>
      <c r="N319" s="242"/>
      <c r="O319" s="243"/>
      <c r="P319" s="244"/>
      <c r="Q319" s="245"/>
      <c r="R319" s="246"/>
      <c r="S319" s="244"/>
      <c r="T319" s="247"/>
      <c r="U319" s="247"/>
      <c r="V319" s="244"/>
      <c r="W319" s="244"/>
      <c r="X319" s="97"/>
    </row>
    <row r="320">
      <c r="A320" s="205"/>
      <c r="B320" s="235"/>
      <c r="C320" s="236"/>
      <c r="D320" s="237"/>
      <c r="E320" s="235"/>
      <c r="F320" s="235"/>
      <c r="G320" s="239"/>
      <c r="H320" s="240"/>
      <c r="J320" s="237"/>
      <c r="K320" s="241"/>
      <c r="L320" s="241"/>
      <c r="M320" s="237"/>
      <c r="N320" s="242"/>
      <c r="O320" s="243"/>
      <c r="P320" s="244"/>
      <c r="Q320" s="245"/>
      <c r="R320" s="246"/>
      <c r="S320" s="244"/>
      <c r="T320" s="247"/>
      <c r="U320" s="247"/>
      <c r="V320" s="244"/>
      <c r="W320" s="244"/>
      <c r="X320" s="97"/>
    </row>
    <row r="321">
      <c r="A321" s="205"/>
      <c r="B321" s="235"/>
      <c r="C321" s="236"/>
      <c r="D321" s="237"/>
      <c r="E321" s="235"/>
      <c r="F321" s="235"/>
      <c r="G321" s="239"/>
      <c r="H321" s="240"/>
      <c r="J321" s="237"/>
      <c r="K321" s="241"/>
      <c r="L321" s="241"/>
      <c r="M321" s="237"/>
      <c r="N321" s="242"/>
      <c r="O321" s="243"/>
      <c r="P321" s="244"/>
      <c r="Q321" s="245"/>
      <c r="R321" s="246"/>
      <c r="S321" s="244"/>
      <c r="T321" s="247"/>
      <c r="U321" s="247"/>
      <c r="V321" s="244"/>
      <c r="W321" s="244"/>
      <c r="X321" s="97"/>
    </row>
    <row r="322">
      <c r="A322" s="205"/>
      <c r="B322" s="235"/>
      <c r="C322" s="236"/>
      <c r="D322" s="237"/>
      <c r="E322" s="235"/>
      <c r="F322" s="235"/>
      <c r="G322" s="239"/>
      <c r="H322" s="240"/>
      <c r="J322" s="237"/>
      <c r="K322" s="241"/>
      <c r="L322" s="241"/>
      <c r="M322" s="237"/>
      <c r="N322" s="242"/>
      <c r="O322" s="243"/>
      <c r="P322" s="244"/>
      <c r="Q322" s="245"/>
      <c r="R322" s="246"/>
      <c r="S322" s="244"/>
      <c r="T322" s="247"/>
      <c r="U322" s="247"/>
      <c r="V322" s="244"/>
      <c r="W322" s="244"/>
      <c r="X322" s="97"/>
    </row>
    <row r="323">
      <c r="A323" s="205"/>
      <c r="B323" s="235"/>
      <c r="C323" s="236"/>
      <c r="D323" s="237"/>
      <c r="E323" s="235"/>
      <c r="F323" s="235"/>
      <c r="G323" s="239"/>
      <c r="H323" s="240"/>
      <c r="J323" s="237"/>
      <c r="K323" s="241"/>
      <c r="L323" s="241"/>
      <c r="M323" s="237"/>
      <c r="N323" s="242"/>
      <c r="O323" s="243"/>
      <c r="P323" s="244"/>
      <c r="Q323" s="245"/>
      <c r="R323" s="246"/>
      <c r="S323" s="244"/>
      <c r="T323" s="247"/>
      <c r="U323" s="247"/>
      <c r="V323" s="244"/>
      <c r="W323" s="244"/>
      <c r="X323" s="97"/>
    </row>
    <row r="324">
      <c r="A324" s="205"/>
      <c r="B324" s="235"/>
      <c r="C324" s="236"/>
      <c r="D324" s="237"/>
      <c r="E324" s="235"/>
      <c r="F324" s="235"/>
      <c r="G324" s="239"/>
      <c r="H324" s="240"/>
      <c r="J324" s="237"/>
      <c r="K324" s="241"/>
      <c r="L324" s="241"/>
      <c r="M324" s="237"/>
      <c r="N324" s="242"/>
      <c r="O324" s="243"/>
      <c r="P324" s="244"/>
      <c r="Q324" s="245"/>
      <c r="R324" s="246"/>
      <c r="S324" s="244"/>
      <c r="T324" s="247"/>
      <c r="U324" s="247"/>
      <c r="V324" s="244"/>
      <c r="W324" s="244"/>
      <c r="X324" s="97"/>
    </row>
    <row r="325">
      <c r="A325" s="205"/>
      <c r="B325" s="235"/>
      <c r="C325" s="236"/>
      <c r="D325" s="237"/>
      <c r="E325" s="235"/>
      <c r="F325" s="235"/>
      <c r="G325" s="239"/>
      <c r="H325" s="240"/>
      <c r="J325" s="237"/>
      <c r="K325" s="241"/>
      <c r="L325" s="241"/>
      <c r="M325" s="237"/>
      <c r="N325" s="242"/>
      <c r="O325" s="243"/>
      <c r="P325" s="244"/>
      <c r="Q325" s="245"/>
      <c r="R325" s="246"/>
      <c r="S325" s="244"/>
      <c r="T325" s="247"/>
      <c r="U325" s="247"/>
      <c r="V325" s="244"/>
      <c r="W325" s="244"/>
      <c r="X325" s="97"/>
    </row>
    <row r="326">
      <c r="A326" s="205"/>
      <c r="B326" s="235"/>
      <c r="C326" s="236"/>
      <c r="D326" s="237"/>
      <c r="E326" s="235"/>
      <c r="F326" s="235"/>
      <c r="G326" s="239"/>
      <c r="H326" s="240"/>
      <c r="J326" s="237"/>
      <c r="K326" s="241"/>
      <c r="L326" s="241"/>
      <c r="M326" s="237"/>
      <c r="N326" s="242"/>
      <c r="O326" s="243"/>
      <c r="P326" s="244"/>
      <c r="Q326" s="245"/>
      <c r="R326" s="246"/>
      <c r="S326" s="244"/>
      <c r="T326" s="247"/>
      <c r="U326" s="247"/>
      <c r="V326" s="244"/>
      <c r="W326" s="244"/>
      <c r="X326" s="97"/>
    </row>
    <row r="327">
      <c r="A327" s="205"/>
      <c r="B327" s="235"/>
      <c r="C327" s="236"/>
      <c r="D327" s="237"/>
      <c r="E327" s="235"/>
      <c r="F327" s="235"/>
      <c r="G327" s="239"/>
      <c r="H327" s="240"/>
      <c r="J327" s="237"/>
      <c r="K327" s="241"/>
      <c r="L327" s="241"/>
      <c r="M327" s="237"/>
      <c r="N327" s="242"/>
      <c r="O327" s="243"/>
      <c r="P327" s="244"/>
      <c r="Q327" s="245"/>
      <c r="R327" s="246"/>
      <c r="S327" s="244"/>
      <c r="T327" s="247"/>
      <c r="U327" s="247"/>
      <c r="V327" s="244"/>
      <c r="W327" s="244"/>
      <c r="X327" s="97"/>
    </row>
    <row r="328">
      <c r="A328" s="205"/>
      <c r="B328" s="235"/>
      <c r="C328" s="236"/>
      <c r="D328" s="237"/>
      <c r="E328" s="235"/>
      <c r="F328" s="235"/>
      <c r="G328" s="239"/>
      <c r="H328" s="240"/>
      <c r="J328" s="237"/>
      <c r="K328" s="241"/>
      <c r="L328" s="241"/>
      <c r="M328" s="237"/>
      <c r="N328" s="242"/>
      <c r="O328" s="243"/>
      <c r="P328" s="244"/>
      <c r="Q328" s="245"/>
      <c r="R328" s="246"/>
      <c r="S328" s="244"/>
      <c r="T328" s="247"/>
      <c r="U328" s="247"/>
      <c r="V328" s="244"/>
      <c r="W328" s="244"/>
      <c r="X328" s="97"/>
    </row>
    <row r="329">
      <c r="A329" s="205"/>
      <c r="B329" s="235"/>
      <c r="C329" s="236"/>
      <c r="D329" s="237"/>
      <c r="E329" s="235"/>
      <c r="F329" s="235"/>
      <c r="G329" s="239"/>
      <c r="H329" s="240"/>
      <c r="J329" s="237"/>
      <c r="K329" s="241"/>
      <c r="L329" s="241"/>
      <c r="M329" s="237"/>
      <c r="N329" s="242"/>
      <c r="O329" s="243"/>
      <c r="P329" s="244"/>
      <c r="Q329" s="245"/>
      <c r="R329" s="246"/>
      <c r="S329" s="244"/>
      <c r="T329" s="247"/>
      <c r="U329" s="247"/>
      <c r="V329" s="244"/>
      <c r="W329" s="244"/>
      <c r="X329" s="97"/>
    </row>
    <row r="330">
      <c r="A330" s="205"/>
      <c r="B330" s="235"/>
      <c r="C330" s="236"/>
      <c r="D330" s="237"/>
      <c r="E330" s="235"/>
      <c r="F330" s="235"/>
      <c r="G330" s="239"/>
      <c r="H330" s="240"/>
      <c r="J330" s="237"/>
      <c r="K330" s="241"/>
      <c r="L330" s="241"/>
      <c r="M330" s="237"/>
      <c r="N330" s="242"/>
      <c r="O330" s="243"/>
      <c r="P330" s="244"/>
      <c r="Q330" s="245"/>
      <c r="R330" s="246"/>
      <c r="S330" s="244"/>
      <c r="T330" s="247"/>
      <c r="U330" s="247"/>
      <c r="V330" s="244"/>
      <c r="W330" s="244"/>
      <c r="X330" s="97"/>
    </row>
    <row r="331">
      <c r="A331" s="205"/>
      <c r="B331" s="235"/>
      <c r="C331" s="236"/>
      <c r="D331" s="237"/>
      <c r="E331" s="235"/>
      <c r="F331" s="235"/>
      <c r="G331" s="239"/>
      <c r="H331" s="240"/>
      <c r="J331" s="237"/>
      <c r="K331" s="241"/>
      <c r="L331" s="241"/>
      <c r="M331" s="237"/>
      <c r="N331" s="242"/>
      <c r="O331" s="243"/>
      <c r="P331" s="244"/>
      <c r="Q331" s="245"/>
      <c r="R331" s="246"/>
      <c r="S331" s="244"/>
      <c r="T331" s="247"/>
      <c r="U331" s="247"/>
      <c r="V331" s="244"/>
      <c r="W331" s="244"/>
      <c r="X331" s="97"/>
    </row>
    <row r="332">
      <c r="A332" s="205"/>
      <c r="B332" s="235"/>
      <c r="C332" s="236"/>
      <c r="D332" s="237"/>
      <c r="E332" s="235"/>
      <c r="F332" s="235"/>
      <c r="G332" s="239"/>
      <c r="H332" s="240"/>
      <c r="J332" s="237"/>
      <c r="K332" s="241"/>
      <c r="L332" s="241"/>
      <c r="M332" s="237"/>
      <c r="N332" s="242"/>
      <c r="O332" s="243"/>
      <c r="P332" s="244"/>
      <c r="Q332" s="245"/>
      <c r="R332" s="246"/>
      <c r="S332" s="244"/>
      <c r="T332" s="247"/>
      <c r="U332" s="247"/>
      <c r="V332" s="244"/>
      <c r="W332" s="244"/>
      <c r="X332" s="97"/>
    </row>
    <row r="333">
      <c r="A333" s="205"/>
      <c r="B333" s="235"/>
      <c r="C333" s="236"/>
      <c r="D333" s="237"/>
      <c r="E333" s="235"/>
      <c r="F333" s="235"/>
      <c r="G333" s="239"/>
      <c r="H333" s="240"/>
      <c r="J333" s="237"/>
      <c r="K333" s="241"/>
      <c r="L333" s="241"/>
      <c r="M333" s="237"/>
      <c r="N333" s="242"/>
      <c r="O333" s="243"/>
      <c r="P333" s="244"/>
      <c r="Q333" s="245"/>
      <c r="R333" s="246"/>
      <c r="S333" s="244"/>
      <c r="T333" s="247"/>
      <c r="U333" s="247"/>
      <c r="V333" s="244"/>
      <c r="W333" s="244"/>
      <c r="X333" s="97"/>
    </row>
    <row r="334">
      <c r="A334" s="205"/>
      <c r="B334" s="235"/>
      <c r="C334" s="236"/>
      <c r="D334" s="237"/>
      <c r="E334" s="235"/>
      <c r="F334" s="235"/>
      <c r="G334" s="239"/>
      <c r="H334" s="240"/>
      <c r="J334" s="237"/>
      <c r="K334" s="241"/>
      <c r="L334" s="241"/>
      <c r="M334" s="237"/>
      <c r="N334" s="242"/>
      <c r="O334" s="243"/>
      <c r="P334" s="244"/>
      <c r="Q334" s="245"/>
      <c r="R334" s="246"/>
      <c r="S334" s="244"/>
      <c r="T334" s="247"/>
      <c r="U334" s="247"/>
      <c r="V334" s="244"/>
      <c r="W334" s="244"/>
      <c r="X334" s="97"/>
    </row>
    <row r="335">
      <c r="A335" s="205"/>
      <c r="B335" s="235"/>
      <c r="C335" s="236"/>
      <c r="D335" s="237"/>
      <c r="E335" s="235"/>
      <c r="F335" s="235"/>
      <c r="G335" s="239"/>
      <c r="H335" s="240"/>
      <c r="J335" s="237"/>
      <c r="K335" s="241"/>
      <c r="L335" s="241"/>
      <c r="M335" s="237"/>
      <c r="N335" s="242"/>
      <c r="O335" s="243"/>
      <c r="P335" s="244"/>
      <c r="Q335" s="245"/>
      <c r="R335" s="246"/>
      <c r="S335" s="244"/>
      <c r="T335" s="247"/>
      <c r="U335" s="247"/>
      <c r="V335" s="244"/>
      <c r="W335" s="244"/>
      <c r="X335" s="97"/>
    </row>
    <row r="336">
      <c r="A336" s="205"/>
      <c r="B336" s="235"/>
      <c r="C336" s="236"/>
      <c r="D336" s="237"/>
      <c r="E336" s="235"/>
      <c r="F336" s="235"/>
      <c r="G336" s="239"/>
      <c r="H336" s="240"/>
      <c r="J336" s="237"/>
      <c r="K336" s="241"/>
      <c r="L336" s="241"/>
      <c r="M336" s="237"/>
      <c r="N336" s="242"/>
      <c r="O336" s="243"/>
      <c r="P336" s="244"/>
      <c r="Q336" s="245"/>
      <c r="R336" s="246"/>
      <c r="S336" s="244"/>
      <c r="T336" s="247"/>
      <c r="U336" s="247"/>
      <c r="V336" s="244"/>
      <c r="W336" s="244"/>
      <c r="X336" s="97"/>
    </row>
    <row r="337">
      <c r="A337" s="205"/>
      <c r="B337" s="235"/>
      <c r="C337" s="236"/>
      <c r="D337" s="237"/>
      <c r="E337" s="235"/>
      <c r="F337" s="235"/>
      <c r="G337" s="239"/>
      <c r="H337" s="240"/>
      <c r="J337" s="237"/>
      <c r="K337" s="241"/>
      <c r="L337" s="241"/>
      <c r="M337" s="237"/>
      <c r="N337" s="242"/>
      <c r="O337" s="243"/>
      <c r="P337" s="244"/>
      <c r="Q337" s="245"/>
      <c r="R337" s="246"/>
      <c r="S337" s="244"/>
      <c r="T337" s="247"/>
      <c r="U337" s="247"/>
      <c r="V337" s="244"/>
      <c r="W337" s="244"/>
      <c r="X337" s="97"/>
    </row>
    <row r="338">
      <c r="A338" s="205"/>
      <c r="B338" s="235"/>
      <c r="C338" s="236"/>
      <c r="D338" s="237"/>
      <c r="E338" s="235"/>
      <c r="F338" s="235"/>
      <c r="G338" s="239"/>
      <c r="H338" s="240"/>
      <c r="J338" s="237"/>
      <c r="K338" s="241"/>
      <c r="L338" s="241"/>
      <c r="M338" s="237"/>
      <c r="N338" s="242"/>
      <c r="O338" s="243"/>
      <c r="P338" s="244"/>
      <c r="Q338" s="245"/>
      <c r="R338" s="246"/>
      <c r="S338" s="244"/>
      <c r="T338" s="247"/>
      <c r="U338" s="247"/>
      <c r="V338" s="244"/>
      <c r="W338" s="244"/>
      <c r="X338" s="97"/>
    </row>
    <row r="339">
      <c r="A339" s="205"/>
      <c r="B339" s="235"/>
      <c r="C339" s="236"/>
      <c r="D339" s="237"/>
      <c r="E339" s="235"/>
      <c r="F339" s="235"/>
      <c r="G339" s="239"/>
      <c r="H339" s="240"/>
      <c r="J339" s="237"/>
      <c r="K339" s="241"/>
      <c r="L339" s="241"/>
      <c r="M339" s="237"/>
      <c r="N339" s="242"/>
      <c r="O339" s="243"/>
      <c r="P339" s="244"/>
      <c r="Q339" s="245"/>
      <c r="R339" s="246"/>
      <c r="S339" s="244"/>
      <c r="T339" s="247"/>
      <c r="U339" s="247"/>
      <c r="V339" s="244"/>
      <c r="W339" s="244"/>
      <c r="X339" s="97"/>
    </row>
    <row r="340">
      <c r="A340" s="205"/>
      <c r="B340" s="235"/>
      <c r="C340" s="236"/>
      <c r="D340" s="237"/>
      <c r="E340" s="235"/>
      <c r="F340" s="235"/>
      <c r="G340" s="239"/>
      <c r="H340" s="240"/>
      <c r="J340" s="237"/>
      <c r="K340" s="241"/>
      <c r="L340" s="241"/>
      <c r="M340" s="237"/>
      <c r="N340" s="242"/>
      <c r="O340" s="243"/>
      <c r="P340" s="244"/>
      <c r="Q340" s="245"/>
      <c r="R340" s="246"/>
      <c r="S340" s="244"/>
      <c r="T340" s="247"/>
      <c r="U340" s="247"/>
      <c r="V340" s="244"/>
      <c r="W340" s="244"/>
      <c r="X340" s="97"/>
    </row>
    <row r="341">
      <c r="A341" s="205"/>
      <c r="B341" s="235"/>
      <c r="C341" s="236"/>
      <c r="D341" s="237"/>
      <c r="E341" s="235"/>
      <c r="F341" s="235"/>
      <c r="G341" s="239"/>
      <c r="H341" s="240"/>
      <c r="J341" s="237"/>
      <c r="K341" s="241"/>
      <c r="L341" s="241"/>
      <c r="M341" s="237"/>
      <c r="N341" s="242"/>
      <c r="O341" s="243"/>
      <c r="P341" s="244"/>
      <c r="Q341" s="245"/>
      <c r="R341" s="246"/>
      <c r="S341" s="244"/>
      <c r="T341" s="247"/>
      <c r="U341" s="247"/>
      <c r="V341" s="244"/>
      <c r="W341" s="244"/>
      <c r="X341" s="97"/>
    </row>
    <row r="342">
      <c r="A342" s="205"/>
      <c r="B342" s="235"/>
      <c r="C342" s="236"/>
      <c r="D342" s="237"/>
      <c r="E342" s="235"/>
      <c r="F342" s="235"/>
      <c r="G342" s="239"/>
      <c r="H342" s="240"/>
      <c r="J342" s="237"/>
      <c r="K342" s="241"/>
      <c r="L342" s="241"/>
      <c r="M342" s="237"/>
      <c r="N342" s="242"/>
      <c r="O342" s="243"/>
      <c r="P342" s="244"/>
      <c r="Q342" s="245"/>
      <c r="R342" s="246"/>
      <c r="S342" s="244"/>
      <c r="T342" s="247"/>
      <c r="U342" s="247"/>
      <c r="V342" s="244"/>
      <c r="W342" s="244"/>
      <c r="X342" s="97"/>
    </row>
    <row r="343">
      <c r="A343" s="205"/>
      <c r="B343" s="235"/>
      <c r="C343" s="236"/>
      <c r="D343" s="237"/>
      <c r="E343" s="235"/>
      <c r="F343" s="235"/>
      <c r="G343" s="239"/>
      <c r="H343" s="240"/>
      <c r="J343" s="237"/>
      <c r="K343" s="241"/>
      <c r="L343" s="241"/>
      <c r="M343" s="237"/>
      <c r="N343" s="242"/>
      <c r="O343" s="243"/>
      <c r="P343" s="244"/>
      <c r="Q343" s="245"/>
      <c r="R343" s="246"/>
      <c r="S343" s="244"/>
      <c r="T343" s="247"/>
      <c r="U343" s="247"/>
      <c r="V343" s="244"/>
      <c r="W343" s="244"/>
      <c r="X343" s="97"/>
    </row>
    <row r="344">
      <c r="A344" s="205"/>
      <c r="B344" s="235"/>
      <c r="C344" s="236"/>
      <c r="D344" s="237"/>
      <c r="E344" s="235"/>
      <c r="F344" s="235"/>
      <c r="G344" s="239"/>
      <c r="H344" s="240"/>
      <c r="J344" s="237"/>
      <c r="K344" s="241"/>
      <c r="L344" s="241"/>
      <c r="M344" s="237"/>
      <c r="N344" s="242"/>
      <c r="O344" s="243"/>
      <c r="P344" s="244"/>
      <c r="Q344" s="245"/>
      <c r="R344" s="246"/>
      <c r="S344" s="244"/>
      <c r="T344" s="247"/>
      <c r="U344" s="247"/>
      <c r="V344" s="244"/>
      <c r="W344" s="244"/>
      <c r="X344" s="97"/>
    </row>
    <row r="345">
      <c r="A345" s="205"/>
      <c r="B345" s="235"/>
      <c r="C345" s="236"/>
      <c r="D345" s="237"/>
      <c r="E345" s="235"/>
      <c r="F345" s="235"/>
      <c r="G345" s="239"/>
      <c r="H345" s="240"/>
      <c r="J345" s="237"/>
      <c r="K345" s="241"/>
      <c r="L345" s="241"/>
      <c r="M345" s="237"/>
      <c r="N345" s="242"/>
      <c r="O345" s="243"/>
      <c r="P345" s="244"/>
      <c r="Q345" s="245"/>
      <c r="R345" s="246"/>
      <c r="S345" s="244"/>
      <c r="T345" s="247"/>
      <c r="U345" s="247"/>
      <c r="V345" s="244"/>
      <c r="W345" s="244"/>
      <c r="X345" s="97"/>
    </row>
    <row r="346">
      <c r="A346" s="205"/>
      <c r="B346" s="235"/>
      <c r="C346" s="236"/>
      <c r="D346" s="237"/>
      <c r="E346" s="235"/>
      <c r="F346" s="235"/>
      <c r="G346" s="239"/>
      <c r="H346" s="240"/>
      <c r="J346" s="237"/>
      <c r="K346" s="241"/>
      <c r="L346" s="241"/>
      <c r="M346" s="237"/>
      <c r="N346" s="242"/>
      <c r="O346" s="243"/>
      <c r="P346" s="244"/>
      <c r="Q346" s="245"/>
      <c r="R346" s="246"/>
      <c r="S346" s="244"/>
      <c r="T346" s="247"/>
      <c r="U346" s="247"/>
      <c r="V346" s="244"/>
      <c r="W346" s="244"/>
      <c r="X346" s="97"/>
    </row>
    <row r="347">
      <c r="A347" s="205"/>
      <c r="B347" s="235"/>
      <c r="C347" s="236"/>
      <c r="D347" s="237"/>
      <c r="E347" s="235"/>
      <c r="F347" s="235"/>
      <c r="G347" s="239"/>
      <c r="H347" s="240"/>
      <c r="J347" s="237"/>
      <c r="K347" s="241"/>
      <c r="L347" s="241"/>
      <c r="M347" s="237"/>
      <c r="N347" s="242"/>
      <c r="O347" s="243"/>
      <c r="P347" s="244"/>
      <c r="Q347" s="245"/>
      <c r="R347" s="246"/>
      <c r="S347" s="244"/>
      <c r="T347" s="247"/>
      <c r="U347" s="247"/>
      <c r="V347" s="244"/>
      <c r="W347" s="244"/>
      <c r="X347" s="97"/>
    </row>
    <row r="348">
      <c r="A348" s="205"/>
      <c r="B348" s="235"/>
      <c r="C348" s="236"/>
      <c r="D348" s="237"/>
      <c r="E348" s="235"/>
      <c r="F348" s="235"/>
      <c r="G348" s="239"/>
      <c r="H348" s="240"/>
      <c r="J348" s="237"/>
      <c r="K348" s="241"/>
      <c r="L348" s="241"/>
      <c r="M348" s="237"/>
      <c r="N348" s="242"/>
      <c r="O348" s="243"/>
      <c r="P348" s="244"/>
      <c r="Q348" s="245"/>
      <c r="R348" s="246"/>
      <c r="S348" s="244"/>
      <c r="T348" s="247"/>
      <c r="U348" s="247"/>
      <c r="V348" s="244"/>
      <c r="W348" s="244"/>
      <c r="X348" s="97"/>
    </row>
    <row r="349">
      <c r="A349" s="205"/>
      <c r="B349" s="235"/>
      <c r="C349" s="236"/>
      <c r="D349" s="237"/>
      <c r="E349" s="235"/>
      <c r="F349" s="235"/>
      <c r="G349" s="239"/>
      <c r="H349" s="240"/>
      <c r="J349" s="237"/>
      <c r="K349" s="241"/>
      <c r="L349" s="241"/>
      <c r="M349" s="237"/>
      <c r="N349" s="242"/>
      <c r="O349" s="243"/>
      <c r="P349" s="244"/>
      <c r="Q349" s="245"/>
      <c r="R349" s="246"/>
      <c r="S349" s="244"/>
      <c r="T349" s="247"/>
      <c r="U349" s="247"/>
      <c r="V349" s="244"/>
      <c r="W349" s="244"/>
      <c r="X349" s="97"/>
    </row>
    <row r="350">
      <c r="A350" s="205"/>
      <c r="B350" s="235"/>
      <c r="C350" s="236"/>
      <c r="D350" s="237"/>
      <c r="E350" s="235"/>
      <c r="F350" s="235"/>
      <c r="G350" s="239"/>
      <c r="H350" s="240"/>
      <c r="J350" s="237"/>
      <c r="K350" s="241"/>
      <c r="L350" s="241"/>
      <c r="M350" s="237"/>
      <c r="N350" s="242"/>
      <c r="O350" s="243"/>
      <c r="P350" s="244"/>
      <c r="Q350" s="245"/>
      <c r="R350" s="246"/>
      <c r="S350" s="244"/>
      <c r="T350" s="247"/>
      <c r="U350" s="247"/>
      <c r="V350" s="244"/>
      <c r="W350" s="244"/>
      <c r="X350" s="97"/>
    </row>
    <row r="351">
      <c r="A351" s="205"/>
      <c r="B351" s="235"/>
      <c r="C351" s="236"/>
      <c r="D351" s="237"/>
      <c r="E351" s="235"/>
      <c r="F351" s="235"/>
      <c r="G351" s="239"/>
      <c r="H351" s="240"/>
      <c r="J351" s="237"/>
      <c r="K351" s="241"/>
      <c r="L351" s="241"/>
      <c r="M351" s="237"/>
      <c r="N351" s="242"/>
      <c r="O351" s="243"/>
      <c r="P351" s="244"/>
      <c r="Q351" s="245"/>
      <c r="R351" s="246"/>
      <c r="S351" s="244"/>
      <c r="T351" s="247"/>
      <c r="U351" s="247"/>
      <c r="V351" s="244"/>
      <c r="W351" s="244"/>
      <c r="X351" s="97"/>
    </row>
    <row r="352">
      <c r="A352" s="205"/>
      <c r="B352" s="235"/>
      <c r="C352" s="236"/>
      <c r="D352" s="237"/>
      <c r="E352" s="235"/>
      <c r="F352" s="235"/>
      <c r="G352" s="239"/>
      <c r="H352" s="240"/>
      <c r="J352" s="237"/>
      <c r="K352" s="241"/>
      <c r="L352" s="241"/>
      <c r="M352" s="237"/>
      <c r="N352" s="242"/>
      <c r="O352" s="243"/>
      <c r="P352" s="244"/>
      <c r="Q352" s="245"/>
      <c r="R352" s="246"/>
      <c r="S352" s="244"/>
      <c r="T352" s="247"/>
      <c r="U352" s="247"/>
      <c r="V352" s="244"/>
      <c r="W352" s="244"/>
      <c r="X352" s="97"/>
    </row>
    <row r="353">
      <c r="A353" s="205"/>
      <c r="B353" s="235"/>
      <c r="C353" s="236"/>
      <c r="D353" s="237"/>
      <c r="E353" s="235"/>
      <c r="F353" s="235"/>
      <c r="G353" s="239"/>
      <c r="H353" s="240"/>
      <c r="J353" s="237"/>
      <c r="K353" s="241"/>
      <c r="L353" s="241"/>
      <c r="M353" s="237"/>
      <c r="N353" s="242"/>
      <c r="O353" s="243"/>
      <c r="P353" s="244"/>
      <c r="Q353" s="245"/>
      <c r="R353" s="246"/>
      <c r="S353" s="244"/>
      <c r="T353" s="247"/>
      <c r="U353" s="247"/>
      <c r="V353" s="244"/>
      <c r="W353" s="244"/>
      <c r="X353" s="97"/>
    </row>
    <row r="354">
      <c r="A354" s="205"/>
      <c r="B354" s="235"/>
      <c r="C354" s="236"/>
      <c r="D354" s="237"/>
      <c r="E354" s="235"/>
      <c r="F354" s="235"/>
      <c r="G354" s="239"/>
      <c r="H354" s="240"/>
      <c r="J354" s="237"/>
      <c r="K354" s="241"/>
      <c r="L354" s="241"/>
      <c r="M354" s="237"/>
      <c r="N354" s="242"/>
      <c r="O354" s="243"/>
      <c r="P354" s="244"/>
      <c r="Q354" s="245"/>
      <c r="R354" s="246"/>
      <c r="S354" s="244"/>
      <c r="T354" s="247"/>
      <c r="U354" s="247"/>
      <c r="V354" s="244"/>
      <c r="W354" s="244"/>
      <c r="X354" s="97"/>
    </row>
    <row r="355">
      <c r="A355" s="205"/>
      <c r="B355" s="235"/>
      <c r="C355" s="236"/>
      <c r="D355" s="237"/>
      <c r="E355" s="235"/>
      <c r="F355" s="235"/>
      <c r="G355" s="239"/>
      <c r="H355" s="240"/>
      <c r="J355" s="237"/>
      <c r="K355" s="241"/>
      <c r="L355" s="241"/>
      <c r="M355" s="237"/>
      <c r="N355" s="242"/>
      <c r="O355" s="243"/>
      <c r="P355" s="244"/>
      <c r="Q355" s="245"/>
      <c r="R355" s="246"/>
      <c r="S355" s="244"/>
      <c r="T355" s="247"/>
      <c r="U355" s="247"/>
      <c r="V355" s="244"/>
      <c r="W355" s="244"/>
      <c r="X355" s="97"/>
    </row>
    <row r="356">
      <c r="A356" s="205"/>
      <c r="B356" s="235"/>
      <c r="C356" s="236"/>
      <c r="D356" s="237"/>
      <c r="E356" s="235"/>
      <c r="F356" s="235"/>
      <c r="G356" s="239"/>
      <c r="H356" s="240"/>
      <c r="J356" s="237"/>
      <c r="K356" s="241"/>
      <c r="L356" s="241"/>
      <c r="M356" s="237"/>
      <c r="N356" s="242"/>
      <c r="O356" s="243"/>
      <c r="P356" s="244"/>
      <c r="Q356" s="245"/>
      <c r="R356" s="246"/>
      <c r="S356" s="244"/>
      <c r="T356" s="247"/>
      <c r="U356" s="247"/>
      <c r="V356" s="244"/>
      <c r="W356" s="244"/>
      <c r="X356" s="97"/>
    </row>
    <row r="357">
      <c r="A357" s="205"/>
      <c r="B357" s="235"/>
      <c r="C357" s="236"/>
      <c r="D357" s="237"/>
      <c r="E357" s="235"/>
      <c r="F357" s="235"/>
      <c r="G357" s="239"/>
      <c r="H357" s="240"/>
      <c r="J357" s="237"/>
      <c r="K357" s="241"/>
      <c r="L357" s="241"/>
      <c r="M357" s="237"/>
      <c r="N357" s="242"/>
      <c r="O357" s="243"/>
      <c r="P357" s="244"/>
      <c r="Q357" s="245"/>
      <c r="R357" s="246"/>
      <c r="S357" s="244"/>
      <c r="T357" s="247"/>
      <c r="U357" s="247"/>
      <c r="V357" s="244"/>
      <c r="W357" s="244"/>
      <c r="X357" s="97"/>
    </row>
    <row r="358">
      <c r="A358" s="205"/>
      <c r="B358" s="235"/>
      <c r="C358" s="236"/>
      <c r="D358" s="237"/>
      <c r="E358" s="235"/>
      <c r="F358" s="235"/>
      <c r="G358" s="239"/>
      <c r="H358" s="240"/>
      <c r="J358" s="237"/>
      <c r="K358" s="241"/>
      <c r="L358" s="241"/>
      <c r="M358" s="237"/>
      <c r="N358" s="242"/>
      <c r="O358" s="243"/>
      <c r="P358" s="244"/>
      <c r="Q358" s="245"/>
      <c r="R358" s="246"/>
      <c r="S358" s="244"/>
      <c r="T358" s="247"/>
      <c r="U358" s="247"/>
      <c r="V358" s="244"/>
      <c r="W358" s="244"/>
      <c r="X358" s="97"/>
    </row>
    <row r="359">
      <c r="A359" s="205"/>
      <c r="B359" s="235"/>
      <c r="C359" s="236"/>
      <c r="D359" s="237"/>
      <c r="E359" s="235"/>
      <c r="F359" s="235"/>
      <c r="G359" s="239"/>
      <c r="H359" s="240"/>
      <c r="J359" s="237"/>
      <c r="K359" s="241"/>
      <c r="L359" s="241"/>
      <c r="M359" s="237"/>
      <c r="N359" s="242"/>
      <c r="O359" s="243"/>
      <c r="P359" s="244"/>
      <c r="Q359" s="245"/>
      <c r="R359" s="246"/>
      <c r="S359" s="244"/>
      <c r="T359" s="247"/>
      <c r="U359" s="247"/>
      <c r="V359" s="244"/>
      <c r="W359" s="244"/>
      <c r="X359" s="97"/>
    </row>
    <row r="360">
      <c r="A360" s="205"/>
      <c r="B360" s="235"/>
      <c r="C360" s="236"/>
      <c r="D360" s="237"/>
      <c r="E360" s="235"/>
      <c r="F360" s="235"/>
      <c r="G360" s="239"/>
      <c r="H360" s="240"/>
      <c r="J360" s="237"/>
      <c r="K360" s="241"/>
      <c r="L360" s="241"/>
      <c r="M360" s="237"/>
      <c r="N360" s="242"/>
      <c r="O360" s="243"/>
      <c r="P360" s="244"/>
      <c r="Q360" s="245"/>
      <c r="R360" s="246"/>
      <c r="S360" s="244"/>
      <c r="T360" s="247"/>
      <c r="U360" s="247"/>
      <c r="V360" s="244"/>
      <c r="W360" s="244"/>
      <c r="X360" s="97"/>
    </row>
    <row r="361">
      <c r="A361" s="205"/>
      <c r="B361" s="235"/>
      <c r="C361" s="236"/>
      <c r="D361" s="237"/>
      <c r="E361" s="235"/>
      <c r="F361" s="235"/>
      <c r="G361" s="239"/>
      <c r="H361" s="240"/>
      <c r="J361" s="237"/>
      <c r="K361" s="241"/>
      <c r="L361" s="241"/>
      <c r="M361" s="237"/>
      <c r="N361" s="242"/>
      <c r="O361" s="243"/>
      <c r="P361" s="244"/>
      <c r="Q361" s="245"/>
      <c r="R361" s="246"/>
      <c r="S361" s="244"/>
      <c r="T361" s="247"/>
      <c r="U361" s="247"/>
      <c r="V361" s="244"/>
      <c r="W361" s="244"/>
      <c r="X361" s="97"/>
    </row>
    <row r="362">
      <c r="A362" s="205"/>
      <c r="B362" s="235"/>
      <c r="C362" s="236"/>
      <c r="D362" s="237"/>
      <c r="E362" s="235"/>
      <c r="F362" s="235"/>
      <c r="G362" s="239"/>
      <c r="H362" s="240"/>
      <c r="J362" s="237"/>
      <c r="K362" s="241"/>
      <c r="L362" s="241"/>
      <c r="M362" s="237"/>
      <c r="N362" s="242"/>
      <c r="O362" s="243"/>
      <c r="P362" s="244"/>
      <c r="Q362" s="245"/>
      <c r="R362" s="246"/>
      <c r="S362" s="244"/>
      <c r="T362" s="247"/>
      <c r="U362" s="247"/>
      <c r="V362" s="244"/>
      <c r="W362" s="244"/>
      <c r="X362" s="97"/>
    </row>
    <row r="363">
      <c r="A363" s="205"/>
      <c r="B363" s="235"/>
      <c r="C363" s="236"/>
      <c r="D363" s="237"/>
      <c r="E363" s="235"/>
      <c r="F363" s="235"/>
      <c r="G363" s="239"/>
      <c r="H363" s="240"/>
      <c r="J363" s="237"/>
      <c r="K363" s="241"/>
      <c r="L363" s="241"/>
      <c r="M363" s="237"/>
      <c r="N363" s="242"/>
      <c r="O363" s="243"/>
      <c r="P363" s="244"/>
      <c r="Q363" s="245"/>
      <c r="R363" s="246"/>
      <c r="S363" s="244"/>
      <c r="T363" s="247"/>
      <c r="U363" s="247"/>
      <c r="V363" s="244"/>
      <c r="W363" s="244"/>
      <c r="X363" s="97"/>
    </row>
    <row r="364">
      <c r="A364" s="205"/>
      <c r="B364" s="235"/>
      <c r="C364" s="236"/>
      <c r="D364" s="237"/>
      <c r="E364" s="235"/>
      <c r="F364" s="235"/>
      <c r="G364" s="239"/>
      <c r="H364" s="240"/>
      <c r="J364" s="237"/>
      <c r="K364" s="241"/>
      <c r="L364" s="241"/>
      <c r="M364" s="237"/>
      <c r="N364" s="242"/>
      <c r="O364" s="243"/>
      <c r="P364" s="244"/>
      <c r="Q364" s="245"/>
      <c r="R364" s="246"/>
      <c r="S364" s="244"/>
      <c r="T364" s="247"/>
      <c r="U364" s="247"/>
      <c r="V364" s="244"/>
      <c r="W364" s="244"/>
      <c r="X364" s="97"/>
    </row>
    <row r="365">
      <c r="A365" s="205"/>
      <c r="B365" s="235"/>
      <c r="C365" s="236"/>
      <c r="D365" s="237"/>
      <c r="E365" s="235"/>
      <c r="F365" s="235"/>
      <c r="G365" s="239"/>
      <c r="H365" s="240"/>
      <c r="J365" s="237"/>
      <c r="K365" s="241"/>
      <c r="L365" s="241"/>
      <c r="M365" s="237"/>
      <c r="N365" s="242"/>
      <c r="O365" s="243"/>
      <c r="P365" s="244"/>
      <c r="Q365" s="245"/>
      <c r="R365" s="246"/>
      <c r="S365" s="244"/>
      <c r="T365" s="247"/>
      <c r="U365" s="247"/>
      <c r="V365" s="244"/>
      <c r="W365" s="244"/>
      <c r="X365" s="97"/>
    </row>
    <row r="366">
      <c r="A366" s="205"/>
      <c r="B366" s="235"/>
      <c r="C366" s="236"/>
      <c r="D366" s="237"/>
      <c r="E366" s="235"/>
      <c r="F366" s="235"/>
      <c r="G366" s="239"/>
      <c r="H366" s="240"/>
      <c r="J366" s="237"/>
      <c r="K366" s="241"/>
      <c r="L366" s="241"/>
      <c r="M366" s="237"/>
      <c r="N366" s="242"/>
      <c r="O366" s="243"/>
      <c r="P366" s="244"/>
      <c r="Q366" s="245"/>
      <c r="R366" s="246"/>
      <c r="S366" s="244"/>
      <c r="T366" s="247"/>
      <c r="U366" s="247"/>
      <c r="V366" s="244"/>
      <c r="W366" s="244"/>
      <c r="X366" s="97"/>
    </row>
    <row r="367">
      <c r="A367" s="205"/>
      <c r="B367" s="235"/>
      <c r="C367" s="236"/>
      <c r="D367" s="237"/>
      <c r="E367" s="235"/>
      <c r="F367" s="235"/>
      <c r="G367" s="239"/>
      <c r="H367" s="240"/>
      <c r="J367" s="237"/>
      <c r="K367" s="241"/>
      <c r="L367" s="241"/>
      <c r="M367" s="237"/>
      <c r="N367" s="242"/>
      <c r="O367" s="243"/>
      <c r="P367" s="244"/>
      <c r="Q367" s="245"/>
      <c r="R367" s="246"/>
      <c r="S367" s="244"/>
      <c r="T367" s="247"/>
      <c r="U367" s="247"/>
      <c r="V367" s="244"/>
      <c r="W367" s="244"/>
      <c r="X367" s="97"/>
    </row>
    <row r="368">
      <c r="A368" s="205"/>
      <c r="B368" s="235"/>
      <c r="C368" s="236"/>
      <c r="D368" s="237"/>
      <c r="E368" s="235"/>
      <c r="F368" s="235"/>
      <c r="G368" s="239"/>
      <c r="H368" s="240"/>
      <c r="J368" s="237"/>
      <c r="K368" s="241"/>
      <c r="L368" s="241"/>
      <c r="M368" s="237"/>
      <c r="N368" s="242"/>
      <c r="O368" s="243"/>
      <c r="P368" s="244"/>
      <c r="Q368" s="245"/>
      <c r="R368" s="246"/>
      <c r="S368" s="244"/>
      <c r="T368" s="247"/>
      <c r="U368" s="247"/>
      <c r="V368" s="244"/>
      <c r="W368" s="244"/>
      <c r="X368" s="97"/>
    </row>
    <row r="369">
      <c r="A369" s="205"/>
      <c r="B369" s="235"/>
      <c r="C369" s="236"/>
      <c r="D369" s="237"/>
      <c r="E369" s="235"/>
      <c r="F369" s="235"/>
      <c r="G369" s="239"/>
      <c r="H369" s="240"/>
      <c r="J369" s="237"/>
      <c r="K369" s="241"/>
      <c r="L369" s="241"/>
      <c r="M369" s="237"/>
      <c r="N369" s="242"/>
      <c r="O369" s="243"/>
      <c r="P369" s="244"/>
      <c r="Q369" s="245"/>
      <c r="R369" s="246"/>
      <c r="S369" s="244"/>
      <c r="T369" s="247"/>
      <c r="U369" s="247"/>
      <c r="V369" s="244"/>
      <c r="W369" s="244"/>
      <c r="X369" s="97"/>
    </row>
    <row r="370">
      <c r="A370" s="205"/>
      <c r="B370" s="235"/>
      <c r="C370" s="236"/>
      <c r="D370" s="237"/>
      <c r="E370" s="235"/>
      <c r="F370" s="235"/>
      <c r="G370" s="239"/>
      <c r="H370" s="240"/>
      <c r="J370" s="237"/>
      <c r="K370" s="241"/>
      <c r="L370" s="241"/>
      <c r="M370" s="237"/>
      <c r="N370" s="242"/>
      <c r="O370" s="243"/>
      <c r="P370" s="244"/>
      <c r="Q370" s="245"/>
      <c r="R370" s="246"/>
      <c r="S370" s="244"/>
      <c r="T370" s="247"/>
      <c r="U370" s="247"/>
      <c r="V370" s="244"/>
      <c r="W370" s="244"/>
      <c r="X370" s="97"/>
    </row>
    <row r="371">
      <c r="A371" s="205"/>
      <c r="B371" s="235"/>
      <c r="C371" s="236"/>
      <c r="D371" s="237"/>
      <c r="E371" s="235"/>
      <c r="F371" s="235"/>
      <c r="G371" s="239"/>
      <c r="H371" s="240"/>
      <c r="J371" s="237"/>
      <c r="K371" s="241"/>
      <c r="L371" s="241"/>
      <c r="M371" s="237"/>
      <c r="N371" s="242"/>
      <c r="O371" s="243"/>
      <c r="P371" s="244"/>
      <c r="Q371" s="245"/>
      <c r="R371" s="246"/>
      <c r="S371" s="244"/>
      <c r="T371" s="247"/>
      <c r="U371" s="247"/>
      <c r="V371" s="244"/>
      <c r="W371" s="244"/>
      <c r="X371" s="97"/>
    </row>
    <row r="372">
      <c r="A372" s="205"/>
      <c r="B372" s="235"/>
      <c r="C372" s="236"/>
      <c r="D372" s="237"/>
      <c r="E372" s="235"/>
      <c r="F372" s="235"/>
      <c r="G372" s="239"/>
      <c r="H372" s="240"/>
      <c r="J372" s="237"/>
      <c r="K372" s="241"/>
      <c r="L372" s="241"/>
      <c r="M372" s="237"/>
      <c r="N372" s="242"/>
      <c r="O372" s="243"/>
      <c r="P372" s="244"/>
      <c r="Q372" s="245"/>
      <c r="R372" s="246"/>
      <c r="S372" s="244"/>
      <c r="T372" s="247"/>
      <c r="U372" s="247"/>
      <c r="V372" s="244"/>
      <c r="W372" s="244"/>
      <c r="X372" s="97"/>
    </row>
    <row r="373">
      <c r="A373" s="205"/>
      <c r="B373" s="235"/>
      <c r="C373" s="236"/>
      <c r="D373" s="237"/>
      <c r="E373" s="235"/>
      <c r="F373" s="235"/>
      <c r="G373" s="239"/>
      <c r="H373" s="240"/>
      <c r="J373" s="237"/>
      <c r="K373" s="241"/>
      <c r="L373" s="241"/>
      <c r="M373" s="237"/>
      <c r="N373" s="242"/>
      <c r="O373" s="243"/>
      <c r="P373" s="244"/>
      <c r="Q373" s="245"/>
      <c r="R373" s="246"/>
      <c r="S373" s="244"/>
      <c r="T373" s="247"/>
      <c r="U373" s="247"/>
      <c r="V373" s="244"/>
      <c r="W373" s="244"/>
      <c r="X373" s="97"/>
    </row>
    <row r="374">
      <c r="A374" s="205"/>
      <c r="B374" s="235"/>
      <c r="C374" s="236"/>
      <c r="D374" s="237"/>
      <c r="E374" s="235"/>
      <c r="F374" s="235"/>
      <c r="G374" s="239"/>
      <c r="H374" s="240"/>
      <c r="J374" s="237"/>
      <c r="K374" s="241"/>
      <c r="L374" s="241"/>
      <c r="M374" s="237"/>
      <c r="N374" s="242"/>
      <c r="O374" s="243"/>
      <c r="P374" s="244"/>
      <c r="Q374" s="245"/>
      <c r="R374" s="246"/>
      <c r="S374" s="244"/>
      <c r="T374" s="247"/>
      <c r="U374" s="247"/>
      <c r="V374" s="244"/>
      <c r="W374" s="244"/>
      <c r="X374" s="97"/>
    </row>
    <row r="375">
      <c r="A375" s="205"/>
      <c r="B375" s="235"/>
      <c r="C375" s="236"/>
      <c r="D375" s="237"/>
      <c r="E375" s="235"/>
      <c r="F375" s="235"/>
      <c r="G375" s="239"/>
      <c r="H375" s="240"/>
      <c r="J375" s="237"/>
      <c r="K375" s="241"/>
      <c r="L375" s="241"/>
      <c r="M375" s="237"/>
      <c r="N375" s="242"/>
      <c r="O375" s="243"/>
      <c r="P375" s="244"/>
      <c r="Q375" s="245"/>
      <c r="R375" s="246"/>
      <c r="S375" s="244"/>
      <c r="T375" s="247"/>
      <c r="U375" s="247"/>
      <c r="V375" s="244"/>
      <c r="W375" s="244"/>
      <c r="X375" s="97"/>
    </row>
    <row r="376">
      <c r="A376" s="205"/>
      <c r="B376" s="235"/>
      <c r="C376" s="236"/>
      <c r="D376" s="237"/>
      <c r="E376" s="235"/>
      <c r="F376" s="235"/>
      <c r="G376" s="239"/>
      <c r="H376" s="240"/>
      <c r="J376" s="237"/>
      <c r="K376" s="241"/>
      <c r="L376" s="241"/>
      <c r="M376" s="237"/>
      <c r="N376" s="242"/>
      <c r="O376" s="243"/>
      <c r="P376" s="244"/>
      <c r="Q376" s="245"/>
      <c r="R376" s="246"/>
      <c r="S376" s="244"/>
      <c r="T376" s="247"/>
      <c r="U376" s="247"/>
      <c r="V376" s="244"/>
      <c r="W376" s="244"/>
      <c r="X376" s="97"/>
    </row>
    <row r="377">
      <c r="A377" s="205"/>
      <c r="B377" s="235"/>
      <c r="C377" s="236"/>
      <c r="D377" s="237"/>
      <c r="E377" s="235"/>
      <c r="F377" s="235"/>
      <c r="G377" s="239"/>
      <c r="H377" s="240"/>
      <c r="J377" s="237"/>
      <c r="K377" s="241"/>
      <c r="L377" s="241"/>
      <c r="M377" s="237"/>
      <c r="N377" s="242"/>
      <c r="O377" s="243"/>
      <c r="P377" s="244"/>
      <c r="Q377" s="245"/>
      <c r="R377" s="246"/>
      <c r="S377" s="244"/>
      <c r="T377" s="247"/>
      <c r="U377" s="247"/>
      <c r="V377" s="244"/>
      <c r="W377" s="244"/>
      <c r="X377" s="97"/>
    </row>
    <row r="378">
      <c r="A378" s="205"/>
      <c r="B378" s="235"/>
      <c r="C378" s="236"/>
      <c r="D378" s="237"/>
      <c r="E378" s="235"/>
      <c r="F378" s="235"/>
      <c r="G378" s="239"/>
      <c r="H378" s="240"/>
      <c r="J378" s="237"/>
      <c r="K378" s="241"/>
      <c r="L378" s="241"/>
      <c r="M378" s="237"/>
      <c r="N378" s="242"/>
      <c r="O378" s="243"/>
      <c r="P378" s="244"/>
      <c r="Q378" s="245"/>
      <c r="R378" s="246"/>
      <c r="S378" s="244"/>
      <c r="T378" s="247"/>
      <c r="U378" s="247"/>
      <c r="V378" s="244"/>
      <c r="W378" s="244"/>
      <c r="X378" s="97"/>
    </row>
    <row r="379">
      <c r="A379" s="205"/>
      <c r="B379" s="235"/>
      <c r="C379" s="236"/>
      <c r="D379" s="237"/>
      <c r="E379" s="235"/>
      <c r="F379" s="235"/>
      <c r="G379" s="239"/>
      <c r="H379" s="240"/>
      <c r="J379" s="237"/>
      <c r="K379" s="241"/>
      <c r="L379" s="241"/>
      <c r="M379" s="237"/>
      <c r="N379" s="242"/>
      <c r="O379" s="243"/>
      <c r="P379" s="244"/>
      <c r="Q379" s="245"/>
      <c r="R379" s="246"/>
      <c r="S379" s="244"/>
      <c r="T379" s="247"/>
      <c r="U379" s="247"/>
      <c r="V379" s="244"/>
      <c r="W379" s="244"/>
      <c r="X379" s="97"/>
    </row>
    <row r="380">
      <c r="A380" s="205"/>
      <c r="B380" s="235"/>
      <c r="C380" s="236"/>
      <c r="D380" s="237"/>
      <c r="E380" s="235"/>
      <c r="F380" s="235"/>
      <c r="G380" s="239"/>
      <c r="H380" s="240"/>
      <c r="J380" s="237"/>
      <c r="K380" s="241"/>
      <c r="L380" s="241"/>
      <c r="M380" s="237"/>
      <c r="N380" s="242"/>
      <c r="O380" s="243"/>
      <c r="P380" s="244"/>
      <c r="Q380" s="245"/>
      <c r="R380" s="246"/>
      <c r="S380" s="244"/>
      <c r="T380" s="247"/>
      <c r="U380" s="247"/>
      <c r="V380" s="244"/>
      <c r="W380" s="244"/>
      <c r="X380" s="97"/>
    </row>
    <row r="381">
      <c r="A381" s="205"/>
      <c r="B381" s="235"/>
      <c r="C381" s="236"/>
      <c r="D381" s="237"/>
      <c r="E381" s="235"/>
      <c r="F381" s="235"/>
      <c r="G381" s="239"/>
      <c r="H381" s="240"/>
      <c r="J381" s="237"/>
      <c r="K381" s="241"/>
      <c r="L381" s="241"/>
      <c r="M381" s="237"/>
      <c r="N381" s="242"/>
      <c r="O381" s="243"/>
      <c r="P381" s="244"/>
      <c r="Q381" s="245"/>
      <c r="R381" s="246"/>
      <c r="S381" s="244"/>
      <c r="T381" s="247"/>
      <c r="U381" s="247"/>
      <c r="V381" s="244"/>
      <c r="W381" s="244"/>
      <c r="X381" s="97"/>
    </row>
    <row r="382">
      <c r="A382" s="205"/>
      <c r="B382" s="235"/>
      <c r="C382" s="236"/>
      <c r="D382" s="237"/>
      <c r="E382" s="235"/>
      <c r="F382" s="235"/>
      <c r="G382" s="239"/>
      <c r="H382" s="240"/>
      <c r="J382" s="237"/>
      <c r="K382" s="241"/>
      <c r="L382" s="241"/>
      <c r="M382" s="237"/>
      <c r="N382" s="242"/>
      <c r="O382" s="243"/>
      <c r="P382" s="244"/>
      <c r="Q382" s="245"/>
      <c r="R382" s="246"/>
      <c r="S382" s="244"/>
      <c r="T382" s="247"/>
      <c r="U382" s="247"/>
      <c r="V382" s="244"/>
      <c r="W382" s="244"/>
      <c r="X382" s="97"/>
    </row>
    <row r="383">
      <c r="A383" s="205"/>
      <c r="B383" s="235"/>
      <c r="C383" s="236"/>
      <c r="D383" s="237"/>
      <c r="E383" s="235"/>
      <c r="F383" s="235"/>
      <c r="G383" s="239"/>
      <c r="H383" s="240"/>
      <c r="J383" s="237"/>
      <c r="K383" s="241"/>
      <c r="L383" s="241"/>
      <c r="M383" s="237"/>
      <c r="N383" s="242"/>
      <c r="O383" s="243"/>
      <c r="P383" s="244"/>
      <c r="Q383" s="245"/>
      <c r="R383" s="246"/>
      <c r="S383" s="244"/>
      <c r="T383" s="247"/>
      <c r="U383" s="247"/>
      <c r="V383" s="244"/>
      <c r="W383" s="244"/>
      <c r="X383" s="97"/>
    </row>
    <row r="384">
      <c r="A384" s="205"/>
      <c r="B384" s="235"/>
      <c r="C384" s="236"/>
      <c r="D384" s="237"/>
      <c r="E384" s="235"/>
      <c r="F384" s="235"/>
      <c r="G384" s="239"/>
      <c r="H384" s="240"/>
      <c r="J384" s="237"/>
      <c r="K384" s="241"/>
      <c r="L384" s="241"/>
      <c r="M384" s="237"/>
      <c r="N384" s="242"/>
      <c r="O384" s="243"/>
      <c r="P384" s="244"/>
      <c r="Q384" s="245"/>
      <c r="R384" s="246"/>
      <c r="S384" s="244"/>
      <c r="T384" s="247"/>
      <c r="U384" s="247"/>
      <c r="V384" s="244"/>
      <c r="W384" s="244"/>
      <c r="X384" s="97"/>
    </row>
    <row r="385">
      <c r="A385" s="205"/>
      <c r="B385" s="235"/>
      <c r="C385" s="236"/>
      <c r="D385" s="237"/>
      <c r="E385" s="235"/>
      <c r="F385" s="235"/>
      <c r="G385" s="239"/>
      <c r="H385" s="240"/>
      <c r="J385" s="237"/>
      <c r="K385" s="241"/>
      <c r="L385" s="241"/>
      <c r="M385" s="237"/>
      <c r="N385" s="242"/>
      <c r="O385" s="243"/>
      <c r="P385" s="244"/>
      <c r="Q385" s="245"/>
      <c r="R385" s="246"/>
      <c r="S385" s="244"/>
      <c r="T385" s="247"/>
      <c r="U385" s="247"/>
      <c r="V385" s="244"/>
      <c r="W385" s="244"/>
      <c r="X385" s="97"/>
    </row>
    <row r="386">
      <c r="A386" s="205"/>
      <c r="B386" s="235"/>
      <c r="C386" s="236"/>
      <c r="D386" s="237"/>
      <c r="E386" s="235"/>
      <c r="F386" s="235"/>
      <c r="G386" s="239"/>
      <c r="H386" s="240"/>
      <c r="J386" s="237"/>
      <c r="K386" s="241"/>
      <c r="L386" s="241"/>
      <c r="M386" s="237"/>
      <c r="N386" s="242"/>
      <c r="O386" s="243"/>
      <c r="P386" s="244"/>
      <c r="Q386" s="245"/>
      <c r="R386" s="246"/>
      <c r="S386" s="244"/>
      <c r="T386" s="247"/>
      <c r="U386" s="247"/>
      <c r="V386" s="244"/>
      <c r="W386" s="244"/>
      <c r="X386" s="97"/>
    </row>
    <row r="387">
      <c r="A387" s="205"/>
      <c r="B387" s="235"/>
      <c r="C387" s="236"/>
      <c r="D387" s="237"/>
      <c r="E387" s="235"/>
      <c r="F387" s="235"/>
      <c r="G387" s="239"/>
      <c r="H387" s="240"/>
      <c r="J387" s="237"/>
      <c r="K387" s="241"/>
      <c r="L387" s="241"/>
      <c r="M387" s="237"/>
      <c r="N387" s="242"/>
      <c r="O387" s="243"/>
      <c r="P387" s="244"/>
      <c r="Q387" s="245"/>
      <c r="R387" s="246"/>
      <c r="S387" s="244"/>
      <c r="T387" s="247"/>
      <c r="U387" s="247"/>
      <c r="V387" s="244"/>
      <c r="W387" s="244"/>
      <c r="X387" s="97"/>
    </row>
    <row r="388">
      <c r="A388" s="205"/>
      <c r="B388" s="235"/>
      <c r="C388" s="236"/>
      <c r="D388" s="237"/>
      <c r="E388" s="235"/>
      <c r="F388" s="235"/>
      <c r="G388" s="239"/>
      <c r="H388" s="240"/>
      <c r="J388" s="237"/>
      <c r="K388" s="241"/>
      <c r="L388" s="241"/>
      <c r="M388" s="237"/>
      <c r="N388" s="242"/>
      <c r="O388" s="243"/>
      <c r="P388" s="244"/>
      <c r="Q388" s="245"/>
      <c r="R388" s="246"/>
      <c r="S388" s="244"/>
      <c r="T388" s="247"/>
      <c r="U388" s="247"/>
      <c r="V388" s="244"/>
      <c r="W388" s="244"/>
      <c r="X388" s="97"/>
    </row>
    <row r="389">
      <c r="A389" s="205"/>
      <c r="B389" s="235"/>
      <c r="C389" s="236"/>
      <c r="D389" s="237"/>
      <c r="E389" s="235"/>
      <c r="F389" s="235"/>
      <c r="G389" s="239"/>
      <c r="H389" s="240"/>
      <c r="J389" s="237"/>
      <c r="K389" s="241"/>
      <c r="L389" s="241"/>
      <c r="M389" s="237"/>
      <c r="N389" s="242"/>
      <c r="O389" s="243"/>
      <c r="P389" s="244"/>
      <c r="Q389" s="245"/>
      <c r="R389" s="246"/>
      <c r="S389" s="244"/>
      <c r="T389" s="247"/>
      <c r="U389" s="247"/>
      <c r="V389" s="244"/>
      <c r="W389" s="244"/>
      <c r="X389" s="97"/>
    </row>
    <row r="390">
      <c r="A390" s="205"/>
      <c r="B390" s="235"/>
      <c r="C390" s="236"/>
      <c r="D390" s="237"/>
      <c r="E390" s="235"/>
      <c r="F390" s="235"/>
      <c r="G390" s="239"/>
      <c r="H390" s="240"/>
      <c r="J390" s="237"/>
      <c r="K390" s="241"/>
      <c r="L390" s="241"/>
      <c r="M390" s="237"/>
      <c r="N390" s="242"/>
      <c r="O390" s="243"/>
      <c r="P390" s="244"/>
      <c r="Q390" s="245"/>
      <c r="R390" s="246"/>
      <c r="S390" s="244"/>
      <c r="T390" s="247"/>
      <c r="U390" s="247"/>
      <c r="V390" s="244"/>
      <c r="W390" s="244"/>
      <c r="X390" s="97"/>
    </row>
    <row r="391">
      <c r="A391" s="205"/>
      <c r="B391" s="235"/>
      <c r="C391" s="236"/>
      <c r="D391" s="237"/>
      <c r="E391" s="235"/>
      <c r="F391" s="235"/>
      <c r="G391" s="239"/>
      <c r="H391" s="240"/>
      <c r="J391" s="237"/>
      <c r="K391" s="241"/>
      <c r="L391" s="241"/>
      <c r="M391" s="237"/>
      <c r="N391" s="242"/>
      <c r="O391" s="243"/>
      <c r="P391" s="244"/>
      <c r="Q391" s="245"/>
      <c r="R391" s="246"/>
      <c r="S391" s="244"/>
      <c r="T391" s="247"/>
      <c r="U391" s="247"/>
      <c r="V391" s="244"/>
      <c r="W391" s="244"/>
      <c r="X391" s="97"/>
    </row>
    <row r="392">
      <c r="A392" s="205"/>
      <c r="B392" s="235"/>
      <c r="C392" s="236"/>
      <c r="D392" s="237"/>
      <c r="E392" s="235"/>
      <c r="F392" s="235"/>
      <c r="G392" s="239"/>
      <c r="H392" s="240"/>
      <c r="J392" s="237"/>
      <c r="K392" s="241"/>
      <c r="L392" s="241"/>
      <c r="M392" s="237"/>
      <c r="N392" s="242"/>
      <c r="O392" s="243"/>
      <c r="P392" s="244"/>
      <c r="Q392" s="245"/>
      <c r="R392" s="246"/>
      <c r="S392" s="244"/>
      <c r="T392" s="247"/>
      <c r="U392" s="247"/>
      <c r="V392" s="244"/>
      <c r="W392" s="244"/>
      <c r="X392" s="97"/>
    </row>
    <row r="393">
      <c r="A393" s="205"/>
      <c r="B393" s="235"/>
      <c r="C393" s="236"/>
      <c r="D393" s="237"/>
      <c r="E393" s="235"/>
      <c r="F393" s="235"/>
      <c r="G393" s="239"/>
      <c r="H393" s="240"/>
      <c r="J393" s="237"/>
      <c r="K393" s="241"/>
      <c r="L393" s="241"/>
      <c r="M393" s="237"/>
      <c r="N393" s="242"/>
      <c r="O393" s="243"/>
      <c r="P393" s="244"/>
      <c r="Q393" s="245"/>
      <c r="R393" s="246"/>
      <c r="S393" s="244"/>
      <c r="T393" s="247"/>
      <c r="U393" s="247"/>
      <c r="V393" s="244"/>
      <c r="W393" s="244"/>
      <c r="X393" s="97"/>
    </row>
    <row r="394">
      <c r="A394" s="205"/>
      <c r="B394" s="235"/>
      <c r="C394" s="236"/>
      <c r="D394" s="237"/>
      <c r="E394" s="235"/>
      <c r="F394" s="235"/>
      <c r="G394" s="239"/>
      <c r="H394" s="240"/>
      <c r="J394" s="237"/>
      <c r="K394" s="241"/>
      <c r="L394" s="241"/>
      <c r="M394" s="237"/>
      <c r="N394" s="242"/>
      <c r="O394" s="243"/>
      <c r="P394" s="244"/>
      <c r="Q394" s="245"/>
      <c r="R394" s="246"/>
      <c r="S394" s="244"/>
      <c r="T394" s="247"/>
      <c r="U394" s="247"/>
      <c r="V394" s="244"/>
      <c r="W394" s="244"/>
      <c r="X394" s="97"/>
    </row>
    <row r="395">
      <c r="A395" s="205"/>
      <c r="B395" s="235"/>
      <c r="C395" s="236"/>
      <c r="D395" s="237"/>
      <c r="E395" s="235"/>
      <c r="F395" s="235"/>
      <c r="G395" s="239"/>
      <c r="H395" s="240"/>
      <c r="J395" s="237"/>
      <c r="K395" s="241"/>
      <c r="L395" s="241"/>
      <c r="M395" s="237"/>
      <c r="N395" s="242"/>
      <c r="O395" s="243"/>
      <c r="P395" s="244"/>
      <c r="Q395" s="245"/>
      <c r="R395" s="246"/>
      <c r="S395" s="244"/>
      <c r="T395" s="247"/>
      <c r="U395" s="247"/>
      <c r="V395" s="244"/>
      <c r="W395" s="244"/>
      <c r="X395" s="97"/>
    </row>
    <row r="396">
      <c r="A396" s="205"/>
      <c r="B396" s="235"/>
      <c r="C396" s="236"/>
      <c r="D396" s="237"/>
      <c r="E396" s="235"/>
      <c r="F396" s="235"/>
      <c r="G396" s="239"/>
      <c r="H396" s="240"/>
      <c r="J396" s="237"/>
      <c r="K396" s="241"/>
      <c r="L396" s="241"/>
      <c r="M396" s="237"/>
      <c r="N396" s="242"/>
      <c r="O396" s="243"/>
      <c r="P396" s="244"/>
      <c r="Q396" s="245"/>
      <c r="R396" s="246"/>
      <c r="S396" s="244"/>
      <c r="T396" s="247"/>
      <c r="U396" s="247"/>
      <c r="V396" s="244"/>
      <c r="W396" s="244"/>
      <c r="X396" s="97"/>
    </row>
    <row r="397">
      <c r="A397" s="205"/>
      <c r="B397" s="235"/>
      <c r="C397" s="236"/>
      <c r="D397" s="237"/>
      <c r="E397" s="235"/>
      <c r="F397" s="235"/>
      <c r="G397" s="239"/>
      <c r="H397" s="240"/>
      <c r="J397" s="237"/>
      <c r="K397" s="241"/>
      <c r="L397" s="241"/>
      <c r="M397" s="237"/>
      <c r="N397" s="242"/>
      <c r="O397" s="243"/>
      <c r="P397" s="244"/>
      <c r="Q397" s="245"/>
      <c r="R397" s="246"/>
      <c r="S397" s="244"/>
      <c r="T397" s="247"/>
      <c r="U397" s="247"/>
      <c r="V397" s="244"/>
      <c r="W397" s="244"/>
      <c r="X397" s="97"/>
    </row>
    <row r="398">
      <c r="A398" s="205"/>
      <c r="B398" s="235"/>
      <c r="C398" s="236"/>
      <c r="D398" s="237"/>
      <c r="E398" s="235"/>
      <c r="F398" s="235"/>
      <c r="G398" s="239"/>
      <c r="H398" s="240"/>
      <c r="J398" s="237"/>
      <c r="K398" s="241"/>
      <c r="L398" s="241"/>
      <c r="M398" s="237"/>
      <c r="N398" s="242"/>
      <c r="O398" s="243"/>
      <c r="P398" s="244"/>
      <c r="Q398" s="245"/>
      <c r="R398" s="246"/>
      <c r="S398" s="244"/>
      <c r="T398" s="247"/>
      <c r="U398" s="247"/>
      <c r="V398" s="244"/>
      <c r="W398" s="244"/>
      <c r="X398" s="97"/>
    </row>
    <row r="399">
      <c r="A399" s="205"/>
      <c r="B399" s="235"/>
      <c r="C399" s="236"/>
      <c r="D399" s="237"/>
      <c r="E399" s="235"/>
      <c r="F399" s="235"/>
      <c r="G399" s="239"/>
      <c r="H399" s="240"/>
      <c r="J399" s="237"/>
      <c r="K399" s="241"/>
      <c r="L399" s="241"/>
      <c r="M399" s="237"/>
      <c r="N399" s="242"/>
      <c r="O399" s="243"/>
      <c r="P399" s="244"/>
      <c r="Q399" s="245"/>
      <c r="R399" s="246"/>
      <c r="S399" s="244"/>
      <c r="T399" s="247"/>
      <c r="U399" s="247"/>
      <c r="V399" s="244"/>
      <c r="W399" s="244"/>
      <c r="X399" s="97"/>
    </row>
    <row r="400">
      <c r="A400" s="205"/>
      <c r="B400" s="235"/>
      <c r="C400" s="236"/>
      <c r="D400" s="237"/>
      <c r="E400" s="235"/>
      <c r="F400" s="235"/>
      <c r="G400" s="239"/>
      <c r="H400" s="240"/>
      <c r="J400" s="237"/>
      <c r="K400" s="241"/>
      <c r="L400" s="241"/>
      <c r="M400" s="237"/>
      <c r="N400" s="242"/>
      <c r="O400" s="243"/>
      <c r="P400" s="244"/>
      <c r="Q400" s="245"/>
      <c r="R400" s="246"/>
      <c r="S400" s="244"/>
      <c r="T400" s="247"/>
      <c r="U400" s="247"/>
      <c r="V400" s="244"/>
      <c r="W400" s="244"/>
      <c r="X400" s="97"/>
    </row>
    <row r="401">
      <c r="A401" s="205"/>
      <c r="B401" s="235"/>
      <c r="C401" s="236"/>
      <c r="D401" s="237"/>
      <c r="E401" s="235"/>
      <c r="F401" s="235"/>
      <c r="G401" s="239"/>
      <c r="H401" s="240"/>
      <c r="J401" s="237"/>
      <c r="K401" s="241"/>
      <c r="L401" s="241"/>
      <c r="M401" s="237"/>
      <c r="N401" s="242"/>
      <c r="O401" s="243"/>
      <c r="P401" s="244"/>
      <c r="Q401" s="245"/>
      <c r="R401" s="246"/>
      <c r="S401" s="244"/>
      <c r="T401" s="247"/>
      <c r="U401" s="247"/>
      <c r="V401" s="244"/>
      <c r="W401" s="244"/>
      <c r="X401" s="97"/>
    </row>
    <row r="402">
      <c r="A402" s="205"/>
      <c r="B402" s="235"/>
      <c r="C402" s="236"/>
      <c r="D402" s="237"/>
      <c r="E402" s="235"/>
      <c r="F402" s="235"/>
      <c r="G402" s="239"/>
      <c r="H402" s="240"/>
      <c r="J402" s="237"/>
      <c r="K402" s="241"/>
      <c r="L402" s="241"/>
      <c r="M402" s="237"/>
      <c r="N402" s="242"/>
      <c r="O402" s="243"/>
      <c r="P402" s="244"/>
      <c r="Q402" s="245"/>
      <c r="R402" s="246"/>
      <c r="S402" s="244"/>
      <c r="T402" s="247"/>
      <c r="U402" s="247"/>
      <c r="V402" s="244"/>
      <c r="W402" s="244"/>
      <c r="X402" s="97"/>
    </row>
    <row r="403">
      <c r="A403" s="205"/>
      <c r="B403" s="235"/>
      <c r="C403" s="236"/>
      <c r="D403" s="237"/>
      <c r="E403" s="235"/>
      <c r="F403" s="235"/>
      <c r="G403" s="239"/>
      <c r="H403" s="240"/>
      <c r="J403" s="237"/>
      <c r="K403" s="241"/>
      <c r="L403" s="241"/>
      <c r="M403" s="237"/>
      <c r="N403" s="242"/>
      <c r="O403" s="243"/>
      <c r="P403" s="244"/>
      <c r="Q403" s="245"/>
      <c r="R403" s="246"/>
      <c r="S403" s="244"/>
      <c r="T403" s="247"/>
      <c r="U403" s="247"/>
      <c r="V403" s="244"/>
      <c r="W403" s="244"/>
      <c r="X403" s="97"/>
    </row>
    <row r="404">
      <c r="A404" s="205"/>
      <c r="B404" s="235"/>
      <c r="C404" s="236"/>
      <c r="D404" s="237"/>
      <c r="E404" s="235"/>
      <c r="F404" s="235"/>
      <c r="G404" s="239"/>
      <c r="H404" s="240"/>
      <c r="J404" s="237"/>
      <c r="K404" s="241"/>
      <c r="L404" s="241"/>
      <c r="M404" s="237"/>
      <c r="N404" s="242"/>
      <c r="O404" s="243"/>
      <c r="P404" s="244"/>
      <c r="Q404" s="245"/>
      <c r="R404" s="246"/>
      <c r="S404" s="244"/>
      <c r="T404" s="247"/>
      <c r="U404" s="247"/>
      <c r="V404" s="244"/>
      <c r="W404" s="244"/>
      <c r="X404" s="97"/>
    </row>
    <row r="405">
      <c r="A405" s="205"/>
      <c r="B405" s="235"/>
      <c r="C405" s="236"/>
      <c r="D405" s="237"/>
      <c r="E405" s="235"/>
      <c r="F405" s="235"/>
      <c r="G405" s="239"/>
      <c r="H405" s="240"/>
      <c r="J405" s="237"/>
      <c r="K405" s="241"/>
      <c r="L405" s="241"/>
      <c r="M405" s="237"/>
      <c r="N405" s="242"/>
      <c r="O405" s="243"/>
      <c r="P405" s="244"/>
      <c r="Q405" s="245"/>
      <c r="R405" s="246"/>
      <c r="S405" s="244"/>
      <c r="T405" s="247"/>
      <c r="U405" s="247"/>
      <c r="V405" s="244"/>
      <c r="W405" s="244"/>
      <c r="X405" s="97"/>
    </row>
    <row r="406">
      <c r="A406" s="205"/>
      <c r="B406" s="235"/>
      <c r="C406" s="236"/>
      <c r="D406" s="237"/>
      <c r="E406" s="235"/>
      <c r="F406" s="235"/>
      <c r="G406" s="239"/>
      <c r="H406" s="240"/>
      <c r="J406" s="237"/>
      <c r="K406" s="241"/>
      <c r="L406" s="241"/>
      <c r="M406" s="237"/>
      <c r="N406" s="242"/>
      <c r="O406" s="243"/>
      <c r="P406" s="244"/>
      <c r="Q406" s="245"/>
      <c r="R406" s="246"/>
      <c r="S406" s="244"/>
      <c r="T406" s="247"/>
      <c r="U406" s="247"/>
      <c r="V406" s="244"/>
      <c r="W406" s="244"/>
      <c r="X406" s="97"/>
    </row>
    <row r="407">
      <c r="A407" s="205"/>
      <c r="B407" s="235"/>
      <c r="C407" s="236"/>
      <c r="D407" s="237"/>
      <c r="E407" s="235"/>
      <c r="F407" s="235"/>
      <c r="G407" s="239"/>
      <c r="H407" s="240"/>
      <c r="J407" s="237"/>
      <c r="K407" s="241"/>
      <c r="L407" s="241"/>
      <c r="M407" s="237"/>
      <c r="N407" s="242"/>
      <c r="O407" s="243"/>
      <c r="P407" s="244"/>
      <c r="Q407" s="245"/>
      <c r="R407" s="246"/>
      <c r="S407" s="244"/>
      <c r="T407" s="247"/>
      <c r="U407" s="247"/>
      <c r="V407" s="244"/>
      <c r="W407" s="244"/>
      <c r="X407" s="97"/>
    </row>
    <row r="408">
      <c r="A408" s="205"/>
      <c r="B408" s="235"/>
      <c r="C408" s="236"/>
      <c r="D408" s="237"/>
      <c r="E408" s="235"/>
      <c r="F408" s="235"/>
      <c r="G408" s="239"/>
      <c r="H408" s="240"/>
      <c r="J408" s="237"/>
      <c r="K408" s="241"/>
      <c r="L408" s="241"/>
      <c r="M408" s="237"/>
      <c r="N408" s="242"/>
      <c r="O408" s="243"/>
      <c r="P408" s="244"/>
      <c r="Q408" s="245"/>
      <c r="R408" s="246"/>
      <c r="S408" s="244"/>
      <c r="T408" s="247"/>
      <c r="U408" s="247"/>
      <c r="V408" s="244"/>
      <c r="W408" s="244"/>
      <c r="X408" s="97"/>
    </row>
    <row r="409">
      <c r="A409" s="205"/>
      <c r="B409" s="235"/>
      <c r="C409" s="236"/>
      <c r="D409" s="237"/>
      <c r="E409" s="235"/>
      <c r="F409" s="235"/>
      <c r="G409" s="239"/>
      <c r="H409" s="240"/>
      <c r="J409" s="237"/>
      <c r="K409" s="241"/>
      <c r="L409" s="241"/>
      <c r="M409" s="237"/>
      <c r="N409" s="242"/>
      <c r="O409" s="243"/>
      <c r="P409" s="244"/>
      <c r="Q409" s="245"/>
      <c r="R409" s="246"/>
      <c r="S409" s="244"/>
      <c r="T409" s="247"/>
      <c r="U409" s="247"/>
      <c r="V409" s="244"/>
      <c r="W409" s="244"/>
      <c r="X409" s="97"/>
    </row>
    <row r="410">
      <c r="A410" s="205"/>
      <c r="B410" s="235"/>
      <c r="C410" s="236"/>
      <c r="D410" s="237"/>
      <c r="E410" s="235"/>
      <c r="F410" s="235"/>
      <c r="G410" s="239"/>
      <c r="H410" s="240"/>
      <c r="J410" s="237"/>
      <c r="K410" s="241"/>
      <c r="L410" s="241"/>
      <c r="M410" s="237"/>
      <c r="N410" s="242"/>
      <c r="O410" s="243"/>
      <c r="P410" s="244"/>
      <c r="Q410" s="245"/>
      <c r="R410" s="246"/>
      <c r="S410" s="244"/>
      <c r="T410" s="247"/>
      <c r="U410" s="247"/>
      <c r="V410" s="244"/>
      <c r="W410" s="244"/>
      <c r="X410" s="97"/>
    </row>
    <row r="411">
      <c r="A411" s="205"/>
      <c r="B411" s="235"/>
      <c r="C411" s="236"/>
      <c r="D411" s="237"/>
      <c r="E411" s="235"/>
      <c r="F411" s="235"/>
      <c r="G411" s="239"/>
      <c r="H411" s="240"/>
      <c r="J411" s="237"/>
      <c r="K411" s="241"/>
      <c r="L411" s="241"/>
      <c r="M411" s="237"/>
      <c r="N411" s="242"/>
      <c r="O411" s="243"/>
      <c r="P411" s="244"/>
      <c r="Q411" s="245"/>
      <c r="R411" s="246"/>
      <c r="S411" s="244"/>
      <c r="T411" s="247"/>
      <c r="U411" s="247"/>
      <c r="V411" s="244"/>
      <c r="W411" s="244"/>
      <c r="X411" s="97"/>
    </row>
    <row r="412">
      <c r="A412" s="205"/>
      <c r="B412" s="235"/>
      <c r="C412" s="236"/>
      <c r="D412" s="237"/>
      <c r="E412" s="235"/>
      <c r="F412" s="235"/>
      <c r="G412" s="239"/>
      <c r="H412" s="240"/>
      <c r="J412" s="237"/>
      <c r="K412" s="241"/>
      <c r="L412" s="241"/>
      <c r="M412" s="237"/>
      <c r="N412" s="242"/>
      <c r="O412" s="243"/>
      <c r="P412" s="244"/>
      <c r="Q412" s="245"/>
      <c r="R412" s="246"/>
      <c r="S412" s="244"/>
      <c r="T412" s="247"/>
      <c r="U412" s="247"/>
      <c r="V412" s="244"/>
      <c r="W412" s="244"/>
      <c r="X412" s="97"/>
    </row>
    <row r="413">
      <c r="A413" s="205"/>
      <c r="B413" s="235"/>
      <c r="C413" s="236"/>
      <c r="D413" s="237"/>
      <c r="E413" s="235"/>
      <c r="F413" s="235"/>
      <c r="G413" s="239"/>
      <c r="H413" s="240"/>
      <c r="J413" s="237"/>
      <c r="K413" s="241"/>
      <c r="L413" s="241"/>
      <c r="M413" s="237"/>
      <c r="N413" s="242"/>
      <c r="O413" s="243"/>
      <c r="P413" s="244"/>
      <c r="Q413" s="245"/>
      <c r="R413" s="246"/>
      <c r="S413" s="244"/>
      <c r="T413" s="247"/>
      <c r="U413" s="247"/>
      <c r="V413" s="244"/>
      <c r="W413" s="244"/>
      <c r="X413" s="97"/>
    </row>
    <row r="414">
      <c r="A414" s="205"/>
      <c r="B414" s="235"/>
      <c r="C414" s="236"/>
      <c r="D414" s="237"/>
      <c r="E414" s="235"/>
      <c r="F414" s="235"/>
      <c r="G414" s="239"/>
      <c r="H414" s="240"/>
      <c r="J414" s="237"/>
      <c r="K414" s="241"/>
      <c r="L414" s="241"/>
      <c r="M414" s="237"/>
      <c r="N414" s="242"/>
      <c r="O414" s="243"/>
      <c r="P414" s="244"/>
      <c r="Q414" s="245"/>
      <c r="R414" s="246"/>
      <c r="S414" s="244"/>
      <c r="T414" s="247"/>
      <c r="U414" s="247"/>
      <c r="V414" s="244"/>
      <c r="W414" s="244"/>
      <c r="X414" s="97"/>
    </row>
    <row r="415">
      <c r="A415" s="205"/>
      <c r="B415" s="235"/>
      <c r="C415" s="236"/>
      <c r="D415" s="237"/>
      <c r="E415" s="235"/>
      <c r="F415" s="235"/>
      <c r="G415" s="239"/>
      <c r="H415" s="240"/>
      <c r="J415" s="237"/>
      <c r="K415" s="241"/>
      <c r="L415" s="241"/>
      <c r="M415" s="237"/>
      <c r="N415" s="242"/>
      <c r="O415" s="243"/>
      <c r="P415" s="244"/>
      <c r="Q415" s="245"/>
      <c r="R415" s="246"/>
      <c r="S415" s="244"/>
      <c r="T415" s="247"/>
      <c r="U415" s="247"/>
      <c r="V415" s="244"/>
      <c r="W415" s="244"/>
      <c r="X415" s="97"/>
    </row>
    <row r="416">
      <c r="A416" s="205"/>
      <c r="B416" s="235"/>
      <c r="C416" s="236"/>
      <c r="D416" s="237"/>
      <c r="E416" s="235"/>
      <c r="F416" s="235"/>
      <c r="G416" s="239"/>
      <c r="H416" s="240"/>
      <c r="J416" s="237"/>
      <c r="K416" s="241"/>
      <c r="L416" s="241"/>
      <c r="M416" s="237"/>
      <c r="N416" s="242"/>
      <c r="O416" s="243"/>
      <c r="P416" s="244"/>
      <c r="Q416" s="245"/>
      <c r="R416" s="246"/>
      <c r="S416" s="244"/>
      <c r="T416" s="247"/>
      <c r="U416" s="247"/>
      <c r="V416" s="244"/>
      <c r="W416" s="244"/>
      <c r="X416" s="97"/>
    </row>
    <row r="417">
      <c r="A417" s="205"/>
      <c r="B417" s="235"/>
      <c r="C417" s="236"/>
      <c r="D417" s="237"/>
      <c r="E417" s="235"/>
      <c r="F417" s="235"/>
      <c r="G417" s="239"/>
      <c r="H417" s="240"/>
      <c r="J417" s="237"/>
      <c r="K417" s="241"/>
      <c r="L417" s="241"/>
      <c r="M417" s="237"/>
      <c r="N417" s="242"/>
      <c r="O417" s="243"/>
      <c r="P417" s="244"/>
      <c r="Q417" s="245"/>
      <c r="R417" s="246"/>
      <c r="S417" s="244"/>
      <c r="T417" s="247"/>
      <c r="U417" s="247"/>
      <c r="V417" s="244"/>
      <c r="W417" s="244"/>
      <c r="X417" s="97"/>
    </row>
    <row r="418">
      <c r="A418" s="205"/>
      <c r="B418" s="235"/>
      <c r="C418" s="236"/>
      <c r="D418" s="237"/>
      <c r="E418" s="235"/>
      <c r="F418" s="235"/>
      <c r="G418" s="239"/>
      <c r="H418" s="240"/>
      <c r="J418" s="237"/>
      <c r="K418" s="241"/>
      <c r="L418" s="241"/>
      <c r="M418" s="237"/>
      <c r="N418" s="242"/>
      <c r="O418" s="243"/>
      <c r="P418" s="244"/>
      <c r="Q418" s="245"/>
      <c r="R418" s="246"/>
      <c r="S418" s="244"/>
      <c r="T418" s="247"/>
      <c r="U418" s="247"/>
      <c r="V418" s="244"/>
      <c r="W418" s="244"/>
      <c r="X418" s="97"/>
    </row>
    <row r="419">
      <c r="A419" s="205"/>
      <c r="B419" s="235"/>
      <c r="C419" s="236"/>
      <c r="D419" s="237"/>
      <c r="E419" s="235"/>
      <c r="F419" s="235"/>
      <c r="G419" s="239"/>
      <c r="H419" s="240"/>
      <c r="J419" s="237"/>
      <c r="K419" s="241"/>
      <c r="L419" s="241"/>
      <c r="M419" s="237"/>
      <c r="N419" s="242"/>
      <c r="O419" s="243"/>
      <c r="P419" s="244"/>
      <c r="Q419" s="245"/>
      <c r="R419" s="246"/>
      <c r="S419" s="244"/>
      <c r="T419" s="247"/>
      <c r="U419" s="247"/>
      <c r="V419" s="244"/>
      <c r="W419" s="244"/>
      <c r="X419" s="97"/>
    </row>
    <row r="420">
      <c r="A420" s="205"/>
      <c r="B420" s="235"/>
      <c r="C420" s="236"/>
      <c r="D420" s="237"/>
      <c r="E420" s="235"/>
      <c r="F420" s="235"/>
      <c r="G420" s="239"/>
      <c r="H420" s="240"/>
      <c r="J420" s="237"/>
      <c r="K420" s="241"/>
      <c r="L420" s="241"/>
      <c r="M420" s="237"/>
      <c r="N420" s="242"/>
      <c r="O420" s="243"/>
      <c r="P420" s="244"/>
      <c r="Q420" s="245"/>
      <c r="R420" s="246"/>
      <c r="S420" s="244"/>
      <c r="T420" s="247"/>
      <c r="U420" s="247"/>
      <c r="V420" s="244"/>
      <c r="W420" s="244"/>
      <c r="X420" s="97"/>
    </row>
    <row r="421">
      <c r="A421" s="205"/>
      <c r="B421" s="235"/>
      <c r="C421" s="236"/>
      <c r="D421" s="237"/>
      <c r="E421" s="235"/>
      <c r="F421" s="235"/>
      <c r="G421" s="239"/>
      <c r="H421" s="240"/>
      <c r="J421" s="237"/>
      <c r="K421" s="241"/>
      <c r="L421" s="241"/>
      <c r="M421" s="237"/>
      <c r="N421" s="242"/>
      <c r="O421" s="243"/>
      <c r="P421" s="244"/>
      <c r="Q421" s="245"/>
      <c r="R421" s="246"/>
      <c r="S421" s="244"/>
      <c r="T421" s="247"/>
      <c r="U421" s="247"/>
      <c r="V421" s="244"/>
      <c r="W421" s="244"/>
      <c r="X421" s="97"/>
    </row>
    <row r="422">
      <c r="A422" s="205"/>
      <c r="B422" s="235"/>
      <c r="C422" s="236"/>
      <c r="D422" s="237"/>
      <c r="E422" s="235"/>
      <c r="F422" s="235"/>
      <c r="G422" s="239"/>
      <c r="H422" s="240"/>
      <c r="J422" s="237"/>
      <c r="K422" s="241"/>
      <c r="L422" s="241"/>
      <c r="M422" s="237"/>
      <c r="N422" s="242"/>
      <c r="O422" s="243"/>
      <c r="P422" s="244"/>
      <c r="Q422" s="245"/>
      <c r="R422" s="246"/>
      <c r="S422" s="244"/>
      <c r="T422" s="247"/>
      <c r="U422" s="247"/>
      <c r="V422" s="244"/>
      <c r="W422" s="244"/>
      <c r="X422" s="97"/>
    </row>
    <row r="423">
      <c r="A423" s="205"/>
      <c r="B423" s="235"/>
      <c r="C423" s="236"/>
      <c r="D423" s="237"/>
      <c r="E423" s="235"/>
      <c r="F423" s="235"/>
      <c r="G423" s="239"/>
      <c r="H423" s="240"/>
      <c r="J423" s="237"/>
      <c r="K423" s="241"/>
      <c r="L423" s="241"/>
      <c r="M423" s="237"/>
      <c r="N423" s="242"/>
      <c r="O423" s="243"/>
      <c r="P423" s="244"/>
      <c r="Q423" s="245"/>
      <c r="R423" s="246"/>
      <c r="S423" s="244"/>
      <c r="T423" s="247"/>
      <c r="U423" s="247"/>
      <c r="V423" s="244"/>
      <c r="W423" s="244"/>
      <c r="X423" s="97"/>
    </row>
    <row r="424">
      <c r="A424" s="205"/>
      <c r="B424" s="235"/>
      <c r="C424" s="236"/>
      <c r="D424" s="237"/>
      <c r="E424" s="235"/>
      <c r="F424" s="235"/>
      <c r="G424" s="239"/>
      <c r="H424" s="240"/>
      <c r="J424" s="237"/>
      <c r="K424" s="241"/>
      <c r="L424" s="241"/>
      <c r="M424" s="237"/>
      <c r="N424" s="242"/>
      <c r="O424" s="243"/>
      <c r="P424" s="244"/>
      <c r="Q424" s="245"/>
      <c r="R424" s="246"/>
      <c r="S424" s="244"/>
      <c r="T424" s="247"/>
      <c r="U424" s="247"/>
      <c r="V424" s="244"/>
      <c r="W424" s="244"/>
      <c r="X424" s="97"/>
    </row>
    <row r="425">
      <c r="A425" s="205"/>
      <c r="B425" s="235"/>
      <c r="C425" s="236"/>
      <c r="D425" s="237"/>
      <c r="E425" s="235"/>
      <c r="F425" s="235"/>
      <c r="G425" s="239"/>
      <c r="H425" s="240"/>
      <c r="J425" s="237"/>
      <c r="K425" s="241"/>
      <c r="L425" s="241"/>
      <c r="M425" s="237"/>
      <c r="N425" s="242"/>
      <c r="O425" s="243"/>
      <c r="P425" s="244"/>
      <c r="Q425" s="245"/>
      <c r="R425" s="246"/>
      <c r="S425" s="244"/>
      <c r="T425" s="247"/>
      <c r="U425" s="247"/>
      <c r="V425" s="244"/>
      <c r="W425" s="244"/>
      <c r="X425" s="97"/>
    </row>
    <row r="426">
      <c r="A426" s="205"/>
      <c r="B426" s="235"/>
      <c r="C426" s="236"/>
      <c r="D426" s="237"/>
      <c r="E426" s="235"/>
      <c r="F426" s="235"/>
      <c r="G426" s="239"/>
      <c r="H426" s="240"/>
      <c r="J426" s="237"/>
      <c r="K426" s="241"/>
      <c r="L426" s="241"/>
      <c r="M426" s="237"/>
      <c r="N426" s="242"/>
      <c r="O426" s="243"/>
      <c r="P426" s="244"/>
      <c r="Q426" s="245"/>
      <c r="R426" s="246"/>
      <c r="S426" s="244"/>
      <c r="T426" s="247"/>
      <c r="U426" s="247"/>
      <c r="V426" s="244"/>
      <c r="W426" s="244"/>
      <c r="X426" s="97"/>
    </row>
    <row r="427">
      <c r="A427" s="205"/>
      <c r="B427" s="235"/>
      <c r="C427" s="236"/>
      <c r="D427" s="237"/>
      <c r="E427" s="235"/>
      <c r="F427" s="235"/>
      <c r="G427" s="239"/>
      <c r="H427" s="240"/>
      <c r="J427" s="237"/>
      <c r="K427" s="241"/>
      <c r="L427" s="241"/>
      <c r="M427" s="237"/>
      <c r="N427" s="242"/>
      <c r="O427" s="243"/>
      <c r="P427" s="244"/>
      <c r="Q427" s="245"/>
      <c r="R427" s="246"/>
      <c r="S427" s="244"/>
      <c r="T427" s="247"/>
      <c r="U427" s="247"/>
      <c r="V427" s="244"/>
      <c r="W427" s="244"/>
      <c r="X427" s="97"/>
    </row>
    <row r="428">
      <c r="A428" s="205"/>
      <c r="B428" s="235"/>
      <c r="C428" s="236"/>
      <c r="D428" s="237"/>
      <c r="E428" s="235"/>
      <c r="F428" s="235"/>
      <c r="G428" s="239"/>
      <c r="H428" s="240"/>
      <c r="J428" s="237"/>
      <c r="K428" s="241"/>
      <c r="L428" s="241"/>
      <c r="M428" s="237"/>
      <c r="N428" s="242"/>
      <c r="O428" s="243"/>
      <c r="P428" s="244"/>
      <c r="Q428" s="245"/>
      <c r="R428" s="246"/>
      <c r="S428" s="244"/>
      <c r="T428" s="247"/>
      <c r="U428" s="247"/>
      <c r="V428" s="244"/>
      <c r="W428" s="244"/>
      <c r="X428" s="97"/>
    </row>
    <row r="429">
      <c r="A429" s="205"/>
      <c r="B429" s="235"/>
      <c r="C429" s="236"/>
      <c r="D429" s="237"/>
      <c r="E429" s="235"/>
      <c r="F429" s="235"/>
      <c r="G429" s="239"/>
      <c r="H429" s="240"/>
      <c r="J429" s="237"/>
      <c r="K429" s="241"/>
      <c r="L429" s="241"/>
      <c r="M429" s="237"/>
      <c r="N429" s="242"/>
      <c r="O429" s="243"/>
      <c r="P429" s="244"/>
      <c r="Q429" s="245"/>
      <c r="R429" s="246"/>
      <c r="S429" s="244"/>
      <c r="T429" s="247"/>
      <c r="U429" s="247"/>
      <c r="V429" s="244"/>
      <c r="W429" s="244"/>
      <c r="X429" s="97"/>
    </row>
    <row r="430">
      <c r="A430" s="205"/>
      <c r="B430" s="235"/>
      <c r="C430" s="236"/>
      <c r="D430" s="237"/>
      <c r="E430" s="235"/>
      <c r="F430" s="235"/>
      <c r="G430" s="239"/>
      <c r="H430" s="240"/>
      <c r="J430" s="237"/>
      <c r="K430" s="241"/>
      <c r="L430" s="241"/>
      <c r="M430" s="237"/>
      <c r="N430" s="242"/>
      <c r="O430" s="243"/>
      <c r="P430" s="244"/>
      <c r="Q430" s="245"/>
      <c r="R430" s="246"/>
      <c r="S430" s="244"/>
      <c r="T430" s="247"/>
      <c r="U430" s="247"/>
      <c r="V430" s="244"/>
      <c r="W430" s="244"/>
      <c r="X430" s="97"/>
    </row>
    <row r="431">
      <c r="A431" s="205"/>
      <c r="B431" s="235"/>
      <c r="C431" s="236"/>
      <c r="D431" s="237"/>
      <c r="E431" s="235"/>
      <c r="F431" s="235"/>
      <c r="G431" s="239"/>
      <c r="H431" s="240"/>
      <c r="J431" s="237"/>
      <c r="K431" s="241"/>
      <c r="L431" s="241"/>
      <c r="M431" s="237"/>
      <c r="N431" s="242"/>
      <c r="O431" s="243"/>
      <c r="P431" s="244"/>
      <c r="Q431" s="245"/>
      <c r="R431" s="246"/>
      <c r="S431" s="244"/>
      <c r="T431" s="247"/>
      <c r="U431" s="247"/>
      <c r="V431" s="244"/>
      <c r="W431" s="244"/>
      <c r="X431" s="97"/>
    </row>
    <row r="432">
      <c r="A432" s="205"/>
      <c r="B432" s="235"/>
      <c r="C432" s="236"/>
      <c r="D432" s="237"/>
      <c r="E432" s="235"/>
      <c r="F432" s="235"/>
      <c r="G432" s="239"/>
      <c r="H432" s="240"/>
      <c r="J432" s="237"/>
      <c r="K432" s="241"/>
      <c r="L432" s="241"/>
      <c r="M432" s="237"/>
      <c r="N432" s="242"/>
      <c r="O432" s="243"/>
      <c r="P432" s="244"/>
      <c r="Q432" s="245"/>
      <c r="R432" s="246"/>
      <c r="S432" s="244"/>
      <c r="T432" s="247"/>
      <c r="U432" s="247"/>
      <c r="V432" s="244"/>
      <c r="W432" s="244"/>
      <c r="X432" s="97"/>
    </row>
    <row r="433">
      <c r="A433" s="205"/>
      <c r="B433" s="235"/>
      <c r="C433" s="236"/>
      <c r="D433" s="237"/>
      <c r="E433" s="235"/>
      <c r="F433" s="235"/>
      <c r="G433" s="239"/>
      <c r="H433" s="240"/>
      <c r="J433" s="237"/>
      <c r="K433" s="241"/>
      <c r="L433" s="241"/>
      <c r="M433" s="237"/>
      <c r="N433" s="242"/>
      <c r="O433" s="243"/>
      <c r="P433" s="244"/>
      <c r="Q433" s="245"/>
      <c r="R433" s="246"/>
      <c r="S433" s="244"/>
      <c r="T433" s="247"/>
      <c r="U433" s="247"/>
      <c r="V433" s="244"/>
      <c r="W433" s="244"/>
      <c r="X433" s="97"/>
    </row>
    <row r="434">
      <c r="A434" s="205"/>
      <c r="B434" s="235"/>
      <c r="C434" s="236"/>
      <c r="D434" s="237"/>
      <c r="E434" s="235"/>
      <c r="F434" s="235"/>
      <c r="G434" s="239"/>
      <c r="H434" s="240"/>
      <c r="J434" s="237"/>
      <c r="K434" s="241"/>
      <c r="L434" s="241"/>
      <c r="M434" s="237"/>
      <c r="N434" s="242"/>
      <c r="O434" s="243"/>
      <c r="P434" s="244"/>
      <c r="Q434" s="245"/>
      <c r="R434" s="246"/>
      <c r="S434" s="244"/>
      <c r="T434" s="247"/>
      <c r="U434" s="247"/>
      <c r="V434" s="244"/>
      <c r="W434" s="244"/>
      <c r="X434" s="97"/>
    </row>
    <row r="435">
      <c r="A435" s="205"/>
      <c r="B435" s="235"/>
      <c r="C435" s="236"/>
      <c r="D435" s="237"/>
      <c r="E435" s="235"/>
      <c r="F435" s="235"/>
      <c r="G435" s="239"/>
      <c r="H435" s="240"/>
      <c r="J435" s="237"/>
      <c r="K435" s="241"/>
      <c r="L435" s="241"/>
      <c r="M435" s="237"/>
      <c r="N435" s="242"/>
      <c r="O435" s="243"/>
      <c r="P435" s="244"/>
      <c r="Q435" s="245"/>
      <c r="R435" s="246"/>
      <c r="S435" s="244"/>
      <c r="T435" s="247"/>
      <c r="U435" s="247"/>
      <c r="V435" s="244"/>
      <c r="W435" s="244"/>
      <c r="X435" s="97"/>
    </row>
    <row r="436">
      <c r="A436" s="205"/>
      <c r="B436" s="235"/>
      <c r="C436" s="236"/>
      <c r="D436" s="237"/>
      <c r="E436" s="235"/>
      <c r="F436" s="235"/>
      <c r="G436" s="239"/>
      <c r="H436" s="240"/>
      <c r="J436" s="237"/>
      <c r="K436" s="241"/>
      <c r="L436" s="241"/>
      <c r="M436" s="237"/>
      <c r="N436" s="242"/>
      <c r="O436" s="243"/>
      <c r="P436" s="244"/>
      <c r="Q436" s="245"/>
      <c r="R436" s="246"/>
      <c r="S436" s="244"/>
      <c r="T436" s="247"/>
      <c r="U436" s="247"/>
      <c r="V436" s="244"/>
      <c r="W436" s="244"/>
      <c r="X436" s="97"/>
    </row>
    <row r="437">
      <c r="A437" s="205"/>
      <c r="B437" s="235"/>
      <c r="C437" s="236"/>
      <c r="D437" s="237"/>
      <c r="E437" s="235"/>
      <c r="F437" s="235"/>
      <c r="G437" s="239"/>
      <c r="H437" s="240"/>
      <c r="J437" s="237"/>
      <c r="K437" s="241"/>
      <c r="L437" s="241"/>
      <c r="M437" s="237"/>
      <c r="N437" s="242"/>
      <c r="O437" s="243"/>
      <c r="P437" s="244"/>
      <c r="Q437" s="245"/>
      <c r="R437" s="246"/>
      <c r="S437" s="244"/>
      <c r="T437" s="247"/>
      <c r="U437" s="247"/>
      <c r="V437" s="244"/>
      <c r="W437" s="244"/>
      <c r="X437" s="97"/>
    </row>
    <row r="438">
      <c r="A438" s="205"/>
      <c r="B438" s="235"/>
      <c r="C438" s="236"/>
      <c r="D438" s="237"/>
      <c r="E438" s="235"/>
      <c r="F438" s="235"/>
      <c r="G438" s="239"/>
      <c r="H438" s="240"/>
      <c r="J438" s="237"/>
      <c r="K438" s="241"/>
      <c r="L438" s="241"/>
      <c r="M438" s="237"/>
      <c r="N438" s="242"/>
      <c r="O438" s="243"/>
      <c r="P438" s="244"/>
      <c r="Q438" s="245"/>
      <c r="R438" s="246"/>
      <c r="S438" s="244"/>
      <c r="T438" s="247"/>
      <c r="U438" s="247"/>
      <c r="V438" s="244"/>
      <c r="W438" s="244"/>
      <c r="X438" s="97"/>
    </row>
    <row r="439">
      <c r="A439" s="205"/>
      <c r="B439" s="235"/>
      <c r="C439" s="236"/>
      <c r="D439" s="237"/>
      <c r="E439" s="235"/>
      <c r="F439" s="235"/>
      <c r="G439" s="239"/>
      <c r="H439" s="240"/>
      <c r="J439" s="237"/>
      <c r="K439" s="241"/>
      <c r="L439" s="241"/>
      <c r="M439" s="237"/>
      <c r="N439" s="242"/>
      <c r="O439" s="243"/>
      <c r="P439" s="244"/>
      <c r="Q439" s="245"/>
      <c r="R439" s="246"/>
      <c r="S439" s="244"/>
      <c r="T439" s="247"/>
      <c r="U439" s="247"/>
      <c r="V439" s="244"/>
      <c r="W439" s="244"/>
      <c r="X439" s="97"/>
    </row>
    <row r="440">
      <c r="A440" s="205"/>
      <c r="B440" s="235"/>
      <c r="C440" s="236"/>
      <c r="D440" s="237"/>
      <c r="E440" s="235"/>
      <c r="F440" s="235"/>
      <c r="G440" s="239"/>
      <c r="H440" s="240"/>
      <c r="J440" s="237"/>
      <c r="K440" s="241"/>
      <c r="L440" s="241"/>
      <c r="M440" s="237"/>
      <c r="N440" s="242"/>
      <c r="O440" s="243"/>
      <c r="P440" s="244"/>
      <c r="Q440" s="245"/>
      <c r="R440" s="246"/>
      <c r="S440" s="244"/>
      <c r="T440" s="247"/>
      <c r="U440" s="247"/>
      <c r="V440" s="244"/>
      <c r="W440" s="244"/>
      <c r="X440" s="97"/>
    </row>
    <row r="441">
      <c r="A441" s="205"/>
      <c r="B441" s="235"/>
      <c r="C441" s="236"/>
      <c r="D441" s="237"/>
      <c r="E441" s="235"/>
      <c r="F441" s="235"/>
      <c r="G441" s="239"/>
      <c r="H441" s="240"/>
      <c r="J441" s="237"/>
      <c r="K441" s="241"/>
      <c r="L441" s="241"/>
      <c r="M441" s="237"/>
      <c r="N441" s="242"/>
      <c r="O441" s="243"/>
      <c r="P441" s="244"/>
      <c r="Q441" s="245"/>
      <c r="R441" s="246"/>
      <c r="S441" s="244"/>
      <c r="T441" s="247"/>
      <c r="U441" s="247"/>
      <c r="V441" s="244"/>
      <c r="W441" s="244"/>
      <c r="X441" s="97"/>
    </row>
    <row r="442">
      <c r="A442" s="205"/>
      <c r="B442" s="235"/>
      <c r="C442" s="236"/>
      <c r="D442" s="237"/>
      <c r="E442" s="235"/>
      <c r="F442" s="235"/>
      <c r="G442" s="239"/>
      <c r="H442" s="240"/>
      <c r="J442" s="237"/>
      <c r="K442" s="241"/>
      <c r="L442" s="241"/>
      <c r="M442" s="237"/>
      <c r="N442" s="242"/>
      <c r="O442" s="243"/>
      <c r="P442" s="244"/>
      <c r="Q442" s="245"/>
      <c r="R442" s="246"/>
      <c r="S442" s="244"/>
      <c r="T442" s="247"/>
      <c r="U442" s="247"/>
      <c r="V442" s="244"/>
      <c r="W442" s="244"/>
      <c r="X442" s="97"/>
    </row>
    <row r="443">
      <c r="A443" s="205"/>
      <c r="B443" s="235"/>
      <c r="C443" s="236"/>
      <c r="D443" s="237"/>
      <c r="E443" s="235"/>
      <c r="F443" s="235"/>
      <c r="G443" s="239"/>
      <c r="H443" s="240"/>
      <c r="J443" s="237"/>
      <c r="K443" s="241"/>
      <c r="L443" s="241"/>
      <c r="M443" s="237"/>
      <c r="N443" s="242"/>
      <c r="O443" s="243"/>
      <c r="P443" s="244"/>
      <c r="Q443" s="245"/>
      <c r="R443" s="246"/>
      <c r="S443" s="244"/>
      <c r="T443" s="247"/>
      <c r="U443" s="247"/>
      <c r="V443" s="244"/>
      <c r="W443" s="244"/>
      <c r="X443" s="97"/>
    </row>
    <row r="444">
      <c r="A444" s="205"/>
      <c r="B444" s="235"/>
      <c r="C444" s="236"/>
      <c r="D444" s="237"/>
      <c r="E444" s="235"/>
      <c r="F444" s="235"/>
      <c r="G444" s="239"/>
      <c r="H444" s="240"/>
      <c r="J444" s="237"/>
      <c r="K444" s="241"/>
      <c r="L444" s="241"/>
      <c r="M444" s="237"/>
      <c r="N444" s="242"/>
      <c r="O444" s="243"/>
      <c r="P444" s="244"/>
      <c r="Q444" s="245"/>
      <c r="R444" s="246"/>
      <c r="S444" s="244"/>
      <c r="T444" s="247"/>
      <c r="U444" s="247"/>
      <c r="V444" s="244"/>
      <c r="W444" s="244"/>
      <c r="X444" s="97"/>
    </row>
    <row r="445">
      <c r="A445" s="205"/>
      <c r="B445" s="235"/>
      <c r="C445" s="236"/>
      <c r="D445" s="237"/>
      <c r="E445" s="235"/>
      <c r="F445" s="235"/>
      <c r="G445" s="239"/>
      <c r="H445" s="240"/>
      <c r="J445" s="237"/>
      <c r="K445" s="241"/>
      <c r="L445" s="241"/>
      <c r="M445" s="237"/>
      <c r="N445" s="242"/>
      <c r="O445" s="243"/>
      <c r="P445" s="244"/>
      <c r="Q445" s="245"/>
      <c r="R445" s="246"/>
      <c r="S445" s="244"/>
      <c r="T445" s="247"/>
      <c r="U445" s="247"/>
      <c r="V445" s="244"/>
      <c r="W445" s="244"/>
      <c r="X445" s="97"/>
    </row>
    <row r="446">
      <c r="A446" s="205"/>
      <c r="B446" s="235"/>
      <c r="C446" s="236"/>
      <c r="D446" s="237"/>
      <c r="E446" s="235"/>
      <c r="F446" s="235"/>
      <c r="G446" s="239"/>
      <c r="H446" s="240"/>
      <c r="J446" s="237"/>
      <c r="K446" s="241"/>
      <c r="L446" s="241"/>
      <c r="M446" s="237"/>
      <c r="N446" s="242"/>
      <c r="O446" s="243"/>
      <c r="P446" s="244"/>
      <c r="Q446" s="245"/>
      <c r="R446" s="246"/>
      <c r="S446" s="244"/>
      <c r="T446" s="247"/>
      <c r="U446" s="247"/>
      <c r="V446" s="244"/>
      <c r="W446" s="244"/>
      <c r="X446" s="97"/>
    </row>
    <row r="447">
      <c r="A447" s="205"/>
      <c r="B447" s="235"/>
      <c r="C447" s="236"/>
      <c r="D447" s="237"/>
      <c r="E447" s="235"/>
      <c r="F447" s="235"/>
      <c r="G447" s="239"/>
      <c r="H447" s="240"/>
      <c r="J447" s="237"/>
      <c r="K447" s="241"/>
      <c r="L447" s="241"/>
      <c r="M447" s="237"/>
      <c r="N447" s="242"/>
      <c r="O447" s="243"/>
      <c r="P447" s="244"/>
      <c r="Q447" s="245"/>
      <c r="R447" s="246"/>
      <c r="S447" s="244"/>
      <c r="T447" s="247"/>
      <c r="U447" s="247"/>
      <c r="V447" s="244"/>
      <c r="W447" s="244"/>
      <c r="X447" s="97"/>
    </row>
    <row r="448">
      <c r="A448" s="205"/>
      <c r="B448" s="235"/>
      <c r="C448" s="236"/>
      <c r="D448" s="237"/>
      <c r="E448" s="235"/>
      <c r="F448" s="235"/>
      <c r="G448" s="239"/>
      <c r="H448" s="240"/>
      <c r="J448" s="237"/>
      <c r="K448" s="241"/>
      <c r="L448" s="241"/>
      <c r="M448" s="237"/>
      <c r="N448" s="242"/>
      <c r="O448" s="243"/>
      <c r="P448" s="244"/>
      <c r="Q448" s="245"/>
      <c r="R448" s="246"/>
      <c r="S448" s="244"/>
      <c r="T448" s="247"/>
      <c r="U448" s="247"/>
      <c r="V448" s="244"/>
      <c r="W448" s="244"/>
      <c r="X448" s="97"/>
    </row>
    <row r="449">
      <c r="A449" s="205"/>
      <c r="B449" s="235"/>
      <c r="C449" s="236"/>
      <c r="D449" s="237"/>
      <c r="E449" s="235"/>
      <c r="F449" s="235"/>
      <c r="G449" s="239"/>
      <c r="H449" s="240"/>
      <c r="J449" s="237"/>
      <c r="K449" s="241"/>
      <c r="L449" s="241"/>
      <c r="M449" s="237"/>
      <c r="N449" s="242"/>
      <c r="O449" s="243"/>
      <c r="P449" s="244"/>
      <c r="Q449" s="245"/>
      <c r="R449" s="246"/>
      <c r="S449" s="244"/>
      <c r="T449" s="247"/>
      <c r="U449" s="247"/>
      <c r="V449" s="244"/>
      <c r="W449" s="244"/>
      <c r="X449" s="97"/>
    </row>
    <row r="450">
      <c r="A450" s="205"/>
      <c r="B450" s="235"/>
      <c r="C450" s="236"/>
      <c r="D450" s="237"/>
      <c r="E450" s="235"/>
      <c r="F450" s="235"/>
      <c r="G450" s="239"/>
      <c r="H450" s="240"/>
      <c r="J450" s="237"/>
      <c r="K450" s="241"/>
      <c r="L450" s="241"/>
      <c r="M450" s="237"/>
      <c r="N450" s="242"/>
      <c r="O450" s="243"/>
      <c r="P450" s="244"/>
      <c r="Q450" s="245"/>
      <c r="R450" s="246"/>
      <c r="S450" s="244"/>
      <c r="T450" s="247"/>
      <c r="U450" s="247"/>
      <c r="V450" s="244"/>
      <c r="W450" s="244"/>
      <c r="X450" s="97"/>
    </row>
    <row r="451">
      <c r="A451" s="205"/>
      <c r="B451" s="235"/>
      <c r="C451" s="236"/>
      <c r="D451" s="237"/>
      <c r="E451" s="235"/>
      <c r="F451" s="235"/>
      <c r="G451" s="239"/>
      <c r="H451" s="240"/>
      <c r="J451" s="237"/>
      <c r="K451" s="241"/>
      <c r="L451" s="241"/>
      <c r="M451" s="237"/>
      <c r="N451" s="242"/>
      <c r="O451" s="243"/>
      <c r="P451" s="244"/>
      <c r="Q451" s="245"/>
      <c r="R451" s="246"/>
      <c r="S451" s="244"/>
      <c r="T451" s="247"/>
      <c r="U451" s="247"/>
      <c r="V451" s="244"/>
      <c r="W451" s="244"/>
      <c r="X451" s="97"/>
    </row>
    <row r="452">
      <c r="A452" s="205"/>
      <c r="B452" s="235"/>
      <c r="C452" s="236"/>
      <c r="D452" s="237"/>
      <c r="E452" s="235"/>
      <c r="F452" s="235"/>
      <c r="G452" s="239"/>
      <c r="H452" s="240"/>
      <c r="J452" s="237"/>
      <c r="K452" s="241"/>
      <c r="L452" s="241"/>
      <c r="M452" s="237"/>
      <c r="N452" s="242"/>
      <c r="O452" s="243"/>
      <c r="P452" s="244"/>
      <c r="Q452" s="245"/>
      <c r="R452" s="246"/>
      <c r="S452" s="244"/>
      <c r="T452" s="247"/>
      <c r="U452" s="247"/>
      <c r="V452" s="244"/>
      <c r="W452" s="244"/>
      <c r="X452" s="97"/>
    </row>
    <row r="453">
      <c r="A453" s="205"/>
      <c r="B453" s="235"/>
      <c r="C453" s="236"/>
      <c r="D453" s="237"/>
      <c r="E453" s="235"/>
      <c r="F453" s="235"/>
      <c r="G453" s="239"/>
      <c r="H453" s="240"/>
      <c r="J453" s="237"/>
      <c r="K453" s="241"/>
      <c r="L453" s="241"/>
      <c r="M453" s="237"/>
      <c r="N453" s="242"/>
      <c r="O453" s="243"/>
      <c r="P453" s="244"/>
      <c r="Q453" s="245"/>
      <c r="R453" s="246"/>
      <c r="S453" s="244"/>
      <c r="T453" s="247"/>
      <c r="U453" s="247"/>
      <c r="V453" s="244"/>
      <c r="W453" s="244"/>
      <c r="X453" s="97"/>
    </row>
    <row r="454">
      <c r="A454" s="205"/>
      <c r="B454" s="235"/>
      <c r="C454" s="236"/>
      <c r="D454" s="237"/>
      <c r="E454" s="235"/>
      <c r="F454" s="235"/>
      <c r="G454" s="239"/>
      <c r="H454" s="240"/>
      <c r="J454" s="237"/>
      <c r="K454" s="241"/>
      <c r="L454" s="241"/>
      <c r="M454" s="237"/>
      <c r="N454" s="242"/>
      <c r="O454" s="243"/>
      <c r="P454" s="244"/>
      <c r="Q454" s="245"/>
      <c r="R454" s="246"/>
      <c r="S454" s="244"/>
      <c r="T454" s="247"/>
      <c r="U454" s="247"/>
      <c r="V454" s="244"/>
      <c r="W454" s="244"/>
      <c r="X454" s="97"/>
    </row>
    <row r="455">
      <c r="A455" s="205"/>
      <c r="B455" s="235"/>
      <c r="C455" s="236"/>
      <c r="D455" s="237"/>
      <c r="E455" s="235"/>
      <c r="F455" s="235"/>
      <c r="G455" s="239"/>
      <c r="H455" s="240"/>
      <c r="J455" s="237"/>
      <c r="K455" s="241"/>
      <c r="L455" s="241"/>
      <c r="M455" s="237"/>
      <c r="N455" s="242"/>
      <c r="O455" s="243"/>
      <c r="P455" s="244"/>
      <c r="Q455" s="245"/>
      <c r="R455" s="246"/>
      <c r="S455" s="244"/>
      <c r="T455" s="247"/>
      <c r="U455" s="247"/>
      <c r="V455" s="244"/>
      <c r="W455" s="244"/>
      <c r="X455" s="97"/>
    </row>
    <row r="456">
      <c r="A456" s="205"/>
      <c r="B456" s="235"/>
      <c r="C456" s="236"/>
      <c r="D456" s="237"/>
      <c r="E456" s="235"/>
      <c r="F456" s="235"/>
      <c r="G456" s="239"/>
      <c r="H456" s="240"/>
      <c r="J456" s="237"/>
      <c r="K456" s="241"/>
      <c r="L456" s="241"/>
      <c r="M456" s="237"/>
      <c r="N456" s="242"/>
      <c r="O456" s="243"/>
      <c r="P456" s="244"/>
      <c r="Q456" s="245"/>
      <c r="R456" s="246"/>
      <c r="S456" s="244"/>
      <c r="T456" s="247"/>
      <c r="U456" s="247"/>
      <c r="V456" s="244"/>
      <c r="W456" s="244"/>
      <c r="X456" s="97"/>
    </row>
    <row r="457">
      <c r="A457" s="205"/>
      <c r="B457" s="235"/>
      <c r="C457" s="236"/>
      <c r="D457" s="237"/>
      <c r="E457" s="235"/>
      <c r="F457" s="235"/>
      <c r="G457" s="239"/>
      <c r="H457" s="240"/>
      <c r="J457" s="237"/>
      <c r="K457" s="241"/>
      <c r="L457" s="241"/>
      <c r="M457" s="237"/>
      <c r="N457" s="242"/>
      <c r="O457" s="243"/>
      <c r="P457" s="244"/>
      <c r="Q457" s="245"/>
      <c r="R457" s="246"/>
      <c r="S457" s="244"/>
      <c r="T457" s="247"/>
      <c r="U457" s="247"/>
      <c r="V457" s="244"/>
      <c r="W457" s="244"/>
      <c r="X457" s="97"/>
    </row>
    <row r="458">
      <c r="A458" s="205"/>
      <c r="B458" s="235"/>
      <c r="C458" s="236"/>
      <c r="D458" s="237"/>
      <c r="E458" s="235"/>
      <c r="F458" s="235"/>
      <c r="G458" s="239"/>
      <c r="H458" s="240"/>
      <c r="J458" s="237"/>
      <c r="K458" s="241"/>
      <c r="L458" s="241"/>
      <c r="M458" s="237"/>
      <c r="N458" s="242"/>
      <c r="O458" s="243"/>
      <c r="P458" s="244"/>
      <c r="Q458" s="245"/>
      <c r="R458" s="246"/>
      <c r="S458" s="244"/>
      <c r="T458" s="247"/>
      <c r="U458" s="247"/>
      <c r="V458" s="244"/>
      <c r="W458" s="244"/>
      <c r="X458" s="97"/>
    </row>
    <row r="459">
      <c r="A459" s="205"/>
      <c r="B459" s="235"/>
      <c r="C459" s="236"/>
      <c r="D459" s="237"/>
      <c r="E459" s="235"/>
      <c r="F459" s="235"/>
      <c r="G459" s="239"/>
      <c r="H459" s="240"/>
      <c r="J459" s="237"/>
      <c r="K459" s="241"/>
      <c r="L459" s="241"/>
      <c r="M459" s="237"/>
      <c r="N459" s="242"/>
      <c r="O459" s="243"/>
      <c r="P459" s="244"/>
      <c r="Q459" s="245"/>
      <c r="R459" s="246"/>
      <c r="S459" s="244"/>
      <c r="T459" s="247"/>
      <c r="U459" s="247"/>
      <c r="V459" s="244"/>
      <c r="W459" s="244"/>
      <c r="X459" s="97"/>
    </row>
    <row r="460">
      <c r="A460" s="205"/>
      <c r="B460" s="235"/>
      <c r="C460" s="236"/>
      <c r="D460" s="237"/>
      <c r="E460" s="235"/>
      <c r="F460" s="235"/>
      <c r="G460" s="239"/>
      <c r="H460" s="240"/>
      <c r="J460" s="237"/>
      <c r="K460" s="241"/>
      <c r="L460" s="241"/>
      <c r="M460" s="237"/>
      <c r="N460" s="242"/>
      <c r="O460" s="243"/>
      <c r="P460" s="244"/>
      <c r="Q460" s="245"/>
      <c r="R460" s="246"/>
      <c r="S460" s="244"/>
      <c r="T460" s="247"/>
      <c r="U460" s="247"/>
      <c r="V460" s="244"/>
      <c r="W460" s="244"/>
      <c r="X460" s="97"/>
    </row>
    <row r="461">
      <c r="A461" s="205"/>
      <c r="B461" s="235"/>
      <c r="C461" s="236"/>
      <c r="D461" s="237"/>
      <c r="E461" s="235"/>
      <c r="F461" s="235"/>
      <c r="G461" s="239"/>
      <c r="H461" s="240"/>
      <c r="J461" s="237"/>
      <c r="K461" s="241"/>
      <c r="L461" s="241"/>
      <c r="M461" s="237"/>
      <c r="N461" s="242"/>
      <c r="O461" s="243"/>
      <c r="P461" s="244"/>
      <c r="Q461" s="245"/>
      <c r="R461" s="246"/>
      <c r="S461" s="244"/>
      <c r="T461" s="247"/>
      <c r="U461" s="247"/>
      <c r="V461" s="244"/>
      <c r="W461" s="244"/>
      <c r="X461" s="97"/>
    </row>
    <row r="462">
      <c r="A462" s="205"/>
      <c r="B462" s="235"/>
      <c r="C462" s="236"/>
      <c r="D462" s="237"/>
      <c r="E462" s="235"/>
      <c r="F462" s="235"/>
      <c r="G462" s="239"/>
      <c r="H462" s="240"/>
      <c r="J462" s="237"/>
      <c r="K462" s="241"/>
      <c r="L462" s="241"/>
      <c r="M462" s="237"/>
      <c r="N462" s="242"/>
      <c r="O462" s="243"/>
      <c r="P462" s="244"/>
      <c r="Q462" s="245"/>
      <c r="R462" s="246"/>
      <c r="S462" s="244"/>
      <c r="T462" s="247"/>
      <c r="U462" s="247"/>
      <c r="V462" s="244"/>
      <c r="W462" s="244"/>
      <c r="X462" s="97"/>
    </row>
    <row r="463">
      <c r="A463" s="205"/>
      <c r="B463" s="235"/>
      <c r="C463" s="236"/>
      <c r="D463" s="237"/>
      <c r="E463" s="235"/>
      <c r="F463" s="235"/>
      <c r="G463" s="239"/>
      <c r="H463" s="240"/>
      <c r="J463" s="237"/>
      <c r="K463" s="241"/>
      <c r="L463" s="241"/>
      <c r="M463" s="237"/>
      <c r="N463" s="242"/>
      <c r="O463" s="243"/>
      <c r="P463" s="244"/>
      <c r="Q463" s="245"/>
      <c r="R463" s="246"/>
      <c r="S463" s="244"/>
      <c r="T463" s="247"/>
      <c r="U463" s="247"/>
      <c r="V463" s="244"/>
      <c r="W463" s="244"/>
      <c r="X463" s="97"/>
    </row>
    <row r="464">
      <c r="A464" s="205"/>
      <c r="B464" s="235"/>
      <c r="C464" s="236"/>
      <c r="D464" s="237"/>
      <c r="E464" s="235"/>
      <c r="F464" s="235"/>
      <c r="G464" s="239"/>
      <c r="H464" s="240"/>
      <c r="J464" s="237"/>
      <c r="K464" s="241"/>
      <c r="L464" s="241"/>
      <c r="M464" s="237"/>
      <c r="N464" s="242"/>
      <c r="O464" s="243"/>
      <c r="P464" s="244"/>
      <c r="Q464" s="245"/>
      <c r="R464" s="246"/>
      <c r="S464" s="244"/>
      <c r="T464" s="247"/>
      <c r="U464" s="247"/>
      <c r="V464" s="244"/>
      <c r="W464" s="244"/>
      <c r="X464" s="97"/>
    </row>
    <row r="465">
      <c r="A465" s="205"/>
      <c r="B465" s="235"/>
      <c r="C465" s="236"/>
      <c r="D465" s="237"/>
      <c r="E465" s="235"/>
      <c r="F465" s="235"/>
      <c r="G465" s="239"/>
      <c r="H465" s="240"/>
      <c r="J465" s="237"/>
      <c r="K465" s="241"/>
      <c r="L465" s="241"/>
      <c r="M465" s="237"/>
      <c r="N465" s="242"/>
      <c r="O465" s="243"/>
      <c r="P465" s="244"/>
      <c r="Q465" s="245"/>
      <c r="R465" s="246"/>
      <c r="S465" s="244"/>
      <c r="T465" s="247"/>
      <c r="U465" s="247"/>
      <c r="V465" s="244"/>
      <c r="W465" s="244"/>
      <c r="X465" s="97"/>
    </row>
    <row r="466">
      <c r="A466" s="205"/>
      <c r="B466" s="235"/>
      <c r="C466" s="236"/>
      <c r="D466" s="237"/>
      <c r="E466" s="235"/>
      <c r="F466" s="235"/>
      <c r="G466" s="239"/>
      <c r="H466" s="240"/>
      <c r="J466" s="237"/>
      <c r="K466" s="241"/>
      <c r="L466" s="241"/>
      <c r="M466" s="237"/>
      <c r="N466" s="242"/>
      <c r="O466" s="243"/>
      <c r="P466" s="244"/>
      <c r="Q466" s="245"/>
      <c r="R466" s="246"/>
      <c r="S466" s="244"/>
      <c r="T466" s="247"/>
      <c r="U466" s="247"/>
      <c r="V466" s="244"/>
      <c r="W466" s="244"/>
      <c r="X466" s="97"/>
    </row>
    <row r="467">
      <c r="A467" s="205"/>
      <c r="B467" s="235"/>
      <c r="C467" s="236"/>
      <c r="D467" s="237"/>
      <c r="E467" s="235"/>
      <c r="F467" s="235"/>
      <c r="G467" s="239"/>
      <c r="H467" s="240"/>
      <c r="J467" s="237"/>
      <c r="K467" s="241"/>
      <c r="L467" s="241"/>
      <c r="M467" s="237"/>
      <c r="N467" s="242"/>
      <c r="O467" s="243"/>
      <c r="P467" s="244"/>
      <c r="Q467" s="245"/>
      <c r="R467" s="246"/>
      <c r="S467" s="244"/>
      <c r="T467" s="247"/>
      <c r="U467" s="247"/>
      <c r="V467" s="244"/>
      <c r="W467" s="244"/>
      <c r="X467" s="97"/>
    </row>
    <row r="468">
      <c r="A468" s="205"/>
      <c r="B468" s="235"/>
      <c r="C468" s="236"/>
      <c r="D468" s="237"/>
      <c r="E468" s="235"/>
      <c r="F468" s="235"/>
      <c r="G468" s="239"/>
      <c r="H468" s="240"/>
      <c r="J468" s="237"/>
      <c r="K468" s="241"/>
      <c r="L468" s="241"/>
      <c r="M468" s="237"/>
      <c r="N468" s="242"/>
      <c r="O468" s="243"/>
      <c r="P468" s="244"/>
      <c r="Q468" s="245"/>
      <c r="R468" s="246"/>
      <c r="S468" s="244"/>
      <c r="T468" s="247"/>
      <c r="U468" s="247"/>
      <c r="V468" s="244"/>
      <c r="W468" s="244"/>
      <c r="X468" s="97"/>
    </row>
    <row r="469">
      <c r="A469" s="205"/>
      <c r="B469" s="235"/>
      <c r="C469" s="236"/>
      <c r="D469" s="237"/>
      <c r="E469" s="235"/>
      <c r="F469" s="235"/>
      <c r="G469" s="239"/>
      <c r="H469" s="240"/>
      <c r="J469" s="237"/>
      <c r="K469" s="241"/>
      <c r="L469" s="241"/>
      <c r="M469" s="237"/>
      <c r="N469" s="242"/>
      <c r="O469" s="243"/>
      <c r="P469" s="244"/>
      <c r="Q469" s="245"/>
      <c r="R469" s="246"/>
      <c r="S469" s="244"/>
      <c r="T469" s="247"/>
      <c r="U469" s="247"/>
      <c r="V469" s="244"/>
      <c r="W469" s="244"/>
      <c r="X469" s="97"/>
    </row>
    <row r="470">
      <c r="A470" s="205"/>
      <c r="B470" s="235"/>
      <c r="C470" s="236"/>
      <c r="D470" s="237"/>
      <c r="E470" s="235"/>
      <c r="F470" s="235"/>
      <c r="G470" s="239"/>
      <c r="H470" s="240"/>
      <c r="J470" s="237"/>
      <c r="K470" s="241"/>
      <c r="L470" s="241"/>
      <c r="M470" s="237"/>
      <c r="N470" s="242"/>
      <c r="O470" s="243"/>
      <c r="P470" s="244"/>
      <c r="Q470" s="245"/>
      <c r="R470" s="246"/>
      <c r="S470" s="244"/>
      <c r="T470" s="247"/>
      <c r="U470" s="247"/>
      <c r="V470" s="244"/>
      <c r="W470" s="244"/>
      <c r="X470" s="97"/>
    </row>
    <row r="471">
      <c r="A471" s="205"/>
      <c r="B471" s="235"/>
      <c r="C471" s="236"/>
      <c r="D471" s="237"/>
      <c r="E471" s="235"/>
      <c r="F471" s="235"/>
      <c r="G471" s="239"/>
      <c r="H471" s="240"/>
      <c r="J471" s="237"/>
      <c r="K471" s="241"/>
      <c r="L471" s="241"/>
      <c r="M471" s="237"/>
      <c r="N471" s="242"/>
      <c r="O471" s="243"/>
      <c r="P471" s="244"/>
      <c r="Q471" s="245"/>
      <c r="R471" s="246"/>
      <c r="S471" s="244"/>
      <c r="T471" s="247"/>
      <c r="U471" s="247"/>
      <c r="V471" s="244"/>
      <c r="W471" s="244"/>
      <c r="X471" s="97"/>
    </row>
    <row r="472">
      <c r="A472" s="205"/>
      <c r="B472" s="235"/>
      <c r="C472" s="236"/>
      <c r="D472" s="237"/>
      <c r="E472" s="235"/>
      <c r="F472" s="235"/>
      <c r="G472" s="239"/>
      <c r="H472" s="240"/>
      <c r="J472" s="237"/>
      <c r="K472" s="241"/>
      <c r="L472" s="241"/>
      <c r="M472" s="237"/>
      <c r="N472" s="242"/>
      <c r="O472" s="243"/>
      <c r="P472" s="244"/>
      <c r="Q472" s="245"/>
      <c r="R472" s="246"/>
      <c r="S472" s="244"/>
      <c r="T472" s="247"/>
      <c r="U472" s="247"/>
      <c r="V472" s="244"/>
      <c r="W472" s="244"/>
      <c r="X472" s="97"/>
    </row>
    <row r="473">
      <c r="A473" s="205"/>
      <c r="B473" s="235"/>
      <c r="C473" s="236"/>
      <c r="D473" s="237"/>
      <c r="E473" s="235"/>
      <c r="F473" s="235"/>
      <c r="G473" s="239"/>
      <c r="H473" s="240"/>
      <c r="J473" s="237"/>
      <c r="K473" s="241"/>
      <c r="L473" s="241"/>
      <c r="M473" s="237"/>
      <c r="N473" s="242"/>
      <c r="O473" s="243"/>
      <c r="P473" s="244"/>
      <c r="Q473" s="245"/>
      <c r="R473" s="246"/>
      <c r="S473" s="244"/>
      <c r="T473" s="247"/>
      <c r="U473" s="247"/>
      <c r="V473" s="244"/>
      <c r="W473" s="244"/>
      <c r="X473" s="97"/>
    </row>
    <row r="474">
      <c r="A474" s="205"/>
      <c r="B474" s="235"/>
      <c r="C474" s="236"/>
      <c r="D474" s="237"/>
      <c r="E474" s="235"/>
      <c r="F474" s="235"/>
      <c r="G474" s="239"/>
      <c r="H474" s="240"/>
      <c r="J474" s="237"/>
      <c r="K474" s="241"/>
      <c r="L474" s="241"/>
      <c r="M474" s="237"/>
      <c r="N474" s="242"/>
      <c r="O474" s="243"/>
      <c r="P474" s="244"/>
      <c r="Q474" s="245"/>
      <c r="R474" s="246"/>
      <c r="S474" s="244"/>
      <c r="T474" s="247"/>
      <c r="U474" s="247"/>
      <c r="V474" s="244"/>
      <c r="W474" s="244"/>
      <c r="X474" s="97"/>
    </row>
    <row r="475">
      <c r="A475" s="205"/>
      <c r="B475" s="235"/>
      <c r="C475" s="236"/>
      <c r="D475" s="237"/>
      <c r="E475" s="235"/>
      <c r="F475" s="235"/>
      <c r="G475" s="239"/>
      <c r="H475" s="240"/>
      <c r="J475" s="237"/>
      <c r="K475" s="241"/>
      <c r="L475" s="241"/>
      <c r="M475" s="237"/>
      <c r="N475" s="242"/>
      <c r="O475" s="243"/>
      <c r="P475" s="244"/>
      <c r="Q475" s="245"/>
      <c r="R475" s="246"/>
      <c r="S475" s="244"/>
      <c r="T475" s="247"/>
      <c r="U475" s="247"/>
      <c r="V475" s="244"/>
      <c r="W475" s="244"/>
      <c r="X475" s="97"/>
    </row>
    <row r="476">
      <c r="A476" s="205"/>
      <c r="B476" s="235"/>
      <c r="C476" s="236"/>
      <c r="D476" s="237"/>
      <c r="E476" s="235"/>
      <c r="F476" s="235"/>
      <c r="G476" s="239"/>
      <c r="H476" s="240"/>
      <c r="J476" s="237"/>
      <c r="K476" s="241"/>
      <c r="L476" s="241"/>
      <c r="M476" s="237"/>
      <c r="N476" s="242"/>
      <c r="O476" s="243"/>
      <c r="P476" s="244"/>
      <c r="Q476" s="245"/>
      <c r="R476" s="246"/>
      <c r="S476" s="244"/>
      <c r="T476" s="247"/>
      <c r="U476" s="247"/>
      <c r="V476" s="244"/>
      <c r="W476" s="244"/>
      <c r="X476" s="97"/>
    </row>
    <row r="477">
      <c r="A477" s="205"/>
      <c r="B477" s="235"/>
      <c r="C477" s="236"/>
      <c r="D477" s="237"/>
      <c r="E477" s="235"/>
      <c r="F477" s="235"/>
      <c r="G477" s="239"/>
      <c r="H477" s="240"/>
      <c r="J477" s="237"/>
      <c r="K477" s="241"/>
      <c r="L477" s="241"/>
      <c r="M477" s="237"/>
      <c r="N477" s="242"/>
      <c r="O477" s="243"/>
      <c r="P477" s="244"/>
      <c r="Q477" s="245"/>
      <c r="R477" s="246"/>
      <c r="S477" s="244"/>
      <c r="T477" s="247"/>
      <c r="U477" s="247"/>
      <c r="V477" s="244"/>
      <c r="W477" s="244"/>
      <c r="X477" s="97"/>
    </row>
    <row r="478">
      <c r="A478" s="205"/>
      <c r="B478" s="235"/>
      <c r="C478" s="236"/>
      <c r="D478" s="237"/>
      <c r="E478" s="235"/>
      <c r="F478" s="235"/>
      <c r="G478" s="239"/>
      <c r="H478" s="240"/>
      <c r="J478" s="237"/>
      <c r="K478" s="241"/>
      <c r="L478" s="241"/>
      <c r="M478" s="237"/>
      <c r="N478" s="242"/>
      <c r="O478" s="243"/>
      <c r="P478" s="244"/>
      <c r="Q478" s="245"/>
      <c r="R478" s="246"/>
      <c r="S478" s="244"/>
      <c r="T478" s="247"/>
      <c r="U478" s="247"/>
      <c r="V478" s="244"/>
      <c r="W478" s="244"/>
      <c r="X478" s="97"/>
    </row>
    <row r="479">
      <c r="A479" s="205"/>
      <c r="B479" s="235"/>
      <c r="C479" s="236"/>
      <c r="D479" s="237"/>
      <c r="E479" s="235"/>
      <c r="F479" s="235"/>
      <c r="G479" s="239"/>
      <c r="H479" s="240"/>
      <c r="J479" s="237"/>
      <c r="K479" s="241"/>
      <c r="L479" s="241"/>
      <c r="M479" s="237"/>
      <c r="N479" s="242"/>
      <c r="O479" s="243"/>
      <c r="P479" s="244"/>
      <c r="Q479" s="245"/>
      <c r="R479" s="246"/>
      <c r="S479" s="244"/>
      <c r="T479" s="247"/>
      <c r="U479" s="247"/>
      <c r="V479" s="244"/>
      <c r="W479" s="244"/>
      <c r="X479" s="97"/>
    </row>
    <row r="480">
      <c r="A480" s="205"/>
      <c r="B480" s="235"/>
      <c r="C480" s="236"/>
      <c r="D480" s="237"/>
      <c r="E480" s="235"/>
      <c r="F480" s="235"/>
      <c r="G480" s="239"/>
      <c r="H480" s="240"/>
      <c r="J480" s="237"/>
      <c r="K480" s="241"/>
      <c r="L480" s="241"/>
      <c r="M480" s="237"/>
      <c r="N480" s="242"/>
      <c r="O480" s="243"/>
      <c r="P480" s="244"/>
      <c r="Q480" s="245"/>
      <c r="R480" s="246"/>
      <c r="S480" s="244"/>
      <c r="T480" s="247"/>
      <c r="U480" s="247"/>
      <c r="V480" s="244"/>
      <c r="W480" s="244"/>
      <c r="X480" s="97"/>
    </row>
    <row r="481">
      <c r="A481" s="205"/>
      <c r="B481" s="235"/>
      <c r="C481" s="236"/>
      <c r="D481" s="237"/>
      <c r="E481" s="235"/>
      <c r="F481" s="235"/>
      <c r="G481" s="239"/>
      <c r="H481" s="240"/>
      <c r="J481" s="237"/>
      <c r="K481" s="241"/>
      <c r="L481" s="241"/>
      <c r="M481" s="237"/>
      <c r="N481" s="242"/>
      <c r="O481" s="243"/>
      <c r="P481" s="244"/>
      <c r="Q481" s="245"/>
      <c r="R481" s="246"/>
      <c r="S481" s="244"/>
      <c r="T481" s="247"/>
      <c r="U481" s="247"/>
      <c r="V481" s="244"/>
      <c r="W481" s="244"/>
      <c r="X481" s="97"/>
    </row>
    <row r="482">
      <c r="A482" s="205"/>
      <c r="B482" s="235"/>
      <c r="C482" s="236"/>
      <c r="D482" s="237"/>
      <c r="E482" s="235"/>
      <c r="F482" s="235"/>
      <c r="G482" s="239"/>
      <c r="H482" s="240"/>
      <c r="J482" s="237"/>
      <c r="K482" s="241"/>
      <c r="L482" s="241"/>
      <c r="M482" s="237"/>
      <c r="N482" s="242"/>
      <c r="O482" s="243"/>
      <c r="P482" s="244"/>
      <c r="Q482" s="245"/>
      <c r="R482" s="246"/>
      <c r="S482" s="244"/>
      <c r="T482" s="247"/>
      <c r="U482" s="247"/>
      <c r="V482" s="244"/>
      <c r="W482" s="244"/>
      <c r="X482" s="97"/>
    </row>
    <row r="483">
      <c r="A483" s="205"/>
      <c r="B483" s="235"/>
      <c r="C483" s="236"/>
      <c r="D483" s="237"/>
      <c r="E483" s="235"/>
      <c r="F483" s="235"/>
      <c r="G483" s="239"/>
      <c r="H483" s="240"/>
      <c r="J483" s="237"/>
      <c r="K483" s="241"/>
      <c r="L483" s="241"/>
      <c r="M483" s="237"/>
      <c r="N483" s="242"/>
      <c r="O483" s="243"/>
      <c r="P483" s="244"/>
      <c r="Q483" s="245"/>
      <c r="R483" s="246"/>
      <c r="S483" s="244"/>
      <c r="T483" s="247"/>
      <c r="U483" s="247"/>
      <c r="V483" s="244"/>
      <c r="W483" s="244"/>
      <c r="X483" s="97"/>
    </row>
    <row r="484">
      <c r="A484" s="205"/>
      <c r="B484" s="235"/>
      <c r="C484" s="236"/>
      <c r="D484" s="237"/>
      <c r="E484" s="235"/>
      <c r="F484" s="235"/>
      <c r="G484" s="239"/>
      <c r="H484" s="240"/>
      <c r="J484" s="237"/>
      <c r="K484" s="241"/>
      <c r="L484" s="241"/>
      <c r="M484" s="237"/>
      <c r="N484" s="242"/>
      <c r="O484" s="243"/>
      <c r="P484" s="244"/>
      <c r="Q484" s="245"/>
      <c r="R484" s="246"/>
      <c r="S484" s="244"/>
      <c r="T484" s="247"/>
      <c r="U484" s="247"/>
      <c r="V484" s="244"/>
      <c r="W484" s="244"/>
      <c r="X484" s="97"/>
    </row>
    <row r="485">
      <c r="A485" s="205"/>
      <c r="B485" s="235"/>
      <c r="C485" s="236"/>
      <c r="D485" s="237"/>
      <c r="E485" s="235"/>
      <c r="F485" s="235"/>
      <c r="G485" s="239"/>
      <c r="H485" s="240"/>
      <c r="J485" s="237"/>
      <c r="K485" s="241"/>
      <c r="L485" s="241"/>
      <c r="M485" s="237"/>
      <c r="N485" s="242"/>
      <c r="O485" s="243"/>
      <c r="P485" s="244"/>
      <c r="Q485" s="245"/>
      <c r="R485" s="246"/>
      <c r="S485" s="244"/>
      <c r="T485" s="247"/>
      <c r="U485" s="247"/>
      <c r="V485" s="244"/>
      <c r="W485" s="244"/>
      <c r="X485" s="97"/>
    </row>
    <row r="486">
      <c r="A486" s="205"/>
      <c r="B486" s="235"/>
      <c r="C486" s="236"/>
      <c r="D486" s="237"/>
      <c r="E486" s="235"/>
      <c r="F486" s="235"/>
      <c r="G486" s="239"/>
      <c r="H486" s="240"/>
      <c r="J486" s="237"/>
      <c r="K486" s="241"/>
      <c r="L486" s="241"/>
      <c r="M486" s="237"/>
      <c r="N486" s="242"/>
      <c r="O486" s="243"/>
      <c r="P486" s="244"/>
      <c r="Q486" s="245"/>
      <c r="R486" s="246"/>
      <c r="S486" s="244"/>
      <c r="T486" s="247"/>
      <c r="U486" s="247"/>
      <c r="V486" s="244"/>
      <c r="W486" s="244"/>
      <c r="X486" s="97"/>
    </row>
    <row r="487">
      <c r="A487" s="205"/>
      <c r="B487" s="235"/>
      <c r="C487" s="236"/>
      <c r="D487" s="237"/>
      <c r="E487" s="235"/>
      <c r="F487" s="235"/>
      <c r="G487" s="239"/>
      <c r="H487" s="240"/>
      <c r="J487" s="237"/>
      <c r="K487" s="241"/>
      <c r="L487" s="241"/>
      <c r="M487" s="237"/>
      <c r="N487" s="242"/>
      <c r="O487" s="243"/>
      <c r="P487" s="244"/>
      <c r="Q487" s="245"/>
      <c r="R487" s="246"/>
      <c r="S487" s="244"/>
      <c r="T487" s="247"/>
      <c r="U487" s="247"/>
      <c r="V487" s="244"/>
      <c r="W487" s="244"/>
      <c r="X487" s="97"/>
    </row>
    <row r="488">
      <c r="A488" s="205"/>
      <c r="B488" s="235"/>
      <c r="C488" s="236"/>
      <c r="D488" s="237"/>
      <c r="E488" s="235"/>
      <c r="F488" s="235"/>
      <c r="G488" s="239"/>
      <c r="H488" s="240"/>
      <c r="J488" s="237"/>
      <c r="K488" s="241"/>
      <c r="L488" s="241"/>
      <c r="M488" s="237"/>
      <c r="N488" s="242"/>
      <c r="O488" s="243"/>
      <c r="P488" s="244"/>
      <c r="Q488" s="245"/>
      <c r="R488" s="246"/>
      <c r="S488" s="244"/>
      <c r="T488" s="247"/>
      <c r="U488" s="247"/>
      <c r="V488" s="244"/>
      <c r="W488" s="244"/>
      <c r="X488" s="97"/>
    </row>
    <row r="489">
      <c r="A489" s="205"/>
      <c r="B489" s="235"/>
      <c r="C489" s="236"/>
      <c r="D489" s="237"/>
      <c r="E489" s="235"/>
      <c r="F489" s="235"/>
      <c r="G489" s="239"/>
      <c r="H489" s="240"/>
      <c r="J489" s="237"/>
      <c r="K489" s="241"/>
      <c r="L489" s="241"/>
      <c r="M489" s="237"/>
      <c r="N489" s="242"/>
      <c r="O489" s="243"/>
      <c r="P489" s="244"/>
      <c r="Q489" s="245"/>
      <c r="R489" s="246"/>
      <c r="S489" s="244"/>
      <c r="T489" s="247"/>
      <c r="U489" s="247"/>
      <c r="V489" s="244"/>
      <c r="W489" s="244"/>
      <c r="X489" s="97"/>
    </row>
    <row r="490">
      <c r="A490" s="205"/>
      <c r="B490" s="235"/>
      <c r="C490" s="236"/>
      <c r="D490" s="237"/>
      <c r="E490" s="235"/>
      <c r="F490" s="235"/>
      <c r="G490" s="239"/>
      <c r="H490" s="240"/>
      <c r="J490" s="237"/>
      <c r="K490" s="241"/>
      <c r="L490" s="241"/>
      <c r="M490" s="237"/>
      <c r="N490" s="242"/>
      <c r="O490" s="243"/>
      <c r="P490" s="244"/>
      <c r="Q490" s="245"/>
      <c r="R490" s="246"/>
      <c r="S490" s="244"/>
      <c r="T490" s="247"/>
      <c r="U490" s="247"/>
      <c r="V490" s="244"/>
      <c r="W490" s="244"/>
      <c r="X490" s="97"/>
    </row>
    <row r="491">
      <c r="A491" s="205"/>
      <c r="B491" s="235"/>
      <c r="C491" s="236"/>
      <c r="D491" s="237"/>
      <c r="E491" s="235"/>
      <c r="F491" s="235"/>
      <c r="G491" s="239"/>
      <c r="H491" s="240"/>
      <c r="J491" s="237"/>
      <c r="K491" s="241"/>
      <c r="L491" s="241"/>
      <c r="M491" s="237"/>
      <c r="N491" s="242"/>
      <c r="O491" s="243"/>
      <c r="P491" s="244"/>
      <c r="Q491" s="245"/>
      <c r="R491" s="246"/>
      <c r="S491" s="244"/>
      <c r="T491" s="247"/>
      <c r="U491" s="247"/>
      <c r="V491" s="244"/>
      <c r="W491" s="244"/>
      <c r="X491" s="97"/>
    </row>
    <row r="492">
      <c r="A492" s="205"/>
      <c r="B492" s="235"/>
      <c r="C492" s="236"/>
      <c r="D492" s="237"/>
      <c r="E492" s="235"/>
      <c r="F492" s="235"/>
      <c r="G492" s="239"/>
      <c r="H492" s="240"/>
      <c r="J492" s="237"/>
      <c r="K492" s="241"/>
      <c r="L492" s="241"/>
      <c r="M492" s="237"/>
      <c r="N492" s="242"/>
      <c r="O492" s="243"/>
      <c r="P492" s="244"/>
      <c r="Q492" s="245"/>
      <c r="R492" s="246"/>
      <c r="S492" s="244"/>
      <c r="T492" s="247"/>
      <c r="U492" s="247"/>
      <c r="V492" s="244"/>
      <c r="W492" s="244"/>
      <c r="X492" s="97"/>
    </row>
    <row r="493">
      <c r="A493" s="205"/>
      <c r="B493" s="235"/>
      <c r="C493" s="236"/>
      <c r="D493" s="237"/>
      <c r="E493" s="235"/>
      <c r="F493" s="235"/>
      <c r="G493" s="239"/>
      <c r="H493" s="240"/>
      <c r="J493" s="237"/>
      <c r="K493" s="241"/>
      <c r="L493" s="241"/>
      <c r="M493" s="237"/>
      <c r="N493" s="242"/>
      <c r="O493" s="243"/>
      <c r="P493" s="244"/>
      <c r="Q493" s="245"/>
      <c r="R493" s="246"/>
      <c r="S493" s="244"/>
      <c r="T493" s="247"/>
      <c r="U493" s="247"/>
      <c r="V493" s="244"/>
      <c r="W493" s="244"/>
      <c r="X493" s="97"/>
    </row>
    <row r="494">
      <c r="A494" s="205"/>
      <c r="B494" s="235"/>
      <c r="C494" s="236"/>
      <c r="D494" s="237"/>
      <c r="E494" s="235"/>
      <c r="F494" s="235"/>
      <c r="G494" s="239"/>
      <c r="H494" s="240"/>
      <c r="J494" s="237"/>
      <c r="K494" s="241"/>
      <c r="L494" s="241"/>
      <c r="M494" s="237"/>
      <c r="N494" s="242"/>
      <c r="O494" s="243"/>
      <c r="P494" s="244"/>
      <c r="Q494" s="245"/>
      <c r="R494" s="246"/>
      <c r="S494" s="244"/>
      <c r="T494" s="247"/>
      <c r="U494" s="247"/>
      <c r="V494" s="244"/>
      <c r="W494" s="244"/>
      <c r="X494" s="97"/>
    </row>
    <row r="495">
      <c r="A495" s="205"/>
      <c r="B495" s="235"/>
      <c r="C495" s="236"/>
      <c r="D495" s="237"/>
      <c r="E495" s="235"/>
      <c r="F495" s="235"/>
      <c r="G495" s="239"/>
      <c r="H495" s="240"/>
      <c r="J495" s="237"/>
      <c r="K495" s="241"/>
      <c r="L495" s="241"/>
      <c r="M495" s="237"/>
      <c r="N495" s="242"/>
      <c r="O495" s="243"/>
      <c r="P495" s="244"/>
      <c r="Q495" s="245"/>
      <c r="R495" s="246"/>
      <c r="S495" s="244"/>
      <c r="T495" s="247"/>
      <c r="U495" s="247"/>
      <c r="V495" s="244"/>
      <c r="W495" s="244"/>
      <c r="X495" s="97"/>
    </row>
    <row r="496">
      <c r="A496" s="205"/>
      <c r="B496" s="235"/>
      <c r="C496" s="236"/>
      <c r="D496" s="237"/>
      <c r="E496" s="235"/>
      <c r="F496" s="235"/>
      <c r="G496" s="239"/>
      <c r="H496" s="240"/>
      <c r="J496" s="237"/>
      <c r="K496" s="241"/>
      <c r="L496" s="241"/>
      <c r="M496" s="237"/>
      <c r="N496" s="242"/>
      <c r="O496" s="243"/>
      <c r="P496" s="244"/>
      <c r="Q496" s="245"/>
      <c r="R496" s="246"/>
      <c r="S496" s="244"/>
      <c r="T496" s="247"/>
      <c r="U496" s="247"/>
      <c r="V496" s="244"/>
      <c r="W496" s="244"/>
      <c r="X496" s="97"/>
    </row>
    <row r="497">
      <c r="A497" s="205"/>
      <c r="B497" s="235"/>
      <c r="C497" s="236"/>
      <c r="D497" s="237"/>
      <c r="E497" s="235"/>
      <c r="F497" s="235"/>
      <c r="G497" s="239"/>
      <c r="H497" s="240"/>
      <c r="J497" s="237"/>
      <c r="K497" s="241"/>
      <c r="L497" s="241"/>
      <c r="M497" s="237"/>
      <c r="N497" s="242"/>
      <c r="O497" s="243"/>
      <c r="P497" s="244"/>
      <c r="Q497" s="245"/>
      <c r="R497" s="246"/>
      <c r="S497" s="244"/>
      <c r="T497" s="247"/>
      <c r="U497" s="247"/>
      <c r="V497" s="244"/>
      <c r="W497" s="244"/>
      <c r="X497" s="97"/>
    </row>
    <row r="498">
      <c r="A498" s="205"/>
      <c r="B498" s="235"/>
      <c r="C498" s="236"/>
      <c r="D498" s="237"/>
      <c r="E498" s="235"/>
      <c r="F498" s="235"/>
      <c r="G498" s="239"/>
      <c r="H498" s="240"/>
      <c r="J498" s="237"/>
      <c r="K498" s="241"/>
      <c r="L498" s="241"/>
      <c r="M498" s="237"/>
      <c r="N498" s="242"/>
      <c r="O498" s="243"/>
      <c r="P498" s="244"/>
      <c r="Q498" s="245"/>
      <c r="R498" s="246"/>
      <c r="S498" s="244"/>
      <c r="T498" s="247"/>
      <c r="U498" s="247"/>
      <c r="V498" s="244"/>
      <c r="W498" s="244"/>
      <c r="X498" s="97"/>
    </row>
    <row r="499">
      <c r="A499" s="205"/>
      <c r="B499" s="235"/>
      <c r="C499" s="236"/>
      <c r="D499" s="237"/>
      <c r="E499" s="235"/>
      <c r="F499" s="235"/>
      <c r="G499" s="239"/>
      <c r="H499" s="240"/>
      <c r="J499" s="237"/>
      <c r="K499" s="241"/>
      <c r="L499" s="241"/>
      <c r="M499" s="237"/>
      <c r="N499" s="242"/>
      <c r="O499" s="243"/>
      <c r="P499" s="244"/>
      <c r="Q499" s="245"/>
      <c r="R499" s="246"/>
      <c r="S499" s="244"/>
      <c r="T499" s="247"/>
      <c r="U499" s="247"/>
      <c r="V499" s="244"/>
      <c r="W499" s="244"/>
      <c r="X499" s="97"/>
    </row>
    <row r="500">
      <c r="A500" s="205"/>
      <c r="B500" s="235"/>
      <c r="C500" s="236"/>
      <c r="D500" s="237"/>
      <c r="E500" s="235"/>
      <c r="F500" s="235"/>
      <c r="G500" s="239"/>
      <c r="H500" s="240"/>
      <c r="J500" s="237"/>
      <c r="K500" s="241"/>
      <c r="L500" s="241"/>
      <c r="M500" s="237"/>
      <c r="N500" s="242"/>
      <c r="O500" s="243"/>
      <c r="P500" s="244"/>
      <c r="Q500" s="245"/>
      <c r="R500" s="246"/>
      <c r="S500" s="244"/>
      <c r="T500" s="247"/>
      <c r="U500" s="247"/>
      <c r="V500" s="244"/>
      <c r="W500" s="244"/>
      <c r="X500" s="97"/>
    </row>
    <row r="501">
      <c r="A501" s="205"/>
      <c r="B501" s="235"/>
      <c r="C501" s="236"/>
      <c r="D501" s="237"/>
      <c r="E501" s="235"/>
      <c r="F501" s="235"/>
      <c r="G501" s="239"/>
      <c r="H501" s="240"/>
      <c r="J501" s="237"/>
      <c r="K501" s="241"/>
      <c r="L501" s="241"/>
      <c r="M501" s="237"/>
      <c r="N501" s="242"/>
      <c r="O501" s="243"/>
      <c r="P501" s="244"/>
      <c r="Q501" s="245"/>
      <c r="R501" s="246"/>
      <c r="S501" s="244"/>
      <c r="T501" s="247"/>
      <c r="U501" s="247"/>
      <c r="V501" s="244"/>
      <c r="W501" s="244"/>
      <c r="X501" s="97"/>
    </row>
    <row r="502">
      <c r="A502" s="205"/>
      <c r="B502" s="235"/>
      <c r="C502" s="236"/>
      <c r="D502" s="237"/>
      <c r="E502" s="235"/>
      <c r="F502" s="235"/>
      <c r="G502" s="239"/>
      <c r="H502" s="240"/>
      <c r="J502" s="237"/>
      <c r="K502" s="241"/>
      <c r="L502" s="241"/>
      <c r="M502" s="237"/>
      <c r="N502" s="242"/>
      <c r="O502" s="243"/>
      <c r="P502" s="244"/>
      <c r="Q502" s="245"/>
      <c r="R502" s="246"/>
      <c r="S502" s="244"/>
      <c r="T502" s="247"/>
      <c r="U502" s="247"/>
      <c r="V502" s="244"/>
      <c r="W502" s="244"/>
      <c r="X502" s="97"/>
    </row>
    <row r="503">
      <c r="A503" s="205"/>
      <c r="B503" s="235"/>
      <c r="C503" s="236"/>
      <c r="D503" s="237"/>
      <c r="E503" s="235"/>
      <c r="F503" s="235"/>
      <c r="G503" s="239"/>
      <c r="H503" s="240"/>
      <c r="J503" s="237"/>
      <c r="K503" s="241"/>
      <c r="L503" s="241"/>
      <c r="M503" s="237"/>
      <c r="N503" s="242"/>
      <c r="O503" s="243"/>
      <c r="P503" s="244"/>
      <c r="Q503" s="245"/>
      <c r="R503" s="246"/>
      <c r="S503" s="244"/>
      <c r="T503" s="247"/>
      <c r="U503" s="247"/>
      <c r="V503" s="244"/>
      <c r="W503" s="244"/>
      <c r="X503" s="97"/>
    </row>
    <row r="504">
      <c r="A504" s="205"/>
      <c r="B504" s="235"/>
      <c r="C504" s="236"/>
      <c r="D504" s="237"/>
      <c r="E504" s="235"/>
      <c r="F504" s="235"/>
      <c r="G504" s="239"/>
      <c r="H504" s="240"/>
      <c r="J504" s="237"/>
      <c r="K504" s="241"/>
      <c r="L504" s="241"/>
      <c r="M504" s="237"/>
      <c r="N504" s="242"/>
      <c r="O504" s="243"/>
      <c r="P504" s="244"/>
      <c r="Q504" s="245"/>
      <c r="R504" s="246"/>
      <c r="S504" s="244"/>
      <c r="T504" s="247"/>
      <c r="U504" s="247"/>
      <c r="V504" s="244"/>
      <c r="W504" s="244"/>
      <c r="X504" s="97"/>
    </row>
    <row r="505">
      <c r="A505" s="205"/>
      <c r="B505" s="235"/>
      <c r="C505" s="236"/>
      <c r="D505" s="237"/>
      <c r="E505" s="235"/>
      <c r="F505" s="235"/>
      <c r="G505" s="239"/>
      <c r="H505" s="240"/>
      <c r="J505" s="237"/>
      <c r="K505" s="241"/>
      <c r="L505" s="241"/>
      <c r="M505" s="237"/>
      <c r="N505" s="242"/>
      <c r="O505" s="243"/>
      <c r="P505" s="244"/>
      <c r="Q505" s="245"/>
      <c r="R505" s="246"/>
      <c r="S505" s="244"/>
      <c r="T505" s="247"/>
      <c r="U505" s="247"/>
      <c r="V505" s="244"/>
      <c r="W505" s="244"/>
      <c r="X505" s="97"/>
    </row>
    <row r="506">
      <c r="A506" s="205"/>
      <c r="B506" s="235"/>
      <c r="C506" s="236"/>
      <c r="D506" s="237"/>
      <c r="E506" s="235"/>
      <c r="F506" s="235"/>
      <c r="G506" s="239"/>
      <c r="H506" s="240"/>
      <c r="J506" s="237"/>
      <c r="K506" s="241"/>
      <c r="L506" s="241"/>
      <c r="M506" s="237"/>
      <c r="N506" s="242"/>
      <c r="O506" s="243"/>
      <c r="P506" s="244"/>
      <c r="Q506" s="245"/>
      <c r="R506" s="246"/>
      <c r="S506" s="244"/>
      <c r="T506" s="247"/>
      <c r="U506" s="247"/>
      <c r="V506" s="244"/>
      <c r="W506" s="244"/>
      <c r="X506" s="97"/>
    </row>
    <row r="507">
      <c r="A507" s="205"/>
      <c r="B507" s="235"/>
      <c r="C507" s="236"/>
      <c r="D507" s="237"/>
      <c r="E507" s="235"/>
      <c r="F507" s="235"/>
      <c r="G507" s="239"/>
      <c r="H507" s="240"/>
      <c r="J507" s="237"/>
      <c r="K507" s="241"/>
      <c r="L507" s="241"/>
      <c r="M507" s="237"/>
      <c r="N507" s="242"/>
      <c r="O507" s="243"/>
      <c r="P507" s="244"/>
      <c r="Q507" s="245"/>
      <c r="R507" s="246"/>
      <c r="S507" s="244"/>
      <c r="T507" s="247"/>
      <c r="U507" s="247"/>
      <c r="V507" s="244"/>
      <c r="W507" s="244"/>
      <c r="X507" s="97"/>
    </row>
    <row r="508">
      <c r="A508" s="205"/>
      <c r="B508" s="235"/>
      <c r="C508" s="236"/>
      <c r="D508" s="237"/>
      <c r="E508" s="235"/>
      <c r="F508" s="235"/>
      <c r="G508" s="239"/>
      <c r="H508" s="240"/>
      <c r="J508" s="237"/>
      <c r="K508" s="241"/>
      <c r="L508" s="241"/>
      <c r="M508" s="237"/>
      <c r="N508" s="242"/>
      <c r="O508" s="243"/>
      <c r="P508" s="244"/>
      <c r="Q508" s="245"/>
      <c r="R508" s="246"/>
      <c r="S508" s="244"/>
      <c r="T508" s="247"/>
      <c r="U508" s="247"/>
      <c r="V508" s="244"/>
      <c r="W508" s="244"/>
      <c r="X508" s="97"/>
    </row>
    <row r="509">
      <c r="A509" s="205"/>
      <c r="B509" s="235"/>
      <c r="C509" s="236"/>
      <c r="D509" s="237"/>
      <c r="E509" s="235"/>
      <c r="F509" s="235"/>
      <c r="G509" s="239"/>
      <c r="H509" s="240"/>
      <c r="J509" s="237"/>
      <c r="K509" s="241"/>
      <c r="L509" s="241"/>
      <c r="M509" s="237"/>
      <c r="N509" s="242"/>
      <c r="O509" s="243"/>
      <c r="P509" s="244"/>
      <c r="Q509" s="245"/>
      <c r="R509" s="246"/>
      <c r="S509" s="244"/>
      <c r="T509" s="247"/>
      <c r="U509" s="247"/>
      <c r="V509" s="244"/>
      <c r="W509" s="244"/>
      <c r="X509" s="97"/>
    </row>
    <row r="510">
      <c r="A510" s="205"/>
      <c r="B510" s="235"/>
      <c r="C510" s="236"/>
      <c r="D510" s="237"/>
      <c r="E510" s="235"/>
      <c r="F510" s="235"/>
      <c r="G510" s="239"/>
      <c r="H510" s="240"/>
      <c r="J510" s="237"/>
      <c r="K510" s="241"/>
      <c r="L510" s="241"/>
      <c r="M510" s="237"/>
      <c r="N510" s="242"/>
      <c r="O510" s="243"/>
      <c r="P510" s="244"/>
      <c r="Q510" s="245"/>
      <c r="R510" s="246"/>
      <c r="S510" s="244"/>
      <c r="T510" s="247"/>
      <c r="U510" s="247"/>
      <c r="V510" s="244"/>
      <c r="W510" s="244"/>
      <c r="X510" s="97"/>
    </row>
    <row r="511">
      <c r="A511" s="205"/>
      <c r="B511" s="235"/>
      <c r="C511" s="236"/>
      <c r="D511" s="237"/>
      <c r="E511" s="235"/>
      <c r="F511" s="235"/>
      <c r="G511" s="239"/>
      <c r="H511" s="240"/>
      <c r="J511" s="237"/>
      <c r="K511" s="241"/>
      <c r="L511" s="241"/>
      <c r="M511" s="237"/>
      <c r="N511" s="242"/>
      <c r="O511" s="243"/>
      <c r="P511" s="244"/>
      <c r="Q511" s="245"/>
      <c r="R511" s="246"/>
      <c r="S511" s="244"/>
      <c r="T511" s="247"/>
      <c r="U511" s="247"/>
      <c r="V511" s="244"/>
      <c r="W511" s="244"/>
      <c r="X511" s="97"/>
    </row>
    <row r="512">
      <c r="A512" s="205"/>
      <c r="B512" s="235"/>
      <c r="C512" s="236"/>
      <c r="D512" s="237"/>
      <c r="E512" s="235"/>
      <c r="F512" s="235"/>
      <c r="G512" s="239"/>
      <c r="H512" s="240"/>
      <c r="J512" s="237"/>
      <c r="K512" s="241"/>
      <c r="L512" s="241"/>
      <c r="M512" s="237"/>
      <c r="N512" s="242"/>
      <c r="O512" s="243"/>
      <c r="P512" s="244"/>
      <c r="Q512" s="245"/>
      <c r="R512" s="246"/>
      <c r="S512" s="244"/>
      <c r="T512" s="247"/>
      <c r="U512" s="247"/>
      <c r="V512" s="244"/>
      <c r="W512" s="244"/>
      <c r="X512" s="97"/>
    </row>
    <row r="513">
      <c r="A513" s="205"/>
      <c r="B513" s="235"/>
      <c r="C513" s="236"/>
      <c r="D513" s="237"/>
      <c r="E513" s="235"/>
      <c r="F513" s="235"/>
      <c r="G513" s="239"/>
      <c r="H513" s="240"/>
      <c r="J513" s="237"/>
      <c r="K513" s="241"/>
      <c r="L513" s="241"/>
      <c r="M513" s="237"/>
      <c r="N513" s="242"/>
      <c r="O513" s="243"/>
      <c r="P513" s="244"/>
      <c r="Q513" s="245"/>
      <c r="R513" s="246"/>
      <c r="S513" s="244"/>
      <c r="T513" s="247"/>
      <c r="U513" s="247"/>
      <c r="V513" s="244"/>
      <c r="W513" s="244"/>
      <c r="X513" s="97"/>
    </row>
    <row r="514">
      <c r="A514" s="205"/>
      <c r="B514" s="235"/>
      <c r="C514" s="236"/>
      <c r="D514" s="237"/>
      <c r="E514" s="235"/>
      <c r="F514" s="235"/>
      <c r="G514" s="239"/>
      <c r="H514" s="240"/>
      <c r="J514" s="237"/>
      <c r="K514" s="241"/>
      <c r="L514" s="241"/>
      <c r="M514" s="237"/>
      <c r="N514" s="242"/>
      <c r="O514" s="243"/>
      <c r="P514" s="244"/>
      <c r="Q514" s="245"/>
      <c r="R514" s="246"/>
      <c r="S514" s="244"/>
      <c r="T514" s="247"/>
      <c r="U514" s="247"/>
      <c r="V514" s="244"/>
      <c r="W514" s="244"/>
      <c r="X514" s="97"/>
    </row>
    <row r="515">
      <c r="A515" s="205"/>
      <c r="B515" s="235"/>
      <c r="C515" s="236"/>
      <c r="D515" s="237"/>
      <c r="E515" s="235"/>
      <c r="F515" s="235"/>
      <c r="G515" s="239"/>
      <c r="H515" s="240"/>
      <c r="J515" s="237"/>
      <c r="K515" s="241"/>
      <c r="L515" s="241"/>
      <c r="M515" s="237"/>
      <c r="N515" s="242"/>
      <c r="O515" s="243"/>
      <c r="P515" s="244"/>
      <c r="Q515" s="245"/>
      <c r="R515" s="246"/>
      <c r="S515" s="244"/>
      <c r="T515" s="247"/>
      <c r="U515" s="247"/>
      <c r="V515" s="244"/>
      <c r="W515" s="244"/>
      <c r="X515" s="97"/>
    </row>
    <row r="516">
      <c r="A516" s="205"/>
      <c r="B516" s="235"/>
      <c r="C516" s="236"/>
      <c r="D516" s="237"/>
      <c r="E516" s="235"/>
      <c r="F516" s="235"/>
      <c r="G516" s="239"/>
      <c r="H516" s="240"/>
      <c r="J516" s="237"/>
      <c r="K516" s="241"/>
      <c r="L516" s="241"/>
      <c r="M516" s="237"/>
      <c r="N516" s="242"/>
      <c r="O516" s="243"/>
      <c r="P516" s="244"/>
      <c r="Q516" s="245"/>
      <c r="R516" s="246"/>
      <c r="S516" s="244"/>
      <c r="T516" s="247"/>
      <c r="U516" s="247"/>
      <c r="V516" s="244"/>
      <c r="W516" s="244"/>
      <c r="X516" s="97"/>
    </row>
    <row r="517">
      <c r="A517" s="205"/>
      <c r="B517" s="235"/>
      <c r="C517" s="236"/>
      <c r="D517" s="237"/>
      <c r="E517" s="235"/>
      <c r="F517" s="235"/>
      <c r="G517" s="239"/>
      <c r="H517" s="240"/>
      <c r="J517" s="237"/>
      <c r="K517" s="241"/>
      <c r="L517" s="241"/>
      <c r="M517" s="237"/>
      <c r="N517" s="242"/>
      <c r="O517" s="243"/>
      <c r="P517" s="244"/>
      <c r="Q517" s="245"/>
      <c r="R517" s="246"/>
      <c r="S517" s="244"/>
      <c r="T517" s="247"/>
      <c r="U517" s="247"/>
      <c r="V517" s="244"/>
      <c r="W517" s="244"/>
      <c r="X517" s="97"/>
    </row>
    <row r="518">
      <c r="A518" s="205"/>
      <c r="B518" s="235"/>
      <c r="C518" s="236"/>
      <c r="D518" s="237"/>
      <c r="E518" s="235"/>
      <c r="F518" s="235"/>
      <c r="G518" s="239"/>
      <c r="H518" s="240"/>
      <c r="J518" s="237"/>
      <c r="K518" s="241"/>
      <c r="L518" s="241"/>
      <c r="M518" s="237"/>
      <c r="N518" s="242"/>
      <c r="O518" s="243"/>
      <c r="P518" s="244"/>
      <c r="Q518" s="245"/>
      <c r="R518" s="246"/>
      <c r="S518" s="244"/>
      <c r="T518" s="247"/>
      <c r="U518" s="247"/>
      <c r="V518" s="244"/>
      <c r="W518" s="244"/>
      <c r="X518" s="97"/>
    </row>
    <row r="519">
      <c r="A519" s="205"/>
      <c r="B519" s="235"/>
      <c r="C519" s="236"/>
      <c r="D519" s="237"/>
      <c r="E519" s="235"/>
      <c r="F519" s="235"/>
      <c r="G519" s="239"/>
      <c r="H519" s="240"/>
      <c r="J519" s="237"/>
      <c r="K519" s="241"/>
      <c r="L519" s="241"/>
      <c r="M519" s="237"/>
      <c r="N519" s="242"/>
      <c r="O519" s="243"/>
      <c r="P519" s="244"/>
      <c r="Q519" s="245"/>
      <c r="R519" s="246"/>
      <c r="S519" s="244"/>
      <c r="T519" s="247"/>
      <c r="U519" s="247"/>
      <c r="V519" s="244"/>
      <c r="W519" s="244"/>
      <c r="X519" s="97"/>
    </row>
    <row r="520">
      <c r="A520" s="205"/>
      <c r="B520" s="235"/>
      <c r="C520" s="236"/>
      <c r="D520" s="237"/>
      <c r="E520" s="235"/>
      <c r="F520" s="235"/>
      <c r="G520" s="239"/>
      <c r="H520" s="240"/>
      <c r="J520" s="237"/>
      <c r="K520" s="241"/>
      <c r="L520" s="241"/>
      <c r="M520" s="237"/>
      <c r="N520" s="242"/>
      <c r="O520" s="243"/>
      <c r="P520" s="244"/>
      <c r="Q520" s="245"/>
      <c r="R520" s="246"/>
      <c r="S520" s="244"/>
      <c r="T520" s="247"/>
      <c r="U520" s="247"/>
      <c r="V520" s="244"/>
      <c r="W520" s="244"/>
      <c r="X520" s="97"/>
    </row>
    <row r="521">
      <c r="A521" s="205"/>
      <c r="B521" s="235"/>
      <c r="C521" s="236"/>
      <c r="D521" s="237"/>
      <c r="E521" s="235"/>
      <c r="F521" s="235"/>
      <c r="G521" s="239"/>
      <c r="H521" s="240"/>
      <c r="J521" s="237"/>
      <c r="K521" s="241"/>
      <c r="L521" s="241"/>
      <c r="M521" s="237"/>
      <c r="N521" s="242"/>
      <c r="O521" s="243"/>
      <c r="P521" s="244"/>
      <c r="Q521" s="245"/>
      <c r="R521" s="246"/>
      <c r="S521" s="244"/>
      <c r="T521" s="247"/>
      <c r="U521" s="247"/>
      <c r="V521" s="244"/>
      <c r="W521" s="244"/>
      <c r="X521" s="97"/>
    </row>
    <row r="522">
      <c r="A522" s="205"/>
      <c r="B522" s="235"/>
      <c r="C522" s="236"/>
      <c r="D522" s="237"/>
      <c r="E522" s="235"/>
      <c r="F522" s="235"/>
      <c r="G522" s="239"/>
      <c r="H522" s="240"/>
      <c r="J522" s="237"/>
      <c r="K522" s="241"/>
      <c r="L522" s="241"/>
      <c r="M522" s="237"/>
      <c r="N522" s="242"/>
      <c r="O522" s="243"/>
      <c r="P522" s="244"/>
      <c r="Q522" s="245"/>
      <c r="R522" s="246"/>
      <c r="S522" s="244"/>
      <c r="T522" s="247"/>
      <c r="U522" s="247"/>
      <c r="V522" s="244"/>
      <c r="W522" s="244"/>
      <c r="X522" s="97"/>
    </row>
    <row r="523">
      <c r="A523" s="205"/>
      <c r="B523" s="235"/>
      <c r="C523" s="236"/>
      <c r="D523" s="237"/>
      <c r="E523" s="235"/>
      <c r="F523" s="235"/>
      <c r="G523" s="239"/>
      <c r="H523" s="240"/>
      <c r="J523" s="237"/>
      <c r="K523" s="241"/>
      <c r="L523" s="241"/>
      <c r="M523" s="237"/>
      <c r="N523" s="242"/>
      <c r="O523" s="243"/>
      <c r="P523" s="244"/>
      <c r="Q523" s="245"/>
      <c r="R523" s="246"/>
      <c r="S523" s="244"/>
      <c r="T523" s="247"/>
      <c r="U523" s="247"/>
      <c r="V523" s="244"/>
      <c r="W523" s="244"/>
      <c r="X523" s="97"/>
    </row>
    <row r="524">
      <c r="A524" s="205"/>
      <c r="B524" s="235"/>
      <c r="C524" s="236"/>
      <c r="D524" s="237"/>
      <c r="E524" s="235"/>
      <c r="F524" s="235"/>
      <c r="G524" s="239"/>
      <c r="H524" s="240"/>
      <c r="J524" s="237"/>
      <c r="K524" s="241"/>
      <c r="L524" s="241"/>
      <c r="M524" s="237"/>
      <c r="N524" s="242"/>
      <c r="O524" s="243"/>
      <c r="P524" s="244"/>
      <c r="Q524" s="245"/>
      <c r="R524" s="246"/>
      <c r="S524" s="244"/>
      <c r="T524" s="247"/>
      <c r="U524" s="247"/>
      <c r="V524" s="244"/>
      <c r="W524" s="244"/>
      <c r="X524" s="97"/>
    </row>
    <row r="525">
      <c r="A525" s="205"/>
      <c r="B525" s="235"/>
      <c r="C525" s="236"/>
      <c r="D525" s="237"/>
      <c r="E525" s="235"/>
      <c r="F525" s="235"/>
      <c r="G525" s="239"/>
      <c r="H525" s="240"/>
      <c r="J525" s="237"/>
      <c r="K525" s="241"/>
      <c r="L525" s="241"/>
      <c r="M525" s="237"/>
      <c r="N525" s="242"/>
      <c r="O525" s="243"/>
      <c r="P525" s="244"/>
      <c r="Q525" s="245"/>
      <c r="R525" s="246"/>
      <c r="S525" s="244"/>
      <c r="T525" s="247"/>
      <c r="U525" s="247"/>
      <c r="V525" s="244"/>
      <c r="W525" s="244"/>
      <c r="X525" s="97"/>
    </row>
    <row r="526">
      <c r="A526" s="205"/>
      <c r="B526" s="235"/>
      <c r="C526" s="236"/>
      <c r="D526" s="237"/>
      <c r="E526" s="235"/>
      <c r="F526" s="235"/>
      <c r="G526" s="239"/>
      <c r="H526" s="240"/>
      <c r="J526" s="237"/>
      <c r="K526" s="241"/>
      <c r="L526" s="241"/>
      <c r="M526" s="237"/>
      <c r="N526" s="242"/>
      <c r="O526" s="243"/>
      <c r="P526" s="244"/>
      <c r="Q526" s="245"/>
      <c r="R526" s="246"/>
      <c r="S526" s="244"/>
      <c r="T526" s="247"/>
      <c r="U526" s="247"/>
      <c r="V526" s="244"/>
      <c r="W526" s="244"/>
      <c r="X526" s="97"/>
    </row>
    <row r="527">
      <c r="A527" s="205"/>
      <c r="B527" s="235"/>
      <c r="C527" s="236"/>
      <c r="D527" s="237"/>
      <c r="E527" s="235"/>
      <c r="F527" s="235"/>
      <c r="G527" s="239"/>
      <c r="H527" s="240"/>
      <c r="J527" s="237"/>
      <c r="K527" s="241"/>
      <c r="L527" s="241"/>
      <c r="M527" s="237"/>
      <c r="N527" s="242"/>
      <c r="O527" s="243"/>
      <c r="P527" s="244"/>
      <c r="Q527" s="245"/>
      <c r="R527" s="246"/>
      <c r="S527" s="244"/>
      <c r="T527" s="247"/>
      <c r="U527" s="247"/>
      <c r="V527" s="244"/>
      <c r="W527" s="244"/>
      <c r="X527" s="97"/>
    </row>
    <row r="528">
      <c r="A528" s="205"/>
      <c r="B528" s="235"/>
      <c r="C528" s="236"/>
      <c r="D528" s="237"/>
      <c r="E528" s="235"/>
      <c r="F528" s="235"/>
      <c r="G528" s="239"/>
      <c r="H528" s="240"/>
      <c r="J528" s="237"/>
      <c r="K528" s="241"/>
      <c r="L528" s="241"/>
      <c r="M528" s="237"/>
      <c r="N528" s="242"/>
      <c r="O528" s="243"/>
      <c r="P528" s="244"/>
      <c r="Q528" s="245"/>
      <c r="R528" s="246"/>
      <c r="S528" s="244"/>
      <c r="T528" s="247"/>
      <c r="U528" s="247"/>
      <c r="V528" s="244"/>
      <c r="W528" s="244"/>
      <c r="X528" s="97"/>
    </row>
    <row r="529">
      <c r="A529" s="205"/>
      <c r="B529" s="235"/>
      <c r="C529" s="236"/>
      <c r="D529" s="237"/>
      <c r="E529" s="235"/>
      <c r="F529" s="235"/>
      <c r="G529" s="239"/>
      <c r="H529" s="240"/>
      <c r="J529" s="237"/>
      <c r="K529" s="241"/>
      <c r="L529" s="241"/>
      <c r="M529" s="237"/>
      <c r="N529" s="242"/>
      <c r="O529" s="243"/>
      <c r="P529" s="244"/>
      <c r="Q529" s="245"/>
      <c r="R529" s="246"/>
      <c r="S529" s="244"/>
      <c r="T529" s="247"/>
      <c r="U529" s="247"/>
      <c r="V529" s="244"/>
      <c r="W529" s="244"/>
      <c r="X529" s="97"/>
    </row>
    <row r="530">
      <c r="A530" s="205"/>
      <c r="B530" s="235"/>
      <c r="C530" s="236"/>
      <c r="D530" s="237"/>
      <c r="E530" s="235"/>
      <c r="F530" s="235"/>
      <c r="G530" s="239"/>
      <c r="H530" s="240"/>
      <c r="J530" s="237"/>
      <c r="K530" s="241"/>
      <c r="L530" s="241"/>
      <c r="M530" s="237"/>
      <c r="N530" s="242"/>
      <c r="O530" s="243"/>
      <c r="P530" s="244"/>
      <c r="Q530" s="245"/>
      <c r="R530" s="246"/>
      <c r="S530" s="244"/>
      <c r="T530" s="247"/>
      <c r="U530" s="247"/>
      <c r="V530" s="244"/>
      <c r="W530" s="244"/>
      <c r="X530" s="97"/>
    </row>
    <row r="531">
      <c r="A531" s="205"/>
      <c r="B531" s="235"/>
      <c r="C531" s="236"/>
      <c r="D531" s="237"/>
      <c r="E531" s="235"/>
      <c r="F531" s="235"/>
      <c r="G531" s="239"/>
      <c r="H531" s="240"/>
      <c r="J531" s="237"/>
      <c r="K531" s="241"/>
      <c r="L531" s="241"/>
      <c r="M531" s="237"/>
      <c r="N531" s="242"/>
      <c r="O531" s="243"/>
      <c r="P531" s="244"/>
      <c r="Q531" s="245"/>
      <c r="R531" s="246"/>
      <c r="S531" s="244"/>
      <c r="T531" s="247"/>
      <c r="U531" s="247"/>
      <c r="V531" s="244"/>
      <c r="W531" s="244"/>
      <c r="X531" s="97"/>
    </row>
    <row r="532">
      <c r="A532" s="205"/>
      <c r="B532" s="235"/>
      <c r="C532" s="236"/>
      <c r="D532" s="237"/>
      <c r="E532" s="235"/>
      <c r="F532" s="235"/>
      <c r="G532" s="239"/>
      <c r="H532" s="240"/>
      <c r="J532" s="237"/>
      <c r="K532" s="241"/>
      <c r="L532" s="241"/>
      <c r="M532" s="237"/>
      <c r="N532" s="242"/>
      <c r="O532" s="243"/>
      <c r="P532" s="244"/>
      <c r="Q532" s="245"/>
      <c r="R532" s="246"/>
      <c r="S532" s="244"/>
      <c r="T532" s="247"/>
      <c r="U532" s="247"/>
      <c r="V532" s="244"/>
      <c r="W532" s="244"/>
      <c r="X532" s="97"/>
    </row>
    <row r="533">
      <c r="A533" s="205"/>
      <c r="B533" s="235"/>
      <c r="C533" s="236"/>
      <c r="D533" s="237"/>
      <c r="E533" s="235"/>
      <c r="F533" s="235"/>
      <c r="G533" s="239"/>
      <c r="H533" s="240"/>
      <c r="J533" s="237"/>
      <c r="K533" s="241"/>
      <c r="L533" s="241"/>
      <c r="M533" s="237"/>
      <c r="N533" s="242"/>
      <c r="O533" s="243"/>
      <c r="P533" s="244"/>
      <c r="Q533" s="245"/>
      <c r="R533" s="246"/>
      <c r="S533" s="244"/>
      <c r="T533" s="247"/>
      <c r="U533" s="247"/>
      <c r="V533" s="244"/>
      <c r="W533" s="244"/>
      <c r="X533" s="97"/>
    </row>
    <row r="534">
      <c r="A534" s="205"/>
      <c r="B534" s="235"/>
      <c r="C534" s="236"/>
      <c r="D534" s="237"/>
      <c r="E534" s="235"/>
      <c r="F534" s="235"/>
      <c r="G534" s="239"/>
      <c r="H534" s="240"/>
      <c r="J534" s="237"/>
      <c r="K534" s="241"/>
      <c r="L534" s="241"/>
      <c r="M534" s="237"/>
      <c r="N534" s="242"/>
      <c r="O534" s="243"/>
      <c r="P534" s="244"/>
      <c r="Q534" s="245"/>
      <c r="R534" s="246"/>
      <c r="S534" s="244"/>
      <c r="T534" s="247"/>
      <c r="U534" s="247"/>
      <c r="V534" s="244"/>
      <c r="W534" s="244"/>
      <c r="X534" s="97"/>
    </row>
    <row r="535">
      <c r="A535" s="205"/>
      <c r="B535" s="235"/>
      <c r="C535" s="236"/>
      <c r="D535" s="237"/>
      <c r="E535" s="235"/>
      <c r="F535" s="235"/>
      <c r="G535" s="239"/>
      <c r="H535" s="240"/>
      <c r="J535" s="237"/>
      <c r="K535" s="241"/>
      <c r="L535" s="241"/>
      <c r="M535" s="237"/>
      <c r="N535" s="242"/>
      <c r="O535" s="243"/>
      <c r="P535" s="244"/>
      <c r="Q535" s="245"/>
      <c r="R535" s="246"/>
      <c r="S535" s="244"/>
      <c r="T535" s="247"/>
      <c r="U535" s="247"/>
      <c r="V535" s="244"/>
      <c r="W535" s="244"/>
      <c r="X535" s="97"/>
    </row>
    <row r="536">
      <c r="A536" s="205"/>
      <c r="B536" s="235"/>
      <c r="C536" s="236"/>
      <c r="D536" s="237"/>
      <c r="E536" s="235"/>
      <c r="F536" s="235"/>
      <c r="G536" s="239"/>
      <c r="H536" s="240"/>
      <c r="J536" s="237"/>
      <c r="K536" s="241"/>
      <c r="L536" s="241"/>
      <c r="M536" s="237"/>
      <c r="N536" s="242"/>
      <c r="O536" s="243"/>
      <c r="P536" s="244"/>
      <c r="Q536" s="245"/>
      <c r="R536" s="246"/>
      <c r="S536" s="244"/>
      <c r="T536" s="247"/>
      <c r="U536" s="247"/>
      <c r="V536" s="244"/>
      <c r="W536" s="244"/>
      <c r="X536" s="97"/>
    </row>
    <row r="537">
      <c r="A537" s="205"/>
      <c r="B537" s="235"/>
      <c r="C537" s="236"/>
      <c r="D537" s="237"/>
      <c r="E537" s="235"/>
      <c r="F537" s="235"/>
      <c r="G537" s="239"/>
      <c r="H537" s="240"/>
      <c r="J537" s="237"/>
      <c r="K537" s="241"/>
      <c r="L537" s="241"/>
      <c r="M537" s="237"/>
      <c r="N537" s="242"/>
      <c r="O537" s="243"/>
      <c r="P537" s="244"/>
      <c r="Q537" s="245"/>
      <c r="R537" s="246"/>
      <c r="S537" s="244"/>
      <c r="T537" s="247"/>
      <c r="U537" s="247"/>
      <c r="V537" s="244"/>
      <c r="W537" s="244"/>
      <c r="X537" s="97"/>
    </row>
    <row r="538">
      <c r="A538" s="205"/>
      <c r="B538" s="235"/>
      <c r="C538" s="236"/>
      <c r="D538" s="237"/>
      <c r="E538" s="235"/>
      <c r="F538" s="235"/>
      <c r="G538" s="239"/>
      <c r="H538" s="240"/>
      <c r="J538" s="237"/>
      <c r="K538" s="241"/>
      <c r="L538" s="241"/>
      <c r="M538" s="237"/>
      <c r="N538" s="242"/>
      <c r="O538" s="243"/>
      <c r="P538" s="244"/>
      <c r="Q538" s="245"/>
      <c r="R538" s="246"/>
      <c r="S538" s="244"/>
      <c r="T538" s="247"/>
      <c r="U538" s="247"/>
      <c r="V538" s="244"/>
      <c r="W538" s="244"/>
      <c r="X538" s="97"/>
    </row>
    <row r="539">
      <c r="A539" s="205"/>
      <c r="B539" s="235"/>
      <c r="C539" s="236"/>
      <c r="D539" s="237"/>
      <c r="E539" s="235"/>
      <c r="F539" s="235"/>
      <c r="G539" s="239"/>
      <c r="H539" s="240"/>
      <c r="J539" s="237"/>
      <c r="K539" s="241"/>
      <c r="L539" s="241"/>
      <c r="M539" s="237"/>
      <c r="N539" s="242"/>
      <c r="O539" s="243"/>
      <c r="P539" s="244"/>
      <c r="Q539" s="245"/>
      <c r="R539" s="246"/>
      <c r="S539" s="244"/>
      <c r="T539" s="247"/>
      <c r="U539" s="247"/>
      <c r="V539" s="244"/>
      <c r="W539" s="244"/>
      <c r="X539" s="97"/>
    </row>
    <row r="540">
      <c r="A540" s="205"/>
      <c r="B540" s="235"/>
      <c r="C540" s="236"/>
      <c r="D540" s="237"/>
      <c r="E540" s="235"/>
      <c r="F540" s="235"/>
      <c r="G540" s="239"/>
      <c r="H540" s="240"/>
      <c r="J540" s="237"/>
      <c r="K540" s="241"/>
      <c r="L540" s="241"/>
      <c r="M540" s="237"/>
      <c r="N540" s="242"/>
      <c r="O540" s="243"/>
      <c r="P540" s="244"/>
      <c r="Q540" s="245"/>
      <c r="R540" s="246"/>
      <c r="S540" s="244"/>
      <c r="T540" s="247"/>
      <c r="U540" s="247"/>
      <c r="V540" s="244"/>
      <c r="W540" s="244"/>
      <c r="X540" s="97"/>
    </row>
    <row r="541">
      <c r="A541" s="205"/>
      <c r="B541" s="235"/>
      <c r="C541" s="236"/>
      <c r="D541" s="237"/>
      <c r="E541" s="235"/>
      <c r="F541" s="235"/>
      <c r="G541" s="239"/>
      <c r="H541" s="240"/>
      <c r="J541" s="237"/>
      <c r="K541" s="241"/>
      <c r="L541" s="241"/>
      <c r="M541" s="237"/>
      <c r="N541" s="242"/>
      <c r="O541" s="243"/>
      <c r="P541" s="244"/>
      <c r="Q541" s="245"/>
      <c r="R541" s="246"/>
      <c r="S541" s="244"/>
      <c r="T541" s="247"/>
      <c r="U541" s="247"/>
      <c r="V541" s="244"/>
      <c r="W541" s="244"/>
      <c r="X541" s="97"/>
    </row>
    <row r="542">
      <c r="A542" s="205"/>
      <c r="B542" s="235"/>
      <c r="C542" s="236"/>
      <c r="D542" s="237"/>
      <c r="E542" s="235"/>
      <c r="F542" s="235"/>
      <c r="G542" s="239"/>
      <c r="H542" s="240"/>
      <c r="J542" s="237"/>
      <c r="K542" s="241"/>
      <c r="L542" s="241"/>
      <c r="M542" s="237"/>
      <c r="N542" s="242"/>
      <c r="O542" s="243"/>
      <c r="P542" s="244"/>
      <c r="Q542" s="245"/>
      <c r="R542" s="246"/>
      <c r="S542" s="244"/>
      <c r="T542" s="247"/>
      <c r="U542" s="247"/>
      <c r="V542" s="244"/>
      <c r="W542" s="244"/>
      <c r="X542" s="97"/>
    </row>
    <row r="543">
      <c r="A543" s="205"/>
      <c r="B543" s="235"/>
      <c r="C543" s="236"/>
      <c r="D543" s="237"/>
      <c r="E543" s="235"/>
      <c r="F543" s="235"/>
      <c r="G543" s="239"/>
      <c r="H543" s="240"/>
      <c r="J543" s="237"/>
      <c r="K543" s="241"/>
      <c r="L543" s="241"/>
      <c r="M543" s="237"/>
      <c r="N543" s="242"/>
      <c r="O543" s="243"/>
      <c r="P543" s="244"/>
      <c r="Q543" s="245"/>
      <c r="R543" s="246"/>
      <c r="S543" s="244"/>
      <c r="T543" s="247"/>
      <c r="U543" s="247"/>
      <c r="V543" s="244"/>
      <c r="W543" s="244"/>
      <c r="X543" s="97"/>
    </row>
    <row r="544">
      <c r="A544" s="205"/>
      <c r="B544" s="235"/>
      <c r="C544" s="236"/>
      <c r="D544" s="237"/>
      <c r="E544" s="235"/>
      <c r="F544" s="235"/>
      <c r="G544" s="239"/>
      <c r="H544" s="240"/>
      <c r="J544" s="237"/>
      <c r="K544" s="241"/>
      <c r="L544" s="241"/>
      <c r="M544" s="237"/>
      <c r="N544" s="242"/>
      <c r="O544" s="243"/>
      <c r="P544" s="244"/>
      <c r="Q544" s="245"/>
      <c r="R544" s="246"/>
      <c r="S544" s="244"/>
      <c r="T544" s="247"/>
      <c r="U544" s="247"/>
      <c r="V544" s="244"/>
      <c r="W544" s="244"/>
      <c r="X544" s="97"/>
    </row>
    <row r="545">
      <c r="A545" s="205"/>
      <c r="B545" s="235"/>
      <c r="C545" s="236"/>
      <c r="D545" s="237"/>
      <c r="E545" s="235"/>
      <c r="F545" s="235"/>
      <c r="G545" s="239"/>
      <c r="H545" s="240"/>
      <c r="J545" s="237"/>
      <c r="K545" s="241"/>
      <c r="L545" s="241"/>
      <c r="M545" s="237"/>
      <c r="N545" s="242"/>
      <c r="O545" s="243"/>
      <c r="P545" s="244"/>
      <c r="Q545" s="245"/>
      <c r="R545" s="246"/>
      <c r="S545" s="244"/>
      <c r="T545" s="247"/>
      <c r="U545" s="247"/>
      <c r="V545" s="244"/>
      <c r="W545" s="244"/>
      <c r="X545" s="97"/>
    </row>
    <row r="546">
      <c r="A546" s="205"/>
      <c r="B546" s="235"/>
      <c r="C546" s="236"/>
      <c r="D546" s="237"/>
      <c r="E546" s="235"/>
      <c r="F546" s="235"/>
      <c r="G546" s="239"/>
      <c r="H546" s="240"/>
      <c r="J546" s="237"/>
      <c r="K546" s="241"/>
      <c r="L546" s="241"/>
      <c r="M546" s="237"/>
      <c r="N546" s="242"/>
      <c r="O546" s="243"/>
      <c r="P546" s="244"/>
      <c r="Q546" s="245"/>
      <c r="R546" s="246"/>
      <c r="S546" s="244"/>
      <c r="T546" s="247"/>
      <c r="U546" s="247"/>
      <c r="V546" s="244"/>
      <c r="W546" s="244"/>
      <c r="X546" s="97"/>
    </row>
    <row r="547">
      <c r="A547" s="205"/>
      <c r="B547" s="235"/>
      <c r="C547" s="236"/>
      <c r="D547" s="237"/>
      <c r="E547" s="235"/>
      <c r="F547" s="235"/>
      <c r="G547" s="239"/>
      <c r="H547" s="240"/>
      <c r="J547" s="237"/>
      <c r="K547" s="241"/>
      <c r="L547" s="241"/>
      <c r="M547" s="237"/>
      <c r="N547" s="242"/>
      <c r="O547" s="243"/>
      <c r="P547" s="244"/>
      <c r="Q547" s="245"/>
      <c r="R547" s="246"/>
      <c r="S547" s="244"/>
      <c r="T547" s="247"/>
      <c r="U547" s="247"/>
      <c r="V547" s="244"/>
      <c r="W547" s="244"/>
      <c r="X547" s="97"/>
    </row>
    <row r="548">
      <c r="A548" s="205"/>
      <c r="B548" s="235"/>
      <c r="C548" s="236"/>
      <c r="D548" s="237"/>
      <c r="E548" s="235"/>
      <c r="F548" s="235"/>
      <c r="G548" s="239"/>
      <c r="H548" s="240"/>
      <c r="J548" s="237"/>
      <c r="K548" s="241"/>
      <c r="L548" s="241"/>
      <c r="M548" s="237"/>
      <c r="N548" s="242"/>
      <c r="O548" s="243"/>
      <c r="P548" s="244"/>
      <c r="Q548" s="245"/>
      <c r="R548" s="246"/>
      <c r="S548" s="244"/>
      <c r="T548" s="247"/>
      <c r="U548" s="247"/>
      <c r="V548" s="244"/>
      <c r="W548" s="244"/>
      <c r="X548" s="97"/>
    </row>
    <row r="549">
      <c r="A549" s="205"/>
      <c r="B549" s="235"/>
      <c r="C549" s="236"/>
      <c r="D549" s="237"/>
      <c r="E549" s="235"/>
      <c r="F549" s="235"/>
      <c r="G549" s="239"/>
      <c r="H549" s="240"/>
      <c r="J549" s="237"/>
      <c r="K549" s="241"/>
      <c r="L549" s="241"/>
      <c r="M549" s="237"/>
      <c r="N549" s="242"/>
      <c r="O549" s="243"/>
      <c r="P549" s="244"/>
      <c r="Q549" s="245"/>
      <c r="R549" s="246"/>
      <c r="S549" s="244"/>
      <c r="T549" s="247"/>
      <c r="U549" s="247"/>
      <c r="V549" s="244"/>
      <c r="W549" s="244"/>
      <c r="X549" s="97"/>
    </row>
    <row r="550">
      <c r="A550" s="205"/>
      <c r="B550" s="235"/>
      <c r="C550" s="236"/>
      <c r="D550" s="237"/>
      <c r="E550" s="235"/>
      <c r="F550" s="235"/>
      <c r="G550" s="239"/>
      <c r="H550" s="240"/>
      <c r="J550" s="237"/>
      <c r="K550" s="241"/>
      <c r="L550" s="241"/>
      <c r="M550" s="237"/>
      <c r="N550" s="242"/>
      <c r="O550" s="243"/>
      <c r="P550" s="244"/>
      <c r="Q550" s="245"/>
      <c r="R550" s="246"/>
      <c r="S550" s="244"/>
      <c r="T550" s="247"/>
      <c r="U550" s="247"/>
      <c r="V550" s="244"/>
      <c r="W550" s="244"/>
      <c r="X550" s="97"/>
    </row>
    <row r="551">
      <c r="A551" s="205"/>
      <c r="B551" s="235"/>
      <c r="C551" s="236"/>
      <c r="D551" s="237"/>
      <c r="E551" s="235"/>
      <c r="F551" s="235"/>
      <c r="G551" s="239"/>
      <c r="H551" s="240"/>
      <c r="J551" s="237"/>
      <c r="K551" s="241"/>
      <c r="L551" s="241"/>
      <c r="M551" s="237"/>
      <c r="N551" s="242"/>
      <c r="O551" s="243"/>
      <c r="P551" s="244"/>
      <c r="Q551" s="245"/>
      <c r="R551" s="246"/>
      <c r="S551" s="244"/>
      <c r="T551" s="247"/>
      <c r="U551" s="247"/>
      <c r="V551" s="244"/>
      <c r="W551" s="244"/>
      <c r="X551" s="97"/>
    </row>
    <row r="552">
      <c r="A552" s="205"/>
      <c r="B552" s="235"/>
      <c r="C552" s="236"/>
      <c r="D552" s="237"/>
      <c r="E552" s="235"/>
      <c r="F552" s="235"/>
      <c r="G552" s="239"/>
      <c r="H552" s="240"/>
      <c r="J552" s="237"/>
      <c r="K552" s="241"/>
      <c r="L552" s="241"/>
      <c r="M552" s="237"/>
      <c r="N552" s="242"/>
      <c r="O552" s="243"/>
      <c r="P552" s="244"/>
      <c r="Q552" s="245"/>
      <c r="R552" s="246"/>
      <c r="S552" s="244"/>
      <c r="T552" s="247"/>
      <c r="U552" s="247"/>
      <c r="V552" s="244"/>
      <c r="W552" s="244"/>
      <c r="X552" s="97"/>
    </row>
    <row r="553">
      <c r="A553" s="205"/>
      <c r="B553" s="235"/>
      <c r="C553" s="236"/>
      <c r="D553" s="237"/>
      <c r="E553" s="235"/>
      <c r="F553" s="235"/>
      <c r="G553" s="239"/>
      <c r="H553" s="240"/>
      <c r="J553" s="237"/>
      <c r="K553" s="241"/>
      <c r="L553" s="241"/>
      <c r="M553" s="237"/>
      <c r="N553" s="242"/>
      <c r="O553" s="243"/>
      <c r="P553" s="244"/>
      <c r="Q553" s="245"/>
      <c r="R553" s="246"/>
      <c r="S553" s="244"/>
      <c r="T553" s="247"/>
      <c r="U553" s="247"/>
      <c r="V553" s="244"/>
      <c r="W553" s="244"/>
      <c r="X553" s="97"/>
    </row>
    <row r="554">
      <c r="A554" s="205"/>
      <c r="B554" s="235"/>
      <c r="C554" s="236"/>
      <c r="D554" s="237"/>
      <c r="E554" s="235"/>
      <c r="F554" s="235"/>
      <c r="G554" s="239"/>
      <c r="H554" s="240"/>
      <c r="J554" s="237"/>
      <c r="K554" s="241"/>
      <c r="L554" s="241"/>
      <c r="M554" s="237"/>
      <c r="N554" s="242"/>
      <c r="O554" s="243"/>
      <c r="P554" s="244"/>
      <c r="Q554" s="245"/>
      <c r="R554" s="246"/>
      <c r="S554" s="244"/>
      <c r="T554" s="247"/>
      <c r="U554" s="247"/>
      <c r="V554" s="244"/>
      <c r="W554" s="244"/>
      <c r="X554" s="97"/>
    </row>
    <row r="555">
      <c r="A555" s="205"/>
      <c r="B555" s="235"/>
      <c r="C555" s="236"/>
      <c r="D555" s="237"/>
      <c r="E555" s="235"/>
      <c r="F555" s="235"/>
      <c r="G555" s="239"/>
      <c r="H555" s="240"/>
      <c r="J555" s="237"/>
      <c r="K555" s="241"/>
      <c r="L555" s="241"/>
      <c r="M555" s="237"/>
      <c r="N555" s="242"/>
      <c r="O555" s="243"/>
      <c r="P555" s="244"/>
      <c r="Q555" s="245"/>
      <c r="R555" s="246"/>
      <c r="S555" s="244"/>
      <c r="T555" s="247"/>
      <c r="U555" s="247"/>
      <c r="V555" s="244"/>
      <c r="W555" s="244"/>
      <c r="X555" s="97"/>
    </row>
    <row r="556">
      <c r="A556" s="205"/>
      <c r="B556" s="235"/>
      <c r="C556" s="236"/>
      <c r="D556" s="237"/>
      <c r="E556" s="235"/>
      <c r="F556" s="235"/>
      <c r="G556" s="239"/>
      <c r="H556" s="240"/>
      <c r="J556" s="237"/>
      <c r="K556" s="241"/>
      <c r="L556" s="241"/>
      <c r="M556" s="237"/>
      <c r="N556" s="242"/>
      <c r="O556" s="243"/>
      <c r="P556" s="244"/>
      <c r="Q556" s="245"/>
      <c r="R556" s="246"/>
      <c r="S556" s="244"/>
      <c r="T556" s="247"/>
      <c r="U556" s="247"/>
      <c r="V556" s="244"/>
      <c r="W556" s="244"/>
      <c r="X556" s="97"/>
    </row>
    <row r="557">
      <c r="A557" s="205"/>
      <c r="B557" s="235"/>
      <c r="C557" s="236"/>
      <c r="D557" s="237"/>
      <c r="E557" s="235"/>
      <c r="F557" s="235"/>
      <c r="G557" s="239"/>
      <c r="H557" s="240"/>
      <c r="J557" s="237"/>
      <c r="K557" s="241"/>
      <c r="L557" s="241"/>
      <c r="M557" s="237"/>
      <c r="N557" s="242"/>
      <c r="O557" s="243"/>
      <c r="P557" s="244"/>
      <c r="Q557" s="245"/>
      <c r="R557" s="246"/>
      <c r="S557" s="244"/>
      <c r="T557" s="247"/>
      <c r="U557" s="247"/>
      <c r="V557" s="244"/>
      <c r="W557" s="244"/>
      <c r="X557" s="97"/>
    </row>
    <row r="558">
      <c r="A558" s="205"/>
      <c r="B558" s="235"/>
      <c r="C558" s="236"/>
      <c r="D558" s="237"/>
      <c r="E558" s="235"/>
      <c r="F558" s="235"/>
      <c r="G558" s="239"/>
      <c r="H558" s="240"/>
      <c r="J558" s="237"/>
      <c r="K558" s="241"/>
      <c r="L558" s="241"/>
      <c r="M558" s="237"/>
      <c r="N558" s="242"/>
      <c r="O558" s="243"/>
      <c r="P558" s="244"/>
      <c r="Q558" s="245"/>
      <c r="R558" s="246"/>
      <c r="S558" s="244"/>
      <c r="T558" s="247"/>
      <c r="U558" s="247"/>
      <c r="V558" s="244"/>
      <c r="W558" s="244"/>
      <c r="X558" s="97"/>
    </row>
    <row r="559">
      <c r="A559" s="205"/>
      <c r="B559" s="235"/>
      <c r="C559" s="236"/>
      <c r="D559" s="237"/>
      <c r="E559" s="235"/>
      <c r="F559" s="235"/>
      <c r="G559" s="239"/>
      <c r="H559" s="240"/>
      <c r="J559" s="237"/>
      <c r="K559" s="241"/>
      <c r="L559" s="241"/>
      <c r="M559" s="237"/>
      <c r="N559" s="242"/>
      <c r="O559" s="243"/>
      <c r="P559" s="244"/>
      <c r="Q559" s="245"/>
      <c r="R559" s="246"/>
      <c r="S559" s="244"/>
      <c r="T559" s="247"/>
      <c r="U559" s="247"/>
      <c r="V559" s="244"/>
      <c r="W559" s="244"/>
      <c r="X559" s="97"/>
    </row>
    <row r="560">
      <c r="A560" s="205"/>
      <c r="B560" s="235"/>
      <c r="C560" s="236"/>
      <c r="D560" s="237"/>
      <c r="E560" s="235"/>
      <c r="F560" s="235"/>
      <c r="G560" s="239"/>
      <c r="H560" s="240"/>
      <c r="J560" s="237"/>
      <c r="K560" s="241"/>
      <c r="L560" s="241"/>
      <c r="M560" s="237"/>
      <c r="N560" s="242"/>
      <c r="O560" s="243"/>
      <c r="P560" s="244"/>
      <c r="Q560" s="245"/>
      <c r="R560" s="246"/>
      <c r="S560" s="244"/>
      <c r="T560" s="247"/>
      <c r="U560" s="247"/>
      <c r="V560" s="244"/>
      <c r="W560" s="244"/>
      <c r="X560" s="97"/>
    </row>
    <row r="561">
      <c r="A561" s="205"/>
      <c r="B561" s="235"/>
      <c r="C561" s="236"/>
      <c r="D561" s="237"/>
      <c r="E561" s="235"/>
      <c r="F561" s="235"/>
      <c r="G561" s="239"/>
      <c r="H561" s="240"/>
      <c r="J561" s="237"/>
      <c r="K561" s="241"/>
      <c r="L561" s="241"/>
      <c r="M561" s="237"/>
      <c r="N561" s="242"/>
      <c r="O561" s="243"/>
      <c r="P561" s="244"/>
      <c r="Q561" s="245"/>
      <c r="R561" s="246"/>
      <c r="S561" s="244"/>
      <c r="T561" s="247"/>
      <c r="U561" s="247"/>
      <c r="V561" s="244"/>
      <c r="W561" s="244"/>
      <c r="X561" s="97"/>
    </row>
    <row r="562">
      <c r="A562" s="205"/>
      <c r="B562" s="235"/>
      <c r="C562" s="236"/>
      <c r="D562" s="237"/>
      <c r="E562" s="235"/>
      <c r="F562" s="235"/>
      <c r="G562" s="239"/>
      <c r="H562" s="240"/>
      <c r="J562" s="237"/>
      <c r="K562" s="241"/>
      <c r="L562" s="241"/>
      <c r="M562" s="237"/>
      <c r="N562" s="242"/>
      <c r="O562" s="243"/>
      <c r="P562" s="244"/>
      <c r="Q562" s="245"/>
      <c r="R562" s="246"/>
      <c r="S562" s="244"/>
      <c r="T562" s="247"/>
      <c r="U562" s="247"/>
      <c r="V562" s="244"/>
      <c r="W562" s="244"/>
      <c r="X562" s="97"/>
    </row>
    <row r="563">
      <c r="A563" s="205"/>
      <c r="B563" s="235"/>
      <c r="C563" s="236"/>
      <c r="D563" s="237"/>
      <c r="E563" s="235"/>
      <c r="F563" s="235"/>
      <c r="G563" s="239"/>
      <c r="H563" s="240"/>
      <c r="J563" s="237"/>
      <c r="K563" s="241"/>
      <c r="L563" s="241"/>
      <c r="M563" s="237"/>
      <c r="N563" s="242"/>
      <c r="O563" s="243"/>
      <c r="P563" s="244"/>
      <c r="Q563" s="245"/>
      <c r="R563" s="246"/>
      <c r="S563" s="244"/>
      <c r="T563" s="247"/>
      <c r="U563" s="247"/>
      <c r="V563" s="244"/>
      <c r="W563" s="244"/>
      <c r="X563" s="97"/>
    </row>
    <row r="564">
      <c r="A564" s="205"/>
      <c r="B564" s="235"/>
      <c r="C564" s="236"/>
      <c r="D564" s="237"/>
      <c r="E564" s="235"/>
      <c r="F564" s="235"/>
      <c r="G564" s="239"/>
      <c r="H564" s="240"/>
      <c r="J564" s="237"/>
      <c r="K564" s="241"/>
      <c r="L564" s="241"/>
      <c r="M564" s="237"/>
      <c r="N564" s="242"/>
      <c r="O564" s="243"/>
      <c r="P564" s="244"/>
      <c r="Q564" s="245"/>
      <c r="R564" s="246"/>
      <c r="S564" s="244"/>
      <c r="T564" s="247"/>
      <c r="U564" s="247"/>
      <c r="V564" s="244"/>
      <c r="W564" s="244"/>
      <c r="X564" s="97"/>
    </row>
    <row r="565">
      <c r="A565" s="205"/>
      <c r="B565" s="235"/>
      <c r="C565" s="236"/>
      <c r="D565" s="237"/>
      <c r="E565" s="235"/>
      <c r="F565" s="235"/>
      <c r="G565" s="239"/>
      <c r="H565" s="240"/>
      <c r="J565" s="237"/>
      <c r="K565" s="241"/>
      <c r="L565" s="241"/>
      <c r="M565" s="237"/>
      <c r="N565" s="242"/>
      <c r="O565" s="243"/>
      <c r="P565" s="244"/>
      <c r="Q565" s="245"/>
      <c r="R565" s="246"/>
      <c r="S565" s="244"/>
      <c r="T565" s="247"/>
      <c r="U565" s="247"/>
      <c r="V565" s="244"/>
      <c r="W565" s="244"/>
      <c r="X565" s="97"/>
    </row>
    <row r="566">
      <c r="A566" s="205"/>
      <c r="B566" s="235"/>
      <c r="C566" s="236"/>
      <c r="D566" s="237"/>
      <c r="E566" s="235"/>
      <c r="F566" s="235"/>
      <c r="G566" s="239"/>
      <c r="H566" s="240"/>
      <c r="J566" s="237"/>
      <c r="K566" s="241"/>
      <c r="L566" s="241"/>
      <c r="M566" s="237"/>
      <c r="N566" s="242"/>
      <c r="O566" s="243"/>
      <c r="P566" s="244"/>
      <c r="Q566" s="245"/>
      <c r="R566" s="246"/>
      <c r="S566" s="244"/>
      <c r="T566" s="247"/>
      <c r="U566" s="247"/>
      <c r="V566" s="244"/>
      <c r="W566" s="244"/>
      <c r="X566" s="97"/>
    </row>
    <row r="567">
      <c r="A567" s="205"/>
      <c r="B567" s="235"/>
      <c r="C567" s="236"/>
      <c r="D567" s="237"/>
      <c r="E567" s="235"/>
      <c r="F567" s="235"/>
      <c r="G567" s="239"/>
      <c r="H567" s="240"/>
      <c r="J567" s="237"/>
      <c r="K567" s="241"/>
      <c r="L567" s="241"/>
      <c r="M567" s="237"/>
      <c r="N567" s="242"/>
      <c r="O567" s="243"/>
      <c r="P567" s="244"/>
      <c r="Q567" s="245"/>
      <c r="R567" s="246"/>
      <c r="S567" s="244"/>
      <c r="T567" s="247"/>
      <c r="U567" s="247"/>
      <c r="V567" s="244"/>
      <c r="W567" s="244"/>
      <c r="X567" s="97"/>
    </row>
    <row r="568">
      <c r="A568" s="205"/>
      <c r="B568" s="235"/>
      <c r="C568" s="236"/>
      <c r="D568" s="237"/>
      <c r="E568" s="235"/>
      <c r="F568" s="235"/>
      <c r="G568" s="239"/>
      <c r="H568" s="240"/>
      <c r="J568" s="237"/>
      <c r="K568" s="241"/>
      <c r="L568" s="241"/>
      <c r="M568" s="237"/>
      <c r="N568" s="242"/>
      <c r="O568" s="243"/>
      <c r="P568" s="244"/>
      <c r="Q568" s="245"/>
      <c r="R568" s="246"/>
      <c r="S568" s="244"/>
      <c r="T568" s="247"/>
      <c r="U568" s="247"/>
      <c r="V568" s="244"/>
      <c r="W568" s="244"/>
      <c r="X568" s="97"/>
    </row>
    <row r="569">
      <c r="A569" s="205"/>
      <c r="B569" s="235"/>
      <c r="C569" s="236"/>
      <c r="D569" s="237"/>
      <c r="E569" s="235"/>
      <c r="F569" s="235"/>
      <c r="G569" s="239"/>
      <c r="H569" s="240"/>
      <c r="J569" s="237"/>
      <c r="K569" s="241"/>
      <c r="L569" s="241"/>
      <c r="M569" s="237"/>
      <c r="N569" s="242"/>
      <c r="O569" s="243"/>
      <c r="P569" s="244"/>
      <c r="Q569" s="245"/>
      <c r="R569" s="246"/>
      <c r="S569" s="244"/>
      <c r="T569" s="247"/>
      <c r="U569" s="247"/>
      <c r="V569" s="244"/>
      <c r="W569" s="244"/>
      <c r="X569" s="97"/>
    </row>
    <row r="570">
      <c r="A570" s="205"/>
      <c r="B570" s="235"/>
      <c r="C570" s="236"/>
      <c r="D570" s="237"/>
      <c r="E570" s="235"/>
      <c r="F570" s="235"/>
      <c r="G570" s="239"/>
      <c r="H570" s="240"/>
      <c r="J570" s="237"/>
      <c r="K570" s="241"/>
      <c r="L570" s="241"/>
      <c r="M570" s="237"/>
      <c r="N570" s="242"/>
      <c r="O570" s="243"/>
      <c r="P570" s="244"/>
      <c r="Q570" s="245"/>
      <c r="R570" s="246"/>
      <c r="S570" s="244"/>
      <c r="T570" s="247"/>
      <c r="U570" s="247"/>
      <c r="V570" s="244"/>
      <c r="W570" s="244"/>
      <c r="X570" s="97"/>
    </row>
    <row r="571">
      <c r="A571" s="205"/>
      <c r="B571" s="235"/>
      <c r="C571" s="236"/>
      <c r="D571" s="237"/>
      <c r="E571" s="235"/>
      <c r="F571" s="235"/>
      <c r="G571" s="239"/>
      <c r="H571" s="240"/>
      <c r="J571" s="237"/>
      <c r="K571" s="241"/>
      <c r="L571" s="241"/>
      <c r="M571" s="237"/>
      <c r="N571" s="242"/>
      <c r="O571" s="243"/>
      <c r="P571" s="244"/>
      <c r="Q571" s="245"/>
      <c r="R571" s="246"/>
      <c r="S571" s="244"/>
      <c r="T571" s="247"/>
      <c r="U571" s="247"/>
      <c r="V571" s="244"/>
      <c r="W571" s="244"/>
      <c r="X571" s="97"/>
    </row>
    <row r="572">
      <c r="A572" s="205"/>
      <c r="B572" s="235"/>
      <c r="C572" s="236"/>
      <c r="D572" s="237"/>
      <c r="E572" s="235"/>
      <c r="F572" s="235"/>
      <c r="G572" s="239"/>
      <c r="H572" s="240"/>
      <c r="J572" s="237"/>
      <c r="K572" s="241"/>
      <c r="L572" s="241"/>
      <c r="M572" s="237"/>
      <c r="N572" s="242"/>
      <c r="O572" s="243"/>
      <c r="P572" s="244"/>
      <c r="Q572" s="245"/>
      <c r="R572" s="246"/>
      <c r="S572" s="244"/>
      <c r="T572" s="247"/>
      <c r="U572" s="247"/>
      <c r="V572" s="244"/>
      <c r="W572" s="244"/>
      <c r="X572" s="97"/>
    </row>
    <row r="573">
      <c r="A573" s="205"/>
      <c r="B573" s="235"/>
      <c r="C573" s="236"/>
      <c r="D573" s="237"/>
      <c r="E573" s="235"/>
      <c r="F573" s="235"/>
      <c r="G573" s="239"/>
      <c r="H573" s="240"/>
      <c r="J573" s="237"/>
      <c r="K573" s="241"/>
      <c r="L573" s="241"/>
      <c r="M573" s="237"/>
      <c r="N573" s="242"/>
      <c r="O573" s="243"/>
      <c r="P573" s="244"/>
      <c r="Q573" s="245"/>
      <c r="R573" s="246"/>
      <c r="S573" s="244"/>
      <c r="T573" s="247"/>
      <c r="U573" s="247"/>
      <c r="V573" s="244"/>
      <c r="W573" s="244"/>
      <c r="X573" s="97"/>
    </row>
    <row r="574">
      <c r="A574" s="205"/>
      <c r="B574" s="235"/>
      <c r="C574" s="236"/>
      <c r="D574" s="237"/>
      <c r="E574" s="235"/>
      <c r="F574" s="235"/>
      <c r="G574" s="239"/>
      <c r="H574" s="240"/>
      <c r="J574" s="237"/>
      <c r="K574" s="241"/>
      <c r="L574" s="241"/>
      <c r="M574" s="237"/>
      <c r="N574" s="242"/>
      <c r="O574" s="243"/>
      <c r="P574" s="244"/>
      <c r="Q574" s="245"/>
      <c r="R574" s="246"/>
      <c r="S574" s="244"/>
      <c r="T574" s="247"/>
      <c r="U574" s="247"/>
      <c r="V574" s="244"/>
      <c r="W574" s="244"/>
      <c r="X574" s="97"/>
    </row>
    <row r="575">
      <c r="A575" s="205"/>
      <c r="B575" s="235"/>
      <c r="C575" s="236"/>
      <c r="D575" s="237"/>
      <c r="E575" s="235"/>
      <c r="F575" s="235"/>
      <c r="G575" s="239"/>
      <c r="H575" s="240"/>
      <c r="J575" s="237"/>
      <c r="K575" s="241"/>
      <c r="L575" s="241"/>
      <c r="M575" s="237"/>
      <c r="N575" s="242"/>
      <c r="O575" s="243"/>
      <c r="P575" s="244"/>
      <c r="Q575" s="245"/>
      <c r="R575" s="246"/>
      <c r="S575" s="244"/>
      <c r="T575" s="247"/>
      <c r="U575" s="247"/>
      <c r="V575" s="244"/>
      <c r="W575" s="244"/>
      <c r="X575" s="97"/>
    </row>
    <row r="576">
      <c r="A576" s="205"/>
      <c r="B576" s="235"/>
      <c r="C576" s="236"/>
      <c r="D576" s="237"/>
      <c r="E576" s="235"/>
      <c r="F576" s="235"/>
      <c r="G576" s="239"/>
      <c r="H576" s="240"/>
      <c r="J576" s="237"/>
      <c r="K576" s="241"/>
      <c r="L576" s="241"/>
      <c r="M576" s="237"/>
      <c r="N576" s="242"/>
      <c r="O576" s="243"/>
      <c r="P576" s="244"/>
      <c r="Q576" s="245"/>
      <c r="R576" s="246"/>
      <c r="S576" s="244"/>
      <c r="T576" s="247"/>
      <c r="U576" s="247"/>
      <c r="V576" s="244"/>
      <c r="W576" s="244"/>
      <c r="X576" s="97"/>
    </row>
    <row r="577">
      <c r="A577" s="205"/>
      <c r="B577" s="235"/>
      <c r="C577" s="236"/>
      <c r="D577" s="237"/>
      <c r="E577" s="235"/>
      <c r="F577" s="235"/>
      <c r="G577" s="239"/>
      <c r="H577" s="240"/>
      <c r="J577" s="237"/>
      <c r="K577" s="241"/>
      <c r="L577" s="241"/>
      <c r="M577" s="237"/>
      <c r="N577" s="242"/>
      <c r="O577" s="243"/>
      <c r="P577" s="244"/>
      <c r="Q577" s="245"/>
      <c r="R577" s="246"/>
      <c r="S577" s="244"/>
      <c r="T577" s="247"/>
      <c r="U577" s="247"/>
      <c r="V577" s="244"/>
      <c r="W577" s="244"/>
      <c r="X577" s="97"/>
    </row>
    <row r="578">
      <c r="A578" s="205"/>
      <c r="B578" s="235"/>
      <c r="C578" s="236"/>
      <c r="D578" s="237"/>
      <c r="E578" s="235"/>
      <c r="F578" s="235"/>
      <c r="G578" s="239"/>
      <c r="H578" s="240"/>
      <c r="J578" s="237"/>
      <c r="K578" s="241"/>
      <c r="L578" s="241"/>
      <c r="M578" s="237"/>
      <c r="N578" s="242"/>
      <c r="O578" s="243"/>
      <c r="P578" s="244"/>
      <c r="Q578" s="245"/>
      <c r="R578" s="246"/>
      <c r="S578" s="244"/>
      <c r="T578" s="247"/>
      <c r="U578" s="247"/>
      <c r="V578" s="244"/>
      <c r="W578" s="244"/>
      <c r="X578" s="97"/>
    </row>
    <row r="579">
      <c r="A579" s="205"/>
      <c r="B579" s="235"/>
      <c r="C579" s="236"/>
      <c r="D579" s="237"/>
      <c r="E579" s="235"/>
      <c r="F579" s="235"/>
      <c r="G579" s="239"/>
      <c r="H579" s="240"/>
      <c r="J579" s="237"/>
      <c r="K579" s="241"/>
      <c r="L579" s="241"/>
      <c r="M579" s="237"/>
      <c r="N579" s="242"/>
      <c r="O579" s="243"/>
      <c r="P579" s="244"/>
      <c r="Q579" s="245"/>
      <c r="R579" s="246"/>
      <c r="S579" s="244"/>
      <c r="T579" s="247"/>
      <c r="U579" s="247"/>
      <c r="V579" s="244"/>
      <c r="W579" s="244"/>
      <c r="X579" s="97"/>
    </row>
    <row r="580">
      <c r="A580" s="205"/>
      <c r="B580" s="235"/>
      <c r="C580" s="236"/>
      <c r="D580" s="237"/>
      <c r="E580" s="235"/>
      <c r="F580" s="235"/>
      <c r="G580" s="239"/>
      <c r="H580" s="240"/>
      <c r="J580" s="237"/>
      <c r="K580" s="241"/>
      <c r="L580" s="241"/>
      <c r="M580" s="237"/>
      <c r="N580" s="242"/>
      <c r="O580" s="243"/>
      <c r="P580" s="244"/>
      <c r="Q580" s="245"/>
      <c r="R580" s="246"/>
      <c r="S580" s="244"/>
      <c r="T580" s="247"/>
      <c r="U580" s="247"/>
      <c r="V580" s="244"/>
      <c r="W580" s="244"/>
      <c r="X580" s="97"/>
    </row>
    <row r="581">
      <c r="A581" s="205"/>
      <c r="B581" s="235"/>
      <c r="C581" s="236"/>
      <c r="D581" s="237"/>
      <c r="E581" s="235"/>
      <c r="F581" s="235"/>
      <c r="G581" s="239"/>
      <c r="H581" s="240"/>
      <c r="J581" s="237"/>
      <c r="K581" s="241"/>
      <c r="L581" s="241"/>
      <c r="M581" s="237"/>
      <c r="N581" s="242"/>
      <c r="O581" s="243"/>
      <c r="P581" s="244"/>
      <c r="Q581" s="245"/>
      <c r="R581" s="246"/>
      <c r="S581" s="244"/>
      <c r="T581" s="247"/>
      <c r="U581" s="247"/>
      <c r="V581" s="244"/>
      <c r="W581" s="244"/>
      <c r="X581" s="97"/>
    </row>
    <row r="582">
      <c r="A582" s="205"/>
      <c r="B582" s="235"/>
      <c r="C582" s="236"/>
      <c r="D582" s="237"/>
      <c r="E582" s="235"/>
      <c r="F582" s="235"/>
      <c r="G582" s="239"/>
      <c r="H582" s="240"/>
      <c r="J582" s="237"/>
      <c r="K582" s="241"/>
      <c r="L582" s="241"/>
      <c r="M582" s="237"/>
      <c r="N582" s="242"/>
      <c r="O582" s="243"/>
      <c r="P582" s="244"/>
      <c r="Q582" s="245"/>
      <c r="R582" s="246"/>
      <c r="S582" s="244"/>
      <c r="T582" s="247"/>
      <c r="U582" s="247"/>
      <c r="V582" s="244"/>
      <c r="W582" s="244"/>
      <c r="X582" s="97"/>
    </row>
    <row r="583">
      <c r="A583" s="205"/>
      <c r="B583" s="235"/>
      <c r="C583" s="236"/>
      <c r="D583" s="237"/>
      <c r="E583" s="235"/>
      <c r="F583" s="235"/>
      <c r="G583" s="239"/>
      <c r="H583" s="240"/>
      <c r="J583" s="237"/>
      <c r="K583" s="241"/>
      <c r="L583" s="241"/>
      <c r="M583" s="237"/>
      <c r="N583" s="242"/>
      <c r="O583" s="243"/>
      <c r="P583" s="244"/>
      <c r="Q583" s="245"/>
      <c r="R583" s="246"/>
      <c r="S583" s="244"/>
      <c r="T583" s="247"/>
      <c r="U583" s="247"/>
      <c r="V583" s="244"/>
      <c r="W583" s="244"/>
      <c r="X583" s="97"/>
    </row>
    <row r="584">
      <c r="A584" s="205"/>
      <c r="B584" s="235"/>
      <c r="C584" s="236"/>
      <c r="D584" s="237"/>
      <c r="E584" s="235"/>
      <c r="F584" s="235"/>
      <c r="G584" s="239"/>
      <c r="H584" s="240"/>
      <c r="J584" s="237"/>
      <c r="K584" s="241"/>
      <c r="L584" s="241"/>
      <c r="M584" s="237"/>
      <c r="N584" s="242"/>
      <c r="O584" s="243"/>
      <c r="P584" s="244"/>
      <c r="Q584" s="245"/>
      <c r="R584" s="246"/>
      <c r="S584" s="244"/>
      <c r="T584" s="247"/>
      <c r="U584" s="247"/>
      <c r="V584" s="244"/>
      <c r="W584" s="244"/>
      <c r="X584" s="97"/>
    </row>
    <row r="585">
      <c r="A585" s="205"/>
      <c r="B585" s="235"/>
      <c r="C585" s="236"/>
      <c r="D585" s="237"/>
      <c r="E585" s="235"/>
      <c r="F585" s="235"/>
      <c r="G585" s="239"/>
      <c r="H585" s="240"/>
      <c r="J585" s="237"/>
      <c r="K585" s="241"/>
      <c r="L585" s="241"/>
      <c r="M585" s="237"/>
      <c r="N585" s="242"/>
      <c r="O585" s="243"/>
      <c r="P585" s="244"/>
      <c r="Q585" s="245"/>
      <c r="R585" s="246"/>
      <c r="S585" s="244"/>
      <c r="T585" s="247"/>
      <c r="U585" s="247"/>
      <c r="V585" s="244"/>
      <c r="W585" s="244"/>
      <c r="X585" s="97"/>
    </row>
    <row r="586">
      <c r="A586" s="205"/>
      <c r="B586" s="235"/>
      <c r="C586" s="236"/>
      <c r="D586" s="237"/>
      <c r="E586" s="235"/>
      <c r="F586" s="235"/>
      <c r="G586" s="239"/>
      <c r="H586" s="240"/>
      <c r="J586" s="237"/>
      <c r="K586" s="241"/>
      <c r="L586" s="241"/>
      <c r="M586" s="237"/>
      <c r="N586" s="242"/>
      <c r="O586" s="243"/>
      <c r="P586" s="244"/>
      <c r="Q586" s="245"/>
      <c r="R586" s="246"/>
      <c r="S586" s="244"/>
      <c r="T586" s="247"/>
      <c r="U586" s="247"/>
      <c r="V586" s="244"/>
      <c r="W586" s="244"/>
      <c r="X586" s="97"/>
    </row>
    <row r="587">
      <c r="A587" s="205"/>
      <c r="B587" s="235"/>
      <c r="C587" s="236"/>
      <c r="D587" s="237"/>
      <c r="E587" s="235"/>
      <c r="F587" s="235"/>
      <c r="G587" s="239"/>
      <c r="H587" s="240"/>
      <c r="J587" s="237"/>
      <c r="K587" s="241"/>
      <c r="L587" s="241"/>
      <c r="M587" s="237"/>
      <c r="N587" s="242"/>
      <c r="O587" s="243"/>
      <c r="P587" s="244"/>
      <c r="Q587" s="245"/>
      <c r="R587" s="246"/>
      <c r="S587" s="244"/>
      <c r="T587" s="247"/>
      <c r="U587" s="247"/>
      <c r="V587" s="244"/>
      <c r="W587" s="244"/>
      <c r="X587" s="97"/>
    </row>
    <row r="588">
      <c r="A588" s="205"/>
      <c r="B588" s="235"/>
      <c r="C588" s="236"/>
      <c r="D588" s="237"/>
      <c r="E588" s="235"/>
      <c r="F588" s="235"/>
      <c r="G588" s="239"/>
      <c r="H588" s="240"/>
      <c r="J588" s="237"/>
      <c r="K588" s="241"/>
      <c r="L588" s="241"/>
      <c r="M588" s="237"/>
      <c r="N588" s="242"/>
      <c r="O588" s="243"/>
      <c r="P588" s="244"/>
      <c r="Q588" s="245"/>
      <c r="R588" s="246"/>
      <c r="S588" s="244"/>
      <c r="T588" s="247"/>
      <c r="U588" s="247"/>
      <c r="V588" s="244"/>
      <c r="W588" s="244"/>
      <c r="X588" s="97"/>
    </row>
    <row r="589">
      <c r="A589" s="205"/>
      <c r="B589" s="235"/>
      <c r="C589" s="236"/>
      <c r="D589" s="237"/>
      <c r="E589" s="235"/>
      <c r="F589" s="235"/>
      <c r="G589" s="239"/>
      <c r="H589" s="240"/>
      <c r="J589" s="237"/>
      <c r="K589" s="241"/>
      <c r="L589" s="241"/>
      <c r="M589" s="237"/>
      <c r="N589" s="242"/>
      <c r="O589" s="243"/>
      <c r="P589" s="244"/>
      <c r="Q589" s="245"/>
      <c r="R589" s="246"/>
      <c r="S589" s="244"/>
      <c r="T589" s="247"/>
      <c r="U589" s="247"/>
      <c r="V589" s="244"/>
      <c r="W589" s="244"/>
      <c r="X589" s="97"/>
    </row>
    <row r="590">
      <c r="A590" s="205"/>
      <c r="B590" s="235"/>
      <c r="C590" s="236"/>
      <c r="D590" s="237"/>
      <c r="E590" s="235"/>
      <c r="F590" s="235"/>
      <c r="G590" s="239"/>
      <c r="H590" s="240"/>
      <c r="J590" s="237"/>
      <c r="K590" s="241"/>
      <c r="L590" s="241"/>
      <c r="M590" s="237"/>
      <c r="N590" s="242"/>
      <c r="O590" s="243"/>
      <c r="P590" s="244"/>
      <c r="Q590" s="245"/>
      <c r="R590" s="246"/>
      <c r="S590" s="244"/>
      <c r="T590" s="247"/>
      <c r="U590" s="247"/>
      <c r="V590" s="244"/>
      <c r="W590" s="244"/>
      <c r="X590" s="97"/>
    </row>
    <row r="591">
      <c r="A591" s="205"/>
      <c r="B591" s="235"/>
      <c r="C591" s="236"/>
      <c r="D591" s="237"/>
      <c r="E591" s="235"/>
      <c r="F591" s="235"/>
      <c r="G591" s="239"/>
      <c r="H591" s="240"/>
      <c r="J591" s="237"/>
      <c r="K591" s="241"/>
      <c r="L591" s="241"/>
      <c r="M591" s="237"/>
      <c r="N591" s="242"/>
      <c r="O591" s="243"/>
      <c r="P591" s="244"/>
      <c r="Q591" s="245"/>
      <c r="R591" s="246"/>
      <c r="S591" s="244"/>
      <c r="T591" s="247"/>
      <c r="U591" s="247"/>
      <c r="V591" s="244"/>
      <c r="W591" s="244"/>
      <c r="X591" s="97"/>
    </row>
    <row r="592">
      <c r="A592" s="205"/>
      <c r="B592" s="235"/>
      <c r="C592" s="236"/>
      <c r="D592" s="237"/>
      <c r="E592" s="235"/>
      <c r="F592" s="235"/>
      <c r="G592" s="239"/>
      <c r="H592" s="240"/>
      <c r="J592" s="237"/>
      <c r="K592" s="241"/>
      <c r="L592" s="241"/>
      <c r="M592" s="237"/>
      <c r="N592" s="242"/>
      <c r="O592" s="243"/>
      <c r="P592" s="244"/>
      <c r="Q592" s="245"/>
      <c r="R592" s="246"/>
      <c r="S592" s="244"/>
      <c r="T592" s="247"/>
      <c r="U592" s="247"/>
      <c r="V592" s="244"/>
      <c r="W592" s="244"/>
      <c r="X592" s="97"/>
    </row>
    <row r="593">
      <c r="A593" s="205"/>
      <c r="B593" s="235"/>
      <c r="C593" s="236"/>
      <c r="D593" s="237"/>
      <c r="E593" s="235"/>
      <c r="F593" s="235"/>
      <c r="G593" s="239"/>
      <c r="H593" s="240"/>
      <c r="J593" s="237"/>
      <c r="K593" s="241"/>
      <c r="L593" s="241"/>
      <c r="M593" s="237"/>
      <c r="N593" s="242"/>
      <c r="O593" s="243"/>
      <c r="P593" s="244"/>
      <c r="Q593" s="245"/>
      <c r="R593" s="246"/>
      <c r="S593" s="244"/>
      <c r="T593" s="247"/>
      <c r="U593" s="247"/>
      <c r="V593" s="244"/>
      <c r="W593" s="244"/>
      <c r="X593" s="97"/>
    </row>
    <row r="594">
      <c r="A594" s="205"/>
      <c r="B594" s="235"/>
      <c r="C594" s="236"/>
      <c r="D594" s="237"/>
      <c r="E594" s="235"/>
      <c r="F594" s="235"/>
      <c r="G594" s="239"/>
      <c r="H594" s="240"/>
      <c r="J594" s="237"/>
      <c r="K594" s="241"/>
      <c r="L594" s="241"/>
      <c r="M594" s="237"/>
      <c r="N594" s="242"/>
      <c r="O594" s="243"/>
      <c r="P594" s="244"/>
      <c r="Q594" s="245"/>
      <c r="R594" s="246"/>
      <c r="S594" s="244"/>
      <c r="T594" s="247"/>
      <c r="U594" s="247"/>
      <c r="V594" s="244"/>
      <c r="W594" s="244"/>
      <c r="X594" s="97"/>
    </row>
    <row r="595">
      <c r="A595" s="205"/>
      <c r="B595" s="235"/>
      <c r="C595" s="236"/>
      <c r="D595" s="237"/>
      <c r="E595" s="235"/>
      <c r="F595" s="235"/>
      <c r="G595" s="239"/>
      <c r="H595" s="240"/>
      <c r="J595" s="237"/>
      <c r="K595" s="241"/>
      <c r="L595" s="241"/>
      <c r="M595" s="237"/>
      <c r="N595" s="242"/>
      <c r="O595" s="243"/>
      <c r="P595" s="244"/>
      <c r="Q595" s="245"/>
      <c r="R595" s="246"/>
      <c r="S595" s="244"/>
      <c r="T595" s="247"/>
      <c r="U595" s="247"/>
      <c r="V595" s="244"/>
      <c r="W595" s="244"/>
      <c r="X595" s="97"/>
    </row>
    <row r="596">
      <c r="A596" s="205"/>
      <c r="B596" s="235"/>
      <c r="C596" s="236"/>
      <c r="D596" s="237"/>
      <c r="E596" s="235"/>
      <c r="F596" s="235"/>
      <c r="G596" s="239"/>
      <c r="H596" s="240"/>
      <c r="J596" s="237"/>
      <c r="K596" s="241"/>
      <c r="L596" s="241"/>
      <c r="M596" s="237"/>
      <c r="N596" s="242"/>
      <c r="O596" s="243"/>
      <c r="P596" s="244"/>
      <c r="Q596" s="245"/>
      <c r="R596" s="246"/>
      <c r="S596" s="244"/>
      <c r="T596" s="247"/>
      <c r="U596" s="247"/>
      <c r="V596" s="244"/>
      <c r="W596" s="244"/>
      <c r="X596" s="97"/>
    </row>
    <row r="597">
      <c r="A597" s="205"/>
      <c r="B597" s="235"/>
      <c r="C597" s="236"/>
      <c r="D597" s="237"/>
      <c r="E597" s="235"/>
      <c r="F597" s="235"/>
      <c r="G597" s="239"/>
      <c r="H597" s="240"/>
      <c r="J597" s="237"/>
      <c r="K597" s="241"/>
      <c r="L597" s="241"/>
      <c r="M597" s="237"/>
      <c r="N597" s="242"/>
      <c r="O597" s="243"/>
      <c r="P597" s="244"/>
      <c r="Q597" s="245"/>
      <c r="R597" s="246"/>
      <c r="S597" s="244"/>
      <c r="T597" s="247"/>
      <c r="U597" s="247"/>
      <c r="V597" s="244"/>
      <c r="W597" s="244"/>
      <c r="X597" s="97"/>
    </row>
    <row r="598">
      <c r="A598" s="205"/>
      <c r="B598" s="235"/>
      <c r="C598" s="236"/>
      <c r="D598" s="237"/>
      <c r="E598" s="235"/>
      <c r="F598" s="235"/>
      <c r="G598" s="239"/>
      <c r="H598" s="240"/>
      <c r="J598" s="237"/>
      <c r="K598" s="241"/>
      <c r="L598" s="241"/>
      <c r="M598" s="237"/>
      <c r="N598" s="242"/>
      <c r="O598" s="243"/>
      <c r="P598" s="244"/>
      <c r="Q598" s="245"/>
      <c r="R598" s="246"/>
      <c r="S598" s="244"/>
      <c r="T598" s="247"/>
      <c r="U598" s="247"/>
      <c r="V598" s="244"/>
      <c r="W598" s="244"/>
      <c r="X598" s="97"/>
    </row>
    <row r="599">
      <c r="A599" s="205"/>
      <c r="B599" s="235"/>
      <c r="C599" s="236"/>
      <c r="D599" s="237"/>
      <c r="E599" s="235"/>
      <c r="F599" s="235"/>
      <c r="G599" s="239"/>
      <c r="H599" s="240"/>
      <c r="J599" s="237"/>
      <c r="K599" s="241"/>
      <c r="L599" s="241"/>
      <c r="M599" s="237"/>
      <c r="N599" s="242"/>
      <c r="O599" s="243"/>
      <c r="P599" s="244"/>
      <c r="Q599" s="245"/>
      <c r="R599" s="246"/>
      <c r="S599" s="244"/>
      <c r="T599" s="247"/>
      <c r="U599" s="247"/>
      <c r="V599" s="244"/>
      <c r="W599" s="244"/>
      <c r="X599" s="97"/>
    </row>
    <row r="600">
      <c r="A600" s="205"/>
      <c r="B600" s="235"/>
      <c r="C600" s="236"/>
      <c r="D600" s="237"/>
      <c r="E600" s="235"/>
      <c r="F600" s="235"/>
      <c r="G600" s="239"/>
      <c r="H600" s="240"/>
      <c r="J600" s="237"/>
      <c r="K600" s="241"/>
      <c r="L600" s="241"/>
      <c r="M600" s="237"/>
      <c r="N600" s="242"/>
      <c r="O600" s="243"/>
      <c r="P600" s="244"/>
      <c r="Q600" s="245"/>
      <c r="R600" s="246"/>
      <c r="S600" s="244"/>
      <c r="T600" s="247"/>
      <c r="U600" s="247"/>
      <c r="V600" s="244"/>
      <c r="W600" s="244"/>
      <c r="X600" s="97"/>
    </row>
    <row r="601">
      <c r="A601" s="205"/>
      <c r="B601" s="235"/>
      <c r="C601" s="236"/>
      <c r="D601" s="237"/>
      <c r="E601" s="235"/>
      <c r="F601" s="235"/>
      <c r="G601" s="239"/>
      <c r="H601" s="240"/>
      <c r="J601" s="237"/>
      <c r="K601" s="241"/>
      <c r="L601" s="241"/>
      <c r="M601" s="237"/>
      <c r="N601" s="242"/>
      <c r="O601" s="243"/>
      <c r="P601" s="244"/>
      <c r="Q601" s="245"/>
      <c r="R601" s="246"/>
      <c r="S601" s="244"/>
      <c r="T601" s="247"/>
      <c r="U601" s="247"/>
      <c r="V601" s="244"/>
      <c r="W601" s="244"/>
      <c r="X601" s="97"/>
    </row>
    <row r="602">
      <c r="A602" s="205"/>
      <c r="B602" s="235"/>
      <c r="C602" s="236"/>
      <c r="D602" s="237"/>
      <c r="E602" s="235"/>
      <c r="F602" s="235"/>
      <c r="G602" s="239"/>
      <c r="H602" s="240"/>
      <c r="J602" s="237"/>
      <c r="K602" s="241"/>
      <c r="L602" s="241"/>
      <c r="M602" s="237"/>
      <c r="N602" s="242"/>
      <c r="O602" s="243"/>
      <c r="P602" s="244"/>
      <c r="Q602" s="245"/>
      <c r="R602" s="246"/>
      <c r="S602" s="244"/>
      <c r="T602" s="247"/>
      <c r="U602" s="247"/>
      <c r="V602" s="244"/>
      <c r="W602" s="244"/>
      <c r="X602" s="97"/>
    </row>
    <row r="603">
      <c r="A603" s="205"/>
      <c r="B603" s="235"/>
      <c r="C603" s="236"/>
      <c r="D603" s="237"/>
      <c r="E603" s="235"/>
      <c r="F603" s="235"/>
      <c r="G603" s="239"/>
      <c r="H603" s="240"/>
      <c r="J603" s="237"/>
      <c r="K603" s="241"/>
      <c r="L603" s="241"/>
      <c r="M603" s="237"/>
      <c r="N603" s="242"/>
      <c r="O603" s="243"/>
      <c r="P603" s="244"/>
      <c r="Q603" s="245"/>
      <c r="R603" s="246"/>
      <c r="S603" s="244"/>
      <c r="T603" s="247"/>
      <c r="U603" s="247"/>
      <c r="V603" s="244"/>
      <c r="W603" s="244"/>
      <c r="X603" s="97"/>
    </row>
    <row r="604">
      <c r="A604" s="205"/>
      <c r="B604" s="235"/>
      <c r="C604" s="236"/>
      <c r="D604" s="237"/>
      <c r="E604" s="235"/>
      <c r="F604" s="235"/>
      <c r="G604" s="239"/>
      <c r="H604" s="240"/>
      <c r="J604" s="237"/>
      <c r="K604" s="241"/>
      <c r="L604" s="241"/>
      <c r="M604" s="237"/>
      <c r="N604" s="242"/>
      <c r="O604" s="243"/>
      <c r="P604" s="244"/>
      <c r="Q604" s="245"/>
      <c r="R604" s="246"/>
      <c r="S604" s="244"/>
      <c r="T604" s="247"/>
      <c r="U604" s="247"/>
      <c r="V604" s="244"/>
      <c r="W604" s="244"/>
      <c r="X604" s="97"/>
    </row>
    <row r="605">
      <c r="A605" s="205"/>
      <c r="B605" s="235"/>
      <c r="C605" s="236"/>
      <c r="D605" s="237"/>
      <c r="E605" s="235"/>
      <c r="F605" s="235"/>
      <c r="G605" s="239"/>
      <c r="H605" s="240"/>
      <c r="J605" s="237"/>
      <c r="K605" s="241"/>
      <c r="L605" s="241"/>
      <c r="M605" s="237"/>
      <c r="N605" s="242"/>
      <c r="O605" s="243"/>
      <c r="P605" s="244"/>
      <c r="Q605" s="245"/>
      <c r="R605" s="246"/>
      <c r="S605" s="244"/>
      <c r="T605" s="247"/>
      <c r="U605" s="247"/>
      <c r="V605" s="244"/>
      <c r="W605" s="244"/>
      <c r="X605" s="97"/>
    </row>
    <row r="606">
      <c r="A606" s="205"/>
      <c r="B606" s="235"/>
      <c r="C606" s="236"/>
      <c r="D606" s="237"/>
      <c r="E606" s="235"/>
      <c r="F606" s="235"/>
      <c r="G606" s="239"/>
      <c r="H606" s="240"/>
      <c r="J606" s="237"/>
      <c r="K606" s="241"/>
      <c r="L606" s="241"/>
      <c r="M606" s="237"/>
      <c r="N606" s="242"/>
      <c r="O606" s="243"/>
      <c r="P606" s="244"/>
      <c r="Q606" s="245"/>
      <c r="R606" s="246"/>
      <c r="S606" s="244"/>
      <c r="T606" s="247"/>
      <c r="U606" s="247"/>
      <c r="V606" s="244"/>
      <c r="W606" s="244"/>
      <c r="X606" s="97"/>
    </row>
    <row r="607">
      <c r="A607" s="205"/>
      <c r="B607" s="235"/>
      <c r="C607" s="236"/>
      <c r="D607" s="237"/>
      <c r="E607" s="235"/>
      <c r="F607" s="235"/>
      <c r="G607" s="239"/>
      <c r="H607" s="240"/>
      <c r="J607" s="237"/>
      <c r="K607" s="241"/>
      <c r="L607" s="241"/>
      <c r="M607" s="237"/>
      <c r="N607" s="242"/>
      <c r="O607" s="243"/>
      <c r="P607" s="244"/>
      <c r="Q607" s="245"/>
      <c r="R607" s="246"/>
      <c r="S607" s="244"/>
      <c r="T607" s="247"/>
      <c r="U607" s="247"/>
      <c r="V607" s="244"/>
      <c r="W607" s="244"/>
      <c r="X607" s="97"/>
    </row>
    <row r="608">
      <c r="A608" s="205"/>
      <c r="B608" s="235"/>
      <c r="C608" s="236"/>
      <c r="D608" s="237"/>
      <c r="E608" s="235"/>
      <c r="F608" s="235"/>
      <c r="G608" s="239"/>
      <c r="H608" s="240"/>
      <c r="J608" s="237"/>
      <c r="K608" s="241"/>
      <c r="L608" s="241"/>
      <c r="M608" s="237"/>
      <c r="N608" s="242"/>
      <c r="O608" s="243"/>
      <c r="P608" s="244"/>
      <c r="Q608" s="245"/>
      <c r="R608" s="246"/>
      <c r="S608" s="244"/>
      <c r="T608" s="247"/>
      <c r="U608" s="247"/>
      <c r="V608" s="244"/>
      <c r="W608" s="244"/>
      <c r="X608" s="97"/>
    </row>
    <row r="609">
      <c r="A609" s="205"/>
      <c r="B609" s="235"/>
      <c r="C609" s="236"/>
      <c r="D609" s="237"/>
      <c r="E609" s="235"/>
      <c r="F609" s="235"/>
      <c r="G609" s="239"/>
      <c r="H609" s="240"/>
      <c r="J609" s="237"/>
      <c r="K609" s="241"/>
      <c r="L609" s="241"/>
      <c r="M609" s="237"/>
      <c r="N609" s="242"/>
      <c r="O609" s="243"/>
      <c r="P609" s="244"/>
      <c r="Q609" s="245"/>
      <c r="R609" s="246"/>
      <c r="S609" s="244"/>
      <c r="T609" s="247"/>
      <c r="U609" s="247"/>
      <c r="V609" s="244"/>
      <c r="W609" s="244"/>
      <c r="X609" s="97"/>
    </row>
    <row r="610">
      <c r="A610" s="205"/>
      <c r="B610" s="235"/>
      <c r="C610" s="236"/>
      <c r="D610" s="237"/>
      <c r="E610" s="235"/>
      <c r="F610" s="235"/>
      <c r="G610" s="239"/>
      <c r="H610" s="240"/>
      <c r="J610" s="237"/>
      <c r="K610" s="241"/>
      <c r="L610" s="241"/>
      <c r="M610" s="237"/>
      <c r="N610" s="242"/>
      <c r="O610" s="243"/>
      <c r="P610" s="244"/>
      <c r="Q610" s="245"/>
      <c r="R610" s="246"/>
      <c r="S610" s="244"/>
      <c r="T610" s="247"/>
      <c r="U610" s="247"/>
      <c r="V610" s="244"/>
      <c r="W610" s="244"/>
      <c r="X610" s="97"/>
    </row>
    <row r="611">
      <c r="A611" s="205"/>
      <c r="B611" s="235"/>
      <c r="C611" s="236"/>
      <c r="D611" s="237"/>
      <c r="E611" s="235"/>
      <c r="F611" s="235"/>
      <c r="G611" s="239"/>
      <c r="H611" s="240"/>
      <c r="J611" s="237"/>
      <c r="K611" s="241"/>
      <c r="L611" s="241"/>
      <c r="M611" s="237"/>
      <c r="N611" s="242"/>
      <c r="O611" s="243"/>
      <c r="P611" s="244"/>
      <c r="Q611" s="245"/>
      <c r="R611" s="246"/>
      <c r="S611" s="244"/>
      <c r="T611" s="247"/>
      <c r="U611" s="247"/>
      <c r="V611" s="244"/>
      <c r="W611" s="244"/>
      <c r="X611" s="97"/>
    </row>
    <row r="612">
      <c r="A612" s="205"/>
      <c r="B612" s="235"/>
      <c r="C612" s="236"/>
      <c r="D612" s="237"/>
      <c r="E612" s="235"/>
      <c r="F612" s="235"/>
      <c r="G612" s="239"/>
      <c r="H612" s="240"/>
      <c r="J612" s="237"/>
      <c r="K612" s="241"/>
      <c r="L612" s="241"/>
      <c r="M612" s="237"/>
      <c r="N612" s="242"/>
      <c r="O612" s="243"/>
      <c r="P612" s="244"/>
      <c r="Q612" s="245"/>
      <c r="R612" s="246"/>
      <c r="S612" s="244"/>
      <c r="T612" s="247"/>
      <c r="U612" s="247"/>
      <c r="V612" s="244"/>
      <c r="W612" s="244"/>
      <c r="X612" s="97"/>
    </row>
    <row r="613">
      <c r="A613" s="205"/>
      <c r="B613" s="235"/>
      <c r="C613" s="236"/>
      <c r="D613" s="237"/>
      <c r="E613" s="235"/>
      <c r="F613" s="235"/>
      <c r="G613" s="239"/>
      <c r="H613" s="240"/>
      <c r="J613" s="237"/>
      <c r="K613" s="241"/>
      <c r="L613" s="241"/>
      <c r="M613" s="237"/>
      <c r="N613" s="242"/>
      <c r="O613" s="243"/>
      <c r="P613" s="244"/>
      <c r="Q613" s="245"/>
      <c r="R613" s="246"/>
      <c r="S613" s="244"/>
      <c r="T613" s="247"/>
      <c r="U613" s="247"/>
      <c r="V613" s="244"/>
      <c r="W613" s="244"/>
      <c r="X613" s="97"/>
    </row>
    <row r="614">
      <c r="A614" s="205"/>
      <c r="B614" s="235"/>
      <c r="C614" s="236"/>
      <c r="D614" s="237"/>
      <c r="E614" s="235"/>
      <c r="F614" s="235"/>
      <c r="G614" s="239"/>
      <c r="H614" s="240"/>
      <c r="J614" s="237"/>
      <c r="K614" s="241"/>
      <c r="L614" s="241"/>
      <c r="M614" s="237"/>
      <c r="N614" s="242"/>
      <c r="O614" s="243"/>
      <c r="P614" s="244"/>
      <c r="Q614" s="245"/>
      <c r="R614" s="246"/>
      <c r="S614" s="244"/>
      <c r="T614" s="247"/>
      <c r="U614" s="247"/>
      <c r="V614" s="244"/>
      <c r="W614" s="244"/>
      <c r="X614" s="97"/>
    </row>
    <row r="615">
      <c r="A615" s="205"/>
      <c r="B615" s="235"/>
      <c r="C615" s="236"/>
      <c r="D615" s="237"/>
      <c r="E615" s="235"/>
      <c r="F615" s="235"/>
      <c r="G615" s="239"/>
      <c r="H615" s="240"/>
      <c r="J615" s="237"/>
      <c r="K615" s="241"/>
      <c r="L615" s="241"/>
      <c r="M615" s="237"/>
      <c r="N615" s="242"/>
      <c r="O615" s="243"/>
      <c r="P615" s="244"/>
      <c r="Q615" s="245"/>
      <c r="R615" s="246"/>
      <c r="S615" s="244"/>
      <c r="T615" s="247"/>
      <c r="U615" s="247"/>
      <c r="V615" s="244"/>
      <c r="W615" s="244"/>
      <c r="X615" s="97"/>
    </row>
    <row r="616">
      <c r="A616" s="205"/>
      <c r="B616" s="235"/>
      <c r="C616" s="236"/>
      <c r="D616" s="237"/>
      <c r="E616" s="235"/>
      <c r="F616" s="235"/>
      <c r="G616" s="239"/>
      <c r="H616" s="240"/>
      <c r="J616" s="237"/>
      <c r="K616" s="241"/>
      <c r="L616" s="241"/>
      <c r="M616" s="237"/>
      <c r="N616" s="242"/>
      <c r="O616" s="243"/>
      <c r="P616" s="244"/>
      <c r="Q616" s="245"/>
      <c r="R616" s="246"/>
      <c r="S616" s="244"/>
      <c r="T616" s="247"/>
      <c r="U616" s="247"/>
      <c r="V616" s="244"/>
      <c r="W616" s="244"/>
      <c r="X616" s="97"/>
    </row>
    <row r="617">
      <c r="A617" s="205"/>
      <c r="B617" s="235"/>
      <c r="C617" s="236"/>
      <c r="D617" s="237"/>
      <c r="E617" s="235"/>
      <c r="F617" s="235"/>
      <c r="G617" s="239"/>
      <c r="H617" s="240"/>
      <c r="J617" s="237"/>
      <c r="K617" s="241"/>
      <c r="L617" s="241"/>
      <c r="M617" s="237"/>
      <c r="N617" s="242"/>
      <c r="O617" s="243"/>
      <c r="P617" s="244"/>
      <c r="Q617" s="245"/>
      <c r="R617" s="246"/>
      <c r="S617" s="244"/>
      <c r="T617" s="247"/>
      <c r="U617" s="247"/>
      <c r="V617" s="244"/>
      <c r="W617" s="244"/>
      <c r="X617" s="97"/>
    </row>
    <row r="618">
      <c r="A618" s="205"/>
      <c r="B618" s="235"/>
      <c r="C618" s="236"/>
      <c r="D618" s="237"/>
      <c r="E618" s="235"/>
      <c r="F618" s="235"/>
      <c r="G618" s="239"/>
      <c r="H618" s="240"/>
      <c r="J618" s="237"/>
      <c r="K618" s="241"/>
      <c r="L618" s="241"/>
      <c r="M618" s="237"/>
      <c r="N618" s="242"/>
      <c r="O618" s="243"/>
      <c r="P618" s="244"/>
      <c r="Q618" s="245"/>
      <c r="R618" s="246"/>
      <c r="S618" s="244"/>
      <c r="T618" s="247"/>
      <c r="U618" s="247"/>
      <c r="V618" s="244"/>
      <c r="W618" s="244"/>
      <c r="X618" s="97"/>
    </row>
    <row r="619">
      <c r="A619" s="205"/>
      <c r="B619" s="235"/>
      <c r="C619" s="236"/>
      <c r="D619" s="237"/>
      <c r="E619" s="235"/>
      <c r="F619" s="235"/>
      <c r="G619" s="239"/>
      <c r="H619" s="240"/>
      <c r="J619" s="237"/>
      <c r="K619" s="241"/>
      <c r="L619" s="241"/>
      <c r="M619" s="237"/>
      <c r="N619" s="242"/>
      <c r="O619" s="243"/>
      <c r="P619" s="244"/>
      <c r="Q619" s="245"/>
      <c r="R619" s="246"/>
      <c r="S619" s="244"/>
      <c r="T619" s="247"/>
      <c r="U619" s="247"/>
      <c r="V619" s="244"/>
      <c r="W619" s="244"/>
      <c r="X619" s="97"/>
    </row>
    <row r="620">
      <c r="A620" s="205"/>
      <c r="B620" s="235"/>
      <c r="C620" s="236"/>
      <c r="D620" s="237"/>
      <c r="E620" s="235"/>
      <c r="F620" s="235"/>
      <c r="G620" s="239"/>
      <c r="H620" s="240"/>
      <c r="J620" s="237"/>
      <c r="K620" s="241"/>
      <c r="L620" s="241"/>
      <c r="M620" s="237"/>
      <c r="N620" s="242"/>
      <c r="O620" s="243"/>
      <c r="P620" s="244"/>
      <c r="Q620" s="245"/>
      <c r="R620" s="246"/>
      <c r="S620" s="244"/>
      <c r="T620" s="247"/>
      <c r="U620" s="247"/>
      <c r="V620" s="244"/>
      <c r="W620" s="244"/>
      <c r="X620" s="97"/>
    </row>
    <row r="621">
      <c r="A621" s="205"/>
      <c r="B621" s="235"/>
      <c r="C621" s="236"/>
      <c r="D621" s="237"/>
      <c r="E621" s="235"/>
      <c r="F621" s="235"/>
      <c r="G621" s="239"/>
      <c r="H621" s="240"/>
      <c r="J621" s="237"/>
      <c r="K621" s="241"/>
      <c r="L621" s="241"/>
      <c r="M621" s="237"/>
      <c r="N621" s="242"/>
      <c r="O621" s="243"/>
      <c r="P621" s="244"/>
      <c r="Q621" s="245"/>
      <c r="R621" s="246"/>
      <c r="S621" s="244"/>
      <c r="T621" s="247"/>
      <c r="U621" s="247"/>
      <c r="V621" s="244"/>
      <c r="W621" s="244"/>
      <c r="X621" s="97"/>
    </row>
    <row r="622">
      <c r="A622" s="205"/>
      <c r="B622" s="235"/>
      <c r="C622" s="236"/>
      <c r="D622" s="237"/>
      <c r="E622" s="235"/>
      <c r="F622" s="235"/>
      <c r="G622" s="239"/>
      <c r="H622" s="240"/>
      <c r="J622" s="237"/>
      <c r="K622" s="241"/>
      <c r="L622" s="241"/>
      <c r="M622" s="237"/>
      <c r="N622" s="242"/>
      <c r="O622" s="243"/>
      <c r="P622" s="244"/>
      <c r="Q622" s="245"/>
      <c r="R622" s="246"/>
      <c r="S622" s="244"/>
      <c r="T622" s="247"/>
      <c r="U622" s="247"/>
      <c r="V622" s="244"/>
      <c r="W622" s="244"/>
      <c r="X622" s="97"/>
    </row>
    <row r="623">
      <c r="A623" s="205"/>
      <c r="B623" s="235"/>
      <c r="C623" s="236"/>
      <c r="D623" s="237"/>
      <c r="E623" s="235"/>
      <c r="F623" s="235"/>
      <c r="G623" s="239"/>
      <c r="H623" s="240"/>
      <c r="J623" s="237"/>
      <c r="K623" s="241"/>
      <c r="L623" s="241"/>
      <c r="M623" s="237"/>
      <c r="N623" s="242"/>
      <c r="O623" s="243"/>
      <c r="P623" s="244"/>
      <c r="Q623" s="245"/>
      <c r="R623" s="246"/>
      <c r="S623" s="244"/>
      <c r="T623" s="247"/>
      <c r="U623" s="247"/>
      <c r="V623" s="244"/>
      <c r="W623" s="244"/>
      <c r="X623" s="97"/>
    </row>
    <row r="624">
      <c r="A624" s="205"/>
      <c r="B624" s="235"/>
      <c r="C624" s="236"/>
      <c r="D624" s="237"/>
      <c r="E624" s="235"/>
      <c r="F624" s="235"/>
      <c r="G624" s="239"/>
      <c r="H624" s="240"/>
      <c r="J624" s="237"/>
      <c r="K624" s="241"/>
      <c r="L624" s="241"/>
      <c r="M624" s="237"/>
      <c r="N624" s="242"/>
      <c r="O624" s="243"/>
      <c r="P624" s="244"/>
      <c r="Q624" s="245"/>
      <c r="R624" s="246"/>
      <c r="S624" s="244"/>
      <c r="T624" s="247"/>
      <c r="U624" s="247"/>
      <c r="V624" s="244"/>
      <c r="W624" s="244"/>
      <c r="X624" s="97"/>
    </row>
    <row r="625">
      <c r="A625" s="205"/>
      <c r="B625" s="235"/>
      <c r="C625" s="236"/>
      <c r="D625" s="237"/>
      <c r="E625" s="235"/>
      <c r="F625" s="235"/>
      <c r="G625" s="239"/>
      <c r="H625" s="240"/>
      <c r="J625" s="237"/>
      <c r="K625" s="241"/>
      <c r="L625" s="241"/>
      <c r="M625" s="237"/>
      <c r="N625" s="242"/>
      <c r="O625" s="243"/>
      <c r="P625" s="244"/>
      <c r="Q625" s="245"/>
      <c r="R625" s="246"/>
      <c r="S625" s="244"/>
      <c r="T625" s="247"/>
      <c r="U625" s="247"/>
      <c r="V625" s="244"/>
      <c r="W625" s="244"/>
      <c r="X625" s="97"/>
    </row>
    <row r="626">
      <c r="A626" s="205"/>
      <c r="B626" s="235"/>
      <c r="C626" s="236"/>
      <c r="D626" s="237"/>
      <c r="E626" s="235"/>
      <c r="F626" s="235"/>
      <c r="G626" s="239"/>
      <c r="H626" s="240"/>
      <c r="J626" s="237"/>
      <c r="K626" s="241"/>
      <c r="L626" s="241"/>
      <c r="M626" s="237"/>
      <c r="N626" s="242"/>
      <c r="O626" s="243"/>
      <c r="P626" s="244"/>
      <c r="Q626" s="245"/>
      <c r="R626" s="246"/>
      <c r="S626" s="244"/>
      <c r="T626" s="247"/>
      <c r="U626" s="247"/>
      <c r="V626" s="244"/>
      <c r="W626" s="244"/>
      <c r="X626" s="97"/>
    </row>
    <row r="627">
      <c r="A627" s="205"/>
      <c r="B627" s="235"/>
      <c r="C627" s="236"/>
      <c r="D627" s="237"/>
      <c r="E627" s="235"/>
      <c r="F627" s="235"/>
      <c r="G627" s="239"/>
      <c r="H627" s="240"/>
      <c r="J627" s="237"/>
      <c r="K627" s="241"/>
      <c r="L627" s="241"/>
      <c r="M627" s="237"/>
      <c r="N627" s="242"/>
      <c r="O627" s="243"/>
      <c r="P627" s="244"/>
      <c r="Q627" s="245"/>
      <c r="R627" s="246"/>
      <c r="S627" s="244"/>
      <c r="T627" s="247"/>
      <c r="U627" s="247"/>
      <c r="V627" s="244"/>
      <c r="W627" s="244"/>
      <c r="X627" s="97"/>
    </row>
    <row r="628">
      <c r="A628" s="205"/>
      <c r="B628" s="235"/>
      <c r="C628" s="236"/>
      <c r="D628" s="237"/>
      <c r="E628" s="235"/>
      <c r="F628" s="235"/>
      <c r="G628" s="239"/>
      <c r="H628" s="240"/>
      <c r="J628" s="237"/>
      <c r="K628" s="241"/>
      <c r="L628" s="241"/>
      <c r="M628" s="237"/>
      <c r="N628" s="242"/>
      <c r="O628" s="243"/>
      <c r="P628" s="244"/>
      <c r="Q628" s="245"/>
      <c r="R628" s="246"/>
      <c r="S628" s="244"/>
      <c r="T628" s="247"/>
      <c r="U628" s="247"/>
      <c r="V628" s="244"/>
      <c r="W628" s="244"/>
      <c r="X628" s="97"/>
    </row>
    <row r="629">
      <c r="A629" s="205"/>
      <c r="B629" s="235"/>
      <c r="C629" s="236"/>
      <c r="D629" s="237"/>
      <c r="E629" s="235"/>
      <c r="F629" s="235"/>
      <c r="G629" s="239"/>
      <c r="H629" s="240"/>
      <c r="J629" s="237"/>
      <c r="K629" s="241"/>
      <c r="L629" s="241"/>
      <c r="M629" s="237"/>
      <c r="N629" s="242"/>
      <c r="O629" s="243"/>
      <c r="P629" s="244"/>
      <c r="Q629" s="245"/>
      <c r="R629" s="246"/>
      <c r="S629" s="244"/>
      <c r="T629" s="247"/>
      <c r="U629" s="247"/>
      <c r="V629" s="244"/>
      <c r="W629" s="244"/>
      <c r="X629" s="97"/>
    </row>
    <row r="630">
      <c r="A630" s="205"/>
      <c r="B630" s="235"/>
      <c r="C630" s="236"/>
      <c r="D630" s="237"/>
      <c r="E630" s="235"/>
      <c r="F630" s="235"/>
      <c r="G630" s="239"/>
      <c r="H630" s="240"/>
      <c r="J630" s="237"/>
      <c r="K630" s="241"/>
      <c r="L630" s="241"/>
      <c r="M630" s="237"/>
      <c r="N630" s="242"/>
      <c r="O630" s="243"/>
      <c r="P630" s="244"/>
      <c r="Q630" s="245"/>
      <c r="R630" s="246"/>
      <c r="S630" s="244"/>
      <c r="T630" s="247"/>
      <c r="U630" s="247"/>
      <c r="V630" s="244"/>
      <c r="W630" s="244"/>
      <c r="X630" s="97"/>
    </row>
    <row r="631">
      <c r="A631" s="205"/>
      <c r="B631" s="235"/>
      <c r="C631" s="236"/>
      <c r="D631" s="237"/>
      <c r="E631" s="235"/>
      <c r="F631" s="235"/>
      <c r="G631" s="239"/>
      <c r="H631" s="240"/>
      <c r="J631" s="237"/>
      <c r="K631" s="241"/>
      <c r="L631" s="241"/>
      <c r="M631" s="237"/>
      <c r="N631" s="242"/>
      <c r="O631" s="243"/>
      <c r="P631" s="244"/>
      <c r="Q631" s="245"/>
      <c r="R631" s="246"/>
      <c r="S631" s="244"/>
      <c r="T631" s="247"/>
      <c r="U631" s="247"/>
      <c r="V631" s="244"/>
      <c r="W631" s="244"/>
      <c r="X631" s="97"/>
    </row>
    <row r="632">
      <c r="A632" s="205"/>
      <c r="B632" s="235"/>
      <c r="C632" s="236"/>
      <c r="D632" s="237"/>
      <c r="E632" s="235"/>
      <c r="F632" s="235"/>
      <c r="G632" s="239"/>
      <c r="H632" s="240"/>
      <c r="J632" s="237"/>
      <c r="K632" s="241"/>
      <c r="L632" s="241"/>
      <c r="M632" s="237"/>
      <c r="N632" s="242"/>
      <c r="O632" s="243"/>
      <c r="P632" s="244"/>
      <c r="Q632" s="245"/>
      <c r="R632" s="246"/>
      <c r="S632" s="244"/>
      <c r="T632" s="247"/>
      <c r="U632" s="247"/>
      <c r="V632" s="244"/>
      <c r="W632" s="244"/>
      <c r="X632" s="97"/>
    </row>
    <row r="633">
      <c r="A633" s="205"/>
      <c r="B633" s="235"/>
      <c r="C633" s="236"/>
      <c r="D633" s="237"/>
      <c r="E633" s="235"/>
      <c r="F633" s="235"/>
      <c r="G633" s="239"/>
      <c r="H633" s="240"/>
      <c r="J633" s="237"/>
      <c r="K633" s="241"/>
      <c r="L633" s="241"/>
      <c r="M633" s="237"/>
      <c r="N633" s="242"/>
      <c r="O633" s="243"/>
      <c r="P633" s="244"/>
      <c r="Q633" s="245"/>
      <c r="R633" s="246"/>
      <c r="S633" s="244"/>
      <c r="T633" s="247"/>
      <c r="U633" s="247"/>
      <c r="V633" s="244"/>
      <c r="W633" s="244"/>
      <c r="X633" s="97"/>
    </row>
    <row r="634">
      <c r="A634" s="205"/>
      <c r="B634" s="235"/>
      <c r="C634" s="236"/>
      <c r="D634" s="237"/>
      <c r="E634" s="235"/>
      <c r="F634" s="235"/>
      <c r="G634" s="239"/>
      <c r="H634" s="240"/>
      <c r="J634" s="237"/>
      <c r="K634" s="241"/>
      <c r="L634" s="241"/>
      <c r="M634" s="237"/>
      <c r="N634" s="242"/>
      <c r="O634" s="243"/>
      <c r="P634" s="244"/>
      <c r="Q634" s="245"/>
      <c r="R634" s="246"/>
      <c r="S634" s="244"/>
      <c r="T634" s="247"/>
      <c r="U634" s="247"/>
      <c r="V634" s="244"/>
      <c r="W634" s="244"/>
      <c r="X634" s="97"/>
    </row>
    <row r="635">
      <c r="A635" s="205"/>
      <c r="B635" s="235"/>
      <c r="C635" s="236"/>
      <c r="D635" s="237"/>
      <c r="E635" s="235"/>
      <c r="F635" s="235"/>
      <c r="G635" s="239"/>
      <c r="H635" s="240"/>
      <c r="J635" s="237"/>
      <c r="K635" s="241"/>
      <c r="L635" s="241"/>
      <c r="M635" s="237"/>
      <c r="N635" s="242"/>
      <c r="O635" s="243"/>
      <c r="P635" s="244"/>
      <c r="Q635" s="245"/>
      <c r="R635" s="246"/>
      <c r="S635" s="244"/>
      <c r="T635" s="247"/>
      <c r="U635" s="247"/>
      <c r="V635" s="244"/>
      <c r="W635" s="244"/>
      <c r="X635" s="97"/>
    </row>
    <row r="636">
      <c r="A636" s="205"/>
      <c r="B636" s="235"/>
      <c r="C636" s="236"/>
      <c r="D636" s="237"/>
      <c r="E636" s="235"/>
      <c r="F636" s="235"/>
      <c r="G636" s="239"/>
      <c r="H636" s="240"/>
      <c r="J636" s="237"/>
      <c r="K636" s="241"/>
      <c r="L636" s="241"/>
      <c r="M636" s="237"/>
      <c r="N636" s="242"/>
      <c r="O636" s="243"/>
      <c r="P636" s="244"/>
      <c r="Q636" s="245"/>
      <c r="R636" s="246"/>
      <c r="S636" s="244"/>
      <c r="T636" s="247"/>
      <c r="U636" s="247"/>
      <c r="V636" s="244"/>
      <c r="W636" s="244"/>
      <c r="X636" s="97"/>
    </row>
    <row r="637">
      <c r="A637" s="205"/>
      <c r="B637" s="235"/>
      <c r="C637" s="236"/>
      <c r="D637" s="237"/>
      <c r="E637" s="235"/>
      <c r="F637" s="235"/>
      <c r="G637" s="239"/>
      <c r="H637" s="240"/>
      <c r="J637" s="237"/>
      <c r="K637" s="241"/>
      <c r="L637" s="241"/>
      <c r="M637" s="237"/>
      <c r="N637" s="242"/>
      <c r="O637" s="243"/>
      <c r="P637" s="244"/>
      <c r="Q637" s="245"/>
      <c r="R637" s="246"/>
      <c r="S637" s="244"/>
      <c r="T637" s="247"/>
      <c r="U637" s="247"/>
      <c r="V637" s="244"/>
      <c r="W637" s="244"/>
      <c r="X637" s="97"/>
    </row>
    <row r="638">
      <c r="A638" s="205"/>
      <c r="B638" s="235"/>
      <c r="C638" s="236"/>
      <c r="D638" s="237"/>
      <c r="E638" s="235"/>
      <c r="F638" s="235"/>
      <c r="G638" s="239"/>
      <c r="H638" s="240"/>
      <c r="J638" s="237"/>
      <c r="K638" s="241"/>
      <c r="L638" s="241"/>
      <c r="M638" s="237"/>
      <c r="N638" s="242"/>
      <c r="O638" s="243"/>
      <c r="P638" s="244"/>
      <c r="Q638" s="245"/>
      <c r="R638" s="246"/>
      <c r="S638" s="244"/>
      <c r="T638" s="247"/>
      <c r="U638" s="247"/>
      <c r="V638" s="244"/>
      <c r="W638" s="244"/>
      <c r="X638" s="97"/>
    </row>
    <row r="639">
      <c r="A639" s="205"/>
      <c r="B639" s="235"/>
      <c r="C639" s="236"/>
      <c r="D639" s="237"/>
      <c r="E639" s="235"/>
      <c r="F639" s="235"/>
      <c r="G639" s="239"/>
      <c r="H639" s="240"/>
      <c r="J639" s="237"/>
      <c r="K639" s="241"/>
      <c r="L639" s="241"/>
      <c r="M639" s="237"/>
      <c r="N639" s="242"/>
      <c r="O639" s="243"/>
      <c r="P639" s="244"/>
      <c r="Q639" s="245"/>
      <c r="R639" s="246"/>
      <c r="S639" s="244"/>
      <c r="T639" s="247"/>
      <c r="U639" s="247"/>
      <c r="V639" s="244"/>
      <c r="W639" s="244"/>
      <c r="X639" s="97"/>
    </row>
    <row r="640">
      <c r="A640" s="205"/>
      <c r="B640" s="235"/>
      <c r="C640" s="236"/>
      <c r="D640" s="237"/>
      <c r="E640" s="235"/>
      <c r="F640" s="235"/>
      <c r="G640" s="239"/>
      <c r="H640" s="240"/>
      <c r="J640" s="237"/>
      <c r="K640" s="241"/>
      <c r="L640" s="241"/>
      <c r="M640" s="237"/>
      <c r="N640" s="242"/>
      <c r="O640" s="243"/>
      <c r="P640" s="244"/>
      <c r="Q640" s="245"/>
      <c r="R640" s="246"/>
      <c r="S640" s="244"/>
      <c r="T640" s="247"/>
      <c r="U640" s="247"/>
      <c r="V640" s="244"/>
      <c r="W640" s="244"/>
      <c r="X640" s="97"/>
    </row>
    <row r="641">
      <c r="A641" s="205"/>
      <c r="B641" s="235"/>
      <c r="C641" s="236"/>
      <c r="D641" s="237"/>
      <c r="E641" s="235"/>
      <c r="F641" s="235"/>
      <c r="G641" s="239"/>
      <c r="H641" s="240"/>
      <c r="J641" s="237"/>
      <c r="K641" s="241"/>
      <c r="L641" s="241"/>
      <c r="M641" s="237"/>
      <c r="N641" s="242"/>
      <c r="O641" s="243"/>
      <c r="P641" s="244"/>
      <c r="Q641" s="245"/>
      <c r="R641" s="246"/>
      <c r="S641" s="244"/>
      <c r="T641" s="247"/>
      <c r="U641" s="247"/>
      <c r="V641" s="244"/>
      <c r="W641" s="244"/>
      <c r="X641" s="97"/>
    </row>
    <row r="642">
      <c r="A642" s="205"/>
      <c r="B642" s="235"/>
      <c r="C642" s="236"/>
      <c r="D642" s="237"/>
      <c r="E642" s="235"/>
      <c r="F642" s="235"/>
      <c r="G642" s="239"/>
      <c r="H642" s="240"/>
      <c r="J642" s="237"/>
      <c r="K642" s="241"/>
      <c r="L642" s="241"/>
      <c r="M642" s="237"/>
      <c r="N642" s="242"/>
      <c r="O642" s="243"/>
      <c r="P642" s="244"/>
      <c r="Q642" s="245"/>
      <c r="R642" s="246"/>
      <c r="S642" s="244"/>
      <c r="T642" s="247"/>
      <c r="U642" s="247"/>
      <c r="V642" s="244"/>
      <c r="W642" s="244"/>
      <c r="X642" s="97"/>
    </row>
    <row r="643">
      <c r="A643" s="205"/>
      <c r="B643" s="235"/>
      <c r="C643" s="236"/>
      <c r="D643" s="237"/>
      <c r="E643" s="235"/>
      <c r="F643" s="235"/>
      <c r="G643" s="239"/>
      <c r="H643" s="240"/>
      <c r="J643" s="237"/>
      <c r="K643" s="241"/>
      <c r="L643" s="241"/>
      <c r="M643" s="237"/>
      <c r="N643" s="242"/>
      <c r="O643" s="243"/>
      <c r="P643" s="244"/>
      <c r="Q643" s="245"/>
      <c r="R643" s="246"/>
      <c r="S643" s="244"/>
      <c r="T643" s="247"/>
      <c r="U643" s="247"/>
      <c r="V643" s="244"/>
      <c r="W643" s="244"/>
      <c r="X643" s="97"/>
    </row>
    <row r="644">
      <c r="A644" s="205"/>
      <c r="B644" s="235"/>
      <c r="C644" s="236"/>
      <c r="D644" s="237"/>
      <c r="E644" s="235"/>
      <c r="F644" s="235"/>
      <c r="G644" s="239"/>
      <c r="H644" s="240"/>
      <c r="J644" s="237"/>
      <c r="K644" s="241"/>
      <c r="L644" s="241"/>
      <c r="M644" s="237"/>
      <c r="N644" s="242"/>
      <c r="O644" s="243"/>
      <c r="P644" s="244"/>
      <c r="Q644" s="245"/>
      <c r="R644" s="246"/>
      <c r="S644" s="244"/>
      <c r="T644" s="247"/>
      <c r="U644" s="247"/>
      <c r="V644" s="244"/>
      <c r="W644" s="244"/>
      <c r="X644" s="97"/>
    </row>
    <row r="645">
      <c r="A645" s="205"/>
      <c r="B645" s="235"/>
      <c r="C645" s="236"/>
      <c r="D645" s="237"/>
      <c r="E645" s="235"/>
      <c r="F645" s="235"/>
      <c r="G645" s="239"/>
      <c r="H645" s="240"/>
      <c r="J645" s="237"/>
      <c r="K645" s="241"/>
      <c r="L645" s="241"/>
      <c r="M645" s="237"/>
      <c r="N645" s="242"/>
      <c r="O645" s="243"/>
      <c r="P645" s="244"/>
      <c r="Q645" s="245"/>
      <c r="R645" s="246"/>
      <c r="S645" s="244"/>
      <c r="T645" s="247"/>
      <c r="U645" s="247"/>
      <c r="V645" s="244"/>
      <c r="W645" s="244"/>
      <c r="X645" s="97"/>
    </row>
    <row r="646">
      <c r="A646" s="205"/>
      <c r="B646" s="235"/>
      <c r="C646" s="236"/>
      <c r="D646" s="237"/>
      <c r="E646" s="235"/>
      <c r="F646" s="235"/>
      <c r="G646" s="239"/>
      <c r="H646" s="240"/>
      <c r="J646" s="237"/>
      <c r="K646" s="241"/>
      <c r="L646" s="241"/>
      <c r="M646" s="237"/>
      <c r="N646" s="242"/>
      <c r="O646" s="243"/>
      <c r="P646" s="244"/>
      <c r="Q646" s="245"/>
      <c r="R646" s="246"/>
      <c r="S646" s="244"/>
      <c r="T646" s="247"/>
      <c r="U646" s="247"/>
      <c r="V646" s="244"/>
      <c r="W646" s="244"/>
      <c r="X646" s="97"/>
    </row>
    <row r="647">
      <c r="A647" s="205"/>
      <c r="B647" s="235"/>
      <c r="C647" s="236"/>
      <c r="D647" s="237"/>
      <c r="E647" s="235"/>
      <c r="F647" s="235"/>
      <c r="G647" s="239"/>
      <c r="H647" s="240"/>
      <c r="J647" s="237"/>
      <c r="K647" s="241"/>
      <c r="L647" s="241"/>
      <c r="M647" s="237"/>
      <c r="N647" s="242"/>
      <c r="O647" s="243"/>
      <c r="P647" s="244"/>
      <c r="Q647" s="245"/>
      <c r="R647" s="246"/>
      <c r="S647" s="244"/>
      <c r="T647" s="247"/>
      <c r="U647" s="247"/>
      <c r="V647" s="244"/>
      <c r="W647" s="244"/>
      <c r="X647" s="97"/>
    </row>
    <row r="648">
      <c r="A648" s="205"/>
      <c r="B648" s="235"/>
      <c r="C648" s="236"/>
      <c r="D648" s="237"/>
      <c r="E648" s="235"/>
      <c r="F648" s="235"/>
      <c r="G648" s="239"/>
      <c r="H648" s="240"/>
      <c r="J648" s="237"/>
      <c r="K648" s="241"/>
      <c r="L648" s="241"/>
      <c r="M648" s="237"/>
      <c r="N648" s="242"/>
      <c r="O648" s="243"/>
      <c r="P648" s="244"/>
      <c r="Q648" s="245"/>
      <c r="R648" s="246"/>
      <c r="S648" s="244"/>
      <c r="T648" s="247"/>
      <c r="U648" s="247"/>
      <c r="V648" s="244"/>
      <c r="W648" s="244"/>
      <c r="X648" s="97"/>
    </row>
    <row r="649">
      <c r="A649" s="205"/>
      <c r="B649" s="235"/>
      <c r="C649" s="236"/>
      <c r="D649" s="237"/>
      <c r="E649" s="235"/>
      <c r="F649" s="235"/>
      <c r="G649" s="239"/>
      <c r="H649" s="240"/>
      <c r="J649" s="237"/>
      <c r="K649" s="241"/>
      <c r="L649" s="241"/>
      <c r="M649" s="237"/>
      <c r="N649" s="242"/>
      <c r="O649" s="243"/>
      <c r="P649" s="244"/>
      <c r="Q649" s="245"/>
      <c r="R649" s="246"/>
      <c r="S649" s="244"/>
      <c r="T649" s="247"/>
      <c r="U649" s="247"/>
      <c r="V649" s="244"/>
      <c r="W649" s="244"/>
      <c r="X649" s="97"/>
    </row>
    <row r="650">
      <c r="A650" s="205"/>
      <c r="B650" s="235"/>
      <c r="C650" s="236"/>
      <c r="D650" s="237"/>
      <c r="E650" s="235"/>
      <c r="F650" s="235"/>
      <c r="G650" s="239"/>
      <c r="H650" s="240"/>
      <c r="J650" s="237"/>
      <c r="K650" s="241"/>
      <c r="L650" s="241"/>
      <c r="M650" s="237"/>
      <c r="N650" s="242"/>
      <c r="O650" s="243"/>
      <c r="P650" s="244"/>
      <c r="Q650" s="245"/>
      <c r="R650" s="246"/>
      <c r="S650" s="244"/>
      <c r="T650" s="247"/>
      <c r="U650" s="247"/>
      <c r="V650" s="244"/>
      <c r="W650" s="244"/>
      <c r="X650" s="97"/>
    </row>
    <row r="651">
      <c r="A651" s="205"/>
      <c r="B651" s="235"/>
      <c r="C651" s="236"/>
      <c r="D651" s="237"/>
      <c r="E651" s="235"/>
      <c r="F651" s="235"/>
      <c r="G651" s="239"/>
      <c r="H651" s="240"/>
      <c r="J651" s="237"/>
      <c r="K651" s="241"/>
      <c r="L651" s="241"/>
      <c r="M651" s="237"/>
      <c r="N651" s="242"/>
      <c r="O651" s="243"/>
      <c r="P651" s="244"/>
      <c r="Q651" s="245"/>
      <c r="R651" s="246"/>
      <c r="S651" s="244"/>
      <c r="T651" s="247"/>
      <c r="U651" s="247"/>
      <c r="V651" s="244"/>
      <c r="W651" s="244"/>
      <c r="X651" s="97"/>
    </row>
    <row r="652">
      <c r="A652" s="205"/>
      <c r="B652" s="235"/>
      <c r="C652" s="236"/>
      <c r="D652" s="237"/>
      <c r="E652" s="235"/>
      <c r="F652" s="235"/>
      <c r="G652" s="239"/>
      <c r="H652" s="240"/>
      <c r="J652" s="237"/>
      <c r="K652" s="241"/>
      <c r="L652" s="241"/>
      <c r="M652" s="237"/>
      <c r="N652" s="242"/>
      <c r="O652" s="243"/>
      <c r="P652" s="244"/>
      <c r="Q652" s="245"/>
      <c r="R652" s="246"/>
      <c r="S652" s="244"/>
      <c r="T652" s="247"/>
      <c r="U652" s="247"/>
      <c r="V652" s="244"/>
      <c r="W652" s="244"/>
      <c r="X652" s="97"/>
    </row>
    <row r="653">
      <c r="A653" s="205"/>
      <c r="B653" s="235"/>
      <c r="C653" s="236"/>
      <c r="D653" s="237"/>
      <c r="E653" s="235"/>
      <c r="F653" s="235"/>
      <c r="G653" s="239"/>
      <c r="H653" s="240"/>
      <c r="J653" s="237"/>
      <c r="K653" s="241"/>
      <c r="L653" s="241"/>
      <c r="M653" s="237"/>
      <c r="N653" s="242"/>
      <c r="O653" s="243"/>
      <c r="P653" s="244"/>
      <c r="Q653" s="245"/>
      <c r="R653" s="246"/>
      <c r="S653" s="244"/>
      <c r="T653" s="247"/>
      <c r="U653" s="247"/>
      <c r="V653" s="244"/>
      <c r="W653" s="244"/>
      <c r="X653" s="97"/>
    </row>
    <row r="654">
      <c r="A654" s="205"/>
      <c r="B654" s="235"/>
      <c r="C654" s="236"/>
      <c r="D654" s="237"/>
      <c r="E654" s="235"/>
      <c r="F654" s="235"/>
      <c r="G654" s="239"/>
      <c r="H654" s="240"/>
      <c r="J654" s="237"/>
      <c r="K654" s="241"/>
      <c r="L654" s="241"/>
      <c r="M654" s="237"/>
      <c r="N654" s="242"/>
      <c r="O654" s="243"/>
      <c r="P654" s="244"/>
      <c r="Q654" s="245"/>
      <c r="R654" s="246"/>
      <c r="S654" s="244"/>
      <c r="T654" s="247"/>
      <c r="U654" s="247"/>
      <c r="V654" s="244"/>
      <c r="W654" s="244"/>
      <c r="X654" s="97"/>
    </row>
    <row r="655">
      <c r="A655" s="205"/>
      <c r="B655" s="235"/>
      <c r="C655" s="236"/>
      <c r="D655" s="237"/>
      <c r="E655" s="235"/>
      <c r="F655" s="235"/>
      <c r="G655" s="239"/>
      <c r="H655" s="240"/>
      <c r="J655" s="237"/>
      <c r="K655" s="241"/>
      <c r="L655" s="241"/>
      <c r="M655" s="237"/>
      <c r="N655" s="242"/>
      <c r="O655" s="243"/>
      <c r="P655" s="244"/>
      <c r="Q655" s="245"/>
      <c r="R655" s="246"/>
      <c r="S655" s="244"/>
      <c r="T655" s="247"/>
      <c r="U655" s="247"/>
      <c r="V655" s="244"/>
      <c r="W655" s="244"/>
      <c r="X655" s="97"/>
    </row>
    <row r="656">
      <c r="A656" s="205"/>
      <c r="B656" s="235"/>
      <c r="C656" s="236"/>
      <c r="D656" s="237"/>
      <c r="E656" s="235"/>
      <c r="F656" s="235"/>
      <c r="G656" s="239"/>
      <c r="H656" s="240"/>
      <c r="J656" s="237"/>
      <c r="K656" s="241"/>
      <c r="L656" s="241"/>
      <c r="M656" s="237"/>
      <c r="N656" s="242"/>
      <c r="O656" s="243"/>
      <c r="P656" s="244"/>
      <c r="Q656" s="245"/>
      <c r="R656" s="246"/>
      <c r="S656" s="244"/>
      <c r="T656" s="247"/>
      <c r="U656" s="247"/>
      <c r="V656" s="244"/>
      <c r="W656" s="244"/>
      <c r="X656" s="97"/>
    </row>
    <row r="657">
      <c r="A657" s="205"/>
      <c r="B657" s="235"/>
      <c r="C657" s="236"/>
      <c r="D657" s="237"/>
      <c r="E657" s="235"/>
      <c r="F657" s="235"/>
      <c r="G657" s="239"/>
      <c r="H657" s="240"/>
      <c r="J657" s="237"/>
      <c r="K657" s="241"/>
      <c r="L657" s="241"/>
      <c r="M657" s="237"/>
      <c r="N657" s="242"/>
      <c r="O657" s="243"/>
      <c r="P657" s="244"/>
      <c r="Q657" s="245"/>
      <c r="R657" s="246"/>
      <c r="S657" s="244"/>
      <c r="T657" s="247"/>
      <c r="U657" s="247"/>
      <c r="V657" s="244"/>
      <c r="W657" s="244"/>
      <c r="X657" s="97"/>
    </row>
    <row r="658">
      <c r="A658" s="205"/>
      <c r="B658" s="235"/>
      <c r="C658" s="236"/>
      <c r="D658" s="237"/>
      <c r="E658" s="235"/>
      <c r="F658" s="235"/>
      <c r="G658" s="239"/>
      <c r="H658" s="240"/>
      <c r="J658" s="237"/>
      <c r="K658" s="241"/>
      <c r="L658" s="241"/>
      <c r="M658" s="237"/>
      <c r="N658" s="242"/>
      <c r="O658" s="243"/>
      <c r="P658" s="244"/>
      <c r="Q658" s="245"/>
      <c r="R658" s="246"/>
      <c r="S658" s="244"/>
      <c r="T658" s="247"/>
      <c r="U658" s="247"/>
      <c r="V658" s="244"/>
      <c r="W658" s="244"/>
      <c r="X658" s="97"/>
    </row>
    <row r="659">
      <c r="A659" s="205"/>
      <c r="B659" s="235"/>
      <c r="C659" s="236"/>
      <c r="D659" s="237"/>
      <c r="E659" s="235"/>
      <c r="F659" s="235"/>
      <c r="G659" s="239"/>
      <c r="H659" s="240"/>
      <c r="J659" s="237"/>
      <c r="K659" s="241"/>
      <c r="L659" s="241"/>
      <c r="M659" s="237"/>
      <c r="N659" s="242"/>
      <c r="O659" s="243"/>
      <c r="P659" s="244"/>
      <c r="Q659" s="245"/>
      <c r="R659" s="246"/>
      <c r="S659" s="244"/>
      <c r="T659" s="247"/>
      <c r="U659" s="247"/>
      <c r="V659" s="244"/>
      <c r="W659" s="244"/>
      <c r="X659" s="97"/>
    </row>
    <row r="660">
      <c r="A660" s="205"/>
      <c r="B660" s="235"/>
      <c r="C660" s="236"/>
      <c r="D660" s="237"/>
      <c r="E660" s="235"/>
      <c r="F660" s="235"/>
      <c r="G660" s="239"/>
      <c r="H660" s="240"/>
      <c r="J660" s="237"/>
      <c r="K660" s="241"/>
      <c r="L660" s="241"/>
      <c r="M660" s="237"/>
      <c r="N660" s="242"/>
      <c r="O660" s="243"/>
      <c r="P660" s="244"/>
      <c r="Q660" s="245"/>
      <c r="R660" s="246"/>
      <c r="S660" s="244"/>
      <c r="T660" s="247"/>
      <c r="U660" s="247"/>
      <c r="V660" s="244"/>
      <c r="W660" s="244"/>
      <c r="X660" s="97"/>
    </row>
    <row r="661">
      <c r="A661" s="205"/>
      <c r="B661" s="235"/>
      <c r="C661" s="236"/>
      <c r="D661" s="237"/>
      <c r="E661" s="235"/>
      <c r="F661" s="235"/>
      <c r="G661" s="239"/>
      <c r="H661" s="240"/>
      <c r="J661" s="237"/>
      <c r="K661" s="241"/>
      <c r="L661" s="241"/>
      <c r="M661" s="237"/>
      <c r="N661" s="242"/>
      <c r="O661" s="243"/>
      <c r="P661" s="244"/>
      <c r="Q661" s="245"/>
      <c r="R661" s="246"/>
      <c r="S661" s="244"/>
      <c r="T661" s="247"/>
      <c r="U661" s="247"/>
      <c r="V661" s="244"/>
      <c r="W661" s="244"/>
      <c r="X661" s="97"/>
    </row>
    <row r="662">
      <c r="A662" s="205"/>
      <c r="B662" s="235"/>
      <c r="C662" s="236"/>
      <c r="D662" s="237"/>
      <c r="E662" s="235"/>
      <c r="F662" s="235"/>
      <c r="G662" s="239"/>
      <c r="H662" s="240"/>
      <c r="J662" s="237"/>
      <c r="K662" s="241"/>
      <c r="L662" s="241"/>
      <c r="M662" s="237"/>
      <c r="N662" s="242"/>
      <c r="O662" s="243"/>
      <c r="P662" s="244"/>
      <c r="Q662" s="245"/>
      <c r="R662" s="246"/>
      <c r="S662" s="244"/>
      <c r="T662" s="247"/>
      <c r="U662" s="247"/>
      <c r="V662" s="244"/>
      <c r="W662" s="244"/>
      <c r="X662" s="97"/>
    </row>
    <row r="663">
      <c r="A663" s="205"/>
      <c r="B663" s="235"/>
      <c r="C663" s="236"/>
      <c r="D663" s="237"/>
      <c r="E663" s="235"/>
      <c r="F663" s="235"/>
      <c r="G663" s="239"/>
      <c r="H663" s="240"/>
      <c r="J663" s="237"/>
      <c r="K663" s="241"/>
      <c r="L663" s="241"/>
      <c r="M663" s="237"/>
      <c r="N663" s="242"/>
      <c r="O663" s="243"/>
      <c r="P663" s="244"/>
      <c r="Q663" s="245"/>
      <c r="R663" s="246"/>
      <c r="S663" s="244"/>
      <c r="T663" s="247"/>
      <c r="U663" s="247"/>
      <c r="V663" s="244"/>
      <c r="W663" s="244"/>
      <c r="X663" s="97"/>
    </row>
    <row r="664">
      <c r="A664" s="205"/>
      <c r="B664" s="235"/>
      <c r="C664" s="236"/>
      <c r="D664" s="237"/>
      <c r="E664" s="235"/>
      <c r="F664" s="235"/>
      <c r="G664" s="239"/>
      <c r="H664" s="240"/>
      <c r="J664" s="237"/>
      <c r="K664" s="241"/>
      <c r="L664" s="241"/>
      <c r="M664" s="237"/>
      <c r="N664" s="242"/>
      <c r="O664" s="243"/>
      <c r="P664" s="244"/>
      <c r="Q664" s="245"/>
      <c r="R664" s="246"/>
      <c r="S664" s="244"/>
      <c r="T664" s="247"/>
      <c r="U664" s="247"/>
      <c r="V664" s="244"/>
      <c r="W664" s="244"/>
      <c r="X664" s="97"/>
    </row>
    <row r="665">
      <c r="A665" s="205"/>
      <c r="B665" s="235"/>
      <c r="C665" s="236"/>
      <c r="D665" s="237"/>
      <c r="E665" s="235"/>
      <c r="F665" s="235"/>
      <c r="G665" s="239"/>
      <c r="H665" s="240"/>
      <c r="J665" s="237"/>
      <c r="K665" s="241"/>
      <c r="L665" s="241"/>
      <c r="M665" s="237"/>
      <c r="N665" s="242"/>
      <c r="O665" s="243"/>
      <c r="P665" s="244"/>
      <c r="Q665" s="245"/>
      <c r="R665" s="246"/>
      <c r="S665" s="244"/>
      <c r="T665" s="247"/>
      <c r="U665" s="247"/>
      <c r="V665" s="244"/>
      <c r="W665" s="244"/>
      <c r="X665" s="97"/>
    </row>
    <row r="666">
      <c r="A666" s="205"/>
      <c r="B666" s="235"/>
      <c r="C666" s="236"/>
      <c r="D666" s="237"/>
      <c r="E666" s="235"/>
      <c r="F666" s="235"/>
      <c r="G666" s="239"/>
      <c r="H666" s="240"/>
      <c r="J666" s="237"/>
      <c r="K666" s="241"/>
      <c r="L666" s="241"/>
      <c r="M666" s="237"/>
      <c r="N666" s="242"/>
      <c r="O666" s="243"/>
      <c r="P666" s="244"/>
      <c r="Q666" s="245"/>
      <c r="R666" s="246"/>
      <c r="S666" s="244"/>
      <c r="T666" s="247"/>
      <c r="U666" s="247"/>
      <c r="V666" s="244"/>
      <c r="W666" s="244"/>
      <c r="X666" s="97"/>
    </row>
    <row r="667">
      <c r="A667" s="205"/>
      <c r="B667" s="235"/>
      <c r="C667" s="236"/>
      <c r="D667" s="237"/>
      <c r="E667" s="235"/>
      <c r="F667" s="235"/>
      <c r="G667" s="239"/>
      <c r="H667" s="240"/>
      <c r="J667" s="237"/>
      <c r="K667" s="241"/>
      <c r="L667" s="241"/>
      <c r="M667" s="237"/>
      <c r="N667" s="242"/>
      <c r="O667" s="243"/>
      <c r="P667" s="244"/>
      <c r="Q667" s="245"/>
      <c r="R667" s="246"/>
      <c r="S667" s="244"/>
      <c r="T667" s="247"/>
      <c r="U667" s="247"/>
      <c r="V667" s="244"/>
      <c r="W667" s="244"/>
      <c r="X667" s="97"/>
    </row>
    <row r="668">
      <c r="A668" s="205"/>
      <c r="B668" s="235"/>
      <c r="C668" s="236"/>
      <c r="D668" s="237"/>
      <c r="E668" s="235"/>
      <c r="F668" s="235"/>
      <c r="G668" s="239"/>
      <c r="H668" s="240"/>
      <c r="J668" s="237"/>
      <c r="K668" s="241"/>
      <c r="L668" s="241"/>
      <c r="M668" s="237"/>
      <c r="N668" s="242"/>
      <c r="O668" s="243"/>
      <c r="P668" s="244"/>
      <c r="Q668" s="245"/>
      <c r="R668" s="246"/>
      <c r="S668" s="244"/>
      <c r="T668" s="247"/>
      <c r="U668" s="247"/>
      <c r="V668" s="244"/>
      <c r="W668" s="244"/>
      <c r="X668" s="97"/>
    </row>
    <row r="669">
      <c r="A669" s="205"/>
      <c r="B669" s="235"/>
      <c r="C669" s="236"/>
      <c r="D669" s="237"/>
      <c r="E669" s="235"/>
      <c r="F669" s="235"/>
      <c r="G669" s="239"/>
      <c r="H669" s="240"/>
      <c r="J669" s="237"/>
      <c r="K669" s="241"/>
      <c r="L669" s="241"/>
      <c r="M669" s="237"/>
      <c r="N669" s="242"/>
      <c r="O669" s="243"/>
      <c r="P669" s="244"/>
      <c r="Q669" s="245"/>
      <c r="R669" s="246"/>
      <c r="S669" s="244"/>
      <c r="T669" s="247"/>
      <c r="U669" s="247"/>
      <c r="V669" s="244"/>
      <c r="W669" s="244"/>
      <c r="X669" s="97"/>
    </row>
    <row r="670">
      <c r="A670" s="205"/>
      <c r="B670" s="235"/>
      <c r="C670" s="236"/>
      <c r="D670" s="237"/>
      <c r="E670" s="235"/>
      <c r="F670" s="235"/>
      <c r="G670" s="239"/>
      <c r="H670" s="240"/>
      <c r="J670" s="237"/>
      <c r="K670" s="241"/>
      <c r="L670" s="241"/>
      <c r="M670" s="237"/>
      <c r="N670" s="242"/>
      <c r="O670" s="243"/>
      <c r="P670" s="244"/>
      <c r="Q670" s="245"/>
      <c r="R670" s="246"/>
      <c r="S670" s="244"/>
      <c r="T670" s="247"/>
      <c r="U670" s="247"/>
      <c r="V670" s="244"/>
      <c r="W670" s="244"/>
      <c r="X670" s="97"/>
    </row>
    <row r="671">
      <c r="A671" s="205"/>
      <c r="B671" s="235"/>
      <c r="C671" s="236"/>
      <c r="D671" s="237"/>
      <c r="E671" s="235"/>
      <c r="F671" s="235"/>
      <c r="G671" s="239"/>
      <c r="H671" s="240"/>
      <c r="J671" s="237"/>
      <c r="K671" s="241"/>
      <c r="L671" s="241"/>
      <c r="M671" s="237"/>
      <c r="N671" s="242"/>
      <c r="O671" s="243"/>
      <c r="P671" s="244"/>
      <c r="Q671" s="245"/>
      <c r="R671" s="246"/>
      <c r="S671" s="244"/>
      <c r="T671" s="247"/>
      <c r="U671" s="247"/>
      <c r="V671" s="244"/>
      <c r="W671" s="244"/>
      <c r="X671" s="97"/>
    </row>
    <row r="672">
      <c r="A672" s="205"/>
      <c r="B672" s="235"/>
      <c r="C672" s="236"/>
      <c r="D672" s="237"/>
      <c r="E672" s="235"/>
      <c r="F672" s="235"/>
      <c r="G672" s="239"/>
      <c r="H672" s="240"/>
      <c r="J672" s="237"/>
      <c r="K672" s="241"/>
      <c r="L672" s="241"/>
      <c r="M672" s="237"/>
      <c r="N672" s="242"/>
      <c r="O672" s="243"/>
      <c r="P672" s="244"/>
      <c r="Q672" s="245"/>
      <c r="R672" s="246"/>
      <c r="S672" s="244"/>
      <c r="T672" s="247"/>
      <c r="U672" s="247"/>
      <c r="V672" s="244"/>
      <c r="W672" s="244"/>
      <c r="X672" s="97"/>
    </row>
    <row r="673">
      <c r="A673" s="205"/>
      <c r="B673" s="235"/>
      <c r="C673" s="236"/>
      <c r="D673" s="237"/>
      <c r="E673" s="235"/>
      <c r="F673" s="235"/>
      <c r="G673" s="239"/>
      <c r="H673" s="240"/>
      <c r="J673" s="237"/>
      <c r="K673" s="241"/>
      <c r="L673" s="241"/>
      <c r="M673" s="237"/>
      <c r="N673" s="242"/>
      <c r="O673" s="243"/>
      <c r="P673" s="244"/>
      <c r="Q673" s="245"/>
      <c r="R673" s="246"/>
      <c r="S673" s="244"/>
      <c r="T673" s="247"/>
      <c r="U673" s="247"/>
      <c r="V673" s="244"/>
      <c r="W673" s="244"/>
      <c r="X673" s="97"/>
    </row>
    <row r="674">
      <c r="A674" s="205"/>
      <c r="B674" s="235"/>
      <c r="C674" s="236"/>
      <c r="D674" s="237"/>
      <c r="E674" s="235"/>
      <c r="F674" s="235"/>
      <c r="G674" s="239"/>
      <c r="H674" s="240"/>
      <c r="J674" s="237"/>
      <c r="K674" s="241"/>
      <c r="L674" s="241"/>
      <c r="M674" s="237"/>
      <c r="N674" s="242"/>
      <c r="O674" s="243"/>
      <c r="P674" s="244"/>
      <c r="Q674" s="245"/>
      <c r="R674" s="246"/>
      <c r="S674" s="244"/>
      <c r="T674" s="247"/>
      <c r="U674" s="247"/>
      <c r="V674" s="244"/>
      <c r="W674" s="244"/>
      <c r="X674" s="97"/>
    </row>
    <row r="675">
      <c r="A675" s="205"/>
      <c r="B675" s="235"/>
      <c r="C675" s="236"/>
      <c r="D675" s="237"/>
      <c r="E675" s="235"/>
      <c r="F675" s="235"/>
      <c r="G675" s="239"/>
      <c r="H675" s="240"/>
      <c r="J675" s="237"/>
      <c r="K675" s="241"/>
      <c r="L675" s="241"/>
      <c r="M675" s="237"/>
      <c r="N675" s="242"/>
      <c r="O675" s="243"/>
      <c r="P675" s="244"/>
      <c r="Q675" s="245"/>
      <c r="R675" s="246"/>
      <c r="S675" s="244"/>
      <c r="T675" s="247"/>
      <c r="U675" s="247"/>
      <c r="V675" s="244"/>
      <c r="W675" s="244"/>
      <c r="X675" s="97"/>
    </row>
    <row r="676">
      <c r="A676" s="205"/>
      <c r="B676" s="235"/>
      <c r="C676" s="236"/>
      <c r="D676" s="237"/>
      <c r="E676" s="235"/>
      <c r="F676" s="235"/>
      <c r="G676" s="239"/>
      <c r="H676" s="240"/>
      <c r="J676" s="237"/>
      <c r="K676" s="241"/>
      <c r="L676" s="241"/>
      <c r="M676" s="237"/>
      <c r="N676" s="242"/>
      <c r="O676" s="243"/>
      <c r="P676" s="244"/>
      <c r="Q676" s="245"/>
      <c r="R676" s="246"/>
      <c r="S676" s="244"/>
      <c r="T676" s="247"/>
      <c r="U676" s="247"/>
      <c r="V676" s="244"/>
      <c r="W676" s="244"/>
      <c r="X676" s="97"/>
    </row>
    <row r="677">
      <c r="A677" s="205"/>
      <c r="B677" s="235"/>
      <c r="C677" s="236"/>
      <c r="D677" s="237"/>
      <c r="E677" s="235"/>
      <c r="F677" s="235"/>
      <c r="G677" s="239"/>
      <c r="H677" s="240"/>
      <c r="J677" s="237"/>
      <c r="K677" s="241"/>
      <c r="L677" s="241"/>
      <c r="M677" s="237"/>
      <c r="N677" s="242"/>
      <c r="O677" s="243"/>
      <c r="P677" s="244"/>
      <c r="Q677" s="245"/>
      <c r="R677" s="246"/>
      <c r="S677" s="244"/>
      <c r="T677" s="247"/>
      <c r="U677" s="247"/>
      <c r="V677" s="244"/>
      <c r="W677" s="244"/>
      <c r="X677" s="97"/>
    </row>
    <row r="678">
      <c r="A678" s="205"/>
      <c r="B678" s="235"/>
      <c r="C678" s="236"/>
      <c r="D678" s="237"/>
      <c r="E678" s="235"/>
      <c r="F678" s="235"/>
      <c r="G678" s="239"/>
      <c r="H678" s="240"/>
      <c r="J678" s="237"/>
      <c r="K678" s="241"/>
      <c r="L678" s="241"/>
      <c r="M678" s="237"/>
      <c r="N678" s="242"/>
      <c r="O678" s="243"/>
      <c r="P678" s="244"/>
      <c r="Q678" s="245"/>
      <c r="R678" s="246"/>
      <c r="S678" s="244"/>
      <c r="T678" s="247"/>
      <c r="U678" s="247"/>
      <c r="V678" s="244"/>
      <c r="W678" s="244"/>
      <c r="X678" s="97"/>
    </row>
    <row r="679">
      <c r="A679" s="205"/>
      <c r="B679" s="235"/>
      <c r="C679" s="236"/>
      <c r="D679" s="237"/>
      <c r="E679" s="235"/>
      <c r="F679" s="235"/>
      <c r="G679" s="239"/>
      <c r="H679" s="240"/>
      <c r="J679" s="237"/>
      <c r="K679" s="241"/>
      <c r="L679" s="241"/>
      <c r="M679" s="237"/>
      <c r="N679" s="242"/>
      <c r="O679" s="243"/>
      <c r="P679" s="244"/>
      <c r="Q679" s="245"/>
      <c r="R679" s="246"/>
      <c r="S679" s="244"/>
      <c r="T679" s="247"/>
      <c r="U679" s="247"/>
      <c r="V679" s="244"/>
      <c r="W679" s="244"/>
      <c r="X679" s="97"/>
    </row>
    <row r="680">
      <c r="A680" s="205"/>
      <c r="B680" s="235"/>
      <c r="C680" s="236"/>
      <c r="D680" s="237"/>
      <c r="E680" s="235"/>
      <c r="F680" s="235"/>
      <c r="G680" s="239"/>
      <c r="H680" s="240"/>
      <c r="J680" s="237"/>
      <c r="K680" s="241"/>
      <c r="L680" s="241"/>
      <c r="M680" s="237"/>
      <c r="N680" s="242"/>
      <c r="O680" s="243"/>
      <c r="P680" s="244"/>
      <c r="Q680" s="245"/>
      <c r="R680" s="246"/>
      <c r="S680" s="244"/>
      <c r="T680" s="247"/>
      <c r="U680" s="247"/>
      <c r="V680" s="244"/>
      <c r="W680" s="244"/>
      <c r="X680" s="97"/>
    </row>
    <row r="681">
      <c r="A681" s="205"/>
      <c r="B681" s="235"/>
      <c r="C681" s="236"/>
      <c r="D681" s="237"/>
      <c r="E681" s="235"/>
      <c r="F681" s="235"/>
      <c r="G681" s="239"/>
      <c r="H681" s="240"/>
      <c r="J681" s="237"/>
      <c r="K681" s="241"/>
      <c r="L681" s="241"/>
      <c r="M681" s="237"/>
      <c r="N681" s="242"/>
      <c r="O681" s="243"/>
      <c r="P681" s="244"/>
      <c r="Q681" s="245"/>
      <c r="R681" s="246"/>
      <c r="S681" s="244"/>
      <c r="T681" s="247"/>
      <c r="U681" s="247"/>
      <c r="V681" s="244"/>
      <c r="W681" s="244"/>
      <c r="X681" s="97"/>
    </row>
    <row r="682">
      <c r="A682" s="205"/>
      <c r="B682" s="235"/>
      <c r="C682" s="236"/>
      <c r="D682" s="237"/>
      <c r="E682" s="235"/>
      <c r="F682" s="235"/>
      <c r="G682" s="239"/>
      <c r="H682" s="240"/>
      <c r="J682" s="237"/>
      <c r="K682" s="241"/>
      <c r="L682" s="241"/>
      <c r="M682" s="237"/>
      <c r="N682" s="242"/>
      <c r="O682" s="243"/>
      <c r="P682" s="244"/>
      <c r="Q682" s="245"/>
      <c r="R682" s="246"/>
      <c r="S682" s="244"/>
      <c r="T682" s="247"/>
      <c r="U682" s="247"/>
      <c r="V682" s="244"/>
      <c r="W682" s="244"/>
      <c r="X682" s="97"/>
    </row>
    <row r="683">
      <c r="A683" s="205"/>
      <c r="B683" s="235"/>
      <c r="C683" s="236"/>
      <c r="D683" s="237"/>
      <c r="E683" s="235"/>
      <c r="F683" s="235"/>
      <c r="G683" s="239"/>
      <c r="H683" s="240"/>
      <c r="J683" s="237"/>
      <c r="K683" s="241"/>
      <c r="L683" s="241"/>
      <c r="M683" s="237"/>
      <c r="N683" s="242"/>
      <c r="O683" s="243"/>
      <c r="P683" s="244"/>
      <c r="Q683" s="245"/>
      <c r="R683" s="246"/>
      <c r="S683" s="244"/>
      <c r="T683" s="247"/>
      <c r="U683" s="247"/>
      <c r="V683" s="244"/>
      <c r="W683" s="244"/>
      <c r="X683" s="97"/>
    </row>
    <row r="684">
      <c r="A684" s="205"/>
      <c r="B684" s="235"/>
      <c r="C684" s="236"/>
      <c r="D684" s="237"/>
      <c r="E684" s="235"/>
      <c r="F684" s="235"/>
      <c r="G684" s="239"/>
      <c r="H684" s="240"/>
      <c r="J684" s="237"/>
      <c r="K684" s="241"/>
      <c r="L684" s="241"/>
      <c r="M684" s="237"/>
      <c r="N684" s="242"/>
      <c r="O684" s="243"/>
      <c r="P684" s="244"/>
      <c r="Q684" s="245"/>
      <c r="R684" s="246"/>
      <c r="S684" s="244"/>
      <c r="T684" s="247"/>
      <c r="U684" s="247"/>
      <c r="V684" s="244"/>
      <c r="W684" s="244"/>
      <c r="X684" s="97"/>
    </row>
    <row r="685">
      <c r="A685" s="205"/>
      <c r="B685" s="235"/>
      <c r="C685" s="236"/>
      <c r="D685" s="237"/>
      <c r="E685" s="235"/>
      <c r="F685" s="235"/>
      <c r="G685" s="239"/>
      <c r="H685" s="240"/>
      <c r="J685" s="237"/>
      <c r="K685" s="241"/>
      <c r="L685" s="241"/>
      <c r="M685" s="237"/>
      <c r="N685" s="242"/>
      <c r="O685" s="243"/>
      <c r="P685" s="244"/>
      <c r="Q685" s="245"/>
      <c r="R685" s="246"/>
      <c r="S685" s="244"/>
      <c r="T685" s="247"/>
      <c r="U685" s="247"/>
      <c r="V685" s="244"/>
      <c r="W685" s="244"/>
      <c r="X685" s="97"/>
    </row>
    <row r="686">
      <c r="A686" s="205"/>
      <c r="B686" s="235"/>
      <c r="C686" s="236"/>
      <c r="D686" s="237"/>
      <c r="E686" s="235"/>
      <c r="F686" s="235"/>
      <c r="G686" s="239"/>
      <c r="H686" s="240"/>
      <c r="J686" s="237"/>
      <c r="K686" s="241"/>
      <c r="L686" s="241"/>
      <c r="M686" s="237"/>
      <c r="N686" s="242"/>
      <c r="O686" s="243"/>
      <c r="P686" s="244"/>
      <c r="Q686" s="245"/>
      <c r="R686" s="246"/>
      <c r="S686" s="244"/>
      <c r="T686" s="247"/>
      <c r="U686" s="247"/>
      <c r="V686" s="244"/>
      <c r="W686" s="244"/>
      <c r="X686" s="97"/>
    </row>
    <row r="687">
      <c r="A687" s="205"/>
      <c r="B687" s="235"/>
      <c r="C687" s="236"/>
      <c r="D687" s="237"/>
      <c r="E687" s="235"/>
      <c r="F687" s="235"/>
      <c r="G687" s="239"/>
      <c r="H687" s="240"/>
      <c r="J687" s="237"/>
      <c r="K687" s="241"/>
      <c r="L687" s="241"/>
      <c r="M687" s="237"/>
      <c r="N687" s="242"/>
      <c r="O687" s="243"/>
      <c r="P687" s="244"/>
      <c r="Q687" s="245"/>
      <c r="R687" s="246"/>
      <c r="S687" s="244"/>
      <c r="T687" s="247"/>
      <c r="U687" s="247"/>
      <c r="V687" s="244"/>
      <c r="W687" s="244"/>
      <c r="X687" s="97"/>
    </row>
    <row r="688">
      <c r="A688" s="205"/>
      <c r="B688" s="235"/>
      <c r="C688" s="236"/>
      <c r="D688" s="237"/>
      <c r="E688" s="235"/>
      <c r="F688" s="235"/>
      <c r="G688" s="239"/>
      <c r="H688" s="240"/>
      <c r="J688" s="237"/>
      <c r="K688" s="241"/>
      <c r="L688" s="241"/>
      <c r="M688" s="237"/>
      <c r="N688" s="242"/>
      <c r="O688" s="243"/>
      <c r="P688" s="244"/>
      <c r="Q688" s="245"/>
      <c r="R688" s="246"/>
      <c r="S688" s="244"/>
      <c r="T688" s="247"/>
      <c r="U688" s="247"/>
      <c r="V688" s="244"/>
      <c r="W688" s="244"/>
      <c r="X688" s="97"/>
    </row>
    <row r="689">
      <c r="A689" s="205"/>
      <c r="B689" s="235"/>
      <c r="C689" s="236"/>
      <c r="D689" s="237"/>
      <c r="E689" s="235"/>
      <c r="F689" s="235"/>
      <c r="G689" s="239"/>
      <c r="H689" s="240"/>
      <c r="J689" s="237"/>
      <c r="K689" s="241"/>
      <c r="L689" s="241"/>
      <c r="M689" s="237"/>
      <c r="N689" s="242"/>
      <c r="O689" s="243"/>
      <c r="P689" s="244"/>
      <c r="Q689" s="245"/>
      <c r="R689" s="246"/>
      <c r="S689" s="244"/>
      <c r="T689" s="247"/>
      <c r="U689" s="247"/>
      <c r="V689" s="244"/>
      <c r="W689" s="244"/>
      <c r="X689" s="97"/>
    </row>
    <row r="690">
      <c r="A690" s="205"/>
      <c r="B690" s="235"/>
      <c r="C690" s="236"/>
      <c r="D690" s="237"/>
      <c r="E690" s="235"/>
      <c r="F690" s="235"/>
      <c r="G690" s="239"/>
      <c r="H690" s="240"/>
      <c r="J690" s="237"/>
      <c r="K690" s="241"/>
      <c r="L690" s="241"/>
      <c r="M690" s="237"/>
      <c r="N690" s="242"/>
      <c r="O690" s="243"/>
      <c r="P690" s="244"/>
      <c r="Q690" s="245"/>
      <c r="R690" s="246"/>
      <c r="S690" s="244"/>
      <c r="T690" s="247"/>
      <c r="U690" s="247"/>
      <c r="V690" s="244"/>
      <c r="W690" s="244"/>
      <c r="X690" s="97"/>
    </row>
    <row r="691">
      <c r="A691" s="205"/>
      <c r="B691" s="235"/>
      <c r="C691" s="236"/>
      <c r="D691" s="237"/>
      <c r="E691" s="235"/>
      <c r="F691" s="235"/>
      <c r="G691" s="239"/>
      <c r="H691" s="240"/>
      <c r="J691" s="237"/>
      <c r="K691" s="241"/>
      <c r="L691" s="241"/>
      <c r="M691" s="237"/>
      <c r="N691" s="242"/>
      <c r="O691" s="243"/>
      <c r="P691" s="244"/>
      <c r="Q691" s="245"/>
      <c r="R691" s="246"/>
      <c r="S691" s="244"/>
      <c r="T691" s="247"/>
      <c r="U691" s="247"/>
      <c r="V691" s="244"/>
      <c r="W691" s="244"/>
      <c r="X691" s="97"/>
    </row>
    <row r="692">
      <c r="A692" s="205"/>
      <c r="B692" s="235"/>
      <c r="C692" s="236"/>
      <c r="D692" s="237"/>
      <c r="E692" s="235"/>
      <c r="F692" s="235"/>
      <c r="G692" s="239"/>
      <c r="H692" s="240"/>
      <c r="J692" s="237"/>
      <c r="K692" s="241"/>
      <c r="L692" s="241"/>
      <c r="M692" s="237"/>
      <c r="N692" s="242"/>
      <c r="O692" s="243"/>
      <c r="P692" s="244"/>
      <c r="Q692" s="245"/>
      <c r="R692" s="246"/>
      <c r="S692" s="244"/>
      <c r="T692" s="247"/>
      <c r="U692" s="247"/>
      <c r="V692" s="244"/>
      <c r="W692" s="244"/>
      <c r="X692" s="97"/>
    </row>
    <row r="693">
      <c r="A693" s="205"/>
      <c r="B693" s="235"/>
      <c r="C693" s="236"/>
      <c r="D693" s="237"/>
      <c r="E693" s="235"/>
      <c r="F693" s="235"/>
      <c r="G693" s="239"/>
      <c r="H693" s="240"/>
      <c r="J693" s="237"/>
      <c r="K693" s="241"/>
      <c r="L693" s="241"/>
      <c r="M693" s="237"/>
      <c r="N693" s="242"/>
      <c r="O693" s="243"/>
      <c r="P693" s="244"/>
      <c r="Q693" s="245"/>
      <c r="R693" s="246"/>
      <c r="S693" s="244"/>
      <c r="T693" s="247"/>
      <c r="U693" s="247"/>
      <c r="V693" s="244"/>
      <c r="W693" s="244"/>
      <c r="X693" s="97"/>
    </row>
    <row r="694">
      <c r="A694" s="205"/>
      <c r="B694" s="235"/>
      <c r="C694" s="236"/>
      <c r="D694" s="237"/>
      <c r="E694" s="235"/>
      <c r="F694" s="235"/>
      <c r="G694" s="239"/>
      <c r="H694" s="240"/>
      <c r="J694" s="237"/>
      <c r="K694" s="241"/>
      <c r="L694" s="241"/>
      <c r="M694" s="237"/>
      <c r="N694" s="242"/>
      <c r="O694" s="243"/>
      <c r="P694" s="244"/>
      <c r="Q694" s="245"/>
      <c r="R694" s="246"/>
      <c r="S694" s="244"/>
      <c r="T694" s="247"/>
      <c r="U694" s="247"/>
      <c r="V694" s="244"/>
      <c r="W694" s="244"/>
      <c r="X694" s="97"/>
    </row>
    <row r="695">
      <c r="A695" s="205"/>
      <c r="B695" s="235"/>
      <c r="C695" s="236"/>
      <c r="D695" s="237"/>
      <c r="E695" s="235"/>
      <c r="F695" s="235"/>
      <c r="G695" s="239"/>
      <c r="H695" s="240"/>
      <c r="J695" s="237"/>
      <c r="K695" s="241"/>
      <c r="L695" s="241"/>
      <c r="M695" s="237"/>
      <c r="N695" s="242"/>
      <c r="O695" s="243"/>
      <c r="P695" s="244"/>
      <c r="Q695" s="245"/>
      <c r="R695" s="246"/>
      <c r="S695" s="244"/>
      <c r="T695" s="247"/>
      <c r="U695" s="247"/>
      <c r="V695" s="244"/>
      <c r="W695" s="244"/>
      <c r="X695" s="97"/>
    </row>
    <row r="696">
      <c r="A696" s="205"/>
      <c r="B696" s="235"/>
      <c r="C696" s="236"/>
      <c r="D696" s="237"/>
      <c r="E696" s="235"/>
      <c r="F696" s="235"/>
      <c r="G696" s="239"/>
      <c r="H696" s="240"/>
      <c r="J696" s="237"/>
      <c r="K696" s="241"/>
      <c r="L696" s="241"/>
      <c r="M696" s="237"/>
      <c r="N696" s="242"/>
      <c r="O696" s="243"/>
      <c r="P696" s="244"/>
      <c r="Q696" s="245"/>
      <c r="R696" s="246"/>
      <c r="S696" s="244"/>
      <c r="T696" s="247"/>
      <c r="U696" s="247"/>
      <c r="V696" s="244"/>
      <c r="W696" s="244"/>
      <c r="X696" s="97"/>
    </row>
    <row r="697">
      <c r="A697" s="205"/>
      <c r="B697" s="235"/>
      <c r="C697" s="236"/>
      <c r="D697" s="237"/>
      <c r="E697" s="235"/>
      <c r="F697" s="235"/>
      <c r="G697" s="239"/>
      <c r="H697" s="240"/>
      <c r="J697" s="237"/>
      <c r="K697" s="241"/>
      <c r="L697" s="241"/>
      <c r="M697" s="237"/>
      <c r="N697" s="242"/>
      <c r="O697" s="243"/>
      <c r="P697" s="244"/>
      <c r="Q697" s="245"/>
      <c r="R697" s="246"/>
      <c r="S697" s="244"/>
      <c r="T697" s="247"/>
      <c r="U697" s="247"/>
      <c r="V697" s="244"/>
      <c r="W697" s="244"/>
      <c r="X697" s="97"/>
    </row>
    <row r="698">
      <c r="A698" s="205"/>
      <c r="B698" s="235"/>
      <c r="C698" s="236"/>
      <c r="D698" s="237"/>
      <c r="E698" s="235"/>
      <c r="F698" s="235"/>
      <c r="G698" s="239"/>
      <c r="H698" s="240"/>
      <c r="J698" s="237"/>
      <c r="K698" s="241"/>
      <c r="L698" s="241"/>
      <c r="M698" s="237"/>
      <c r="N698" s="242"/>
      <c r="O698" s="243"/>
      <c r="P698" s="244"/>
      <c r="Q698" s="245"/>
      <c r="R698" s="246"/>
      <c r="S698" s="244"/>
      <c r="T698" s="247"/>
      <c r="U698" s="247"/>
      <c r="V698" s="244"/>
      <c r="W698" s="244"/>
      <c r="X698" s="97"/>
    </row>
    <row r="699">
      <c r="A699" s="205"/>
      <c r="B699" s="235"/>
      <c r="C699" s="236"/>
      <c r="D699" s="237"/>
      <c r="E699" s="235"/>
      <c r="F699" s="235"/>
      <c r="G699" s="239"/>
      <c r="H699" s="240"/>
      <c r="J699" s="237"/>
      <c r="K699" s="241"/>
      <c r="L699" s="241"/>
      <c r="M699" s="237"/>
      <c r="N699" s="242"/>
      <c r="O699" s="243"/>
      <c r="P699" s="244"/>
      <c r="Q699" s="245"/>
      <c r="R699" s="246"/>
      <c r="S699" s="244"/>
      <c r="T699" s="247"/>
      <c r="U699" s="247"/>
      <c r="V699" s="244"/>
      <c r="W699" s="244"/>
      <c r="X699" s="97"/>
    </row>
    <row r="700">
      <c r="A700" s="205"/>
      <c r="B700" s="235"/>
      <c r="C700" s="236"/>
      <c r="D700" s="237"/>
      <c r="E700" s="235"/>
      <c r="F700" s="235"/>
      <c r="G700" s="239"/>
      <c r="H700" s="240"/>
      <c r="J700" s="237"/>
      <c r="K700" s="241"/>
      <c r="L700" s="241"/>
      <c r="M700" s="237"/>
      <c r="N700" s="242"/>
      <c r="O700" s="243"/>
      <c r="P700" s="244"/>
      <c r="Q700" s="245"/>
      <c r="R700" s="246"/>
      <c r="S700" s="244"/>
      <c r="T700" s="247"/>
      <c r="U700" s="247"/>
      <c r="V700" s="244"/>
      <c r="W700" s="244"/>
      <c r="X700" s="97"/>
    </row>
    <row r="701">
      <c r="A701" s="205"/>
      <c r="B701" s="235"/>
      <c r="C701" s="236"/>
      <c r="D701" s="237"/>
      <c r="E701" s="235"/>
      <c r="F701" s="235"/>
      <c r="G701" s="239"/>
      <c r="H701" s="240"/>
      <c r="J701" s="237"/>
      <c r="K701" s="241"/>
      <c r="L701" s="241"/>
      <c r="M701" s="237"/>
      <c r="N701" s="242"/>
      <c r="O701" s="243"/>
      <c r="P701" s="244"/>
      <c r="Q701" s="245"/>
      <c r="R701" s="246"/>
      <c r="S701" s="244"/>
      <c r="T701" s="247"/>
      <c r="U701" s="247"/>
      <c r="V701" s="244"/>
      <c r="W701" s="244"/>
      <c r="X701" s="97"/>
    </row>
    <row r="702">
      <c r="A702" s="205"/>
      <c r="B702" s="235"/>
      <c r="C702" s="236"/>
      <c r="D702" s="237"/>
      <c r="E702" s="235"/>
      <c r="F702" s="235"/>
      <c r="G702" s="239"/>
      <c r="H702" s="240"/>
      <c r="J702" s="237"/>
      <c r="K702" s="241"/>
      <c r="L702" s="241"/>
      <c r="M702" s="237"/>
      <c r="N702" s="242"/>
      <c r="O702" s="243"/>
      <c r="P702" s="244"/>
      <c r="Q702" s="245"/>
      <c r="R702" s="246"/>
      <c r="S702" s="244"/>
      <c r="T702" s="247"/>
      <c r="U702" s="247"/>
      <c r="V702" s="244"/>
      <c r="W702" s="244"/>
      <c r="X702" s="97"/>
    </row>
    <row r="703">
      <c r="A703" s="205"/>
      <c r="B703" s="235"/>
      <c r="C703" s="236"/>
      <c r="D703" s="237"/>
      <c r="E703" s="235"/>
      <c r="F703" s="235"/>
      <c r="G703" s="239"/>
      <c r="H703" s="240"/>
      <c r="J703" s="237"/>
      <c r="K703" s="241"/>
      <c r="L703" s="241"/>
      <c r="M703" s="237"/>
      <c r="N703" s="242"/>
      <c r="O703" s="243"/>
      <c r="P703" s="244"/>
      <c r="Q703" s="245"/>
      <c r="R703" s="246"/>
      <c r="S703" s="244"/>
      <c r="T703" s="247"/>
      <c r="U703" s="247"/>
      <c r="V703" s="244"/>
      <c r="W703" s="244"/>
      <c r="X703" s="97"/>
    </row>
    <row r="704">
      <c r="A704" s="205"/>
      <c r="B704" s="235"/>
      <c r="C704" s="236"/>
      <c r="D704" s="237"/>
      <c r="E704" s="235"/>
      <c r="F704" s="235"/>
      <c r="G704" s="239"/>
      <c r="H704" s="240"/>
      <c r="J704" s="237"/>
      <c r="K704" s="241"/>
      <c r="L704" s="241"/>
      <c r="M704" s="237"/>
      <c r="N704" s="242"/>
      <c r="O704" s="243"/>
      <c r="P704" s="244"/>
      <c r="Q704" s="245"/>
      <c r="R704" s="246"/>
      <c r="S704" s="244"/>
      <c r="T704" s="247"/>
      <c r="U704" s="247"/>
      <c r="V704" s="244"/>
      <c r="W704" s="244"/>
      <c r="X704" s="97"/>
    </row>
    <row r="705">
      <c r="A705" s="205"/>
      <c r="B705" s="235"/>
      <c r="C705" s="236"/>
      <c r="D705" s="237"/>
      <c r="E705" s="235"/>
      <c r="F705" s="235"/>
      <c r="G705" s="239"/>
      <c r="H705" s="240"/>
      <c r="J705" s="237"/>
      <c r="K705" s="241"/>
      <c r="L705" s="241"/>
      <c r="M705" s="237"/>
      <c r="N705" s="242"/>
      <c r="O705" s="243"/>
      <c r="P705" s="244"/>
      <c r="Q705" s="245"/>
      <c r="R705" s="246"/>
      <c r="S705" s="244"/>
      <c r="T705" s="247"/>
      <c r="U705" s="247"/>
      <c r="V705" s="244"/>
      <c r="W705" s="244"/>
      <c r="X705" s="97"/>
    </row>
    <row r="706">
      <c r="A706" s="205"/>
      <c r="B706" s="235"/>
      <c r="C706" s="236"/>
      <c r="D706" s="237"/>
      <c r="E706" s="235"/>
      <c r="F706" s="235"/>
      <c r="G706" s="239"/>
      <c r="H706" s="240"/>
      <c r="J706" s="237"/>
      <c r="K706" s="241"/>
      <c r="L706" s="241"/>
      <c r="M706" s="237"/>
      <c r="N706" s="242"/>
      <c r="O706" s="243"/>
      <c r="P706" s="244"/>
      <c r="Q706" s="245"/>
      <c r="R706" s="246"/>
      <c r="S706" s="244"/>
      <c r="T706" s="247"/>
      <c r="U706" s="247"/>
      <c r="V706" s="244"/>
      <c r="W706" s="244"/>
      <c r="X706" s="97"/>
    </row>
    <row r="707">
      <c r="A707" s="205"/>
      <c r="B707" s="235"/>
      <c r="C707" s="236"/>
      <c r="D707" s="237"/>
      <c r="E707" s="235"/>
      <c r="F707" s="235"/>
      <c r="G707" s="239"/>
      <c r="H707" s="240"/>
      <c r="J707" s="237"/>
      <c r="K707" s="241"/>
      <c r="L707" s="241"/>
      <c r="M707" s="237"/>
      <c r="N707" s="242"/>
      <c r="O707" s="243"/>
      <c r="P707" s="244"/>
      <c r="Q707" s="245"/>
      <c r="R707" s="246"/>
      <c r="S707" s="244"/>
      <c r="T707" s="247"/>
      <c r="U707" s="247"/>
      <c r="V707" s="244"/>
      <c r="W707" s="244"/>
      <c r="X707" s="97"/>
    </row>
    <row r="708">
      <c r="A708" s="205"/>
      <c r="B708" s="235"/>
      <c r="C708" s="236"/>
      <c r="D708" s="237"/>
      <c r="E708" s="235"/>
      <c r="F708" s="235"/>
      <c r="G708" s="239"/>
      <c r="H708" s="240"/>
      <c r="J708" s="237"/>
      <c r="K708" s="241"/>
      <c r="L708" s="241"/>
      <c r="M708" s="237"/>
      <c r="N708" s="242"/>
      <c r="O708" s="243"/>
      <c r="P708" s="244"/>
      <c r="Q708" s="245"/>
      <c r="R708" s="246"/>
      <c r="S708" s="244"/>
      <c r="T708" s="247"/>
      <c r="U708" s="247"/>
      <c r="V708" s="244"/>
      <c r="W708" s="244"/>
      <c r="X708" s="97"/>
    </row>
    <row r="709">
      <c r="A709" s="205"/>
      <c r="B709" s="235"/>
      <c r="C709" s="236"/>
      <c r="D709" s="237"/>
      <c r="E709" s="235"/>
      <c r="F709" s="235"/>
      <c r="G709" s="239"/>
      <c r="H709" s="240"/>
      <c r="J709" s="237"/>
      <c r="K709" s="241"/>
      <c r="L709" s="241"/>
      <c r="M709" s="237"/>
      <c r="N709" s="242"/>
      <c r="O709" s="243"/>
      <c r="P709" s="244"/>
      <c r="Q709" s="245"/>
      <c r="R709" s="246"/>
      <c r="S709" s="244"/>
      <c r="T709" s="247"/>
      <c r="U709" s="247"/>
      <c r="V709" s="244"/>
      <c r="W709" s="244"/>
      <c r="X709" s="97"/>
    </row>
    <row r="710">
      <c r="A710" s="205"/>
      <c r="B710" s="235"/>
      <c r="C710" s="236"/>
      <c r="D710" s="237"/>
      <c r="E710" s="235"/>
      <c r="F710" s="235"/>
      <c r="G710" s="239"/>
      <c r="H710" s="240"/>
      <c r="J710" s="237"/>
      <c r="K710" s="241"/>
      <c r="L710" s="241"/>
      <c r="M710" s="237"/>
      <c r="N710" s="242"/>
      <c r="O710" s="243"/>
      <c r="P710" s="244"/>
      <c r="Q710" s="245"/>
      <c r="R710" s="246"/>
      <c r="S710" s="244"/>
      <c r="T710" s="247"/>
      <c r="U710" s="247"/>
      <c r="V710" s="244"/>
      <c r="W710" s="244"/>
      <c r="X710" s="97"/>
    </row>
    <row r="711">
      <c r="A711" s="205"/>
      <c r="B711" s="235"/>
      <c r="C711" s="236"/>
      <c r="D711" s="237"/>
      <c r="E711" s="235"/>
      <c r="F711" s="235"/>
      <c r="G711" s="239"/>
      <c r="H711" s="240"/>
      <c r="J711" s="237"/>
      <c r="K711" s="241"/>
      <c r="L711" s="241"/>
      <c r="M711" s="237"/>
      <c r="N711" s="242"/>
      <c r="O711" s="243"/>
      <c r="P711" s="244"/>
      <c r="Q711" s="245"/>
      <c r="R711" s="246"/>
      <c r="S711" s="244"/>
      <c r="T711" s="247"/>
      <c r="U711" s="247"/>
      <c r="V711" s="244"/>
      <c r="W711" s="244"/>
      <c r="X711" s="97"/>
    </row>
    <row r="712">
      <c r="A712" s="205"/>
      <c r="B712" s="235"/>
      <c r="C712" s="236"/>
      <c r="D712" s="237"/>
      <c r="E712" s="235"/>
      <c r="F712" s="235"/>
      <c r="G712" s="239"/>
      <c r="H712" s="240"/>
      <c r="J712" s="237"/>
      <c r="K712" s="241"/>
      <c r="L712" s="241"/>
      <c r="M712" s="237"/>
      <c r="N712" s="242"/>
      <c r="O712" s="243"/>
      <c r="P712" s="244"/>
      <c r="Q712" s="245"/>
      <c r="R712" s="246"/>
      <c r="S712" s="244"/>
      <c r="T712" s="247"/>
      <c r="U712" s="247"/>
      <c r="V712" s="244"/>
      <c r="W712" s="244"/>
      <c r="X712" s="97"/>
    </row>
    <row r="713">
      <c r="A713" s="205"/>
      <c r="B713" s="235"/>
      <c r="C713" s="236"/>
      <c r="D713" s="237"/>
      <c r="E713" s="235"/>
      <c r="F713" s="235"/>
      <c r="G713" s="239"/>
      <c r="H713" s="240"/>
      <c r="J713" s="237"/>
      <c r="K713" s="241"/>
      <c r="L713" s="241"/>
      <c r="M713" s="237"/>
      <c r="N713" s="242"/>
      <c r="O713" s="243"/>
      <c r="P713" s="244"/>
      <c r="Q713" s="245"/>
      <c r="R713" s="246"/>
      <c r="S713" s="244"/>
      <c r="T713" s="247"/>
      <c r="U713" s="247"/>
      <c r="V713" s="244"/>
      <c r="W713" s="244"/>
      <c r="X713" s="97"/>
    </row>
    <row r="714">
      <c r="A714" s="205"/>
      <c r="B714" s="235"/>
      <c r="C714" s="236"/>
      <c r="D714" s="237"/>
      <c r="E714" s="235"/>
      <c r="F714" s="235"/>
      <c r="G714" s="239"/>
      <c r="H714" s="240"/>
      <c r="J714" s="237"/>
      <c r="K714" s="241"/>
      <c r="L714" s="241"/>
      <c r="M714" s="237"/>
      <c r="N714" s="242"/>
      <c r="O714" s="243"/>
      <c r="P714" s="244"/>
      <c r="Q714" s="245"/>
      <c r="R714" s="246"/>
      <c r="S714" s="244"/>
      <c r="T714" s="247"/>
      <c r="U714" s="247"/>
      <c r="V714" s="244"/>
      <c r="W714" s="244"/>
      <c r="X714" s="97"/>
    </row>
    <row r="715">
      <c r="A715" s="205"/>
      <c r="B715" s="235"/>
      <c r="C715" s="236"/>
      <c r="D715" s="237"/>
      <c r="E715" s="235"/>
      <c r="F715" s="235"/>
      <c r="G715" s="239"/>
      <c r="H715" s="240"/>
      <c r="J715" s="237"/>
      <c r="K715" s="241"/>
      <c r="L715" s="241"/>
      <c r="M715" s="237"/>
      <c r="N715" s="242"/>
      <c r="O715" s="243"/>
      <c r="P715" s="244"/>
      <c r="Q715" s="245"/>
      <c r="R715" s="246"/>
      <c r="S715" s="244"/>
      <c r="T715" s="247"/>
      <c r="U715" s="247"/>
      <c r="V715" s="244"/>
      <c r="W715" s="244"/>
      <c r="X715" s="97"/>
    </row>
    <row r="716">
      <c r="A716" s="205"/>
      <c r="B716" s="235"/>
      <c r="C716" s="236"/>
      <c r="D716" s="237"/>
      <c r="E716" s="235"/>
      <c r="F716" s="235"/>
      <c r="G716" s="239"/>
      <c r="H716" s="240"/>
      <c r="J716" s="237"/>
      <c r="K716" s="241"/>
      <c r="L716" s="241"/>
      <c r="M716" s="237"/>
      <c r="N716" s="242"/>
      <c r="O716" s="243"/>
      <c r="P716" s="244"/>
      <c r="Q716" s="245"/>
      <c r="R716" s="246"/>
      <c r="S716" s="244"/>
      <c r="T716" s="247"/>
      <c r="U716" s="247"/>
      <c r="V716" s="244"/>
      <c r="W716" s="244"/>
      <c r="X716" s="97"/>
    </row>
    <row r="717">
      <c r="A717" s="205"/>
      <c r="B717" s="235"/>
      <c r="C717" s="236"/>
      <c r="D717" s="237"/>
      <c r="E717" s="235"/>
      <c r="F717" s="235"/>
      <c r="G717" s="239"/>
      <c r="H717" s="240"/>
      <c r="J717" s="237"/>
      <c r="K717" s="241"/>
      <c r="L717" s="241"/>
      <c r="M717" s="237"/>
      <c r="N717" s="242"/>
      <c r="O717" s="243"/>
      <c r="P717" s="244"/>
      <c r="Q717" s="245"/>
      <c r="R717" s="246"/>
      <c r="S717" s="244"/>
      <c r="T717" s="247"/>
      <c r="U717" s="247"/>
      <c r="V717" s="244"/>
      <c r="W717" s="244"/>
      <c r="X717" s="97"/>
    </row>
    <row r="718">
      <c r="A718" s="205"/>
      <c r="B718" s="235"/>
      <c r="C718" s="236"/>
      <c r="D718" s="237"/>
      <c r="E718" s="235"/>
      <c r="F718" s="235"/>
      <c r="G718" s="239"/>
      <c r="H718" s="240"/>
      <c r="J718" s="237"/>
      <c r="K718" s="241"/>
      <c r="L718" s="241"/>
      <c r="M718" s="237"/>
      <c r="N718" s="242"/>
      <c r="O718" s="243"/>
      <c r="P718" s="244"/>
      <c r="Q718" s="245"/>
      <c r="R718" s="246"/>
      <c r="S718" s="244"/>
      <c r="T718" s="247"/>
      <c r="U718" s="247"/>
      <c r="V718" s="244"/>
      <c r="W718" s="244"/>
      <c r="X718" s="97"/>
    </row>
    <row r="719">
      <c r="A719" s="205"/>
      <c r="B719" s="235"/>
      <c r="C719" s="236"/>
      <c r="D719" s="237"/>
      <c r="E719" s="235"/>
      <c r="F719" s="235"/>
      <c r="G719" s="239"/>
      <c r="H719" s="240"/>
      <c r="J719" s="237"/>
      <c r="K719" s="241"/>
      <c r="L719" s="241"/>
      <c r="M719" s="237"/>
      <c r="N719" s="242"/>
      <c r="O719" s="243"/>
      <c r="P719" s="244"/>
      <c r="Q719" s="245"/>
      <c r="R719" s="246"/>
      <c r="S719" s="244"/>
      <c r="T719" s="247"/>
      <c r="U719" s="247"/>
      <c r="V719" s="244"/>
      <c r="W719" s="244"/>
      <c r="X719" s="97"/>
    </row>
    <row r="720">
      <c r="A720" s="205"/>
      <c r="B720" s="235"/>
      <c r="C720" s="236"/>
      <c r="D720" s="237"/>
      <c r="E720" s="235"/>
      <c r="F720" s="235"/>
      <c r="G720" s="239"/>
      <c r="H720" s="240"/>
      <c r="J720" s="237"/>
      <c r="K720" s="241"/>
      <c r="L720" s="241"/>
      <c r="M720" s="237"/>
      <c r="N720" s="242"/>
      <c r="O720" s="243"/>
      <c r="P720" s="244"/>
      <c r="Q720" s="245"/>
      <c r="R720" s="246"/>
      <c r="S720" s="244"/>
      <c r="T720" s="247"/>
      <c r="U720" s="247"/>
      <c r="V720" s="244"/>
      <c r="W720" s="244"/>
      <c r="X720" s="97"/>
    </row>
    <row r="721">
      <c r="A721" s="205"/>
      <c r="B721" s="235"/>
      <c r="C721" s="236"/>
      <c r="D721" s="237"/>
      <c r="E721" s="235"/>
      <c r="F721" s="235"/>
      <c r="G721" s="239"/>
      <c r="H721" s="240"/>
      <c r="J721" s="237"/>
      <c r="K721" s="241"/>
      <c r="L721" s="241"/>
      <c r="M721" s="237"/>
      <c r="N721" s="242"/>
      <c r="O721" s="243"/>
      <c r="P721" s="244"/>
      <c r="Q721" s="245"/>
      <c r="R721" s="246"/>
      <c r="S721" s="244"/>
      <c r="T721" s="247"/>
      <c r="U721" s="247"/>
      <c r="V721" s="244"/>
      <c r="W721" s="244"/>
      <c r="X721" s="97"/>
    </row>
    <row r="722">
      <c r="A722" s="205"/>
      <c r="B722" s="235"/>
      <c r="C722" s="236"/>
      <c r="D722" s="237"/>
      <c r="E722" s="235"/>
      <c r="F722" s="235"/>
      <c r="G722" s="239"/>
      <c r="H722" s="240"/>
      <c r="J722" s="237"/>
      <c r="K722" s="241"/>
      <c r="L722" s="241"/>
      <c r="M722" s="237"/>
      <c r="N722" s="242"/>
      <c r="O722" s="243"/>
      <c r="P722" s="244"/>
      <c r="Q722" s="245"/>
      <c r="R722" s="246"/>
      <c r="S722" s="244"/>
      <c r="T722" s="247"/>
      <c r="U722" s="247"/>
      <c r="V722" s="244"/>
      <c r="W722" s="244"/>
      <c r="X722" s="97"/>
    </row>
    <row r="723">
      <c r="A723" s="205"/>
      <c r="B723" s="235"/>
      <c r="C723" s="236"/>
      <c r="D723" s="237"/>
      <c r="E723" s="235"/>
      <c r="F723" s="235"/>
      <c r="G723" s="239"/>
      <c r="H723" s="240"/>
      <c r="J723" s="237"/>
      <c r="K723" s="241"/>
      <c r="L723" s="241"/>
      <c r="M723" s="237"/>
      <c r="N723" s="242"/>
      <c r="O723" s="243"/>
      <c r="P723" s="244"/>
      <c r="Q723" s="245"/>
      <c r="R723" s="246"/>
      <c r="S723" s="244"/>
      <c r="T723" s="247"/>
      <c r="U723" s="247"/>
      <c r="V723" s="244"/>
      <c r="W723" s="244"/>
      <c r="X723" s="97"/>
    </row>
    <row r="724">
      <c r="A724" s="205"/>
      <c r="B724" s="235"/>
      <c r="C724" s="236"/>
      <c r="D724" s="237"/>
      <c r="E724" s="235"/>
      <c r="F724" s="235"/>
      <c r="G724" s="239"/>
      <c r="H724" s="240"/>
      <c r="J724" s="237"/>
      <c r="K724" s="241"/>
      <c r="L724" s="241"/>
      <c r="M724" s="237"/>
      <c r="N724" s="242"/>
      <c r="O724" s="243"/>
      <c r="P724" s="244"/>
      <c r="Q724" s="245"/>
      <c r="R724" s="246"/>
      <c r="S724" s="244"/>
      <c r="T724" s="247"/>
      <c r="U724" s="247"/>
      <c r="V724" s="244"/>
      <c r="W724" s="244"/>
      <c r="X724" s="97"/>
    </row>
    <row r="725">
      <c r="A725" s="205"/>
      <c r="B725" s="235"/>
      <c r="C725" s="236"/>
      <c r="D725" s="237"/>
      <c r="E725" s="235"/>
      <c r="F725" s="235"/>
      <c r="G725" s="239"/>
      <c r="H725" s="240"/>
      <c r="J725" s="237"/>
      <c r="K725" s="241"/>
      <c r="L725" s="241"/>
      <c r="M725" s="237"/>
      <c r="N725" s="242"/>
      <c r="O725" s="243"/>
      <c r="P725" s="244"/>
      <c r="Q725" s="245"/>
      <c r="R725" s="246"/>
      <c r="S725" s="244"/>
      <c r="T725" s="247"/>
      <c r="U725" s="247"/>
      <c r="V725" s="244"/>
      <c r="W725" s="244"/>
      <c r="X725" s="97"/>
    </row>
    <row r="726">
      <c r="A726" s="205"/>
      <c r="B726" s="235"/>
      <c r="C726" s="236"/>
      <c r="D726" s="237"/>
      <c r="E726" s="235"/>
      <c r="F726" s="235"/>
      <c r="G726" s="239"/>
      <c r="H726" s="240"/>
      <c r="J726" s="237"/>
      <c r="K726" s="241"/>
      <c r="L726" s="241"/>
      <c r="M726" s="237"/>
      <c r="N726" s="242"/>
      <c r="O726" s="243"/>
      <c r="P726" s="244"/>
      <c r="Q726" s="245"/>
      <c r="R726" s="246"/>
      <c r="S726" s="244"/>
      <c r="T726" s="247"/>
      <c r="U726" s="247"/>
      <c r="V726" s="244"/>
      <c r="W726" s="244"/>
      <c r="X726" s="97"/>
    </row>
    <row r="727">
      <c r="A727" s="205"/>
      <c r="B727" s="235"/>
      <c r="C727" s="236"/>
      <c r="D727" s="237"/>
      <c r="E727" s="235"/>
      <c r="F727" s="235"/>
      <c r="G727" s="239"/>
      <c r="H727" s="240"/>
      <c r="J727" s="237"/>
      <c r="K727" s="241"/>
      <c r="L727" s="241"/>
      <c r="M727" s="237"/>
      <c r="N727" s="242"/>
      <c r="O727" s="243"/>
      <c r="P727" s="244"/>
      <c r="Q727" s="245"/>
      <c r="R727" s="246"/>
      <c r="S727" s="244"/>
      <c r="T727" s="247"/>
      <c r="U727" s="247"/>
      <c r="V727" s="244"/>
      <c r="W727" s="244"/>
      <c r="X727" s="97"/>
    </row>
    <row r="728">
      <c r="A728" s="205"/>
      <c r="B728" s="235"/>
      <c r="C728" s="236"/>
      <c r="D728" s="237"/>
      <c r="E728" s="235"/>
      <c r="F728" s="235"/>
      <c r="G728" s="239"/>
      <c r="H728" s="240"/>
      <c r="J728" s="237"/>
      <c r="K728" s="241"/>
      <c r="L728" s="241"/>
      <c r="M728" s="237"/>
      <c r="N728" s="242"/>
      <c r="O728" s="243"/>
      <c r="P728" s="244"/>
      <c r="Q728" s="245"/>
      <c r="R728" s="246"/>
      <c r="S728" s="244"/>
      <c r="T728" s="247"/>
      <c r="U728" s="247"/>
      <c r="V728" s="244"/>
      <c r="W728" s="244"/>
      <c r="X728" s="97"/>
    </row>
    <row r="729">
      <c r="A729" s="205"/>
      <c r="B729" s="235"/>
      <c r="C729" s="236"/>
      <c r="D729" s="237"/>
      <c r="E729" s="235"/>
      <c r="F729" s="235"/>
      <c r="G729" s="239"/>
      <c r="H729" s="240"/>
      <c r="J729" s="237"/>
      <c r="K729" s="241"/>
      <c r="L729" s="241"/>
      <c r="M729" s="237"/>
      <c r="N729" s="242"/>
      <c r="O729" s="243"/>
      <c r="P729" s="244"/>
      <c r="Q729" s="245"/>
      <c r="R729" s="246"/>
      <c r="S729" s="244"/>
      <c r="T729" s="247"/>
      <c r="U729" s="247"/>
      <c r="V729" s="244"/>
      <c r="W729" s="244"/>
      <c r="X729" s="97"/>
    </row>
    <row r="730">
      <c r="A730" s="205"/>
      <c r="B730" s="235"/>
      <c r="C730" s="236"/>
      <c r="D730" s="237"/>
      <c r="E730" s="235"/>
      <c r="F730" s="235"/>
      <c r="G730" s="239"/>
      <c r="H730" s="240"/>
      <c r="J730" s="237"/>
      <c r="K730" s="241"/>
      <c r="L730" s="241"/>
      <c r="M730" s="237"/>
      <c r="N730" s="242"/>
      <c r="O730" s="243"/>
      <c r="P730" s="244"/>
      <c r="Q730" s="245"/>
      <c r="R730" s="246"/>
      <c r="S730" s="244"/>
      <c r="T730" s="247"/>
      <c r="U730" s="247"/>
      <c r="V730" s="244"/>
      <c r="W730" s="244"/>
      <c r="X730" s="97"/>
    </row>
    <row r="731">
      <c r="A731" s="205"/>
      <c r="B731" s="235"/>
      <c r="C731" s="236"/>
      <c r="D731" s="237"/>
      <c r="E731" s="235"/>
      <c r="F731" s="235"/>
      <c r="G731" s="239"/>
      <c r="H731" s="240"/>
      <c r="J731" s="237"/>
      <c r="K731" s="241"/>
      <c r="L731" s="241"/>
      <c r="M731" s="237"/>
      <c r="N731" s="242"/>
      <c r="O731" s="243"/>
      <c r="P731" s="244"/>
      <c r="Q731" s="245"/>
      <c r="R731" s="246"/>
      <c r="S731" s="244"/>
      <c r="T731" s="247"/>
      <c r="U731" s="247"/>
      <c r="V731" s="244"/>
      <c r="W731" s="244"/>
      <c r="X731" s="97"/>
    </row>
    <row r="732">
      <c r="A732" s="205"/>
      <c r="B732" s="235"/>
      <c r="C732" s="236"/>
      <c r="D732" s="237"/>
      <c r="E732" s="235"/>
      <c r="F732" s="235"/>
      <c r="G732" s="239"/>
      <c r="H732" s="240"/>
      <c r="J732" s="237"/>
      <c r="K732" s="241"/>
      <c r="L732" s="241"/>
      <c r="M732" s="237"/>
      <c r="N732" s="242"/>
      <c r="O732" s="243"/>
      <c r="P732" s="244"/>
      <c r="Q732" s="245"/>
      <c r="R732" s="246"/>
      <c r="S732" s="244"/>
      <c r="T732" s="247"/>
      <c r="U732" s="247"/>
      <c r="V732" s="244"/>
      <c r="W732" s="244"/>
      <c r="X732" s="97"/>
    </row>
    <row r="733">
      <c r="A733" s="205"/>
      <c r="B733" s="235"/>
      <c r="C733" s="236"/>
      <c r="D733" s="237"/>
      <c r="E733" s="235"/>
      <c r="F733" s="235"/>
      <c r="G733" s="239"/>
      <c r="H733" s="240"/>
      <c r="J733" s="237"/>
      <c r="K733" s="241"/>
      <c r="L733" s="241"/>
      <c r="M733" s="237"/>
      <c r="N733" s="242"/>
      <c r="O733" s="243"/>
      <c r="P733" s="244"/>
      <c r="Q733" s="245"/>
      <c r="R733" s="246"/>
      <c r="S733" s="244"/>
      <c r="T733" s="247"/>
      <c r="U733" s="247"/>
      <c r="V733" s="244"/>
      <c r="W733" s="244"/>
      <c r="X733" s="97"/>
    </row>
    <row r="734">
      <c r="A734" s="205"/>
      <c r="B734" s="235"/>
      <c r="C734" s="236"/>
      <c r="D734" s="237"/>
      <c r="E734" s="235"/>
      <c r="F734" s="235"/>
      <c r="G734" s="239"/>
      <c r="H734" s="240"/>
      <c r="J734" s="237"/>
      <c r="K734" s="241"/>
      <c r="L734" s="241"/>
      <c r="M734" s="237"/>
      <c r="N734" s="242"/>
      <c r="O734" s="243"/>
      <c r="P734" s="244"/>
      <c r="Q734" s="245"/>
      <c r="R734" s="246"/>
      <c r="S734" s="244"/>
      <c r="T734" s="247"/>
      <c r="U734" s="247"/>
      <c r="V734" s="244"/>
      <c r="W734" s="244"/>
      <c r="X734" s="97"/>
    </row>
    <row r="735">
      <c r="A735" s="205"/>
      <c r="B735" s="235"/>
      <c r="C735" s="236"/>
      <c r="D735" s="237"/>
      <c r="E735" s="235"/>
      <c r="F735" s="235"/>
      <c r="G735" s="239"/>
      <c r="H735" s="240"/>
      <c r="J735" s="237"/>
      <c r="K735" s="241"/>
      <c r="L735" s="241"/>
      <c r="M735" s="237"/>
      <c r="N735" s="242"/>
      <c r="O735" s="243"/>
      <c r="P735" s="244"/>
      <c r="Q735" s="245"/>
      <c r="R735" s="246"/>
      <c r="S735" s="244"/>
      <c r="T735" s="247"/>
      <c r="U735" s="247"/>
      <c r="V735" s="244"/>
      <c r="W735" s="244"/>
      <c r="X735" s="97"/>
    </row>
    <row r="736">
      <c r="A736" s="205"/>
      <c r="B736" s="235"/>
      <c r="C736" s="236"/>
      <c r="D736" s="237"/>
      <c r="E736" s="235"/>
      <c r="F736" s="235"/>
      <c r="G736" s="239"/>
      <c r="H736" s="240"/>
      <c r="J736" s="237"/>
      <c r="K736" s="241"/>
      <c r="L736" s="241"/>
      <c r="M736" s="237"/>
      <c r="N736" s="242"/>
      <c r="O736" s="243"/>
      <c r="P736" s="244"/>
      <c r="Q736" s="245"/>
      <c r="R736" s="246"/>
      <c r="S736" s="244"/>
      <c r="T736" s="247"/>
      <c r="U736" s="247"/>
      <c r="V736" s="244"/>
      <c r="W736" s="244"/>
      <c r="X736" s="97"/>
    </row>
    <row r="737">
      <c r="A737" s="205"/>
      <c r="B737" s="235"/>
      <c r="C737" s="236"/>
      <c r="D737" s="237"/>
      <c r="E737" s="235"/>
      <c r="F737" s="235"/>
      <c r="G737" s="239"/>
      <c r="H737" s="240"/>
      <c r="J737" s="237"/>
      <c r="K737" s="241"/>
      <c r="L737" s="241"/>
      <c r="M737" s="237"/>
      <c r="N737" s="242"/>
      <c r="O737" s="243"/>
      <c r="P737" s="244"/>
      <c r="Q737" s="245"/>
      <c r="R737" s="246"/>
      <c r="S737" s="244"/>
      <c r="T737" s="247"/>
      <c r="U737" s="247"/>
      <c r="V737" s="244"/>
      <c r="W737" s="244"/>
      <c r="X737" s="97"/>
    </row>
    <row r="738">
      <c r="A738" s="205"/>
      <c r="B738" s="235"/>
      <c r="C738" s="236"/>
      <c r="D738" s="237"/>
      <c r="E738" s="235"/>
      <c r="F738" s="235"/>
      <c r="G738" s="239"/>
      <c r="H738" s="240"/>
      <c r="J738" s="237"/>
      <c r="K738" s="241"/>
      <c r="L738" s="241"/>
      <c r="M738" s="237"/>
      <c r="N738" s="242"/>
      <c r="O738" s="243"/>
      <c r="P738" s="244"/>
      <c r="Q738" s="245"/>
      <c r="R738" s="246"/>
      <c r="S738" s="244"/>
      <c r="T738" s="247"/>
      <c r="U738" s="247"/>
      <c r="V738" s="244"/>
      <c r="W738" s="244"/>
      <c r="X738" s="97"/>
    </row>
    <row r="739">
      <c r="A739" s="205"/>
      <c r="B739" s="235"/>
      <c r="C739" s="236"/>
      <c r="D739" s="237"/>
      <c r="E739" s="235"/>
      <c r="F739" s="235"/>
      <c r="G739" s="239"/>
      <c r="H739" s="240"/>
      <c r="J739" s="237"/>
      <c r="K739" s="241"/>
      <c r="L739" s="241"/>
      <c r="M739" s="237"/>
      <c r="N739" s="242"/>
      <c r="O739" s="243"/>
      <c r="P739" s="244"/>
      <c r="Q739" s="245"/>
      <c r="R739" s="246"/>
      <c r="S739" s="244"/>
      <c r="T739" s="247"/>
      <c r="U739" s="247"/>
      <c r="V739" s="244"/>
      <c r="W739" s="244"/>
      <c r="X739" s="97"/>
    </row>
    <row r="740">
      <c r="A740" s="205"/>
      <c r="B740" s="235"/>
      <c r="C740" s="236"/>
      <c r="D740" s="237"/>
      <c r="E740" s="235"/>
      <c r="F740" s="235"/>
      <c r="G740" s="239"/>
      <c r="H740" s="240"/>
      <c r="J740" s="237"/>
      <c r="K740" s="241"/>
      <c r="L740" s="241"/>
      <c r="M740" s="237"/>
      <c r="N740" s="242"/>
      <c r="O740" s="243"/>
      <c r="P740" s="244"/>
      <c r="Q740" s="245"/>
      <c r="R740" s="246"/>
      <c r="S740" s="244"/>
      <c r="T740" s="247"/>
      <c r="U740" s="247"/>
      <c r="V740" s="244"/>
      <c r="W740" s="244"/>
      <c r="X740" s="97"/>
    </row>
    <row r="741">
      <c r="A741" s="205"/>
      <c r="B741" s="235"/>
      <c r="C741" s="236"/>
      <c r="D741" s="237"/>
      <c r="E741" s="235"/>
      <c r="F741" s="235"/>
      <c r="G741" s="239"/>
      <c r="H741" s="240"/>
      <c r="J741" s="237"/>
      <c r="K741" s="241"/>
      <c r="L741" s="241"/>
      <c r="M741" s="237"/>
      <c r="N741" s="242"/>
      <c r="O741" s="243"/>
      <c r="P741" s="244"/>
      <c r="Q741" s="245"/>
      <c r="R741" s="246"/>
      <c r="S741" s="244"/>
      <c r="T741" s="247"/>
      <c r="U741" s="247"/>
      <c r="V741" s="244"/>
      <c r="W741" s="244"/>
      <c r="X741" s="97"/>
    </row>
    <row r="742">
      <c r="A742" s="205"/>
      <c r="B742" s="235"/>
      <c r="C742" s="236"/>
      <c r="D742" s="237"/>
      <c r="E742" s="235"/>
      <c r="F742" s="235"/>
      <c r="G742" s="239"/>
      <c r="H742" s="240"/>
      <c r="J742" s="237"/>
      <c r="K742" s="241"/>
      <c r="L742" s="241"/>
      <c r="M742" s="237"/>
      <c r="N742" s="242"/>
      <c r="O742" s="243"/>
      <c r="P742" s="244"/>
      <c r="Q742" s="245"/>
      <c r="R742" s="246"/>
      <c r="S742" s="244"/>
      <c r="T742" s="247"/>
      <c r="U742" s="247"/>
      <c r="V742" s="244"/>
      <c r="W742" s="244"/>
      <c r="X742" s="97"/>
    </row>
    <row r="743">
      <c r="A743" s="205"/>
      <c r="B743" s="235"/>
      <c r="C743" s="236"/>
      <c r="D743" s="237"/>
      <c r="E743" s="235"/>
      <c r="F743" s="235"/>
      <c r="G743" s="239"/>
      <c r="H743" s="240"/>
      <c r="J743" s="237"/>
      <c r="K743" s="241"/>
      <c r="L743" s="241"/>
      <c r="M743" s="237"/>
      <c r="N743" s="242"/>
      <c r="O743" s="243"/>
      <c r="P743" s="244"/>
      <c r="Q743" s="245"/>
      <c r="R743" s="246"/>
      <c r="S743" s="244"/>
      <c r="T743" s="247"/>
      <c r="U743" s="247"/>
      <c r="V743" s="244"/>
      <c r="W743" s="244"/>
      <c r="X743" s="97"/>
    </row>
    <row r="744">
      <c r="A744" s="205"/>
      <c r="B744" s="235"/>
      <c r="C744" s="236"/>
      <c r="D744" s="237"/>
      <c r="E744" s="235"/>
      <c r="F744" s="235"/>
      <c r="G744" s="239"/>
      <c r="H744" s="240"/>
      <c r="J744" s="237"/>
      <c r="K744" s="241"/>
      <c r="L744" s="241"/>
      <c r="M744" s="237"/>
      <c r="N744" s="242"/>
      <c r="O744" s="243"/>
      <c r="P744" s="244"/>
      <c r="Q744" s="245"/>
      <c r="R744" s="246"/>
      <c r="S744" s="244"/>
      <c r="T744" s="247"/>
      <c r="U744" s="247"/>
      <c r="V744" s="244"/>
      <c r="W744" s="244"/>
      <c r="X744" s="97"/>
    </row>
    <row r="745">
      <c r="A745" s="205"/>
      <c r="B745" s="235"/>
      <c r="C745" s="236"/>
      <c r="D745" s="237"/>
      <c r="E745" s="235"/>
      <c r="F745" s="235"/>
      <c r="G745" s="239"/>
      <c r="H745" s="240"/>
      <c r="J745" s="237"/>
      <c r="K745" s="241"/>
      <c r="L745" s="241"/>
      <c r="M745" s="237"/>
      <c r="N745" s="242"/>
      <c r="O745" s="243"/>
      <c r="P745" s="244"/>
      <c r="Q745" s="245"/>
      <c r="R745" s="246"/>
      <c r="S745" s="244"/>
      <c r="T745" s="247"/>
      <c r="U745" s="247"/>
      <c r="V745" s="244"/>
      <c r="W745" s="244"/>
      <c r="X745" s="97"/>
    </row>
    <row r="746">
      <c r="A746" s="205"/>
      <c r="B746" s="235"/>
      <c r="C746" s="236"/>
      <c r="D746" s="237"/>
      <c r="E746" s="235"/>
      <c r="F746" s="235"/>
      <c r="G746" s="239"/>
      <c r="H746" s="240"/>
      <c r="J746" s="237"/>
      <c r="K746" s="241"/>
      <c r="L746" s="241"/>
      <c r="M746" s="237"/>
      <c r="N746" s="242"/>
      <c r="O746" s="243"/>
      <c r="P746" s="244"/>
      <c r="Q746" s="245"/>
      <c r="R746" s="246"/>
      <c r="S746" s="244"/>
      <c r="T746" s="247"/>
      <c r="U746" s="247"/>
      <c r="V746" s="244"/>
      <c r="W746" s="244"/>
      <c r="X746" s="97"/>
    </row>
    <row r="747">
      <c r="A747" s="205"/>
      <c r="B747" s="235"/>
      <c r="C747" s="236"/>
      <c r="D747" s="237"/>
      <c r="E747" s="235"/>
      <c r="F747" s="235"/>
      <c r="G747" s="239"/>
      <c r="H747" s="240"/>
      <c r="J747" s="237"/>
      <c r="K747" s="241"/>
      <c r="L747" s="241"/>
      <c r="M747" s="237"/>
      <c r="N747" s="242"/>
      <c r="O747" s="243"/>
      <c r="P747" s="244"/>
      <c r="Q747" s="245"/>
      <c r="R747" s="246"/>
      <c r="S747" s="244"/>
      <c r="T747" s="247"/>
      <c r="U747" s="247"/>
      <c r="V747" s="244"/>
      <c r="W747" s="244"/>
      <c r="X747" s="97"/>
    </row>
    <row r="748">
      <c r="A748" s="205"/>
      <c r="B748" s="235"/>
      <c r="C748" s="236"/>
      <c r="D748" s="237"/>
      <c r="E748" s="235"/>
      <c r="F748" s="235"/>
      <c r="G748" s="239"/>
      <c r="H748" s="240"/>
      <c r="J748" s="237"/>
      <c r="K748" s="241"/>
      <c r="L748" s="241"/>
      <c r="M748" s="237"/>
      <c r="N748" s="242"/>
      <c r="O748" s="243"/>
      <c r="P748" s="244"/>
      <c r="Q748" s="245"/>
      <c r="R748" s="246"/>
      <c r="S748" s="244"/>
      <c r="T748" s="247"/>
      <c r="U748" s="247"/>
      <c r="V748" s="244"/>
      <c r="W748" s="244"/>
      <c r="X748" s="97"/>
    </row>
    <row r="749">
      <c r="A749" s="205"/>
      <c r="B749" s="235"/>
      <c r="C749" s="236"/>
      <c r="D749" s="237"/>
      <c r="E749" s="235"/>
      <c r="F749" s="235"/>
      <c r="G749" s="239"/>
      <c r="H749" s="240"/>
      <c r="J749" s="237"/>
      <c r="K749" s="241"/>
      <c r="L749" s="241"/>
      <c r="M749" s="237"/>
      <c r="N749" s="242"/>
      <c r="O749" s="243"/>
      <c r="P749" s="244"/>
      <c r="Q749" s="245"/>
      <c r="R749" s="246"/>
      <c r="S749" s="244"/>
      <c r="T749" s="247"/>
      <c r="U749" s="247"/>
      <c r="V749" s="244"/>
      <c r="W749" s="244"/>
      <c r="X749" s="97"/>
    </row>
    <row r="750">
      <c r="A750" s="205"/>
      <c r="B750" s="235"/>
      <c r="C750" s="236"/>
      <c r="D750" s="237"/>
      <c r="E750" s="235"/>
      <c r="F750" s="235"/>
      <c r="G750" s="239"/>
      <c r="H750" s="240"/>
      <c r="J750" s="237"/>
      <c r="K750" s="241"/>
      <c r="L750" s="241"/>
      <c r="M750" s="237"/>
      <c r="N750" s="242"/>
      <c r="O750" s="243"/>
      <c r="P750" s="244"/>
      <c r="Q750" s="245"/>
      <c r="R750" s="246"/>
      <c r="S750" s="244"/>
      <c r="T750" s="247"/>
      <c r="U750" s="247"/>
      <c r="V750" s="244"/>
      <c r="W750" s="244"/>
      <c r="X750" s="97"/>
    </row>
    <row r="751">
      <c r="A751" s="205"/>
      <c r="B751" s="235"/>
      <c r="C751" s="236"/>
      <c r="D751" s="237"/>
      <c r="E751" s="235"/>
      <c r="F751" s="235"/>
      <c r="G751" s="239"/>
      <c r="H751" s="240"/>
      <c r="J751" s="237"/>
      <c r="K751" s="241"/>
      <c r="L751" s="241"/>
      <c r="M751" s="237"/>
      <c r="N751" s="242"/>
      <c r="O751" s="243"/>
      <c r="P751" s="244"/>
      <c r="Q751" s="245"/>
      <c r="R751" s="246"/>
      <c r="S751" s="244"/>
      <c r="T751" s="247"/>
      <c r="U751" s="247"/>
      <c r="V751" s="244"/>
      <c r="W751" s="244"/>
      <c r="X751" s="97"/>
    </row>
    <row r="752">
      <c r="A752" s="205"/>
      <c r="B752" s="235"/>
      <c r="C752" s="236"/>
      <c r="D752" s="237"/>
      <c r="E752" s="235"/>
      <c r="F752" s="235"/>
      <c r="G752" s="239"/>
      <c r="H752" s="240"/>
      <c r="J752" s="237"/>
      <c r="K752" s="241"/>
      <c r="L752" s="241"/>
      <c r="M752" s="237"/>
      <c r="N752" s="242"/>
      <c r="O752" s="243"/>
      <c r="P752" s="244"/>
      <c r="Q752" s="245"/>
      <c r="R752" s="246"/>
      <c r="S752" s="244"/>
      <c r="T752" s="247"/>
      <c r="U752" s="247"/>
      <c r="V752" s="244"/>
      <c r="W752" s="244"/>
      <c r="X752" s="97"/>
    </row>
    <row r="753">
      <c r="A753" s="205"/>
      <c r="B753" s="235"/>
      <c r="C753" s="236"/>
      <c r="D753" s="237"/>
      <c r="E753" s="235"/>
      <c r="F753" s="235"/>
      <c r="G753" s="239"/>
      <c r="H753" s="240"/>
      <c r="J753" s="237"/>
      <c r="K753" s="241"/>
      <c r="L753" s="241"/>
      <c r="M753" s="237"/>
      <c r="N753" s="242"/>
      <c r="O753" s="243"/>
      <c r="P753" s="244"/>
      <c r="Q753" s="245"/>
      <c r="R753" s="246"/>
      <c r="S753" s="244"/>
      <c r="T753" s="247"/>
      <c r="U753" s="247"/>
      <c r="V753" s="244"/>
      <c r="W753" s="244"/>
      <c r="X753" s="97"/>
    </row>
    <row r="754">
      <c r="A754" s="205"/>
      <c r="B754" s="235"/>
      <c r="C754" s="236"/>
      <c r="D754" s="237"/>
      <c r="E754" s="235"/>
      <c r="F754" s="235"/>
      <c r="G754" s="239"/>
      <c r="H754" s="240"/>
      <c r="J754" s="237"/>
      <c r="K754" s="241"/>
      <c r="L754" s="241"/>
      <c r="M754" s="237"/>
      <c r="N754" s="242"/>
      <c r="O754" s="243"/>
      <c r="P754" s="244"/>
      <c r="Q754" s="245"/>
      <c r="R754" s="246"/>
      <c r="S754" s="244"/>
      <c r="T754" s="247"/>
      <c r="U754" s="247"/>
      <c r="V754" s="244"/>
      <c r="W754" s="244"/>
      <c r="X754" s="97"/>
    </row>
    <row r="755">
      <c r="A755" s="205"/>
      <c r="B755" s="235"/>
      <c r="C755" s="236"/>
      <c r="D755" s="237"/>
      <c r="E755" s="235"/>
      <c r="F755" s="235"/>
      <c r="G755" s="239"/>
      <c r="H755" s="240"/>
      <c r="J755" s="237"/>
      <c r="K755" s="241"/>
      <c r="L755" s="241"/>
      <c r="M755" s="237"/>
      <c r="N755" s="242"/>
      <c r="O755" s="243"/>
      <c r="P755" s="244"/>
      <c r="Q755" s="245"/>
      <c r="R755" s="246"/>
      <c r="S755" s="244"/>
      <c r="T755" s="247"/>
      <c r="U755" s="247"/>
      <c r="V755" s="244"/>
      <c r="W755" s="244"/>
      <c r="X755" s="97"/>
    </row>
    <row r="756">
      <c r="A756" s="205"/>
      <c r="B756" s="235"/>
      <c r="C756" s="236"/>
      <c r="D756" s="237"/>
      <c r="E756" s="235"/>
      <c r="F756" s="235"/>
      <c r="G756" s="239"/>
      <c r="H756" s="240"/>
      <c r="J756" s="237"/>
      <c r="K756" s="241"/>
      <c r="L756" s="241"/>
      <c r="M756" s="237"/>
      <c r="N756" s="242"/>
      <c r="O756" s="243"/>
      <c r="P756" s="244"/>
      <c r="Q756" s="245"/>
      <c r="R756" s="246"/>
      <c r="S756" s="244"/>
      <c r="T756" s="247"/>
      <c r="U756" s="247"/>
      <c r="V756" s="244"/>
      <c r="W756" s="244"/>
      <c r="X756" s="97"/>
    </row>
    <row r="757">
      <c r="A757" s="205"/>
      <c r="B757" s="235"/>
      <c r="C757" s="236"/>
      <c r="D757" s="237"/>
      <c r="E757" s="235"/>
      <c r="F757" s="235"/>
      <c r="G757" s="239"/>
      <c r="H757" s="240"/>
      <c r="J757" s="237"/>
      <c r="K757" s="241"/>
      <c r="L757" s="241"/>
      <c r="M757" s="237"/>
      <c r="N757" s="242"/>
      <c r="O757" s="243"/>
      <c r="P757" s="244"/>
      <c r="Q757" s="245"/>
      <c r="R757" s="246"/>
      <c r="S757" s="244"/>
      <c r="T757" s="247"/>
      <c r="U757" s="247"/>
      <c r="V757" s="244"/>
      <c r="W757" s="244"/>
      <c r="X757" s="97"/>
    </row>
    <row r="758">
      <c r="A758" s="205"/>
      <c r="B758" s="235"/>
      <c r="C758" s="236"/>
      <c r="D758" s="237"/>
      <c r="E758" s="235"/>
      <c r="F758" s="235"/>
      <c r="G758" s="239"/>
      <c r="H758" s="240"/>
      <c r="J758" s="237"/>
      <c r="K758" s="241"/>
      <c r="L758" s="241"/>
      <c r="M758" s="237"/>
      <c r="N758" s="242"/>
      <c r="O758" s="243"/>
      <c r="P758" s="244"/>
      <c r="Q758" s="245"/>
      <c r="R758" s="246"/>
      <c r="S758" s="244"/>
      <c r="T758" s="247"/>
      <c r="U758" s="247"/>
      <c r="V758" s="244"/>
      <c r="W758" s="244"/>
      <c r="X758" s="97"/>
    </row>
    <row r="759">
      <c r="A759" s="205"/>
      <c r="B759" s="235"/>
      <c r="C759" s="236"/>
      <c r="D759" s="237"/>
      <c r="E759" s="235"/>
      <c r="F759" s="235"/>
      <c r="G759" s="239"/>
      <c r="H759" s="240"/>
      <c r="J759" s="237"/>
      <c r="K759" s="241"/>
      <c r="L759" s="241"/>
      <c r="M759" s="237"/>
      <c r="N759" s="242"/>
      <c r="O759" s="243"/>
      <c r="P759" s="244"/>
      <c r="Q759" s="245"/>
      <c r="R759" s="246"/>
      <c r="S759" s="244"/>
      <c r="T759" s="247"/>
      <c r="U759" s="247"/>
      <c r="V759" s="244"/>
      <c r="W759" s="244"/>
      <c r="X759" s="97"/>
    </row>
    <row r="760">
      <c r="A760" s="205"/>
      <c r="B760" s="235"/>
      <c r="C760" s="236"/>
      <c r="D760" s="237"/>
      <c r="E760" s="235"/>
      <c r="F760" s="235"/>
      <c r="G760" s="239"/>
      <c r="H760" s="240"/>
      <c r="J760" s="237"/>
      <c r="K760" s="241"/>
      <c r="L760" s="241"/>
      <c r="M760" s="237"/>
      <c r="N760" s="242"/>
      <c r="O760" s="243"/>
      <c r="P760" s="244"/>
      <c r="Q760" s="245"/>
      <c r="R760" s="246"/>
      <c r="S760" s="244"/>
      <c r="T760" s="247"/>
      <c r="U760" s="247"/>
      <c r="V760" s="244"/>
      <c r="W760" s="244"/>
      <c r="X760" s="97"/>
    </row>
    <row r="761">
      <c r="A761" s="205"/>
      <c r="B761" s="235"/>
      <c r="C761" s="236"/>
      <c r="D761" s="237"/>
      <c r="E761" s="235"/>
      <c r="F761" s="235"/>
      <c r="G761" s="239"/>
      <c r="H761" s="240"/>
      <c r="J761" s="237"/>
      <c r="K761" s="241"/>
      <c r="L761" s="241"/>
      <c r="M761" s="237"/>
      <c r="N761" s="242"/>
      <c r="O761" s="243"/>
      <c r="P761" s="244"/>
      <c r="Q761" s="245"/>
      <c r="R761" s="246"/>
      <c r="S761" s="244"/>
      <c r="T761" s="247"/>
      <c r="U761" s="247"/>
      <c r="V761" s="244"/>
      <c r="W761" s="244"/>
      <c r="X761" s="97"/>
    </row>
    <row r="762">
      <c r="A762" s="205"/>
      <c r="B762" s="235"/>
      <c r="C762" s="236"/>
      <c r="D762" s="237"/>
      <c r="E762" s="235"/>
      <c r="F762" s="235"/>
      <c r="G762" s="239"/>
      <c r="H762" s="240"/>
      <c r="J762" s="237"/>
      <c r="K762" s="241"/>
      <c r="L762" s="241"/>
      <c r="M762" s="237"/>
      <c r="N762" s="242"/>
      <c r="O762" s="243"/>
      <c r="P762" s="244"/>
      <c r="Q762" s="245"/>
      <c r="R762" s="246"/>
      <c r="S762" s="244"/>
      <c r="T762" s="247"/>
      <c r="U762" s="247"/>
      <c r="V762" s="244"/>
      <c r="W762" s="244"/>
      <c r="X762" s="97"/>
    </row>
    <row r="763">
      <c r="A763" s="205"/>
      <c r="B763" s="235"/>
      <c r="C763" s="236"/>
      <c r="D763" s="237"/>
      <c r="E763" s="235"/>
      <c r="F763" s="235"/>
      <c r="G763" s="239"/>
      <c r="H763" s="240"/>
      <c r="J763" s="237"/>
      <c r="K763" s="241"/>
      <c r="L763" s="241"/>
      <c r="M763" s="237"/>
      <c r="N763" s="242"/>
      <c r="O763" s="243"/>
      <c r="P763" s="244"/>
      <c r="Q763" s="245"/>
      <c r="R763" s="246"/>
      <c r="S763" s="244"/>
      <c r="T763" s="247"/>
      <c r="U763" s="247"/>
      <c r="V763" s="244"/>
      <c r="W763" s="244"/>
      <c r="X763" s="97"/>
    </row>
    <row r="764">
      <c r="A764" s="205"/>
      <c r="B764" s="235"/>
      <c r="C764" s="236"/>
      <c r="D764" s="237"/>
      <c r="E764" s="235"/>
      <c r="F764" s="235"/>
      <c r="G764" s="239"/>
      <c r="H764" s="240"/>
      <c r="J764" s="237"/>
      <c r="K764" s="241"/>
      <c r="L764" s="241"/>
      <c r="M764" s="237"/>
      <c r="N764" s="242"/>
      <c r="O764" s="243"/>
      <c r="P764" s="244"/>
      <c r="Q764" s="245"/>
      <c r="R764" s="246"/>
      <c r="S764" s="244"/>
      <c r="T764" s="247"/>
      <c r="U764" s="247"/>
      <c r="V764" s="244"/>
      <c r="W764" s="244"/>
      <c r="X764" s="97"/>
    </row>
    <row r="765">
      <c r="A765" s="205"/>
      <c r="B765" s="235"/>
      <c r="C765" s="236"/>
      <c r="D765" s="237"/>
      <c r="E765" s="235"/>
      <c r="F765" s="235"/>
      <c r="G765" s="239"/>
      <c r="H765" s="240"/>
      <c r="J765" s="237"/>
      <c r="K765" s="241"/>
      <c r="L765" s="241"/>
      <c r="M765" s="237"/>
      <c r="N765" s="242"/>
      <c r="O765" s="243"/>
      <c r="P765" s="244"/>
      <c r="Q765" s="245"/>
      <c r="R765" s="246"/>
      <c r="S765" s="244"/>
      <c r="T765" s="247"/>
      <c r="U765" s="247"/>
      <c r="V765" s="244"/>
      <c r="W765" s="244"/>
      <c r="X765" s="97"/>
    </row>
    <row r="766">
      <c r="A766" s="205"/>
      <c r="B766" s="235"/>
      <c r="C766" s="236"/>
      <c r="D766" s="237"/>
      <c r="E766" s="235"/>
      <c r="F766" s="235"/>
      <c r="G766" s="239"/>
      <c r="H766" s="240"/>
      <c r="J766" s="237"/>
      <c r="K766" s="241"/>
      <c r="L766" s="241"/>
      <c r="M766" s="237"/>
      <c r="N766" s="242"/>
      <c r="O766" s="243"/>
      <c r="P766" s="244"/>
      <c r="Q766" s="245"/>
      <c r="R766" s="246"/>
      <c r="S766" s="244"/>
      <c r="T766" s="247"/>
      <c r="U766" s="247"/>
      <c r="V766" s="244"/>
      <c r="W766" s="244"/>
      <c r="X766" s="97"/>
    </row>
    <row r="767">
      <c r="A767" s="205"/>
      <c r="B767" s="235"/>
      <c r="C767" s="236"/>
      <c r="D767" s="237"/>
      <c r="E767" s="235"/>
      <c r="F767" s="235"/>
      <c r="G767" s="239"/>
      <c r="H767" s="240"/>
      <c r="J767" s="237"/>
      <c r="K767" s="241"/>
      <c r="L767" s="241"/>
      <c r="M767" s="237"/>
      <c r="N767" s="242"/>
      <c r="O767" s="243"/>
      <c r="P767" s="244"/>
      <c r="Q767" s="245"/>
      <c r="R767" s="246"/>
      <c r="S767" s="244"/>
      <c r="T767" s="247"/>
      <c r="U767" s="247"/>
      <c r="V767" s="244"/>
      <c r="W767" s="244"/>
      <c r="X767" s="97"/>
    </row>
    <row r="768">
      <c r="A768" s="205"/>
      <c r="B768" s="235"/>
      <c r="C768" s="236"/>
      <c r="D768" s="237"/>
      <c r="E768" s="235"/>
      <c r="F768" s="235"/>
      <c r="G768" s="239"/>
      <c r="H768" s="240"/>
      <c r="J768" s="237"/>
      <c r="K768" s="241"/>
      <c r="L768" s="241"/>
      <c r="M768" s="237"/>
      <c r="N768" s="242"/>
      <c r="O768" s="243"/>
      <c r="P768" s="244"/>
      <c r="Q768" s="245"/>
      <c r="R768" s="246"/>
      <c r="S768" s="244"/>
      <c r="T768" s="247"/>
      <c r="U768" s="247"/>
      <c r="V768" s="244"/>
      <c r="W768" s="244"/>
      <c r="X768" s="97"/>
    </row>
    <row r="769">
      <c r="A769" s="205"/>
      <c r="B769" s="235"/>
      <c r="C769" s="236"/>
      <c r="D769" s="237"/>
      <c r="E769" s="235"/>
      <c r="F769" s="235"/>
      <c r="G769" s="239"/>
      <c r="H769" s="240"/>
      <c r="J769" s="237"/>
      <c r="K769" s="241"/>
      <c r="L769" s="241"/>
      <c r="M769" s="237"/>
      <c r="N769" s="242"/>
      <c r="O769" s="243"/>
      <c r="P769" s="244"/>
      <c r="Q769" s="245"/>
      <c r="R769" s="246"/>
      <c r="S769" s="244"/>
      <c r="T769" s="247"/>
      <c r="U769" s="247"/>
      <c r="V769" s="244"/>
      <c r="W769" s="244"/>
      <c r="X769" s="97"/>
    </row>
    <row r="770">
      <c r="A770" s="205"/>
      <c r="B770" s="235"/>
      <c r="C770" s="236"/>
      <c r="D770" s="237"/>
      <c r="E770" s="235"/>
      <c r="F770" s="235"/>
      <c r="G770" s="239"/>
      <c r="H770" s="240"/>
      <c r="J770" s="237"/>
      <c r="K770" s="241"/>
      <c r="L770" s="241"/>
      <c r="M770" s="237"/>
      <c r="N770" s="242"/>
      <c r="O770" s="243"/>
      <c r="P770" s="244"/>
      <c r="Q770" s="245"/>
      <c r="R770" s="246"/>
      <c r="S770" s="244"/>
      <c r="T770" s="247"/>
      <c r="U770" s="247"/>
      <c r="V770" s="244"/>
      <c r="W770" s="244"/>
      <c r="X770" s="97"/>
    </row>
    <row r="771">
      <c r="A771" s="205"/>
      <c r="B771" s="235"/>
      <c r="C771" s="236"/>
      <c r="D771" s="237"/>
      <c r="E771" s="235"/>
      <c r="F771" s="235"/>
      <c r="G771" s="239"/>
      <c r="H771" s="240"/>
      <c r="J771" s="237"/>
      <c r="K771" s="241"/>
      <c r="L771" s="241"/>
      <c r="M771" s="237"/>
      <c r="N771" s="242"/>
      <c r="O771" s="243"/>
      <c r="P771" s="244"/>
      <c r="Q771" s="245"/>
      <c r="R771" s="246"/>
      <c r="S771" s="244"/>
      <c r="T771" s="247"/>
      <c r="U771" s="247"/>
      <c r="V771" s="244"/>
      <c r="W771" s="244"/>
      <c r="X771" s="97"/>
    </row>
    <row r="772">
      <c r="A772" s="205"/>
      <c r="B772" s="235"/>
      <c r="C772" s="236"/>
      <c r="D772" s="237"/>
      <c r="E772" s="235"/>
      <c r="F772" s="235"/>
      <c r="G772" s="239"/>
      <c r="H772" s="240"/>
      <c r="J772" s="237"/>
      <c r="K772" s="241"/>
      <c r="L772" s="241"/>
      <c r="M772" s="237"/>
      <c r="N772" s="242"/>
      <c r="O772" s="243"/>
      <c r="P772" s="244"/>
      <c r="Q772" s="245"/>
      <c r="R772" s="246"/>
      <c r="S772" s="244"/>
      <c r="T772" s="247"/>
      <c r="U772" s="247"/>
      <c r="V772" s="244"/>
      <c r="W772" s="244"/>
      <c r="X772" s="97"/>
    </row>
    <row r="773">
      <c r="A773" s="205"/>
      <c r="B773" s="235"/>
      <c r="C773" s="236"/>
      <c r="D773" s="237"/>
      <c r="E773" s="235"/>
      <c r="F773" s="235"/>
      <c r="G773" s="239"/>
      <c r="H773" s="240"/>
      <c r="J773" s="237"/>
      <c r="K773" s="241"/>
      <c r="L773" s="241"/>
      <c r="M773" s="237"/>
      <c r="N773" s="242"/>
      <c r="O773" s="243"/>
      <c r="P773" s="244"/>
      <c r="Q773" s="245"/>
      <c r="R773" s="246"/>
      <c r="S773" s="244"/>
      <c r="T773" s="247"/>
      <c r="U773" s="247"/>
      <c r="V773" s="244"/>
      <c r="W773" s="244"/>
      <c r="X773" s="97"/>
    </row>
    <row r="774">
      <c r="A774" s="205"/>
      <c r="B774" s="235"/>
      <c r="C774" s="236"/>
      <c r="D774" s="237"/>
      <c r="E774" s="235"/>
      <c r="F774" s="235"/>
      <c r="G774" s="239"/>
      <c r="H774" s="240"/>
      <c r="J774" s="237"/>
      <c r="K774" s="241"/>
      <c r="L774" s="241"/>
      <c r="M774" s="237"/>
      <c r="N774" s="242"/>
      <c r="O774" s="243"/>
      <c r="P774" s="244"/>
      <c r="Q774" s="245"/>
      <c r="R774" s="246"/>
      <c r="S774" s="244"/>
      <c r="T774" s="247"/>
      <c r="U774" s="247"/>
      <c r="V774" s="244"/>
      <c r="W774" s="244"/>
      <c r="X774" s="97"/>
    </row>
    <row r="775">
      <c r="A775" s="205"/>
      <c r="B775" s="235"/>
      <c r="C775" s="236"/>
      <c r="D775" s="237"/>
      <c r="E775" s="235"/>
      <c r="F775" s="235"/>
      <c r="G775" s="239"/>
      <c r="H775" s="240"/>
      <c r="J775" s="237"/>
      <c r="K775" s="241"/>
      <c r="L775" s="241"/>
      <c r="M775" s="237"/>
      <c r="N775" s="242"/>
      <c r="O775" s="243"/>
      <c r="P775" s="244"/>
      <c r="Q775" s="245"/>
      <c r="R775" s="246"/>
      <c r="S775" s="244"/>
      <c r="T775" s="247"/>
      <c r="U775" s="247"/>
      <c r="V775" s="244"/>
      <c r="W775" s="244"/>
      <c r="X775" s="97"/>
    </row>
    <row r="776">
      <c r="A776" s="205"/>
      <c r="B776" s="235"/>
      <c r="C776" s="236"/>
      <c r="D776" s="237"/>
      <c r="E776" s="235"/>
      <c r="F776" s="235"/>
      <c r="G776" s="239"/>
      <c r="H776" s="240"/>
      <c r="J776" s="237"/>
      <c r="K776" s="241"/>
      <c r="L776" s="241"/>
      <c r="M776" s="237"/>
      <c r="N776" s="242"/>
      <c r="O776" s="243"/>
      <c r="P776" s="244"/>
      <c r="Q776" s="245"/>
      <c r="R776" s="246"/>
      <c r="S776" s="244"/>
      <c r="T776" s="247"/>
      <c r="U776" s="247"/>
      <c r="V776" s="244"/>
      <c r="W776" s="244"/>
      <c r="X776" s="97"/>
    </row>
    <row r="777">
      <c r="A777" s="205"/>
      <c r="B777" s="235"/>
      <c r="C777" s="236"/>
      <c r="D777" s="237"/>
      <c r="E777" s="235"/>
      <c r="F777" s="235"/>
      <c r="G777" s="239"/>
      <c r="H777" s="240"/>
      <c r="J777" s="237"/>
      <c r="K777" s="241"/>
      <c r="L777" s="241"/>
      <c r="M777" s="237"/>
      <c r="N777" s="242"/>
      <c r="O777" s="243"/>
      <c r="P777" s="244"/>
      <c r="Q777" s="245"/>
      <c r="R777" s="246"/>
      <c r="S777" s="244"/>
      <c r="T777" s="247"/>
      <c r="U777" s="247"/>
      <c r="V777" s="244"/>
      <c r="W777" s="244"/>
      <c r="X777" s="97"/>
    </row>
    <row r="778">
      <c r="A778" s="205"/>
      <c r="B778" s="235"/>
      <c r="C778" s="236"/>
      <c r="D778" s="237"/>
      <c r="E778" s="235"/>
      <c r="F778" s="235"/>
      <c r="G778" s="239"/>
      <c r="H778" s="240"/>
      <c r="J778" s="237"/>
      <c r="K778" s="241"/>
      <c r="L778" s="241"/>
      <c r="M778" s="237"/>
      <c r="N778" s="242"/>
      <c r="O778" s="243"/>
      <c r="P778" s="244"/>
      <c r="Q778" s="245"/>
      <c r="R778" s="246"/>
      <c r="S778" s="244"/>
      <c r="T778" s="247"/>
      <c r="U778" s="247"/>
      <c r="V778" s="244"/>
      <c r="W778" s="244"/>
      <c r="X778" s="97"/>
    </row>
    <row r="779">
      <c r="A779" s="205"/>
      <c r="B779" s="235"/>
      <c r="C779" s="236"/>
      <c r="D779" s="237"/>
      <c r="E779" s="235"/>
      <c r="F779" s="235"/>
      <c r="G779" s="239"/>
      <c r="H779" s="240"/>
      <c r="J779" s="237"/>
      <c r="K779" s="241"/>
      <c r="L779" s="241"/>
      <c r="M779" s="237"/>
      <c r="N779" s="242"/>
      <c r="O779" s="243"/>
      <c r="P779" s="244"/>
      <c r="Q779" s="245"/>
      <c r="R779" s="246"/>
      <c r="S779" s="244"/>
      <c r="T779" s="247"/>
      <c r="U779" s="247"/>
      <c r="V779" s="244"/>
      <c r="W779" s="244"/>
      <c r="X779" s="97"/>
    </row>
    <row r="780">
      <c r="A780" s="205"/>
      <c r="B780" s="235"/>
      <c r="C780" s="236"/>
      <c r="D780" s="237"/>
      <c r="E780" s="235"/>
      <c r="F780" s="235"/>
      <c r="G780" s="239"/>
      <c r="H780" s="240"/>
      <c r="J780" s="237"/>
      <c r="K780" s="241"/>
      <c r="L780" s="241"/>
      <c r="M780" s="237"/>
      <c r="N780" s="242"/>
      <c r="O780" s="243"/>
      <c r="P780" s="244"/>
      <c r="Q780" s="245"/>
      <c r="R780" s="246"/>
      <c r="S780" s="244"/>
      <c r="T780" s="247"/>
      <c r="U780" s="247"/>
      <c r="V780" s="244"/>
      <c r="W780" s="244"/>
      <c r="X780" s="97"/>
    </row>
    <row r="781">
      <c r="A781" s="205"/>
      <c r="B781" s="235"/>
      <c r="C781" s="236"/>
      <c r="D781" s="237"/>
      <c r="E781" s="235"/>
      <c r="F781" s="235"/>
      <c r="G781" s="239"/>
      <c r="H781" s="240"/>
      <c r="J781" s="237"/>
      <c r="K781" s="241"/>
      <c r="L781" s="241"/>
      <c r="M781" s="237"/>
      <c r="N781" s="242"/>
      <c r="O781" s="243"/>
      <c r="P781" s="244"/>
      <c r="Q781" s="245"/>
      <c r="R781" s="246"/>
      <c r="S781" s="244"/>
      <c r="T781" s="247"/>
      <c r="U781" s="247"/>
      <c r="V781" s="244"/>
      <c r="W781" s="244"/>
      <c r="X781" s="97"/>
    </row>
    <row r="782">
      <c r="A782" s="205"/>
      <c r="B782" s="235"/>
      <c r="C782" s="236"/>
      <c r="D782" s="237"/>
      <c r="E782" s="235"/>
      <c r="F782" s="235"/>
      <c r="G782" s="239"/>
      <c r="H782" s="240"/>
      <c r="J782" s="237"/>
      <c r="K782" s="241"/>
      <c r="L782" s="241"/>
      <c r="M782" s="237"/>
      <c r="N782" s="242"/>
      <c r="O782" s="243"/>
      <c r="P782" s="244"/>
      <c r="Q782" s="245"/>
      <c r="R782" s="246"/>
      <c r="S782" s="244"/>
      <c r="T782" s="247"/>
      <c r="U782" s="247"/>
      <c r="V782" s="244"/>
      <c r="W782" s="244"/>
      <c r="X782" s="97"/>
    </row>
    <row r="783">
      <c r="A783" s="205"/>
      <c r="B783" s="235"/>
      <c r="C783" s="236"/>
      <c r="D783" s="237"/>
      <c r="E783" s="235"/>
      <c r="F783" s="235"/>
      <c r="G783" s="239"/>
      <c r="H783" s="240"/>
      <c r="J783" s="237"/>
      <c r="K783" s="241"/>
      <c r="L783" s="241"/>
      <c r="M783" s="237"/>
      <c r="N783" s="242"/>
      <c r="O783" s="243"/>
      <c r="P783" s="244"/>
      <c r="Q783" s="245"/>
      <c r="R783" s="246"/>
      <c r="S783" s="244"/>
      <c r="T783" s="247"/>
      <c r="U783" s="247"/>
      <c r="V783" s="244"/>
      <c r="W783" s="244"/>
      <c r="X783" s="97"/>
    </row>
    <row r="784">
      <c r="A784" s="205"/>
      <c r="B784" s="235"/>
      <c r="C784" s="236"/>
      <c r="D784" s="237"/>
      <c r="E784" s="235"/>
      <c r="F784" s="235"/>
      <c r="G784" s="239"/>
      <c r="H784" s="240"/>
      <c r="J784" s="237"/>
      <c r="K784" s="241"/>
      <c r="L784" s="241"/>
      <c r="M784" s="237"/>
      <c r="N784" s="242"/>
      <c r="O784" s="243"/>
      <c r="P784" s="244"/>
      <c r="Q784" s="245"/>
      <c r="R784" s="246"/>
      <c r="S784" s="244"/>
      <c r="T784" s="247"/>
      <c r="U784" s="247"/>
      <c r="V784" s="244"/>
      <c r="W784" s="244"/>
      <c r="X784" s="97"/>
    </row>
    <row r="785">
      <c r="A785" s="205"/>
      <c r="B785" s="235"/>
      <c r="C785" s="236"/>
      <c r="D785" s="237"/>
      <c r="E785" s="235"/>
      <c r="F785" s="235"/>
      <c r="G785" s="239"/>
      <c r="H785" s="240"/>
      <c r="J785" s="237"/>
      <c r="K785" s="241"/>
      <c r="L785" s="241"/>
      <c r="M785" s="237"/>
      <c r="N785" s="242"/>
      <c r="O785" s="243"/>
      <c r="P785" s="244"/>
      <c r="Q785" s="245"/>
      <c r="R785" s="246"/>
      <c r="S785" s="244"/>
      <c r="T785" s="247"/>
      <c r="U785" s="247"/>
      <c r="V785" s="244"/>
      <c r="W785" s="244"/>
      <c r="X785" s="97"/>
    </row>
    <row r="786">
      <c r="A786" s="205"/>
      <c r="B786" s="235"/>
      <c r="C786" s="236"/>
      <c r="D786" s="237"/>
      <c r="E786" s="235"/>
      <c r="F786" s="235"/>
      <c r="G786" s="239"/>
      <c r="H786" s="240"/>
      <c r="J786" s="237"/>
      <c r="K786" s="241"/>
      <c r="L786" s="241"/>
      <c r="M786" s="237"/>
      <c r="N786" s="242"/>
      <c r="O786" s="243"/>
      <c r="P786" s="244"/>
      <c r="Q786" s="245"/>
      <c r="R786" s="246"/>
      <c r="S786" s="244"/>
      <c r="T786" s="247"/>
      <c r="U786" s="247"/>
      <c r="V786" s="244"/>
      <c r="W786" s="244"/>
      <c r="X786" s="97"/>
    </row>
    <row r="787">
      <c r="A787" s="205"/>
      <c r="B787" s="235"/>
      <c r="C787" s="236"/>
      <c r="D787" s="237"/>
      <c r="E787" s="235"/>
      <c r="F787" s="235"/>
      <c r="G787" s="239"/>
      <c r="H787" s="240"/>
      <c r="J787" s="237"/>
      <c r="K787" s="241"/>
      <c r="L787" s="241"/>
      <c r="M787" s="237"/>
      <c r="N787" s="242"/>
      <c r="O787" s="243"/>
      <c r="P787" s="244"/>
      <c r="Q787" s="245"/>
      <c r="R787" s="246"/>
      <c r="S787" s="244"/>
      <c r="T787" s="247"/>
      <c r="U787" s="247"/>
      <c r="V787" s="244"/>
      <c r="W787" s="244"/>
      <c r="X787" s="97"/>
    </row>
    <row r="788">
      <c r="A788" s="205"/>
      <c r="B788" s="235"/>
      <c r="C788" s="236"/>
      <c r="D788" s="237"/>
      <c r="E788" s="235"/>
      <c r="F788" s="235"/>
      <c r="G788" s="239"/>
      <c r="H788" s="240"/>
      <c r="J788" s="237"/>
      <c r="K788" s="241"/>
      <c r="L788" s="241"/>
      <c r="M788" s="237"/>
      <c r="N788" s="242"/>
      <c r="O788" s="243"/>
      <c r="P788" s="244"/>
      <c r="Q788" s="245"/>
      <c r="R788" s="246"/>
      <c r="S788" s="244"/>
      <c r="T788" s="247"/>
      <c r="U788" s="247"/>
      <c r="V788" s="244"/>
      <c r="W788" s="244"/>
      <c r="X788" s="97"/>
    </row>
    <row r="789">
      <c r="A789" s="205"/>
      <c r="B789" s="235"/>
      <c r="C789" s="236"/>
      <c r="D789" s="237"/>
      <c r="E789" s="235"/>
      <c r="F789" s="235"/>
      <c r="G789" s="239"/>
      <c r="H789" s="240"/>
      <c r="J789" s="237"/>
      <c r="K789" s="241"/>
      <c r="L789" s="241"/>
      <c r="M789" s="237"/>
      <c r="N789" s="242"/>
      <c r="O789" s="243"/>
      <c r="P789" s="244"/>
      <c r="Q789" s="245"/>
      <c r="R789" s="246"/>
      <c r="S789" s="244"/>
      <c r="T789" s="247"/>
      <c r="U789" s="247"/>
      <c r="V789" s="244"/>
      <c r="W789" s="244"/>
      <c r="X789" s="97"/>
    </row>
    <row r="790">
      <c r="A790" s="205"/>
      <c r="B790" s="235"/>
      <c r="C790" s="236"/>
      <c r="D790" s="237"/>
      <c r="E790" s="235"/>
      <c r="F790" s="235"/>
      <c r="G790" s="239"/>
      <c r="H790" s="240"/>
      <c r="J790" s="237"/>
      <c r="K790" s="241"/>
      <c r="L790" s="241"/>
      <c r="M790" s="237"/>
      <c r="N790" s="242"/>
      <c r="O790" s="243"/>
      <c r="P790" s="244"/>
      <c r="Q790" s="245"/>
      <c r="R790" s="246"/>
      <c r="S790" s="244"/>
      <c r="T790" s="247"/>
      <c r="U790" s="247"/>
      <c r="V790" s="244"/>
      <c r="W790" s="244"/>
      <c r="X790" s="97"/>
    </row>
    <row r="791">
      <c r="A791" s="205"/>
      <c r="B791" s="235"/>
      <c r="C791" s="236"/>
      <c r="D791" s="237"/>
      <c r="E791" s="235"/>
      <c r="F791" s="235"/>
      <c r="G791" s="239"/>
      <c r="H791" s="240"/>
      <c r="J791" s="237"/>
      <c r="K791" s="241"/>
      <c r="L791" s="241"/>
      <c r="M791" s="237"/>
      <c r="N791" s="242"/>
      <c r="O791" s="243"/>
      <c r="P791" s="244"/>
      <c r="Q791" s="245"/>
      <c r="R791" s="246"/>
      <c r="S791" s="244"/>
      <c r="T791" s="247"/>
      <c r="U791" s="247"/>
      <c r="V791" s="244"/>
      <c r="W791" s="244"/>
      <c r="X791" s="97"/>
    </row>
    <row r="792">
      <c r="A792" s="205"/>
      <c r="B792" s="235"/>
      <c r="C792" s="236"/>
      <c r="D792" s="237"/>
      <c r="E792" s="235"/>
      <c r="F792" s="235"/>
      <c r="G792" s="239"/>
      <c r="H792" s="240"/>
      <c r="J792" s="237"/>
      <c r="K792" s="241"/>
      <c r="L792" s="241"/>
      <c r="M792" s="237"/>
      <c r="N792" s="242"/>
      <c r="O792" s="243"/>
      <c r="P792" s="244"/>
      <c r="Q792" s="245"/>
      <c r="R792" s="246"/>
      <c r="S792" s="244"/>
      <c r="T792" s="247"/>
      <c r="U792" s="247"/>
      <c r="V792" s="244"/>
      <c r="W792" s="244"/>
      <c r="X792" s="97"/>
    </row>
    <row r="793">
      <c r="A793" s="205"/>
      <c r="B793" s="235"/>
      <c r="C793" s="236"/>
      <c r="D793" s="237"/>
      <c r="E793" s="235"/>
      <c r="F793" s="235"/>
      <c r="G793" s="239"/>
      <c r="H793" s="240"/>
      <c r="J793" s="237"/>
      <c r="K793" s="241"/>
      <c r="L793" s="241"/>
      <c r="M793" s="237"/>
      <c r="N793" s="242"/>
      <c r="O793" s="243"/>
      <c r="P793" s="244"/>
      <c r="Q793" s="245"/>
      <c r="R793" s="246"/>
      <c r="S793" s="244"/>
      <c r="T793" s="247"/>
      <c r="U793" s="247"/>
      <c r="V793" s="244"/>
      <c r="W793" s="244"/>
      <c r="X793" s="97"/>
    </row>
    <row r="794">
      <c r="A794" s="205"/>
      <c r="B794" s="235"/>
      <c r="C794" s="236"/>
      <c r="D794" s="237"/>
      <c r="E794" s="235"/>
      <c r="F794" s="235"/>
      <c r="G794" s="239"/>
      <c r="H794" s="240"/>
      <c r="J794" s="237"/>
      <c r="K794" s="241"/>
      <c r="L794" s="241"/>
      <c r="M794" s="237"/>
      <c r="N794" s="242"/>
      <c r="O794" s="243"/>
      <c r="P794" s="244"/>
      <c r="Q794" s="245"/>
      <c r="R794" s="246"/>
      <c r="S794" s="244"/>
      <c r="T794" s="247"/>
      <c r="U794" s="247"/>
      <c r="V794" s="244"/>
      <c r="W794" s="244"/>
      <c r="X794" s="97"/>
    </row>
    <row r="795">
      <c r="A795" s="205"/>
      <c r="B795" s="235"/>
      <c r="C795" s="236"/>
      <c r="D795" s="237"/>
      <c r="E795" s="235"/>
      <c r="F795" s="235"/>
      <c r="G795" s="239"/>
      <c r="H795" s="240"/>
      <c r="J795" s="237"/>
      <c r="K795" s="241"/>
      <c r="L795" s="241"/>
      <c r="M795" s="237"/>
      <c r="N795" s="242"/>
      <c r="O795" s="243"/>
      <c r="P795" s="244"/>
      <c r="Q795" s="245"/>
      <c r="R795" s="246"/>
      <c r="S795" s="244"/>
      <c r="T795" s="247"/>
      <c r="U795" s="247"/>
      <c r="V795" s="244"/>
      <c r="W795" s="244"/>
      <c r="X795" s="97"/>
    </row>
    <row r="796">
      <c r="A796" s="205"/>
      <c r="B796" s="235"/>
      <c r="C796" s="236"/>
      <c r="D796" s="237"/>
      <c r="E796" s="235"/>
      <c r="F796" s="235"/>
      <c r="G796" s="239"/>
      <c r="H796" s="240"/>
      <c r="J796" s="237"/>
      <c r="K796" s="241"/>
      <c r="L796" s="241"/>
      <c r="M796" s="237"/>
      <c r="N796" s="242"/>
      <c r="O796" s="243"/>
      <c r="P796" s="244"/>
      <c r="Q796" s="245"/>
      <c r="R796" s="246"/>
      <c r="S796" s="244"/>
      <c r="T796" s="247"/>
      <c r="U796" s="247"/>
      <c r="V796" s="244"/>
      <c r="W796" s="244"/>
      <c r="X796" s="97"/>
    </row>
    <row r="797">
      <c r="A797" s="205"/>
      <c r="B797" s="235"/>
      <c r="C797" s="236"/>
      <c r="D797" s="237"/>
      <c r="E797" s="235"/>
      <c r="F797" s="235"/>
      <c r="G797" s="239"/>
      <c r="H797" s="240"/>
      <c r="J797" s="237"/>
      <c r="K797" s="241"/>
      <c r="L797" s="241"/>
      <c r="M797" s="237"/>
      <c r="N797" s="242"/>
      <c r="O797" s="243"/>
      <c r="P797" s="244"/>
      <c r="Q797" s="245"/>
      <c r="R797" s="246"/>
      <c r="S797" s="244"/>
      <c r="T797" s="247"/>
      <c r="U797" s="247"/>
      <c r="V797" s="244"/>
      <c r="W797" s="244"/>
      <c r="X797" s="97"/>
    </row>
    <row r="798">
      <c r="A798" s="205"/>
      <c r="B798" s="235"/>
      <c r="C798" s="236"/>
      <c r="D798" s="237"/>
      <c r="E798" s="235"/>
      <c r="F798" s="235"/>
      <c r="G798" s="239"/>
      <c r="H798" s="240"/>
      <c r="J798" s="237"/>
      <c r="K798" s="241"/>
      <c r="L798" s="241"/>
      <c r="M798" s="237"/>
      <c r="N798" s="242"/>
      <c r="O798" s="243"/>
      <c r="P798" s="244"/>
      <c r="Q798" s="245"/>
      <c r="R798" s="246"/>
      <c r="S798" s="244"/>
      <c r="T798" s="247"/>
      <c r="U798" s="247"/>
      <c r="V798" s="244"/>
      <c r="W798" s="244"/>
      <c r="X798" s="97"/>
    </row>
    <row r="799">
      <c r="A799" s="205"/>
      <c r="B799" s="235"/>
      <c r="C799" s="236"/>
      <c r="D799" s="237"/>
      <c r="E799" s="235"/>
      <c r="F799" s="235"/>
      <c r="G799" s="239"/>
      <c r="H799" s="240"/>
      <c r="J799" s="237"/>
      <c r="K799" s="241"/>
      <c r="L799" s="241"/>
      <c r="M799" s="237"/>
      <c r="N799" s="242"/>
      <c r="O799" s="243"/>
      <c r="P799" s="244"/>
      <c r="Q799" s="245"/>
      <c r="R799" s="246"/>
      <c r="S799" s="244"/>
      <c r="T799" s="247"/>
      <c r="U799" s="247"/>
      <c r="V799" s="244"/>
      <c r="W799" s="244"/>
      <c r="X799" s="97"/>
    </row>
    <row r="800">
      <c r="A800" s="205"/>
      <c r="B800" s="235"/>
      <c r="C800" s="236"/>
      <c r="D800" s="237"/>
      <c r="E800" s="235"/>
      <c r="F800" s="235"/>
      <c r="G800" s="239"/>
      <c r="H800" s="240"/>
      <c r="J800" s="237"/>
      <c r="K800" s="241"/>
      <c r="L800" s="241"/>
      <c r="M800" s="237"/>
      <c r="N800" s="242"/>
      <c r="O800" s="243"/>
      <c r="P800" s="244"/>
      <c r="Q800" s="245"/>
      <c r="R800" s="246"/>
      <c r="S800" s="244"/>
      <c r="T800" s="247"/>
      <c r="U800" s="247"/>
      <c r="V800" s="244"/>
      <c r="W800" s="244"/>
      <c r="X800" s="97"/>
    </row>
    <row r="801">
      <c r="A801" s="205"/>
      <c r="B801" s="235"/>
      <c r="C801" s="236"/>
      <c r="D801" s="237"/>
      <c r="E801" s="235"/>
      <c r="F801" s="235"/>
      <c r="G801" s="239"/>
      <c r="H801" s="240"/>
      <c r="J801" s="237"/>
      <c r="K801" s="241"/>
      <c r="L801" s="241"/>
      <c r="M801" s="237"/>
      <c r="N801" s="242"/>
      <c r="O801" s="243"/>
      <c r="P801" s="244"/>
      <c r="Q801" s="245"/>
      <c r="R801" s="246"/>
      <c r="S801" s="244"/>
      <c r="T801" s="247"/>
      <c r="U801" s="247"/>
      <c r="V801" s="244"/>
      <c r="W801" s="244"/>
      <c r="X801" s="97"/>
    </row>
    <row r="802">
      <c r="A802" s="205"/>
      <c r="B802" s="235"/>
      <c r="C802" s="236"/>
      <c r="D802" s="237"/>
      <c r="E802" s="235"/>
      <c r="F802" s="235"/>
      <c r="G802" s="239"/>
      <c r="H802" s="240"/>
      <c r="J802" s="237"/>
      <c r="K802" s="241"/>
      <c r="L802" s="241"/>
      <c r="M802" s="237"/>
      <c r="N802" s="242"/>
      <c r="O802" s="243"/>
      <c r="P802" s="244"/>
      <c r="Q802" s="245"/>
      <c r="R802" s="246"/>
      <c r="S802" s="244"/>
      <c r="T802" s="247"/>
      <c r="U802" s="247"/>
      <c r="V802" s="244"/>
      <c r="W802" s="244"/>
      <c r="X802" s="97"/>
    </row>
    <row r="803">
      <c r="A803" s="205"/>
      <c r="B803" s="235"/>
      <c r="C803" s="236"/>
      <c r="D803" s="237"/>
      <c r="E803" s="235"/>
      <c r="F803" s="235"/>
      <c r="G803" s="239"/>
      <c r="H803" s="240"/>
      <c r="J803" s="237"/>
      <c r="K803" s="241"/>
      <c r="L803" s="241"/>
      <c r="M803" s="237"/>
      <c r="N803" s="242"/>
      <c r="O803" s="243"/>
      <c r="P803" s="244"/>
      <c r="Q803" s="245"/>
      <c r="R803" s="246"/>
      <c r="S803" s="244"/>
      <c r="T803" s="247"/>
      <c r="U803" s="247"/>
      <c r="V803" s="244"/>
      <c r="W803" s="244"/>
      <c r="X803" s="97"/>
    </row>
    <row r="804">
      <c r="A804" s="205"/>
      <c r="B804" s="235"/>
      <c r="C804" s="236"/>
      <c r="D804" s="237"/>
      <c r="E804" s="235"/>
      <c r="F804" s="235"/>
      <c r="G804" s="239"/>
      <c r="H804" s="240"/>
      <c r="J804" s="237"/>
      <c r="K804" s="241"/>
      <c r="L804" s="241"/>
      <c r="M804" s="237"/>
      <c r="N804" s="242"/>
      <c r="O804" s="243"/>
      <c r="P804" s="244"/>
      <c r="Q804" s="245"/>
      <c r="R804" s="246"/>
      <c r="S804" s="244"/>
      <c r="T804" s="247"/>
      <c r="U804" s="247"/>
      <c r="V804" s="244"/>
      <c r="W804" s="244"/>
      <c r="X804" s="97"/>
    </row>
    <row r="805">
      <c r="A805" s="205"/>
      <c r="B805" s="235"/>
      <c r="C805" s="236"/>
      <c r="D805" s="237"/>
      <c r="E805" s="235"/>
      <c r="F805" s="235"/>
      <c r="G805" s="239"/>
      <c r="H805" s="240"/>
      <c r="J805" s="237"/>
      <c r="K805" s="241"/>
      <c r="L805" s="241"/>
      <c r="M805" s="237"/>
      <c r="N805" s="242"/>
      <c r="O805" s="243"/>
      <c r="P805" s="244"/>
      <c r="Q805" s="245"/>
      <c r="R805" s="246"/>
      <c r="S805" s="244"/>
      <c r="T805" s="247"/>
      <c r="U805" s="247"/>
      <c r="V805" s="244"/>
      <c r="W805" s="244"/>
      <c r="X805" s="97"/>
    </row>
    <row r="806">
      <c r="A806" s="205"/>
      <c r="B806" s="235"/>
      <c r="C806" s="236"/>
      <c r="D806" s="237"/>
      <c r="E806" s="235"/>
      <c r="F806" s="235"/>
      <c r="G806" s="239"/>
      <c r="H806" s="240"/>
      <c r="J806" s="237"/>
      <c r="K806" s="241"/>
      <c r="L806" s="241"/>
      <c r="M806" s="237"/>
      <c r="N806" s="242"/>
      <c r="O806" s="243"/>
      <c r="P806" s="244"/>
      <c r="Q806" s="245"/>
      <c r="R806" s="246"/>
      <c r="S806" s="244"/>
      <c r="T806" s="247"/>
      <c r="U806" s="247"/>
      <c r="V806" s="244"/>
      <c r="W806" s="244"/>
      <c r="X806" s="97"/>
    </row>
    <row r="807">
      <c r="A807" s="205"/>
      <c r="B807" s="235"/>
      <c r="C807" s="236"/>
      <c r="D807" s="237"/>
      <c r="E807" s="235"/>
      <c r="F807" s="235"/>
      <c r="G807" s="239"/>
      <c r="H807" s="240"/>
      <c r="J807" s="237"/>
      <c r="K807" s="241"/>
      <c r="L807" s="241"/>
      <c r="M807" s="237"/>
      <c r="N807" s="242"/>
      <c r="O807" s="243"/>
      <c r="P807" s="244"/>
      <c r="Q807" s="245"/>
      <c r="R807" s="246"/>
      <c r="S807" s="244"/>
      <c r="T807" s="247"/>
      <c r="U807" s="247"/>
      <c r="V807" s="244"/>
      <c r="W807" s="244"/>
      <c r="X807" s="97"/>
    </row>
    <row r="808">
      <c r="A808" s="205"/>
      <c r="B808" s="235"/>
      <c r="C808" s="236"/>
      <c r="D808" s="237"/>
      <c r="E808" s="235"/>
      <c r="F808" s="235"/>
      <c r="G808" s="239"/>
      <c r="H808" s="240"/>
      <c r="J808" s="237"/>
      <c r="K808" s="241"/>
      <c r="L808" s="241"/>
      <c r="M808" s="237"/>
      <c r="N808" s="242"/>
      <c r="O808" s="243"/>
      <c r="P808" s="244"/>
      <c r="Q808" s="245"/>
      <c r="R808" s="246"/>
      <c r="S808" s="244"/>
      <c r="T808" s="247"/>
      <c r="U808" s="247"/>
      <c r="V808" s="244"/>
      <c r="W808" s="244"/>
      <c r="X808" s="97"/>
    </row>
    <row r="809">
      <c r="A809" s="205"/>
      <c r="B809" s="235"/>
      <c r="C809" s="236"/>
      <c r="D809" s="237"/>
      <c r="E809" s="235"/>
      <c r="F809" s="235"/>
      <c r="G809" s="239"/>
      <c r="H809" s="240"/>
      <c r="J809" s="237"/>
      <c r="K809" s="241"/>
      <c r="L809" s="241"/>
      <c r="M809" s="237"/>
      <c r="N809" s="242"/>
      <c r="O809" s="243"/>
      <c r="P809" s="244"/>
      <c r="Q809" s="245"/>
      <c r="R809" s="246"/>
      <c r="S809" s="244"/>
      <c r="T809" s="247"/>
      <c r="U809" s="247"/>
      <c r="V809" s="244"/>
      <c r="W809" s="244"/>
      <c r="X809" s="97"/>
    </row>
    <row r="810">
      <c r="A810" s="205"/>
      <c r="B810" s="235"/>
      <c r="C810" s="236"/>
      <c r="D810" s="237"/>
      <c r="E810" s="235"/>
      <c r="F810" s="235"/>
      <c r="G810" s="239"/>
      <c r="H810" s="240"/>
      <c r="J810" s="237"/>
      <c r="K810" s="241"/>
      <c r="L810" s="241"/>
      <c r="M810" s="237"/>
      <c r="N810" s="242"/>
      <c r="O810" s="243"/>
      <c r="P810" s="244"/>
      <c r="Q810" s="245"/>
      <c r="R810" s="246"/>
      <c r="S810" s="244"/>
      <c r="T810" s="247"/>
      <c r="U810" s="247"/>
      <c r="V810" s="244"/>
      <c r="W810" s="244"/>
      <c r="X810" s="97"/>
    </row>
    <row r="811">
      <c r="A811" s="205"/>
      <c r="B811" s="235"/>
      <c r="C811" s="236"/>
      <c r="D811" s="237"/>
      <c r="E811" s="235"/>
      <c r="F811" s="235"/>
      <c r="G811" s="239"/>
      <c r="H811" s="240"/>
      <c r="J811" s="237"/>
      <c r="K811" s="241"/>
      <c r="L811" s="241"/>
      <c r="M811" s="237"/>
      <c r="N811" s="242"/>
      <c r="O811" s="243"/>
      <c r="P811" s="244"/>
      <c r="Q811" s="245"/>
      <c r="R811" s="246"/>
      <c r="S811" s="244"/>
      <c r="T811" s="247"/>
      <c r="U811" s="247"/>
      <c r="V811" s="244"/>
      <c r="W811" s="244"/>
      <c r="X811" s="97"/>
    </row>
    <row r="812">
      <c r="A812" s="205"/>
      <c r="B812" s="235"/>
      <c r="C812" s="236"/>
      <c r="D812" s="237"/>
      <c r="E812" s="235"/>
      <c r="F812" s="235"/>
      <c r="G812" s="239"/>
      <c r="H812" s="240"/>
      <c r="J812" s="237"/>
      <c r="K812" s="241"/>
      <c r="L812" s="241"/>
      <c r="M812" s="237"/>
      <c r="N812" s="242"/>
      <c r="O812" s="243"/>
      <c r="P812" s="244"/>
      <c r="Q812" s="245"/>
      <c r="R812" s="246"/>
      <c r="S812" s="244"/>
      <c r="T812" s="247"/>
      <c r="U812" s="247"/>
      <c r="V812" s="244"/>
      <c r="W812" s="244"/>
      <c r="X812" s="97"/>
    </row>
    <row r="813">
      <c r="A813" s="205"/>
      <c r="B813" s="235"/>
      <c r="C813" s="236"/>
      <c r="D813" s="237"/>
      <c r="E813" s="235"/>
      <c r="F813" s="235"/>
      <c r="G813" s="239"/>
      <c r="H813" s="240"/>
      <c r="J813" s="237"/>
      <c r="K813" s="241"/>
      <c r="L813" s="241"/>
      <c r="M813" s="237"/>
      <c r="N813" s="242"/>
      <c r="O813" s="243"/>
      <c r="P813" s="244"/>
      <c r="Q813" s="245"/>
      <c r="R813" s="246"/>
      <c r="S813" s="244"/>
      <c r="T813" s="247"/>
      <c r="U813" s="247"/>
      <c r="V813" s="244"/>
      <c r="W813" s="244"/>
      <c r="X813" s="97"/>
    </row>
    <row r="814">
      <c r="A814" s="205"/>
      <c r="B814" s="235"/>
      <c r="C814" s="236"/>
      <c r="D814" s="237"/>
      <c r="E814" s="235"/>
      <c r="F814" s="235"/>
      <c r="G814" s="239"/>
      <c r="H814" s="240"/>
      <c r="J814" s="237"/>
      <c r="K814" s="241"/>
      <c r="L814" s="241"/>
      <c r="M814" s="237"/>
      <c r="N814" s="242"/>
      <c r="O814" s="243"/>
      <c r="P814" s="244"/>
      <c r="Q814" s="245"/>
      <c r="R814" s="246"/>
      <c r="S814" s="244"/>
      <c r="T814" s="247"/>
      <c r="U814" s="247"/>
      <c r="V814" s="244"/>
      <c r="W814" s="244"/>
      <c r="X814" s="97"/>
    </row>
    <row r="815">
      <c r="A815" s="205"/>
      <c r="B815" s="235"/>
      <c r="C815" s="236"/>
      <c r="D815" s="237"/>
      <c r="E815" s="235"/>
      <c r="F815" s="235"/>
      <c r="G815" s="239"/>
      <c r="H815" s="240"/>
      <c r="J815" s="237"/>
      <c r="K815" s="241"/>
      <c r="L815" s="241"/>
      <c r="M815" s="237"/>
      <c r="N815" s="242"/>
      <c r="O815" s="243"/>
      <c r="P815" s="244"/>
      <c r="Q815" s="245"/>
      <c r="R815" s="246"/>
      <c r="S815" s="244"/>
      <c r="T815" s="247"/>
      <c r="U815" s="247"/>
      <c r="V815" s="244"/>
      <c r="W815" s="244"/>
      <c r="X815" s="97"/>
    </row>
    <row r="816">
      <c r="A816" s="205"/>
      <c r="B816" s="235"/>
      <c r="C816" s="236"/>
      <c r="D816" s="237"/>
      <c r="E816" s="235"/>
      <c r="F816" s="235"/>
      <c r="G816" s="239"/>
      <c r="H816" s="240"/>
      <c r="J816" s="237"/>
      <c r="K816" s="241"/>
      <c r="L816" s="241"/>
      <c r="M816" s="237"/>
      <c r="N816" s="242"/>
      <c r="O816" s="243"/>
      <c r="P816" s="244"/>
      <c r="Q816" s="245"/>
      <c r="R816" s="246"/>
      <c r="S816" s="244"/>
      <c r="T816" s="247"/>
      <c r="U816" s="247"/>
      <c r="V816" s="244"/>
      <c r="W816" s="244"/>
      <c r="X816" s="97"/>
    </row>
    <row r="817">
      <c r="A817" s="205"/>
      <c r="B817" s="235"/>
      <c r="C817" s="236"/>
      <c r="D817" s="237"/>
      <c r="E817" s="235"/>
      <c r="F817" s="235"/>
      <c r="G817" s="239"/>
      <c r="H817" s="240"/>
      <c r="J817" s="237"/>
      <c r="K817" s="241"/>
      <c r="L817" s="241"/>
      <c r="M817" s="237"/>
      <c r="N817" s="242"/>
      <c r="O817" s="243"/>
      <c r="P817" s="244"/>
      <c r="Q817" s="245"/>
      <c r="R817" s="246"/>
      <c r="S817" s="244"/>
      <c r="T817" s="247"/>
      <c r="U817" s="247"/>
      <c r="V817" s="244"/>
      <c r="W817" s="244"/>
      <c r="X817" s="97"/>
    </row>
    <row r="818">
      <c r="A818" s="205"/>
      <c r="B818" s="235"/>
      <c r="C818" s="236"/>
      <c r="D818" s="237"/>
      <c r="E818" s="235"/>
      <c r="F818" s="235"/>
      <c r="G818" s="239"/>
      <c r="H818" s="240"/>
      <c r="J818" s="237"/>
      <c r="K818" s="241"/>
      <c r="L818" s="241"/>
      <c r="M818" s="237"/>
      <c r="N818" s="242"/>
      <c r="O818" s="243"/>
      <c r="P818" s="244"/>
      <c r="Q818" s="245"/>
      <c r="R818" s="246"/>
      <c r="S818" s="244"/>
      <c r="T818" s="247"/>
      <c r="U818" s="247"/>
      <c r="V818" s="244"/>
      <c r="W818" s="244"/>
      <c r="X818" s="97"/>
    </row>
    <row r="819">
      <c r="A819" s="205"/>
      <c r="B819" s="235"/>
      <c r="C819" s="236"/>
      <c r="D819" s="237"/>
      <c r="E819" s="235"/>
      <c r="F819" s="235"/>
      <c r="G819" s="239"/>
      <c r="H819" s="240"/>
      <c r="J819" s="237"/>
      <c r="K819" s="241"/>
      <c r="L819" s="241"/>
      <c r="M819" s="237"/>
      <c r="N819" s="242"/>
      <c r="O819" s="243"/>
      <c r="P819" s="244"/>
      <c r="Q819" s="245"/>
      <c r="R819" s="246"/>
      <c r="S819" s="244"/>
      <c r="T819" s="247"/>
      <c r="U819" s="247"/>
      <c r="V819" s="244"/>
      <c r="W819" s="244"/>
      <c r="X819" s="97"/>
    </row>
    <row r="820">
      <c r="A820" s="205"/>
      <c r="B820" s="235"/>
      <c r="C820" s="236"/>
      <c r="D820" s="237"/>
      <c r="E820" s="235"/>
      <c r="F820" s="235"/>
      <c r="G820" s="239"/>
      <c r="H820" s="240"/>
      <c r="J820" s="237"/>
      <c r="K820" s="241"/>
      <c r="L820" s="241"/>
      <c r="M820" s="237"/>
      <c r="N820" s="242"/>
      <c r="O820" s="243"/>
      <c r="P820" s="244"/>
      <c r="Q820" s="245"/>
      <c r="R820" s="246"/>
      <c r="S820" s="244"/>
      <c r="T820" s="247"/>
      <c r="U820" s="247"/>
      <c r="V820" s="244"/>
      <c r="W820" s="244"/>
      <c r="X820" s="97"/>
    </row>
    <row r="821">
      <c r="A821" s="205"/>
      <c r="B821" s="235"/>
      <c r="C821" s="236"/>
      <c r="D821" s="237"/>
      <c r="E821" s="235"/>
      <c r="F821" s="235"/>
      <c r="G821" s="239"/>
      <c r="H821" s="240"/>
      <c r="J821" s="237"/>
      <c r="K821" s="241"/>
      <c r="L821" s="241"/>
      <c r="M821" s="237"/>
      <c r="N821" s="242"/>
      <c r="O821" s="243"/>
      <c r="P821" s="244"/>
      <c r="Q821" s="245"/>
      <c r="R821" s="246"/>
      <c r="S821" s="244"/>
      <c r="T821" s="247"/>
      <c r="U821" s="247"/>
      <c r="V821" s="244"/>
      <c r="W821" s="244"/>
      <c r="X821" s="97"/>
    </row>
    <row r="822">
      <c r="A822" s="205"/>
      <c r="B822" s="235"/>
      <c r="C822" s="236"/>
      <c r="D822" s="237"/>
      <c r="E822" s="235"/>
      <c r="F822" s="235"/>
      <c r="G822" s="239"/>
      <c r="H822" s="240"/>
      <c r="J822" s="237"/>
      <c r="K822" s="241"/>
      <c r="L822" s="241"/>
      <c r="M822" s="237"/>
      <c r="N822" s="242"/>
      <c r="O822" s="243"/>
      <c r="P822" s="244"/>
      <c r="Q822" s="245"/>
      <c r="R822" s="246"/>
      <c r="S822" s="244"/>
      <c r="T822" s="247"/>
      <c r="U822" s="247"/>
      <c r="V822" s="244"/>
      <c r="W822" s="244"/>
      <c r="X822" s="97"/>
    </row>
    <row r="823">
      <c r="A823" s="205"/>
      <c r="B823" s="235"/>
      <c r="C823" s="236"/>
      <c r="D823" s="237"/>
      <c r="E823" s="235"/>
      <c r="F823" s="235"/>
      <c r="G823" s="239"/>
      <c r="H823" s="240"/>
      <c r="J823" s="237"/>
      <c r="K823" s="241"/>
      <c r="L823" s="241"/>
      <c r="M823" s="237"/>
      <c r="N823" s="242"/>
      <c r="O823" s="243"/>
      <c r="P823" s="244"/>
      <c r="Q823" s="245"/>
      <c r="R823" s="246"/>
      <c r="S823" s="244"/>
      <c r="T823" s="247"/>
      <c r="U823" s="247"/>
      <c r="V823" s="244"/>
      <c r="W823" s="244"/>
      <c r="X823" s="97"/>
    </row>
    <row r="824">
      <c r="A824" s="205"/>
      <c r="B824" s="235"/>
      <c r="C824" s="236"/>
      <c r="D824" s="237"/>
      <c r="E824" s="235"/>
      <c r="F824" s="235"/>
      <c r="G824" s="239"/>
      <c r="H824" s="240"/>
      <c r="J824" s="237"/>
      <c r="K824" s="241"/>
      <c r="L824" s="241"/>
      <c r="M824" s="237"/>
      <c r="N824" s="242"/>
      <c r="O824" s="243"/>
      <c r="P824" s="244"/>
      <c r="Q824" s="245"/>
      <c r="R824" s="246"/>
      <c r="S824" s="244"/>
      <c r="T824" s="247"/>
      <c r="U824" s="247"/>
      <c r="V824" s="244"/>
      <c r="W824" s="244"/>
      <c r="X824" s="97"/>
    </row>
    <row r="825">
      <c r="A825" s="205"/>
      <c r="B825" s="235"/>
      <c r="C825" s="236"/>
      <c r="D825" s="237"/>
      <c r="E825" s="235"/>
      <c r="F825" s="235"/>
      <c r="G825" s="239"/>
      <c r="H825" s="240"/>
      <c r="J825" s="237"/>
      <c r="K825" s="241"/>
      <c r="L825" s="241"/>
      <c r="M825" s="237"/>
      <c r="N825" s="242"/>
      <c r="O825" s="243"/>
      <c r="P825" s="244"/>
      <c r="Q825" s="245"/>
      <c r="R825" s="246"/>
      <c r="S825" s="244"/>
      <c r="T825" s="247"/>
      <c r="U825" s="247"/>
      <c r="V825" s="244"/>
      <c r="W825" s="244"/>
      <c r="X825" s="97"/>
    </row>
    <row r="826">
      <c r="A826" s="205"/>
      <c r="B826" s="235"/>
      <c r="C826" s="236"/>
      <c r="D826" s="237"/>
      <c r="E826" s="235"/>
      <c r="F826" s="235"/>
      <c r="G826" s="239"/>
      <c r="H826" s="240"/>
      <c r="J826" s="237"/>
      <c r="K826" s="241"/>
      <c r="L826" s="241"/>
      <c r="M826" s="237"/>
      <c r="N826" s="242"/>
      <c r="O826" s="243"/>
      <c r="P826" s="244"/>
      <c r="Q826" s="245"/>
      <c r="R826" s="246"/>
      <c r="S826" s="244"/>
      <c r="T826" s="247"/>
      <c r="U826" s="247"/>
      <c r="V826" s="244"/>
      <c r="W826" s="244"/>
      <c r="X826" s="97"/>
    </row>
    <row r="827">
      <c r="A827" s="205"/>
      <c r="B827" s="235"/>
      <c r="C827" s="236"/>
      <c r="D827" s="237"/>
      <c r="E827" s="235"/>
      <c r="F827" s="235"/>
      <c r="G827" s="239"/>
      <c r="H827" s="240"/>
      <c r="J827" s="237"/>
      <c r="K827" s="241"/>
      <c r="L827" s="241"/>
      <c r="M827" s="237"/>
      <c r="N827" s="242"/>
      <c r="O827" s="243"/>
      <c r="P827" s="244"/>
      <c r="Q827" s="245"/>
      <c r="R827" s="246"/>
      <c r="S827" s="244"/>
      <c r="T827" s="247"/>
      <c r="U827" s="247"/>
      <c r="V827" s="244"/>
      <c r="W827" s="244"/>
      <c r="X827" s="97"/>
    </row>
    <row r="828">
      <c r="A828" s="205"/>
      <c r="B828" s="235"/>
      <c r="C828" s="236"/>
      <c r="D828" s="237"/>
      <c r="E828" s="235"/>
      <c r="F828" s="235"/>
      <c r="G828" s="239"/>
      <c r="H828" s="240"/>
      <c r="J828" s="237"/>
      <c r="K828" s="241"/>
      <c r="L828" s="241"/>
      <c r="M828" s="237"/>
      <c r="N828" s="242"/>
      <c r="O828" s="243"/>
      <c r="P828" s="244"/>
      <c r="Q828" s="245"/>
      <c r="R828" s="246"/>
      <c r="S828" s="244"/>
      <c r="T828" s="247"/>
      <c r="U828" s="247"/>
      <c r="V828" s="244"/>
      <c r="W828" s="244"/>
      <c r="X828" s="97"/>
    </row>
    <row r="829">
      <c r="A829" s="205"/>
      <c r="B829" s="235"/>
      <c r="C829" s="236"/>
      <c r="D829" s="237"/>
      <c r="E829" s="235"/>
      <c r="F829" s="235"/>
      <c r="G829" s="239"/>
      <c r="H829" s="240"/>
      <c r="J829" s="237"/>
      <c r="K829" s="241"/>
      <c r="L829" s="241"/>
      <c r="M829" s="237"/>
      <c r="N829" s="242"/>
      <c r="O829" s="243"/>
      <c r="P829" s="244"/>
      <c r="Q829" s="245"/>
      <c r="R829" s="246"/>
      <c r="S829" s="244"/>
      <c r="T829" s="247"/>
      <c r="U829" s="247"/>
      <c r="V829" s="244"/>
      <c r="W829" s="244"/>
      <c r="X829" s="97"/>
    </row>
    <row r="830">
      <c r="A830" s="205"/>
      <c r="B830" s="235"/>
      <c r="C830" s="236"/>
      <c r="D830" s="237"/>
      <c r="E830" s="235"/>
      <c r="F830" s="235"/>
      <c r="G830" s="239"/>
      <c r="H830" s="240"/>
      <c r="J830" s="237"/>
      <c r="K830" s="241"/>
      <c r="L830" s="241"/>
      <c r="M830" s="237"/>
      <c r="N830" s="242"/>
      <c r="O830" s="243"/>
      <c r="P830" s="244"/>
      <c r="Q830" s="245"/>
      <c r="R830" s="246"/>
      <c r="S830" s="244"/>
      <c r="T830" s="247"/>
      <c r="U830" s="247"/>
      <c r="V830" s="244"/>
      <c r="W830" s="244"/>
      <c r="X830" s="97"/>
    </row>
    <row r="831">
      <c r="A831" s="205"/>
      <c r="B831" s="235"/>
      <c r="C831" s="236"/>
      <c r="D831" s="237"/>
      <c r="E831" s="235"/>
      <c r="F831" s="235"/>
      <c r="G831" s="239"/>
      <c r="H831" s="240"/>
      <c r="J831" s="237"/>
      <c r="K831" s="241"/>
      <c r="L831" s="241"/>
      <c r="M831" s="237"/>
      <c r="N831" s="242"/>
      <c r="O831" s="243"/>
      <c r="P831" s="244"/>
      <c r="Q831" s="245"/>
      <c r="R831" s="246"/>
      <c r="S831" s="244"/>
      <c r="T831" s="247"/>
      <c r="U831" s="247"/>
      <c r="V831" s="244"/>
      <c r="W831" s="244"/>
      <c r="X831" s="97"/>
    </row>
    <row r="832">
      <c r="A832" s="205"/>
      <c r="B832" s="235"/>
      <c r="C832" s="236"/>
      <c r="D832" s="237"/>
      <c r="E832" s="235"/>
      <c r="F832" s="235"/>
      <c r="G832" s="239"/>
      <c r="H832" s="240"/>
      <c r="J832" s="237"/>
      <c r="K832" s="241"/>
      <c r="L832" s="241"/>
      <c r="M832" s="237"/>
      <c r="N832" s="242"/>
      <c r="O832" s="243"/>
      <c r="P832" s="244"/>
      <c r="Q832" s="245"/>
      <c r="R832" s="246"/>
      <c r="S832" s="244"/>
      <c r="T832" s="247"/>
      <c r="U832" s="247"/>
      <c r="V832" s="244"/>
      <c r="W832" s="244"/>
      <c r="X832" s="97"/>
    </row>
    <row r="833">
      <c r="A833" s="205"/>
      <c r="B833" s="235"/>
      <c r="C833" s="236"/>
      <c r="D833" s="237"/>
      <c r="E833" s="235"/>
      <c r="F833" s="235"/>
      <c r="G833" s="239"/>
      <c r="H833" s="240"/>
      <c r="J833" s="237"/>
      <c r="K833" s="241"/>
      <c r="L833" s="241"/>
      <c r="M833" s="237"/>
      <c r="N833" s="242"/>
      <c r="O833" s="243"/>
      <c r="P833" s="244"/>
      <c r="Q833" s="245"/>
      <c r="R833" s="246"/>
      <c r="S833" s="244"/>
      <c r="T833" s="247"/>
      <c r="U833" s="247"/>
      <c r="V833" s="244"/>
      <c r="W833" s="244"/>
      <c r="X833" s="97"/>
    </row>
    <row r="834">
      <c r="A834" s="205"/>
      <c r="B834" s="235"/>
      <c r="C834" s="236"/>
      <c r="D834" s="237"/>
      <c r="E834" s="235"/>
      <c r="F834" s="235"/>
      <c r="G834" s="239"/>
      <c r="H834" s="240"/>
      <c r="J834" s="237"/>
      <c r="K834" s="241"/>
      <c r="L834" s="241"/>
      <c r="M834" s="237"/>
      <c r="N834" s="242"/>
      <c r="O834" s="243"/>
      <c r="P834" s="244"/>
      <c r="Q834" s="245"/>
      <c r="R834" s="246"/>
      <c r="S834" s="244"/>
      <c r="T834" s="247"/>
      <c r="U834" s="247"/>
      <c r="V834" s="244"/>
      <c r="W834" s="244"/>
      <c r="X834" s="97"/>
    </row>
    <row r="835">
      <c r="A835" s="205"/>
      <c r="B835" s="235"/>
      <c r="C835" s="236"/>
      <c r="D835" s="237"/>
      <c r="E835" s="235"/>
      <c r="F835" s="235"/>
      <c r="G835" s="239"/>
      <c r="H835" s="240"/>
      <c r="J835" s="237"/>
      <c r="K835" s="241"/>
      <c r="L835" s="241"/>
      <c r="M835" s="237"/>
      <c r="N835" s="242"/>
      <c r="O835" s="243"/>
      <c r="P835" s="244"/>
      <c r="Q835" s="245"/>
      <c r="R835" s="246"/>
      <c r="S835" s="244"/>
      <c r="T835" s="247"/>
      <c r="U835" s="247"/>
      <c r="V835" s="244"/>
      <c r="W835" s="244"/>
      <c r="X835" s="97"/>
    </row>
    <row r="836">
      <c r="A836" s="205"/>
      <c r="B836" s="235"/>
      <c r="C836" s="236"/>
      <c r="D836" s="237"/>
      <c r="E836" s="235"/>
      <c r="F836" s="235"/>
      <c r="G836" s="239"/>
      <c r="H836" s="240"/>
      <c r="J836" s="237"/>
      <c r="K836" s="241"/>
      <c r="L836" s="241"/>
      <c r="M836" s="237"/>
      <c r="N836" s="242"/>
      <c r="O836" s="243"/>
      <c r="P836" s="244"/>
      <c r="Q836" s="245"/>
      <c r="R836" s="246"/>
      <c r="S836" s="244"/>
      <c r="T836" s="247"/>
      <c r="U836" s="247"/>
      <c r="V836" s="244"/>
      <c r="W836" s="244"/>
      <c r="X836" s="97"/>
    </row>
    <row r="837">
      <c r="A837" s="205"/>
      <c r="B837" s="235"/>
      <c r="C837" s="236"/>
      <c r="D837" s="237"/>
      <c r="E837" s="235"/>
      <c r="F837" s="235"/>
      <c r="G837" s="239"/>
      <c r="H837" s="240"/>
      <c r="J837" s="237"/>
      <c r="K837" s="241"/>
      <c r="L837" s="241"/>
      <c r="M837" s="237"/>
      <c r="N837" s="242"/>
      <c r="O837" s="243"/>
      <c r="P837" s="244"/>
      <c r="Q837" s="245"/>
      <c r="R837" s="246"/>
      <c r="S837" s="244"/>
      <c r="T837" s="247"/>
      <c r="U837" s="247"/>
      <c r="V837" s="244"/>
      <c r="W837" s="244"/>
      <c r="X837" s="97"/>
    </row>
    <row r="838">
      <c r="A838" s="205"/>
      <c r="B838" s="235"/>
      <c r="C838" s="236"/>
      <c r="D838" s="237"/>
      <c r="E838" s="235"/>
      <c r="F838" s="235"/>
      <c r="G838" s="239"/>
      <c r="H838" s="240"/>
      <c r="J838" s="237"/>
      <c r="K838" s="241"/>
      <c r="L838" s="241"/>
      <c r="M838" s="237"/>
      <c r="N838" s="242"/>
      <c r="O838" s="243"/>
      <c r="P838" s="244"/>
      <c r="Q838" s="245"/>
      <c r="R838" s="246"/>
      <c r="S838" s="244"/>
      <c r="T838" s="247"/>
      <c r="U838" s="247"/>
      <c r="V838" s="244"/>
      <c r="W838" s="244"/>
      <c r="X838" s="97"/>
    </row>
    <row r="839">
      <c r="A839" s="205"/>
      <c r="B839" s="235"/>
      <c r="C839" s="236"/>
      <c r="D839" s="237"/>
      <c r="E839" s="235"/>
      <c r="F839" s="235"/>
      <c r="G839" s="239"/>
      <c r="H839" s="240"/>
      <c r="J839" s="237"/>
      <c r="K839" s="241"/>
      <c r="L839" s="241"/>
      <c r="M839" s="237"/>
      <c r="N839" s="242"/>
      <c r="O839" s="243"/>
      <c r="P839" s="244"/>
      <c r="Q839" s="245"/>
      <c r="R839" s="246"/>
      <c r="S839" s="244"/>
      <c r="T839" s="247"/>
      <c r="U839" s="247"/>
      <c r="V839" s="244"/>
      <c r="W839" s="244"/>
      <c r="X839" s="97"/>
    </row>
    <row r="840">
      <c r="A840" s="205"/>
      <c r="B840" s="235"/>
      <c r="C840" s="236"/>
      <c r="D840" s="237"/>
      <c r="E840" s="235"/>
      <c r="F840" s="235"/>
      <c r="G840" s="239"/>
      <c r="H840" s="240"/>
      <c r="J840" s="237"/>
      <c r="K840" s="241"/>
      <c r="L840" s="241"/>
      <c r="M840" s="237"/>
      <c r="N840" s="242"/>
      <c r="O840" s="243"/>
      <c r="P840" s="244"/>
      <c r="Q840" s="245"/>
      <c r="R840" s="246"/>
      <c r="S840" s="244"/>
      <c r="T840" s="247"/>
      <c r="U840" s="247"/>
      <c r="V840" s="244"/>
      <c r="W840" s="244"/>
      <c r="X840" s="97"/>
    </row>
    <row r="841">
      <c r="A841" s="205"/>
      <c r="B841" s="235"/>
      <c r="C841" s="236"/>
      <c r="D841" s="237"/>
      <c r="E841" s="235"/>
      <c r="F841" s="235"/>
      <c r="G841" s="239"/>
      <c r="H841" s="240"/>
      <c r="J841" s="237"/>
      <c r="K841" s="241"/>
      <c r="L841" s="241"/>
      <c r="M841" s="237"/>
      <c r="N841" s="242"/>
      <c r="O841" s="243"/>
      <c r="P841" s="244"/>
      <c r="Q841" s="245"/>
      <c r="R841" s="246"/>
      <c r="S841" s="244"/>
      <c r="T841" s="247"/>
      <c r="U841" s="247"/>
      <c r="V841" s="244"/>
      <c r="W841" s="244"/>
      <c r="X841" s="97"/>
    </row>
    <row r="842">
      <c r="A842" s="205"/>
      <c r="B842" s="235"/>
      <c r="C842" s="236"/>
      <c r="D842" s="237"/>
      <c r="E842" s="235"/>
      <c r="F842" s="235"/>
      <c r="G842" s="239"/>
      <c r="H842" s="240"/>
      <c r="J842" s="237"/>
      <c r="K842" s="241"/>
      <c r="L842" s="241"/>
      <c r="M842" s="237"/>
      <c r="N842" s="242"/>
      <c r="O842" s="243"/>
      <c r="P842" s="244"/>
      <c r="Q842" s="245"/>
      <c r="R842" s="246"/>
      <c r="S842" s="244"/>
      <c r="T842" s="247"/>
      <c r="U842" s="247"/>
      <c r="V842" s="244"/>
      <c r="W842" s="244"/>
      <c r="X842" s="97"/>
    </row>
    <row r="843">
      <c r="A843" s="205"/>
      <c r="B843" s="235"/>
      <c r="C843" s="236"/>
      <c r="D843" s="237"/>
      <c r="E843" s="235"/>
      <c r="F843" s="235"/>
      <c r="G843" s="239"/>
      <c r="H843" s="240"/>
      <c r="J843" s="237"/>
      <c r="K843" s="241"/>
      <c r="L843" s="241"/>
      <c r="M843" s="237"/>
      <c r="N843" s="242"/>
      <c r="O843" s="243"/>
      <c r="P843" s="244"/>
      <c r="Q843" s="245"/>
      <c r="R843" s="246"/>
      <c r="S843" s="244"/>
      <c r="T843" s="247"/>
      <c r="U843" s="247"/>
      <c r="V843" s="244"/>
      <c r="W843" s="244"/>
      <c r="X843" s="97"/>
    </row>
    <row r="844">
      <c r="A844" s="205"/>
      <c r="B844" s="235"/>
      <c r="C844" s="236"/>
      <c r="D844" s="237"/>
      <c r="E844" s="235"/>
      <c r="F844" s="235"/>
      <c r="G844" s="239"/>
      <c r="H844" s="240"/>
      <c r="J844" s="237"/>
      <c r="K844" s="241"/>
      <c r="L844" s="241"/>
      <c r="M844" s="237"/>
      <c r="N844" s="242"/>
      <c r="O844" s="243"/>
      <c r="P844" s="244"/>
      <c r="Q844" s="245"/>
      <c r="R844" s="246"/>
      <c r="S844" s="244"/>
      <c r="T844" s="247"/>
      <c r="U844" s="247"/>
      <c r="V844" s="244"/>
      <c r="W844" s="244"/>
      <c r="X844" s="97"/>
    </row>
    <row r="845">
      <c r="A845" s="205"/>
      <c r="B845" s="235"/>
      <c r="C845" s="236"/>
      <c r="D845" s="237"/>
      <c r="E845" s="235"/>
      <c r="F845" s="235"/>
      <c r="G845" s="239"/>
      <c r="H845" s="240"/>
      <c r="J845" s="237"/>
      <c r="K845" s="241"/>
      <c r="L845" s="241"/>
      <c r="M845" s="237"/>
      <c r="N845" s="242"/>
      <c r="O845" s="243"/>
      <c r="P845" s="244"/>
      <c r="Q845" s="245"/>
      <c r="R845" s="246"/>
      <c r="S845" s="244"/>
      <c r="T845" s="247"/>
      <c r="U845" s="247"/>
      <c r="V845" s="244"/>
      <c r="W845" s="244"/>
      <c r="X845" s="97"/>
    </row>
    <row r="846">
      <c r="A846" s="205"/>
      <c r="B846" s="235"/>
      <c r="C846" s="236"/>
      <c r="D846" s="237"/>
      <c r="E846" s="235"/>
      <c r="F846" s="235"/>
      <c r="G846" s="239"/>
      <c r="H846" s="240"/>
      <c r="J846" s="237"/>
      <c r="K846" s="241"/>
      <c r="L846" s="241"/>
      <c r="M846" s="237"/>
      <c r="N846" s="242"/>
      <c r="O846" s="243"/>
      <c r="P846" s="244"/>
      <c r="Q846" s="245"/>
      <c r="R846" s="246"/>
      <c r="S846" s="244"/>
      <c r="T846" s="247"/>
      <c r="U846" s="247"/>
      <c r="V846" s="244"/>
      <c r="W846" s="244"/>
      <c r="X846" s="97"/>
    </row>
    <row r="847">
      <c r="A847" s="205"/>
      <c r="B847" s="235"/>
      <c r="C847" s="236"/>
      <c r="D847" s="237"/>
      <c r="E847" s="235"/>
      <c r="F847" s="235"/>
      <c r="G847" s="239"/>
      <c r="H847" s="240"/>
      <c r="J847" s="237"/>
      <c r="K847" s="241"/>
      <c r="L847" s="241"/>
      <c r="M847" s="237"/>
      <c r="N847" s="242"/>
      <c r="O847" s="243"/>
      <c r="P847" s="244"/>
      <c r="Q847" s="245"/>
      <c r="R847" s="246"/>
      <c r="S847" s="244"/>
      <c r="T847" s="247"/>
      <c r="U847" s="247"/>
      <c r="V847" s="244"/>
      <c r="W847" s="244"/>
      <c r="X847" s="97"/>
    </row>
    <row r="848">
      <c r="A848" s="205"/>
      <c r="B848" s="235"/>
      <c r="C848" s="236"/>
      <c r="D848" s="237"/>
      <c r="E848" s="235"/>
      <c r="F848" s="235"/>
      <c r="G848" s="239"/>
      <c r="H848" s="240"/>
      <c r="J848" s="237"/>
      <c r="K848" s="241"/>
      <c r="L848" s="241"/>
      <c r="M848" s="237"/>
      <c r="N848" s="242"/>
      <c r="O848" s="243"/>
      <c r="P848" s="244"/>
      <c r="Q848" s="245"/>
      <c r="R848" s="246"/>
      <c r="S848" s="244"/>
      <c r="T848" s="247"/>
      <c r="U848" s="247"/>
      <c r="V848" s="244"/>
      <c r="W848" s="244"/>
      <c r="X848" s="97"/>
    </row>
    <row r="849">
      <c r="A849" s="205"/>
      <c r="B849" s="235"/>
      <c r="C849" s="236"/>
      <c r="D849" s="237"/>
      <c r="E849" s="235"/>
      <c r="F849" s="235"/>
      <c r="G849" s="239"/>
      <c r="H849" s="240"/>
      <c r="J849" s="237"/>
      <c r="K849" s="241"/>
      <c r="L849" s="241"/>
      <c r="M849" s="237"/>
      <c r="N849" s="242"/>
      <c r="O849" s="243"/>
      <c r="P849" s="244"/>
      <c r="Q849" s="245"/>
      <c r="R849" s="246"/>
      <c r="S849" s="244"/>
      <c r="T849" s="247"/>
      <c r="U849" s="247"/>
      <c r="V849" s="244"/>
      <c r="W849" s="244"/>
      <c r="X849" s="97"/>
    </row>
    <row r="850">
      <c r="A850" s="205"/>
      <c r="B850" s="235"/>
      <c r="C850" s="236"/>
      <c r="D850" s="237"/>
      <c r="E850" s="235"/>
      <c r="F850" s="235"/>
      <c r="G850" s="239"/>
      <c r="H850" s="240"/>
      <c r="J850" s="237"/>
      <c r="K850" s="241"/>
      <c r="L850" s="241"/>
      <c r="M850" s="237"/>
      <c r="N850" s="242"/>
      <c r="O850" s="243"/>
      <c r="P850" s="244"/>
      <c r="Q850" s="245"/>
      <c r="R850" s="246"/>
      <c r="S850" s="244"/>
      <c r="T850" s="247"/>
      <c r="U850" s="247"/>
      <c r="V850" s="244"/>
      <c r="W850" s="244"/>
      <c r="X850" s="97"/>
    </row>
    <row r="851">
      <c r="A851" s="205"/>
      <c r="B851" s="235"/>
      <c r="C851" s="236"/>
      <c r="D851" s="237"/>
      <c r="E851" s="235"/>
      <c r="F851" s="235"/>
      <c r="G851" s="239"/>
      <c r="H851" s="240"/>
      <c r="J851" s="237"/>
      <c r="K851" s="241"/>
      <c r="L851" s="241"/>
      <c r="M851" s="237"/>
      <c r="N851" s="242"/>
      <c r="O851" s="243"/>
      <c r="P851" s="244"/>
      <c r="Q851" s="245"/>
      <c r="R851" s="246"/>
      <c r="S851" s="244"/>
      <c r="T851" s="247"/>
      <c r="U851" s="247"/>
      <c r="V851" s="244"/>
      <c r="W851" s="244"/>
      <c r="X851" s="97"/>
    </row>
    <row r="852">
      <c r="A852" s="205"/>
      <c r="B852" s="235"/>
      <c r="C852" s="236"/>
      <c r="D852" s="237"/>
      <c r="E852" s="235"/>
      <c r="F852" s="235"/>
      <c r="G852" s="239"/>
      <c r="H852" s="240"/>
      <c r="J852" s="237"/>
      <c r="K852" s="241"/>
      <c r="L852" s="241"/>
      <c r="M852" s="237"/>
      <c r="N852" s="242"/>
      <c r="O852" s="243"/>
      <c r="P852" s="244"/>
      <c r="Q852" s="245"/>
      <c r="R852" s="246"/>
      <c r="S852" s="244"/>
      <c r="T852" s="247"/>
      <c r="U852" s="247"/>
      <c r="V852" s="244"/>
      <c r="W852" s="244"/>
      <c r="X852" s="97"/>
    </row>
    <row r="853">
      <c r="A853" s="205"/>
      <c r="B853" s="235"/>
      <c r="C853" s="236"/>
      <c r="D853" s="237"/>
      <c r="E853" s="235"/>
      <c r="F853" s="235"/>
      <c r="G853" s="239"/>
      <c r="H853" s="240"/>
      <c r="J853" s="237"/>
      <c r="K853" s="241"/>
      <c r="L853" s="241"/>
      <c r="M853" s="237"/>
      <c r="N853" s="242"/>
      <c r="O853" s="243"/>
      <c r="P853" s="244"/>
      <c r="Q853" s="245"/>
      <c r="R853" s="246"/>
      <c r="S853" s="244"/>
      <c r="T853" s="247"/>
      <c r="U853" s="247"/>
      <c r="V853" s="244"/>
      <c r="W853" s="244"/>
      <c r="X853" s="97"/>
    </row>
    <row r="854">
      <c r="A854" s="205"/>
      <c r="B854" s="235"/>
      <c r="C854" s="236"/>
      <c r="D854" s="237"/>
      <c r="E854" s="235"/>
      <c r="F854" s="235"/>
      <c r="G854" s="239"/>
      <c r="H854" s="240"/>
      <c r="J854" s="237"/>
      <c r="K854" s="241"/>
      <c r="L854" s="241"/>
      <c r="M854" s="237"/>
      <c r="N854" s="242"/>
      <c r="O854" s="243"/>
      <c r="P854" s="244"/>
      <c r="Q854" s="245"/>
      <c r="R854" s="246"/>
      <c r="S854" s="244"/>
      <c r="T854" s="247"/>
      <c r="U854" s="247"/>
      <c r="V854" s="244"/>
      <c r="W854" s="244"/>
      <c r="X854" s="97"/>
    </row>
    <row r="855">
      <c r="A855" s="205"/>
      <c r="B855" s="235"/>
      <c r="C855" s="236"/>
      <c r="D855" s="237"/>
      <c r="E855" s="235"/>
      <c r="F855" s="235"/>
      <c r="G855" s="239"/>
      <c r="H855" s="240"/>
      <c r="J855" s="237"/>
      <c r="K855" s="241"/>
      <c r="L855" s="241"/>
      <c r="M855" s="237"/>
      <c r="N855" s="242"/>
      <c r="O855" s="243"/>
      <c r="P855" s="244"/>
      <c r="Q855" s="245"/>
      <c r="R855" s="246"/>
      <c r="S855" s="244"/>
      <c r="T855" s="247"/>
      <c r="U855" s="247"/>
      <c r="V855" s="244"/>
      <c r="W855" s="244"/>
      <c r="X855" s="97"/>
    </row>
    <row r="856">
      <c r="A856" s="205"/>
      <c r="B856" s="235"/>
      <c r="C856" s="236"/>
      <c r="D856" s="237"/>
      <c r="E856" s="235"/>
      <c r="F856" s="235"/>
      <c r="G856" s="239"/>
      <c r="H856" s="240"/>
      <c r="J856" s="237"/>
      <c r="K856" s="241"/>
      <c r="L856" s="241"/>
      <c r="M856" s="237"/>
      <c r="N856" s="242"/>
      <c r="O856" s="243"/>
      <c r="P856" s="244"/>
      <c r="Q856" s="245"/>
      <c r="R856" s="246"/>
      <c r="S856" s="244"/>
      <c r="T856" s="247"/>
      <c r="U856" s="247"/>
      <c r="V856" s="244"/>
      <c r="W856" s="244"/>
      <c r="X856" s="97"/>
    </row>
    <row r="857">
      <c r="A857" s="205"/>
      <c r="B857" s="235"/>
      <c r="C857" s="236"/>
      <c r="D857" s="237"/>
      <c r="E857" s="235"/>
      <c r="F857" s="235"/>
      <c r="G857" s="239"/>
      <c r="H857" s="240"/>
      <c r="J857" s="237"/>
      <c r="K857" s="241"/>
      <c r="L857" s="241"/>
      <c r="M857" s="237"/>
      <c r="N857" s="242"/>
      <c r="O857" s="243"/>
      <c r="P857" s="244"/>
      <c r="Q857" s="245"/>
      <c r="R857" s="246"/>
      <c r="S857" s="244"/>
      <c r="T857" s="247"/>
      <c r="U857" s="247"/>
      <c r="V857" s="244"/>
      <c r="W857" s="244"/>
      <c r="X857" s="97"/>
    </row>
    <row r="858">
      <c r="A858" s="205"/>
      <c r="B858" s="235"/>
      <c r="C858" s="236"/>
      <c r="D858" s="237"/>
      <c r="E858" s="235"/>
      <c r="F858" s="235"/>
      <c r="G858" s="239"/>
      <c r="H858" s="240"/>
      <c r="J858" s="237"/>
      <c r="K858" s="241"/>
      <c r="L858" s="241"/>
      <c r="M858" s="237"/>
      <c r="N858" s="242"/>
      <c r="O858" s="243"/>
      <c r="P858" s="244"/>
      <c r="Q858" s="245"/>
      <c r="R858" s="246"/>
      <c r="S858" s="244"/>
      <c r="T858" s="247"/>
      <c r="U858" s="247"/>
      <c r="V858" s="244"/>
      <c r="W858" s="244"/>
      <c r="X858" s="97"/>
    </row>
    <row r="859">
      <c r="A859" s="205"/>
      <c r="B859" s="235"/>
      <c r="C859" s="236"/>
      <c r="D859" s="237"/>
      <c r="E859" s="235"/>
      <c r="F859" s="235"/>
      <c r="G859" s="239"/>
      <c r="H859" s="240"/>
      <c r="J859" s="237"/>
      <c r="K859" s="241"/>
      <c r="L859" s="241"/>
      <c r="M859" s="237"/>
      <c r="N859" s="242"/>
      <c r="O859" s="243"/>
      <c r="P859" s="244"/>
      <c r="Q859" s="245"/>
      <c r="R859" s="246"/>
      <c r="S859" s="244"/>
      <c r="T859" s="247"/>
      <c r="U859" s="247"/>
      <c r="V859" s="244"/>
      <c r="W859" s="244"/>
      <c r="X859" s="97"/>
    </row>
    <row r="860">
      <c r="A860" s="205"/>
      <c r="B860" s="235"/>
      <c r="C860" s="236"/>
      <c r="D860" s="237"/>
      <c r="E860" s="235"/>
      <c r="F860" s="235"/>
      <c r="G860" s="239"/>
      <c r="H860" s="240"/>
      <c r="J860" s="237"/>
      <c r="K860" s="241"/>
      <c r="L860" s="241"/>
      <c r="M860" s="237"/>
      <c r="N860" s="242"/>
      <c r="O860" s="243"/>
      <c r="P860" s="244"/>
      <c r="Q860" s="245"/>
      <c r="R860" s="246"/>
      <c r="S860" s="244"/>
      <c r="T860" s="247"/>
      <c r="U860" s="247"/>
      <c r="V860" s="244"/>
      <c r="W860" s="244"/>
      <c r="X860" s="97"/>
    </row>
    <row r="861">
      <c r="A861" s="205"/>
      <c r="B861" s="235"/>
      <c r="C861" s="236"/>
      <c r="D861" s="237"/>
      <c r="E861" s="235"/>
      <c r="F861" s="235"/>
      <c r="G861" s="239"/>
      <c r="H861" s="240"/>
      <c r="J861" s="237"/>
      <c r="K861" s="241"/>
      <c r="L861" s="241"/>
      <c r="M861" s="237"/>
      <c r="N861" s="242"/>
      <c r="O861" s="243"/>
      <c r="P861" s="244"/>
      <c r="Q861" s="245"/>
      <c r="R861" s="246"/>
      <c r="S861" s="244"/>
      <c r="T861" s="247"/>
      <c r="U861" s="247"/>
      <c r="V861" s="244"/>
      <c r="W861" s="244"/>
      <c r="X861" s="97"/>
    </row>
    <row r="862">
      <c r="A862" s="205"/>
      <c r="B862" s="235"/>
      <c r="C862" s="236"/>
      <c r="D862" s="237"/>
      <c r="E862" s="235"/>
      <c r="F862" s="235"/>
      <c r="G862" s="239"/>
      <c r="H862" s="240"/>
      <c r="J862" s="237"/>
      <c r="K862" s="241"/>
      <c r="L862" s="241"/>
      <c r="M862" s="237"/>
      <c r="N862" s="242"/>
      <c r="O862" s="243"/>
      <c r="P862" s="244"/>
      <c r="Q862" s="245"/>
      <c r="R862" s="246"/>
      <c r="S862" s="244"/>
      <c r="T862" s="247"/>
      <c r="U862" s="247"/>
      <c r="V862" s="244"/>
      <c r="W862" s="244"/>
      <c r="X862" s="97"/>
    </row>
    <row r="863">
      <c r="A863" s="205"/>
      <c r="B863" s="235"/>
      <c r="C863" s="236"/>
      <c r="D863" s="237"/>
      <c r="E863" s="235"/>
      <c r="F863" s="235"/>
      <c r="G863" s="239"/>
      <c r="H863" s="240"/>
      <c r="J863" s="237"/>
      <c r="K863" s="241"/>
      <c r="L863" s="241"/>
      <c r="M863" s="237"/>
      <c r="N863" s="242"/>
      <c r="O863" s="243"/>
      <c r="P863" s="244"/>
      <c r="Q863" s="245"/>
      <c r="R863" s="246"/>
      <c r="S863" s="244"/>
      <c r="T863" s="247"/>
      <c r="U863" s="247"/>
      <c r="V863" s="244"/>
      <c r="W863" s="244"/>
      <c r="X863" s="97"/>
    </row>
    <row r="864">
      <c r="A864" s="205"/>
      <c r="B864" s="235"/>
      <c r="C864" s="236"/>
      <c r="D864" s="237"/>
      <c r="E864" s="235"/>
      <c r="F864" s="235"/>
      <c r="G864" s="239"/>
      <c r="H864" s="240"/>
      <c r="J864" s="237"/>
      <c r="K864" s="241"/>
      <c r="L864" s="241"/>
      <c r="M864" s="237"/>
      <c r="N864" s="242"/>
      <c r="O864" s="243"/>
      <c r="P864" s="244"/>
      <c r="Q864" s="245"/>
      <c r="R864" s="246"/>
      <c r="S864" s="244"/>
      <c r="T864" s="247"/>
      <c r="U864" s="247"/>
      <c r="V864" s="244"/>
      <c r="W864" s="244"/>
      <c r="X864" s="97"/>
    </row>
    <row r="865">
      <c r="A865" s="205"/>
      <c r="B865" s="235"/>
      <c r="C865" s="236"/>
      <c r="D865" s="237"/>
      <c r="E865" s="235"/>
      <c r="F865" s="235"/>
      <c r="G865" s="239"/>
      <c r="H865" s="240"/>
      <c r="J865" s="237"/>
      <c r="K865" s="241"/>
      <c r="L865" s="241"/>
      <c r="M865" s="237"/>
      <c r="N865" s="242"/>
      <c r="O865" s="243"/>
      <c r="P865" s="244"/>
      <c r="Q865" s="245"/>
      <c r="R865" s="246"/>
      <c r="S865" s="244"/>
      <c r="T865" s="247"/>
      <c r="U865" s="247"/>
      <c r="V865" s="244"/>
      <c r="W865" s="244"/>
      <c r="X865" s="97"/>
    </row>
    <row r="866">
      <c r="A866" s="205"/>
      <c r="B866" s="235"/>
      <c r="C866" s="236"/>
      <c r="D866" s="237"/>
      <c r="E866" s="235"/>
      <c r="F866" s="235"/>
      <c r="G866" s="239"/>
      <c r="H866" s="240"/>
      <c r="J866" s="237"/>
      <c r="K866" s="241"/>
      <c r="L866" s="241"/>
      <c r="M866" s="237"/>
      <c r="N866" s="242"/>
      <c r="O866" s="243"/>
      <c r="P866" s="244"/>
      <c r="Q866" s="245"/>
      <c r="R866" s="246"/>
      <c r="S866" s="244"/>
      <c r="T866" s="247"/>
      <c r="U866" s="247"/>
      <c r="V866" s="244"/>
      <c r="W866" s="244"/>
      <c r="X866" s="97"/>
    </row>
    <row r="867">
      <c r="A867" s="205"/>
      <c r="B867" s="235"/>
      <c r="C867" s="236"/>
      <c r="D867" s="237"/>
      <c r="E867" s="235"/>
      <c r="F867" s="235"/>
      <c r="G867" s="239"/>
      <c r="H867" s="240"/>
      <c r="J867" s="237"/>
      <c r="K867" s="241"/>
      <c r="L867" s="241"/>
      <c r="M867" s="237"/>
      <c r="N867" s="242"/>
      <c r="O867" s="243"/>
      <c r="P867" s="244"/>
      <c r="Q867" s="245"/>
      <c r="R867" s="246"/>
      <c r="S867" s="244"/>
      <c r="T867" s="247"/>
      <c r="U867" s="247"/>
      <c r="V867" s="244"/>
      <c r="W867" s="244"/>
      <c r="X867" s="97"/>
    </row>
    <row r="868">
      <c r="A868" s="205"/>
      <c r="B868" s="235"/>
      <c r="C868" s="236"/>
      <c r="D868" s="237"/>
      <c r="E868" s="235"/>
      <c r="F868" s="235"/>
      <c r="G868" s="239"/>
      <c r="H868" s="240"/>
      <c r="J868" s="237"/>
      <c r="K868" s="241"/>
      <c r="L868" s="241"/>
      <c r="M868" s="237"/>
      <c r="N868" s="242"/>
      <c r="O868" s="243"/>
      <c r="P868" s="244"/>
      <c r="Q868" s="245"/>
      <c r="R868" s="246"/>
      <c r="S868" s="244"/>
      <c r="T868" s="247"/>
      <c r="U868" s="247"/>
      <c r="V868" s="244"/>
      <c r="W868" s="244"/>
      <c r="X868" s="97"/>
    </row>
    <row r="869">
      <c r="A869" s="205"/>
      <c r="B869" s="235"/>
      <c r="C869" s="236"/>
      <c r="D869" s="237"/>
      <c r="E869" s="235"/>
      <c r="F869" s="235"/>
      <c r="G869" s="239"/>
      <c r="H869" s="240"/>
      <c r="J869" s="237"/>
      <c r="K869" s="241"/>
      <c r="L869" s="241"/>
      <c r="M869" s="237"/>
      <c r="N869" s="242"/>
      <c r="O869" s="243"/>
      <c r="P869" s="244"/>
      <c r="Q869" s="245"/>
      <c r="R869" s="246"/>
      <c r="S869" s="244"/>
      <c r="T869" s="247"/>
      <c r="U869" s="247"/>
      <c r="V869" s="244"/>
      <c r="W869" s="244"/>
      <c r="X869" s="97"/>
    </row>
    <row r="870">
      <c r="A870" s="205"/>
      <c r="B870" s="235"/>
      <c r="C870" s="236"/>
      <c r="D870" s="237"/>
      <c r="E870" s="235"/>
      <c r="F870" s="235"/>
      <c r="G870" s="239"/>
      <c r="H870" s="240"/>
      <c r="J870" s="237"/>
      <c r="K870" s="241"/>
      <c r="L870" s="241"/>
      <c r="M870" s="237"/>
      <c r="N870" s="242"/>
      <c r="O870" s="243"/>
      <c r="P870" s="244"/>
      <c r="Q870" s="245"/>
      <c r="R870" s="246"/>
      <c r="S870" s="244"/>
      <c r="T870" s="247"/>
      <c r="U870" s="247"/>
      <c r="V870" s="244"/>
      <c r="W870" s="244"/>
      <c r="X870" s="97"/>
    </row>
    <row r="871">
      <c r="A871" s="205"/>
      <c r="B871" s="235"/>
      <c r="C871" s="236"/>
      <c r="D871" s="237"/>
      <c r="E871" s="235"/>
      <c r="F871" s="235"/>
      <c r="G871" s="239"/>
      <c r="H871" s="240"/>
      <c r="J871" s="237"/>
      <c r="K871" s="241"/>
      <c r="L871" s="241"/>
      <c r="M871" s="237"/>
      <c r="N871" s="242"/>
      <c r="O871" s="243"/>
      <c r="P871" s="244"/>
      <c r="Q871" s="245"/>
      <c r="R871" s="246"/>
      <c r="S871" s="244"/>
      <c r="T871" s="247"/>
      <c r="U871" s="247"/>
      <c r="V871" s="244"/>
      <c r="W871" s="244"/>
      <c r="X871" s="97"/>
    </row>
    <row r="872">
      <c r="A872" s="205"/>
      <c r="B872" s="235"/>
      <c r="C872" s="236"/>
      <c r="D872" s="237"/>
      <c r="E872" s="235"/>
      <c r="F872" s="235"/>
      <c r="G872" s="239"/>
      <c r="H872" s="240"/>
      <c r="J872" s="237"/>
      <c r="K872" s="241"/>
      <c r="L872" s="241"/>
      <c r="M872" s="237"/>
      <c r="N872" s="242"/>
      <c r="O872" s="243"/>
      <c r="P872" s="244"/>
      <c r="Q872" s="245"/>
      <c r="R872" s="246"/>
      <c r="S872" s="244"/>
      <c r="T872" s="247"/>
      <c r="U872" s="247"/>
      <c r="V872" s="244"/>
      <c r="W872" s="244"/>
      <c r="X872" s="97"/>
    </row>
    <row r="873">
      <c r="A873" s="205"/>
      <c r="B873" s="235"/>
      <c r="C873" s="236"/>
      <c r="D873" s="237"/>
      <c r="E873" s="235"/>
      <c r="F873" s="235"/>
      <c r="G873" s="239"/>
      <c r="H873" s="240"/>
      <c r="J873" s="237"/>
      <c r="K873" s="241"/>
      <c r="L873" s="241"/>
      <c r="M873" s="237"/>
      <c r="N873" s="242"/>
      <c r="O873" s="243"/>
      <c r="P873" s="244"/>
      <c r="Q873" s="245"/>
      <c r="R873" s="246"/>
      <c r="S873" s="244"/>
      <c r="T873" s="247"/>
      <c r="U873" s="247"/>
      <c r="V873" s="244"/>
      <c r="W873" s="244"/>
      <c r="X873" s="97"/>
    </row>
    <row r="874">
      <c r="A874" s="205"/>
      <c r="B874" s="235"/>
      <c r="C874" s="236"/>
      <c r="D874" s="237"/>
      <c r="E874" s="235"/>
      <c r="F874" s="235"/>
      <c r="G874" s="239"/>
      <c r="H874" s="240"/>
      <c r="J874" s="237"/>
      <c r="K874" s="241"/>
      <c r="L874" s="241"/>
      <c r="M874" s="237"/>
      <c r="N874" s="242"/>
      <c r="O874" s="243"/>
      <c r="P874" s="244"/>
      <c r="Q874" s="245"/>
      <c r="R874" s="246"/>
      <c r="S874" s="244"/>
      <c r="T874" s="247"/>
      <c r="U874" s="247"/>
      <c r="V874" s="244"/>
      <c r="W874" s="244"/>
      <c r="X874" s="97"/>
    </row>
    <row r="875">
      <c r="A875" s="205"/>
      <c r="B875" s="235"/>
      <c r="C875" s="236"/>
      <c r="D875" s="237"/>
      <c r="E875" s="235"/>
      <c r="F875" s="235"/>
      <c r="G875" s="239"/>
      <c r="H875" s="240"/>
      <c r="J875" s="237"/>
      <c r="K875" s="241"/>
      <c r="L875" s="241"/>
      <c r="M875" s="237"/>
      <c r="N875" s="242"/>
      <c r="O875" s="243"/>
      <c r="P875" s="244"/>
      <c r="Q875" s="245"/>
      <c r="R875" s="246"/>
      <c r="S875" s="244"/>
      <c r="T875" s="247"/>
      <c r="U875" s="247"/>
      <c r="V875" s="244"/>
      <c r="W875" s="244"/>
      <c r="X875" s="97"/>
    </row>
    <row r="876">
      <c r="A876" s="205"/>
      <c r="B876" s="235"/>
      <c r="C876" s="236"/>
      <c r="D876" s="237"/>
      <c r="E876" s="235"/>
      <c r="F876" s="235"/>
      <c r="G876" s="239"/>
      <c r="H876" s="240"/>
      <c r="J876" s="237"/>
      <c r="K876" s="241"/>
      <c r="L876" s="241"/>
      <c r="M876" s="237"/>
      <c r="N876" s="242"/>
      <c r="O876" s="243"/>
      <c r="P876" s="244"/>
      <c r="Q876" s="245"/>
      <c r="R876" s="246"/>
      <c r="S876" s="244"/>
      <c r="T876" s="247"/>
      <c r="U876" s="247"/>
      <c r="V876" s="244"/>
      <c r="W876" s="244"/>
      <c r="X876" s="97"/>
    </row>
    <row r="877">
      <c r="A877" s="205"/>
      <c r="B877" s="235"/>
      <c r="C877" s="236"/>
      <c r="D877" s="237"/>
      <c r="E877" s="235"/>
      <c r="F877" s="235"/>
      <c r="G877" s="239"/>
      <c r="H877" s="240"/>
      <c r="J877" s="237"/>
      <c r="K877" s="241"/>
      <c r="L877" s="241"/>
      <c r="M877" s="237"/>
      <c r="N877" s="242"/>
      <c r="O877" s="243"/>
      <c r="P877" s="244"/>
      <c r="Q877" s="245"/>
      <c r="R877" s="246"/>
      <c r="S877" s="244"/>
      <c r="T877" s="247"/>
      <c r="U877" s="247"/>
      <c r="V877" s="244"/>
      <c r="W877" s="244"/>
      <c r="X877" s="97"/>
    </row>
    <row r="878">
      <c r="A878" s="205"/>
      <c r="B878" s="235"/>
      <c r="C878" s="236"/>
      <c r="D878" s="237"/>
      <c r="E878" s="235"/>
      <c r="F878" s="235"/>
      <c r="G878" s="239"/>
      <c r="H878" s="240"/>
      <c r="J878" s="237"/>
      <c r="K878" s="241"/>
      <c r="L878" s="241"/>
      <c r="M878" s="237"/>
      <c r="N878" s="242"/>
      <c r="O878" s="243"/>
      <c r="P878" s="244"/>
      <c r="Q878" s="245"/>
      <c r="R878" s="246"/>
      <c r="S878" s="244"/>
      <c r="T878" s="247"/>
      <c r="U878" s="247"/>
      <c r="V878" s="244"/>
      <c r="W878" s="244"/>
      <c r="X878" s="97"/>
    </row>
    <row r="879">
      <c r="A879" s="205"/>
      <c r="B879" s="235"/>
      <c r="C879" s="236"/>
      <c r="D879" s="237"/>
      <c r="E879" s="235"/>
      <c r="F879" s="235"/>
      <c r="G879" s="239"/>
      <c r="H879" s="240"/>
      <c r="J879" s="237"/>
      <c r="K879" s="241"/>
      <c r="L879" s="241"/>
      <c r="M879" s="237"/>
      <c r="N879" s="242"/>
      <c r="O879" s="243"/>
      <c r="P879" s="244"/>
      <c r="Q879" s="245"/>
      <c r="R879" s="246"/>
      <c r="S879" s="244"/>
      <c r="T879" s="247"/>
      <c r="U879" s="247"/>
      <c r="V879" s="244"/>
      <c r="W879" s="244"/>
      <c r="X879" s="97"/>
    </row>
    <row r="880">
      <c r="A880" s="205"/>
      <c r="B880" s="235"/>
      <c r="C880" s="236"/>
      <c r="D880" s="237"/>
      <c r="E880" s="235"/>
      <c r="F880" s="235"/>
      <c r="G880" s="239"/>
      <c r="H880" s="240"/>
      <c r="J880" s="237"/>
      <c r="K880" s="241"/>
      <c r="L880" s="241"/>
      <c r="M880" s="237"/>
      <c r="N880" s="242"/>
      <c r="O880" s="243"/>
      <c r="P880" s="244"/>
      <c r="Q880" s="245"/>
      <c r="R880" s="246"/>
      <c r="S880" s="244"/>
      <c r="T880" s="247"/>
      <c r="U880" s="247"/>
      <c r="V880" s="244"/>
      <c r="W880" s="244"/>
      <c r="X880" s="97"/>
    </row>
    <row r="881">
      <c r="A881" s="205"/>
      <c r="B881" s="235"/>
      <c r="C881" s="236"/>
      <c r="D881" s="237"/>
      <c r="E881" s="235"/>
      <c r="F881" s="235"/>
      <c r="G881" s="239"/>
      <c r="H881" s="240"/>
      <c r="J881" s="237"/>
      <c r="K881" s="241"/>
      <c r="L881" s="241"/>
      <c r="M881" s="237"/>
      <c r="N881" s="242"/>
      <c r="O881" s="243"/>
      <c r="P881" s="244"/>
      <c r="Q881" s="245"/>
      <c r="R881" s="246"/>
      <c r="S881" s="244"/>
      <c r="T881" s="247"/>
      <c r="U881" s="247"/>
      <c r="V881" s="244"/>
      <c r="W881" s="244"/>
      <c r="X881" s="97"/>
    </row>
    <row r="882">
      <c r="A882" s="205"/>
      <c r="B882" s="235"/>
      <c r="C882" s="236"/>
      <c r="D882" s="237"/>
      <c r="E882" s="235"/>
      <c r="F882" s="235"/>
      <c r="G882" s="239"/>
      <c r="H882" s="240"/>
      <c r="J882" s="237"/>
      <c r="K882" s="241"/>
      <c r="L882" s="241"/>
      <c r="M882" s="237"/>
      <c r="N882" s="242"/>
      <c r="O882" s="243"/>
      <c r="P882" s="244"/>
      <c r="Q882" s="245"/>
      <c r="R882" s="246"/>
      <c r="S882" s="244"/>
      <c r="T882" s="247"/>
      <c r="U882" s="247"/>
      <c r="V882" s="244"/>
      <c r="W882" s="244"/>
      <c r="X882" s="97"/>
    </row>
    <row r="883">
      <c r="A883" s="205"/>
      <c r="B883" s="235"/>
      <c r="C883" s="236"/>
      <c r="D883" s="237"/>
      <c r="E883" s="235"/>
      <c r="F883" s="235"/>
      <c r="G883" s="239"/>
      <c r="H883" s="240"/>
      <c r="J883" s="237"/>
      <c r="K883" s="241"/>
      <c r="L883" s="241"/>
      <c r="M883" s="237"/>
      <c r="N883" s="242"/>
      <c r="O883" s="243"/>
      <c r="P883" s="244"/>
      <c r="Q883" s="245"/>
      <c r="R883" s="246"/>
      <c r="S883" s="244"/>
      <c r="T883" s="247"/>
      <c r="U883" s="247"/>
      <c r="V883" s="244"/>
      <c r="W883" s="244"/>
      <c r="X883" s="97"/>
    </row>
    <row r="884">
      <c r="A884" s="205"/>
      <c r="B884" s="235"/>
      <c r="C884" s="236"/>
      <c r="D884" s="237"/>
      <c r="E884" s="235"/>
      <c r="F884" s="235"/>
      <c r="G884" s="239"/>
      <c r="H884" s="240"/>
      <c r="J884" s="237"/>
      <c r="K884" s="241"/>
      <c r="L884" s="241"/>
      <c r="M884" s="237"/>
      <c r="N884" s="242"/>
      <c r="O884" s="243"/>
      <c r="P884" s="244"/>
      <c r="Q884" s="245"/>
      <c r="R884" s="246"/>
      <c r="S884" s="244"/>
      <c r="T884" s="247"/>
      <c r="U884" s="247"/>
      <c r="V884" s="244"/>
      <c r="W884" s="244"/>
      <c r="X884" s="97"/>
    </row>
    <row r="885">
      <c r="A885" s="205"/>
      <c r="B885" s="235"/>
      <c r="C885" s="236"/>
      <c r="D885" s="237"/>
      <c r="E885" s="235"/>
      <c r="F885" s="235"/>
      <c r="G885" s="239"/>
      <c r="H885" s="240"/>
      <c r="J885" s="237"/>
      <c r="K885" s="241"/>
      <c r="L885" s="241"/>
      <c r="M885" s="237"/>
      <c r="N885" s="242"/>
      <c r="O885" s="243"/>
      <c r="P885" s="244"/>
      <c r="Q885" s="245"/>
      <c r="R885" s="246"/>
      <c r="S885" s="244"/>
      <c r="T885" s="247"/>
      <c r="U885" s="247"/>
      <c r="V885" s="244"/>
      <c r="W885" s="244"/>
      <c r="X885" s="97"/>
    </row>
    <row r="886">
      <c r="A886" s="205"/>
      <c r="B886" s="235"/>
      <c r="C886" s="236"/>
      <c r="D886" s="237"/>
      <c r="E886" s="235"/>
      <c r="F886" s="235"/>
      <c r="G886" s="239"/>
      <c r="H886" s="240"/>
      <c r="J886" s="237"/>
      <c r="K886" s="241"/>
      <c r="L886" s="241"/>
      <c r="M886" s="237"/>
      <c r="N886" s="242"/>
      <c r="O886" s="243"/>
      <c r="P886" s="244"/>
      <c r="Q886" s="245"/>
      <c r="R886" s="246"/>
      <c r="S886" s="244"/>
      <c r="T886" s="247"/>
      <c r="U886" s="247"/>
      <c r="V886" s="244"/>
      <c r="W886" s="244"/>
      <c r="X886" s="97"/>
    </row>
    <row r="887">
      <c r="A887" s="205"/>
      <c r="B887" s="235"/>
      <c r="C887" s="236"/>
      <c r="D887" s="237"/>
      <c r="E887" s="235"/>
      <c r="F887" s="235"/>
      <c r="G887" s="239"/>
      <c r="H887" s="240"/>
      <c r="J887" s="237"/>
      <c r="K887" s="241"/>
      <c r="L887" s="241"/>
      <c r="M887" s="237"/>
      <c r="N887" s="242"/>
      <c r="O887" s="243"/>
      <c r="P887" s="244"/>
      <c r="Q887" s="245"/>
      <c r="R887" s="246"/>
      <c r="S887" s="244"/>
      <c r="T887" s="247"/>
      <c r="U887" s="247"/>
      <c r="V887" s="244"/>
      <c r="W887" s="244"/>
      <c r="X887" s="97"/>
    </row>
    <row r="888">
      <c r="A888" s="205"/>
      <c r="B888" s="235"/>
      <c r="C888" s="236"/>
      <c r="D888" s="237"/>
      <c r="E888" s="235"/>
      <c r="F888" s="235"/>
      <c r="G888" s="239"/>
      <c r="H888" s="240"/>
      <c r="J888" s="237"/>
      <c r="K888" s="241"/>
      <c r="L888" s="241"/>
      <c r="M888" s="237"/>
      <c r="N888" s="242"/>
      <c r="O888" s="243"/>
      <c r="P888" s="244"/>
      <c r="Q888" s="245"/>
      <c r="R888" s="246"/>
      <c r="S888" s="244"/>
      <c r="T888" s="247"/>
      <c r="U888" s="247"/>
      <c r="V888" s="244"/>
      <c r="W888" s="244"/>
      <c r="X888" s="97"/>
    </row>
    <row r="889">
      <c r="A889" s="205"/>
      <c r="B889" s="235"/>
      <c r="C889" s="236"/>
      <c r="D889" s="237"/>
      <c r="E889" s="235"/>
      <c r="F889" s="235"/>
      <c r="G889" s="239"/>
      <c r="H889" s="240"/>
      <c r="J889" s="237"/>
      <c r="K889" s="241"/>
      <c r="L889" s="241"/>
      <c r="M889" s="237"/>
      <c r="N889" s="242"/>
      <c r="O889" s="243"/>
      <c r="P889" s="244"/>
      <c r="Q889" s="245"/>
      <c r="R889" s="246"/>
      <c r="S889" s="244"/>
      <c r="T889" s="247"/>
      <c r="U889" s="247"/>
      <c r="V889" s="244"/>
      <c r="W889" s="244"/>
      <c r="X889" s="97"/>
    </row>
    <row r="890">
      <c r="A890" s="205"/>
      <c r="B890" s="235"/>
      <c r="C890" s="236"/>
      <c r="D890" s="237"/>
      <c r="E890" s="235"/>
      <c r="F890" s="235"/>
      <c r="G890" s="239"/>
      <c r="H890" s="240"/>
      <c r="J890" s="237"/>
      <c r="K890" s="241"/>
      <c r="L890" s="241"/>
      <c r="M890" s="237"/>
      <c r="N890" s="242"/>
      <c r="O890" s="243"/>
      <c r="P890" s="244"/>
      <c r="Q890" s="245"/>
      <c r="R890" s="246"/>
      <c r="S890" s="244"/>
      <c r="T890" s="247"/>
      <c r="U890" s="247"/>
      <c r="V890" s="244"/>
      <c r="W890" s="244"/>
      <c r="X890" s="97"/>
    </row>
    <row r="891">
      <c r="A891" s="205"/>
      <c r="B891" s="235"/>
      <c r="C891" s="236"/>
      <c r="D891" s="237"/>
      <c r="E891" s="235"/>
      <c r="F891" s="235"/>
      <c r="G891" s="239"/>
      <c r="H891" s="240"/>
      <c r="J891" s="237"/>
      <c r="K891" s="241"/>
      <c r="L891" s="241"/>
      <c r="M891" s="237"/>
      <c r="N891" s="242"/>
      <c r="O891" s="243"/>
      <c r="P891" s="244"/>
      <c r="Q891" s="245"/>
      <c r="R891" s="246"/>
      <c r="S891" s="244"/>
      <c r="T891" s="247"/>
      <c r="U891" s="247"/>
      <c r="V891" s="244"/>
      <c r="W891" s="244"/>
      <c r="X891" s="97"/>
    </row>
    <row r="892">
      <c r="A892" s="205"/>
      <c r="B892" s="235"/>
      <c r="C892" s="236"/>
      <c r="D892" s="237"/>
      <c r="E892" s="235"/>
      <c r="F892" s="235"/>
      <c r="G892" s="239"/>
      <c r="H892" s="240"/>
      <c r="J892" s="237"/>
      <c r="K892" s="241"/>
      <c r="L892" s="241"/>
      <c r="M892" s="237"/>
      <c r="N892" s="242"/>
      <c r="O892" s="243"/>
      <c r="P892" s="244"/>
      <c r="Q892" s="245"/>
      <c r="R892" s="246"/>
      <c r="S892" s="244"/>
      <c r="T892" s="247"/>
      <c r="U892" s="247"/>
      <c r="V892" s="244"/>
      <c r="W892" s="244"/>
      <c r="X892" s="97"/>
    </row>
    <row r="893">
      <c r="A893" s="205"/>
      <c r="B893" s="235"/>
      <c r="C893" s="236"/>
      <c r="D893" s="237"/>
      <c r="E893" s="235"/>
      <c r="F893" s="235"/>
      <c r="G893" s="239"/>
      <c r="H893" s="240"/>
      <c r="J893" s="237"/>
      <c r="K893" s="241"/>
      <c r="L893" s="241"/>
      <c r="M893" s="237"/>
      <c r="N893" s="242"/>
      <c r="O893" s="243"/>
      <c r="P893" s="244"/>
      <c r="Q893" s="245"/>
      <c r="R893" s="246"/>
      <c r="S893" s="244"/>
      <c r="T893" s="247"/>
      <c r="U893" s="247"/>
      <c r="V893" s="244"/>
      <c r="W893" s="244"/>
      <c r="X893" s="97"/>
    </row>
    <row r="894">
      <c r="A894" s="205"/>
      <c r="B894" s="235"/>
      <c r="C894" s="236"/>
      <c r="D894" s="237"/>
      <c r="E894" s="235"/>
      <c r="F894" s="235"/>
      <c r="G894" s="239"/>
      <c r="H894" s="240"/>
      <c r="J894" s="237"/>
      <c r="K894" s="241"/>
      <c r="L894" s="241"/>
      <c r="M894" s="237"/>
      <c r="N894" s="242"/>
      <c r="O894" s="243"/>
      <c r="P894" s="244"/>
      <c r="Q894" s="245"/>
      <c r="R894" s="246"/>
      <c r="S894" s="244"/>
      <c r="T894" s="247"/>
      <c r="U894" s="247"/>
      <c r="V894" s="244"/>
      <c r="W894" s="244"/>
      <c r="X894" s="97"/>
    </row>
    <row r="895">
      <c r="A895" s="205"/>
      <c r="B895" s="235"/>
      <c r="C895" s="236"/>
      <c r="D895" s="237"/>
      <c r="E895" s="235"/>
      <c r="F895" s="235"/>
      <c r="G895" s="239"/>
      <c r="H895" s="240"/>
      <c r="J895" s="237"/>
      <c r="K895" s="241"/>
      <c r="L895" s="241"/>
      <c r="M895" s="237"/>
      <c r="N895" s="242"/>
      <c r="O895" s="243"/>
      <c r="P895" s="244"/>
      <c r="Q895" s="245"/>
      <c r="R895" s="246"/>
      <c r="S895" s="244"/>
      <c r="T895" s="247"/>
      <c r="U895" s="247"/>
      <c r="V895" s="244"/>
      <c r="W895" s="244"/>
      <c r="X895" s="97"/>
    </row>
    <row r="896">
      <c r="A896" s="205"/>
      <c r="B896" s="235"/>
      <c r="C896" s="236"/>
      <c r="D896" s="237"/>
      <c r="E896" s="235"/>
      <c r="F896" s="235"/>
      <c r="G896" s="239"/>
      <c r="H896" s="240"/>
      <c r="J896" s="237"/>
      <c r="K896" s="241"/>
      <c r="L896" s="241"/>
      <c r="M896" s="237"/>
      <c r="N896" s="242"/>
      <c r="O896" s="243"/>
      <c r="P896" s="244"/>
      <c r="Q896" s="245"/>
      <c r="R896" s="246"/>
      <c r="S896" s="244"/>
      <c r="T896" s="247"/>
      <c r="U896" s="247"/>
      <c r="V896" s="244"/>
      <c r="W896" s="244"/>
      <c r="X896" s="97"/>
    </row>
    <row r="897">
      <c r="A897" s="205"/>
      <c r="B897" s="235"/>
      <c r="C897" s="236"/>
      <c r="D897" s="237"/>
      <c r="E897" s="235"/>
      <c r="F897" s="235"/>
      <c r="G897" s="239"/>
      <c r="H897" s="240"/>
      <c r="J897" s="237"/>
      <c r="K897" s="241"/>
      <c r="L897" s="241"/>
      <c r="M897" s="237"/>
      <c r="N897" s="242"/>
      <c r="O897" s="243"/>
      <c r="P897" s="244"/>
      <c r="Q897" s="245"/>
      <c r="R897" s="246"/>
      <c r="S897" s="244"/>
      <c r="T897" s="247"/>
      <c r="U897" s="247"/>
      <c r="V897" s="244"/>
      <c r="W897" s="244"/>
      <c r="X897" s="97"/>
    </row>
    <row r="898">
      <c r="A898" s="205"/>
      <c r="B898" s="235"/>
      <c r="C898" s="236"/>
      <c r="D898" s="237"/>
      <c r="E898" s="235"/>
      <c r="F898" s="235"/>
      <c r="G898" s="239"/>
      <c r="H898" s="240"/>
      <c r="J898" s="237"/>
      <c r="K898" s="241"/>
      <c r="L898" s="241"/>
      <c r="M898" s="237"/>
      <c r="N898" s="242"/>
      <c r="O898" s="243"/>
      <c r="P898" s="244"/>
      <c r="Q898" s="245"/>
      <c r="R898" s="246"/>
      <c r="S898" s="244"/>
      <c r="T898" s="247"/>
      <c r="U898" s="247"/>
      <c r="V898" s="244"/>
      <c r="W898" s="244"/>
      <c r="X898" s="97"/>
    </row>
    <row r="899">
      <c r="A899" s="205"/>
      <c r="B899" s="235"/>
      <c r="C899" s="236"/>
      <c r="D899" s="237"/>
      <c r="E899" s="235"/>
      <c r="F899" s="235"/>
      <c r="G899" s="239"/>
      <c r="H899" s="240"/>
      <c r="J899" s="237"/>
      <c r="K899" s="241"/>
      <c r="L899" s="241"/>
      <c r="M899" s="237"/>
      <c r="N899" s="242"/>
      <c r="O899" s="243"/>
      <c r="P899" s="244"/>
      <c r="Q899" s="245"/>
      <c r="R899" s="246"/>
      <c r="S899" s="244"/>
      <c r="T899" s="247"/>
      <c r="U899" s="247"/>
      <c r="V899" s="244"/>
      <c r="W899" s="244"/>
      <c r="X899" s="97"/>
    </row>
    <row r="900">
      <c r="A900" s="205"/>
      <c r="B900" s="235"/>
      <c r="C900" s="236"/>
      <c r="D900" s="237"/>
      <c r="E900" s="235"/>
      <c r="F900" s="235"/>
      <c r="G900" s="239"/>
      <c r="H900" s="240"/>
      <c r="J900" s="237"/>
      <c r="K900" s="241"/>
      <c r="L900" s="241"/>
      <c r="M900" s="237"/>
      <c r="N900" s="242"/>
      <c r="O900" s="243"/>
      <c r="P900" s="244"/>
      <c r="Q900" s="245"/>
      <c r="R900" s="246"/>
      <c r="S900" s="244"/>
      <c r="T900" s="247"/>
      <c r="U900" s="247"/>
      <c r="V900" s="244"/>
      <c r="W900" s="244"/>
      <c r="X900" s="97"/>
    </row>
    <row r="901">
      <c r="A901" s="205"/>
      <c r="B901" s="235"/>
      <c r="C901" s="236"/>
      <c r="D901" s="237"/>
      <c r="E901" s="235"/>
      <c r="F901" s="235"/>
      <c r="G901" s="239"/>
      <c r="H901" s="240"/>
      <c r="J901" s="237"/>
      <c r="K901" s="241"/>
      <c r="L901" s="241"/>
      <c r="M901" s="237"/>
      <c r="N901" s="242"/>
      <c r="O901" s="243"/>
      <c r="P901" s="244"/>
      <c r="Q901" s="245"/>
      <c r="R901" s="246"/>
      <c r="S901" s="244"/>
      <c r="T901" s="247"/>
      <c r="U901" s="247"/>
      <c r="V901" s="244"/>
      <c r="W901" s="244"/>
      <c r="X901" s="97"/>
    </row>
    <row r="902">
      <c r="A902" s="205"/>
      <c r="B902" s="235"/>
      <c r="C902" s="236"/>
      <c r="D902" s="237"/>
      <c r="E902" s="235"/>
      <c r="F902" s="235"/>
      <c r="G902" s="239"/>
      <c r="H902" s="240"/>
      <c r="J902" s="237"/>
      <c r="K902" s="241"/>
      <c r="L902" s="241"/>
      <c r="M902" s="237"/>
      <c r="N902" s="242"/>
      <c r="O902" s="243"/>
      <c r="P902" s="244"/>
      <c r="Q902" s="245"/>
      <c r="R902" s="246"/>
      <c r="S902" s="244"/>
      <c r="T902" s="247"/>
      <c r="U902" s="247"/>
      <c r="V902" s="244"/>
      <c r="W902" s="244"/>
      <c r="X902" s="97"/>
    </row>
    <row r="903">
      <c r="A903" s="205"/>
      <c r="B903" s="235"/>
      <c r="C903" s="236"/>
      <c r="D903" s="237"/>
      <c r="E903" s="235"/>
      <c r="F903" s="235"/>
      <c r="G903" s="239"/>
      <c r="H903" s="240"/>
      <c r="J903" s="237"/>
      <c r="K903" s="241"/>
      <c r="L903" s="241"/>
      <c r="M903" s="237"/>
      <c r="N903" s="242"/>
      <c r="O903" s="243"/>
      <c r="P903" s="244"/>
      <c r="Q903" s="245"/>
      <c r="R903" s="246"/>
      <c r="S903" s="244"/>
      <c r="T903" s="247"/>
      <c r="U903" s="247"/>
      <c r="V903" s="244"/>
      <c r="W903" s="244"/>
      <c r="X903" s="97"/>
    </row>
    <row r="904">
      <c r="A904" s="205"/>
      <c r="B904" s="235"/>
      <c r="C904" s="236"/>
      <c r="D904" s="237"/>
      <c r="E904" s="235"/>
      <c r="F904" s="235"/>
      <c r="G904" s="239"/>
      <c r="H904" s="240"/>
      <c r="J904" s="237"/>
      <c r="K904" s="241"/>
      <c r="L904" s="241"/>
      <c r="M904" s="237"/>
      <c r="N904" s="242"/>
      <c r="O904" s="243"/>
      <c r="P904" s="244"/>
      <c r="Q904" s="245"/>
      <c r="R904" s="246"/>
      <c r="S904" s="244"/>
      <c r="T904" s="247"/>
      <c r="U904" s="247"/>
      <c r="V904" s="244"/>
      <c r="W904" s="244"/>
      <c r="X904" s="97"/>
    </row>
    <row r="905">
      <c r="A905" s="205"/>
      <c r="B905" s="235"/>
      <c r="C905" s="236"/>
      <c r="D905" s="237"/>
      <c r="E905" s="235"/>
      <c r="F905" s="235"/>
      <c r="G905" s="239"/>
      <c r="H905" s="240"/>
      <c r="J905" s="237"/>
      <c r="K905" s="241"/>
      <c r="L905" s="241"/>
      <c r="M905" s="237"/>
      <c r="N905" s="242"/>
      <c r="O905" s="243"/>
      <c r="P905" s="244"/>
      <c r="Q905" s="245"/>
      <c r="R905" s="246"/>
      <c r="S905" s="244"/>
      <c r="T905" s="247"/>
      <c r="U905" s="247"/>
      <c r="V905" s="244"/>
      <c r="W905" s="244"/>
      <c r="X905" s="97"/>
    </row>
    <row r="906">
      <c r="A906" s="205"/>
      <c r="B906" s="235"/>
      <c r="C906" s="236"/>
      <c r="D906" s="237"/>
      <c r="E906" s="235"/>
      <c r="F906" s="235"/>
      <c r="G906" s="239"/>
      <c r="H906" s="240"/>
      <c r="J906" s="237"/>
      <c r="K906" s="241"/>
      <c r="L906" s="241"/>
      <c r="M906" s="237"/>
      <c r="N906" s="242"/>
      <c r="O906" s="243"/>
      <c r="P906" s="244"/>
      <c r="Q906" s="245"/>
      <c r="R906" s="246"/>
      <c r="S906" s="244"/>
      <c r="T906" s="247"/>
      <c r="U906" s="247"/>
      <c r="V906" s="244"/>
      <c r="W906" s="244"/>
      <c r="X906" s="97"/>
    </row>
    <row r="907">
      <c r="A907" s="205"/>
      <c r="B907" s="235"/>
      <c r="C907" s="236"/>
      <c r="D907" s="237"/>
      <c r="E907" s="235"/>
      <c r="F907" s="235"/>
      <c r="G907" s="239"/>
      <c r="H907" s="240"/>
      <c r="J907" s="237"/>
      <c r="K907" s="241"/>
      <c r="L907" s="241"/>
      <c r="M907" s="237"/>
      <c r="N907" s="242"/>
      <c r="O907" s="243"/>
      <c r="P907" s="244"/>
      <c r="Q907" s="245"/>
      <c r="R907" s="246"/>
      <c r="S907" s="244"/>
      <c r="T907" s="247"/>
      <c r="U907" s="247"/>
      <c r="V907" s="244"/>
      <c r="W907" s="244"/>
      <c r="X907" s="97"/>
    </row>
    <row r="908">
      <c r="A908" s="205"/>
      <c r="B908" s="235"/>
      <c r="C908" s="236"/>
      <c r="D908" s="237"/>
      <c r="E908" s="235"/>
      <c r="F908" s="235"/>
      <c r="G908" s="239"/>
      <c r="H908" s="240"/>
      <c r="J908" s="237"/>
      <c r="K908" s="241"/>
      <c r="L908" s="241"/>
      <c r="M908" s="237"/>
      <c r="N908" s="242"/>
      <c r="O908" s="243"/>
      <c r="P908" s="244"/>
      <c r="Q908" s="245"/>
      <c r="R908" s="246"/>
      <c r="S908" s="244"/>
      <c r="T908" s="247"/>
      <c r="U908" s="247"/>
      <c r="V908" s="244"/>
      <c r="W908" s="244"/>
      <c r="X908" s="97"/>
    </row>
    <row r="909">
      <c r="A909" s="205"/>
      <c r="B909" s="235"/>
      <c r="C909" s="236"/>
      <c r="D909" s="237"/>
      <c r="E909" s="235"/>
      <c r="F909" s="235"/>
      <c r="G909" s="239"/>
      <c r="H909" s="240"/>
      <c r="J909" s="237"/>
      <c r="K909" s="241"/>
      <c r="L909" s="241"/>
      <c r="M909" s="237"/>
      <c r="N909" s="242"/>
      <c r="O909" s="243"/>
      <c r="P909" s="244"/>
      <c r="Q909" s="245"/>
      <c r="R909" s="246"/>
      <c r="S909" s="244"/>
      <c r="T909" s="247"/>
      <c r="U909" s="247"/>
      <c r="V909" s="244"/>
      <c r="W909" s="244"/>
      <c r="X909" s="97"/>
    </row>
    <row r="910">
      <c r="A910" s="205"/>
      <c r="B910" s="235"/>
      <c r="C910" s="236"/>
      <c r="D910" s="237"/>
      <c r="E910" s="235"/>
      <c r="F910" s="235"/>
      <c r="G910" s="239"/>
      <c r="H910" s="240"/>
      <c r="J910" s="237"/>
      <c r="K910" s="241"/>
      <c r="L910" s="241"/>
      <c r="M910" s="237"/>
      <c r="N910" s="242"/>
      <c r="O910" s="243"/>
      <c r="P910" s="244"/>
      <c r="Q910" s="245"/>
      <c r="R910" s="246"/>
      <c r="S910" s="244"/>
      <c r="T910" s="247"/>
      <c r="U910" s="247"/>
      <c r="V910" s="244"/>
      <c r="W910" s="244"/>
      <c r="X910" s="97"/>
    </row>
    <row r="911">
      <c r="A911" s="205"/>
      <c r="B911" s="235"/>
      <c r="C911" s="236"/>
      <c r="D911" s="237"/>
      <c r="E911" s="235"/>
      <c r="F911" s="235"/>
      <c r="G911" s="239"/>
      <c r="H911" s="240"/>
      <c r="J911" s="237"/>
      <c r="K911" s="241"/>
      <c r="L911" s="241"/>
      <c r="M911" s="237"/>
      <c r="N911" s="242"/>
      <c r="O911" s="243"/>
      <c r="P911" s="244"/>
      <c r="Q911" s="245"/>
      <c r="R911" s="246"/>
      <c r="S911" s="244"/>
      <c r="T911" s="247"/>
      <c r="U911" s="247"/>
      <c r="V911" s="244"/>
      <c r="W911" s="244"/>
      <c r="X911" s="97"/>
    </row>
    <row r="912">
      <c r="A912" s="205"/>
      <c r="B912" s="235"/>
      <c r="C912" s="236"/>
      <c r="D912" s="237"/>
      <c r="E912" s="235"/>
      <c r="F912" s="235"/>
      <c r="G912" s="239"/>
      <c r="H912" s="240"/>
      <c r="J912" s="237"/>
      <c r="K912" s="241"/>
      <c r="L912" s="241"/>
      <c r="M912" s="237"/>
      <c r="N912" s="242"/>
      <c r="O912" s="243"/>
      <c r="P912" s="244"/>
      <c r="Q912" s="245"/>
      <c r="R912" s="246"/>
      <c r="S912" s="244"/>
      <c r="T912" s="247"/>
      <c r="U912" s="247"/>
      <c r="V912" s="244"/>
      <c r="W912" s="244"/>
      <c r="X912" s="97"/>
    </row>
    <row r="913">
      <c r="A913" s="205"/>
      <c r="B913" s="235"/>
      <c r="C913" s="236"/>
      <c r="D913" s="237"/>
      <c r="E913" s="235"/>
      <c r="F913" s="235"/>
      <c r="G913" s="239"/>
      <c r="H913" s="240"/>
      <c r="J913" s="237"/>
      <c r="K913" s="241"/>
      <c r="L913" s="241"/>
      <c r="M913" s="237"/>
      <c r="N913" s="242"/>
      <c r="O913" s="243"/>
      <c r="P913" s="244"/>
      <c r="Q913" s="245"/>
      <c r="R913" s="246"/>
      <c r="S913" s="244"/>
      <c r="T913" s="247"/>
      <c r="U913" s="247"/>
      <c r="V913" s="244"/>
      <c r="W913" s="244"/>
      <c r="X913" s="97"/>
    </row>
    <row r="914">
      <c r="A914" s="205"/>
      <c r="B914" s="235"/>
      <c r="C914" s="236"/>
      <c r="D914" s="237"/>
      <c r="E914" s="235"/>
      <c r="F914" s="235"/>
      <c r="G914" s="239"/>
      <c r="H914" s="240"/>
      <c r="J914" s="237"/>
      <c r="K914" s="241"/>
      <c r="L914" s="241"/>
      <c r="M914" s="237"/>
      <c r="N914" s="242"/>
      <c r="O914" s="243"/>
      <c r="P914" s="244"/>
      <c r="Q914" s="245"/>
      <c r="R914" s="246"/>
      <c r="S914" s="244"/>
      <c r="T914" s="247"/>
      <c r="U914" s="247"/>
      <c r="V914" s="244"/>
      <c r="W914" s="244"/>
      <c r="X914" s="97"/>
    </row>
    <row r="915">
      <c r="A915" s="205"/>
      <c r="B915" s="235"/>
      <c r="C915" s="236"/>
      <c r="D915" s="237"/>
      <c r="E915" s="235"/>
      <c r="F915" s="235"/>
      <c r="G915" s="239"/>
      <c r="H915" s="240"/>
      <c r="J915" s="237"/>
      <c r="K915" s="241"/>
      <c r="L915" s="241"/>
      <c r="M915" s="237"/>
      <c r="N915" s="242"/>
      <c r="O915" s="243"/>
      <c r="P915" s="244"/>
      <c r="Q915" s="245"/>
      <c r="R915" s="246"/>
      <c r="S915" s="244"/>
      <c r="T915" s="247"/>
      <c r="U915" s="247"/>
      <c r="V915" s="244"/>
      <c r="W915" s="244"/>
      <c r="X915" s="97"/>
    </row>
    <row r="916">
      <c r="A916" s="205"/>
      <c r="B916" s="235"/>
      <c r="C916" s="236"/>
      <c r="D916" s="237"/>
      <c r="E916" s="235"/>
      <c r="F916" s="235"/>
      <c r="G916" s="239"/>
      <c r="H916" s="240"/>
      <c r="J916" s="237"/>
      <c r="K916" s="241"/>
      <c r="L916" s="241"/>
      <c r="M916" s="237"/>
      <c r="N916" s="242"/>
      <c r="O916" s="243"/>
      <c r="P916" s="244"/>
      <c r="Q916" s="245"/>
      <c r="R916" s="246"/>
      <c r="S916" s="244"/>
      <c r="T916" s="247"/>
      <c r="U916" s="247"/>
      <c r="V916" s="244"/>
      <c r="W916" s="244"/>
      <c r="X916" s="97"/>
    </row>
    <row r="917">
      <c r="A917" s="205"/>
      <c r="B917" s="235"/>
      <c r="C917" s="236"/>
      <c r="D917" s="237"/>
      <c r="E917" s="235"/>
      <c r="F917" s="235"/>
      <c r="G917" s="239"/>
      <c r="H917" s="240"/>
      <c r="J917" s="237"/>
      <c r="K917" s="241"/>
      <c r="L917" s="241"/>
      <c r="M917" s="237"/>
      <c r="N917" s="242"/>
      <c r="O917" s="243"/>
      <c r="P917" s="244"/>
      <c r="Q917" s="245"/>
      <c r="R917" s="246"/>
      <c r="S917" s="244"/>
      <c r="T917" s="247"/>
      <c r="U917" s="247"/>
      <c r="V917" s="244"/>
      <c r="W917" s="244"/>
      <c r="X917" s="97"/>
    </row>
    <row r="918">
      <c r="A918" s="205"/>
      <c r="B918" s="235"/>
      <c r="C918" s="236"/>
      <c r="D918" s="237"/>
      <c r="E918" s="235"/>
      <c r="F918" s="235"/>
      <c r="G918" s="239"/>
      <c r="H918" s="240"/>
      <c r="J918" s="237"/>
      <c r="K918" s="241"/>
      <c r="L918" s="241"/>
      <c r="M918" s="237"/>
      <c r="N918" s="242"/>
      <c r="O918" s="243"/>
      <c r="P918" s="244"/>
      <c r="Q918" s="245"/>
      <c r="R918" s="246"/>
      <c r="S918" s="244"/>
      <c r="T918" s="247"/>
      <c r="U918" s="247"/>
      <c r="V918" s="244"/>
      <c r="W918" s="244"/>
      <c r="X918" s="97"/>
    </row>
    <row r="919">
      <c r="A919" s="205"/>
      <c r="B919" s="235"/>
      <c r="C919" s="236"/>
      <c r="D919" s="237"/>
      <c r="E919" s="235"/>
      <c r="F919" s="235"/>
      <c r="G919" s="239"/>
      <c r="H919" s="240"/>
      <c r="J919" s="237"/>
      <c r="K919" s="241"/>
      <c r="L919" s="241"/>
      <c r="M919" s="237"/>
      <c r="N919" s="242"/>
      <c r="O919" s="243"/>
      <c r="P919" s="244"/>
      <c r="Q919" s="245"/>
      <c r="R919" s="246"/>
      <c r="S919" s="244"/>
      <c r="T919" s="247"/>
      <c r="U919" s="247"/>
      <c r="V919" s="244"/>
      <c r="W919" s="244"/>
      <c r="X919" s="97"/>
    </row>
    <row r="920">
      <c r="A920" s="205"/>
      <c r="B920" s="235"/>
      <c r="C920" s="236"/>
      <c r="D920" s="237"/>
      <c r="E920" s="235"/>
      <c r="F920" s="235"/>
      <c r="G920" s="239"/>
      <c r="H920" s="240"/>
      <c r="J920" s="237"/>
      <c r="K920" s="241"/>
      <c r="L920" s="241"/>
      <c r="M920" s="237"/>
      <c r="N920" s="242"/>
      <c r="O920" s="243"/>
      <c r="P920" s="244"/>
      <c r="Q920" s="245"/>
      <c r="R920" s="246"/>
      <c r="S920" s="244"/>
      <c r="T920" s="247"/>
      <c r="U920" s="247"/>
      <c r="V920" s="244"/>
      <c r="W920" s="244"/>
      <c r="X920" s="97"/>
    </row>
    <row r="921">
      <c r="A921" s="205"/>
      <c r="B921" s="235"/>
      <c r="C921" s="236"/>
      <c r="D921" s="237"/>
      <c r="E921" s="235"/>
      <c r="F921" s="235"/>
      <c r="G921" s="239"/>
      <c r="H921" s="240"/>
      <c r="J921" s="237"/>
      <c r="K921" s="241"/>
      <c r="L921" s="241"/>
      <c r="M921" s="237"/>
      <c r="N921" s="242"/>
      <c r="O921" s="243"/>
      <c r="P921" s="244"/>
      <c r="Q921" s="245"/>
      <c r="R921" s="246"/>
      <c r="S921" s="244"/>
      <c r="T921" s="247"/>
      <c r="U921" s="247"/>
      <c r="V921" s="244"/>
      <c r="W921" s="244"/>
      <c r="X921" s="97"/>
    </row>
    <row r="922">
      <c r="A922" s="205"/>
      <c r="B922" s="235"/>
      <c r="C922" s="236"/>
      <c r="D922" s="237"/>
      <c r="E922" s="235"/>
      <c r="F922" s="235"/>
      <c r="G922" s="239"/>
      <c r="H922" s="240"/>
      <c r="J922" s="237"/>
      <c r="K922" s="241"/>
      <c r="L922" s="241"/>
      <c r="M922" s="237"/>
      <c r="N922" s="242"/>
      <c r="O922" s="243"/>
      <c r="P922" s="244"/>
      <c r="Q922" s="245"/>
      <c r="R922" s="246"/>
      <c r="S922" s="244"/>
      <c r="T922" s="247"/>
      <c r="U922" s="247"/>
      <c r="V922" s="244"/>
      <c r="W922" s="244"/>
      <c r="X922" s="97"/>
    </row>
    <row r="923">
      <c r="A923" s="205"/>
      <c r="B923" s="235"/>
      <c r="C923" s="236"/>
      <c r="D923" s="237"/>
      <c r="E923" s="235"/>
      <c r="F923" s="235"/>
      <c r="G923" s="239"/>
      <c r="H923" s="240"/>
      <c r="J923" s="237"/>
      <c r="K923" s="241"/>
      <c r="L923" s="241"/>
      <c r="M923" s="237"/>
      <c r="N923" s="242"/>
      <c r="O923" s="243"/>
      <c r="P923" s="244"/>
      <c r="Q923" s="245"/>
      <c r="R923" s="246"/>
      <c r="S923" s="244"/>
      <c r="T923" s="247"/>
      <c r="U923" s="247"/>
      <c r="V923" s="244"/>
      <c r="W923" s="244"/>
      <c r="X923" s="97"/>
    </row>
    <row r="924">
      <c r="A924" s="205"/>
      <c r="B924" s="235"/>
      <c r="C924" s="236"/>
      <c r="D924" s="237"/>
      <c r="E924" s="235"/>
      <c r="F924" s="235"/>
      <c r="G924" s="239"/>
      <c r="H924" s="240"/>
      <c r="J924" s="237"/>
      <c r="K924" s="241"/>
      <c r="L924" s="241"/>
      <c r="M924" s="237"/>
      <c r="N924" s="242"/>
      <c r="O924" s="243"/>
      <c r="P924" s="244"/>
      <c r="Q924" s="245"/>
      <c r="R924" s="246"/>
      <c r="S924" s="244"/>
      <c r="T924" s="247"/>
      <c r="U924" s="247"/>
      <c r="V924" s="244"/>
      <c r="W924" s="244"/>
      <c r="X924" s="97"/>
    </row>
    <row r="925">
      <c r="A925" s="205"/>
      <c r="B925" s="235"/>
      <c r="C925" s="236"/>
      <c r="D925" s="237"/>
      <c r="E925" s="235"/>
      <c r="F925" s="235"/>
      <c r="G925" s="239"/>
      <c r="H925" s="240"/>
      <c r="J925" s="237"/>
      <c r="K925" s="241"/>
      <c r="L925" s="241"/>
      <c r="M925" s="237"/>
      <c r="N925" s="242"/>
      <c r="O925" s="243"/>
      <c r="P925" s="244"/>
      <c r="Q925" s="245"/>
      <c r="R925" s="246"/>
      <c r="S925" s="244"/>
      <c r="T925" s="247"/>
      <c r="U925" s="247"/>
      <c r="V925" s="244"/>
      <c r="W925" s="244"/>
      <c r="X925" s="97"/>
    </row>
    <row r="926">
      <c r="A926" s="205"/>
      <c r="B926" s="235"/>
      <c r="C926" s="236"/>
      <c r="D926" s="237"/>
      <c r="E926" s="235"/>
      <c r="F926" s="235"/>
      <c r="G926" s="239"/>
      <c r="H926" s="240"/>
      <c r="J926" s="237"/>
      <c r="K926" s="241"/>
      <c r="L926" s="241"/>
      <c r="M926" s="237"/>
      <c r="N926" s="242"/>
      <c r="O926" s="243"/>
      <c r="P926" s="244"/>
      <c r="Q926" s="245"/>
      <c r="R926" s="246"/>
      <c r="S926" s="244"/>
      <c r="T926" s="247"/>
      <c r="U926" s="247"/>
      <c r="V926" s="244"/>
      <c r="W926" s="244"/>
      <c r="X926" s="97"/>
    </row>
    <row r="927">
      <c r="A927" s="205"/>
      <c r="B927" s="235"/>
      <c r="C927" s="236"/>
      <c r="D927" s="237"/>
      <c r="E927" s="235"/>
      <c r="F927" s="235"/>
      <c r="G927" s="239"/>
      <c r="H927" s="240"/>
      <c r="J927" s="237"/>
      <c r="K927" s="241"/>
      <c r="L927" s="241"/>
      <c r="M927" s="237"/>
      <c r="N927" s="242"/>
      <c r="O927" s="243"/>
      <c r="P927" s="244"/>
      <c r="Q927" s="245"/>
      <c r="R927" s="246"/>
      <c r="S927" s="244"/>
      <c r="T927" s="247"/>
      <c r="U927" s="247"/>
      <c r="V927" s="244"/>
      <c r="W927" s="244"/>
      <c r="X927" s="97"/>
    </row>
    <row r="928">
      <c r="A928" s="205"/>
      <c r="B928" s="235"/>
      <c r="C928" s="236"/>
      <c r="D928" s="237"/>
      <c r="E928" s="235"/>
      <c r="F928" s="235"/>
      <c r="G928" s="239"/>
      <c r="H928" s="240"/>
      <c r="J928" s="237"/>
      <c r="K928" s="241"/>
      <c r="L928" s="241"/>
      <c r="M928" s="237"/>
      <c r="N928" s="242"/>
      <c r="O928" s="243"/>
      <c r="P928" s="244"/>
      <c r="Q928" s="245"/>
      <c r="R928" s="246"/>
      <c r="S928" s="244"/>
      <c r="T928" s="247"/>
      <c r="U928" s="247"/>
      <c r="V928" s="244"/>
      <c r="W928" s="244"/>
      <c r="X928" s="97"/>
    </row>
    <row r="929">
      <c r="A929" s="205"/>
      <c r="B929" s="235"/>
      <c r="C929" s="236"/>
      <c r="D929" s="237"/>
      <c r="E929" s="235"/>
      <c r="F929" s="235"/>
      <c r="G929" s="239"/>
      <c r="H929" s="240"/>
      <c r="J929" s="237"/>
      <c r="K929" s="241"/>
      <c r="L929" s="241"/>
      <c r="M929" s="237"/>
      <c r="N929" s="242"/>
      <c r="O929" s="243"/>
      <c r="P929" s="244"/>
      <c r="Q929" s="245"/>
      <c r="R929" s="246"/>
      <c r="S929" s="244"/>
      <c r="T929" s="247"/>
      <c r="U929" s="247"/>
      <c r="V929" s="244"/>
      <c r="W929" s="244"/>
      <c r="X929" s="97"/>
    </row>
    <row r="930">
      <c r="A930" s="205"/>
      <c r="B930" s="235"/>
      <c r="C930" s="236"/>
      <c r="D930" s="237"/>
      <c r="E930" s="235"/>
      <c r="F930" s="235"/>
      <c r="G930" s="239"/>
      <c r="H930" s="240"/>
      <c r="J930" s="237"/>
      <c r="K930" s="241"/>
      <c r="L930" s="241"/>
      <c r="M930" s="237"/>
      <c r="N930" s="242"/>
      <c r="O930" s="243"/>
      <c r="P930" s="244"/>
      <c r="Q930" s="245"/>
      <c r="R930" s="246"/>
      <c r="S930" s="244"/>
      <c r="T930" s="247"/>
      <c r="U930" s="247"/>
      <c r="V930" s="244"/>
      <c r="W930" s="244"/>
      <c r="X930" s="97"/>
    </row>
    <row r="931">
      <c r="A931" s="205"/>
      <c r="B931" s="235"/>
      <c r="C931" s="236"/>
      <c r="D931" s="237"/>
      <c r="E931" s="235"/>
      <c r="F931" s="235"/>
      <c r="G931" s="239"/>
      <c r="H931" s="240"/>
      <c r="J931" s="237"/>
      <c r="K931" s="241"/>
      <c r="L931" s="241"/>
      <c r="M931" s="237"/>
      <c r="N931" s="242"/>
      <c r="O931" s="243"/>
      <c r="P931" s="244"/>
      <c r="Q931" s="245"/>
      <c r="R931" s="246"/>
      <c r="S931" s="244"/>
      <c r="T931" s="247"/>
      <c r="U931" s="247"/>
      <c r="V931" s="244"/>
      <c r="W931" s="244"/>
      <c r="X931" s="97"/>
    </row>
    <row r="932">
      <c r="A932" s="205"/>
      <c r="B932" s="235"/>
      <c r="C932" s="236"/>
      <c r="D932" s="237"/>
      <c r="E932" s="235"/>
      <c r="F932" s="235"/>
      <c r="G932" s="239"/>
      <c r="H932" s="240"/>
      <c r="J932" s="237"/>
      <c r="K932" s="241"/>
      <c r="L932" s="241"/>
      <c r="M932" s="237"/>
      <c r="N932" s="242"/>
      <c r="O932" s="243"/>
      <c r="P932" s="244"/>
      <c r="Q932" s="245"/>
      <c r="R932" s="246"/>
      <c r="S932" s="244"/>
      <c r="T932" s="247"/>
      <c r="U932" s="247"/>
      <c r="V932" s="244"/>
      <c r="W932" s="244"/>
      <c r="X932" s="97"/>
    </row>
    <row r="933">
      <c r="A933" s="205"/>
      <c r="B933" s="235"/>
      <c r="C933" s="236"/>
      <c r="D933" s="237"/>
      <c r="E933" s="235"/>
      <c r="F933" s="235"/>
      <c r="G933" s="239"/>
      <c r="H933" s="240"/>
      <c r="J933" s="237"/>
      <c r="K933" s="241"/>
      <c r="L933" s="241"/>
      <c r="M933" s="237"/>
      <c r="N933" s="242"/>
      <c r="O933" s="243"/>
      <c r="P933" s="244"/>
      <c r="Q933" s="245"/>
      <c r="R933" s="246"/>
      <c r="S933" s="244"/>
      <c r="T933" s="247"/>
      <c r="U933" s="247"/>
      <c r="V933" s="244"/>
      <c r="W933" s="244"/>
      <c r="X933" s="97"/>
    </row>
    <row r="934">
      <c r="A934" s="205"/>
      <c r="B934" s="235"/>
      <c r="C934" s="236"/>
      <c r="D934" s="237"/>
      <c r="E934" s="235"/>
      <c r="F934" s="235"/>
      <c r="G934" s="239"/>
      <c r="H934" s="240"/>
      <c r="J934" s="237"/>
      <c r="K934" s="241"/>
      <c r="L934" s="241"/>
      <c r="M934" s="237"/>
      <c r="N934" s="242"/>
      <c r="O934" s="243"/>
      <c r="P934" s="244"/>
      <c r="Q934" s="245"/>
      <c r="R934" s="246"/>
      <c r="S934" s="244"/>
      <c r="T934" s="247"/>
      <c r="U934" s="247"/>
      <c r="V934" s="244"/>
      <c r="W934" s="244"/>
      <c r="X934" s="97"/>
    </row>
    <row r="935">
      <c r="A935" s="205"/>
      <c r="B935" s="235"/>
      <c r="C935" s="236"/>
      <c r="D935" s="237"/>
      <c r="E935" s="235"/>
      <c r="F935" s="235"/>
      <c r="G935" s="239"/>
      <c r="H935" s="240"/>
      <c r="J935" s="237"/>
      <c r="K935" s="241"/>
      <c r="L935" s="241"/>
      <c r="M935" s="237"/>
      <c r="N935" s="242"/>
      <c r="O935" s="243"/>
      <c r="P935" s="244"/>
      <c r="Q935" s="245"/>
      <c r="R935" s="246"/>
      <c r="S935" s="244"/>
      <c r="T935" s="247"/>
      <c r="U935" s="247"/>
      <c r="V935" s="244"/>
      <c r="W935" s="244"/>
      <c r="X935" s="97"/>
    </row>
    <row r="936">
      <c r="A936" s="205"/>
      <c r="B936" s="235"/>
      <c r="C936" s="236"/>
      <c r="D936" s="237"/>
      <c r="E936" s="235"/>
      <c r="F936" s="235"/>
      <c r="G936" s="239"/>
      <c r="H936" s="240"/>
      <c r="J936" s="237"/>
      <c r="K936" s="241"/>
      <c r="L936" s="241"/>
      <c r="M936" s="237"/>
      <c r="N936" s="242"/>
      <c r="O936" s="243"/>
      <c r="P936" s="244"/>
      <c r="Q936" s="245"/>
      <c r="R936" s="246"/>
      <c r="S936" s="244"/>
      <c r="T936" s="247"/>
      <c r="U936" s="247"/>
      <c r="V936" s="244"/>
      <c r="W936" s="244"/>
      <c r="X936" s="97"/>
    </row>
    <row r="937">
      <c r="A937" s="205"/>
      <c r="B937" s="235"/>
      <c r="C937" s="236"/>
      <c r="D937" s="237"/>
      <c r="E937" s="235"/>
      <c r="F937" s="235"/>
      <c r="G937" s="239"/>
      <c r="H937" s="240"/>
      <c r="J937" s="237"/>
      <c r="K937" s="241"/>
      <c r="L937" s="241"/>
      <c r="M937" s="237"/>
      <c r="N937" s="242"/>
      <c r="O937" s="243"/>
      <c r="P937" s="244"/>
      <c r="Q937" s="245"/>
      <c r="R937" s="246"/>
      <c r="S937" s="244"/>
      <c r="T937" s="247"/>
      <c r="U937" s="247"/>
      <c r="V937" s="244"/>
      <c r="W937" s="244"/>
      <c r="X937" s="97"/>
    </row>
    <row r="938">
      <c r="A938" s="205"/>
      <c r="B938" s="235"/>
      <c r="C938" s="236"/>
      <c r="D938" s="237"/>
      <c r="E938" s="235"/>
      <c r="F938" s="235"/>
      <c r="G938" s="239"/>
      <c r="H938" s="240"/>
      <c r="J938" s="237"/>
      <c r="K938" s="241"/>
      <c r="L938" s="241"/>
      <c r="M938" s="237"/>
      <c r="N938" s="242"/>
      <c r="O938" s="243"/>
      <c r="P938" s="244"/>
      <c r="Q938" s="245"/>
      <c r="R938" s="246"/>
      <c r="S938" s="244"/>
      <c r="T938" s="247"/>
      <c r="U938" s="247"/>
      <c r="V938" s="244"/>
      <c r="W938" s="244"/>
      <c r="X938" s="97"/>
    </row>
    <row r="939">
      <c r="A939" s="205"/>
      <c r="B939" s="235"/>
      <c r="C939" s="236"/>
      <c r="D939" s="237"/>
      <c r="E939" s="235"/>
      <c r="F939" s="235"/>
      <c r="G939" s="239"/>
      <c r="H939" s="240"/>
      <c r="J939" s="237"/>
      <c r="K939" s="241"/>
      <c r="L939" s="241"/>
      <c r="M939" s="237"/>
      <c r="N939" s="242"/>
      <c r="O939" s="243"/>
      <c r="P939" s="244"/>
      <c r="Q939" s="245"/>
      <c r="R939" s="246"/>
      <c r="S939" s="244"/>
      <c r="T939" s="247"/>
      <c r="U939" s="247"/>
      <c r="V939" s="244"/>
      <c r="W939" s="244"/>
      <c r="X939" s="97"/>
    </row>
    <row r="940">
      <c r="A940" s="205"/>
      <c r="B940" s="235"/>
      <c r="C940" s="236"/>
      <c r="D940" s="237"/>
      <c r="E940" s="235"/>
      <c r="F940" s="235"/>
      <c r="G940" s="239"/>
      <c r="H940" s="240"/>
      <c r="J940" s="237"/>
      <c r="K940" s="241"/>
      <c r="L940" s="241"/>
      <c r="M940" s="237"/>
      <c r="N940" s="242"/>
      <c r="O940" s="243"/>
      <c r="P940" s="244"/>
      <c r="Q940" s="245"/>
      <c r="R940" s="246"/>
      <c r="S940" s="244"/>
      <c r="T940" s="247"/>
      <c r="U940" s="247"/>
      <c r="V940" s="244"/>
      <c r="W940" s="244"/>
      <c r="X940" s="97"/>
    </row>
    <row r="941">
      <c r="A941" s="205"/>
      <c r="B941" s="235"/>
      <c r="C941" s="236"/>
      <c r="D941" s="237"/>
      <c r="E941" s="235"/>
      <c r="F941" s="235"/>
      <c r="G941" s="239"/>
      <c r="H941" s="240"/>
      <c r="J941" s="237"/>
      <c r="K941" s="241"/>
      <c r="L941" s="241"/>
      <c r="M941" s="237"/>
      <c r="N941" s="242"/>
      <c r="O941" s="243"/>
      <c r="P941" s="244"/>
      <c r="Q941" s="245"/>
      <c r="R941" s="246"/>
      <c r="S941" s="244"/>
      <c r="T941" s="247"/>
      <c r="U941" s="247"/>
      <c r="V941" s="244"/>
      <c r="W941" s="244"/>
      <c r="X941" s="97"/>
    </row>
    <row r="942">
      <c r="A942" s="205"/>
      <c r="B942" s="235"/>
      <c r="C942" s="236"/>
      <c r="D942" s="237"/>
      <c r="E942" s="235"/>
      <c r="F942" s="235"/>
      <c r="G942" s="239"/>
      <c r="H942" s="240"/>
      <c r="J942" s="237"/>
      <c r="K942" s="241"/>
      <c r="L942" s="241"/>
      <c r="M942" s="237"/>
      <c r="N942" s="242"/>
      <c r="O942" s="243"/>
      <c r="P942" s="244"/>
      <c r="Q942" s="245"/>
      <c r="R942" s="246"/>
      <c r="S942" s="244"/>
      <c r="T942" s="247"/>
      <c r="U942" s="247"/>
      <c r="V942" s="244"/>
      <c r="W942" s="244"/>
      <c r="X942" s="97"/>
    </row>
    <row r="943">
      <c r="A943" s="205"/>
      <c r="B943" s="235"/>
      <c r="C943" s="236"/>
      <c r="D943" s="237"/>
      <c r="E943" s="235"/>
      <c r="F943" s="235"/>
      <c r="G943" s="239"/>
      <c r="H943" s="240"/>
      <c r="J943" s="237"/>
      <c r="K943" s="241"/>
      <c r="L943" s="241"/>
      <c r="M943" s="237"/>
      <c r="N943" s="242"/>
      <c r="O943" s="243"/>
      <c r="P943" s="244"/>
      <c r="Q943" s="245"/>
      <c r="R943" s="246"/>
      <c r="S943" s="244"/>
      <c r="T943" s="247"/>
      <c r="U943" s="247"/>
      <c r="V943" s="244"/>
      <c r="W943" s="244"/>
      <c r="X943" s="97"/>
    </row>
    <row r="944">
      <c r="A944" s="205"/>
      <c r="B944" s="235"/>
      <c r="C944" s="236"/>
      <c r="D944" s="237"/>
      <c r="E944" s="235"/>
      <c r="F944" s="235"/>
      <c r="G944" s="239"/>
      <c r="H944" s="240"/>
      <c r="J944" s="237"/>
      <c r="K944" s="241"/>
      <c r="L944" s="241"/>
      <c r="M944" s="237"/>
      <c r="N944" s="242"/>
      <c r="O944" s="243"/>
      <c r="P944" s="244"/>
      <c r="Q944" s="245"/>
      <c r="R944" s="246"/>
      <c r="S944" s="244"/>
      <c r="T944" s="247"/>
      <c r="U944" s="247"/>
      <c r="V944" s="244"/>
      <c r="W944" s="244"/>
      <c r="X944" s="97"/>
    </row>
    <row r="945">
      <c r="A945" s="205"/>
      <c r="B945" s="235"/>
      <c r="C945" s="236"/>
      <c r="D945" s="237"/>
      <c r="E945" s="235"/>
      <c r="F945" s="235"/>
      <c r="G945" s="239"/>
      <c r="H945" s="240"/>
      <c r="J945" s="237"/>
      <c r="K945" s="241"/>
      <c r="L945" s="241"/>
      <c r="M945" s="237"/>
      <c r="N945" s="242"/>
      <c r="O945" s="243"/>
      <c r="P945" s="244"/>
      <c r="Q945" s="245"/>
      <c r="R945" s="246"/>
      <c r="S945" s="244"/>
      <c r="T945" s="247"/>
      <c r="U945" s="247"/>
      <c r="V945" s="244"/>
      <c r="W945" s="244"/>
      <c r="X945" s="97"/>
    </row>
    <row r="946">
      <c r="A946" s="205"/>
      <c r="B946" s="235"/>
      <c r="C946" s="236"/>
      <c r="D946" s="237"/>
      <c r="E946" s="235"/>
      <c r="F946" s="235"/>
      <c r="G946" s="239"/>
      <c r="H946" s="240"/>
      <c r="J946" s="237"/>
      <c r="K946" s="241"/>
      <c r="L946" s="241"/>
      <c r="M946" s="237"/>
      <c r="N946" s="242"/>
      <c r="O946" s="243"/>
      <c r="P946" s="244"/>
      <c r="Q946" s="245"/>
      <c r="R946" s="246"/>
      <c r="S946" s="244"/>
      <c r="T946" s="247"/>
      <c r="U946" s="247"/>
      <c r="V946" s="244"/>
      <c r="W946" s="244"/>
      <c r="X946" s="97"/>
    </row>
    <row r="947">
      <c r="A947" s="205"/>
      <c r="B947" s="235"/>
      <c r="C947" s="236"/>
      <c r="D947" s="237"/>
      <c r="E947" s="235"/>
      <c r="F947" s="235"/>
      <c r="G947" s="239"/>
      <c r="H947" s="240"/>
      <c r="J947" s="237"/>
      <c r="K947" s="241"/>
      <c r="L947" s="241"/>
      <c r="M947" s="237"/>
      <c r="N947" s="242"/>
      <c r="O947" s="243"/>
      <c r="P947" s="244"/>
      <c r="Q947" s="245"/>
      <c r="R947" s="246"/>
      <c r="S947" s="244"/>
      <c r="T947" s="247"/>
      <c r="U947" s="247"/>
      <c r="V947" s="244"/>
      <c r="W947" s="244"/>
      <c r="X947" s="97"/>
    </row>
    <row r="948">
      <c r="A948" s="205"/>
      <c r="B948" s="235"/>
      <c r="C948" s="236"/>
      <c r="D948" s="237"/>
      <c r="E948" s="235"/>
      <c r="F948" s="235"/>
      <c r="G948" s="239"/>
      <c r="H948" s="240"/>
      <c r="J948" s="237"/>
      <c r="K948" s="241"/>
      <c r="L948" s="241"/>
      <c r="M948" s="237"/>
      <c r="N948" s="242"/>
      <c r="O948" s="243"/>
      <c r="P948" s="244"/>
      <c r="Q948" s="245"/>
      <c r="R948" s="246"/>
      <c r="S948" s="244"/>
      <c r="T948" s="247"/>
      <c r="U948" s="247"/>
      <c r="V948" s="244"/>
      <c r="W948" s="244"/>
      <c r="X948" s="97"/>
    </row>
    <row r="949">
      <c r="A949" s="205"/>
      <c r="B949" s="235"/>
      <c r="C949" s="236"/>
      <c r="D949" s="237"/>
      <c r="E949" s="235"/>
      <c r="F949" s="235"/>
      <c r="G949" s="239"/>
      <c r="H949" s="240"/>
      <c r="J949" s="237"/>
      <c r="K949" s="241"/>
      <c r="L949" s="241"/>
      <c r="M949" s="237"/>
      <c r="N949" s="242"/>
      <c r="O949" s="243"/>
      <c r="P949" s="244"/>
      <c r="Q949" s="245"/>
      <c r="R949" s="246"/>
      <c r="S949" s="244"/>
      <c r="T949" s="247"/>
      <c r="U949" s="247"/>
      <c r="V949" s="244"/>
      <c r="W949" s="244"/>
      <c r="X949" s="97"/>
    </row>
    <row r="950">
      <c r="A950" s="205"/>
      <c r="B950" s="235"/>
      <c r="C950" s="236"/>
      <c r="D950" s="237"/>
      <c r="E950" s="235"/>
      <c r="F950" s="235"/>
      <c r="G950" s="239"/>
      <c r="H950" s="240"/>
      <c r="J950" s="237"/>
      <c r="K950" s="241"/>
      <c r="L950" s="241"/>
      <c r="M950" s="237"/>
      <c r="N950" s="242"/>
      <c r="O950" s="243"/>
      <c r="P950" s="244"/>
      <c r="Q950" s="245"/>
      <c r="R950" s="246"/>
      <c r="S950" s="244"/>
      <c r="T950" s="247"/>
      <c r="U950" s="247"/>
      <c r="V950" s="244"/>
      <c r="W950" s="244"/>
      <c r="X950" s="97"/>
    </row>
    <row r="951">
      <c r="A951" s="205"/>
      <c r="B951" s="235"/>
      <c r="C951" s="236"/>
      <c r="D951" s="237"/>
      <c r="E951" s="235"/>
      <c r="F951" s="235"/>
      <c r="G951" s="239"/>
      <c r="H951" s="240"/>
      <c r="J951" s="237"/>
      <c r="K951" s="241"/>
      <c r="L951" s="241"/>
      <c r="M951" s="237"/>
      <c r="N951" s="242"/>
      <c r="O951" s="243"/>
      <c r="P951" s="244"/>
      <c r="Q951" s="245"/>
      <c r="R951" s="246"/>
      <c r="S951" s="244"/>
      <c r="T951" s="247"/>
      <c r="U951" s="247"/>
      <c r="V951" s="244"/>
      <c r="W951" s="244"/>
      <c r="X951" s="97"/>
    </row>
    <row r="952">
      <c r="A952" s="205"/>
      <c r="B952" s="235"/>
      <c r="C952" s="236"/>
      <c r="D952" s="237"/>
      <c r="E952" s="235"/>
      <c r="F952" s="235"/>
      <c r="G952" s="239"/>
      <c r="H952" s="240"/>
      <c r="J952" s="237"/>
      <c r="K952" s="241"/>
      <c r="L952" s="241"/>
      <c r="M952" s="237"/>
      <c r="N952" s="242"/>
      <c r="O952" s="243"/>
      <c r="P952" s="244"/>
      <c r="Q952" s="245"/>
      <c r="R952" s="246"/>
      <c r="S952" s="244"/>
      <c r="T952" s="247"/>
      <c r="U952" s="247"/>
      <c r="V952" s="244"/>
      <c r="W952" s="244"/>
      <c r="X952" s="97"/>
    </row>
    <row r="953">
      <c r="A953" s="205"/>
      <c r="B953" s="235"/>
      <c r="C953" s="236"/>
      <c r="D953" s="237"/>
      <c r="E953" s="235"/>
      <c r="F953" s="235"/>
      <c r="G953" s="239"/>
      <c r="H953" s="240"/>
      <c r="J953" s="237"/>
      <c r="K953" s="241"/>
      <c r="L953" s="241"/>
      <c r="M953" s="237"/>
      <c r="N953" s="242"/>
      <c r="O953" s="243"/>
      <c r="P953" s="244"/>
      <c r="Q953" s="245"/>
      <c r="R953" s="246"/>
      <c r="S953" s="244"/>
      <c r="T953" s="247"/>
      <c r="U953" s="247"/>
      <c r="V953" s="244"/>
      <c r="W953" s="244"/>
      <c r="X953" s="97"/>
    </row>
    <row r="954">
      <c r="A954" s="205"/>
      <c r="B954" s="235"/>
      <c r="C954" s="236"/>
      <c r="D954" s="237"/>
      <c r="E954" s="235"/>
      <c r="F954" s="235"/>
      <c r="G954" s="239"/>
      <c r="H954" s="240"/>
      <c r="J954" s="237"/>
      <c r="K954" s="241"/>
      <c r="L954" s="241"/>
      <c r="M954" s="237"/>
      <c r="N954" s="242"/>
      <c r="O954" s="243"/>
      <c r="P954" s="244"/>
      <c r="Q954" s="245"/>
      <c r="R954" s="246"/>
      <c r="S954" s="244"/>
      <c r="T954" s="247"/>
      <c r="U954" s="247"/>
      <c r="V954" s="244"/>
      <c r="W954" s="244"/>
      <c r="X954" s="97"/>
    </row>
    <row r="955">
      <c r="A955" s="205"/>
      <c r="B955" s="235"/>
      <c r="C955" s="236"/>
      <c r="D955" s="237"/>
      <c r="E955" s="235"/>
      <c r="F955" s="235"/>
      <c r="G955" s="239"/>
      <c r="H955" s="240"/>
      <c r="J955" s="237"/>
      <c r="K955" s="241"/>
      <c r="L955" s="241"/>
      <c r="M955" s="237"/>
      <c r="N955" s="242"/>
      <c r="O955" s="243"/>
      <c r="P955" s="244"/>
      <c r="Q955" s="245"/>
      <c r="R955" s="246"/>
      <c r="S955" s="244"/>
      <c r="T955" s="247"/>
      <c r="U955" s="247"/>
      <c r="V955" s="244"/>
      <c r="W955" s="244"/>
      <c r="X955" s="97"/>
    </row>
    <row r="956">
      <c r="A956" s="205"/>
      <c r="B956" s="235"/>
      <c r="C956" s="236"/>
      <c r="D956" s="237"/>
      <c r="E956" s="235"/>
      <c r="F956" s="235"/>
      <c r="G956" s="239"/>
      <c r="H956" s="240"/>
      <c r="J956" s="237"/>
      <c r="K956" s="241"/>
      <c r="L956" s="241"/>
      <c r="M956" s="237"/>
      <c r="N956" s="242"/>
      <c r="O956" s="243"/>
      <c r="P956" s="244"/>
      <c r="Q956" s="245"/>
      <c r="R956" s="246"/>
      <c r="S956" s="244"/>
      <c r="T956" s="247"/>
      <c r="U956" s="247"/>
      <c r="V956" s="244"/>
      <c r="W956" s="244"/>
      <c r="X956" s="97"/>
    </row>
    <row r="957">
      <c r="A957" s="205"/>
      <c r="B957" s="235"/>
      <c r="C957" s="236"/>
      <c r="D957" s="237"/>
      <c r="E957" s="235"/>
      <c r="F957" s="235"/>
      <c r="G957" s="239"/>
      <c r="H957" s="240"/>
      <c r="J957" s="237"/>
      <c r="K957" s="241"/>
      <c r="L957" s="241"/>
      <c r="M957" s="237"/>
      <c r="N957" s="242"/>
      <c r="O957" s="243"/>
      <c r="P957" s="244"/>
      <c r="Q957" s="245"/>
      <c r="R957" s="246"/>
      <c r="S957" s="244"/>
      <c r="T957" s="247"/>
      <c r="U957" s="247"/>
      <c r="V957" s="244"/>
      <c r="W957" s="244"/>
      <c r="X957" s="97"/>
    </row>
    <row r="958">
      <c r="A958" s="205"/>
      <c r="B958" s="235"/>
      <c r="C958" s="236"/>
      <c r="D958" s="237"/>
      <c r="E958" s="235"/>
      <c r="F958" s="235"/>
      <c r="G958" s="239"/>
      <c r="H958" s="240"/>
      <c r="J958" s="237"/>
      <c r="K958" s="241"/>
      <c r="L958" s="241"/>
      <c r="M958" s="237"/>
      <c r="N958" s="242"/>
      <c r="O958" s="243"/>
      <c r="P958" s="244"/>
      <c r="Q958" s="245"/>
      <c r="R958" s="246"/>
      <c r="S958" s="244"/>
      <c r="T958" s="247"/>
      <c r="U958" s="247"/>
      <c r="V958" s="244"/>
      <c r="W958" s="244"/>
      <c r="X958" s="97"/>
    </row>
    <row r="959">
      <c r="A959" s="205"/>
      <c r="B959" s="235"/>
      <c r="C959" s="236"/>
      <c r="D959" s="237"/>
      <c r="E959" s="235"/>
      <c r="F959" s="235"/>
      <c r="G959" s="239"/>
      <c r="H959" s="240"/>
      <c r="J959" s="237"/>
      <c r="K959" s="241"/>
      <c r="L959" s="241"/>
      <c r="M959" s="237"/>
      <c r="N959" s="242"/>
      <c r="O959" s="243"/>
      <c r="P959" s="244"/>
      <c r="Q959" s="245"/>
      <c r="R959" s="246"/>
      <c r="S959" s="244"/>
      <c r="T959" s="247"/>
      <c r="U959" s="247"/>
      <c r="V959" s="244"/>
      <c r="W959" s="244"/>
      <c r="X959" s="97"/>
    </row>
    <row r="960">
      <c r="A960" s="205"/>
      <c r="B960" s="235"/>
      <c r="C960" s="236"/>
      <c r="D960" s="237"/>
      <c r="E960" s="235"/>
      <c r="F960" s="235"/>
      <c r="G960" s="239"/>
      <c r="H960" s="240"/>
      <c r="J960" s="237"/>
      <c r="K960" s="241"/>
      <c r="L960" s="241"/>
      <c r="M960" s="237"/>
      <c r="N960" s="242"/>
      <c r="O960" s="243"/>
      <c r="P960" s="244"/>
      <c r="Q960" s="245"/>
      <c r="R960" s="246"/>
      <c r="S960" s="244"/>
      <c r="T960" s="247"/>
      <c r="U960" s="247"/>
      <c r="V960" s="244"/>
      <c r="W960" s="244"/>
      <c r="X960" s="97"/>
    </row>
    <row r="961">
      <c r="A961" s="205"/>
      <c r="B961" s="235"/>
      <c r="C961" s="236"/>
      <c r="D961" s="237"/>
      <c r="E961" s="235"/>
      <c r="F961" s="235"/>
      <c r="G961" s="239"/>
      <c r="H961" s="240"/>
      <c r="J961" s="237"/>
      <c r="K961" s="241"/>
      <c r="L961" s="241"/>
      <c r="M961" s="237"/>
      <c r="N961" s="242"/>
      <c r="O961" s="243"/>
      <c r="P961" s="244"/>
      <c r="Q961" s="245"/>
      <c r="R961" s="246"/>
      <c r="S961" s="244"/>
      <c r="T961" s="247"/>
      <c r="U961" s="247"/>
      <c r="V961" s="244"/>
      <c r="W961" s="244"/>
      <c r="X961" s="97"/>
    </row>
    <row r="962">
      <c r="A962" s="205"/>
      <c r="B962" s="235"/>
      <c r="C962" s="236"/>
      <c r="D962" s="237"/>
      <c r="E962" s="235"/>
      <c r="F962" s="235"/>
      <c r="G962" s="239"/>
      <c r="H962" s="240"/>
      <c r="J962" s="237"/>
      <c r="K962" s="241"/>
      <c r="L962" s="241"/>
      <c r="M962" s="237"/>
      <c r="N962" s="242"/>
      <c r="O962" s="243"/>
      <c r="P962" s="244"/>
      <c r="Q962" s="245"/>
      <c r="R962" s="246"/>
      <c r="S962" s="244"/>
      <c r="T962" s="247"/>
      <c r="U962" s="247"/>
      <c r="V962" s="244"/>
      <c r="W962" s="244"/>
      <c r="X962" s="97"/>
    </row>
    <row r="963">
      <c r="A963" s="205"/>
      <c r="B963" s="235"/>
      <c r="C963" s="236"/>
      <c r="D963" s="237"/>
      <c r="E963" s="235"/>
      <c r="F963" s="235"/>
      <c r="G963" s="239"/>
      <c r="H963" s="240"/>
      <c r="J963" s="237"/>
      <c r="K963" s="241"/>
      <c r="L963" s="241"/>
      <c r="M963" s="237"/>
      <c r="N963" s="242"/>
      <c r="O963" s="243"/>
      <c r="P963" s="244"/>
      <c r="Q963" s="245"/>
      <c r="R963" s="246"/>
      <c r="S963" s="244"/>
      <c r="T963" s="247"/>
      <c r="U963" s="247"/>
      <c r="V963" s="244"/>
      <c r="W963" s="244"/>
      <c r="X963" s="97"/>
    </row>
    <row r="964">
      <c r="A964" s="205"/>
      <c r="B964" s="235"/>
      <c r="C964" s="236"/>
      <c r="D964" s="237"/>
      <c r="E964" s="235"/>
      <c r="F964" s="235"/>
      <c r="G964" s="239"/>
      <c r="H964" s="240"/>
      <c r="J964" s="237"/>
      <c r="K964" s="241"/>
      <c r="L964" s="241"/>
      <c r="M964" s="237"/>
      <c r="N964" s="242"/>
      <c r="O964" s="243"/>
      <c r="P964" s="244"/>
      <c r="Q964" s="245"/>
      <c r="R964" s="246"/>
      <c r="S964" s="244"/>
      <c r="T964" s="247"/>
      <c r="U964" s="247"/>
      <c r="V964" s="244"/>
      <c r="W964" s="244"/>
      <c r="X964" s="97"/>
    </row>
    <row r="965">
      <c r="A965" s="205"/>
      <c r="B965" s="235"/>
      <c r="C965" s="236"/>
      <c r="D965" s="237"/>
      <c r="E965" s="235"/>
      <c r="F965" s="235"/>
      <c r="G965" s="239"/>
      <c r="H965" s="240"/>
      <c r="J965" s="237"/>
      <c r="K965" s="241"/>
      <c r="L965" s="241"/>
      <c r="M965" s="237"/>
      <c r="N965" s="242"/>
      <c r="O965" s="243"/>
      <c r="P965" s="244"/>
      <c r="Q965" s="245"/>
      <c r="R965" s="246"/>
      <c r="S965" s="244"/>
      <c r="T965" s="247"/>
      <c r="U965" s="247"/>
      <c r="V965" s="244"/>
      <c r="W965" s="244"/>
      <c r="X965" s="97"/>
    </row>
    <row r="966">
      <c r="A966" s="205"/>
      <c r="B966" s="235"/>
      <c r="C966" s="236"/>
      <c r="D966" s="237"/>
      <c r="E966" s="235"/>
      <c r="F966" s="235"/>
      <c r="G966" s="239"/>
      <c r="H966" s="240"/>
      <c r="J966" s="237"/>
      <c r="K966" s="241"/>
      <c r="L966" s="241"/>
      <c r="M966" s="237"/>
      <c r="N966" s="242"/>
      <c r="O966" s="243"/>
      <c r="P966" s="244"/>
      <c r="Q966" s="245"/>
      <c r="R966" s="246"/>
      <c r="S966" s="244"/>
      <c r="T966" s="247"/>
      <c r="U966" s="247"/>
      <c r="V966" s="244"/>
      <c r="W966" s="244"/>
      <c r="X966" s="97"/>
    </row>
    <row r="967">
      <c r="A967" s="205"/>
      <c r="B967" s="235"/>
      <c r="C967" s="236"/>
      <c r="D967" s="237"/>
      <c r="E967" s="235"/>
      <c r="F967" s="235"/>
      <c r="G967" s="239"/>
      <c r="H967" s="240"/>
      <c r="J967" s="237"/>
      <c r="K967" s="241"/>
      <c r="L967" s="241"/>
      <c r="M967" s="237"/>
      <c r="N967" s="242"/>
      <c r="O967" s="243"/>
      <c r="P967" s="244"/>
      <c r="Q967" s="245"/>
      <c r="R967" s="246"/>
      <c r="S967" s="244"/>
      <c r="T967" s="247"/>
      <c r="U967" s="247"/>
      <c r="V967" s="244"/>
      <c r="W967" s="244"/>
      <c r="X967" s="97"/>
    </row>
    <row r="968">
      <c r="A968" s="205"/>
      <c r="B968" s="235"/>
      <c r="C968" s="236"/>
      <c r="D968" s="237"/>
      <c r="E968" s="235"/>
      <c r="F968" s="235"/>
      <c r="G968" s="239"/>
      <c r="H968" s="240"/>
      <c r="J968" s="237"/>
      <c r="K968" s="241"/>
      <c r="L968" s="241"/>
      <c r="M968" s="237"/>
      <c r="N968" s="242"/>
      <c r="O968" s="243"/>
      <c r="P968" s="244"/>
      <c r="Q968" s="245"/>
      <c r="R968" s="246"/>
      <c r="S968" s="244"/>
      <c r="T968" s="247"/>
      <c r="U968" s="247"/>
      <c r="V968" s="244"/>
      <c r="W968" s="244"/>
      <c r="X968" s="97"/>
    </row>
    <row r="969">
      <c r="A969" s="205"/>
      <c r="B969" s="235"/>
      <c r="C969" s="236"/>
      <c r="D969" s="237"/>
      <c r="E969" s="235"/>
      <c r="F969" s="235"/>
      <c r="G969" s="239"/>
      <c r="H969" s="240"/>
      <c r="J969" s="237"/>
      <c r="K969" s="241"/>
      <c r="L969" s="241"/>
      <c r="M969" s="237"/>
      <c r="N969" s="242"/>
      <c r="O969" s="243"/>
      <c r="P969" s="244"/>
      <c r="Q969" s="245"/>
      <c r="R969" s="246"/>
      <c r="S969" s="244"/>
      <c r="T969" s="247"/>
      <c r="U969" s="247"/>
      <c r="V969" s="244"/>
      <c r="W969" s="244"/>
      <c r="X969" s="97"/>
    </row>
    <row r="970">
      <c r="A970" s="205"/>
      <c r="B970" s="235"/>
      <c r="C970" s="236"/>
      <c r="D970" s="237"/>
      <c r="E970" s="235"/>
      <c r="F970" s="235"/>
      <c r="G970" s="239"/>
      <c r="H970" s="240"/>
      <c r="J970" s="237"/>
      <c r="K970" s="241"/>
      <c r="L970" s="241"/>
      <c r="M970" s="237"/>
      <c r="N970" s="242"/>
      <c r="O970" s="243"/>
      <c r="P970" s="244"/>
      <c r="Q970" s="245"/>
      <c r="R970" s="246"/>
      <c r="S970" s="244"/>
      <c r="T970" s="247"/>
      <c r="U970" s="247"/>
      <c r="V970" s="244"/>
      <c r="W970" s="244"/>
      <c r="X970" s="97"/>
    </row>
    <row r="971">
      <c r="A971" s="205"/>
      <c r="B971" s="235"/>
      <c r="C971" s="236"/>
      <c r="D971" s="237"/>
      <c r="E971" s="235"/>
      <c r="F971" s="235"/>
      <c r="G971" s="239"/>
      <c r="H971" s="240"/>
      <c r="J971" s="237"/>
      <c r="K971" s="241"/>
      <c r="L971" s="241"/>
      <c r="M971" s="237"/>
      <c r="N971" s="242"/>
      <c r="O971" s="243"/>
      <c r="P971" s="244"/>
      <c r="Q971" s="245"/>
      <c r="R971" s="246"/>
      <c r="S971" s="244"/>
      <c r="T971" s="247"/>
      <c r="U971" s="247"/>
      <c r="V971" s="244"/>
      <c r="W971" s="244"/>
      <c r="X971" s="97"/>
    </row>
    <row r="972">
      <c r="A972" s="205"/>
      <c r="B972" s="235"/>
      <c r="C972" s="236"/>
      <c r="D972" s="237"/>
      <c r="E972" s="235"/>
      <c r="F972" s="235"/>
      <c r="G972" s="239"/>
      <c r="H972" s="240"/>
      <c r="J972" s="237"/>
      <c r="K972" s="241"/>
      <c r="L972" s="241"/>
      <c r="M972" s="237"/>
      <c r="N972" s="242"/>
      <c r="O972" s="243"/>
      <c r="P972" s="244"/>
      <c r="Q972" s="245"/>
      <c r="R972" s="246"/>
      <c r="S972" s="244"/>
      <c r="T972" s="247"/>
      <c r="U972" s="247"/>
      <c r="V972" s="244"/>
      <c r="W972" s="244"/>
      <c r="X972" s="97"/>
    </row>
    <row r="973">
      <c r="A973" s="205"/>
      <c r="B973" s="235"/>
      <c r="C973" s="236"/>
      <c r="D973" s="237"/>
      <c r="E973" s="235"/>
      <c r="F973" s="235"/>
      <c r="G973" s="239"/>
      <c r="H973" s="240"/>
      <c r="J973" s="237"/>
      <c r="K973" s="241"/>
      <c r="L973" s="241"/>
      <c r="M973" s="237"/>
      <c r="N973" s="242"/>
      <c r="O973" s="243"/>
      <c r="P973" s="244"/>
      <c r="Q973" s="245"/>
      <c r="R973" s="246"/>
      <c r="S973" s="244"/>
      <c r="T973" s="247"/>
      <c r="U973" s="247"/>
      <c r="V973" s="244"/>
      <c r="W973" s="244"/>
      <c r="X973" s="97"/>
    </row>
    <row r="974">
      <c r="A974" s="205"/>
      <c r="B974" s="235"/>
      <c r="C974" s="236"/>
      <c r="D974" s="237"/>
      <c r="E974" s="235"/>
      <c r="F974" s="235"/>
      <c r="G974" s="239"/>
      <c r="H974" s="240"/>
      <c r="J974" s="237"/>
      <c r="K974" s="241"/>
      <c r="L974" s="241"/>
      <c r="M974" s="237"/>
      <c r="N974" s="242"/>
      <c r="O974" s="243"/>
      <c r="P974" s="244"/>
      <c r="Q974" s="245"/>
      <c r="R974" s="246"/>
      <c r="S974" s="244"/>
      <c r="T974" s="247"/>
      <c r="U974" s="247"/>
      <c r="V974" s="244"/>
      <c r="W974" s="244"/>
      <c r="X974" s="97"/>
    </row>
    <row r="975">
      <c r="A975" s="205"/>
      <c r="B975" s="235"/>
      <c r="C975" s="236"/>
      <c r="D975" s="237"/>
      <c r="E975" s="235"/>
      <c r="F975" s="235"/>
      <c r="G975" s="239"/>
      <c r="H975" s="240"/>
      <c r="J975" s="237"/>
      <c r="K975" s="241"/>
      <c r="L975" s="241"/>
      <c r="M975" s="237"/>
      <c r="N975" s="242"/>
      <c r="O975" s="243"/>
      <c r="P975" s="244"/>
      <c r="Q975" s="245"/>
      <c r="R975" s="246"/>
      <c r="S975" s="244"/>
      <c r="T975" s="247"/>
      <c r="U975" s="247"/>
      <c r="V975" s="244"/>
      <c r="W975" s="244"/>
      <c r="X975" s="97"/>
    </row>
    <row r="976">
      <c r="A976" s="205"/>
      <c r="B976" s="235"/>
      <c r="C976" s="236"/>
      <c r="D976" s="237"/>
      <c r="E976" s="235"/>
      <c r="F976" s="235"/>
      <c r="G976" s="239"/>
      <c r="H976" s="240"/>
      <c r="J976" s="237"/>
      <c r="K976" s="241"/>
      <c r="L976" s="241"/>
      <c r="M976" s="237"/>
      <c r="N976" s="242"/>
      <c r="O976" s="243"/>
      <c r="P976" s="244"/>
      <c r="Q976" s="245"/>
      <c r="R976" s="246"/>
      <c r="S976" s="244"/>
      <c r="T976" s="247"/>
      <c r="U976" s="247"/>
      <c r="V976" s="244"/>
      <c r="W976" s="244"/>
      <c r="X976" s="97"/>
    </row>
    <row r="977">
      <c r="A977" s="205"/>
      <c r="B977" s="235"/>
      <c r="C977" s="236"/>
      <c r="D977" s="237"/>
      <c r="E977" s="235"/>
      <c r="F977" s="235"/>
      <c r="G977" s="239"/>
      <c r="H977" s="240"/>
      <c r="J977" s="237"/>
      <c r="K977" s="241"/>
      <c r="L977" s="241"/>
      <c r="M977" s="237"/>
      <c r="N977" s="242"/>
      <c r="O977" s="243"/>
      <c r="P977" s="244"/>
      <c r="Q977" s="245"/>
      <c r="R977" s="246"/>
      <c r="S977" s="244"/>
      <c r="T977" s="247"/>
      <c r="U977" s="247"/>
      <c r="V977" s="244"/>
      <c r="W977" s="244"/>
      <c r="X977" s="97"/>
    </row>
    <row r="978">
      <c r="A978" s="205"/>
      <c r="B978" s="235"/>
      <c r="C978" s="236"/>
      <c r="D978" s="237"/>
      <c r="E978" s="235"/>
      <c r="F978" s="235"/>
      <c r="G978" s="239"/>
      <c r="H978" s="240"/>
      <c r="J978" s="237"/>
      <c r="K978" s="241"/>
      <c r="L978" s="241"/>
      <c r="M978" s="237"/>
      <c r="N978" s="242"/>
      <c r="O978" s="243"/>
      <c r="P978" s="244"/>
      <c r="Q978" s="245"/>
      <c r="R978" s="246"/>
      <c r="S978" s="244"/>
      <c r="T978" s="247"/>
      <c r="U978" s="247"/>
      <c r="V978" s="244"/>
      <c r="W978" s="244"/>
      <c r="X978" s="97"/>
    </row>
    <row r="979">
      <c r="A979" s="205"/>
      <c r="B979" s="235"/>
      <c r="C979" s="236"/>
      <c r="D979" s="237"/>
      <c r="E979" s="235"/>
      <c r="F979" s="235"/>
      <c r="G979" s="239"/>
      <c r="H979" s="240"/>
      <c r="J979" s="237"/>
      <c r="K979" s="241"/>
      <c r="L979" s="241"/>
      <c r="M979" s="237"/>
      <c r="N979" s="242"/>
      <c r="O979" s="243"/>
      <c r="P979" s="244"/>
      <c r="Q979" s="245"/>
      <c r="R979" s="246"/>
      <c r="S979" s="244"/>
      <c r="T979" s="247"/>
      <c r="U979" s="247"/>
      <c r="V979" s="244"/>
      <c r="W979" s="244"/>
      <c r="X979" s="97"/>
    </row>
    <row r="980">
      <c r="A980" s="205"/>
      <c r="B980" s="235"/>
      <c r="C980" s="236"/>
      <c r="D980" s="237"/>
      <c r="E980" s="235"/>
      <c r="F980" s="235"/>
      <c r="G980" s="239"/>
      <c r="H980" s="240"/>
      <c r="J980" s="237"/>
      <c r="K980" s="241"/>
      <c r="L980" s="241"/>
      <c r="M980" s="237"/>
      <c r="N980" s="242"/>
      <c r="O980" s="243"/>
      <c r="P980" s="244"/>
      <c r="Q980" s="245"/>
      <c r="R980" s="246"/>
      <c r="S980" s="244"/>
      <c r="T980" s="247"/>
      <c r="U980" s="247"/>
      <c r="V980" s="244"/>
      <c r="W980" s="244"/>
      <c r="X980" s="97"/>
    </row>
    <row r="981">
      <c r="A981" s="205"/>
      <c r="B981" s="235"/>
      <c r="C981" s="236"/>
      <c r="D981" s="237"/>
      <c r="E981" s="235"/>
      <c r="F981" s="235"/>
      <c r="G981" s="239"/>
      <c r="H981" s="240"/>
      <c r="J981" s="237"/>
      <c r="K981" s="241"/>
      <c r="L981" s="241"/>
      <c r="M981" s="237"/>
      <c r="N981" s="242"/>
      <c r="O981" s="243"/>
      <c r="P981" s="244"/>
      <c r="Q981" s="245"/>
      <c r="R981" s="246"/>
      <c r="S981" s="244"/>
      <c r="T981" s="247"/>
      <c r="U981" s="247"/>
      <c r="V981" s="244"/>
      <c r="W981" s="244"/>
      <c r="X981" s="97"/>
    </row>
    <row r="982">
      <c r="A982" s="205"/>
      <c r="B982" s="235"/>
      <c r="C982" s="236"/>
      <c r="D982" s="237"/>
      <c r="E982" s="235"/>
      <c r="F982" s="235"/>
      <c r="G982" s="239"/>
      <c r="H982" s="240"/>
      <c r="J982" s="237"/>
      <c r="K982" s="241"/>
      <c r="L982" s="241"/>
      <c r="M982" s="237"/>
      <c r="N982" s="242"/>
      <c r="O982" s="243"/>
      <c r="P982" s="244"/>
      <c r="Q982" s="245"/>
      <c r="R982" s="246"/>
      <c r="S982" s="244"/>
      <c r="T982" s="247"/>
      <c r="U982" s="247"/>
      <c r="V982" s="244"/>
      <c r="W982" s="244"/>
      <c r="X982" s="97"/>
    </row>
    <row r="983">
      <c r="A983" s="205"/>
      <c r="B983" s="235"/>
      <c r="C983" s="236"/>
      <c r="D983" s="237"/>
      <c r="E983" s="235"/>
      <c r="F983" s="235"/>
      <c r="G983" s="239"/>
      <c r="H983" s="240"/>
      <c r="J983" s="237"/>
      <c r="K983" s="241"/>
      <c r="L983" s="241"/>
      <c r="M983" s="237"/>
      <c r="N983" s="242"/>
      <c r="O983" s="243"/>
      <c r="P983" s="244"/>
      <c r="Q983" s="245"/>
      <c r="R983" s="246"/>
      <c r="S983" s="244"/>
      <c r="T983" s="247"/>
      <c r="U983" s="247"/>
      <c r="V983" s="244"/>
      <c r="W983" s="244"/>
      <c r="X983" s="97"/>
    </row>
    <row r="984">
      <c r="A984" s="205"/>
      <c r="B984" s="235"/>
      <c r="C984" s="236"/>
      <c r="D984" s="237"/>
      <c r="E984" s="235"/>
      <c r="F984" s="235"/>
      <c r="G984" s="239"/>
      <c r="H984" s="240"/>
      <c r="J984" s="237"/>
      <c r="K984" s="241"/>
      <c r="L984" s="241"/>
      <c r="M984" s="237"/>
      <c r="N984" s="242"/>
      <c r="O984" s="243"/>
      <c r="P984" s="244"/>
      <c r="Q984" s="245"/>
      <c r="R984" s="246"/>
      <c r="S984" s="244"/>
      <c r="T984" s="247"/>
      <c r="U984" s="247"/>
      <c r="V984" s="244"/>
      <c r="W984" s="244"/>
      <c r="X984" s="97"/>
    </row>
    <row r="985">
      <c r="A985" s="205"/>
      <c r="B985" s="235"/>
      <c r="C985" s="236"/>
      <c r="D985" s="237"/>
      <c r="E985" s="235"/>
      <c r="F985" s="235"/>
      <c r="G985" s="239"/>
      <c r="H985" s="240"/>
      <c r="J985" s="237"/>
      <c r="K985" s="241"/>
      <c r="L985" s="241"/>
      <c r="M985" s="237"/>
      <c r="N985" s="242"/>
      <c r="O985" s="243"/>
      <c r="P985" s="244"/>
      <c r="Q985" s="245"/>
      <c r="R985" s="246"/>
      <c r="S985" s="244"/>
      <c r="T985" s="247"/>
      <c r="U985" s="247"/>
      <c r="V985" s="244"/>
      <c r="W985" s="244"/>
      <c r="X985" s="97"/>
    </row>
    <row r="986">
      <c r="A986" s="205"/>
      <c r="B986" s="235"/>
      <c r="C986" s="236"/>
      <c r="D986" s="237"/>
      <c r="E986" s="235"/>
      <c r="F986" s="235"/>
      <c r="G986" s="239"/>
      <c r="H986" s="240"/>
      <c r="J986" s="237"/>
      <c r="K986" s="241"/>
      <c r="L986" s="241"/>
      <c r="M986" s="237"/>
      <c r="N986" s="242"/>
      <c r="O986" s="243"/>
      <c r="P986" s="244"/>
      <c r="Q986" s="245"/>
      <c r="R986" s="246"/>
      <c r="S986" s="244"/>
      <c r="T986" s="247"/>
      <c r="U986" s="247"/>
      <c r="V986" s="244"/>
      <c r="W986" s="244"/>
      <c r="X986" s="97"/>
    </row>
    <row r="987">
      <c r="A987" s="205"/>
      <c r="B987" s="235"/>
      <c r="C987" s="236"/>
      <c r="D987" s="237"/>
      <c r="E987" s="235"/>
      <c r="F987" s="235"/>
      <c r="G987" s="239"/>
      <c r="H987" s="240"/>
      <c r="J987" s="237"/>
      <c r="K987" s="241"/>
      <c r="L987" s="241"/>
      <c r="M987" s="237"/>
      <c r="N987" s="242"/>
      <c r="O987" s="243"/>
      <c r="P987" s="244"/>
      <c r="Q987" s="245"/>
      <c r="R987" s="246"/>
      <c r="S987" s="244"/>
      <c r="T987" s="247"/>
      <c r="U987" s="247"/>
      <c r="V987" s="244"/>
      <c r="W987" s="244"/>
      <c r="X987" s="97"/>
    </row>
    <row r="988">
      <c r="A988" s="205"/>
      <c r="B988" s="235"/>
      <c r="C988" s="236"/>
      <c r="D988" s="237"/>
      <c r="E988" s="235"/>
      <c r="F988" s="235"/>
      <c r="G988" s="239"/>
      <c r="H988" s="240"/>
      <c r="J988" s="237"/>
      <c r="K988" s="241"/>
      <c r="L988" s="241"/>
      <c r="M988" s="237"/>
      <c r="N988" s="242"/>
      <c r="O988" s="243"/>
      <c r="P988" s="244"/>
      <c r="Q988" s="245"/>
      <c r="R988" s="246"/>
      <c r="S988" s="244"/>
      <c r="T988" s="247"/>
      <c r="U988" s="247"/>
      <c r="V988" s="244"/>
      <c r="W988" s="244"/>
      <c r="X988" s="97"/>
    </row>
    <row r="989">
      <c r="A989" s="205"/>
      <c r="B989" s="235"/>
      <c r="C989" s="236"/>
      <c r="D989" s="237"/>
      <c r="E989" s="235"/>
      <c r="F989" s="235"/>
      <c r="G989" s="239"/>
      <c r="H989" s="240"/>
      <c r="J989" s="237"/>
      <c r="K989" s="241"/>
      <c r="L989" s="241"/>
      <c r="M989" s="237"/>
      <c r="N989" s="242"/>
      <c r="O989" s="243"/>
      <c r="P989" s="244"/>
      <c r="Q989" s="245"/>
      <c r="R989" s="246"/>
      <c r="S989" s="244"/>
      <c r="T989" s="247"/>
      <c r="U989" s="247"/>
      <c r="V989" s="244"/>
      <c r="W989" s="244"/>
      <c r="X989" s="97"/>
    </row>
    <row r="990">
      <c r="A990" s="205"/>
      <c r="B990" s="235"/>
      <c r="C990" s="236"/>
      <c r="D990" s="237"/>
      <c r="E990" s="235"/>
      <c r="F990" s="235"/>
      <c r="G990" s="239"/>
      <c r="H990" s="240"/>
      <c r="J990" s="237"/>
      <c r="K990" s="241"/>
      <c r="L990" s="241"/>
      <c r="M990" s="237"/>
      <c r="N990" s="242"/>
      <c r="O990" s="243"/>
      <c r="P990" s="244"/>
      <c r="Q990" s="245"/>
      <c r="R990" s="246"/>
      <c r="S990" s="244"/>
      <c r="T990" s="247"/>
      <c r="U990" s="247"/>
      <c r="V990" s="244"/>
      <c r="W990" s="244"/>
      <c r="X990" s="97"/>
    </row>
    <row r="991">
      <c r="A991" s="205"/>
      <c r="B991" s="235"/>
      <c r="C991" s="236"/>
      <c r="D991" s="237"/>
      <c r="E991" s="235"/>
      <c r="F991" s="235"/>
      <c r="G991" s="239"/>
      <c r="H991" s="240"/>
      <c r="J991" s="237"/>
      <c r="K991" s="241"/>
      <c r="L991" s="241"/>
      <c r="M991" s="237"/>
      <c r="N991" s="242"/>
      <c r="O991" s="243"/>
      <c r="P991" s="244"/>
      <c r="Q991" s="245"/>
      <c r="R991" s="246"/>
      <c r="S991" s="244"/>
      <c r="T991" s="247"/>
      <c r="U991" s="247"/>
      <c r="V991" s="244"/>
      <c r="W991" s="244"/>
      <c r="X991" s="97"/>
    </row>
    <row r="992">
      <c r="A992" s="205"/>
      <c r="B992" s="235"/>
      <c r="C992" s="236"/>
      <c r="D992" s="237"/>
      <c r="E992" s="235"/>
      <c r="F992" s="235"/>
      <c r="G992" s="239"/>
      <c r="H992" s="240"/>
      <c r="J992" s="237"/>
      <c r="K992" s="241"/>
      <c r="L992" s="241"/>
      <c r="M992" s="237"/>
      <c r="N992" s="242"/>
      <c r="O992" s="243"/>
      <c r="P992" s="244"/>
      <c r="Q992" s="245"/>
      <c r="R992" s="246"/>
      <c r="S992" s="244"/>
      <c r="T992" s="247"/>
      <c r="U992" s="247"/>
      <c r="V992" s="244"/>
      <c r="W992" s="244"/>
      <c r="X992" s="97"/>
    </row>
    <row r="993">
      <c r="A993" s="205"/>
      <c r="B993" s="235"/>
      <c r="C993" s="236"/>
      <c r="D993" s="237"/>
      <c r="E993" s="235"/>
      <c r="F993" s="235"/>
      <c r="G993" s="239"/>
      <c r="H993" s="240"/>
      <c r="J993" s="237"/>
      <c r="K993" s="241"/>
      <c r="L993" s="241"/>
      <c r="M993" s="237"/>
      <c r="N993" s="242"/>
      <c r="O993" s="243"/>
      <c r="P993" s="244"/>
      <c r="Q993" s="245"/>
      <c r="R993" s="246"/>
      <c r="S993" s="244"/>
      <c r="T993" s="247"/>
      <c r="U993" s="247"/>
      <c r="V993" s="244"/>
      <c r="W993" s="244"/>
      <c r="X993" s="97"/>
    </row>
    <row r="994">
      <c r="A994" s="205"/>
      <c r="B994" s="235"/>
      <c r="C994" s="236"/>
      <c r="D994" s="237"/>
      <c r="E994" s="235"/>
      <c r="F994" s="235"/>
      <c r="G994" s="239"/>
      <c r="H994" s="240"/>
      <c r="J994" s="237"/>
      <c r="K994" s="241"/>
      <c r="L994" s="241"/>
      <c r="M994" s="237"/>
      <c r="N994" s="242"/>
      <c r="O994" s="243"/>
      <c r="P994" s="244"/>
      <c r="Q994" s="245"/>
      <c r="R994" s="246"/>
      <c r="S994" s="244"/>
      <c r="T994" s="247"/>
      <c r="U994" s="247"/>
      <c r="V994" s="244"/>
      <c r="W994" s="244"/>
      <c r="X994" s="97"/>
    </row>
    <row r="995">
      <c r="A995" s="205"/>
      <c r="B995" s="235"/>
      <c r="C995" s="236"/>
      <c r="D995" s="237"/>
      <c r="E995" s="235"/>
      <c r="F995" s="235"/>
      <c r="G995" s="239"/>
      <c r="H995" s="240"/>
      <c r="J995" s="237"/>
      <c r="K995" s="241"/>
      <c r="L995" s="241"/>
      <c r="M995" s="237"/>
      <c r="N995" s="242"/>
      <c r="O995" s="243"/>
      <c r="P995" s="244"/>
      <c r="Q995" s="245"/>
      <c r="R995" s="246"/>
      <c r="S995" s="244"/>
      <c r="T995" s="247"/>
      <c r="U995" s="247"/>
      <c r="V995" s="244"/>
      <c r="W995" s="244"/>
      <c r="X995" s="97"/>
    </row>
    <row r="996">
      <c r="A996" s="205"/>
      <c r="B996" s="235"/>
      <c r="C996" s="236"/>
      <c r="D996" s="237"/>
      <c r="E996" s="235"/>
      <c r="F996" s="235"/>
      <c r="G996" s="239"/>
      <c r="H996" s="240"/>
      <c r="J996" s="237"/>
      <c r="K996" s="241"/>
      <c r="L996" s="241"/>
      <c r="M996" s="237"/>
      <c r="N996" s="242"/>
      <c r="O996" s="243"/>
      <c r="P996" s="244"/>
      <c r="Q996" s="245"/>
      <c r="R996" s="246"/>
      <c r="S996" s="244"/>
      <c r="T996" s="247"/>
      <c r="U996" s="247"/>
      <c r="V996" s="244"/>
      <c r="W996" s="244"/>
      <c r="X996" s="97"/>
    </row>
    <row r="997">
      <c r="A997" s="205"/>
      <c r="B997" s="235"/>
      <c r="C997" s="236"/>
      <c r="D997" s="237"/>
      <c r="E997" s="235"/>
      <c r="F997" s="235"/>
      <c r="G997" s="239"/>
      <c r="H997" s="240"/>
      <c r="J997" s="237"/>
      <c r="K997" s="241"/>
      <c r="L997" s="241"/>
      <c r="M997" s="237"/>
      <c r="N997" s="242"/>
      <c r="O997" s="243"/>
      <c r="P997" s="244"/>
      <c r="Q997" s="245"/>
      <c r="R997" s="246"/>
      <c r="S997" s="244"/>
      <c r="T997" s="247"/>
      <c r="U997" s="247"/>
      <c r="V997" s="244"/>
      <c r="W997" s="244"/>
      <c r="X997" s="97"/>
    </row>
    <row r="998">
      <c r="A998" s="205"/>
      <c r="B998" s="235"/>
      <c r="C998" s="236"/>
      <c r="D998" s="237"/>
      <c r="E998" s="235"/>
      <c r="F998" s="235"/>
      <c r="G998" s="239"/>
      <c r="H998" s="240"/>
      <c r="J998" s="237"/>
      <c r="K998" s="241"/>
      <c r="L998" s="241"/>
      <c r="M998" s="237"/>
      <c r="N998" s="242"/>
      <c r="O998" s="243"/>
      <c r="P998" s="244"/>
      <c r="Q998" s="245"/>
      <c r="R998" s="246"/>
      <c r="S998" s="244"/>
      <c r="T998" s="247"/>
      <c r="U998" s="247"/>
      <c r="V998" s="244"/>
      <c r="W998" s="244"/>
      <c r="X998" s="97"/>
    </row>
    <row r="999">
      <c r="A999" s="205"/>
      <c r="B999" s="235"/>
      <c r="C999" s="236"/>
      <c r="D999" s="237"/>
      <c r="E999" s="235"/>
      <c r="F999" s="235"/>
      <c r="G999" s="239"/>
      <c r="H999" s="240"/>
      <c r="J999" s="237"/>
      <c r="K999" s="241"/>
      <c r="L999" s="241"/>
      <c r="M999" s="237"/>
      <c r="N999" s="242"/>
      <c r="O999" s="243"/>
      <c r="P999" s="244"/>
      <c r="Q999" s="245"/>
      <c r="R999" s="246"/>
      <c r="S999" s="244"/>
      <c r="T999" s="247"/>
      <c r="U999" s="247"/>
      <c r="V999" s="244"/>
      <c r="W999" s="244"/>
      <c r="X999" s="97"/>
    </row>
    <row r="1000">
      <c r="A1000" s="205"/>
      <c r="B1000" s="235"/>
      <c r="C1000" s="236"/>
      <c r="D1000" s="237"/>
      <c r="E1000" s="235"/>
      <c r="F1000" s="235"/>
      <c r="G1000" s="239"/>
      <c r="H1000" s="240"/>
      <c r="J1000" s="237"/>
      <c r="K1000" s="241"/>
      <c r="L1000" s="241"/>
      <c r="M1000" s="237"/>
      <c r="N1000" s="242"/>
      <c r="O1000" s="243"/>
      <c r="P1000" s="244"/>
      <c r="Q1000" s="245"/>
      <c r="R1000" s="246"/>
      <c r="S1000" s="244"/>
      <c r="T1000" s="247"/>
      <c r="U1000" s="247"/>
      <c r="V1000" s="244"/>
      <c r="W1000" s="244"/>
      <c r="X1000" s="97"/>
    </row>
    <row r="1001">
      <c r="A1001" s="205"/>
      <c r="B1001" s="235"/>
      <c r="C1001" s="236"/>
      <c r="D1001" s="237"/>
      <c r="E1001" s="235"/>
      <c r="F1001" s="235"/>
      <c r="G1001" s="239"/>
      <c r="H1001" s="240"/>
      <c r="J1001" s="237"/>
      <c r="K1001" s="241"/>
      <c r="L1001" s="241"/>
      <c r="M1001" s="237"/>
      <c r="N1001" s="242"/>
      <c r="O1001" s="243"/>
      <c r="P1001" s="244"/>
      <c r="Q1001" s="245"/>
      <c r="R1001" s="246"/>
      <c r="S1001" s="244"/>
      <c r="T1001" s="247"/>
      <c r="U1001" s="247"/>
      <c r="V1001" s="244"/>
      <c r="W1001" s="244"/>
      <c r="X1001" s="97"/>
    </row>
    <row r="1002">
      <c r="A1002" s="205"/>
      <c r="B1002" s="235"/>
      <c r="C1002" s="236"/>
      <c r="D1002" s="237"/>
      <c r="E1002" s="235"/>
      <c r="F1002" s="235"/>
      <c r="G1002" s="239"/>
      <c r="H1002" s="240"/>
      <c r="J1002" s="237"/>
      <c r="K1002" s="241"/>
      <c r="L1002" s="241"/>
      <c r="M1002" s="237"/>
      <c r="N1002" s="242"/>
      <c r="O1002" s="243"/>
      <c r="P1002" s="244"/>
      <c r="Q1002" s="245"/>
      <c r="R1002" s="246"/>
      <c r="S1002" s="244"/>
      <c r="T1002" s="247"/>
      <c r="U1002" s="247"/>
      <c r="V1002" s="244"/>
      <c r="W1002" s="244"/>
      <c r="X1002" s="97"/>
    </row>
    <row r="1003">
      <c r="A1003" s="205"/>
      <c r="B1003" s="235"/>
      <c r="C1003" s="236"/>
      <c r="D1003" s="237"/>
      <c r="E1003" s="235"/>
      <c r="F1003" s="235"/>
      <c r="G1003" s="239"/>
      <c r="H1003" s="240"/>
      <c r="J1003" s="237"/>
      <c r="K1003" s="241"/>
      <c r="L1003" s="241"/>
      <c r="M1003" s="237"/>
      <c r="N1003" s="242"/>
      <c r="O1003" s="243"/>
      <c r="P1003" s="244"/>
      <c r="Q1003" s="245"/>
      <c r="R1003" s="246"/>
      <c r="S1003" s="244"/>
      <c r="T1003" s="247"/>
      <c r="U1003" s="247"/>
      <c r="V1003" s="244"/>
      <c r="W1003" s="244"/>
      <c r="X1003" s="97"/>
    </row>
    <row r="1004">
      <c r="A1004" s="205"/>
      <c r="B1004" s="235"/>
      <c r="C1004" s="236"/>
      <c r="D1004" s="237"/>
      <c r="E1004" s="235"/>
      <c r="F1004" s="235"/>
      <c r="G1004" s="239"/>
      <c r="H1004" s="240"/>
      <c r="J1004" s="237"/>
      <c r="K1004" s="241"/>
      <c r="L1004" s="241"/>
      <c r="M1004" s="237"/>
      <c r="N1004" s="242"/>
      <c r="O1004" s="243"/>
      <c r="P1004" s="244"/>
      <c r="Q1004" s="245"/>
      <c r="R1004" s="246"/>
      <c r="S1004" s="244"/>
      <c r="T1004" s="247"/>
      <c r="U1004" s="247"/>
      <c r="V1004" s="244"/>
      <c r="W1004" s="244"/>
      <c r="X1004" s="97"/>
    </row>
    <row r="1005">
      <c r="A1005" s="205"/>
      <c r="B1005" s="235"/>
      <c r="C1005" s="236"/>
      <c r="D1005" s="237"/>
      <c r="E1005" s="235"/>
      <c r="F1005" s="235"/>
      <c r="G1005" s="239"/>
      <c r="H1005" s="240"/>
      <c r="J1005" s="237"/>
      <c r="K1005" s="241"/>
      <c r="L1005" s="241"/>
      <c r="M1005" s="237"/>
      <c r="N1005" s="242"/>
      <c r="O1005" s="243"/>
      <c r="P1005" s="244"/>
      <c r="Q1005" s="245"/>
      <c r="R1005" s="246"/>
      <c r="S1005" s="244"/>
      <c r="T1005" s="247"/>
      <c r="U1005" s="247"/>
      <c r="V1005" s="244"/>
      <c r="W1005" s="244"/>
      <c r="X1005" s="97"/>
    </row>
    <row r="1006">
      <c r="A1006" s="205"/>
      <c r="B1006" s="235"/>
      <c r="C1006" s="236"/>
      <c r="D1006" s="237"/>
      <c r="E1006" s="235"/>
      <c r="F1006" s="235"/>
      <c r="G1006" s="239"/>
      <c r="H1006" s="240"/>
      <c r="J1006" s="237"/>
      <c r="K1006" s="241"/>
      <c r="L1006" s="241"/>
      <c r="M1006" s="237"/>
      <c r="N1006" s="242"/>
      <c r="O1006" s="243"/>
      <c r="P1006" s="244"/>
      <c r="Q1006" s="245"/>
      <c r="R1006" s="246"/>
      <c r="S1006" s="244"/>
      <c r="T1006" s="247"/>
      <c r="U1006" s="247"/>
      <c r="V1006" s="244"/>
      <c r="W1006" s="244"/>
      <c r="X1006" s="97"/>
    </row>
    <row r="1007">
      <c r="A1007" s="205"/>
      <c r="B1007" s="235"/>
      <c r="C1007" s="236"/>
      <c r="D1007" s="237"/>
      <c r="E1007" s="235"/>
      <c r="F1007" s="235"/>
      <c r="G1007" s="239"/>
      <c r="H1007" s="240"/>
      <c r="J1007" s="237"/>
      <c r="K1007" s="241"/>
      <c r="L1007" s="241"/>
      <c r="M1007" s="237"/>
      <c r="N1007" s="242"/>
      <c r="O1007" s="243"/>
      <c r="P1007" s="244"/>
      <c r="Q1007" s="245"/>
      <c r="R1007" s="246"/>
      <c r="S1007" s="244"/>
      <c r="T1007" s="247"/>
      <c r="U1007" s="247"/>
      <c r="V1007" s="244"/>
      <c r="W1007" s="244"/>
      <c r="X1007" s="97"/>
    </row>
    <row r="1008">
      <c r="A1008" s="205"/>
      <c r="B1008" s="235"/>
      <c r="C1008" s="236"/>
      <c r="D1008" s="237"/>
      <c r="E1008" s="235"/>
      <c r="F1008" s="235"/>
      <c r="G1008" s="239"/>
      <c r="H1008" s="240"/>
      <c r="J1008" s="237"/>
      <c r="K1008" s="241"/>
      <c r="L1008" s="241"/>
      <c r="M1008" s="237"/>
      <c r="N1008" s="242"/>
      <c r="O1008" s="243"/>
      <c r="P1008" s="244"/>
      <c r="Q1008" s="245"/>
      <c r="R1008" s="246"/>
      <c r="S1008" s="244"/>
      <c r="T1008" s="247"/>
      <c r="U1008" s="247"/>
      <c r="V1008" s="244"/>
      <c r="W1008" s="244"/>
      <c r="X1008" s="97"/>
    </row>
    <row r="1009">
      <c r="A1009" s="205"/>
      <c r="B1009" s="235"/>
      <c r="C1009" s="236"/>
      <c r="D1009" s="237"/>
      <c r="E1009" s="235"/>
      <c r="F1009" s="235"/>
      <c r="G1009" s="239"/>
      <c r="H1009" s="240"/>
      <c r="J1009" s="237"/>
      <c r="K1009" s="241"/>
      <c r="L1009" s="241"/>
      <c r="M1009" s="237"/>
      <c r="N1009" s="242"/>
      <c r="O1009" s="243"/>
      <c r="P1009" s="244"/>
      <c r="Q1009" s="245"/>
      <c r="R1009" s="246"/>
      <c r="S1009" s="244"/>
      <c r="T1009" s="247"/>
      <c r="U1009" s="247"/>
      <c r="V1009" s="244"/>
      <c r="W1009" s="244"/>
      <c r="X1009" s="97"/>
    </row>
    <row r="1010">
      <c r="A1010" s="205"/>
      <c r="B1010" s="235"/>
      <c r="C1010" s="236"/>
      <c r="D1010" s="237"/>
      <c r="E1010" s="235"/>
      <c r="F1010" s="235"/>
      <c r="G1010" s="239"/>
      <c r="H1010" s="240"/>
      <c r="J1010" s="237"/>
      <c r="K1010" s="241"/>
      <c r="L1010" s="241"/>
      <c r="M1010" s="237"/>
      <c r="N1010" s="242"/>
      <c r="O1010" s="243"/>
      <c r="P1010" s="244"/>
      <c r="Q1010" s="245"/>
      <c r="R1010" s="246"/>
      <c r="S1010" s="244"/>
      <c r="T1010" s="247"/>
      <c r="U1010" s="247"/>
      <c r="V1010" s="244"/>
      <c r="W1010" s="244"/>
      <c r="X1010" s="97"/>
    </row>
    <row r="1011">
      <c r="A1011" s="205"/>
      <c r="B1011" s="235"/>
      <c r="C1011" s="236"/>
      <c r="D1011" s="237"/>
      <c r="E1011" s="235"/>
      <c r="F1011" s="235"/>
      <c r="G1011" s="239"/>
      <c r="H1011" s="240"/>
      <c r="J1011" s="237"/>
      <c r="K1011" s="241"/>
      <c r="L1011" s="241"/>
      <c r="M1011" s="237"/>
      <c r="N1011" s="242"/>
      <c r="O1011" s="243"/>
      <c r="P1011" s="244"/>
      <c r="Q1011" s="245"/>
      <c r="R1011" s="246"/>
      <c r="S1011" s="244"/>
      <c r="T1011" s="247"/>
      <c r="U1011" s="247"/>
      <c r="V1011" s="244"/>
      <c r="W1011" s="244"/>
      <c r="X1011" s="97"/>
    </row>
    <row r="1012">
      <c r="A1012" s="205"/>
      <c r="B1012" s="235"/>
      <c r="C1012" s="236"/>
      <c r="D1012" s="237"/>
      <c r="E1012" s="235"/>
      <c r="F1012" s="235"/>
      <c r="G1012" s="239"/>
      <c r="H1012" s="240"/>
      <c r="J1012" s="237"/>
      <c r="K1012" s="241"/>
      <c r="L1012" s="241"/>
      <c r="M1012" s="237"/>
      <c r="N1012" s="242"/>
      <c r="O1012" s="243"/>
      <c r="P1012" s="244"/>
      <c r="Q1012" s="245"/>
      <c r="R1012" s="246"/>
      <c r="S1012" s="244"/>
      <c r="T1012" s="247"/>
      <c r="U1012" s="247"/>
      <c r="V1012" s="244"/>
      <c r="W1012" s="244"/>
      <c r="X1012" s="97"/>
    </row>
    <row r="1013">
      <c r="A1013" s="205"/>
      <c r="B1013" s="235"/>
      <c r="C1013" s="236"/>
      <c r="D1013" s="237"/>
      <c r="E1013" s="235"/>
      <c r="F1013" s="235"/>
      <c r="G1013" s="239"/>
      <c r="H1013" s="240"/>
      <c r="J1013" s="237"/>
      <c r="K1013" s="241"/>
      <c r="L1013" s="241"/>
      <c r="M1013" s="237"/>
      <c r="N1013" s="242"/>
      <c r="O1013" s="243"/>
      <c r="P1013" s="244"/>
      <c r="Q1013" s="245"/>
      <c r="R1013" s="246"/>
      <c r="S1013" s="244"/>
      <c r="T1013" s="247"/>
      <c r="U1013" s="247"/>
      <c r="V1013" s="244"/>
      <c r="W1013" s="244"/>
      <c r="X1013" s="97"/>
    </row>
    <row r="1014">
      <c r="A1014" s="205"/>
      <c r="B1014" s="235"/>
      <c r="C1014" s="236"/>
      <c r="D1014" s="237"/>
      <c r="E1014" s="235"/>
      <c r="F1014" s="235"/>
      <c r="G1014" s="239"/>
      <c r="H1014" s="240"/>
      <c r="J1014" s="237"/>
      <c r="K1014" s="241"/>
      <c r="L1014" s="241"/>
      <c r="M1014" s="237"/>
      <c r="N1014" s="242"/>
      <c r="O1014" s="243"/>
      <c r="P1014" s="244"/>
      <c r="Q1014" s="245"/>
      <c r="R1014" s="246"/>
      <c r="S1014" s="244"/>
      <c r="T1014" s="247"/>
      <c r="U1014" s="247"/>
      <c r="V1014" s="244"/>
      <c r="W1014" s="244"/>
      <c r="X1014" s="97"/>
    </row>
    <row r="1015">
      <c r="A1015" s="205"/>
      <c r="B1015" s="235"/>
      <c r="C1015" s="236"/>
      <c r="D1015" s="237"/>
      <c r="E1015" s="235"/>
      <c r="F1015" s="235"/>
      <c r="G1015" s="239"/>
      <c r="H1015" s="240"/>
      <c r="J1015" s="237"/>
      <c r="K1015" s="241"/>
      <c r="L1015" s="241"/>
      <c r="M1015" s="237"/>
      <c r="N1015" s="242"/>
      <c r="O1015" s="243"/>
      <c r="P1015" s="244"/>
      <c r="Q1015" s="245"/>
      <c r="R1015" s="246"/>
      <c r="S1015" s="244"/>
      <c r="T1015" s="247"/>
      <c r="U1015" s="247"/>
      <c r="V1015" s="244"/>
      <c r="W1015" s="244"/>
      <c r="X1015" s="97"/>
    </row>
    <row r="1016">
      <c r="A1016" s="205"/>
      <c r="B1016" s="235"/>
      <c r="C1016" s="236"/>
      <c r="D1016" s="237"/>
      <c r="E1016" s="235"/>
      <c r="F1016" s="235"/>
      <c r="G1016" s="239"/>
      <c r="H1016" s="240"/>
      <c r="J1016" s="237"/>
      <c r="K1016" s="241"/>
      <c r="L1016" s="241"/>
      <c r="M1016" s="237"/>
      <c r="N1016" s="242"/>
      <c r="O1016" s="243"/>
      <c r="P1016" s="244"/>
      <c r="Q1016" s="245"/>
      <c r="R1016" s="246"/>
      <c r="S1016" s="244"/>
      <c r="T1016" s="247"/>
      <c r="U1016" s="247"/>
      <c r="V1016" s="244"/>
      <c r="W1016" s="244"/>
      <c r="X1016" s="97"/>
    </row>
    <row r="1017">
      <c r="A1017" s="205"/>
      <c r="B1017" s="235"/>
      <c r="C1017" s="236"/>
      <c r="D1017" s="237"/>
      <c r="E1017" s="235"/>
      <c r="F1017" s="235"/>
      <c r="G1017" s="239"/>
      <c r="H1017" s="240"/>
      <c r="J1017" s="237"/>
      <c r="K1017" s="241"/>
      <c r="L1017" s="241"/>
      <c r="M1017" s="237"/>
      <c r="N1017" s="242"/>
      <c r="O1017" s="243"/>
      <c r="P1017" s="244"/>
      <c r="Q1017" s="245"/>
      <c r="R1017" s="246"/>
      <c r="S1017" s="244"/>
      <c r="T1017" s="247"/>
      <c r="U1017" s="247"/>
      <c r="V1017" s="244"/>
      <c r="W1017" s="244"/>
      <c r="X1017" s="97"/>
    </row>
    <row r="1018">
      <c r="A1018" s="205"/>
      <c r="B1018" s="235"/>
      <c r="C1018" s="236"/>
      <c r="D1018" s="237"/>
      <c r="E1018" s="235"/>
      <c r="F1018" s="235"/>
      <c r="G1018" s="239"/>
      <c r="H1018" s="240"/>
      <c r="J1018" s="237"/>
      <c r="K1018" s="241"/>
      <c r="L1018" s="241"/>
      <c r="M1018" s="237"/>
      <c r="N1018" s="242"/>
      <c r="O1018" s="243"/>
      <c r="P1018" s="244"/>
      <c r="Q1018" s="245"/>
      <c r="R1018" s="246"/>
      <c r="S1018" s="244"/>
      <c r="T1018" s="247"/>
      <c r="U1018" s="247"/>
      <c r="V1018" s="244"/>
      <c r="W1018" s="244"/>
      <c r="X1018" s="97"/>
    </row>
    <row r="1019">
      <c r="A1019" s="205"/>
      <c r="B1019" s="235"/>
      <c r="C1019" s="236"/>
      <c r="D1019" s="237"/>
      <c r="E1019" s="235"/>
      <c r="F1019" s="235"/>
      <c r="G1019" s="239"/>
      <c r="H1019" s="240"/>
      <c r="J1019" s="237"/>
      <c r="K1019" s="241"/>
      <c r="L1019" s="241"/>
      <c r="M1019" s="237"/>
      <c r="N1019" s="242"/>
      <c r="O1019" s="243"/>
      <c r="P1019" s="244"/>
      <c r="Q1019" s="245"/>
      <c r="R1019" s="246"/>
      <c r="S1019" s="244"/>
      <c r="T1019" s="247"/>
      <c r="U1019" s="247"/>
      <c r="V1019" s="244"/>
      <c r="W1019" s="244"/>
      <c r="X1019" s="97"/>
    </row>
    <row r="1020">
      <c r="A1020" s="205"/>
      <c r="B1020" s="235"/>
      <c r="C1020" s="236"/>
      <c r="D1020" s="237"/>
      <c r="E1020" s="235"/>
      <c r="F1020" s="235"/>
      <c r="G1020" s="239"/>
      <c r="H1020" s="240"/>
      <c r="J1020" s="237"/>
      <c r="K1020" s="241"/>
      <c r="L1020" s="241"/>
      <c r="M1020" s="237"/>
      <c r="N1020" s="242"/>
      <c r="O1020" s="243"/>
      <c r="P1020" s="244"/>
      <c r="Q1020" s="245"/>
      <c r="R1020" s="246"/>
      <c r="S1020" s="244"/>
      <c r="T1020" s="247"/>
      <c r="U1020" s="247"/>
      <c r="V1020" s="244"/>
      <c r="W1020" s="244"/>
      <c r="X1020" s="97"/>
    </row>
    <row r="1021">
      <c r="A1021" s="205"/>
      <c r="B1021" s="235"/>
      <c r="C1021" s="236"/>
      <c r="D1021" s="237"/>
      <c r="E1021" s="235"/>
      <c r="F1021" s="235"/>
      <c r="G1021" s="239"/>
      <c r="H1021" s="240"/>
      <c r="J1021" s="237"/>
      <c r="K1021" s="241"/>
      <c r="L1021" s="241"/>
      <c r="M1021" s="237"/>
      <c r="N1021" s="242"/>
      <c r="O1021" s="243"/>
      <c r="P1021" s="244"/>
      <c r="Q1021" s="245"/>
      <c r="R1021" s="246"/>
      <c r="S1021" s="244"/>
      <c r="T1021" s="247"/>
      <c r="U1021" s="247"/>
      <c r="V1021" s="244"/>
      <c r="W1021" s="244"/>
      <c r="X1021" s="97"/>
    </row>
    <row r="1022">
      <c r="A1022" s="205"/>
      <c r="B1022" s="235"/>
      <c r="C1022" s="236"/>
      <c r="D1022" s="237"/>
      <c r="E1022" s="235"/>
      <c r="F1022" s="235"/>
      <c r="G1022" s="239"/>
      <c r="H1022" s="240"/>
      <c r="J1022" s="237"/>
      <c r="K1022" s="241"/>
      <c r="L1022" s="241"/>
      <c r="M1022" s="237"/>
      <c r="N1022" s="242"/>
      <c r="O1022" s="243"/>
      <c r="P1022" s="244"/>
      <c r="Q1022" s="245"/>
      <c r="R1022" s="246"/>
      <c r="S1022" s="244"/>
      <c r="T1022" s="247"/>
      <c r="U1022" s="247"/>
      <c r="V1022" s="244"/>
      <c r="W1022" s="244"/>
      <c r="X1022" s="97"/>
    </row>
    <row r="1023">
      <c r="A1023" s="205"/>
      <c r="B1023" s="235"/>
      <c r="C1023" s="236"/>
      <c r="D1023" s="237"/>
      <c r="E1023" s="235"/>
      <c r="F1023" s="235"/>
      <c r="G1023" s="239"/>
      <c r="H1023" s="240"/>
      <c r="J1023" s="237"/>
      <c r="K1023" s="241"/>
      <c r="L1023" s="241"/>
      <c r="M1023" s="237"/>
      <c r="N1023" s="242"/>
      <c r="O1023" s="243"/>
      <c r="P1023" s="244"/>
      <c r="Q1023" s="245"/>
      <c r="R1023" s="246"/>
      <c r="S1023" s="244"/>
      <c r="T1023" s="247"/>
      <c r="U1023" s="247"/>
      <c r="V1023" s="244"/>
      <c r="W1023" s="244"/>
      <c r="X1023" s="97"/>
    </row>
    <row r="1024">
      <c r="A1024" s="205"/>
      <c r="B1024" s="235"/>
      <c r="C1024" s="236"/>
      <c r="D1024" s="237"/>
      <c r="E1024" s="235"/>
      <c r="F1024" s="235"/>
      <c r="G1024" s="239"/>
      <c r="H1024" s="240"/>
      <c r="J1024" s="237"/>
      <c r="K1024" s="241"/>
      <c r="L1024" s="241"/>
      <c r="M1024" s="237"/>
      <c r="N1024" s="242"/>
      <c r="O1024" s="243"/>
      <c r="P1024" s="244"/>
      <c r="Q1024" s="245"/>
      <c r="R1024" s="246"/>
      <c r="S1024" s="244"/>
      <c r="T1024" s="247"/>
      <c r="U1024" s="247"/>
      <c r="V1024" s="244"/>
      <c r="W1024" s="244"/>
      <c r="X1024" s="97"/>
    </row>
    <row r="1025">
      <c r="A1025" s="205"/>
      <c r="B1025" s="235"/>
      <c r="C1025" s="236"/>
      <c r="D1025" s="237"/>
      <c r="E1025" s="235"/>
      <c r="F1025" s="235"/>
      <c r="G1025" s="239"/>
      <c r="H1025" s="240"/>
      <c r="J1025" s="237"/>
      <c r="K1025" s="241"/>
      <c r="L1025" s="241"/>
      <c r="M1025" s="237"/>
      <c r="N1025" s="242"/>
      <c r="O1025" s="243"/>
      <c r="P1025" s="244"/>
      <c r="Q1025" s="245"/>
      <c r="R1025" s="246"/>
      <c r="S1025" s="244"/>
      <c r="T1025" s="247"/>
      <c r="U1025" s="247"/>
      <c r="V1025" s="244"/>
      <c r="W1025" s="244"/>
      <c r="X1025" s="97"/>
    </row>
    <row r="1026">
      <c r="A1026" s="205"/>
      <c r="B1026" s="235"/>
      <c r="C1026" s="236"/>
      <c r="D1026" s="237"/>
      <c r="E1026" s="235"/>
      <c r="F1026" s="235"/>
      <c r="G1026" s="239"/>
      <c r="H1026" s="240"/>
      <c r="J1026" s="237"/>
      <c r="K1026" s="241"/>
      <c r="L1026" s="241"/>
      <c r="M1026" s="237"/>
      <c r="N1026" s="242"/>
      <c r="O1026" s="243"/>
      <c r="P1026" s="244"/>
      <c r="Q1026" s="245"/>
      <c r="R1026" s="246"/>
      <c r="S1026" s="244"/>
      <c r="T1026" s="247"/>
      <c r="U1026" s="247"/>
      <c r="V1026" s="244"/>
      <c r="W1026" s="244"/>
      <c r="X1026" s="97"/>
    </row>
    <row r="1027">
      <c r="A1027" s="205"/>
      <c r="B1027" s="235"/>
      <c r="C1027" s="236"/>
      <c r="D1027" s="237"/>
      <c r="E1027" s="235"/>
      <c r="F1027" s="235"/>
      <c r="G1027" s="239"/>
      <c r="H1027" s="240"/>
      <c r="J1027" s="237"/>
      <c r="K1027" s="241"/>
      <c r="L1027" s="241"/>
      <c r="M1027" s="237"/>
      <c r="N1027" s="242"/>
      <c r="O1027" s="243"/>
      <c r="P1027" s="244"/>
      <c r="Q1027" s="245"/>
      <c r="R1027" s="246"/>
      <c r="S1027" s="244"/>
      <c r="T1027" s="247"/>
      <c r="U1027" s="247"/>
      <c r="V1027" s="244"/>
      <c r="W1027" s="244"/>
      <c r="X1027" s="97"/>
    </row>
    <row r="1028">
      <c r="A1028" s="205"/>
      <c r="B1028" s="235"/>
      <c r="C1028" s="236"/>
      <c r="D1028" s="237"/>
      <c r="E1028" s="235"/>
      <c r="F1028" s="235"/>
      <c r="G1028" s="239"/>
      <c r="H1028" s="240"/>
      <c r="J1028" s="237"/>
      <c r="K1028" s="241"/>
      <c r="L1028" s="241"/>
      <c r="M1028" s="237"/>
      <c r="N1028" s="242"/>
      <c r="O1028" s="243"/>
      <c r="P1028" s="244"/>
      <c r="Q1028" s="245"/>
      <c r="R1028" s="246"/>
      <c r="S1028" s="244"/>
      <c r="T1028" s="247"/>
      <c r="U1028" s="247"/>
      <c r="V1028" s="244"/>
      <c r="W1028" s="244"/>
      <c r="X1028" s="97"/>
    </row>
    <row r="1029">
      <c r="A1029" s="205"/>
      <c r="B1029" s="235"/>
      <c r="C1029" s="236"/>
      <c r="D1029" s="237"/>
      <c r="E1029" s="235"/>
      <c r="F1029" s="235"/>
      <c r="G1029" s="239"/>
      <c r="H1029" s="240"/>
      <c r="J1029" s="237"/>
      <c r="K1029" s="241"/>
      <c r="L1029" s="241"/>
      <c r="M1029" s="237"/>
      <c r="N1029" s="242"/>
      <c r="O1029" s="243"/>
      <c r="P1029" s="244"/>
      <c r="Q1029" s="245"/>
      <c r="R1029" s="246"/>
      <c r="S1029" s="244"/>
      <c r="T1029" s="247"/>
      <c r="U1029" s="247"/>
      <c r="V1029" s="244"/>
      <c r="W1029" s="244"/>
      <c r="X1029" s="97"/>
    </row>
    <row r="1030">
      <c r="A1030" s="205"/>
      <c r="B1030" s="235"/>
      <c r="C1030" s="236"/>
      <c r="D1030" s="237"/>
      <c r="E1030" s="235"/>
      <c r="F1030" s="235"/>
      <c r="G1030" s="239"/>
      <c r="H1030" s="240"/>
      <c r="J1030" s="237"/>
      <c r="K1030" s="241"/>
      <c r="L1030" s="241"/>
      <c r="M1030" s="237"/>
      <c r="N1030" s="242"/>
      <c r="O1030" s="243"/>
      <c r="P1030" s="244"/>
      <c r="Q1030" s="245"/>
      <c r="R1030" s="246"/>
      <c r="S1030" s="244"/>
      <c r="T1030" s="247"/>
      <c r="U1030" s="247"/>
      <c r="V1030" s="244"/>
      <c r="W1030" s="244"/>
      <c r="X1030" s="97"/>
    </row>
    <row r="1031">
      <c r="A1031" s="205"/>
      <c r="B1031" s="235"/>
      <c r="C1031" s="236"/>
      <c r="D1031" s="237"/>
      <c r="E1031" s="235"/>
      <c r="F1031" s="235"/>
      <c r="G1031" s="239"/>
      <c r="H1031" s="240"/>
      <c r="J1031" s="237"/>
      <c r="K1031" s="241"/>
      <c r="L1031" s="241"/>
      <c r="M1031" s="237"/>
      <c r="N1031" s="242"/>
      <c r="O1031" s="243"/>
      <c r="P1031" s="244"/>
      <c r="Q1031" s="245"/>
      <c r="R1031" s="246"/>
      <c r="S1031" s="244"/>
      <c r="T1031" s="247"/>
      <c r="U1031" s="247"/>
      <c r="V1031" s="244"/>
      <c r="W1031" s="244"/>
      <c r="X1031" s="97"/>
    </row>
    <row r="1032">
      <c r="A1032" s="205"/>
      <c r="B1032" s="235"/>
      <c r="C1032" s="236"/>
      <c r="D1032" s="237"/>
      <c r="E1032" s="235"/>
      <c r="F1032" s="235"/>
      <c r="G1032" s="239"/>
      <c r="H1032" s="240"/>
      <c r="J1032" s="237"/>
      <c r="K1032" s="241"/>
      <c r="L1032" s="241"/>
      <c r="M1032" s="237"/>
      <c r="N1032" s="242"/>
      <c r="O1032" s="243"/>
      <c r="P1032" s="244"/>
      <c r="Q1032" s="245"/>
      <c r="R1032" s="246"/>
      <c r="S1032" s="244"/>
      <c r="T1032" s="247"/>
      <c r="U1032" s="247"/>
      <c r="V1032" s="244"/>
      <c r="W1032" s="244"/>
      <c r="X1032" s="97"/>
    </row>
    <row r="1033">
      <c r="A1033" s="205"/>
      <c r="B1033" s="235"/>
      <c r="C1033" s="236"/>
      <c r="D1033" s="237"/>
      <c r="E1033" s="235"/>
      <c r="F1033" s="235"/>
      <c r="G1033" s="239"/>
      <c r="H1033" s="240"/>
      <c r="J1033" s="237"/>
      <c r="K1033" s="241"/>
      <c r="L1033" s="241"/>
      <c r="M1033" s="237"/>
      <c r="N1033" s="242"/>
      <c r="O1033" s="243"/>
      <c r="P1033" s="244"/>
      <c r="Q1033" s="245"/>
      <c r="R1033" s="246"/>
      <c r="S1033" s="244"/>
      <c r="T1033" s="247"/>
      <c r="U1033" s="247"/>
      <c r="V1033" s="244"/>
      <c r="W1033" s="244"/>
      <c r="X1033" s="97"/>
    </row>
    <row r="1034">
      <c r="A1034" s="205"/>
      <c r="B1034" s="235"/>
      <c r="C1034" s="236"/>
      <c r="D1034" s="237"/>
      <c r="E1034" s="235"/>
      <c r="F1034" s="235"/>
      <c r="G1034" s="239"/>
      <c r="H1034" s="240"/>
      <c r="J1034" s="237"/>
      <c r="K1034" s="241"/>
      <c r="L1034" s="241"/>
      <c r="M1034" s="237"/>
      <c r="N1034" s="242"/>
      <c r="O1034" s="243"/>
      <c r="P1034" s="244"/>
      <c r="Q1034" s="245"/>
      <c r="R1034" s="246"/>
      <c r="S1034" s="244"/>
      <c r="T1034" s="247"/>
      <c r="U1034" s="247"/>
      <c r="V1034" s="244"/>
      <c r="W1034" s="244"/>
      <c r="X1034" s="97"/>
    </row>
    <row r="1035">
      <c r="A1035" s="205"/>
      <c r="B1035" s="235"/>
      <c r="C1035" s="236"/>
      <c r="D1035" s="237"/>
      <c r="E1035" s="235"/>
      <c r="F1035" s="235"/>
      <c r="G1035" s="239"/>
      <c r="H1035" s="240"/>
      <c r="J1035" s="237"/>
      <c r="K1035" s="241"/>
      <c r="L1035" s="241"/>
      <c r="M1035" s="237"/>
      <c r="N1035" s="242"/>
      <c r="O1035" s="243"/>
      <c r="P1035" s="244"/>
      <c r="Q1035" s="245"/>
      <c r="R1035" s="246"/>
      <c r="S1035" s="244"/>
      <c r="T1035" s="247"/>
      <c r="U1035" s="247"/>
      <c r="V1035" s="244"/>
      <c r="W1035" s="244"/>
      <c r="X1035" s="97"/>
    </row>
    <row r="1036">
      <c r="A1036" s="205"/>
      <c r="B1036" s="235"/>
      <c r="C1036" s="236"/>
      <c r="D1036" s="237"/>
      <c r="E1036" s="235"/>
      <c r="F1036" s="235"/>
      <c r="G1036" s="239"/>
      <c r="H1036" s="240"/>
      <c r="J1036" s="237"/>
      <c r="K1036" s="241"/>
      <c r="L1036" s="241"/>
      <c r="M1036" s="237"/>
      <c r="N1036" s="242"/>
      <c r="O1036" s="243"/>
      <c r="P1036" s="244"/>
      <c r="Q1036" s="245"/>
      <c r="R1036" s="246"/>
      <c r="S1036" s="244"/>
      <c r="T1036" s="247"/>
      <c r="U1036" s="247"/>
      <c r="V1036" s="244"/>
      <c r="W1036" s="244"/>
      <c r="X1036" s="97"/>
    </row>
    <row r="1037">
      <c r="A1037" s="205"/>
      <c r="B1037" s="235"/>
      <c r="C1037" s="236"/>
      <c r="D1037" s="237"/>
      <c r="E1037" s="235"/>
      <c r="F1037" s="235"/>
      <c r="G1037" s="239"/>
      <c r="H1037" s="240"/>
      <c r="J1037" s="237"/>
      <c r="K1037" s="241"/>
      <c r="L1037" s="241"/>
      <c r="M1037" s="237"/>
      <c r="N1037" s="242"/>
      <c r="O1037" s="243"/>
      <c r="P1037" s="244"/>
      <c r="Q1037" s="245"/>
      <c r="R1037" s="246"/>
      <c r="S1037" s="244"/>
      <c r="T1037" s="247"/>
      <c r="U1037" s="247"/>
      <c r="V1037" s="244"/>
      <c r="W1037" s="244"/>
      <c r="X1037" s="97"/>
    </row>
    <row r="1038">
      <c r="A1038" s="205"/>
      <c r="B1038" s="235"/>
      <c r="C1038" s="236"/>
      <c r="D1038" s="237"/>
      <c r="E1038" s="235"/>
      <c r="F1038" s="235"/>
      <c r="G1038" s="239"/>
      <c r="H1038" s="240"/>
      <c r="J1038" s="237"/>
      <c r="K1038" s="241"/>
      <c r="L1038" s="241"/>
      <c r="M1038" s="237"/>
      <c r="N1038" s="242"/>
      <c r="O1038" s="243"/>
      <c r="P1038" s="244"/>
      <c r="Q1038" s="245"/>
      <c r="R1038" s="246"/>
      <c r="S1038" s="244"/>
      <c r="T1038" s="247"/>
      <c r="U1038" s="247"/>
      <c r="V1038" s="244"/>
      <c r="W1038" s="244"/>
      <c r="X1038" s="97"/>
    </row>
    <row r="1039">
      <c r="A1039" s="205"/>
      <c r="B1039" s="235"/>
      <c r="C1039" s="236"/>
      <c r="D1039" s="237"/>
      <c r="E1039" s="235"/>
      <c r="F1039" s="235"/>
      <c r="G1039" s="239"/>
      <c r="H1039" s="240"/>
      <c r="J1039" s="237"/>
      <c r="K1039" s="241"/>
      <c r="L1039" s="241"/>
      <c r="M1039" s="237"/>
      <c r="N1039" s="242"/>
      <c r="O1039" s="243"/>
      <c r="P1039" s="244"/>
      <c r="Q1039" s="245"/>
      <c r="R1039" s="246"/>
      <c r="S1039" s="244"/>
      <c r="T1039" s="247"/>
      <c r="U1039" s="247"/>
      <c r="V1039" s="244"/>
      <c r="W1039" s="244"/>
      <c r="X1039" s="97"/>
    </row>
    <row r="1040">
      <c r="A1040" s="205"/>
      <c r="B1040" s="235"/>
      <c r="C1040" s="236"/>
      <c r="D1040" s="237"/>
      <c r="E1040" s="235"/>
      <c r="F1040" s="235"/>
      <c r="G1040" s="239"/>
      <c r="H1040" s="240"/>
      <c r="J1040" s="237"/>
      <c r="K1040" s="241"/>
      <c r="L1040" s="241"/>
      <c r="M1040" s="237"/>
      <c r="N1040" s="242"/>
      <c r="O1040" s="243"/>
      <c r="P1040" s="244"/>
      <c r="Q1040" s="245"/>
      <c r="R1040" s="246"/>
      <c r="S1040" s="244"/>
      <c r="T1040" s="247"/>
      <c r="U1040" s="247"/>
      <c r="V1040" s="244"/>
      <c r="W1040" s="244"/>
      <c r="X1040" s="97"/>
    </row>
    <row r="1041">
      <c r="A1041" s="205"/>
      <c r="B1041" s="235"/>
      <c r="C1041" s="236"/>
      <c r="D1041" s="237"/>
      <c r="E1041" s="235"/>
      <c r="F1041" s="235"/>
      <c r="G1041" s="239"/>
      <c r="H1041" s="240"/>
      <c r="J1041" s="237"/>
      <c r="K1041" s="241"/>
      <c r="L1041" s="241"/>
      <c r="M1041" s="237"/>
      <c r="N1041" s="242"/>
      <c r="O1041" s="243"/>
      <c r="P1041" s="244"/>
      <c r="Q1041" s="245"/>
      <c r="R1041" s="246"/>
      <c r="S1041" s="244"/>
      <c r="T1041" s="247"/>
      <c r="U1041" s="247"/>
      <c r="V1041" s="244"/>
      <c r="W1041" s="244"/>
      <c r="X1041" s="97"/>
    </row>
    <row r="1042">
      <c r="A1042" s="205"/>
      <c r="B1042" s="235"/>
      <c r="C1042" s="236"/>
      <c r="D1042" s="237"/>
      <c r="E1042" s="235"/>
      <c r="F1042" s="235"/>
      <c r="G1042" s="239"/>
      <c r="H1042" s="240"/>
      <c r="J1042" s="237"/>
      <c r="K1042" s="241"/>
      <c r="L1042" s="241"/>
      <c r="M1042" s="237"/>
      <c r="N1042" s="242"/>
      <c r="O1042" s="243"/>
      <c r="P1042" s="244"/>
      <c r="Q1042" s="245"/>
      <c r="R1042" s="246"/>
      <c r="S1042" s="244"/>
      <c r="T1042" s="247"/>
      <c r="U1042" s="247"/>
      <c r="V1042" s="244"/>
      <c r="W1042" s="244"/>
      <c r="X1042" s="97"/>
    </row>
    <row r="1043">
      <c r="A1043" s="205"/>
      <c r="B1043" s="235"/>
      <c r="C1043" s="236"/>
      <c r="D1043" s="237"/>
      <c r="E1043" s="235"/>
      <c r="F1043" s="235"/>
      <c r="G1043" s="239"/>
      <c r="H1043" s="240"/>
      <c r="J1043" s="237"/>
      <c r="K1043" s="241"/>
      <c r="L1043" s="241"/>
      <c r="M1043" s="237"/>
      <c r="N1043" s="242"/>
      <c r="O1043" s="243"/>
      <c r="P1043" s="244"/>
      <c r="Q1043" s="245"/>
      <c r="R1043" s="246"/>
      <c r="S1043" s="244"/>
      <c r="T1043" s="247"/>
      <c r="U1043" s="247"/>
      <c r="V1043" s="244"/>
      <c r="W1043" s="244"/>
      <c r="X1043" s="97"/>
    </row>
    <row r="1044">
      <c r="A1044" s="205"/>
      <c r="B1044" s="235"/>
      <c r="C1044" s="236"/>
      <c r="D1044" s="237"/>
      <c r="E1044" s="235"/>
      <c r="F1044" s="235"/>
      <c r="G1044" s="239"/>
      <c r="H1044" s="240"/>
      <c r="J1044" s="237"/>
      <c r="K1044" s="241"/>
      <c r="L1044" s="241"/>
      <c r="M1044" s="237"/>
      <c r="N1044" s="242"/>
      <c r="O1044" s="243"/>
      <c r="P1044" s="244"/>
      <c r="Q1044" s="245"/>
      <c r="R1044" s="246"/>
      <c r="S1044" s="244"/>
      <c r="T1044" s="247"/>
      <c r="U1044" s="247"/>
      <c r="V1044" s="244"/>
      <c r="W1044" s="244"/>
      <c r="X1044" s="97"/>
    </row>
    <row r="1045">
      <c r="A1045" s="205"/>
      <c r="B1045" s="235"/>
      <c r="C1045" s="236"/>
      <c r="D1045" s="237"/>
      <c r="E1045" s="235"/>
      <c r="F1045" s="235"/>
      <c r="G1045" s="239"/>
      <c r="H1045" s="240"/>
      <c r="J1045" s="237"/>
      <c r="K1045" s="241"/>
      <c r="L1045" s="241"/>
      <c r="M1045" s="237"/>
      <c r="N1045" s="242"/>
      <c r="O1045" s="243"/>
      <c r="P1045" s="244"/>
      <c r="Q1045" s="245"/>
      <c r="R1045" s="246"/>
      <c r="S1045" s="244"/>
      <c r="T1045" s="247"/>
      <c r="U1045" s="247"/>
      <c r="V1045" s="244"/>
      <c r="W1045" s="244"/>
      <c r="X1045" s="97"/>
    </row>
    <row r="1046">
      <c r="A1046" s="205"/>
      <c r="B1046" s="235"/>
      <c r="C1046" s="236"/>
      <c r="D1046" s="237"/>
      <c r="E1046" s="235"/>
      <c r="F1046" s="235"/>
      <c r="G1046" s="239"/>
      <c r="H1046" s="240"/>
      <c r="J1046" s="237"/>
      <c r="K1046" s="241"/>
      <c r="L1046" s="241"/>
      <c r="M1046" s="237"/>
      <c r="N1046" s="242"/>
      <c r="O1046" s="243"/>
      <c r="P1046" s="244"/>
      <c r="Q1046" s="245"/>
      <c r="R1046" s="246"/>
      <c r="S1046" s="244"/>
      <c r="T1046" s="247"/>
      <c r="U1046" s="247"/>
      <c r="V1046" s="244"/>
      <c r="W1046" s="244"/>
      <c r="X1046" s="97"/>
    </row>
    <row r="1047">
      <c r="A1047" s="205"/>
      <c r="B1047" s="235"/>
      <c r="C1047" s="236"/>
      <c r="D1047" s="237"/>
      <c r="E1047" s="235"/>
      <c r="F1047" s="235"/>
      <c r="G1047" s="239"/>
      <c r="H1047" s="240"/>
      <c r="J1047" s="237"/>
      <c r="K1047" s="241"/>
      <c r="L1047" s="241"/>
      <c r="M1047" s="237"/>
      <c r="N1047" s="242"/>
      <c r="O1047" s="243"/>
      <c r="P1047" s="244"/>
      <c r="Q1047" s="245"/>
      <c r="R1047" s="246"/>
      <c r="S1047" s="244"/>
      <c r="T1047" s="247"/>
      <c r="U1047" s="247"/>
      <c r="V1047" s="244"/>
      <c r="W1047" s="244"/>
      <c r="X1047" s="97"/>
    </row>
    <row r="1048">
      <c r="A1048" s="205"/>
      <c r="B1048" s="235"/>
      <c r="C1048" s="236"/>
      <c r="D1048" s="237"/>
      <c r="E1048" s="235"/>
      <c r="F1048" s="235"/>
      <c r="G1048" s="239"/>
      <c r="H1048" s="240"/>
      <c r="J1048" s="237"/>
      <c r="K1048" s="241"/>
      <c r="L1048" s="241"/>
      <c r="M1048" s="237"/>
      <c r="N1048" s="242"/>
      <c r="O1048" s="243"/>
      <c r="P1048" s="244"/>
      <c r="Q1048" s="245"/>
      <c r="R1048" s="246"/>
      <c r="S1048" s="244"/>
      <c r="T1048" s="247"/>
      <c r="U1048" s="247"/>
      <c r="V1048" s="244"/>
      <c r="W1048" s="244"/>
      <c r="X1048" s="97"/>
    </row>
    <row r="1049">
      <c r="A1049" s="205"/>
      <c r="B1049" s="235"/>
      <c r="C1049" s="236"/>
      <c r="D1049" s="237"/>
      <c r="E1049" s="235"/>
      <c r="F1049" s="235"/>
      <c r="G1049" s="239"/>
      <c r="H1049" s="240"/>
      <c r="J1049" s="237"/>
      <c r="K1049" s="241"/>
      <c r="L1049" s="241"/>
      <c r="M1049" s="237"/>
      <c r="N1049" s="242"/>
      <c r="O1049" s="243"/>
      <c r="P1049" s="244"/>
      <c r="Q1049" s="245"/>
      <c r="R1049" s="246"/>
      <c r="S1049" s="244"/>
      <c r="T1049" s="247"/>
      <c r="U1049" s="247"/>
      <c r="V1049" s="244"/>
      <c r="W1049" s="244"/>
      <c r="X1049" s="97"/>
    </row>
    <row r="1050">
      <c r="A1050" s="205"/>
      <c r="B1050" s="235"/>
      <c r="C1050" s="236"/>
      <c r="D1050" s="237"/>
      <c r="E1050" s="235"/>
      <c r="F1050" s="235"/>
      <c r="G1050" s="239"/>
      <c r="H1050" s="240"/>
      <c r="J1050" s="237"/>
      <c r="K1050" s="241"/>
      <c r="L1050" s="241"/>
      <c r="M1050" s="237"/>
      <c r="N1050" s="242"/>
      <c r="O1050" s="243"/>
      <c r="P1050" s="244"/>
      <c r="Q1050" s="245"/>
      <c r="R1050" s="246"/>
      <c r="S1050" s="244"/>
      <c r="T1050" s="247"/>
      <c r="U1050" s="247"/>
      <c r="V1050" s="244"/>
      <c r="W1050" s="244"/>
      <c r="X1050" s="97"/>
    </row>
    <row r="1051">
      <c r="A1051" s="205"/>
      <c r="B1051" s="235"/>
      <c r="C1051" s="236"/>
      <c r="D1051" s="237"/>
      <c r="E1051" s="235"/>
      <c r="F1051" s="235"/>
      <c r="G1051" s="239"/>
      <c r="H1051" s="240"/>
      <c r="J1051" s="237"/>
      <c r="K1051" s="241"/>
      <c r="L1051" s="241"/>
      <c r="M1051" s="237"/>
      <c r="N1051" s="242"/>
      <c r="O1051" s="243"/>
      <c r="P1051" s="244"/>
      <c r="Q1051" s="245"/>
      <c r="R1051" s="246"/>
      <c r="S1051" s="244"/>
      <c r="T1051" s="247"/>
      <c r="U1051" s="247"/>
      <c r="V1051" s="244"/>
      <c r="W1051" s="244"/>
      <c r="X1051" s="97"/>
    </row>
    <row r="1052">
      <c r="A1052" s="205"/>
      <c r="B1052" s="235"/>
      <c r="C1052" s="236"/>
      <c r="D1052" s="237"/>
      <c r="E1052" s="235"/>
      <c r="F1052" s="235"/>
      <c r="G1052" s="239"/>
      <c r="H1052" s="240"/>
      <c r="J1052" s="237"/>
      <c r="K1052" s="241"/>
      <c r="L1052" s="241"/>
      <c r="M1052" s="237"/>
      <c r="N1052" s="242"/>
      <c r="O1052" s="243"/>
      <c r="P1052" s="244"/>
      <c r="Q1052" s="245"/>
      <c r="R1052" s="246"/>
      <c r="S1052" s="244"/>
      <c r="T1052" s="247"/>
      <c r="U1052" s="247"/>
      <c r="V1052" s="244"/>
      <c r="W1052" s="244"/>
      <c r="X1052" s="97"/>
    </row>
    <row r="1053">
      <c r="A1053" s="205"/>
      <c r="B1053" s="235"/>
      <c r="C1053" s="236"/>
      <c r="D1053" s="237"/>
      <c r="E1053" s="235"/>
      <c r="F1053" s="235"/>
      <c r="G1053" s="239"/>
      <c r="H1053" s="240"/>
      <c r="J1053" s="237"/>
      <c r="K1053" s="241"/>
      <c r="L1053" s="241"/>
      <c r="M1053" s="237"/>
      <c r="N1053" s="242"/>
      <c r="O1053" s="243"/>
      <c r="P1053" s="244"/>
      <c r="Q1053" s="245"/>
      <c r="R1053" s="246"/>
      <c r="S1053" s="244"/>
      <c r="T1053" s="247"/>
      <c r="U1053" s="247"/>
      <c r="V1053" s="244"/>
      <c r="W1053" s="244"/>
      <c r="X1053" s="97"/>
    </row>
    <row r="1054">
      <c r="A1054" s="205"/>
      <c r="B1054" s="235"/>
      <c r="C1054" s="236"/>
      <c r="D1054" s="237"/>
      <c r="E1054" s="235"/>
      <c r="F1054" s="235"/>
      <c r="G1054" s="239"/>
      <c r="H1054" s="240"/>
      <c r="J1054" s="237"/>
      <c r="K1054" s="241"/>
      <c r="L1054" s="241"/>
      <c r="M1054" s="237"/>
      <c r="N1054" s="242"/>
      <c r="O1054" s="243"/>
      <c r="P1054" s="244"/>
      <c r="Q1054" s="245"/>
      <c r="R1054" s="246"/>
      <c r="S1054" s="244"/>
      <c r="T1054" s="247"/>
      <c r="U1054" s="247"/>
      <c r="V1054" s="244"/>
      <c r="W1054" s="244"/>
      <c r="X1054" s="97"/>
    </row>
    <row r="1055">
      <c r="A1055" s="205"/>
      <c r="B1055" s="235"/>
      <c r="C1055" s="236"/>
      <c r="D1055" s="237"/>
      <c r="E1055" s="235"/>
      <c r="F1055" s="235"/>
      <c r="G1055" s="239"/>
      <c r="H1055" s="240"/>
      <c r="J1055" s="237"/>
      <c r="K1055" s="241"/>
      <c r="L1055" s="241"/>
      <c r="M1055" s="237"/>
      <c r="N1055" s="242"/>
      <c r="O1055" s="243"/>
      <c r="P1055" s="244"/>
      <c r="Q1055" s="245"/>
      <c r="R1055" s="246"/>
      <c r="S1055" s="244"/>
      <c r="T1055" s="247"/>
      <c r="U1055" s="247"/>
      <c r="V1055" s="244"/>
      <c r="W1055" s="244"/>
      <c r="X1055" s="97"/>
    </row>
    <row r="1056">
      <c r="A1056" s="205"/>
      <c r="B1056" s="235"/>
      <c r="C1056" s="236"/>
      <c r="D1056" s="237"/>
      <c r="E1056" s="235"/>
      <c r="F1056" s="235"/>
      <c r="G1056" s="239"/>
      <c r="H1056" s="240"/>
      <c r="J1056" s="237"/>
      <c r="K1056" s="241"/>
      <c r="L1056" s="241"/>
      <c r="M1056" s="237"/>
      <c r="N1056" s="242"/>
      <c r="O1056" s="243"/>
      <c r="P1056" s="244"/>
      <c r="Q1056" s="245"/>
      <c r="R1056" s="246"/>
      <c r="S1056" s="244"/>
      <c r="T1056" s="247"/>
      <c r="U1056" s="247"/>
      <c r="V1056" s="244"/>
      <c r="W1056" s="244"/>
      <c r="X1056" s="97"/>
    </row>
    <row r="1057">
      <c r="A1057" s="205"/>
      <c r="B1057" s="235"/>
      <c r="C1057" s="236"/>
      <c r="D1057" s="237"/>
      <c r="E1057" s="235"/>
      <c r="F1057" s="235"/>
      <c r="G1057" s="239"/>
      <c r="H1057" s="240"/>
      <c r="J1057" s="237"/>
      <c r="K1057" s="241"/>
      <c r="L1057" s="241"/>
      <c r="M1057" s="237"/>
      <c r="N1057" s="242"/>
      <c r="O1057" s="243"/>
      <c r="P1057" s="244"/>
      <c r="Q1057" s="245"/>
      <c r="R1057" s="246"/>
      <c r="S1057" s="244"/>
      <c r="T1057" s="247"/>
      <c r="U1057" s="247"/>
      <c r="V1057" s="244"/>
      <c r="W1057" s="244"/>
      <c r="X1057" s="97"/>
    </row>
    <row r="1058">
      <c r="A1058" s="205"/>
      <c r="B1058" s="235"/>
      <c r="C1058" s="236"/>
      <c r="D1058" s="237"/>
      <c r="E1058" s="235"/>
      <c r="F1058" s="235"/>
      <c r="G1058" s="239"/>
      <c r="H1058" s="240"/>
      <c r="J1058" s="237"/>
      <c r="K1058" s="241"/>
      <c r="L1058" s="241"/>
      <c r="M1058" s="237"/>
      <c r="N1058" s="242"/>
      <c r="O1058" s="243"/>
      <c r="P1058" s="244"/>
      <c r="Q1058" s="245"/>
      <c r="R1058" s="246"/>
      <c r="S1058" s="244"/>
      <c r="T1058" s="247"/>
      <c r="U1058" s="247"/>
      <c r="V1058" s="244"/>
      <c r="W1058" s="244"/>
      <c r="X1058" s="97"/>
    </row>
    <row r="1059">
      <c r="A1059" s="205"/>
      <c r="B1059" s="235"/>
      <c r="C1059" s="236"/>
      <c r="D1059" s="237"/>
      <c r="E1059" s="235"/>
      <c r="F1059" s="235"/>
      <c r="G1059" s="239"/>
      <c r="H1059" s="240"/>
      <c r="J1059" s="237"/>
      <c r="K1059" s="241"/>
      <c r="L1059" s="241"/>
      <c r="M1059" s="237"/>
      <c r="N1059" s="242"/>
      <c r="O1059" s="243"/>
      <c r="P1059" s="244"/>
      <c r="Q1059" s="245"/>
      <c r="R1059" s="246"/>
      <c r="S1059" s="244"/>
      <c r="T1059" s="247"/>
      <c r="U1059" s="247"/>
      <c r="V1059" s="244"/>
      <c r="W1059" s="244"/>
      <c r="X1059" s="97"/>
    </row>
    <row r="1060">
      <c r="A1060" s="205"/>
      <c r="B1060" s="235"/>
      <c r="C1060" s="236"/>
      <c r="D1060" s="237"/>
      <c r="E1060" s="235"/>
      <c r="F1060" s="235"/>
      <c r="G1060" s="239"/>
      <c r="H1060" s="240"/>
      <c r="J1060" s="237"/>
      <c r="K1060" s="241"/>
      <c r="L1060" s="241"/>
      <c r="M1060" s="237"/>
      <c r="N1060" s="242"/>
      <c r="O1060" s="243"/>
      <c r="P1060" s="244"/>
      <c r="Q1060" s="245"/>
      <c r="R1060" s="246"/>
      <c r="S1060" s="244"/>
      <c r="T1060" s="247"/>
      <c r="U1060" s="247"/>
      <c r="V1060" s="244"/>
      <c r="W1060" s="244"/>
      <c r="X1060" s="97"/>
    </row>
    <row r="1061">
      <c r="A1061" s="205"/>
      <c r="B1061" s="235"/>
      <c r="C1061" s="236"/>
      <c r="D1061" s="237"/>
      <c r="E1061" s="235"/>
      <c r="F1061" s="235"/>
      <c r="G1061" s="239"/>
      <c r="H1061" s="240"/>
      <c r="J1061" s="237"/>
      <c r="K1061" s="241"/>
      <c r="L1061" s="241"/>
      <c r="M1061" s="237"/>
      <c r="N1061" s="242"/>
      <c r="O1061" s="243"/>
      <c r="P1061" s="244"/>
      <c r="Q1061" s="245"/>
      <c r="R1061" s="246"/>
      <c r="S1061" s="244"/>
      <c r="T1061" s="247"/>
      <c r="U1061" s="247"/>
      <c r="V1061" s="244"/>
      <c r="W1061" s="244"/>
      <c r="X1061" s="97"/>
    </row>
    <row r="1062">
      <c r="A1062" s="205"/>
      <c r="B1062" s="235"/>
      <c r="C1062" s="236"/>
      <c r="D1062" s="237"/>
      <c r="E1062" s="235"/>
      <c r="F1062" s="235"/>
      <c r="G1062" s="239"/>
      <c r="H1062" s="240"/>
      <c r="J1062" s="237"/>
      <c r="K1062" s="241"/>
      <c r="L1062" s="241"/>
      <c r="M1062" s="237"/>
      <c r="N1062" s="242"/>
      <c r="O1062" s="243"/>
      <c r="P1062" s="244"/>
      <c r="Q1062" s="245"/>
      <c r="R1062" s="246"/>
      <c r="S1062" s="244"/>
      <c r="T1062" s="247"/>
      <c r="U1062" s="247"/>
      <c r="V1062" s="244"/>
      <c r="W1062" s="244"/>
      <c r="X1062" s="97"/>
    </row>
    <row r="1063">
      <c r="A1063" s="205"/>
      <c r="B1063" s="235"/>
      <c r="C1063" s="236"/>
      <c r="D1063" s="237"/>
      <c r="E1063" s="235"/>
      <c r="F1063" s="235"/>
      <c r="G1063" s="239"/>
      <c r="H1063" s="240"/>
      <c r="J1063" s="237"/>
      <c r="K1063" s="241"/>
      <c r="L1063" s="241"/>
      <c r="M1063" s="237"/>
      <c r="N1063" s="242"/>
      <c r="O1063" s="243"/>
      <c r="P1063" s="244"/>
      <c r="Q1063" s="245"/>
      <c r="R1063" s="246"/>
      <c r="S1063" s="244"/>
      <c r="T1063" s="247"/>
      <c r="U1063" s="247"/>
      <c r="V1063" s="244"/>
      <c r="W1063" s="244"/>
      <c r="X1063" s="97"/>
    </row>
    <row r="1064">
      <c r="A1064" s="205"/>
      <c r="B1064" s="235"/>
      <c r="C1064" s="236"/>
      <c r="D1064" s="237"/>
      <c r="E1064" s="235"/>
      <c r="F1064" s="235"/>
      <c r="G1064" s="239"/>
      <c r="H1064" s="240"/>
      <c r="J1064" s="237"/>
      <c r="K1064" s="241"/>
      <c r="L1064" s="241"/>
      <c r="M1064" s="237"/>
      <c r="N1064" s="242"/>
      <c r="O1064" s="243"/>
      <c r="P1064" s="244"/>
      <c r="Q1064" s="245"/>
      <c r="R1064" s="246"/>
      <c r="S1064" s="244"/>
      <c r="T1064" s="247"/>
      <c r="U1064" s="247"/>
      <c r="V1064" s="244"/>
      <c r="W1064" s="244"/>
      <c r="X1064" s="97"/>
    </row>
    <row r="1065">
      <c r="A1065" s="205"/>
      <c r="B1065" s="235"/>
      <c r="C1065" s="236"/>
      <c r="D1065" s="237"/>
      <c r="E1065" s="235"/>
      <c r="F1065" s="235"/>
      <c r="G1065" s="239"/>
      <c r="H1065" s="240"/>
      <c r="J1065" s="237"/>
      <c r="K1065" s="241"/>
      <c r="L1065" s="241"/>
      <c r="M1065" s="237"/>
      <c r="N1065" s="242"/>
      <c r="O1065" s="243"/>
      <c r="P1065" s="244"/>
      <c r="Q1065" s="245"/>
      <c r="R1065" s="246"/>
      <c r="S1065" s="244"/>
      <c r="T1065" s="247"/>
      <c r="U1065" s="247"/>
      <c r="V1065" s="244"/>
      <c r="W1065" s="244"/>
      <c r="X1065" s="97"/>
    </row>
    <row r="1066">
      <c r="A1066" s="205"/>
      <c r="B1066" s="235"/>
      <c r="C1066" s="236"/>
      <c r="D1066" s="237"/>
      <c r="E1066" s="235"/>
      <c r="F1066" s="235"/>
      <c r="G1066" s="239"/>
      <c r="H1066" s="240"/>
      <c r="J1066" s="237"/>
      <c r="K1066" s="241"/>
      <c r="L1066" s="241"/>
      <c r="M1066" s="237"/>
      <c r="N1066" s="242"/>
      <c r="O1066" s="243"/>
      <c r="P1066" s="244"/>
      <c r="Q1066" s="245"/>
      <c r="R1066" s="246"/>
      <c r="S1066" s="244"/>
      <c r="T1066" s="247"/>
      <c r="U1066" s="247"/>
      <c r="V1066" s="244"/>
      <c r="W1066" s="244"/>
      <c r="X1066" s="97"/>
    </row>
    <row r="1067">
      <c r="A1067" s="205"/>
      <c r="B1067" s="235"/>
      <c r="C1067" s="236"/>
      <c r="D1067" s="237"/>
      <c r="E1067" s="235"/>
      <c r="F1067" s="235"/>
      <c r="G1067" s="239"/>
      <c r="H1067" s="240"/>
      <c r="J1067" s="237"/>
      <c r="K1067" s="241"/>
      <c r="L1067" s="241"/>
      <c r="M1067" s="237"/>
      <c r="N1067" s="242"/>
      <c r="O1067" s="243"/>
      <c r="P1067" s="244"/>
      <c r="Q1067" s="245"/>
      <c r="R1067" s="246"/>
      <c r="S1067" s="244"/>
      <c r="T1067" s="247"/>
      <c r="U1067" s="247"/>
      <c r="V1067" s="244"/>
      <c r="W1067" s="244"/>
      <c r="X1067" s="97"/>
    </row>
    <row r="1068">
      <c r="A1068" s="205"/>
      <c r="B1068" s="235"/>
      <c r="C1068" s="236"/>
      <c r="D1068" s="237"/>
      <c r="E1068" s="235"/>
      <c r="F1068" s="235"/>
      <c r="G1068" s="239"/>
      <c r="H1068" s="240"/>
      <c r="J1068" s="237"/>
      <c r="K1068" s="241"/>
      <c r="L1068" s="241"/>
      <c r="M1068" s="237"/>
      <c r="N1068" s="242"/>
      <c r="O1068" s="243"/>
      <c r="P1068" s="244"/>
      <c r="Q1068" s="245"/>
      <c r="R1068" s="246"/>
      <c r="S1068" s="244"/>
      <c r="T1068" s="247"/>
      <c r="U1068" s="247"/>
      <c r="V1068" s="244"/>
      <c r="W1068" s="244"/>
      <c r="X1068" s="97"/>
    </row>
    <row r="1069">
      <c r="A1069" s="205"/>
      <c r="B1069" s="235"/>
      <c r="C1069" s="236"/>
      <c r="D1069" s="237"/>
      <c r="E1069" s="235"/>
      <c r="F1069" s="235"/>
      <c r="G1069" s="239"/>
      <c r="H1069" s="240"/>
      <c r="J1069" s="237"/>
      <c r="K1069" s="241"/>
      <c r="L1069" s="241"/>
      <c r="M1069" s="237"/>
      <c r="N1069" s="242"/>
      <c r="O1069" s="243"/>
      <c r="P1069" s="244"/>
      <c r="Q1069" s="245"/>
      <c r="R1069" s="246"/>
      <c r="S1069" s="244"/>
      <c r="T1069" s="247"/>
      <c r="U1069" s="247"/>
      <c r="V1069" s="244"/>
      <c r="W1069" s="244"/>
      <c r="X1069" s="97"/>
    </row>
    <row r="1070">
      <c r="A1070" s="205"/>
      <c r="B1070" s="235"/>
      <c r="C1070" s="236"/>
      <c r="D1070" s="237"/>
      <c r="E1070" s="235"/>
      <c r="F1070" s="235"/>
      <c r="G1070" s="239"/>
      <c r="H1070" s="240"/>
      <c r="J1070" s="237"/>
      <c r="K1070" s="241"/>
      <c r="L1070" s="241"/>
      <c r="M1070" s="237"/>
      <c r="N1070" s="242"/>
      <c r="O1070" s="243"/>
      <c r="P1070" s="244"/>
      <c r="Q1070" s="245"/>
      <c r="R1070" s="246"/>
      <c r="S1070" s="244"/>
      <c r="T1070" s="247"/>
      <c r="U1070" s="247"/>
      <c r="V1070" s="244"/>
      <c r="W1070" s="244"/>
      <c r="X1070" s="97"/>
    </row>
    <row r="1071">
      <c r="A1071" s="205"/>
      <c r="B1071" s="235"/>
      <c r="C1071" s="236"/>
      <c r="D1071" s="237"/>
      <c r="E1071" s="235"/>
      <c r="F1071" s="235"/>
      <c r="G1071" s="239"/>
      <c r="H1071" s="240"/>
      <c r="J1071" s="237"/>
      <c r="K1071" s="241"/>
      <c r="L1071" s="241"/>
      <c r="M1071" s="237"/>
      <c r="N1071" s="242"/>
      <c r="O1071" s="243"/>
      <c r="P1071" s="244"/>
      <c r="Q1071" s="245"/>
      <c r="R1071" s="246"/>
      <c r="S1071" s="244"/>
      <c r="T1071" s="247"/>
      <c r="U1071" s="247"/>
      <c r="V1071" s="244"/>
      <c r="W1071" s="244"/>
      <c r="X1071" s="97"/>
    </row>
    <row r="1072">
      <c r="A1072" s="205"/>
      <c r="B1072" s="235"/>
      <c r="C1072" s="236"/>
      <c r="D1072" s="237"/>
      <c r="E1072" s="235"/>
      <c r="F1072" s="235"/>
      <c r="G1072" s="239"/>
      <c r="H1072" s="240"/>
      <c r="J1072" s="237"/>
      <c r="K1072" s="241"/>
      <c r="L1072" s="241"/>
      <c r="M1072" s="237"/>
      <c r="N1072" s="242"/>
      <c r="O1072" s="243"/>
      <c r="P1072" s="244"/>
      <c r="Q1072" s="245"/>
      <c r="R1072" s="246"/>
      <c r="S1072" s="244"/>
      <c r="T1072" s="247"/>
      <c r="U1072" s="247"/>
      <c r="V1072" s="244"/>
      <c r="W1072" s="244"/>
      <c r="X1072" s="97"/>
    </row>
    <row r="1073">
      <c r="A1073" s="205"/>
      <c r="B1073" s="235"/>
      <c r="C1073" s="236"/>
      <c r="D1073" s="237"/>
      <c r="E1073" s="235"/>
      <c r="F1073" s="235"/>
      <c r="G1073" s="239"/>
      <c r="H1073" s="240"/>
      <c r="J1073" s="237"/>
      <c r="K1073" s="241"/>
      <c r="L1073" s="241"/>
      <c r="M1073" s="237"/>
      <c r="N1073" s="242"/>
      <c r="O1073" s="243"/>
      <c r="P1073" s="244"/>
      <c r="Q1073" s="245"/>
      <c r="R1073" s="246"/>
      <c r="S1073" s="244"/>
      <c r="T1073" s="247"/>
      <c r="U1073" s="247"/>
      <c r="V1073" s="244"/>
      <c r="W1073" s="244"/>
      <c r="X1073" s="97"/>
    </row>
    <row r="1074">
      <c r="A1074" s="205"/>
      <c r="B1074" s="235"/>
      <c r="C1074" s="236"/>
      <c r="D1074" s="237"/>
      <c r="E1074" s="235"/>
      <c r="F1074" s="235"/>
      <c r="G1074" s="239"/>
      <c r="H1074" s="240"/>
      <c r="J1074" s="237"/>
      <c r="K1074" s="241"/>
      <c r="L1074" s="241"/>
      <c r="M1074" s="237"/>
      <c r="N1074" s="242"/>
      <c r="O1074" s="243"/>
      <c r="P1074" s="244"/>
      <c r="Q1074" s="245"/>
      <c r="R1074" s="246"/>
      <c r="S1074" s="244"/>
      <c r="T1074" s="247"/>
      <c r="U1074" s="247"/>
      <c r="V1074" s="244"/>
      <c r="W1074" s="244"/>
      <c r="X1074" s="97"/>
    </row>
    <row r="1075">
      <c r="A1075" s="205"/>
      <c r="B1075" s="235"/>
      <c r="C1075" s="236"/>
      <c r="D1075" s="237"/>
      <c r="E1075" s="235"/>
      <c r="F1075" s="235"/>
      <c r="G1075" s="239"/>
      <c r="H1075" s="240"/>
      <c r="J1075" s="237"/>
      <c r="K1075" s="241"/>
      <c r="L1075" s="241"/>
      <c r="M1075" s="237"/>
      <c r="N1075" s="242"/>
      <c r="O1075" s="243"/>
      <c r="P1075" s="244"/>
      <c r="Q1075" s="245"/>
      <c r="R1075" s="246"/>
      <c r="S1075" s="244"/>
      <c r="T1075" s="247"/>
      <c r="U1075" s="247"/>
      <c r="V1075" s="244"/>
      <c r="W1075" s="244"/>
      <c r="X1075" s="97"/>
    </row>
    <row r="1076">
      <c r="A1076" s="205"/>
      <c r="B1076" s="235"/>
      <c r="C1076" s="236"/>
      <c r="D1076" s="237"/>
      <c r="E1076" s="235"/>
      <c r="F1076" s="235"/>
      <c r="G1076" s="239"/>
      <c r="H1076" s="240"/>
      <c r="J1076" s="237"/>
      <c r="K1076" s="241"/>
      <c r="L1076" s="241"/>
      <c r="M1076" s="237"/>
      <c r="N1076" s="242"/>
      <c r="O1076" s="243"/>
      <c r="P1076" s="244"/>
      <c r="Q1076" s="245"/>
      <c r="R1076" s="246"/>
      <c r="S1076" s="244"/>
      <c r="T1076" s="247"/>
      <c r="U1076" s="247"/>
      <c r="V1076" s="244"/>
      <c r="W1076" s="244"/>
      <c r="X1076" s="97"/>
    </row>
    <row r="1077">
      <c r="A1077" s="205"/>
      <c r="B1077" s="235"/>
      <c r="C1077" s="236"/>
      <c r="D1077" s="237"/>
      <c r="E1077" s="235"/>
      <c r="F1077" s="235"/>
      <c r="G1077" s="239"/>
      <c r="H1077" s="240"/>
      <c r="J1077" s="237"/>
      <c r="K1077" s="241"/>
      <c r="L1077" s="241"/>
      <c r="M1077" s="237"/>
      <c r="N1077" s="242"/>
      <c r="O1077" s="243"/>
      <c r="P1077" s="244"/>
      <c r="Q1077" s="245"/>
      <c r="R1077" s="246"/>
      <c r="S1077" s="244"/>
      <c r="T1077" s="247"/>
      <c r="U1077" s="247"/>
      <c r="V1077" s="244"/>
      <c r="W1077" s="244"/>
      <c r="X1077" s="97"/>
    </row>
    <row r="1078">
      <c r="A1078" s="205"/>
      <c r="B1078" s="235"/>
      <c r="C1078" s="236"/>
      <c r="D1078" s="237"/>
      <c r="E1078" s="235"/>
      <c r="F1078" s="235"/>
      <c r="G1078" s="239"/>
      <c r="H1078" s="240"/>
      <c r="J1078" s="237"/>
      <c r="K1078" s="241"/>
      <c r="L1078" s="241"/>
      <c r="M1078" s="237"/>
      <c r="N1078" s="242"/>
      <c r="O1078" s="243"/>
      <c r="P1078" s="244"/>
      <c r="Q1078" s="245"/>
      <c r="R1078" s="246"/>
      <c r="S1078" s="244"/>
      <c r="T1078" s="247"/>
      <c r="U1078" s="247"/>
      <c r="V1078" s="244"/>
      <c r="W1078" s="244"/>
      <c r="X1078" s="97"/>
    </row>
    <row r="1079">
      <c r="A1079" s="205"/>
      <c r="B1079" s="235"/>
      <c r="C1079" s="236"/>
      <c r="D1079" s="237"/>
      <c r="E1079" s="235"/>
      <c r="F1079" s="235"/>
      <c r="G1079" s="239"/>
      <c r="H1079" s="240"/>
      <c r="J1079" s="237"/>
      <c r="K1079" s="241"/>
      <c r="L1079" s="241"/>
      <c r="M1079" s="237"/>
      <c r="N1079" s="242"/>
      <c r="O1079" s="243"/>
      <c r="P1079" s="244"/>
      <c r="Q1079" s="245"/>
      <c r="R1079" s="246"/>
      <c r="S1079" s="244"/>
      <c r="T1079" s="247"/>
      <c r="U1079" s="247"/>
      <c r="V1079" s="244"/>
      <c r="W1079" s="244"/>
      <c r="X1079" s="97"/>
    </row>
    <row r="1080">
      <c r="A1080" s="205"/>
      <c r="B1080" s="235"/>
      <c r="C1080" s="236"/>
      <c r="D1080" s="237"/>
      <c r="E1080" s="235"/>
      <c r="F1080" s="235"/>
      <c r="G1080" s="239"/>
      <c r="H1080" s="240"/>
      <c r="J1080" s="237"/>
      <c r="K1080" s="241"/>
      <c r="L1080" s="241"/>
      <c r="M1080" s="237"/>
      <c r="N1080" s="242"/>
      <c r="O1080" s="243"/>
      <c r="P1080" s="244"/>
      <c r="Q1080" s="245"/>
      <c r="R1080" s="246"/>
      <c r="S1080" s="244"/>
      <c r="T1080" s="247"/>
      <c r="U1080" s="247"/>
      <c r="V1080" s="244"/>
      <c r="W1080" s="244"/>
      <c r="X1080" s="97"/>
    </row>
    <row r="1081">
      <c r="A1081" s="205"/>
      <c r="B1081" s="235"/>
      <c r="C1081" s="236"/>
      <c r="D1081" s="237"/>
      <c r="E1081" s="235"/>
      <c r="F1081" s="235"/>
      <c r="G1081" s="239"/>
      <c r="H1081" s="240"/>
      <c r="J1081" s="237"/>
      <c r="K1081" s="241"/>
      <c r="L1081" s="241"/>
      <c r="M1081" s="237"/>
      <c r="N1081" s="242"/>
      <c r="O1081" s="243"/>
      <c r="P1081" s="244"/>
      <c r="Q1081" s="245"/>
      <c r="R1081" s="246"/>
      <c r="S1081" s="244"/>
      <c r="T1081" s="247"/>
      <c r="U1081" s="247"/>
      <c r="V1081" s="244"/>
      <c r="W1081" s="244"/>
      <c r="X1081" s="97"/>
    </row>
    <row r="1082">
      <c r="A1082" s="205"/>
      <c r="B1082" s="235"/>
      <c r="C1082" s="236"/>
      <c r="D1082" s="237"/>
      <c r="E1082" s="235"/>
      <c r="F1082" s="235"/>
      <c r="G1082" s="239"/>
      <c r="H1082" s="240"/>
      <c r="J1082" s="237"/>
      <c r="K1082" s="241"/>
      <c r="L1082" s="241"/>
      <c r="M1082" s="237"/>
      <c r="N1082" s="242"/>
      <c r="O1082" s="243"/>
      <c r="P1082" s="244"/>
      <c r="Q1082" s="245"/>
      <c r="R1082" s="246"/>
      <c r="S1082" s="244"/>
      <c r="T1082" s="247"/>
      <c r="U1082" s="247"/>
      <c r="V1082" s="244"/>
      <c r="W1082" s="244"/>
      <c r="X1082" s="97"/>
    </row>
    <row r="1083">
      <c r="A1083" s="205"/>
      <c r="B1083" s="235"/>
      <c r="C1083" s="236"/>
      <c r="D1083" s="237"/>
      <c r="E1083" s="235"/>
      <c r="F1083" s="235"/>
      <c r="G1083" s="239"/>
      <c r="H1083" s="240"/>
      <c r="J1083" s="237"/>
      <c r="K1083" s="241"/>
      <c r="L1083" s="241"/>
      <c r="M1083" s="237"/>
      <c r="N1083" s="242"/>
      <c r="O1083" s="243"/>
      <c r="P1083" s="244"/>
      <c r="Q1083" s="245"/>
      <c r="R1083" s="246"/>
      <c r="S1083" s="244"/>
      <c r="T1083" s="247"/>
      <c r="U1083" s="247"/>
      <c r="V1083" s="244"/>
      <c r="W1083" s="244"/>
      <c r="X1083" s="97"/>
    </row>
    <row r="1084">
      <c r="A1084" s="205"/>
      <c r="B1084" s="235"/>
      <c r="C1084" s="236"/>
      <c r="D1084" s="237"/>
      <c r="E1084" s="235"/>
      <c r="F1084" s="235"/>
      <c r="G1084" s="239"/>
      <c r="H1084" s="240"/>
      <c r="J1084" s="237"/>
      <c r="K1084" s="241"/>
      <c r="L1084" s="241"/>
      <c r="M1084" s="237"/>
      <c r="N1084" s="242"/>
      <c r="O1084" s="243"/>
      <c r="P1084" s="244"/>
      <c r="Q1084" s="245"/>
      <c r="R1084" s="246"/>
      <c r="S1084" s="244"/>
      <c r="T1084" s="247"/>
      <c r="U1084" s="247"/>
      <c r="V1084" s="244"/>
      <c r="W1084" s="244"/>
      <c r="X1084" s="97"/>
    </row>
    <row r="1085">
      <c r="A1085" s="205"/>
      <c r="B1085" s="235"/>
      <c r="C1085" s="236"/>
      <c r="D1085" s="237"/>
      <c r="E1085" s="235"/>
      <c r="F1085" s="235"/>
      <c r="G1085" s="239"/>
      <c r="H1085" s="240"/>
      <c r="J1085" s="237"/>
      <c r="K1085" s="241"/>
      <c r="L1085" s="241"/>
      <c r="M1085" s="237"/>
      <c r="N1085" s="242"/>
      <c r="O1085" s="243"/>
      <c r="P1085" s="244"/>
      <c r="Q1085" s="245"/>
      <c r="R1085" s="246"/>
      <c r="S1085" s="244"/>
      <c r="T1085" s="247"/>
      <c r="U1085" s="247"/>
      <c r="V1085" s="244"/>
      <c r="W1085" s="244"/>
      <c r="X1085" s="97"/>
    </row>
    <row r="1086">
      <c r="A1086" s="205"/>
      <c r="B1086" s="235"/>
      <c r="C1086" s="236"/>
      <c r="D1086" s="237"/>
      <c r="E1086" s="235"/>
      <c r="F1086" s="235"/>
      <c r="G1086" s="239"/>
      <c r="H1086" s="240"/>
      <c r="J1086" s="237"/>
      <c r="K1086" s="241"/>
      <c r="L1086" s="241"/>
      <c r="M1086" s="237"/>
      <c r="N1086" s="242"/>
      <c r="O1086" s="243"/>
      <c r="P1086" s="244"/>
      <c r="Q1086" s="245"/>
      <c r="R1086" s="246"/>
      <c r="S1086" s="244"/>
      <c r="T1086" s="247"/>
      <c r="U1086" s="247"/>
      <c r="V1086" s="244"/>
      <c r="W1086" s="244"/>
      <c r="X1086" s="97"/>
    </row>
    <row r="1087">
      <c r="A1087" s="205"/>
      <c r="B1087" s="235"/>
      <c r="C1087" s="236"/>
      <c r="D1087" s="237"/>
      <c r="E1087" s="235"/>
      <c r="F1087" s="235"/>
      <c r="G1087" s="239"/>
      <c r="H1087" s="240"/>
      <c r="J1087" s="237"/>
      <c r="K1087" s="241"/>
      <c r="L1087" s="241"/>
      <c r="M1087" s="237"/>
      <c r="N1087" s="242"/>
      <c r="O1087" s="243"/>
      <c r="P1087" s="244"/>
      <c r="Q1087" s="245"/>
      <c r="R1087" s="246"/>
      <c r="S1087" s="244"/>
      <c r="T1087" s="247"/>
      <c r="U1087" s="247"/>
      <c r="V1087" s="244"/>
      <c r="W1087" s="244"/>
      <c r="X1087" s="97"/>
    </row>
    <row r="1088">
      <c r="A1088" s="205"/>
      <c r="B1088" s="235"/>
      <c r="C1088" s="236"/>
      <c r="D1088" s="237"/>
      <c r="E1088" s="235"/>
      <c r="F1088" s="235"/>
      <c r="G1088" s="239"/>
      <c r="H1088" s="240"/>
      <c r="J1088" s="237"/>
      <c r="K1088" s="241"/>
      <c r="L1088" s="241"/>
      <c r="M1088" s="237"/>
      <c r="N1088" s="242"/>
      <c r="O1088" s="243"/>
      <c r="P1088" s="244"/>
      <c r="Q1088" s="245"/>
      <c r="R1088" s="246"/>
      <c r="S1088" s="244"/>
      <c r="T1088" s="247"/>
      <c r="U1088" s="247"/>
      <c r="V1088" s="244"/>
      <c r="W1088" s="244"/>
      <c r="X1088" s="97"/>
    </row>
    <row r="1089">
      <c r="A1089" s="205"/>
      <c r="B1089" s="235"/>
      <c r="C1089" s="236"/>
      <c r="D1089" s="237"/>
      <c r="E1089" s="235"/>
      <c r="F1089" s="235"/>
      <c r="G1089" s="239"/>
      <c r="H1089" s="240"/>
      <c r="J1089" s="237"/>
      <c r="K1089" s="241"/>
      <c r="L1089" s="241"/>
      <c r="M1089" s="237"/>
      <c r="N1089" s="242"/>
      <c r="O1089" s="243"/>
      <c r="P1089" s="244"/>
      <c r="Q1089" s="245"/>
      <c r="R1089" s="246"/>
      <c r="S1089" s="244"/>
      <c r="T1089" s="247"/>
      <c r="U1089" s="247"/>
      <c r="V1089" s="244"/>
      <c r="W1089" s="244"/>
      <c r="X1089" s="97"/>
    </row>
    <row r="1090">
      <c r="A1090" s="205"/>
      <c r="B1090" s="235"/>
      <c r="C1090" s="236"/>
      <c r="D1090" s="237"/>
      <c r="E1090" s="235"/>
      <c r="F1090" s="235"/>
      <c r="G1090" s="239"/>
      <c r="H1090" s="240"/>
      <c r="J1090" s="237"/>
      <c r="K1090" s="241"/>
      <c r="L1090" s="241"/>
      <c r="M1090" s="237"/>
      <c r="N1090" s="242"/>
      <c r="O1090" s="243"/>
      <c r="P1090" s="244"/>
      <c r="Q1090" s="245"/>
      <c r="R1090" s="246"/>
      <c r="S1090" s="244"/>
      <c r="T1090" s="247"/>
      <c r="U1090" s="247"/>
      <c r="V1090" s="244"/>
      <c r="W1090" s="244"/>
      <c r="X1090" s="97"/>
    </row>
    <row r="1091">
      <c r="A1091" s="205"/>
      <c r="B1091" s="235"/>
      <c r="C1091" s="236"/>
      <c r="D1091" s="237"/>
      <c r="E1091" s="235"/>
      <c r="F1091" s="235"/>
      <c r="G1091" s="239"/>
      <c r="H1091" s="240"/>
      <c r="J1091" s="237"/>
      <c r="K1091" s="241"/>
      <c r="L1091" s="241"/>
      <c r="M1091" s="237"/>
      <c r="N1091" s="242"/>
      <c r="O1091" s="243"/>
      <c r="P1091" s="244"/>
      <c r="Q1091" s="245"/>
      <c r="R1091" s="246"/>
      <c r="S1091" s="244"/>
      <c r="T1091" s="247"/>
      <c r="U1091" s="247"/>
      <c r="V1091" s="244"/>
      <c r="W1091" s="244"/>
      <c r="X1091" s="97"/>
    </row>
    <row r="1092">
      <c r="A1092" s="205"/>
      <c r="B1092" s="235"/>
      <c r="C1092" s="236"/>
      <c r="D1092" s="237"/>
      <c r="E1092" s="235"/>
      <c r="F1092" s="235"/>
      <c r="G1092" s="239"/>
      <c r="H1092" s="240"/>
      <c r="J1092" s="237"/>
      <c r="K1092" s="241"/>
      <c r="L1092" s="241"/>
      <c r="M1092" s="237"/>
      <c r="N1092" s="242"/>
      <c r="O1092" s="243"/>
      <c r="P1092" s="244"/>
      <c r="Q1092" s="245"/>
      <c r="R1092" s="246"/>
      <c r="S1092" s="244"/>
      <c r="T1092" s="247"/>
      <c r="U1092" s="247"/>
      <c r="V1092" s="244"/>
      <c r="W1092" s="244"/>
      <c r="X1092" s="97"/>
    </row>
    <row r="1093">
      <c r="A1093" s="205"/>
      <c r="B1093" s="235"/>
      <c r="C1093" s="236"/>
      <c r="D1093" s="237"/>
      <c r="E1093" s="235"/>
      <c r="F1093" s="235"/>
      <c r="G1093" s="239"/>
      <c r="H1093" s="240"/>
      <c r="J1093" s="237"/>
      <c r="K1093" s="241"/>
      <c r="L1093" s="241"/>
      <c r="M1093" s="237"/>
      <c r="N1093" s="242"/>
      <c r="O1093" s="243"/>
      <c r="P1093" s="244"/>
      <c r="Q1093" s="245"/>
      <c r="R1093" s="246"/>
      <c r="S1093" s="244"/>
      <c r="T1093" s="247"/>
      <c r="U1093" s="247"/>
      <c r="V1093" s="244"/>
      <c r="W1093" s="244"/>
      <c r="X1093" s="97"/>
    </row>
    <row r="1094">
      <c r="A1094" s="205"/>
      <c r="B1094" s="235"/>
      <c r="C1094" s="236"/>
      <c r="D1094" s="237"/>
      <c r="E1094" s="235"/>
      <c r="F1094" s="235"/>
      <c r="G1094" s="239"/>
      <c r="H1094" s="240"/>
      <c r="J1094" s="237"/>
      <c r="K1094" s="241"/>
      <c r="L1094" s="241"/>
      <c r="M1094" s="237"/>
      <c r="N1094" s="242"/>
      <c r="O1094" s="243"/>
      <c r="P1094" s="244"/>
      <c r="Q1094" s="245"/>
      <c r="R1094" s="246"/>
      <c r="S1094" s="244"/>
      <c r="T1094" s="247"/>
      <c r="U1094" s="247"/>
      <c r="V1094" s="244"/>
      <c r="W1094" s="244"/>
      <c r="X1094" s="97"/>
    </row>
    <row r="1095">
      <c r="A1095" s="205"/>
      <c r="B1095" s="235"/>
      <c r="C1095" s="236"/>
      <c r="D1095" s="237"/>
      <c r="E1095" s="235"/>
      <c r="F1095" s="235"/>
      <c r="G1095" s="239"/>
      <c r="H1095" s="240"/>
      <c r="J1095" s="237"/>
      <c r="K1095" s="241"/>
      <c r="L1095" s="241"/>
      <c r="M1095" s="237"/>
      <c r="N1095" s="242"/>
      <c r="O1095" s="243"/>
      <c r="P1095" s="244"/>
      <c r="Q1095" s="245"/>
      <c r="R1095" s="246"/>
      <c r="S1095" s="244"/>
      <c r="T1095" s="247"/>
      <c r="U1095" s="247"/>
      <c r="V1095" s="244"/>
      <c r="W1095" s="244"/>
      <c r="X1095" s="97"/>
    </row>
    <row r="1096">
      <c r="A1096" s="205"/>
      <c r="B1096" s="235"/>
      <c r="C1096" s="236"/>
      <c r="D1096" s="237"/>
      <c r="E1096" s="235"/>
      <c r="F1096" s="235"/>
      <c r="G1096" s="239"/>
      <c r="H1096" s="240"/>
      <c r="J1096" s="237"/>
      <c r="K1096" s="241"/>
      <c r="L1096" s="241"/>
      <c r="M1096" s="237"/>
      <c r="N1096" s="242"/>
      <c r="O1096" s="243"/>
      <c r="P1096" s="244"/>
      <c r="Q1096" s="245"/>
      <c r="R1096" s="246"/>
      <c r="S1096" s="244"/>
      <c r="T1096" s="247"/>
      <c r="U1096" s="247"/>
      <c r="V1096" s="244"/>
      <c r="W1096" s="244"/>
      <c r="X1096" s="97"/>
    </row>
    <row r="1097">
      <c r="A1097" s="205"/>
      <c r="B1097" s="235"/>
      <c r="C1097" s="236"/>
      <c r="D1097" s="237"/>
      <c r="E1097" s="235"/>
      <c r="F1097" s="235"/>
      <c r="G1097" s="239"/>
      <c r="H1097" s="240"/>
      <c r="J1097" s="237"/>
      <c r="K1097" s="241"/>
      <c r="L1097" s="241"/>
      <c r="M1097" s="237"/>
      <c r="N1097" s="242"/>
      <c r="O1097" s="243"/>
      <c r="P1097" s="244"/>
      <c r="Q1097" s="245"/>
      <c r="R1097" s="246"/>
      <c r="S1097" s="244"/>
      <c r="T1097" s="247"/>
      <c r="U1097" s="247"/>
      <c r="V1097" s="244"/>
      <c r="W1097" s="244"/>
      <c r="X1097" s="97"/>
    </row>
    <row r="1098">
      <c r="A1098" s="205"/>
      <c r="B1098" s="235"/>
      <c r="C1098" s="236"/>
      <c r="D1098" s="237"/>
      <c r="E1098" s="235"/>
      <c r="F1098" s="235"/>
      <c r="G1098" s="239"/>
      <c r="H1098" s="240"/>
      <c r="J1098" s="237"/>
      <c r="K1098" s="241"/>
      <c r="L1098" s="241"/>
      <c r="M1098" s="237"/>
      <c r="N1098" s="242"/>
      <c r="O1098" s="243"/>
      <c r="P1098" s="244"/>
      <c r="Q1098" s="245"/>
      <c r="R1098" s="246"/>
      <c r="S1098" s="244"/>
      <c r="T1098" s="247"/>
      <c r="U1098" s="247"/>
      <c r="V1098" s="244"/>
      <c r="W1098" s="244"/>
      <c r="X1098" s="97"/>
    </row>
    <row r="1099">
      <c r="A1099" s="205"/>
      <c r="B1099" s="235"/>
      <c r="C1099" s="236"/>
      <c r="D1099" s="237"/>
      <c r="E1099" s="235"/>
      <c r="F1099" s="235"/>
      <c r="G1099" s="239"/>
      <c r="H1099" s="240"/>
      <c r="J1099" s="237"/>
      <c r="K1099" s="241"/>
      <c r="L1099" s="241"/>
      <c r="M1099" s="237"/>
      <c r="N1099" s="242"/>
      <c r="O1099" s="243"/>
      <c r="P1099" s="244"/>
      <c r="Q1099" s="245"/>
      <c r="R1099" s="246"/>
      <c r="S1099" s="244"/>
      <c r="T1099" s="247"/>
      <c r="U1099" s="247"/>
      <c r="V1099" s="244"/>
      <c r="W1099" s="244"/>
      <c r="X1099" s="97"/>
    </row>
    <row r="1100">
      <c r="A1100" s="205"/>
      <c r="B1100" s="235"/>
      <c r="C1100" s="236"/>
      <c r="D1100" s="237"/>
      <c r="E1100" s="235"/>
      <c r="F1100" s="235"/>
      <c r="G1100" s="239"/>
      <c r="H1100" s="240"/>
      <c r="J1100" s="237"/>
      <c r="K1100" s="241"/>
      <c r="L1100" s="241"/>
      <c r="M1100" s="237"/>
      <c r="N1100" s="242"/>
      <c r="O1100" s="243"/>
      <c r="P1100" s="244"/>
      <c r="Q1100" s="245"/>
      <c r="R1100" s="246"/>
      <c r="S1100" s="244"/>
      <c r="T1100" s="247"/>
      <c r="U1100" s="247"/>
      <c r="V1100" s="244"/>
      <c r="W1100" s="244"/>
      <c r="X1100" s="97"/>
    </row>
    <row r="1101">
      <c r="A1101" s="205"/>
      <c r="B1101" s="235"/>
      <c r="C1101" s="236"/>
      <c r="D1101" s="237"/>
      <c r="E1101" s="235"/>
      <c r="F1101" s="235"/>
      <c r="G1101" s="239"/>
      <c r="H1101" s="240"/>
      <c r="J1101" s="237"/>
      <c r="K1101" s="241"/>
      <c r="L1101" s="241"/>
      <c r="M1101" s="237"/>
      <c r="N1101" s="242"/>
      <c r="O1101" s="243"/>
      <c r="P1101" s="244"/>
      <c r="Q1101" s="245"/>
      <c r="R1101" s="246"/>
      <c r="S1101" s="244"/>
      <c r="T1101" s="247"/>
      <c r="U1101" s="247"/>
      <c r="V1101" s="244"/>
      <c r="W1101" s="244"/>
      <c r="X1101" s="97"/>
    </row>
    <row r="1102">
      <c r="A1102" s="205"/>
      <c r="B1102" s="235"/>
      <c r="C1102" s="236"/>
      <c r="D1102" s="237"/>
      <c r="E1102" s="235"/>
      <c r="F1102" s="235"/>
      <c r="G1102" s="239"/>
      <c r="H1102" s="240"/>
      <c r="J1102" s="237"/>
      <c r="K1102" s="241"/>
      <c r="L1102" s="241"/>
      <c r="M1102" s="237"/>
      <c r="N1102" s="242"/>
      <c r="O1102" s="243"/>
      <c r="P1102" s="244"/>
      <c r="Q1102" s="245"/>
      <c r="R1102" s="246"/>
      <c r="S1102" s="244"/>
      <c r="T1102" s="247"/>
      <c r="U1102" s="247"/>
      <c r="V1102" s="244"/>
      <c r="W1102" s="244"/>
      <c r="X1102" s="97"/>
    </row>
    <row r="1103">
      <c r="A1103" s="205"/>
      <c r="B1103" s="235"/>
      <c r="C1103" s="236"/>
      <c r="D1103" s="237"/>
      <c r="E1103" s="235"/>
      <c r="F1103" s="235"/>
      <c r="G1103" s="239"/>
      <c r="H1103" s="240"/>
      <c r="J1103" s="237"/>
      <c r="K1103" s="241"/>
      <c r="L1103" s="241"/>
      <c r="M1103" s="237"/>
      <c r="N1103" s="242"/>
      <c r="O1103" s="243"/>
      <c r="P1103" s="244"/>
      <c r="Q1103" s="245"/>
      <c r="R1103" s="246"/>
      <c r="S1103" s="244"/>
      <c r="T1103" s="247"/>
      <c r="U1103" s="247"/>
      <c r="V1103" s="244"/>
      <c r="W1103" s="244"/>
      <c r="X1103" s="97"/>
    </row>
    <row r="1104">
      <c r="A1104" s="205"/>
      <c r="B1104" s="235"/>
      <c r="C1104" s="236"/>
      <c r="D1104" s="237"/>
      <c r="E1104" s="235"/>
      <c r="F1104" s="235"/>
      <c r="G1104" s="239"/>
      <c r="H1104" s="240"/>
      <c r="J1104" s="237"/>
      <c r="K1104" s="241"/>
      <c r="L1104" s="241"/>
      <c r="M1104" s="237"/>
      <c r="N1104" s="242"/>
      <c r="O1104" s="243"/>
      <c r="P1104" s="244"/>
      <c r="Q1104" s="245"/>
      <c r="R1104" s="246"/>
      <c r="S1104" s="244"/>
      <c r="T1104" s="247"/>
      <c r="U1104" s="247"/>
      <c r="V1104" s="244"/>
      <c r="W1104" s="244"/>
      <c r="X1104" s="97"/>
    </row>
    <row r="1105">
      <c r="A1105" s="205"/>
      <c r="B1105" s="235"/>
      <c r="C1105" s="236"/>
      <c r="D1105" s="237"/>
      <c r="E1105" s="235"/>
      <c r="F1105" s="235"/>
      <c r="G1105" s="239"/>
      <c r="H1105" s="240"/>
      <c r="J1105" s="237"/>
      <c r="K1105" s="241"/>
      <c r="L1105" s="241"/>
      <c r="M1105" s="237"/>
      <c r="N1105" s="242"/>
      <c r="O1105" s="243"/>
      <c r="P1105" s="244"/>
      <c r="Q1105" s="245"/>
      <c r="R1105" s="246"/>
      <c r="S1105" s="244"/>
      <c r="T1105" s="247"/>
      <c r="U1105" s="247"/>
      <c r="V1105" s="244"/>
      <c r="W1105" s="244"/>
      <c r="X1105" s="97"/>
    </row>
    <row r="1106">
      <c r="A1106" s="205"/>
      <c r="B1106" s="235"/>
      <c r="C1106" s="236"/>
      <c r="D1106" s="237"/>
      <c r="E1106" s="235"/>
      <c r="F1106" s="235"/>
      <c r="G1106" s="239"/>
      <c r="H1106" s="240"/>
      <c r="J1106" s="237"/>
      <c r="K1106" s="241"/>
      <c r="L1106" s="241"/>
      <c r="M1106" s="237"/>
      <c r="N1106" s="242"/>
      <c r="O1106" s="243"/>
      <c r="P1106" s="244"/>
      <c r="Q1106" s="245"/>
      <c r="R1106" s="246"/>
      <c r="S1106" s="244"/>
      <c r="T1106" s="247"/>
      <c r="U1106" s="247"/>
      <c r="V1106" s="244"/>
      <c r="W1106" s="244"/>
      <c r="X1106" s="97"/>
    </row>
    <row r="1107">
      <c r="A1107" s="205"/>
      <c r="B1107" s="235"/>
      <c r="C1107" s="236"/>
      <c r="D1107" s="237"/>
      <c r="E1107" s="235"/>
      <c r="F1107" s="235"/>
      <c r="G1107" s="239"/>
      <c r="H1107" s="240"/>
      <c r="J1107" s="237"/>
      <c r="K1107" s="241"/>
      <c r="L1107" s="241"/>
      <c r="M1107" s="237"/>
      <c r="N1107" s="242"/>
      <c r="O1107" s="243"/>
      <c r="P1107" s="244"/>
      <c r="Q1107" s="245"/>
      <c r="R1107" s="246"/>
      <c r="S1107" s="244"/>
      <c r="T1107" s="247"/>
      <c r="U1107" s="247"/>
      <c r="V1107" s="244"/>
      <c r="W1107" s="244"/>
      <c r="X1107" s="97"/>
    </row>
    <row r="1108">
      <c r="A1108" s="205"/>
      <c r="B1108" s="235"/>
      <c r="C1108" s="236"/>
      <c r="D1108" s="237"/>
      <c r="E1108" s="235"/>
      <c r="F1108" s="235"/>
      <c r="G1108" s="239"/>
      <c r="H1108" s="240"/>
      <c r="J1108" s="237"/>
      <c r="K1108" s="241"/>
      <c r="L1108" s="241"/>
      <c r="M1108" s="237"/>
      <c r="N1108" s="242"/>
      <c r="O1108" s="243"/>
      <c r="P1108" s="244"/>
      <c r="Q1108" s="245"/>
      <c r="R1108" s="246"/>
      <c r="S1108" s="244"/>
      <c r="T1108" s="247"/>
      <c r="U1108" s="247"/>
      <c r="V1108" s="244"/>
      <c r="W1108" s="244"/>
      <c r="X1108" s="97"/>
    </row>
    <row r="1109">
      <c r="A1109" s="205"/>
      <c r="B1109" s="235"/>
      <c r="C1109" s="236"/>
      <c r="D1109" s="237"/>
      <c r="E1109" s="235"/>
      <c r="F1109" s="235"/>
      <c r="G1109" s="239"/>
      <c r="H1109" s="240"/>
      <c r="J1109" s="237"/>
      <c r="K1109" s="241"/>
      <c r="L1109" s="241"/>
      <c r="M1109" s="237"/>
      <c r="N1109" s="242"/>
      <c r="O1109" s="243"/>
      <c r="P1109" s="244"/>
      <c r="Q1109" s="245"/>
      <c r="R1109" s="246"/>
      <c r="S1109" s="244"/>
      <c r="T1109" s="247"/>
      <c r="U1109" s="247"/>
      <c r="V1109" s="244"/>
      <c r="W1109" s="244"/>
      <c r="X1109" s="97"/>
    </row>
    <row r="1110">
      <c r="A1110" s="205"/>
      <c r="B1110" s="235"/>
      <c r="C1110" s="236"/>
      <c r="D1110" s="237"/>
      <c r="E1110" s="235"/>
      <c r="F1110" s="235"/>
      <c r="G1110" s="239"/>
      <c r="H1110" s="240"/>
      <c r="J1110" s="237"/>
      <c r="K1110" s="241"/>
      <c r="L1110" s="241"/>
      <c r="M1110" s="237"/>
      <c r="N1110" s="242"/>
      <c r="O1110" s="243"/>
      <c r="P1110" s="244"/>
      <c r="Q1110" s="245"/>
      <c r="R1110" s="246"/>
      <c r="S1110" s="244"/>
      <c r="T1110" s="247"/>
      <c r="U1110" s="247"/>
      <c r="V1110" s="244"/>
      <c r="W1110" s="244"/>
      <c r="X1110" s="97"/>
    </row>
    <row r="1111">
      <c r="A1111" s="205"/>
      <c r="B1111" s="235"/>
      <c r="C1111" s="236"/>
      <c r="D1111" s="237"/>
      <c r="E1111" s="235"/>
      <c r="F1111" s="235"/>
      <c r="G1111" s="239"/>
      <c r="H1111" s="240"/>
      <c r="J1111" s="237"/>
      <c r="K1111" s="241"/>
      <c r="L1111" s="241"/>
      <c r="M1111" s="237"/>
      <c r="N1111" s="242"/>
      <c r="O1111" s="243"/>
      <c r="P1111" s="244"/>
      <c r="Q1111" s="245"/>
      <c r="R1111" s="246"/>
      <c r="S1111" s="244"/>
      <c r="T1111" s="247"/>
      <c r="U1111" s="247"/>
      <c r="V1111" s="244"/>
      <c r="W1111" s="244"/>
      <c r="X1111" s="97"/>
    </row>
    <row r="1112">
      <c r="A1112" s="205"/>
      <c r="B1112" s="235"/>
      <c r="C1112" s="236"/>
      <c r="D1112" s="237"/>
      <c r="E1112" s="235"/>
      <c r="F1112" s="235"/>
      <c r="G1112" s="239"/>
      <c r="H1112" s="240"/>
      <c r="J1112" s="237"/>
      <c r="K1112" s="241"/>
      <c r="L1112" s="241"/>
      <c r="M1112" s="237"/>
      <c r="N1112" s="242"/>
      <c r="O1112" s="243"/>
      <c r="P1112" s="244"/>
      <c r="Q1112" s="245"/>
      <c r="R1112" s="246"/>
      <c r="S1112" s="244"/>
      <c r="T1112" s="247"/>
      <c r="U1112" s="247"/>
      <c r="V1112" s="244"/>
      <c r="W1112" s="244"/>
      <c r="X1112" s="97"/>
    </row>
    <row r="1113">
      <c r="A1113" s="205"/>
      <c r="B1113" s="235"/>
      <c r="C1113" s="236"/>
      <c r="D1113" s="237"/>
      <c r="E1113" s="235"/>
      <c r="F1113" s="235"/>
      <c r="G1113" s="239"/>
      <c r="H1113" s="240"/>
      <c r="J1113" s="237"/>
      <c r="K1113" s="241"/>
      <c r="L1113" s="241"/>
      <c r="M1113" s="237"/>
      <c r="N1113" s="242"/>
      <c r="O1113" s="243"/>
      <c r="P1113" s="244"/>
      <c r="Q1113" s="245"/>
      <c r="R1113" s="246"/>
      <c r="S1113" s="244"/>
      <c r="T1113" s="247"/>
      <c r="U1113" s="247"/>
      <c r="V1113" s="244"/>
      <c r="W1113" s="244"/>
      <c r="X1113" s="97"/>
    </row>
    <row r="1114">
      <c r="A1114" s="205"/>
      <c r="B1114" s="235"/>
      <c r="C1114" s="236"/>
      <c r="D1114" s="237"/>
      <c r="E1114" s="235"/>
      <c r="F1114" s="235"/>
      <c r="G1114" s="239"/>
      <c r="H1114" s="240"/>
      <c r="J1114" s="237"/>
      <c r="K1114" s="241"/>
      <c r="L1114" s="241"/>
      <c r="M1114" s="237"/>
      <c r="N1114" s="242"/>
      <c r="O1114" s="243"/>
      <c r="P1114" s="244"/>
      <c r="Q1114" s="245"/>
      <c r="R1114" s="246"/>
      <c r="S1114" s="244"/>
      <c r="T1114" s="247"/>
      <c r="U1114" s="247"/>
      <c r="V1114" s="244"/>
      <c r="W1114" s="244"/>
      <c r="X1114" s="97"/>
    </row>
    <row r="1115">
      <c r="A1115" s="205"/>
      <c r="B1115" s="235"/>
      <c r="C1115" s="236"/>
      <c r="D1115" s="237"/>
      <c r="E1115" s="235"/>
      <c r="F1115" s="235"/>
      <c r="G1115" s="239"/>
      <c r="H1115" s="240"/>
      <c r="J1115" s="237"/>
      <c r="K1115" s="241"/>
      <c r="L1115" s="241"/>
      <c r="M1115" s="237"/>
      <c r="N1115" s="242"/>
      <c r="O1115" s="243"/>
      <c r="P1115" s="244"/>
      <c r="Q1115" s="245"/>
      <c r="R1115" s="246"/>
      <c r="S1115" s="244"/>
      <c r="T1115" s="247"/>
      <c r="U1115" s="247"/>
      <c r="V1115" s="244"/>
      <c r="W1115" s="244"/>
      <c r="X1115" s="97"/>
    </row>
    <row r="1116">
      <c r="A1116" s="205"/>
      <c r="B1116" s="235"/>
      <c r="C1116" s="236"/>
      <c r="D1116" s="237"/>
      <c r="E1116" s="235"/>
      <c r="F1116" s="235"/>
      <c r="G1116" s="239"/>
      <c r="H1116" s="240"/>
      <c r="J1116" s="237"/>
      <c r="K1116" s="241"/>
      <c r="L1116" s="241"/>
      <c r="M1116" s="237"/>
      <c r="N1116" s="242"/>
      <c r="O1116" s="243"/>
      <c r="P1116" s="244"/>
      <c r="Q1116" s="245"/>
      <c r="R1116" s="246"/>
      <c r="S1116" s="244"/>
      <c r="T1116" s="247"/>
      <c r="U1116" s="247"/>
      <c r="V1116" s="244"/>
      <c r="W1116" s="244"/>
      <c r="X1116" s="97"/>
    </row>
    <row r="1117">
      <c r="A1117" s="205"/>
      <c r="B1117" s="235"/>
      <c r="C1117" s="236"/>
      <c r="D1117" s="237"/>
      <c r="E1117" s="235"/>
      <c r="F1117" s="235"/>
      <c r="G1117" s="239"/>
      <c r="H1117" s="240"/>
      <c r="J1117" s="237"/>
      <c r="K1117" s="241"/>
      <c r="L1117" s="241"/>
      <c r="M1117" s="237"/>
      <c r="N1117" s="242"/>
      <c r="O1117" s="243"/>
      <c r="P1117" s="244"/>
      <c r="Q1117" s="245"/>
      <c r="R1117" s="246"/>
      <c r="S1117" s="244"/>
      <c r="T1117" s="247"/>
      <c r="U1117" s="247"/>
      <c r="V1117" s="244"/>
      <c r="W1117" s="244"/>
      <c r="X1117" s="97"/>
    </row>
    <row r="1118">
      <c r="A1118" s="205"/>
      <c r="B1118" s="235"/>
      <c r="C1118" s="236"/>
      <c r="D1118" s="237"/>
      <c r="E1118" s="235"/>
      <c r="F1118" s="235"/>
      <c r="G1118" s="239"/>
      <c r="H1118" s="240"/>
      <c r="J1118" s="237"/>
      <c r="K1118" s="241"/>
      <c r="L1118" s="241"/>
      <c r="M1118" s="237"/>
      <c r="N1118" s="242"/>
      <c r="O1118" s="243"/>
      <c r="P1118" s="244"/>
      <c r="Q1118" s="245"/>
      <c r="R1118" s="246"/>
      <c r="S1118" s="244"/>
      <c r="T1118" s="247"/>
      <c r="U1118" s="247"/>
      <c r="V1118" s="244"/>
      <c r="W1118" s="244"/>
      <c r="X1118" s="97"/>
    </row>
    <row r="1119">
      <c r="A1119" s="205"/>
      <c r="B1119" s="235"/>
      <c r="C1119" s="236"/>
      <c r="D1119" s="237"/>
      <c r="E1119" s="235"/>
      <c r="F1119" s="235"/>
      <c r="G1119" s="239"/>
      <c r="H1119" s="240"/>
      <c r="J1119" s="237"/>
      <c r="K1119" s="241"/>
      <c r="L1119" s="241"/>
      <c r="M1119" s="237"/>
      <c r="N1119" s="242"/>
      <c r="O1119" s="243"/>
      <c r="P1119" s="244"/>
      <c r="Q1119" s="245"/>
      <c r="R1119" s="246"/>
      <c r="S1119" s="244"/>
      <c r="T1119" s="247"/>
      <c r="U1119" s="247"/>
      <c r="V1119" s="244"/>
      <c r="W1119" s="244"/>
      <c r="X1119" s="97"/>
    </row>
    <row r="1120">
      <c r="A1120" s="205"/>
      <c r="B1120" s="235"/>
      <c r="C1120" s="236"/>
      <c r="D1120" s="237"/>
      <c r="E1120" s="235"/>
      <c r="F1120" s="235"/>
      <c r="G1120" s="239"/>
      <c r="H1120" s="240"/>
      <c r="J1120" s="237"/>
      <c r="K1120" s="241"/>
      <c r="L1120" s="241"/>
      <c r="M1120" s="237"/>
      <c r="N1120" s="242"/>
      <c r="O1120" s="243"/>
      <c r="P1120" s="244"/>
      <c r="Q1120" s="245"/>
      <c r="R1120" s="246"/>
      <c r="S1120" s="244"/>
      <c r="T1120" s="247"/>
      <c r="U1120" s="247"/>
      <c r="V1120" s="244"/>
      <c r="W1120" s="244"/>
      <c r="X1120" s="97"/>
    </row>
    <row r="1121">
      <c r="A1121" s="205"/>
      <c r="B1121" s="235"/>
      <c r="C1121" s="236"/>
      <c r="D1121" s="237"/>
      <c r="E1121" s="235"/>
      <c r="F1121" s="235"/>
      <c r="G1121" s="239"/>
      <c r="H1121" s="240"/>
      <c r="J1121" s="237"/>
      <c r="K1121" s="241"/>
      <c r="L1121" s="241"/>
      <c r="M1121" s="237"/>
      <c r="N1121" s="242"/>
      <c r="O1121" s="243"/>
      <c r="P1121" s="244"/>
      <c r="Q1121" s="245"/>
      <c r="R1121" s="246"/>
      <c r="S1121" s="244"/>
      <c r="T1121" s="247"/>
      <c r="U1121" s="247"/>
      <c r="V1121" s="244"/>
      <c r="W1121" s="244"/>
      <c r="X1121" s="97"/>
    </row>
    <row r="1122">
      <c r="A1122" s="205"/>
      <c r="B1122" s="235"/>
      <c r="C1122" s="236"/>
      <c r="D1122" s="237"/>
      <c r="E1122" s="235"/>
      <c r="F1122" s="235"/>
      <c r="G1122" s="239"/>
      <c r="H1122" s="240"/>
      <c r="J1122" s="237"/>
      <c r="K1122" s="241"/>
      <c r="L1122" s="241"/>
      <c r="M1122" s="237"/>
      <c r="N1122" s="242"/>
      <c r="O1122" s="243"/>
      <c r="P1122" s="244"/>
      <c r="Q1122" s="245"/>
      <c r="R1122" s="246"/>
      <c r="S1122" s="244"/>
      <c r="T1122" s="247"/>
      <c r="U1122" s="247"/>
      <c r="V1122" s="244"/>
      <c r="W1122" s="244"/>
      <c r="X1122" s="97"/>
    </row>
    <row r="1123">
      <c r="A1123" s="205"/>
      <c r="B1123" s="235"/>
      <c r="C1123" s="236"/>
      <c r="D1123" s="237"/>
      <c r="E1123" s="235"/>
      <c r="F1123" s="235"/>
      <c r="G1123" s="239"/>
      <c r="H1123" s="240"/>
      <c r="J1123" s="237"/>
      <c r="K1123" s="241"/>
      <c r="L1123" s="241"/>
      <c r="M1123" s="237"/>
      <c r="N1123" s="242"/>
      <c r="O1123" s="243"/>
      <c r="P1123" s="244"/>
      <c r="Q1123" s="245"/>
      <c r="R1123" s="246"/>
      <c r="S1123" s="244"/>
      <c r="T1123" s="247"/>
      <c r="U1123" s="247"/>
      <c r="V1123" s="244"/>
      <c r="W1123" s="244"/>
      <c r="X1123" s="97"/>
    </row>
    <row r="1124">
      <c r="A1124" s="205"/>
      <c r="B1124" s="235"/>
      <c r="C1124" s="236"/>
      <c r="D1124" s="237"/>
      <c r="E1124" s="235"/>
      <c r="F1124" s="235"/>
      <c r="G1124" s="239"/>
      <c r="H1124" s="240"/>
      <c r="J1124" s="237"/>
      <c r="K1124" s="241"/>
      <c r="L1124" s="241"/>
      <c r="M1124" s="237"/>
      <c r="N1124" s="242"/>
      <c r="O1124" s="243"/>
      <c r="P1124" s="244"/>
      <c r="Q1124" s="245"/>
      <c r="R1124" s="246"/>
      <c r="S1124" s="244"/>
      <c r="T1124" s="247"/>
      <c r="U1124" s="247"/>
      <c r="V1124" s="244"/>
      <c r="W1124" s="244"/>
      <c r="X1124" s="97"/>
    </row>
    <row r="1125">
      <c r="A1125" s="205"/>
      <c r="B1125" s="235"/>
      <c r="C1125" s="236"/>
      <c r="D1125" s="237"/>
      <c r="E1125" s="235"/>
      <c r="F1125" s="235"/>
      <c r="G1125" s="239"/>
      <c r="H1125" s="240"/>
      <c r="J1125" s="237"/>
      <c r="K1125" s="241"/>
      <c r="L1125" s="241"/>
      <c r="M1125" s="237"/>
      <c r="N1125" s="242"/>
      <c r="O1125" s="243"/>
      <c r="P1125" s="244"/>
      <c r="Q1125" s="245"/>
      <c r="R1125" s="246"/>
      <c r="S1125" s="244"/>
      <c r="T1125" s="247"/>
      <c r="U1125" s="247"/>
      <c r="V1125" s="244"/>
      <c r="W1125" s="244"/>
      <c r="X1125" s="97"/>
    </row>
    <row r="1126">
      <c r="A1126" s="205"/>
      <c r="B1126" s="235"/>
      <c r="C1126" s="236"/>
      <c r="D1126" s="237"/>
      <c r="E1126" s="235"/>
      <c r="F1126" s="235"/>
      <c r="G1126" s="239"/>
      <c r="H1126" s="240"/>
      <c r="J1126" s="237"/>
      <c r="K1126" s="241"/>
      <c r="L1126" s="241"/>
      <c r="M1126" s="237"/>
      <c r="N1126" s="242"/>
      <c r="O1126" s="243"/>
      <c r="P1126" s="244"/>
      <c r="Q1126" s="245"/>
      <c r="R1126" s="246"/>
      <c r="S1126" s="244"/>
      <c r="T1126" s="247"/>
      <c r="U1126" s="247"/>
      <c r="V1126" s="244"/>
      <c r="W1126" s="244"/>
      <c r="X1126" s="97"/>
    </row>
    <row r="1127">
      <c r="A1127" s="205"/>
      <c r="B1127" s="235"/>
      <c r="C1127" s="236"/>
      <c r="D1127" s="237"/>
      <c r="E1127" s="235"/>
      <c r="F1127" s="235"/>
      <c r="G1127" s="239"/>
      <c r="H1127" s="240"/>
      <c r="J1127" s="237"/>
      <c r="K1127" s="241"/>
      <c r="L1127" s="241"/>
      <c r="M1127" s="237"/>
      <c r="N1127" s="242"/>
      <c r="O1127" s="243"/>
      <c r="P1127" s="244"/>
      <c r="Q1127" s="245"/>
      <c r="R1127" s="246"/>
      <c r="S1127" s="244"/>
      <c r="T1127" s="247"/>
      <c r="U1127" s="247"/>
      <c r="V1127" s="244"/>
      <c r="W1127" s="244"/>
      <c r="X1127" s="97"/>
    </row>
    <row r="1128">
      <c r="A1128" s="205"/>
      <c r="B1128" s="235"/>
      <c r="C1128" s="236"/>
      <c r="D1128" s="237"/>
      <c r="E1128" s="235"/>
      <c r="F1128" s="235"/>
      <c r="G1128" s="239"/>
      <c r="H1128" s="240"/>
      <c r="J1128" s="237"/>
      <c r="K1128" s="241"/>
      <c r="L1128" s="241"/>
      <c r="M1128" s="237"/>
      <c r="N1128" s="242"/>
      <c r="O1128" s="243"/>
      <c r="P1128" s="244"/>
      <c r="Q1128" s="245"/>
      <c r="R1128" s="246"/>
      <c r="S1128" s="244"/>
      <c r="T1128" s="247"/>
      <c r="U1128" s="247"/>
      <c r="V1128" s="244"/>
      <c r="W1128" s="244"/>
      <c r="X1128" s="97"/>
    </row>
    <row r="1129">
      <c r="A1129" s="205"/>
      <c r="B1129" s="235"/>
      <c r="C1129" s="236"/>
      <c r="D1129" s="237"/>
      <c r="E1129" s="235"/>
      <c r="F1129" s="235"/>
      <c r="G1129" s="239"/>
      <c r="H1129" s="240"/>
      <c r="J1129" s="237"/>
      <c r="K1129" s="241"/>
      <c r="L1129" s="241"/>
      <c r="M1129" s="237"/>
      <c r="N1129" s="242"/>
      <c r="O1129" s="243"/>
      <c r="P1129" s="244"/>
      <c r="Q1129" s="245"/>
      <c r="R1129" s="246"/>
      <c r="S1129" s="244"/>
      <c r="T1129" s="247"/>
      <c r="U1129" s="247"/>
      <c r="V1129" s="244"/>
      <c r="W1129" s="244"/>
      <c r="X1129" s="97"/>
    </row>
    <row r="1130">
      <c r="A1130" s="205"/>
      <c r="B1130" s="235"/>
      <c r="C1130" s="236"/>
      <c r="D1130" s="237"/>
      <c r="E1130" s="235"/>
      <c r="F1130" s="235"/>
      <c r="G1130" s="239"/>
      <c r="H1130" s="240"/>
      <c r="J1130" s="237"/>
      <c r="K1130" s="241"/>
      <c r="L1130" s="241"/>
      <c r="M1130" s="237"/>
      <c r="N1130" s="242"/>
      <c r="O1130" s="243"/>
      <c r="P1130" s="244"/>
      <c r="Q1130" s="245"/>
      <c r="R1130" s="246"/>
      <c r="S1130" s="244"/>
      <c r="T1130" s="247"/>
      <c r="U1130" s="247"/>
      <c r="V1130" s="244"/>
      <c r="W1130" s="244"/>
      <c r="X1130" s="97"/>
    </row>
    <row r="1131">
      <c r="A1131" s="205"/>
      <c r="B1131" s="235"/>
      <c r="C1131" s="236"/>
      <c r="D1131" s="237"/>
      <c r="E1131" s="235"/>
      <c r="F1131" s="235"/>
      <c r="G1131" s="239"/>
      <c r="H1131" s="240"/>
      <c r="J1131" s="237"/>
      <c r="K1131" s="241"/>
      <c r="L1131" s="241"/>
      <c r="M1131" s="237"/>
      <c r="N1131" s="242"/>
      <c r="O1131" s="243"/>
      <c r="P1131" s="244"/>
      <c r="Q1131" s="245"/>
      <c r="R1131" s="246"/>
      <c r="S1131" s="244"/>
      <c r="T1131" s="247"/>
      <c r="U1131" s="247"/>
      <c r="V1131" s="244"/>
      <c r="W1131" s="244"/>
      <c r="X1131" s="97"/>
    </row>
    <row r="1132">
      <c r="A1132" s="205"/>
      <c r="B1132" s="235"/>
      <c r="C1132" s="236"/>
      <c r="D1132" s="237"/>
      <c r="E1132" s="235"/>
      <c r="F1132" s="235"/>
      <c r="G1132" s="239"/>
      <c r="H1132" s="240"/>
      <c r="J1132" s="237"/>
      <c r="K1132" s="241"/>
      <c r="L1132" s="241"/>
      <c r="M1132" s="237"/>
      <c r="N1132" s="242"/>
      <c r="O1132" s="243"/>
      <c r="P1132" s="244"/>
      <c r="Q1132" s="245"/>
      <c r="R1132" s="246"/>
      <c r="S1132" s="244"/>
      <c r="T1132" s="247"/>
      <c r="U1132" s="247"/>
      <c r="V1132" s="244"/>
      <c r="W1132" s="244"/>
      <c r="X1132" s="97"/>
    </row>
    <row r="1133">
      <c r="A1133" s="205"/>
      <c r="B1133" s="235"/>
      <c r="C1133" s="236"/>
      <c r="D1133" s="237"/>
      <c r="E1133" s="235"/>
      <c r="F1133" s="235"/>
      <c r="G1133" s="239"/>
      <c r="H1133" s="240"/>
      <c r="J1133" s="237"/>
      <c r="K1133" s="241"/>
      <c r="L1133" s="241"/>
      <c r="M1133" s="237"/>
      <c r="N1133" s="242"/>
      <c r="O1133" s="243"/>
      <c r="P1133" s="244"/>
      <c r="Q1133" s="245"/>
      <c r="R1133" s="246"/>
      <c r="S1133" s="244"/>
      <c r="T1133" s="247"/>
      <c r="U1133" s="247"/>
      <c r="V1133" s="244"/>
      <c r="W1133" s="244"/>
      <c r="X1133" s="97"/>
    </row>
    <row r="1134">
      <c r="A1134" s="205"/>
      <c r="B1134" s="235"/>
      <c r="C1134" s="236"/>
      <c r="D1134" s="237"/>
      <c r="E1134" s="235"/>
      <c r="F1134" s="235"/>
      <c r="G1134" s="239"/>
      <c r="H1134" s="240"/>
      <c r="J1134" s="237"/>
      <c r="K1134" s="241"/>
      <c r="L1134" s="241"/>
      <c r="M1134" s="237"/>
      <c r="N1134" s="242"/>
      <c r="O1134" s="243"/>
      <c r="P1134" s="244"/>
      <c r="Q1134" s="245"/>
      <c r="R1134" s="246"/>
      <c r="S1134" s="244"/>
      <c r="T1134" s="247"/>
      <c r="U1134" s="247"/>
      <c r="V1134" s="244"/>
      <c r="W1134" s="244"/>
      <c r="X1134" s="97"/>
    </row>
    <row r="1135">
      <c r="A1135" s="205"/>
      <c r="B1135" s="235"/>
      <c r="C1135" s="236"/>
      <c r="D1135" s="237"/>
      <c r="E1135" s="235"/>
      <c r="F1135" s="235"/>
      <c r="G1135" s="239"/>
      <c r="H1135" s="240"/>
      <c r="J1135" s="237"/>
      <c r="K1135" s="241"/>
      <c r="L1135" s="241"/>
      <c r="M1135" s="237"/>
      <c r="N1135" s="242"/>
      <c r="O1135" s="243"/>
      <c r="P1135" s="244"/>
      <c r="Q1135" s="245"/>
      <c r="R1135" s="246"/>
      <c r="S1135" s="244"/>
      <c r="T1135" s="247"/>
      <c r="U1135" s="247"/>
      <c r="V1135" s="244"/>
      <c r="W1135" s="244"/>
      <c r="X1135" s="97"/>
    </row>
    <row r="1136">
      <c r="A1136" s="205"/>
      <c r="B1136" s="235"/>
      <c r="C1136" s="236"/>
      <c r="D1136" s="237"/>
      <c r="E1136" s="235"/>
      <c r="F1136" s="235"/>
      <c r="G1136" s="239"/>
      <c r="H1136" s="240"/>
      <c r="J1136" s="237"/>
      <c r="K1136" s="241"/>
      <c r="L1136" s="241"/>
      <c r="M1136" s="237"/>
      <c r="N1136" s="242"/>
      <c r="O1136" s="243"/>
      <c r="P1136" s="244"/>
      <c r="Q1136" s="245"/>
      <c r="R1136" s="246"/>
      <c r="S1136" s="244"/>
      <c r="T1136" s="247"/>
      <c r="U1136" s="247"/>
      <c r="V1136" s="244"/>
      <c r="W1136" s="244"/>
      <c r="X1136" s="97"/>
    </row>
    <row r="1137">
      <c r="A1137" s="205"/>
      <c r="B1137" s="235"/>
      <c r="C1137" s="236"/>
      <c r="D1137" s="237"/>
      <c r="E1137" s="235"/>
      <c r="F1137" s="235"/>
      <c r="G1137" s="239"/>
      <c r="H1137" s="240"/>
      <c r="J1137" s="237"/>
      <c r="K1137" s="241"/>
      <c r="L1137" s="241"/>
      <c r="M1137" s="237"/>
      <c r="N1137" s="242"/>
      <c r="O1137" s="243"/>
      <c r="P1137" s="244"/>
      <c r="Q1137" s="245"/>
      <c r="R1137" s="246"/>
      <c r="S1137" s="244"/>
      <c r="T1137" s="247"/>
      <c r="U1137" s="247"/>
      <c r="V1137" s="244"/>
      <c r="W1137" s="244"/>
      <c r="X1137" s="97"/>
    </row>
    <row r="1138">
      <c r="A1138" s="205"/>
      <c r="B1138" s="235"/>
      <c r="C1138" s="236"/>
      <c r="D1138" s="237"/>
      <c r="E1138" s="235"/>
      <c r="F1138" s="235"/>
      <c r="G1138" s="239"/>
      <c r="H1138" s="240"/>
      <c r="J1138" s="237"/>
      <c r="K1138" s="241"/>
      <c r="L1138" s="241"/>
      <c r="M1138" s="237"/>
      <c r="N1138" s="242"/>
      <c r="O1138" s="243"/>
      <c r="P1138" s="244"/>
      <c r="Q1138" s="245"/>
      <c r="R1138" s="246"/>
      <c r="S1138" s="244"/>
      <c r="T1138" s="247"/>
      <c r="U1138" s="247"/>
      <c r="V1138" s="244"/>
      <c r="W1138" s="244"/>
      <c r="X1138" s="97"/>
    </row>
    <row r="1139">
      <c r="A1139" s="205"/>
      <c r="B1139" s="235"/>
      <c r="C1139" s="236"/>
      <c r="D1139" s="237"/>
      <c r="E1139" s="235"/>
      <c r="F1139" s="235"/>
      <c r="G1139" s="239"/>
      <c r="H1139" s="240"/>
      <c r="J1139" s="237"/>
      <c r="K1139" s="241"/>
      <c r="L1139" s="241"/>
      <c r="M1139" s="237"/>
      <c r="N1139" s="242"/>
      <c r="O1139" s="243"/>
      <c r="P1139" s="244"/>
      <c r="Q1139" s="245"/>
      <c r="R1139" s="246"/>
      <c r="S1139" s="244"/>
      <c r="T1139" s="247"/>
      <c r="U1139" s="247"/>
      <c r="V1139" s="244"/>
      <c r="W1139" s="244"/>
      <c r="X1139" s="97"/>
    </row>
    <row r="1140">
      <c r="A1140" s="205"/>
      <c r="B1140" s="235"/>
      <c r="C1140" s="236"/>
      <c r="D1140" s="237"/>
      <c r="E1140" s="235"/>
      <c r="F1140" s="235"/>
      <c r="G1140" s="239"/>
      <c r="H1140" s="240"/>
      <c r="J1140" s="237"/>
      <c r="K1140" s="241"/>
      <c r="L1140" s="241"/>
      <c r="M1140" s="237"/>
      <c r="N1140" s="242"/>
      <c r="O1140" s="243"/>
      <c r="P1140" s="244"/>
      <c r="Q1140" s="245"/>
      <c r="R1140" s="246"/>
      <c r="S1140" s="244"/>
      <c r="T1140" s="247"/>
      <c r="U1140" s="247"/>
      <c r="V1140" s="244"/>
      <c r="W1140" s="244"/>
      <c r="X1140" s="97"/>
    </row>
    <row r="1141">
      <c r="A1141" s="205"/>
      <c r="B1141" s="235"/>
      <c r="C1141" s="236"/>
      <c r="D1141" s="237"/>
      <c r="E1141" s="235"/>
      <c r="F1141" s="235"/>
      <c r="G1141" s="239"/>
      <c r="H1141" s="240"/>
      <c r="J1141" s="237"/>
      <c r="K1141" s="241"/>
      <c r="L1141" s="241"/>
      <c r="M1141" s="237"/>
      <c r="N1141" s="242"/>
      <c r="O1141" s="243"/>
      <c r="P1141" s="244"/>
      <c r="Q1141" s="245"/>
      <c r="R1141" s="246"/>
      <c r="S1141" s="244"/>
      <c r="T1141" s="247"/>
      <c r="U1141" s="247"/>
      <c r="V1141" s="244"/>
      <c r="W1141" s="244"/>
      <c r="X1141" s="97"/>
    </row>
    <row r="1142">
      <c r="A1142" s="205"/>
      <c r="B1142" s="235"/>
      <c r="C1142" s="236"/>
      <c r="D1142" s="237"/>
      <c r="E1142" s="235"/>
      <c r="F1142" s="235"/>
      <c r="G1142" s="239"/>
      <c r="H1142" s="240"/>
      <c r="J1142" s="237"/>
      <c r="K1142" s="241"/>
      <c r="L1142" s="241"/>
      <c r="M1142" s="237"/>
      <c r="N1142" s="242"/>
      <c r="O1142" s="243"/>
      <c r="P1142" s="244"/>
      <c r="Q1142" s="245"/>
      <c r="R1142" s="246"/>
      <c r="S1142" s="244"/>
      <c r="T1142" s="247"/>
      <c r="U1142" s="247"/>
      <c r="V1142" s="244"/>
      <c r="W1142" s="244"/>
      <c r="X1142" s="97"/>
    </row>
    <row r="1143">
      <c r="A1143" s="205"/>
      <c r="B1143" s="235"/>
      <c r="C1143" s="236"/>
      <c r="D1143" s="237"/>
      <c r="E1143" s="235"/>
      <c r="F1143" s="235"/>
      <c r="G1143" s="239"/>
      <c r="H1143" s="240"/>
      <c r="J1143" s="237"/>
      <c r="K1143" s="241"/>
      <c r="L1143" s="241"/>
      <c r="M1143" s="237"/>
      <c r="N1143" s="242"/>
      <c r="O1143" s="243"/>
      <c r="P1143" s="244"/>
      <c r="Q1143" s="245"/>
      <c r="R1143" s="246"/>
      <c r="S1143" s="244"/>
      <c r="T1143" s="247"/>
      <c r="U1143" s="247"/>
      <c r="V1143" s="244"/>
      <c r="W1143" s="244"/>
      <c r="X1143" s="97"/>
    </row>
    <row r="1144">
      <c r="A1144" s="205"/>
      <c r="B1144" s="235"/>
      <c r="C1144" s="236"/>
      <c r="D1144" s="237"/>
      <c r="E1144" s="235"/>
      <c r="F1144" s="235"/>
      <c r="G1144" s="239"/>
      <c r="H1144" s="240"/>
      <c r="J1144" s="237"/>
      <c r="K1144" s="241"/>
      <c r="L1144" s="241"/>
      <c r="M1144" s="237"/>
      <c r="N1144" s="242"/>
      <c r="O1144" s="243"/>
      <c r="P1144" s="244"/>
      <c r="Q1144" s="245"/>
      <c r="R1144" s="246"/>
      <c r="S1144" s="244"/>
      <c r="T1144" s="247"/>
      <c r="U1144" s="247"/>
      <c r="V1144" s="244"/>
      <c r="W1144" s="244"/>
      <c r="X1144" s="97"/>
    </row>
    <row r="1145">
      <c r="A1145" s="205"/>
      <c r="B1145" s="235"/>
      <c r="C1145" s="236"/>
      <c r="D1145" s="237"/>
      <c r="E1145" s="235"/>
      <c r="F1145" s="235"/>
      <c r="G1145" s="239"/>
      <c r="H1145" s="240"/>
      <c r="J1145" s="237"/>
      <c r="K1145" s="241"/>
      <c r="L1145" s="241"/>
      <c r="M1145" s="237"/>
      <c r="N1145" s="242"/>
      <c r="O1145" s="243"/>
      <c r="P1145" s="244"/>
      <c r="Q1145" s="245"/>
      <c r="R1145" s="246"/>
      <c r="S1145" s="244"/>
      <c r="T1145" s="247"/>
      <c r="U1145" s="247"/>
      <c r="V1145" s="244"/>
      <c r="W1145" s="244"/>
      <c r="X1145" s="97"/>
    </row>
    <row r="1146">
      <c r="A1146" s="205"/>
      <c r="B1146" s="235"/>
      <c r="C1146" s="236"/>
      <c r="D1146" s="237"/>
      <c r="E1146" s="235"/>
      <c r="F1146" s="235"/>
      <c r="G1146" s="239"/>
      <c r="H1146" s="240"/>
      <c r="J1146" s="237"/>
      <c r="K1146" s="241"/>
      <c r="L1146" s="241"/>
      <c r="M1146" s="237"/>
      <c r="N1146" s="242"/>
      <c r="O1146" s="243"/>
      <c r="P1146" s="244"/>
      <c r="Q1146" s="245"/>
      <c r="R1146" s="246"/>
      <c r="S1146" s="244"/>
      <c r="T1146" s="247"/>
      <c r="U1146" s="247"/>
      <c r="V1146" s="244"/>
      <c r="W1146" s="244"/>
      <c r="X1146" s="97"/>
    </row>
    <row r="1147">
      <c r="A1147" s="205"/>
      <c r="B1147" s="235"/>
      <c r="C1147" s="236"/>
      <c r="D1147" s="237"/>
      <c r="E1147" s="235"/>
      <c r="F1147" s="235"/>
      <c r="G1147" s="239"/>
      <c r="H1147" s="240"/>
      <c r="J1147" s="237"/>
      <c r="K1147" s="241"/>
      <c r="L1147" s="241"/>
      <c r="M1147" s="237"/>
      <c r="N1147" s="242"/>
      <c r="O1147" s="243"/>
      <c r="P1147" s="244"/>
      <c r="Q1147" s="245"/>
      <c r="R1147" s="246"/>
      <c r="S1147" s="244"/>
      <c r="T1147" s="247"/>
      <c r="U1147" s="247"/>
      <c r="V1147" s="244"/>
      <c r="W1147" s="244"/>
      <c r="X1147" s="97"/>
    </row>
    <row r="1148">
      <c r="A1148" s="205"/>
      <c r="B1148" s="235"/>
      <c r="C1148" s="236"/>
      <c r="D1148" s="237"/>
      <c r="E1148" s="235"/>
      <c r="F1148" s="235"/>
      <c r="G1148" s="239"/>
      <c r="H1148" s="240"/>
      <c r="J1148" s="237"/>
      <c r="K1148" s="241"/>
      <c r="L1148" s="241"/>
      <c r="M1148" s="237"/>
      <c r="N1148" s="242"/>
      <c r="O1148" s="243"/>
      <c r="P1148" s="244"/>
      <c r="Q1148" s="245"/>
      <c r="R1148" s="246"/>
      <c r="S1148" s="244"/>
      <c r="T1148" s="247"/>
      <c r="U1148" s="247"/>
      <c r="V1148" s="244"/>
      <c r="W1148" s="244"/>
      <c r="X1148" s="97"/>
    </row>
    <row r="1149">
      <c r="A1149" s="205"/>
      <c r="B1149" s="235"/>
      <c r="C1149" s="236"/>
      <c r="D1149" s="237"/>
      <c r="E1149" s="235"/>
      <c r="F1149" s="235"/>
      <c r="G1149" s="239"/>
      <c r="H1149" s="240"/>
      <c r="J1149" s="237"/>
      <c r="K1149" s="241"/>
      <c r="L1149" s="241"/>
      <c r="M1149" s="237"/>
      <c r="N1149" s="242"/>
      <c r="O1149" s="243"/>
      <c r="P1149" s="244"/>
      <c r="Q1149" s="245"/>
      <c r="R1149" s="246"/>
      <c r="S1149" s="244"/>
      <c r="T1149" s="247"/>
      <c r="U1149" s="247"/>
      <c r="V1149" s="244"/>
      <c r="W1149" s="244"/>
      <c r="X1149" s="97"/>
    </row>
    <row r="1150">
      <c r="A1150" s="205"/>
      <c r="B1150" s="235"/>
      <c r="C1150" s="236"/>
      <c r="D1150" s="237"/>
      <c r="E1150" s="235"/>
      <c r="F1150" s="235"/>
      <c r="G1150" s="239"/>
      <c r="H1150" s="240"/>
      <c r="J1150" s="237"/>
      <c r="K1150" s="241"/>
      <c r="L1150" s="241"/>
      <c r="M1150" s="237"/>
      <c r="N1150" s="242"/>
      <c r="O1150" s="243"/>
      <c r="P1150" s="244"/>
      <c r="Q1150" s="245"/>
      <c r="R1150" s="246"/>
      <c r="S1150" s="244"/>
      <c r="T1150" s="247"/>
      <c r="U1150" s="247"/>
      <c r="V1150" s="244"/>
      <c r="W1150" s="244"/>
      <c r="X1150" s="97"/>
    </row>
    <row r="1151">
      <c r="A1151" s="205"/>
      <c r="B1151" s="235"/>
      <c r="C1151" s="236"/>
      <c r="D1151" s="237"/>
      <c r="E1151" s="235"/>
      <c r="F1151" s="235"/>
      <c r="G1151" s="239"/>
      <c r="H1151" s="240"/>
      <c r="J1151" s="237"/>
      <c r="K1151" s="241"/>
      <c r="L1151" s="241"/>
      <c r="M1151" s="237"/>
      <c r="N1151" s="242"/>
      <c r="O1151" s="243"/>
      <c r="P1151" s="244"/>
      <c r="Q1151" s="245"/>
      <c r="R1151" s="246"/>
      <c r="S1151" s="244"/>
      <c r="T1151" s="247"/>
      <c r="U1151" s="247"/>
      <c r="V1151" s="244"/>
      <c r="W1151" s="244"/>
      <c r="X1151" s="97"/>
    </row>
    <row r="1152">
      <c r="A1152" s="205"/>
      <c r="B1152" s="235"/>
      <c r="C1152" s="236"/>
      <c r="D1152" s="237"/>
      <c r="E1152" s="235"/>
      <c r="F1152" s="235"/>
      <c r="G1152" s="239"/>
      <c r="H1152" s="240"/>
      <c r="J1152" s="237"/>
      <c r="K1152" s="241"/>
      <c r="L1152" s="241"/>
      <c r="M1152" s="237"/>
      <c r="N1152" s="242"/>
      <c r="O1152" s="243"/>
      <c r="P1152" s="244"/>
      <c r="Q1152" s="245"/>
      <c r="R1152" s="246"/>
      <c r="S1152" s="244"/>
      <c r="T1152" s="247"/>
      <c r="U1152" s="247"/>
      <c r="V1152" s="244"/>
      <c r="W1152" s="244"/>
      <c r="X1152" s="97"/>
    </row>
    <row r="1153">
      <c r="A1153" s="205"/>
      <c r="B1153" s="235"/>
      <c r="C1153" s="236"/>
      <c r="D1153" s="237"/>
      <c r="E1153" s="235"/>
      <c r="F1153" s="235"/>
      <c r="G1153" s="239"/>
      <c r="H1153" s="240"/>
      <c r="J1153" s="237"/>
      <c r="K1153" s="241"/>
      <c r="L1153" s="241"/>
      <c r="M1153" s="237"/>
      <c r="N1153" s="242"/>
      <c r="O1153" s="243"/>
      <c r="P1153" s="244"/>
      <c r="Q1153" s="245"/>
      <c r="R1153" s="246"/>
      <c r="S1153" s="244"/>
      <c r="T1153" s="247"/>
      <c r="U1153" s="247"/>
      <c r="V1153" s="244"/>
      <c r="W1153" s="244"/>
      <c r="X1153" s="97"/>
    </row>
    <row r="1154">
      <c r="A1154" s="205"/>
      <c r="B1154" s="235"/>
      <c r="C1154" s="236"/>
      <c r="D1154" s="237"/>
      <c r="E1154" s="235"/>
      <c r="F1154" s="235"/>
      <c r="G1154" s="239"/>
      <c r="H1154" s="240"/>
      <c r="J1154" s="237"/>
      <c r="K1154" s="241"/>
      <c r="L1154" s="241"/>
      <c r="M1154" s="237"/>
      <c r="N1154" s="242"/>
      <c r="O1154" s="243"/>
      <c r="P1154" s="244"/>
      <c r="Q1154" s="245"/>
      <c r="R1154" s="246"/>
      <c r="S1154" s="244"/>
      <c r="T1154" s="247"/>
      <c r="U1154" s="247"/>
      <c r="V1154" s="244"/>
      <c r="W1154" s="244"/>
      <c r="X1154" s="97"/>
    </row>
    <row r="1155">
      <c r="A1155" s="205"/>
      <c r="B1155" s="235"/>
      <c r="C1155" s="236"/>
      <c r="D1155" s="237"/>
      <c r="E1155" s="235"/>
      <c r="F1155" s="235"/>
      <c r="G1155" s="239"/>
      <c r="H1155" s="240"/>
      <c r="J1155" s="237"/>
      <c r="K1155" s="241"/>
      <c r="L1155" s="241"/>
      <c r="M1155" s="237"/>
      <c r="N1155" s="242"/>
      <c r="O1155" s="243"/>
      <c r="P1155" s="244"/>
      <c r="Q1155" s="245"/>
      <c r="R1155" s="246"/>
      <c r="S1155" s="244"/>
      <c r="T1155" s="247"/>
      <c r="U1155" s="247"/>
      <c r="V1155" s="244"/>
      <c r="W1155" s="244"/>
      <c r="X1155" s="97"/>
    </row>
    <row r="1156">
      <c r="A1156" s="205"/>
      <c r="B1156" s="235"/>
      <c r="C1156" s="236"/>
      <c r="D1156" s="237"/>
      <c r="E1156" s="235"/>
      <c r="F1156" s="235"/>
      <c r="G1156" s="239"/>
      <c r="H1156" s="240"/>
      <c r="J1156" s="237"/>
      <c r="K1156" s="241"/>
      <c r="L1156" s="241"/>
      <c r="M1156" s="237"/>
      <c r="N1156" s="242"/>
      <c r="O1156" s="243"/>
      <c r="P1156" s="244"/>
      <c r="Q1156" s="245"/>
      <c r="R1156" s="246"/>
      <c r="S1156" s="244"/>
      <c r="T1156" s="247"/>
      <c r="U1156" s="247"/>
      <c r="V1156" s="244"/>
      <c r="W1156" s="244"/>
      <c r="X1156" s="97"/>
    </row>
    <row r="1157">
      <c r="A1157" s="205"/>
      <c r="B1157" s="235"/>
      <c r="C1157" s="236"/>
      <c r="D1157" s="237"/>
      <c r="E1157" s="235"/>
      <c r="F1157" s="235"/>
      <c r="G1157" s="239"/>
      <c r="H1157" s="240"/>
      <c r="J1157" s="237"/>
      <c r="K1157" s="241"/>
      <c r="L1157" s="241"/>
      <c r="M1157" s="237"/>
      <c r="N1157" s="242"/>
      <c r="O1157" s="243"/>
      <c r="P1157" s="244"/>
      <c r="Q1157" s="245"/>
      <c r="R1157" s="246"/>
      <c r="S1157" s="244"/>
      <c r="T1157" s="247"/>
      <c r="U1157" s="247"/>
      <c r="V1157" s="244"/>
      <c r="W1157" s="244"/>
      <c r="X1157" s="97"/>
    </row>
    <row r="1158">
      <c r="A1158" s="205"/>
      <c r="B1158" s="235"/>
      <c r="C1158" s="236"/>
      <c r="D1158" s="237"/>
      <c r="E1158" s="235"/>
      <c r="F1158" s="235"/>
      <c r="G1158" s="239"/>
      <c r="H1158" s="240"/>
      <c r="J1158" s="237"/>
      <c r="K1158" s="241"/>
      <c r="L1158" s="241"/>
      <c r="M1158" s="237"/>
      <c r="N1158" s="242"/>
      <c r="O1158" s="243"/>
      <c r="P1158" s="244"/>
      <c r="Q1158" s="245"/>
      <c r="R1158" s="246"/>
      <c r="S1158" s="244"/>
      <c r="T1158" s="247"/>
      <c r="U1158" s="247"/>
      <c r="V1158" s="244"/>
      <c r="W1158" s="244"/>
      <c r="X1158" s="97"/>
    </row>
    <row r="1159">
      <c r="A1159" s="205"/>
      <c r="B1159" s="235"/>
      <c r="C1159" s="236"/>
      <c r="D1159" s="237"/>
      <c r="E1159" s="235"/>
      <c r="F1159" s="235"/>
      <c r="G1159" s="239"/>
      <c r="H1159" s="240"/>
      <c r="J1159" s="237"/>
      <c r="K1159" s="241"/>
      <c r="L1159" s="241"/>
      <c r="M1159" s="237"/>
      <c r="N1159" s="242"/>
      <c r="O1159" s="243"/>
      <c r="P1159" s="244"/>
      <c r="Q1159" s="245"/>
      <c r="R1159" s="246"/>
      <c r="S1159" s="244"/>
      <c r="T1159" s="247"/>
      <c r="U1159" s="247"/>
      <c r="V1159" s="244"/>
      <c r="W1159" s="244"/>
      <c r="X1159" s="97"/>
    </row>
    <row r="1160">
      <c r="A1160" s="205"/>
      <c r="B1160" s="235"/>
      <c r="C1160" s="236"/>
      <c r="D1160" s="237"/>
      <c r="E1160" s="235"/>
      <c r="F1160" s="235"/>
      <c r="G1160" s="239"/>
      <c r="H1160" s="240"/>
      <c r="J1160" s="237"/>
      <c r="K1160" s="241"/>
      <c r="L1160" s="241"/>
      <c r="M1160" s="237"/>
      <c r="N1160" s="242"/>
      <c r="O1160" s="243"/>
      <c r="P1160" s="244"/>
      <c r="Q1160" s="245"/>
      <c r="R1160" s="246"/>
      <c r="S1160" s="244"/>
      <c r="T1160" s="247"/>
      <c r="U1160" s="247"/>
      <c r="V1160" s="244"/>
      <c r="W1160" s="244"/>
      <c r="X1160" s="97"/>
    </row>
    <row r="1161">
      <c r="A1161" s="205"/>
      <c r="B1161" s="235"/>
      <c r="C1161" s="236"/>
      <c r="D1161" s="237"/>
      <c r="E1161" s="235"/>
      <c r="F1161" s="235"/>
      <c r="G1161" s="239"/>
      <c r="H1161" s="240"/>
      <c r="J1161" s="237"/>
      <c r="K1161" s="241"/>
      <c r="L1161" s="241"/>
      <c r="M1161" s="237"/>
      <c r="N1161" s="242"/>
      <c r="O1161" s="243"/>
      <c r="P1161" s="244"/>
      <c r="Q1161" s="245"/>
      <c r="R1161" s="246"/>
      <c r="S1161" s="244"/>
      <c r="T1161" s="247"/>
      <c r="U1161" s="247"/>
      <c r="V1161" s="244"/>
      <c r="W1161" s="244"/>
      <c r="X1161" s="97"/>
    </row>
    <row r="1162">
      <c r="A1162" s="205"/>
      <c r="B1162" s="235"/>
      <c r="C1162" s="236"/>
      <c r="D1162" s="237"/>
      <c r="E1162" s="235"/>
      <c r="F1162" s="235"/>
      <c r="G1162" s="239"/>
      <c r="H1162" s="240"/>
      <c r="J1162" s="237"/>
      <c r="K1162" s="241"/>
      <c r="L1162" s="241"/>
      <c r="M1162" s="237"/>
      <c r="N1162" s="242"/>
      <c r="O1162" s="243"/>
      <c r="P1162" s="244"/>
      <c r="Q1162" s="245"/>
      <c r="R1162" s="246"/>
      <c r="S1162" s="244"/>
      <c r="T1162" s="247"/>
      <c r="U1162" s="247"/>
      <c r="V1162" s="244"/>
      <c r="W1162" s="244"/>
      <c r="X1162" s="97"/>
    </row>
    <row r="1163">
      <c r="A1163" s="205"/>
      <c r="B1163" s="235"/>
      <c r="C1163" s="236"/>
      <c r="D1163" s="237"/>
      <c r="E1163" s="235"/>
      <c r="F1163" s="235"/>
      <c r="G1163" s="239"/>
      <c r="H1163" s="240"/>
      <c r="J1163" s="237"/>
      <c r="K1163" s="241"/>
      <c r="L1163" s="241"/>
      <c r="M1163" s="237"/>
      <c r="N1163" s="242"/>
      <c r="O1163" s="243"/>
      <c r="P1163" s="244"/>
      <c r="Q1163" s="245"/>
      <c r="R1163" s="246"/>
      <c r="S1163" s="244"/>
      <c r="T1163" s="247"/>
      <c r="U1163" s="247"/>
      <c r="V1163" s="244"/>
      <c r="W1163" s="244"/>
      <c r="X1163" s="97"/>
    </row>
    <row r="1164">
      <c r="A1164" s="205"/>
      <c r="B1164" s="235"/>
      <c r="C1164" s="236"/>
      <c r="D1164" s="237"/>
      <c r="E1164" s="235"/>
      <c r="F1164" s="235"/>
      <c r="G1164" s="239"/>
      <c r="H1164" s="240"/>
      <c r="J1164" s="237"/>
      <c r="K1164" s="241"/>
      <c r="L1164" s="241"/>
      <c r="M1164" s="237"/>
      <c r="N1164" s="242"/>
      <c r="O1164" s="243"/>
      <c r="P1164" s="244"/>
      <c r="Q1164" s="245"/>
      <c r="R1164" s="246"/>
      <c r="S1164" s="244"/>
      <c r="T1164" s="247"/>
      <c r="U1164" s="247"/>
      <c r="V1164" s="244"/>
      <c r="W1164" s="244"/>
      <c r="X1164" s="97"/>
    </row>
    <row r="1165">
      <c r="A1165" s="205"/>
      <c r="B1165" s="235"/>
      <c r="C1165" s="236"/>
      <c r="D1165" s="237"/>
      <c r="E1165" s="235"/>
      <c r="F1165" s="235"/>
      <c r="G1165" s="239"/>
      <c r="H1165" s="240"/>
      <c r="J1165" s="237"/>
      <c r="K1165" s="241"/>
      <c r="L1165" s="241"/>
      <c r="M1165" s="237"/>
      <c r="N1165" s="242"/>
      <c r="O1165" s="243"/>
      <c r="P1165" s="244"/>
      <c r="Q1165" s="245"/>
      <c r="R1165" s="246"/>
      <c r="S1165" s="244"/>
      <c r="T1165" s="247"/>
      <c r="U1165" s="247"/>
      <c r="V1165" s="244"/>
      <c r="W1165" s="244"/>
      <c r="X1165" s="97"/>
    </row>
    <row r="1166">
      <c r="A1166" s="205"/>
      <c r="B1166" s="235"/>
      <c r="C1166" s="236"/>
      <c r="D1166" s="237"/>
      <c r="E1166" s="235"/>
      <c r="F1166" s="235"/>
      <c r="G1166" s="239"/>
      <c r="H1166" s="240"/>
      <c r="J1166" s="237"/>
      <c r="K1166" s="241"/>
      <c r="L1166" s="241"/>
      <c r="M1166" s="237"/>
      <c r="N1166" s="242"/>
      <c r="O1166" s="243"/>
      <c r="P1166" s="244"/>
      <c r="Q1166" s="245"/>
      <c r="R1166" s="246"/>
      <c r="S1166" s="244"/>
      <c r="T1166" s="247"/>
      <c r="U1166" s="247"/>
      <c r="V1166" s="244"/>
      <c r="W1166" s="244"/>
      <c r="X1166" s="97"/>
    </row>
    <row r="1167">
      <c r="A1167" s="205"/>
      <c r="B1167" s="235"/>
      <c r="C1167" s="236"/>
      <c r="D1167" s="237"/>
      <c r="E1167" s="235"/>
      <c r="F1167" s="235"/>
      <c r="G1167" s="239"/>
      <c r="H1167" s="240"/>
      <c r="J1167" s="237"/>
      <c r="K1167" s="241"/>
      <c r="L1167" s="241"/>
      <c r="M1167" s="237"/>
      <c r="N1167" s="242"/>
      <c r="O1167" s="243"/>
      <c r="P1167" s="244"/>
      <c r="Q1167" s="245"/>
      <c r="R1167" s="246"/>
      <c r="S1167" s="244"/>
      <c r="T1167" s="247"/>
      <c r="U1167" s="247"/>
      <c r="V1167" s="244"/>
      <c r="W1167" s="244"/>
      <c r="X1167" s="97"/>
    </row>
    <row r="1168">
      <c r="A1168" s="205"/>
      <c r="B1168" s="235"/>
      <c r="C1168" s="236"/>
      <c r="D1168" s="237"/>
      <c r="E1168" s="235"/>
      <c r="F1168" s="235"/>
      <c r="G1168" s="239"/>
      <c r="H1168" s="240"/>
      <c r="J1168" s="237"/>
      <c r="K1168" s="241"/>
      <c r="L1168" s="241"/>
      <c r="M1168" s="237"/>
      <c r="N1168" s="242"/>
      <c r="O1168" s="243"/>
      <c r="P1168" s="244"/>
      <c r="Q1168" s="245"/>
      <c r="R1168" s="246"/>
      <c r="S1168" s="244"/>
      <c r="T1168" s="247"/>
      <c r="U1168" s="247"/>
      <c r="V1168" s="244"/>
      <c r="W1168" s="244"/>
      <c r="X1168" s="97"/>
    </row>
    <row r="1169">
      <c r="A1169" s="205"/>
      <c r="B1169" s="235"/>
      <c r="C1169" s="236"/>
      <c r="D1169" s="237"/>
      <c r="E1169" s="235"/>
      <c r="F1169" s="235"/>
      <c r="G1169" s="239"/>
      <c r="H1169" s="240"/>
      <c r="J1169" s="237"/>
      <c r="K1169" s="241"/>
      <c r="L1169" s="241"/>
      <c r="M1169" s="237"/>
      <c r="N1169" s="242"/>
      <c r="O1169" s="243"/>
      <c r="P1169" s="244"/>
      <c r="Q1169" s="245"/>
      <c r="R1169" s="246"/>
      <c r="S1169" s="244"/>
      <c r="T1169" s="247"/>
      <c r="U1169" s="247"/>
      <c r="V1169" s="244"/>
      <c r="W1169" s="244"/>
      <c r="X1169" s="97"/>
    </row>
    <row r="1170">
      <c r="A1170" s="205"/>
      <c r="B1170" s="235"/>
      <c r="C1170" s="236"/>
      <c r="D1170" s="237"/>
      <c r="E1170" s="235"/>
      <c r="F1170" s="235"/>
      <c r="G1170" s="239"/>
      <c r="H1170" s="240"/>
      <c r="J1170" s="237"/>
      <c r="K1170" s="241"/>
      <c r="L1170" s="241"/>
      <c r="M1170" s="237"/>
      <c r="N1170" s="242"/>
      <c r="O1170" s="243"/>
      <c r="P1170" s="244"/>
      <c r="Q1170" s="245"/>
      <c r="R1170" s="246"/>
      <c r="S1170" s="244"/>
      <c r="T1170" s="247"/>
      <c r="U1170" s="247"/>
      <c r="V1170" s="244"/>
      <c r="W1170" s="244"/>
      <c r="X1170" s="97"/>
    </row>
    <row r="1171">
      <c r="A1171" s="205"/>
      <c r="B1171" s="235"/>
      <c r="C1171" s="236"/>
      <c r="D1171" s="237"/>
      <c r="E1171" s="235"/>
      <c r="F1171" s="235"/>
      <c r="G1171" s="239"/>
      <c r="H1171" s="240"/>
      <c r="J1171" s="237"/>
      <c r="K1171" s="241"/>
      <c r="L1171" s="241"/>
      <c r="M1171" s="237"/>
      <c r="N1171" s="242"/>
      <c r="O1171" s="243"/>
      <c r="P1171" s="244"/>
      <c r="Q1171" s="245"/>
      <c r="R1171" s="246"/>
      <c r="S1171" s="244"/>
      <c r="T1171" s="247"/>
      <c r="U1171" s="247"/>
      <c r="V1171" s="244"/>
      <c r="W1171" s="244"/>
      <c r="X1171" s="97"/>
    </row>
    <row r="1172">
      <c r="A1172" s="205"/>
      <c r="B1172" s="235"/>
      <c r="C1172" s="236"/>
      <c r="D1172" s="237"/>
      <c r="E1172" s="235"/>
      <c r="F1172" s="235"/>
      <c r="G1172" s="239"/>
      <c r="H1172" s="240"/>
      <c r="J1172" s="237"/>
      <c r="K1172" s="241"/>
      <c r="L1172" s="241"/>
      <c r="M1172" s="237"/>
      <c r="N1172" s="242"/>
      <c r="O1172" s="243"/>
      <c r="P1172" s="244"/>
      <c r="Q1172" s="245"/>
      <c r="R1172" s="246"/>
      <c r="S1172" s="244"/>
      <c r="T1172" s="247"/>
      <c r="U1172" s="247"/>
      <c r="V1172" s="244"/>
      <c r="W1172" s="244"/>
      <c r="X1172" s="97"/>
    </row>
    <row r="1173">
      <c r="A1173" s="205"/>
      <c r="B1173" s="235"/>
      <c r="C1173" s="236"/>
      <c r="D1173" s="237"/>
      <c r="E1173" s="235"/>
      <c r="F1173" s="235"/>
      <c r="G1173" s="239"/>
      <c r="H1173" s="240"/>
      <c r="J1173" s="237"/>
      <c r="K1173" s="241"/>
      <c r="L1173" s="241"/>
      <c r="M1173" s="237"/>
      <c r="N1173" s="242"/>
      <c r="O1173" s="243"/>
      <c r="P1173" s="244"/>
      <c r="Q1173" s="245"/>
      <c r="R1173" s="246"/>
      <c r="S1173" s="244"/>
      <c r="T1173" s="247"/>
      <c r="U1173" s="247"/>
      <c r="V1173" s="244"/>
      <c r="W1173" s="244"/>
      <c r="X1173" s="97"/>
    </row>
    <row r="1174">
      <c r="A1174" s="205"/>
      <c r="B1174" s="235"/>
      <c r="C1174" s="236"/>
      <c r="D1174" s="237"/>
      <c r="E1174" s="235"/>
      <c r="F1174" s="235"/>
      <c r="G1174" s="239"/>
      <c r="H1174" s="240"/>
      <c r="J1174" s="237"/>
      <c r="K1174" s="241"/>
      <c r="L1174" s="241"/>
      <c r="M1174" s="237"/>
      <c r="N1174" s="242"/>
      <c r="O1174" s="243"/>
      <c r="P1174" s="244"/>
      <c r="Q1174" s="245"/>
      <c r="R1174" s="246"/>
      <c r="S1174" s="244"/>
      <c r="T1174" s="247"/>
      <c r="U1174" s="247"/>
      <c r="V1174" s="244"/>
      <c r="W1174" s="244"/>
      <c r="X1174" s="97"/>
    </row>
    <row r="1175">
      <c r="A1175" s="205"/>
      <c r="B1175" s="235"/>
      <c r="C1175" s="236"/>
      <c r="D1175" s="237"/>
      <c r="E1175" s="235"/>
      <c r="F1175" s="235"/>
      <c r="G1175" s="239"/>
      <c r="H1175" s="240"/>
      <c r="J1175" s="237"/>
      <c r="K1175" s="241"/>
      <c r="L1175" s="241"/>
      <c r="M1175" s="237"/>
      <c r="N1175" s="242"/>
      <c r="O1175" s="243"/>
      <c r="P1175" s="244"/>
      <c r="Q1175" s="245"/>
      <c r="R1175" s="246"/>
      <c r="S1175" s="244"/>
      <c r="T1175" s="247"/>
      <c r="U1175" s="247"/>
      <c r="V1175" s="244"/>
      <c r="W1175" s="244"/>
      <c r="X1175" s="97"/>
    </row>
    <row r="1176">
      <c r="A1176" s="205"/>
      <c r="B1176" s="235"/>
      <c r="C1176" s="236"/>
      <c r="D1176" s="237"/>
      <c r="E1176" s="235"/>
      <c r="F1176" s="235"/>
      <c r="G1176" s="239"/>
      <c r="H1176" s="240"/>
      <c r="J1176" s="237"/>
      <c r="K1176" s="241"/>
      <c r="L1176" s="241"/>
      <c r="M1176" s="237"/>
      <c r="N1176" s="242"/>
      <c r="O1176" s="243"/>
      <c r="P1176" s="244"/>
      <c r="Q1176" s="245"/>
      <c r="R1176" s="246"/>
      <c r="S1176" s="244"/>
      <c r="T1176" s="247"/>
      <c r="U1176" s="247"/>
      <c r="V1176" s="244"/>
      <c r="W1176" s="244"/>
      <c r="X1176" s="97"/>
    </row>
    <row r="1177">
      <c r="A1177" s="205"/>
      <c r="B1177" s="235"/>
      <c r="C1177" s="236"/>
      <c r="D1177" s="237"/>
      <c r="E1177" s="235"/>
      <c r="F1177" s="235"/>
      <c r="G1177" s="239"/>
      <c r="H1177" s="240"/>
      <c r="J1177" s="237"/>
      <c r="K1177" s="241"/>
      <c r="L1177" s="241"/>
      <c r="M1177" s="237"/>
      <c r="N1177" s="242"/>
      <c r="O1177" s="243"/>
      <c r="P1177" s="244"/>
      <c r="Q1177" s="245"/>
      <c r="R1177" s="246"/>
      <c r="S1177" s="244"/>
      <c r="T1177" s="247"/>
      <c r="U1177" s="247"/>
      <c r="V1177" s="244"/>
      <c r="W1177" s="244"/>
      <c r="X1177" s="97"/>
    </row>
    <row r="1178">
      <c r="A1178" s="205"/>
      <c r="B1178" s="235"/>
      <c r="C1178" s="236"/>
      <c r="D1178" s="237"/>
      <c r="E1178" s="235"/>
      <c r="F1178" s="235"/>
      <c r="G1178" s="239"/>
      <c r="H1178" s="240"/>
      <c r="J1178" s="237"/>
      <c r="K1178" s="241"/>
      <c r="L1178" s="241"/>
      <c r="M1178" s="237"/>
      <c r="N1178" s="242"/>
      <c r="O1178" s="243"/>
      <c r="P1178" s="244"/>
      <c r="Q1178" s="245"/>
      <c r="R1178" s="246"/>
      <c r="S1178" s="244"/>
      <c r="T1178" s="247"/>
      <c r="U1178" s="247"/>
      <c r="V1178" s="244"/>
      <c r="W1178" s="244"/>
      <c r="X1178" s="97"/>
    </row>
    <row r="1179">
      <c r="A1179" s="205"/>
      <c r="B1179" s="235"/>
      <c r="C1179" s="236"/>
      <c r="D1179" s="237"/>
      <c r="E1179" s="235"/>
      <c r="F1179" s="235"/>
      <c r="G1179" s="239"/>
      <c r="H1179" s="240"/>
      <c r="J1179" s="237"/>
      <c r="K1179" s="241"/>
      <c r="L1179" s="241"/>
      <c r="M1179" s="237"/>
      <c r="N1179" s="242"/>
      <c r="O1179" s="243"/>
      <c r="P1179" s="244"/>
      <c r="Q1179" s="245"/>
      <c r="R1179" s="246"/>
      <c r="S1179" s="244"/>
      <c r="T1179" s="247"/>
      <c r="U1179" s="247"/>
      <c r="V1179" s="244"/>
      <c r="W1179" s="244"/>
      <c r="X1179" s="97"/>
    </row>
    <row r="1180">
      <c r="A1180" s="205"/>
      <c r="B1180" s="235"/>
      <c r="C1180" s="236"/>
      <c r="D1180" s="237"/>
      <c r="E1180" s="235"/>
      <c r="F1180" s="235"/>
      <c r="G1180" s="239"/>
      <c r="H1180" s="240"/>
      <c r="J1180" s="237"/>
      <c r="K1180" s="241"/>
      <c r="L1180" s="241"/>
      <c r="M1180" s="237"/>
      <c r="N1180" s="242"/>
      <c r="O1180" s="243"/>
      <c r="P1180" s="244"/>
      <c r="Q1180" s="245"/>
      <c r="R1180" s="246"/>
      <c r="S1180" s="244"/>
      <c r="T1180" s="247"/>
      <c r="U1180" s="247"/>
      <c r="V1180" s="244"/>
      <c r="W1180" s="244"/>
      <c r="X1180" s="97"/>
    </row>
    <row r="1181">
      <c r="A1181" s="205"/>
      <c r="B1181" s="235"/>
      <c r="C1181" s="236"/>
      <c r="D1181" s="237"/>
      <c r="E1181" s="235"/>
      <c r="F1181" s="235"/>
      <c r="G1181" s="239"/>
      <c r="H1181" s="240"/>
      <c r="J1181" s="237"/>
      <c r="K1181" s="241"/>
      <c r="L1181" s="241"/>
      <c r="M1181" s="237"/>
      <c r="N1181" s="242"/>
      <c r="O1181" s="243"/>
      <c r="P1181" s="244"/>
      <c r="Q1181" s="245"/>
      <c r="R1181" s="246"/>
      <c r="S1181" s="244"/>
      <c r="T1181" s="247"/>
      <c r="U1181" s="247"/>
      <c r="V1181" s="244"/>
      <c r="W1181" s="244"/>
      <c r="X1181" s="97"/>
    </row>
    <row r="1182">
      <c r="A1182" s="205"/>
      <c r="B1182" s="235"/>
      <c r="C1182" s="236"/>
      <c r="D1182" s="237"/>
      <c r="E1182" s="235"/>
      <c r="F1182" s="235"/>
      <c r="G1182" s="239"/>
      <c r="H1182" s="240"/>
      <c r="J1182" s="237"/>
      <c r="K1182" s="241"/>
      <c r="L1182" s="241"/>
      <c r="M1182" s="237"/>
      <c r="N1182" s="242"/>
      <c r="O1182" s="243"/>
      <c r="P1182" s="244"/>
      <c r="Q1182" s="245"/>
      <c r="R1182" s="246"/>
      <c r="S1182" s="244"/>
      <c r="T1182" s="247"/>
      <c r="U1182" s="247"/>
      <c r="V1182" s="244"/>
      <c r="W1182" s="244"/>
      <c r="X1182" s="97"/>
    </row>
    <row r="1183">
      <c r="A1183" s="205"/>
      <c r="B1183" s="235"/>
      <c r="C1183" s="236"/>
      <c r="D1183" s="237"/>
      <c r="E1183" s="235"/>
      <c r="F1183" s="235"/>
      <c r="G1183" s="239"/>
      <c r="H1183" s="240"/>
      <c r="J1183" s="237"/>
      <c r="K1183" s="241"/>
      <c r="L1183" s="241"/>
      <c r="M1183" s="237"/>
      <c r="N1183" s="242"/>
      <c r="O1183" s="243"/>
      <c r="P1183" s="244"/>
      <c r="Q1183" s="245"/>
      <c r="R1183" s="246"/>
      <c r="S1183" s="244"/>
      <c r="T1183" s="247"/>
      <c r="U1183" s="247"/>
      <c r="V1183" s="244"/>
      <c r="W1183" s="244"/>
      <c r="X1183" s="97"/>
    </row>
    <row r="1184">
      <c r="A1184" s="205"/>
      <c r="B1184" s="235"/>
      <c r="C1184" s="236"/>
      <c r="D1184" s="237"/>
      <c r="E1184" s="235"/>
      <c r="F1184" s="235"/>
      <c r="G1184" s="239"/>
      <c r="H1184" s="240"/>
      <c r="J1184" s="237"/>
      <c r="K1184" s="241"/>
      <c r="L1184" s="241"/>
      <c r="M1184" s="237"/>
      <c r="N1184" s="242"/>
      <c r="O1184" s="243"/>
      <c r="P1184" s="244"/>
      <c r="Q1184" s="245"/>
      <c r="R1184" s="246"/>
      <c r="S1184" s="244"/>
      <c r="T1184" s="247"/>
      <c r="U1184" s="247"/>
      <c r="V1184" s="244"/>
      <c r="W1184" s="244"/>
      <c r="X1184" s="97"/>
    </row>
    <row r="1185">
      <c r="A1185" s="205"/>
      <c r="B1185" s="235"/>
      <c r="C1185" s="236"/>
      <c r="D1185" s="237"/>
      <c r="E1185" s="235"/>
      <c r="F1185" s="235"/>
      <c r="G1185" s="239"/>
      <c r="H1185" s="240"/>
      <c r="J1185" s="237"/>
      <c r="K1185" s="241"/>
      <c r="L1185" s="241"/>
      <c r="M1185" s="237"/>
      <c r="N1185" s="242"/>
      <c r="O1185" s="243"/>
      <c r="P1185" s="244"/>
      <c r="Q1185" s="245"/>
      <c r="R1185" s="246"/>
      <c r="S1185" s="244"/>
      <c r="T1185" s="247"/>
      <c r="U1185" s="247"/>
      <c r="V1185" s="244"/>
      <c r="W1185" s="244"/>
      <c r="X1185" s="97"/>
    </row>
    <row r="1186">
      <c r="A1186" s="205"/>
      <c r="B1186" s="235"/>
      <c r="C1186" s="236"/>
      <c r="D1186" s="237"/>
      <c r="E1186" s="235"/>
      <c r="F1186" s="235"/>
      <c r="G1186" s="239"/>
      <c r="H1186" s="240"/>
      <c r="J1186" s="237"/>
      <c r="K1186" s="241"/>
      <c r="L1186" s="241"/>
      <c r="M1186" s="237"/>
      <c r="N1186" s="242"/>
      <c r="O1186" s="243"/>
      <c r="P1186" s="244"/>
      <c r="Q1186" s="245"/>
      <c r="R1186" s="246"/>
      <c r="S1186" s="244"/>
      <c r="T1186" s="247"/>
      <c r="U1186" s="247"/>
      <c r="V1186" s="244"/>
      <c r="W1186" s="244"/>
      <c r="X1186" s="97"/>
    </row>
    <row r="1187">
      <c r="A1187" s="205"/>
      <c r="B1187" s="235"/>
      <c r="C1187" s="236"/>
      <c r="D1187" s="237"/>
      <c r="E1187" s="235"/>
      <c r="F1187" s="235"/>
      <c r="G1187" s="239"/>
      <c r="H1187" s="240"/>
      <c r="J1187" s="237"/>
      <c r="K1187" s="241"/>
      <c r="L1187" s="241"/>
      <c r="M1187" s="237"/>
      <c r="N1187" s="242"/>
      <c r="O1187" s="243"/>
      <c r="P1187" s="244"/>
      <c r="Q1187" s="245"/>
      <c r="R1187" s="246"/>
      <c r="S1187" s="244"/>
      <c r="T1187" s="247"/>
      <c r="U1187" s="247"/>
      <c r="V1187" s="244"/>
      <c r="W1187" s="244"/>
      <c r="X1187" s="97"/>
    </row>
    <row r="1188">
      <c r="A1188" s="205"/>
      <c r="B1188" s="235"/>
      <c r="C1188" s="236"/>
      <c r="D1188" s="237"/>
      <c r="E1188" s="235"/>
      <c r="F1188" s="235"/>
      <c r="G1188" s="239"/>
      <c r="H1188" s="240"/>
      <c r="J1188" s="237"/>
      <c r="K1188" s="241"/>
      <c r="L1188" s="241"/>
      <c r="M1188" s="237"/>
      <c r="N1188" s="242"/>
      <c r="O1188" s="243"/>
      <c r="P1188" s="244"/>
      <c r="Q1188" s="245"/>
      <c r="R1188" s="246"/>
      <c r="S1188" s="244"/>
      <c r="T1188" s="247"/>
      <c r="U1188" s="247"/>
      <c r="V1188" s="244"/>
      <c r="W1188" s="244"/>
      <c r="X1188" s="97"/>
    </row>
    <row r="1189">
      <c r="A1189" s="205"/>
      <c r="B1189" s="235"/>
      <c r="C1189" s="236"/>
      <c r="D1189" s="237"/>
      <c r="E1189" s="235"/>
      <c r="F1189" s="235"/>
      <c r="G1189" s="239"/>
      <c r="H1189" s="240"/>
      <c r="J1189" s="237"/>
      <c r="K1189" s="241"/>
      <c r="L1189" s="241"/>
      <c r="M1189" s="237"/>
      <c r="N1189" s="242"/>
      <c r="O1189" s="243"/>
      <c r="P1189" s="244"/>
      <c r="Q1189" s="245"/>
      <c r="R1189" s="246"/>
      <c r="S1189" s="244"/>
      <c r="T1189" s="247"/>
      <c r="U1189" s="247"/>
      <c r="V1189" s="244"/>
      <c r="W1189" s="244"/>
      <c r="X1189" s="97"/>
    </row>
    <row r="1190">
      <c r="A1190" s="205"/>
      <c r="B1190" s="235"/>
      <c r="C1190" s="236"/>
      <c r="D1190" s="237"/>
      <c r="E1190" s="235"/>
      <c r="F1190" s="235"/>
      <c r="G1190" s="239"/>
      <c r="H1190" s="240"/>
      <c r="J1190" s="237"/>
      <c r="K1190" s="241"/>
      <c r="L1190" s="241"/>
      <c r="M1190" s="237"/>
      <c r="N1190" s="242"/>
      <c r="O1190" s="243"/>
      <c r="P1190" s="244"/>
      <c r="Q1190" s="245"/>
      <c r="R1190" s="246"/>
      <c r="S1190" s="244"/>
      <c r="T1190" s="247"/>
      <c r="U1190" s="247"/>
      <c r="V1190" s="244"/>
      <c r="W1190" s="244"/>
      <c r="X1190" s="97"/>
    </row>
    <row r="1191">
      <c r="A1191" s="205"/>
      <c r="B1191" s="235"/>
      <c r="C1191" s="236"/>
      <c r="D1191" s="237"/>
      <c r="E1191" s="235"/>
      <c r="F1191" s="235"/>
      <c r="G1191" s="239"/>
      <c r="H1191" s="240"/>
      <c r="J1191" s="237"/>
      <c r="K1191" s="241"/>
      <c r="L1191" s="241"/>
      <c r="M1191" s="237"/>
      <c r="N1191" s="242"/>
      <c r="O1191" s="243"/>
      <c r="P1191" s="244"/>
      <c r="Q1191" s="245"/>
      <c r="R1191" s="246"/>
      <c r="S1191" s="244"/>
      <c r="T1191" s="247"/>
      <c r="U1191" s="247"/>
      <c r="V1191" s="244"/>
      <c r="W1191" s="244"/>
      <c r="X1191" s="97"/>
    </row>
    <row r="1192">
      <c r="A1192" s="205"/>
      <c r="B1192" s="235"/>
      <c r="C1192" s="236"/>
      <c r="D1192" s="237"/>
      <c r="E1192" s="235"/>
      <c r="F1192" s="235"/>
      <c r="G1192" s="239"/>
      <c r="H1192" s="240"/>
      <c r="J1192" s="237"/>
      <c r="K1192" s="241"/>
      <c r="L1192" s="241"/>
      <c r="M1192" s="237"/>
      <c r="N1192" s="242"/>
      <c r="O1192" s="243"/>
      <c r="P1192" s="244"/>
      <c r="Q1192" s="245"/>
      <c r="R1192" s="246"/>
      <c r="S1192" s="244"/>
      <c r="T1192" s="247"/>
      <c r="U1192" s="247"/>
      <c r="V1192" s="244"/>
      <c r="W1192" s="244"/>
      <c r="X1192" s="97"/>
    </row>
    <row r="1193">
      <c r="A1193" s="205"/>
      <c r="B1193" s="235"/>
      <c r="C1193" s="236"/>
      <c r="D1193" s="237"/>
      <c r="E1193" s="235"/>
      <c r="F1193" s="235"/>
      <c r="G1193" s="239"/>
      <c r="H1193" s="240"/>
      <c r="J1193" s="237"/>
      <c r="K1193" s="241"/>
      <c r="L1193" s="241"/>
      <c r="M1193" s="237"/>
      <c r="N1193" s="242"/>
      <c r="O1193" s="243"/>
      <c r="P1193" s="244"/>
      <c r="Q1193" s="245"/>
      <c r="R1193" s="246"/>
      <c r="S1193" s="244"/>
      <c r="T1193" s="247"/>
      <c r="U1193" s="247"/>
      <c r="V1193" s="244"/>
      <c r="W1193" s="244"/>
      <c r="X1193" s="97"/>
    </row>
    <row r="1194">
      <c r="A1194" s="205"/>
      <c r="B1194" s="235"/>
      <c r="C1194" s="236"/>
      <c r="D1194" s="237"/>
      <c r="E1194" s="235"/>
      <c r="F1194" s="235"/>
      <c r="G1194" s="239"/>
      <c r="H1194" s="240"/>
      <c r="J1194" s="237"/>
      <c r="K1194" s="241"/>
      <c r="L1194" s="241"/>
      <c r="M1194" s="237"/>
      <c r="N1194" s="242"/>
      <c r="O1194" s="243"/>
      <c r="P1194" s="244"/>
      <c r="Q1194" s="245"/>
      <c r="R1194" s="246"/>
      <c r="S1194" s="244"/>
      <c r="T1194" s="247"/>
      <c r="U1194" s="247"/>
      <c r="V1194" s="244"/>
      <c r="W1194" s="244"/>
      <c r="X1194" s="97"/>
    </row>
    <row r="1195">
      <c r="A1195" s="205"/>
      <c r="B1195" s="235"/>
      <c r="C1195" s="236"/>
      <c r="D1195" s="237"/>
      <c r="E1195" s="235"/>
      <c r="F1195" s="235"/>
      <c r="G1195" s="239"/>
      <c r="H1195" s="240"/>
      <c r="J1195" s="237"/>
      <c r="K1195" s="241"/>
      <c r="L1195" s="241"/>
      <c r="M1195" s="237"/>
      <c r="N1195" s="242"/>
      <c r="O1195" s="243"/>
      <c r="P1195" s="244"/>
      <c r="Q1195" s="245"/>
      <c r="R1195" s="246"/>
      <c r="S1195" s="244"/>
      <c r="T1195" s="247"/>
      <c r="U1195" s="247"/>
      <c r="V1195" s="244"/>
      <c r="W1195" s="244"/>
      <c r="X1195" s="97"/>
    </row>
    <row r="1196">
      <c r="A1196" s="205"/>
      <c r="B1196" s="235"/>
      <c r="C1196" s="236"/>
      <c r="D1196" s="237"/>
      <c r="E1196" s="235"/>
      <c r="F1196" s="235"/>
      <c r="G1196" s="239"/>
      <c r="H1196" s="240"/>
      <c r="J1196" s="237"/>
      <c r="K1196" s="241"/>
      <c r="L1196" s="241"/>
      <c r="M1196" s="237"/>
      <c r="N1196" s="242"/>
      <c r="O1196" s="243"/>
      <c r="P1196" s="244"/>
      <c r="Q1196" s="245"/>
      <c r="R1196" s="246"/>
      <c r="S1196" s="244"/>
      <c r="T1196" s="247"/>
      <c r="U1196" s="247"/>
      <c r="V1196" s="244"/>
      <c r="W1196" s="244"/>
      <c r="X1196" s="97"/>
    </row>
    <row r="1197">
      <c r="A1197" s="205"/>
      <c r="B1197" s="235"/>
      <c r="C1197" s="236"/>
      <c r="D1197" s="237"/>
      <c r="E1197" s="235"/>
      <c r="F1197" s="235"/>
      <c r="G1197" s="239"/>
      <c r="H1197" s="240"/>
      <c r="J1197" s="237"/>
      <c r="K1197" s="241"/>
      <c r="L1197" s="241"/>
      <c r="M1197" s="237"/>
      <c r="N1197" s="242"/>
      <c r="O1197" s="243"/>
      <c r="P1197" s="244"/>
      <c r="Q1197" s="245"/>
      <c r="R1197" s="246"/>
      <c r="S1197" s="244"/>
      <c r="T1197" s="247"/>
      <c r="U1197" s="247"/>
      <c r="V1197" s="244"/>
      <c r="W1197" s="244"/>
      <c r="X1197" s="97"/>
    </row>
    <row r="1198">
      <c r="A1198" s="205"/>
      <c r="B1198" s="235"/>
      <c r="C1198" s="236"/>
      <c r="D1198" s="237"/>
      <c r="E1198" s="235"/>
      <c r="F1198" s="235"/>
      <c r="G1198" s="239"/>
      <c r="H1198" s="240"/>
      <c r="J1198" s="237"/>
      <c r="K1198" s="241"/>
      <c r="L1198" s="241"/>
      <c r="M1198" s="237"/>
      <c r="N1198" s="242"/>
      <c r="O1198" s="243"/>
      <c r="P1198" s="244"/>
      <c r="Q1198" s="245"/>
      <c r="R1198" s="246"/>
      <c r="S1198" s="244"/>
      <c r="T1198" s="247"/>
      <c r="U1198" s="247"/>
      <c r="V1198" s="244"/>
      <c r="W1198" s="244"/>
      <c r="X1198" s="97"/>
    </row>
    <row r="1199">
      <c r="A1199" s="205"/>
      <c r="B1199" s="235"/>
      <c r="C1199" s="236"/>
      <c r="D1199" s="237"/>
      <c r="E1199" s="235"/>
      <c r="F1199" s="235"/>
      <c r="G1199" s="239"/>
      <c r="H1199" s="240"/>
      <c r="J1199" s="237"/>
      <c r="K1199" s="241"/>
      <c r="L1199" s="241"/>
      <c r="M1199" s="237"/>
      <c r="N1199" s="242"/>
      <c r="O1199" s="243"/>
      <c r="P1199" s="244"/>
      <c r="Q1199" s="245"/>
      <c r="R1199" s="246"/>
      <c r="S1199" s="244"/>
      <c r="T1199" s="247"/>
      <c r="U1199" s="247"/>
      <c r="V1199" s="244"/>
      <c r="W1199" s="244"/>
      <c r="X1199" s="97"/>
    </row>
    <row r="1200">
      <c r="A1200" s="205"/>
      <c r="B1200" s="235"/>
      <c r="C1200" s="236"/>
      <c r="D1200" s="237"/>
      <c r="E1200" s="235"/>
      <c r="F1200" s="235"/>
      <c r="G1200" s="239"/>
      <c r="H1200" s="240"/>
      <c r="J1200" s="237"/>
      <c r="K1200" s="241"/>
      <c r="L1200" s="241"/>
      <c r="M1200" s="237"/>
      <c r="N1200" s="242"/>
      <c r="O1200" s="243"/>
      <c r="P1200" s="244"/>
      <c r="Q1200" s="245"/>
      <c r="R1200" s="246"/>
      <c r="S1200" s="244"/>
      <c r="T1200" s="247"/>
      <c r="U1200" s="247"/>
      <c r="V1200" s="244"/>
      <c r="W1200" s="244"/>
      <c r="X1200" s="97"/>
    </row>
    <row r="1201">
      <c r="A1201" s="205"/>
      <c r="B1201" s="235"/>
      <c r="C1201" s="236"/>
      <c r="D1201" s="237"/>
      <c r="E1201" s="235"/>
      <c r="F1201" s="235"/>
      <c r="G1201" s="239"/>
      <c r="H1201" s="240"/>
      <c r="J1201" s="237"/>
      <c r="K1201" s="241"/>
      <c r="L1201" s="241"/>
      <c r="M1201" s="237"/>
      <c r="N1201" s="242"/>
      <c r="O1201" s="243"/>
      <c r="P1201" s="244"/>
      <c r="Q1201" s="245"/>
      <c r="R1201" s="246"/>
      <c r="S1201" s="244"/>
      <c r="T1201" s="247"/>
      <c r="U1201" s="247"/>
      <c r="V1201" s="244"/>
      <c r="W1201" s="244"/>
      <c r="X1201" s="97"/>
    </row>
    <row r="1202">
      <c r="A1202" s="205"/>
      <c r="B1202" s="235"/>
      <c r="C1202" s="236"/>
      <c r="D1202" s="237"/>
      <c r="E1202" s="235"/>
      <c r="F1202" s="235"/>
      <c r="G1202" s="239"/>
      <c r="H1202" s="240"/>
      <c r="J1202" s="237"/>
      <c r="K1202" s="241"/>
      <c r="L1202" s="241"/>
      <c r="M1202" s="237"/>
      <c r="N1202" s="242"/>
      <c r="O1202" s="243"/>
      <c r="P1202" s="244"/>
      <c r="Q1202" s="245"/>
      <c r="R1202" s="246"/>
      <c r="S1202" s="244"/>
      <c r="T1202" s="247"/>
      <c r="U1202" s="247"/>
      <c r="V1202" s="244"/>
      <c r="W1202" s="244"/>
      <c r="X1202" s="97"/>
    </row>
    <row r="1203">
      <c r="A1203" s="205"/>
      <c r="B1203" s="235"/>
      <c r="C1203" s="236"/>
      <c r="D1203" s="237"/>
      <c r="E1203" s="235"/>
      <c r="F1203" s="235"/>
      <c r="G1203" s="239"/>
      <c r="H1203" s="240"/>
      <c r="J1203" s="237"/>
      <c r="K1203" s="241"/>
      <c r="L1203" s="241"/>
      <c r="M1203" s="237"/>
      <c r="N1203" s="242"/>
      <c r="O1203" s="243"/>
      <c r="P1203" s="244"/>
      <c r="Q1203" s="245"/>
      <c r="R1203" s="246"/>
      <c r="S1203" s="244"/>
      <c r="T1203" s="247"/>
      <c r="U1203" s="247"/>
      <c r="V1203" s="244"/>
      <c r="W1203" s="244"/>
      <c r="X1203" s="97"/>
    </row>
    <row r="1204">
      <c r="A1204" s="205"/>
      <c r="B1204" s="235"/>
      <c r="C1204" s="236"/>
      <c r="D1204" s="237"/>
      <c r="E1204" s="235"/>
      <c r="F1204" s="235"/>
      <c r="G1204" s="239"/>
      <c r="H1204" s="240"/>
      <c r="J1204" s="237"/>
      <c r="K1204" s="241"/>
      <c r="L1204" s="241"/>
      <c r="M1204" s="237"/>
      <c r="N1204" s="242"/>
      <c r="O1204" s="243"/>
      <c r="P1204" s="244"/>
      <c r="Q1204" s="245"/>
      <c r="R1204" s="246"/>
      <c r="S1204" s="244"/>
      <c r="T1204" s="247"/>
      <c r="U1204" s="247"/>
      <c r="V1204" s="244"/>
      <c r="W1204" s="244"/>
      <c r="X1204" s="97"/>
    </row>
    <row r="1205">
      <c r="A1205" s="205"/>
      <c r="B1205" s="235"/>
      <c r="C1205" s="236"/>
      <c r="D1205" s="237"/>
      <c r="E1205" s="235"/>
      <c r="F1205" s="235"/>
      <c r="G1205" s="239"/>
      <c r="H1205" s="240"/>
      <c r="J1205" s="237"/>
      <c r="K1205" s="241"/>
      <c r="L1205" s="241"/>
      <c r="M1205" s="237"/>
      <c r="N1205" s="242"/>
      <c r="O1205" s="243"/>
      <c r="P1205" s="244"/>
      <c r="Q1205" s="245"/>
      <c r="R1205" s="246"/>
      <c r="S1205" s="244"/>
      <c r="T1205" s="247"/>
      <c r="U1205" s="247"/>
      <c r="V1205" s="244"/>
      <c r="W1205" s="244"/>
      <c r="X1205" s="97"/>
    </row>
    <row r="1206">
      <c r="A1206" s="205"/>
      <c r="B1206" s="235"/>
      <c r="C1206" s="236"/>
      <c r="D1206" s="237"/>
      <c r="E1206" s="235"/>
      <c r="F1206" s="235"/>
      <c r="G1206" s="239"/>
      <c r="H1206" s="240"/>
      <c r="J1206" s="237"/>
      <c r="K1206" s="241"/>
      <c r="L1206" s="241"/>
      <c r="M1206" s="237"/>
      <c r="N1206" s="242"/>
      <c r="O1206" s="243"/>
      <c r="P1206" s="244"/>
      <c r="Q1206" s="245"/>
      <c r="R1206" s="246"/>
      <c r="S1206" s="244"/>
      <c r="T1206" s="247"/>
      <c r="U1206" s="247"/>
      <c r="V1206" s="244"/>
      <c r="W1206" s="244"/>
      <c r="X1206" s="97"/>
    </row>
    <row r="1207">
      <c r="A1207" s="205"/>
      <c r="B1207" s="235"/>
      <c r="C1207" s="236"/>
      <c r="D1207" s="237"/>
      <c r="E1207" s="235"/>
      <c r="F1207" s="235"/>
      <c r="G1207" s="239"/>
      <c r="H1207" s="240"/>
      <c r="J1207" s="237"/>
      <c r="K1207" s="241"/>
      <c r="L1207" s="241"/>
      <c r="M1207" s="237"/>
      <c r="N1207" s="242"/>
      <c r="O1207" s="243"/>
      <c r="P1207" s="244"/>
      <c r="Q1207" s="245"/>
      <c r="R1207" s="246"/>
      <c r="S1207" s="244"/>
      <c r="T1207" s="247"/>
      <c r="U1207" s="247"/>
      <c r="V1207" s="244"/>
      <c r="W1207" s="244"/>
      <c r="X1207" s="97"/>
    </row>
    <row r="1208">
      <c r="A1208" s="205"/>
      <c r="B1208" s="235"/>
      <c r="C1208" s="236"/>
      <c r="D1208" s="237"/>
      <c r="E1208" s="235"/>
      <c r="F1208" s="235"/>
      <c r="G1208" s="239"/>
      <c r="H1208" s="240"/>
      <c r="J1208" s="237"/>
      <c r="K1208" s="241"/>
      <c r="L1208" s="241"/>
      <c r="M1208" s="237"/>
      <c r="N1208" s="242"/>
      <c r="O1208" s="243"/>
      <c r="P1208" s="244"/>
      <c r="Q1208" s="245"/>
      <c r="R1208" s="246"/>
      <c r="S1208" s="244"/>
      <c r="T1208" s="247"/>
      <c r="U1208" s="247"/>
      <c r="V1208" s="244"/>
      <c r="W1208" s="244"/>
      <c r="X1208" s="97"/>
    </row>
    <row r="1209">
      <c r="A1209" s="205"/>
      <c r="B1209" s="235"/>
      <c r="C1209" s="236"/>
      <c r="D1209" s="237"/>
      <c r="E1209" s="235"/>
      <c r="F1209" s="235"/>
      <c r="G1209" s="239"/>
      <c r="H1209" s="240"/>
      <c r="J1209" s="237"/>
      <c r="K1209" s="241"/>
      <c r="L1209" s="241"/>
      <c r="M1209" s="237"/>
      <c r="N1209" s="242"/>
      <c r="O1209" s="243"/>
      <c r="P1209" s="244"/>
      <c r="Q1209" s="245"/>
      <c r="R1209" s="246"/>
      <c r="S1209" s="244"/>
      <c r="T1209" s="247"/>
      <c r="U1209" s="247"/>
      <c r="V1209" s="244"/>
      <c r="W1209" s="244"/>
      <c r="X1209" s="97"/>
    </row>
    <row r="1210">
      <c r="A1210" s="205"/>
      <c r="B1210" s="235"/>
      <c r="C1210" s="236"/>
      <c r="D1210" s="237"/>
      <c r="E1210" s="235"/>
      <c r="F1210" s="235"/>
      <c r="G1210" s="239"/>
      <c r="H1210" s="240"/>
      <c r="J1210" s="237"/>
      <c r="K1210" s="241"/>
      <c r="L1210" s="241"/>
      <c r="M1210" s="237"/>
      <c r="N1210" s="242"/>
      <c r="O1210" s="243"/>
      <c r="P1210" s="244"/>
      <c r="Q1210" s="245"/>
      <c r="R1210" s="246"/>
      <c r="S1210" s="244"/>
      <c r="T1210" s="247"/>
      <c r="U1210" s="247"/>
      <c r="V1210" s="244"/>
      <c r="W1210" s="244"/>
      <c r="X1210" s="97"/>
    </row>
    <row r="1211">
      <c r="A1211" s="205"/>
      <c r="B1211" s="235"/>
      <c r="C1211" s="236"/>
      <c r="D1211" s="237"/>
      <c r="E1211" s="235"/>
      <c r="F1211" s="235"/>
      <c r="G1211" s="239"/>
      <c r="H1211" s="240"/>
      <c r="J1211" s="237"/>
      <c r="K1211" s="241"/>
      <c r="L1211" s="241"/>
      <c r="M1211" s="237"/>
      <c r="N1211" s="242"/>
      <c r="O1211" s="243"/>
      <c r="P1211" s="244"/>
      <c r="Q1211" s="245"/>
      <c r="R1211" s="246"/>
      <c r="S1211" s="244"/>
      <c r="T1211" s="247"/>
      <c r="U1211" s="247"/>
      <c r="V1211" s="244"/>
      <c r="W1211" s="244"/>
      <c r="X1211" s="97"/>
    </row>
    <row r="1212">
      <c r="A1212" s="205"/>
      <c r="B1212" s="235"/>
      <c r="C1212" s="236"/>
      <c r="D1212" s="237"/>
      <c r="E1212" s="235"/>
      <c r="F1212" s="235"/>
      <c r="G1212" s="239"/>
      <c r="H1212" s="240"/>
      <c r="J1212" s="237"/>
      <c r="K1212" s="241"/>
      <c r="L1212" s="241"/>
      <c r="M1212" s="237"/>
      <c r="N1212" s="242"/>
      <c r="O1212" s="243"/>
      <c r="P1212" s="244"/>
      <c r="Q1212" s="245"/>
      <c r="R1212" s="246"/>
      <c r="S1212" s="244"/>
      <c r="T1212" s="247"/>
      <c r="U1212" s="247"/>
      <c r="V1212" s="244"/>
      <c r="W1212" s="244"/>
      <c r="X1212" s="97"/>
    </row>
    <row r="1213">
      <c r="A1213" s="205"/>
      <c r="B1213" s="235"/>
      <c r="C1213" s="236"/>
      <c r="D1213" s="237"/>
      <c r="E1213" s="235"/>
      <c r="F1213" s="235"/>
      <c r="G1213" s="239"/>
      <c r="H1213" s="240"/>
      <c r="J1213" s="237"/>
      <c r="K1213" s="241"/>
      <c r="L1213" s="241"/>
      <c r="M1213" s="237"/>
      <c r="N1213" s="242"/>
      <c r="O1213" s="243"/>
      <c r="P1213" s="244"/>
      <c r="Q1213" s="245"/>
      <c r="R1213" s="246"/>
      <c r="S1213" s="244"/>
      <c r="T1213" s="247"/>
      <c r="U1213" s="247"/>
      <c r="V1213" s="244"/>
      <c r="W1213" s="244"/>
      <c r="X1213" s="97"/>
    </row>
    <row r="1214">
      <c r="A1214" s="205"/>
      <c r="B1214" s="235"/>
      <c r="C1214" s="236"/>
      <c r="D1214" s="237"/>
      <c r="E1214" s="235"/>
      <c r="F1214" s="235"/>
      <c r="G1214" s="239"/>
      <c r="H1214" s="240"/>
      <c r="J1214" s="237"/>
      <c r="K1214" s="241"/>
      <c r="L1214" s="241"/>
      <c r="M1214" s="237"/>
      <c r="N1214" s="242"/>
      <c r="O1214" s="243"/>
      <c r="P1214" s="244"/>
      <c r="Q1214" s="245"/>
      <c r="R1214" s="246"/>
      <c r="S1214" s="244"/>
      <c r="T1214" s="247"/>
      <c r="U1214" s="247"/>
      <c r="V1214" s="244"/>
      <c r="W1214" s="244"/>
      <c r="X1214" s="97"/>
    </row>
    <row r="1215">
      <c r="A1215" s="205"/>
      <c r="B1215" s="235"/>
      <c r="C1215" s="236"/>
      <c r="D1215" s="237"/>
      <c r="E1215" s="235"/>
      <c r="F1215" s="235"/>
      <c r="G1215" s="239"/>
      <c r="H1215" s="240"/>
      <c r="J1215" s="237"/>
      <c r="K1215" s="241"/>
      <c r="L1215" s="241"/>
      <c r="M1215" s="237"/>
      <c r="N1215" s="242"/>
      <c r="O1215" s="243"/>
      <c r="P1215" s="244"/>
      <c r="Q1215" s="245"/>
      <c r="R1215" s="246"/>
      <c r="S1215" s="244"/>
      <c r="T1215" s="247"/>
      <c r="U1215" s="247"/>
      <c r="V1215" s="244"/>
      <c r="W1215" s="244"/>
      <c r="X1215" s="97"/>
    </row>
    <row r="1216">
      <c r="A1216" s="205"/>
      <c r="B1216" s="235"/>
      <c r="C1216" s="236"/>
      <c r="D1216" s="237"/>
      <c r="E1216" s="235"/>
      <c r="F1216" s="235"/>
      <c r="G1216" s="239"/>
      <c r="H1216" s="240"/>
      <c r="J1216" s="237"/>
      <c r="K1216" s="241"/>
      <c r="L1216" s="241"/>
      <c r="M1216" s="237"/>
      <c r="N1216" s="242"/>
      <c r="O1216" s="243"/>
      <c r="P1216" s="244"/>
      <c r="Q1216" s="245"/>
      <c r="R1216" s="246"/>
      <c r="S1216" s="244"/>
      <c r="T1216" s="247"/>
      <c r="U1216" s="247"/>
      <c r="V1216" s="244"/>
      <c r="W1216" s="244"/>
      <c r="X1216" s="97"/>
    </row>
    <row r="1217">
      <c r="A1217" s="205"/>
      <c r="B1217" s="235"/>
      <c r="C1217" s="236"/>
      <c r="D1217" s="237"/>
      <c r="E1217" s="235"/>
      <c r="F1217" s="235"/>
      <c r="G1217" s="239"/>
      <c r="H1217" s="240"/>
      <c r="J1217" s="237"/>
      <c r="K1217" s="241"/>
      <c r="L1217" s="241"/>
      <c r="M1217" s="237"/>
      <c r="N1217" s="242"/>
      <c r="O1217" s="243"/>
      <c r="P1217" s="244"/>
      <c r="Q1217" s="245"/>
      <c r="R1217" s="246"/>
      <c r="S1217" s="244"/>
      <c r="T1217" s="247"/>
      <c r="U1217" s="247"/>
      <c r="V1217" s="244"/>
      <c r="W1217" s="244"/>
      <c r="X1217" s="97"/>
    </row>
    <row r="1218">
      <c r="A1218" s="205"/>
      <c r="B1218" s="235"/>
      <c r="C1218" s="236"/>
      <c r="D1218" s="237"/>
      <c r="E1218" s="235"/>
      <c r="F1218" s="235"/>
      <c r="G1218" s="239"/>
      <c r="H1218" s="240"/>
      <c r="J1218" s="237"/>
      <c r="K1218" s="241"/>
      <c r="L1218" s="241"/>
      <c r="M1218" s="237"/>
      <c r="N1218" s="242"/>
      <c r="O1218" s="243"/>
      <c r="P1218" s="244"/>
      <c r="Q1218" s="245"/>
      <c r="R1218" s="246"/>
      <c r="S1218" s="244"/>
      <c r="T1218" s="247"/>
      <c r="U1218" s="247"/>
      <c r="V1218" s="244"/>
      <c r="W1218" s="244"/>
      <c r="X1218" s="97"/>
    </row>
    <row r="1219">
      <c r="A1219" s="205"/>
      <c r="B1219" s="235"/>
      <c r="C1219" s="236"/>
      <c r="D1219" s="237"/>
      <c r="E1219" s="235"/>
      <c r="F1219" s="235"/>
      <c r="G1219" s="239"/>
      <c r="H1219" s="240"/>
      <c r="J1219" s="237"/>
      <c r="K1219" s="241"/>
      <c r="L1219" s="241"/>
      <c r="M1219" s="237"/>
      <c r="N1219" s="242"/>
      <c r="O1219" s="243"/>
      <c r="P1219" s="244"/>
      <c r="Q1219" s="245"/>
      <c r="R1219" s="246"/>
      <c r="S1219" s="244"/>
      <c r="T1219" s="247"/>
      <c r="U1219" s="247"/>
      <c r="V1219" s="244"/>
      <c r="W1219" s="244"/>
      <c r="X1219" s="97"/>
    </row>
    <row r="1220">
      <c r="A1220" s="205"/>
      <c r="B1220" s="235"/>
      <c r="C1220" s="236"/>
      <c r="D1220" s="237"/>
      <c r="E1220" s="235"/>
      <c r="F1220" s="235"/>
      <c r="G1220" s="239"/>
      <c r="H1220" s="240"/>
      <c r="J1220" s="237"/>
      <c r="K1220" s="241"/>
      <c r="L1220" s="241"/>
      <c r="M1220" s="237"/>
      <c r="N1220" s="242"/>
      <c r="O1220" s="243"/>
      <c r="P1220" s="244"/>
      <c r="Q1220" s="245"/>
      <c r="R1220" s="246"/>
      <c r="S1220" s="244"/>
      <c r="T1220" s="247"/>
      <c r="U1220" s="247"/>
      <c r="V1220" s="244"/>
      <c r="W1220" s="244"/>
      <c r="X1220" s="97"/>
    </row>
    <row r="1221">
      <c r="A1221" s="205"/>
      <c r="B1221" s="235"/>
      <c r="C1221" s="236"/>
      <c r="D1221" s="237"/>
      <c r="E1221" s="235"/>
      <c r="F1221" s="235"/>
      <c r="G1221" s="239"/>
      <c r="H1221" s="240"/>
      <c r="J1221" s="237"/>
      <c r="K1221" s="241"/>
      <c r="L1221" s="241"/>
      <c r="M1221" s="237"/>
      <c r="N1221" s="242"/>
      <c r="O1221" s="243"/>
      <c r="P1221" s="244"/>
      <c r="Q1221" s="245"/>
      <c r="R1221" s="246"/>
      <c r="S1221" s="244"/>
      <c r="T1221" s="247"/>
      <c r="U1221" s="247"/>
      <c r="V1221" s="244"/>
      <c r="W1221" s="244"/>
      <c r="X1221" s="97"/>
    </row>
    <row r="1222">
      <c r="A1222" s="205"/>
      <c r="B1222" s="235"/>
      <c r="C1222" s="236"/>
      <c r="D1222" s="237"/>
      <c r="E1222" s="235"/>
      <c r="F1222" s="235"/>
      <c r="G1222" s="239"/>
      <c r="H1222" s="240"/>
      <c r="J1222" s="237"/>
      <c r="K1222" s="241"/>
      <c r="L1222" s="241"/>
      <c r="M1222" s="237"/>
      <c r="N1222" s="242"/>
      <c r="O1222" s="243"/>
      <c r="P1222" s="244"/>
      <c r="Q1222" s="245"/>
      <c r="R1222" s="246"/>
      <c r="S1222" s="244"/>
      <c r="T1222" s="247"/>
      <c r="U1222" s="247"/>
      <c r="V1222" s="244"/>
      <c r="W1222" s="244"/>
      <c r="X1222" s="97"/>
    </row>
    <row r="1223">
      <c r="A1223" s="205"/>
      <c r="B1223" s="235"/>
      <c r="C1223" s="236"/>
      <c r="D1223" s="237"/>
      <c r="E1223" s="235"/>
      <c r="F1223" s="235"/>
      <c r="G1223" s="239"/>
      <c r="H1223" s="240"/>
      <c r="J1223" s="237"/>
      <c r="K1223" s="241"/>
      <c r="L1223" s="241"/>
      <c r="M1223" s="237"/>
      <c r="N1223" s="242"/>
      <c r="O1223" s="243"/>
      <c r="P1223" s="244"/>
      <c r="Q1223" s="245"/>
      <c r="R1223" s="246"/>
      <c r="S1223" s="244"/>
      <c r="T1223" s="247"/>
      <c r="U1223" s="247"/>
      <c r="V1223" s="244"/>
      <c r="W1223" s="244"/>
      <c r="X1223" s="97"/>
    </row>
    <row r="1224">
      <c r="A1224" s="205"/>
      <c r="B1224" s="235"/>
      <c r="C1224" s="236"/>
      <c r="D1224" s="237"/>
      <c r="E1224" s="235"/>
      <c r="F1224" s="235"/>
      <c r="G1224" s="239"/>
      <c r="H1224" s="240"/>
      <c r="J1224" s="237"/>
      <c r="K1224" s="241"/>
      <c r="L1224" s="241"/>
      <c r="M1224" s="237"/>
      <c r="N1224" s="242"/>
      <c r="O1224" s="243"/>
      <c r="P1224" s="244"/>
      <c r="Q1224" s="245"/>
      <c r="R1224" s="246"/>
      <c r="S1224" s="244"/>
      <c r="T1224" s="247"/>
      <c r="U1224" s="247"/>
      <c r="V1224" s="244"/>
      <c r="W1224" s="244"/>
      <c r="X1224" s="97"/>
    </row>
    <row r="1225">
      <c r="A1225" s="205"/>
      <c r="B1225" s="235"/>
      <c r="C1225" s="236"/>
      <c r="D1225" s="237"/>
      <c r="E1225" s="235"/>
      <c r="F1225" s="235"/>
      <c r="G1225" s="239"/>
      <c r="H1225" s="240"/>
      <c r="J1225" s="237"/>
      <c r="K1225" s="241"/>
      <c r="L1225" s="241"/>
      <c r="M1225" s="237"/>
      <c r="N1225" s="242"/>
      <c r="O1225" s="243"/>
      <c r="P1225" s="244"/>
      <c r="Q1225" s="245"/>
      <c r="R1225" s="246"/>
      <c r="S1225" s="244"/>
      <c r="T1225" s="247"/>
      <c r="U1225" s="247"/>
      <c r="V1225" s="244"/>
      <c r="W1225" s="244"/>
      <c r="X1225" s="97"/>
    </row>
    <row r="1226">
      <c r="A1226" s="205"/>
      <c r="B1226" s="235"/>
      <c r="C1226" s="236"/>
      <c r="D1226" s="237"/>
      <c r="E1226" s="235"/>
      <c r="F1226" s="235"/>
      <c r="G1226" s="239"/>
      <c r="H1226" s="240"/>
      <c r="J1226" s="237"/>
      <c r="K1226" s="241"/>
      <c r="L1226" s="241"/>
      <c r="M1226" s="237"/>
      <c r="N1226" s="242"/>
      <c r="O1226" s="243"/>
      <c r="P1226" s="244"/>
      <c r="Q1226" s="245"/>
      <c r="R1226" s="246"/>
      <c r="S1226" s="244"/>
      <c r="T1226" s="247"/>
      <c r="U1226" s="247"/>
      <c r="V1226" s="244"/>
      <c r="W1226" s="244"/>
      <c r="X1226" s="97"/>
    </row>
    <row r="1227">
      <c r="A1227" s="205"/>
      <c r="B1227" s="235"/>
      <c r="C1227" s="236"/>
      <c r="D1227" s="237"/>
      <c r="E1227" s="235"/>
      <c r="F1227" s="235"/>
      <c r="G1227" s="239"/>
      <c r="H1227" s="240"/>
      <c r="J1227" s="237"/>
      <c r="K1227" s="241"/>
      <c r="L1227" s="241"/>
      <c r="M1227" s="237"/>
      <c r="N1227" s="242"/>
      <c r="O1227" s="243"/>
      <c r="P1227" s="244"/>
      <c r="Q1227" s="245"/>
      <c r="R1227" s="246"/>
      <c r="S1227" s="244"/>
      <c r="T1227" s="247"/>
      <c r="U1227" s="247"/>
      <c r="V1227" s="244"/>
      <c r="W1227" s="244"/>
      <c r="X1227" s="97"/>
    </row>
    <row r="1228">
      <c r="A1228" s="205"/>
      <c r="B1228" s="235"/>
      <c r="C1228" s="236"/>
      <c r="D1228" s="237"/>
      <c r="E1228" s="235"/>
      <c r="F1228" s="235"/>
      <c r="G1228" s="239"/>
      <c r="H1228" s="240"/>
      <c r="J1228" s="237"/>
      <c r="K1228" s="241"/>
      <c r="L1228" s="241"/>
      <c r="M1228" s="237"/>
      <c r="N1228" s="242"/>
      <c r="O1228" s="243"/>
      <c r="P1228" s="244"/>
      <c r="Q1228" s="245"/>
      <c r="R1228" s="246"/>
      <c r="S1228" s="244"/>
      <c r="T1228" s="247"/>
      <c r="U1228" s="247"/>
      <c r="V1228" s="244"/>
      <c r="W1228" s="244"/>
      <c r="X1228" s="97"/>
    </row>
    <row r="1229">
      <c r="A1229" s="205"/>
      <c r="B1229" s="235"/>
      <c r="C1229" s="236"/>
      <c r="D1229" s="237"/>
      <c r="E1229" s="235"/>
      <c r="F1229" s="235"/>
      <c r="G1229" s="239"/>
      <c r="H1229" s="240"/>
      <c r="J1229" s="237"/>
      <c r="K1229" s="241"/>
      <c r="L1229" s="241"/>
      <c r="M1229" s="237"/>
      <c r="N1229" s="242"/>
      <c r="O1229" s="243"/>
      <c r="P1229" s="244"/>
      <c r="Q1229" s="245"/>
      <c r="R1229" s="246"/>
      <c r="S1229" s="244"/>
      <c r="T1229" s="247"/>
      <c r="U1229" s="247"/>
      <c r="V1229" s="244"/>
      <c r="W1229" s="244"/>
      <c r="X1229" s="97"/>
    </row>
    <row r="1230">
      <c r="A1230" s="205"/>
      <c r="B1230" s="235"/>
      <c r="C1230" s="236"/>
      <c r="D1230" s="237"/>
      <c r="E1230" s="235"/>
      <c r="F1230" s="235"/>
      <c r="G1230" s="239"/>
      <c r="H1230" s="240"/>
      <c r="J1230" s="237"/>
      <c r="K1230" s="241"/>
      <c r="L1230" s="241"/>
      <c r="M1230" s="237"/>
      <c r="N1230" s="242"/>
      <c r="O1230" s="243"/>
      <c r="P1230" s="244"/>
      <c r="Q1230" s="245"/>
      <c r="R1230" s="246"/>
      <c r="S1230" s="244"/>
      <c r="T1230" s="247"/>
      <c r="U1230" s="247"/>
      <c r="V1230" s="244"/>
      <c r="W1230" s="244"/>
      <c r="X1230" s="97"/>
    </row>
    <row r="1231">
      <c r="A1231" s="205"/>
      <c r="B1231" s="235"/>
      <c r="C1231" s="236"/>
      <c r="D1231" s="237"/>
      <c r="E1231" s="235"/>
      <c r="F1231" s="235"/>
      <c r="G1231" s="239"/>
      <c r="H1231" s="240"/>
      <c r="J1231" s="237"/>
      <c r="K1231" s="241"/>
      <c r="L1231" s="241"/>
      <c r="M1231" s="237"/>
      <c r="N1231" s="242"/>
      <c r="O1231" s="243"/>
      <c r="P1231" s="244"/>
      <c r="Q1231" s="245"/>
      <c r="R1231" s="246"/>
      <c r="S1231" s="244"/>
      <c r="T1231" s="247"/>
      <c r="U1231" s="247"/>
      <c r="V1231" s="244"/>
      <c r="W1231" s="244"/>
      <c r="X1231" s="97"/>
    </row>
    <row r="1232">
      <c r="A1232" s="205"/>
      <c r="B1232" s="235"/>
      <c r="C1232" s="236"/>
      <c r="D1232" s="237"/>
      <c r="E1232" s="235"/>
      <c r="F1232" s="235"/>
      <c r="G1232" s="239"/>
      <c r="H1232" s="240"/>
      <c r="J1232" s="237"/>
      <c r="K1232" s="241"/>
      <c r="L1232" s="241"/>
      <c r="M1232" s="237"/>
      <c r="N1232" s="242"/>
      <c r="O1232" s="243"/>
      <c r="P1232" s="244"/>
      <c r="Q1232" s="245"/>
      <c r="R1232" s="246"/>
      <c r="S1232" s="244"/>
      <c r="T1232" s="247"/>
      <c r="U1232" s="247"/>
      <c r="V1232" s="244"/>
      <c r="W1232" s="244"/>
      <c r="X1232" s="97"/>
    </row>
    <row r="1233">
      <c r="A1233" s="205"/>
      <c r="B1233" s="235"/>
      <c r="C1233" s="236"/>
      <c r="D1233" s="237"/>
      <c r="E1233" s="235"/>
      <c r="F1233" s="235"/>
      <c r="G1233" s="239"/>
      <c r="H1233" s="240"/>
      <c r="J1233" s="237"/>
      <c r="K1233" s="241"/>
      <c r="L1233" s="241"/>
      <c r="M1233" s="237"/>
      <c r="N1233" s="242"/>
      <c r="O1233" s="243"/>
      <c r="P1233" s="244"/>
      <c r="Q1233" s="245"/>
      <c r="R1233" s="246"/>
      <c r="S1233" s="244"/>
      <c r="T1233" s="247"/>
      <c r="U1233" s="247"/>
      <c r="V1233" s="244"/>
      <c r="W1233" s="244"/>
      <c r="X1233" s="97"/>
    </row>
    <row r="1234">
      <c r="A1234" s="205"/>
      <c r="B1234" s="235"/>
      <c r="C1234" s="236"/>
      <c r="D1234" s="237"/>
      <c r="E1234" s="235"/>
      <c r="F1234" s="235"/>
      <c r="G1234" s="239"/>
      <c r="H1234" s="240"/>
      <c r="J1234" s="237"/>
      <c r="K1234" s="241"/>
      <c r="L1234" s="241"/>
      <c r="M1234" s="237"/>
      <c r="N1234" s="242"/>
      <c r="O1234" s="243"/>
      <c r="P1234" s="244"/>
      <c r="Q1234" s="245"/>
      <c r="R1234" s="246"/>
      <c r="S1234" s="244"/>
      <c r="T1234" s="247"/>
      <c r="U1234" s="247"/>
      <c r="V1234" s="244"/>
      <c r="W1234" s="244"/>
      <c r="X1234" s="97"/>
    </row>
    <row r="1235">
      <c r="A1235" s="205"/>
      <c r="B1235" s="235"/>
      <c r="C1235" s="236"/>
      <c r="D1235" s="237"/>
      <c r="E1235" s="235"/>
      <c r="F1235" s="235"/>
      <c r="G1235" s="239"/>
      <c r="H1235" s="240"/>
      <c r="J1235" s="237"/>
      <c r="K1235" s="241"/>
      <c r="L1235" s="241"/>
      <c r="M1235" s="237"/>
      <c r="N1235" s="242"/>
      <c r="O1235" s="243"/>
      <c r="P1235" s="244"/>
      <c r="Q1235" s="245"/>
      <c r="R1235" s="246"/>
      <c r="S1235" s="244"/>
      <c r="T1235" s="247"/>
      <c r="U1235" s="247"/>
      <c r="V1235" s="244"/>
      <c r="W1235" s="244"/>
      <c r="X1235" s="97"/>
    </row>
    <row r="1236">
      <c r="A1236" s="205"/>
      <c r="B1236" s="235"/>
      <c r="C1236" s="236"/>
      <c r="D1236" s="237"/>
      <c r="E1236" s="235"/>
      <c r="F1236" s="235"/>
      <c r="G1236" s="239"/>
      <c r="H1236" s="240"/>
      <c r="J1236" s="237"/>
      <c r="K1236" s="241"/>
      <c r="L1236" s="241"/>
      <c r="M1236" s="237"/>
      <c r="N1236" s="242"/>
      <c r="O1236" s="243"/>
      <c r="P1236" s="244"/>
      <c r="Q1236" s="245"/>
      <c r="R1236" s="246"/>
      <c r="S1236" s="244"/>
      <c r="T1236" s="247"/>
      <c r="U1236" s="247"/>
      <c r="V1236" s="244"/>
      <c r="W1236" s="244"/>
      <c r="X1236" s="97"/>
    </row>
    <row r="1237">
      <c r="A1237" s="205"/>
      <c r="B1237" s="235"/>
      <c r="C1237" s="236"/>
      <c r="D1237" s="237"/>
      <c r="E1237" s="235"/>
      <c r="F1237" s="235"/>
      <c r="G1237" s="239"/>
      <c r="H1237" s="240"/>
      <c r="J1237" s="237"/>
      <c r="K1237" s="241"/>
      <c r="L1237" s="241"/>
      <c r="M1237" s="237"/>
      <c r="N1237" s="242"/>
      <c r="O1237" s="243"/>
      <c r="P1237" s="244"/>
      <c r="Q1237" s="245"/>
      <c r="R1237" s="246"/>
      <c r="S1237" s="244"/>
      <c r="T1237" s="247"/>
      <c r="U1237" s="247"/>
      <c r="V1237" s="244"/>
      <c r="W1237" s="244"/>
      <c r="X1237" s="97"/>
    </row>
    <row r="1238">
      <c r="A1238" s="205"/>
      <c r="B1238" s="235"/>
      <c r="C1238" s="236"/>
      <c r="D1238" s="237"/>
      <c r="E1238" s="235"/>
      <c r="F1238" s="235"/>
      <c r="G1238" s="239"/>
      <c r="H1238" s="240"/>
      <c r="J1238" s="237"/>
      <c r="K1238" s="241"/>
      <c r="L1238" s="241"/>
      <c r="M1238" s="237"/>
      <c r="N1238" s="242"/>
      <c r="O1238" s="243"/>
      <c r="P1238" s="244"/>
      <c r="Q1238" s="245"/>
      <c r="R1238" s="246"/>
      <c r="S1238" s="244"/>
      <c r="T1238" s="247"/>
      <c r="U1238" s="247"/>
      <c r="V1238" s="244"/>
      <c r="W1238" s="244"/>
      <c r="X1238" s="97"/>
    </row>
    <row r="1239">
      <c r="A1239" s="205"/>
      <c r="B1239" s="235"/>
      <c r="C1239" s="236"/>
      <c r="D1239" s="237"/>
      <c r="E1239" s="235"/>
      <c r="F1239" s="235"/>
      <c r="G1239" s="239"/>
      <c r="H1239" s="240"/>
      <c r="J1239" s="237"/>
      <c r="K1239" s="241"/>
      <c r="L1239" s="241"/>
      <c r="M1239" s="237"/>
      <c r="N1239" s="242"/>
      <c r="O1239" s="243"/>
      <c r="P1239" s="244"/>
      <c r="Q1239" s="245"/>
      <c r="R1239" s="246"/>
      <c r="S1239" s="244"/>
      <c r="T1239" s="247"/>
      <c r="U1239" s="247"/>
      <c r="V1239" s="244"/>
      <c r="W1239" s="244"/>
      <c r="X1239" s="97"/>
    </row>
    <row r="1240">
      <c r="A1240" s="205"/>
      <c r="B1240" s="235"/>
      <c r="C1240" s="236"/>
      <c r="D1240" s="237"/>
      <c r="E1240" s="235"/>
      <c r="F1240" s="235"/>
      <c r="G1240" s="239"/>
      <c r="H1240" s="240"/>
      <c r="J1240" s="237"/>
      <c r="K1240" s="241"/>
      <c r="L1240" s="241"/>
      <c r="M1240" s="237"/>
      <c r="N1240" s="242"/>
      <c r="O1240" s="243"/>
      <c r="P1240" s="244"/>
      <c r="Q1240" s="245"/>
      <c r="R1240" s="246"/>
      <c r="S1240" s="244"/>
      <c r="T1240" s="247"/>
      <c r="U1240" s="247"/>
      <c r="V1240" s="244"/>
      <c r="W1240" s="244"/>
      <c r="X1240" s="97"/>
    </row>
    <row r="1241">
      <c r="A1241" s="205"/>
      <c r="B1241" s="235"/>
      <c r="C1241" s="236"/>
      <c r="D1241" s="237"/>
      <c r="E1241" s="235"/>
      <c r="F1241" s="235"/>
      <c r="G1241" s="239"/>
      <c r="H1241" s="240"/>
      <c r="J1241" s="237"/>
      <c r="K1241" s="241"/>
      <c r="L1241" s="241"/>
      <c r="M1241" s="237"/>
      <c r="N1241" s="242"/>
      <c r="O1241" s="243"/>
      <c r="P1241" s="244"/>
      <c r="Q1241" s="245"/>
      <c r="R1241" s="246"/>
      <c r="S1241" s="244"/>
      <c r="T1241" s="247"/>
      <c r="U1241" s="247"/>
      <c r="V1241" s="244"/>
      <c r="W1241" s="244"/>
      <c r="X1241" s="97"/>
    </row>
    <row r="1242">
      <c r="A1242" s="205"/>
      <c r="B1242" s="235"/>
      <c r="C1242" s="236"/>
      <c r="D1242" s="237"/>
      <c r="E1242" s="235"/>
      <c r="F1242" s="235"/>
      <c r="G1242" s="239"/>
      <c r="H1242" s="240"/>
      <c r="J1242" s="237"/>
      <c r="K1242" s="241"/>
      <c r="L1242" s="241"/>
      <c r="M1242" s="237"/>
      <c r="N1242" s="242"/>
      <c r="O1242" s="243"/>
      <c r="P1242" s="244"/>
      <c r="Q1242" s="245"/>
      <c r="R1242" s="246"/>
      <c r="S1242" s="244"/>
      <c r="T1242" s="247"/>
      <c r="U1242" s="247"/>
      <c r="V1242" s="244"/>
      <c r="W1242" s="244"/>
      <c r="X1242" s="97"/>
    </row>
    <row r="1243">
      <c r="A1243" s="205"/>
      <c r="B1243" s="235"/>
      <c r="C1243" s="236"/>
      <c r="D1243" s="237"/>
      <c r="E1243" s="235"/>
      <c r="F1243" s="235"/>
      <c r="G1243" s="239"/>
      <c r="H1243" s="240"/>
      <c r="J1243" s="237"/>
      <c r="K1243" s="241"/>
      <c r="L1243" s="241"/>
      <c r="M1243" s="237"/>
      <c r="N1243" s="242"/>
      <c r="O1243" s="243"/>
      <c r="P1243" s="244"/>
      <c r="Q1243" s="245"/>
      <c r="R1243" s="246"/>
      <c r="S1243" s="244"/>
      <c r="T1243" s="247"/>
      <c r="U1243" s="247"/>
      <c r="V1243" s="244"/>
      <c r="W1243" s="244"/>
      <c r="X1243" s="97"/>
    </row>
    <row r="1244">
      <c r="A1244" s="205"/>
      <c r="B1244" s="235"/>
      <c r="C1244" s="236"/>
      <c r="D1244" s="237"/>
      <c r="E1244" s="235"/>
      <c r="F1244" s="235"/>
      <c r="G1244" s="239"/>
      <c r="H1244" s="240"/>
      <c r="J1244" s="237"/>
      <c r="K1244" s="241"/>
      <c r="L1244" s="241"/>
      <c r="M1244" s="237"/>
      <c r="N1244" s="242"/>
      <c r="O1244" s="243"/>
      <c r="P1244" s="244"/>
      <c r="Q1244" s="245"/>
      <c r="R1244" s="246"/>
      <c r="S1244" s="244"/>
      <c r="T1244" s="247"/>
      <c r="U1244" s="247"/>
      <c r="V1244" s="244"/>
      <c r="W1244" s="244"/>
      <c r="X1244" s="97"/>
    </row>
    <row r="1245">
      <c r="A1245" s="205"/>
      <c r="B1245" s="235"/>
      <c r="C1245" s="236"/>
      <c r="D1245" s="237"/>
      <c r="E1245" s="235"/>
      <c r="F1245" s="235"/>
      <c r="G1245" s="239"/>
      <c r="H1245" s="240"/>
      <c r="J1245" s="237"/>
      <c r="K1245" s="241"/>
      <c r="L1245" s="241"/>
      <c r="M1245" s="237"/>
      <c r="N1245" s="242"/>
      <c r="O1245" s="243"/>
      <c r="P1245" s="244"/>
      <c r="Q1245" s="245"/>
      <c r="R1245" s="246"/>
      <c r="S1245" s="244"/>
      <c r="T1245" s="247"/>
      <c r="U1245" s="247"/>
      <c r="V1245" s="244"/>
      <c r="W1245" s="244"/>
      <c r="X1245" s="97"/>
    </row>
    <row r="1246">
      <c r="A1246" s="205"/>
      <c r="B1246" s="235"/>
      <c r="C1246" s="236"/>
      <c r="D1246" s="237"/>
      <c r="E1246" s="235"/>
      <c r="F1246" s="235"/>
      <c r="G1246" s="239"/>
      <c r="H1246" s="240"/>
      <c r="J1246" s="237"/>
      <c r="K1246" s="241"/>
      <c r="L1246" s="241"/>
      <c r="M1246" s="237"/>
      <c r="N1246" s="242"/>
      <c r="O1246" s="243"/>
      <c r="P1246" s="244"/>
      <c r="Q1246" s="245"/>
      <c r="R1246" s="246"/>
      <c r="S1246" s="244"/>
      <c r="T1246" s="247"/>
      <c r="U1246" s="247"/>
      <c r="V1246" s="244"/>
      <c r="W1246" s="244"/>
      <c r="X1246" s="97"/>
    </row>
    <row r="1247">
      <c r="A1247" s="205"/>
      <c r="B1247" s="235"/>
      <c r="C1247" s="236"/>
      <c r="D1247" s="237"/>
      <c r="E1247" s="235"/>
      <c r="F1247" s="235"/>
      <c r="G1247" s="239"/>
      <c r="H1247" s="240"/>
      <c r="J1247" s="237"/>
      <c r="K1247" s="241"/>
      <c r="L1247" s="241"/>
      <c r="M1247" s="237"/>
      <c r="N1247" s="242"/>
      <c r="O1247" s="243"/>
      <c r="P1247" s="244"/>
      <c r="Q1247" s="245"/>
      <c r="R1247" s="246"/>
      <c r="S1247" s="244"/>
      <c r="T1247" s="247"/>
      <c r="U1247" s="247"/>
      <c r="V1247" s="244"/>
      <c r="W1247" s="244"/>
      <c r="X1247" s="97"/>
    </row>
    <row r="1248">
      <c r="A1248" s="205"/>
      <c r="B1248" s="235"/>
      <c r="C1248" s="236"/>
      <c r="D1248" s="237"/>
      <c r="E1248" s="235"/>
      <c r="F1248" s="235"/>
      <c r="G1248" s="239"/>
      <c r="H1248" s="240"/>
      <c r="J1248" s="237"/>
      <c r="K1248" s="241"/>
      <c r="L1248" s="241"/>
      <c r="M1248" s="237"/>
      <c r="N1248" s="242"/>
      <c r="O1248" s="243"/>
      <c r="P1248" s="244"/>
      <c r="Q1248" s="245"/>
      <c r="R1248" s="246"/>
      <c r="S1248" s="244"/>
      <c r="T1248" s="247"/>
      <c r="U1248" s="247"/>
      <c r="V1248" s="244"/>
      <c r="W1248" s="244"/>
      <c r="X1248" s="97"/>
    </row>
    <row r="1249">
      <c r="A1249" s="205"/>
      <c r="B1249" s="235"/>
      <c r="C1249" s="236"/>
      <c r="D1249" s="237"/>
      <c r="E1249" s="235"/>
      <c r="F1249" s="235"/>
      <c r="G1249" s="239"/>
      <c r="H1249" s="240"/>
      <c r="J1249" s="237"/>
      <c r="K1249" s="241"/>
      <c r="L1249" s="241"/>
      <c r="M1249" s="237"/>
      <c r="N1249" s="242"/>
      <c r="O1249" s="243"/>
      <c r="P1249" s="244"/>
      <c r="Q1249" s="245"/>
      <c r="R1249" s="246"/>
      <c r="S1249" s="244"/>
      <c r="T1249" s="247"/>
      <c r="U1249" s="247"/>
      <c r="V1249" s="244"/>
      <c r="W1249" s="244"/>
      <c r="X1249" s="97"/>
    </row>
    <row r="1250">
      <c r="A1250" s="205"/>
      <c r="B1250" s="235"/>
      <c r="C1250" s="236"/>
      <c r="D1250" s="237"/>
      <c r="E1250" s="235"/>
      <c r="F1250" s="235"/>
      <c r="G1250" s="239"/>
      <c r="H1250" s="240"/>
      <c r="J1250" s="237"/>
      <c r="K1250" s="241"/>
      <c r="L1250" s="241"/>
      <c r="M1250" s="237"/>
      <c r="N1250" s="242"/>
      <c r="O1250" s="243"/>
      <c r="P1250" s="244"/>
      <c r="Q1250" s="245"/>
      <c r="R1250" s="246"/>
      <c r="S1250" s="244"/>
      <c r="T1250" s="247"/>
      <c r="U1250" s="247"/>
      <c r="V1250" s="244"/>
      <c r="W1250" s="244"/>
      <c r="X1250" s="97"/>
    </row>
    <row r="1251">
      <c r="A1251" s="205"/>
      <c r="B1251" s="235"/>
      <c r="C1251" s="236"/>
      <c r="D1251" s="237"/>
      <c r="E1251" s="235"/>
      <c r="F1251" s="235"/>
      <c r="G1251" s="239"/>
      <c r="H1251" s="240"/>
      <c r="J1251" s="237"/>
      <c r="K1251" s="241"/>
      <c r="L1251" s="241"/>
      <c r="M1251" s="237"/>
      <c r="N1251" s="242"/>
      <c r="O1251" s="243"/>
      <c r="P1251" s="244"/>
      <c r="Q1251" s="245"/>
      <c r="R1251" s="246"/>
      <c r="S1251" s="244"/>
      <c r="T1251" s="247"/>
      <c r="U1251" s="247"/>
      <c r="V1251" s="244"/>
      <c r="W1251" s="244"/>
      <c r="X1251" s="97"/>
    </row>
    <row r="1252">
      <c r="A1252" s="205"/>
      <c r="B1252" s="235"/>
      <c r="C1252" s="236"/>
      <c r="D1252" s="237"/>
      <c r="E1252" s="235"/>
      <c r="F1252" s="235"/>
      <c r="G1252" s="239"/>
      <c r="H1252" s="240"/>
      <c r="J1252" s="237"/>
      <c r="K1252" s="241"/>
      <c r="L1252" s="241"/>
      <c r="M1252" s="237"/>
      <c r="N1252" s="242"/>
      <c r="O1252" s="243"/>
      <c r="P1252" s="244"/>
      <c r="Q1252" s="245"/>
      <c r="R1252" s="246"/>
      <c r="S1252" s="244"/>
      <c r="T1252" s="247"/>
      <c r="U1252" s="247"/>
      <c r="V1252" s="244"/>
      <c r="W1252" s="244"/>
      <c r="X1252" s="97"/>
    </row>
    <row r="1253">
      <c r="A1253" s="205"/>
      <c r="B1253" s="235"/>
      <c r="C1253" s="236"/>
      <c r="D1253" s="237"/>
      <c r="E1253" s="235"/>
      <c r="F1253" s="235"/>
      <c r="G1253" s="239"/>
      <c r="H1253" s="240"/>
      <c r="J1253" s="237"/>
      <c r="K1253" s="241"/>
      <c r="L1253" s="241"/>
      <c r="M1253" s="237"/>
      <c r="N1253" s="242"/>
      <c r="O1253" s="243"/>
      <c r="P1253" s="244"/>
      <c r="Q1253" s="245"/>
      <c r="R1253" s="246"/>
      <c r="S1253" s="244"/>
      <c r="T1253" s="247"/>
      <c r="U1253" s="247"/>
      <c r="V1253" s="244"/>
      <c r="W1253" s="244"/>
      <c r="X1253" s="97"/>
    </row>
    <row r="1254">
      <c r="A1254" s="205"/>
      <c r="B1254" s="235"/>
      <c r="C1254" s="236"/>
      <c r="D1254" s="237"/>
      <c r="E1254" s="235"/>
      <c r="F1254" s="235"/>
      <c r="G1254" s="239"/>
      <c r="H1254" s="240"/>
      <c r="J1254" s="237"/>
      <c r="K1254" s="241"/>
      <c r="L1254" s="241"/>
      <c r="M1254" s="237"/>
      <c r="N1254" s="242"/>
      <c r="O1254" s="243"/>
      <c r="P1254" s="244"/>
      <c r="Q1254" s="245"/>
      <c r="R1254" s="246"/>
      <c r="S1254" s="244"/>
      <c r="T1254" s="247"/>
      <c r="U1254" s="247"/>
      <c r="V1254" s="244"/>
      <c r="W1254" s="244"/>
      <c r="X1254" s="97"/>
    </row>
    <row r="1255">
      <c r="A1255" s="205"/>
      <c r="B1255" s="235"/>
      <c r="C1255" s="236"/>
      <c r="D1255" s="237"/>
      <c r="E1255" s="235"/>
      <c r="F1255" s="235"/>
      <c r="G1255" s="239"/>
      <c r="H1255" s="240"/>
      <c r="J1255" s="237"/>
      <c r="K1255" s="241"/>
      <c r="L1255" s="241"/>
      <c r="M1255" s="237"/>
      <c r="N1255" s="242"/>
      <c r="O1255" s="243"/>
      <c r="P1255" s="244"/>
      <c r="Q1255" s="245"/>
      <c r="R1255" s="246"/>
      <c r="S1255" s="244"/>
      <c r="T1255" s="247"/>
      <c r="U1255" s="247"/>
      <c r="V1255" s="244"/>
      <c r="W1255" s="244"/>
      <c r="X1255" s="97"/>
    </row>
    <row r="1256">
      <c r="A1256" s="205"/>
      <c r="B1256" s="235"/>
      <c r="C1256" s="236"/>
      <c r="D1256" s="237"/>
      <c r="E1256" s="235"/>
      <c r="F1256" s="235"/>
      <c r="G1256" s="239"/>
      <c r="H1256" s="240"/>
      <c r="J1256" s="237"/>
      <c r="K1256" s="241"/>
      <c r="L1256" s="241"/>
      <c r="M1256" s="237"/>
      <c r="N1256" s="242"/>
      <c r="O1256" s="243"/>
      <c r="P1256" s="244"/>
      <c r="Q1256" s="245"/>
      <c r="R1256" s="246"/>
      <c r="S1256" s="244"/>
      <c r="T1256" s="247"/>
      <c r="U1256" s="247"/>
      <c r="V1256" s="244"/>
      <c r="W1256" s="244"/>
      <c r="X1256" s="97"/>
    </row>
    <row r="1257">
      <c r="A1257" s="205"/>
      <c r="B1257" s="235"/>
      <c r="C1257" s="236"/>
      <c r="D1257" s="237"/>
      <c r="E1257" s="235"/>
      <c r="F1257" s="235"/>
      <c r="G1257" s="239"/>
      <c r="H1257" s="240"/>
      <c r="J1257" s="237"/>
      <c r="K1257" s="241"/>
      <c r="L1257" s="241"/>
      <c r="M1257" s="237"/>
      <c r="N1257" s="242"/>
      <c r="O1257" s="243"/>
      <c r="P1257" s="244"/>
      <c r="Q1257" s="245"/>
      <c r="R1257" s="246"/>
      <c r="S1257" s="244"/>
      <c r="T1257" s="247"/>
      <c r="U1257" s="247"/>
      <c r="V1257" s="244"/>
      <c r="W1257" s="244"/>
      <c r="X1257" s="97"/>
    </row>
    <row r="1258">
      <c r="A1258" s="205"/>
      <c r="B1258" s="235"/>
      <c r="C1258" s="236"/>
      <c r="D1258" s="237"/>
      <c r="E1258" s="235"/>
      <c r="F1258" s="235"/>
      <c r="G1258" s="239"/>
      <c r="H1258" s="240"/>
      <c r="J1258" s="237"/>
      <c r="K1258" s="241"/>
      <c r="L1258" s="241"/>
      <c r="M1258" s="237"/>
      <c r="N1258" s="242"/>
      <c r="O1258" s="243"/>
      <c r="P1258" s="244"/>
      <c r="Q1258" s="245"/>
      <c r="R1258" s="246"/>
      <c r="S1258" s="244"/>
      <c r="T1258" s="247"/>
      <c r="U1258" s="247"/>
      <c r="V1258" s="244"/>
      <c r="W1258" s="244"/>
      <c r="X1258" s="97"/>
    </row>
    <row r="1259">
      <c r="A1259" s="205"/>
      <c r="B1259" s="235"/>
      <c r="C1259" s="236"/>
      <c r="D1259" s="237"/>
      <c r="E1259" s="235"/>
      <c r="F1259" s="235"/>
      <c r="G1259" s="239"/>
      <c r="H1259" s="240"/>
      <c r="J1259" s="237"/>
      <c r="K1259" s="241"/>
      <c r="L1259" s="241"/>
      <c r="M1259" s="237"/>
      <c r="N1259" s="242"/>
      <c r="O1259" s="243"/>
      <c r="P1259" s="244"/>
      <c r="Q1259" s="245"/>
      <c r="R1259" s="246"/>
      <c r="S1259" s="244"/>
      <c r="T1259" s="247"/>
      <c r="U1259" s="247"/>
      <c r="V1259" s="244"/>
      <c r="W1259" s="244"/>
      <c r="X1259" s="97"/>
    </row>
    <row r="1260">
      <c r="A1260" s="205"/>
      <c r="B1260" s="235"/>
      <c r="C1260" s="236"/>
      <c r="D1260" s="237"/>
      <c r="E1260" s="235"/>
      <c r="F1260" s="235"/>
      <c r="G1260" s="239"/>
      <c r="H1260" s="240"/>
      <c r="J1260" s="237"/>
      <c r="K1260" s="241"/>
      <c r="L1260" s="241"/>
      <c r="M1260" s="237"/>
      <c r="N1260" s="242"/>
      <c r="O1260" s="243"/>
      <c r="P1260" s="244"/>
      <c r="Q1260" s="245"/>
      <c r="R1260" s="246"/>
      <c r="S1260" s="244"/>
      <c r="T1260" s="247"/>
      <c r="U1260" s="247"/>
      <c r="V1260" s="244"/>
      <c r="W1260" s="244"/>
      <c r="X1260" s="97"/>
    </row>
    <row r="1261">
      <c r="A1261" s="205"/>
      <c r="B1261" s="235"/>
      <c r="C1261" s="236"/>
      <c r="D1261" s="237"/>
      <c r="E1261" s="235"/>
      <c r="F1261" s="235"/>
      <c r="G1261" s="239"/>
      <c r="H1261" s="240"/>
      <c r="J1261" s="237"/>
      <c r="K1261" s="241"/>
      <c r="L1261" s="241"/>
      <c r="M1261" s="237"/>
      <c r="N1261" s="242"/>
      <c r="O1261" s="243"/>
      <c r="P1261" s="244"/>
      <c r="Q1261" s="245"/>
      <c r="R1261" s="246"/>
      <c r="S1261" s="244"/>
      <c r="T1261" s="247"/>
      <c r="U1261" s="247"/>
      <c r="V1261" s="244"/>
      <c r="W1261" s="244"/>
      <c r="X1261" s="97"/>
    </row>
    <row r="1262">
      <c r="A1262" s="205"/>
      <c r="B1262" s="235"/>
      <c r="C1262" s="236"/>
      <c r="D1262" s="237"/>
      <c r="E1262" s="235"/>
      <c r="F1262" s="235"/>
      <c r="G1262" s="239"/>
      <c r="H1262" s="240"/>
      <c r="J1262" s="237"/>
      <c r="K1262" s="241"/>
      <c r="L1262" s="241"/>
      <c r="M1262" s="237"/>
      <c r="N1262" s="242"/>
      <c r="O1262" s="243"/>
      <c r="P1262" s="244"/>
      <c r="Q1262" s="245"/>
      <c r="R1262" s="246"/>
      <c r="S1262" s="244"/>
      <c r="T1262" s="247"/>
      <c r="U1262" s="247"/>
      <c r="V1262" s="244"/>
      <c r="W1262" s="244"/>
      <c r="X1262" s="97"/>
    </row>
    <row r="1263">
      <c r="A1263" s="205"/>
      <c r="B1263" s="235"/>
      <c r="C1263" s="236"/>
      <c r="D1263" s="237"/>
      <c r="E1263" s="235"/>
      <c r="F1263" s="235"/>
      <c r="G1263" s="239"/>
      <c r="H1263" s="240"/>
      <c r="J1263" s="237"/>
      <c r="K1263" s="241"/>
      <c r="L1263" s="241"/>
      <c r="M1263" s="237"/>
      <c r="N1263" s="242"/>
      <c r="O1263" s="243"/>
      <c r="P1263" s="244"/>
      <c r="Q1263" s="245"/>
      <c r="R1263" s="246"/>
      <c r="S1263" s="244"/>
      <c r="T1263" s="247"/>
      <c r="U1263" s="247"/>
      <c r="V1263" s="244"/>
      <c r="W1263" s="244"/>
      <c r="X1263" s="97"/>
    </row>
    <row r="1264">
      <c r="A1264" s="205"/>
      <c r="B1264" s="235"/>
      <c r="C1264" s="236"/>
      <c r="D1264" s="237"/>
      <c r="E1264" s="235"/>
      <c r="F1264" s="235"/>
      <c r="G1264" s="239"/>
      <c r="H1264" s="240"/>
      <c r="J1264" s="237"/>
      <c r="K1264" s="241"/>
      <c r="L1264" s="241"/>
      <c r="M1264" s="237"/>
      <c r="N1264" s="242"/>
      <c r="O1264" s="243"/>
      <c r="P1264" s="244"/>
      <c r="Q1264" s="245"/>
      <c r="R1264" s="246"/>
      <c r="S1264" s="244"/>
      <c r="T1264" s="247"/>
      <c r="U1264" s="247"/>
      <c r="V1264" s="244"/>
      <c r="W1264" s="244"/>
      <c r="X1264" s="97"/>
    </row>
    <row r="1265">
      <c r="A1265" s="205"/>
      <c r="B1265" s="235"/>
      <c r="C1265" s="236"/>
      <c r="D1265" s="237"/>
      <c r="E1265" s="235"/>
      <c r="F1265" s="235"/>
      <c r="G1265" s="239"/>
      <c r="H1265" s="240"/>
      <c r="J1265" s="237"/>
      <c r="K1265" s="241"/>
      <c r="L1265" s="241"/>
      <c r="M1265" s="237"/>
      <c r="N1265" s="242"/>
      <c r="O1265" s="243"/>
      <c r="P1265" s="244"/>
      <c r="Q1265" s="245"/>
      <c r="R1265" s="246"/>
      <c r="S1265" s="244"/>
      <c r="T1265" s="247"/>
      <c r="U1265" s="247"/>
      <c r="V1265" s="244"/>
      <c r="W1265" s="244"/>
      <c r="X1265" s="97"/>
    </row>
    <row r="1266">
      <c r="A1266" s="205"/>
      <c r="B1266" s="235"/>
      <c r="C1266" s="236"/>
      <c r="D1266" s="237"/>
      <c r="E1266" s="235"/>
      <c r="F1266" s="235"/>
      <c r="G1266" s="239"/>
      <c r="H1266" s="240"/>
      <c r="J1266" s="237"/>
      <c r="K1266" s="241"/>
      <c r="L1266" s="241"/>
      <c r="M1266" s="237"/>
      <c r="N1266" s="242"/>
      <c r="O1266" s="243"/>
      <c r="P1266" s="244"/>
      <c r="Q1266" s="245"/>
      <c r="R1266" s="246"/>
      <c r="S1266" s="244"/>
      <c r="T1266" s="247"/>
      <c r="U1266" s="247"/>
      <c r="V1266" s="244"/>
      <c r="W1266" s="244"/>
      <c r="X1266" s="97"/>
    </row>
    <row r="1267">
      <c r="A1267" s="205"/>
      <c r="B1267" s="235"/>
      <c r="C1267" s="236"/>
      <c r="D1267" s="237"/>
      <c r="E1267" s="235"/>
      <c r="F1267" s="235"/>
      <c r="G1267" s="239"/>
      <c r="H1267" s="240"/>
      <c r="J1267" s="237"/>
      <c r="K1267" s="241"/>
      <c r="L1267" s="241"/>
      <c r="M1267" s="237"/>
      <c r="N1267" s="242"/>
      <c r="O1267" s="243"/>
      <c r="P1267" s="244"/>
      <c r="Q1267" s="245"/>
      <c r="R1267" s="246"/>
      <c r="S1267" s="244"/>
      <c r="T1267" s="247"/>
      <c r="U1267" s="247"/>
      <c r="V1267" s="244"/>
      <c r="W1267" s="244"/>
      <c r="X1267" s="97"/>
    </row>
    <row r="1268">
      <c r="A1268" s="205"/>
      <c r="B1268" s="235"/>
      <c r="C1268" s="236"/>
      <c r="D1268" s="237"/>
      <c r="E1268" s="235"/>
      <c r="F1268" s="235"/>
      <c r="G1268" s="239"/>
      <c r="H1268" s="240"/>
      <c r="J1268" s="237"/>
      <c r="K1268" s="241"/>
      <c r="L1268" s="241"/>
      <c r="M1268" s="237"/>
      <c r="N1268" s="242"/>
      <c r="O1268" s="243"/>
      <c r="P1268" s="244"/>
      <c r="Q1268" s="245"/>
      <c r="R1268" s="246"/>
      <c r="S1268" s="244"/>
      <c r="T1268" s="247"/>
      <c r="U1268" s="247"/>
      <c r="V1268" s="244"/>
      <c r="W1268" s="244"/>
      <c r="X1268" s="97"/>
    </row>
    <row r="1269">
      <c r="A1269" s="205"/>
      <c r="B1269" s="235"/>
      <c r="C1269" s="236"/>
      <c r="D1269" s="237"/>
      <c r="E1269" s="235"/>
      <c r="F1269" s="235"/>
      <c r="G1269" s="239"/>
      <c r="H1269" s="240"/>
      <c r="J1269" s="237"/>
      <c r="K1269" s="241"/>
      <c r="L1269" s="241"/>
      <c r="M1269" s="237"/>
      <c r="N1269" s="242"/>
      <c r="O1269" s="243"/>
      <c r="P1269" s="244"/>
      <c r="Q1269" s="245"/>
      <c r="R1269" s="246"/>
      <c r="S1269" s="244"/>
      <c r="T1269" s="247"/>
      <c r="U1269" s="247"/>
      <c r="V1269" s="244"/>
      <c r="W1269" s="244"/>
      <c r="X1269" s="97"/>
    </row>
    <row r="1270">
      <c r="A1270" s="205"/>
      <c r="B1270" s="235"/>
      <c r="C1270" s="236"/>
      <c r="D1270" s="237"/>
      <c r="E1270" s="235"/>
      <c r="F1270" s="235"/>
      <c r="G1270" s="239"/>
      <c r="H1270" s="240"/>
      <c r="J1270" s="237"/>
      <c r="K1270" s="241"/>
      <c r="L1270" s="241"/>
      <c r="M1270" s="237"/>
      <c r="N1270" s="242"/>
      <c r="O1270" s="243"/>
      <c r="P1270" s="244"/>
      <c r="Q1270" s="245"/>
      <c r="R1270" s="246"/>
      <c r="S1270" s="244"/>
      <c r="T1270" s="247"/>
      <c r="U1270" s="247"/>
      <c r="V1270" s="244"/>
      <c r="W1270" s="244"/>
      <c r="X1270" s="97"/>
    </row>
  </sheetData>
  <mergeCells count="19">
    <mergeCell ref="A1:B1"/>
    <mergeCell ref="A2:B2"/>
    <mergeCell ref="C2:W2"/>
    <mergeCell ref="F3:I3"/>
    <mergeCell ref="K3:N3"/>
    <mergeCell ref="F4:H4"/>
    <mergeCell ref="K4:M4"/>
    <mergeCell ref="F9:I9"/>
    <mergeCell ref="D10:I10"/>
    <mergeCell ref="L10:S10"/>
    <mergeCell ref="V10:W10"/>
    <mergeCell ref="X10:Y10"/>
    <mergeCell ref="F5:I5"/>
    <mergeCell ref="K5:N5"/>
    <mergeCell ref="F7:I7"/>
    <mergeCell ref="K7:N7"/>
    <mergeCell ref="F8:H8"/>
    <mergeCell ref="K8:M8"/>
    <mergeCell ref="K9:N9"/>
  </mergeCells>
  <conditionalFormatting sqref="C5 F5:I5 K5:N5 C9">
    <cfRule type="cellIs" dxfId="0" priority="1" operator="greaterThanOrEqual">
      <formula>0</formula>
    </cfRule>
  </conditionalFormatting>
  <conditionalFormatting sqref="C5 F5:I5 K5:N5 C9">
    <cfRule type="cellIs" dxfId="1" priority="2" operator="lessThanOrEqual">
      <formula>0</formula>
    </cfRule>
  </conditionalFormatting>
  <conditionalFormatting sqref="F9:N9">
    <cfRule type="cellIs" dxfId="0" priority="3" operator="lessThanOrEqual">
      <formula>0</formula>
    </cfRule>
  </conditionalFormatting>
  <conditionalFormatting sqref="F9:N9">
    <cfRule type="cellIs" dxfId="1" priority="4" operator="greaterThanOrEqual">
      <formula>0</formula>
    </cfRule>
  </conditionalFormatting>
  <conditionalFormatting sqref="T12:Y1270">
    <cfRule type="cellIs" dxfId="2" priority="5" operator="greaterThanOrEqual">
      <formula>0</formula>
    </cfRule>
  </conditionalFormatting>
  <conditionalFormatting sqref="T12:Y1270">
    <cfRule type="cellIs" dxfId="3" priority="6" operator="lessThan">
      <formula>0</formula>
    </cfRule>
  </conditionalFormatting>
  <conditionalFormatting sqref="V12:W1270">
    <cfRule type="cellIs" dxfId="0" priority="7" operator="greaterThanOrEqual">
      <formula>0</formula>
    </cfRule>
  </conditionalFormatting>
  <conditionalFormatting sqref="V12:W1270">
    <cfRule type="cellIs" dxfId="4" priority="8" operator="lessThan">
      <formula>0</formula>
    </cfRule>
  </conditionalFormatting>
  <dataValidations>
    <dataValidation type="list" allowBlank="1" sqref="B12 B25 B43 B61 B79 B97 B115 B133 B151 B169 B187 B205 B223 B241 B259 B266">
      <formula1>"Previous Week,Current Week"</formula1>
    </dataValidation>
  </dataValidations>
  <hyperlinks>
    <hyperlink r:id="rId1" ref="A1"/>
  </hyperlinks>
  <drawing r:id="rId2"/>
</worksheet>
</file>