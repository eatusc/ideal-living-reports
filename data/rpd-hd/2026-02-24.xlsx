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- 2025" sheetId="1" r:id="rId5"/>
    <sheet state="visible" name="ALL - 2026 - Orange Access" sheetId="2" r:id="rId6"/>
    <sheet state="visible" name="Home Depot - 2026" sheetId="3" r:id="rId7"/>
    <sheet state="visible" name="Home Depot Canada - 2026" sheetId="4" r:id="rId8"/>
    <sheet state="visible" name="Lowes - 2026" sheetId="5" r:id="rId9"/>
    <sheet state="hidden" name="US" sheetId="6" r:id="rId10"/>
    <sheet state="hidden" name="CANADA" sheetId="7" r:id="rId11"/>
  </sheets>
  <definedNames/>
  <calcPr/>
</workbook>
</file>

<file path=xl/sharedStrings.xml><?xml version="1.0" encoding="utf-8"?>
<sst xmlns="http://schemas.openxmlformats.org/spreadsheetml/2006/main" count="652" uniqueCount="81">
  <si>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</si>
  <si>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 xml:space="preserve"> WEEKLY PERFORMANCE</t>
  </si>
  <si>
    <t>Total Sales</t>
  </si>
  <si>
    <t>Total Orders</t>
  </si>
  <si>
    <t>Total Units Sold</t>
  </si>
  <si>
    <t>Advertising Sales</t>
  </si>
  <si>
    <t>Advertising Spend</t>
  </si>
  <si>
    <t>ACoS</t>
  </si>
  <si>
    <t>SALES METRICS</t>
  </si>
  <si>
    <t xml:space="preserve">ADVERTISING PERFORMANCE </t>
  </si>
  <si>
    <t>MoM</t>
  </si>
  <si>
    <t>YoY</t>
  </si>
  <si>
    <t>Month-Code</t>
  </si>
  <si>
    <t>DATE</t>
  </si>
  <si>
    <t>Campaign Group per Brand</t>
  </si>
  <si>
    <t>SALES</t>
  </si>
  <si>
    <t>UNITS SOLD</t>
  </si>
  <si>
    <t>ORDERED ITEMS</t>
  </si>
  <si>
    <t>UNITS PER ORDER</t>
  </si>
  <si>
    <t>SALES PER ORDER</t>
  </si>
  <si>
    <t>ASP</t>
  </si>
  <si>
    <t>SP AD SPEND</t>
  </si>
  <si>
    <t>IMPRESSIONS</t>
  </si>
  <si>
    <t>UNIT SALES</t>
  </si>
  <si>
    <t>AD SALES</t>
  </si>
  <si>
    <t>ROAS (return on ad send)</t>
  </si>
  <si>
    <t>TACoS (Total Advertsing Cost of Sales)</t>
  </si>
  <si>
    <t>REVENUE PERCENTAGE OF AD SALES</t>
  </si>
  <si>
    <t>ORGANIC SALES</t>
  </si>
  <si>
    <t>CPO</t>
  </si>
  <si>
    <t>UNITS</t>
  </si>
  <si>
    <t>AIRDOCTOR - Home Depot US</t>
  </si>
  <si>
    <t>AQUA TRU - Home Depot US</t>
  </si>
  <si>
    <t>to</t>
  </si>
  <si>
    <t>PAINT ZOOM - Home Depot US</t>
  </si>
  <si>
    <t>ROTORAZER SAW - Home Depot US /
ROTORAZERSAW - Home Depot US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</si>
  <si>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</si>
  <si>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</si>
  <si>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</si>
  <si>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</si>
  <si>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</si>
  <si>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</si>
  <si>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</si>
  <si>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</si>
  <si>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</si>
  <si>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</si>
  <si>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AquaTru - Home Depot CA</t>
  </si>
  <si>
    <t>Week 49</t>
  </si>
  <si>
    <t>AirDoctor - Home Depot CA</t>
  </si>
  <si>
    <t>Week 50</t>
  </si>
  <si>
    <t>Week 51</t>
  </si>
  <si>
    <t>Previous Week</t>
  </si>
  <si>
    <t>Current Week</t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</si>
  <si>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</si>
  <si>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Week 52</t>
  </si>
  <si>
    <t>2026 - Week 1</t>
  </si>
  <si>
    <t>2026 - Week 2</t>
  </si>
  <si>
    <t>2026 - Week 3</t>
  </si>
  <si>
    <t>2026 - Week 4</t>
  </si>
  <si>
    <t>2026 - Week 5</t>
  </si>
  <si>
    <t>2026 - Week 6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</si>
  <si>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</si>
  <si>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t>BRAND</t>
  </si>
  <si>
    <t>GWV</t>
  </si>
  <si>
    <t>AquaTru</t>
  </si>
  <si>
    <t>AirDoctor</t>
  </si>
  <si>
    <t>Rotorazer</t>
  </si>
  <si>
    <t>Ionic Pro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</si>
  <si>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</si>
  <si>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</si>
  <si>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</si>
  <si>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</si>
  <si>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Campaign Name</t>
  </si>
  <si>
    <t>AirDoctor - Onsite - Sponsored Grid</t>
  </si>
  <si>
    <t>AirDoctor - Offsite</t>
  </si>
  <si>
    <t>AirDoctor - Onsite - Sponsored Banners</t>
  </si>
  <si>
    <t>AquaTru - Onsite - Systems - Sponsored Grid</t>
  </si>
  <si>
    <t>AquaTru - Onsite - Replacements - Sponsored Grid</t>
  </si>
  <si>
    <t>AquaTru - Onsite - - Systems - Sponsored Banners</t>
  </si>
  <si>
    <t>AquaTru - Onsite - Replacements - Sponsored Banners</t>
  </si>
  <si>
    <t>AquaTru - Offsite
WebsiteVisitorsAudience &gt;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</si>
</sst>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yy"/>
  </numFmts>
  <fonts count="14">
    <font>
      <sz val="10.0"/>
      <color rgb="FF000000"/>
      <name val="Arial"/>
      <scheme val="minor"/>
    </font>
    <font>
      <u/>
      <color rgb="FF1155CC"/>
      <name val="Calibri"/>
    </font>
    <font/>
    <font>
      <color theme="1"/>
      <name val="Arial"/>
    </font>
    <font>
      <color theme="1"/>
      <name val="Calibri"/>
    </font>
    <font>
      <sz val="15.0"/>
      <color rgb="FF757171"/>
      <name val="Calibri"/>
    </font>
    <font>
      <sz val="13.0"/>
      <color theme="1"/>
      <name val="Calibri"/>
    </font>
    <font>
      <b/>
      <sz val="13.0"/>
      <color rgb="FF008000"/>
      <name val="Calibri"/>
    </font>
    <font>
      <b/>
      <sz val="13.0"/>
      <color rgb="FF34A853"/>
      <name val="Calibri"/>
    </font>
    <font>
      <b/>
      <color theme="1"/>
      <name val="Calibri"/>
    </font>
    <font>
      <color rgb="FF757171"/>
      <name val="Calibri"/>
    </font>
    <font>
      <b/>
      <color rgb="FF34A853"/>
      <name val="Calibri"/>
    </font>
    <font>
      <b/>
      <color rgb="FFFF0000"/>
      <name val="Calibri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</border>
    <border>
      <left style="thin">
        <color rgb="FF000000"/>
      </left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Border="1" applyFont="1"/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2" fontId="4" numFmtId="0" xfId="0" applyAlignment="1" applyBorder="1" applyFont="1">
      <alignment horizontal="center" vertical="bottom"/>
    </xf>
    <xf borderId="4" fillId="0" fontId="2" numFmtId="0" xfId="0" applyBorder="1" applyFont="1"/>
    <xf borderId="3" fillId="2" fontId="4" numFmtId="0" xfId="0" applyAlignment="1" applyBorder="1" applyFont="1">
      <alignment horizontal="center"/>
    </xf>
    <xf borderId="3" fillId="2" fontId="4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10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5" numFmtId="10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4" fillId="0" fontId="3" numFmtId="1" xfId="0" applyAlignment="1" applyBorder="1" applyFont="1" applyNumberForma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4" fillId="0" fontId="6" numFmtId="1" xfId="0" applyAlignment="1" applyBorder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5" fillId="0" fontId="3" numFmtId="9" xfId="0" applyAlignment="1" applyBorder="1" applyFont="1" applyNumberFormat="1">
      <alignment horizontal="center" vertical="bottom"/>
    </xf>
    <xf borderId="3" fillId="0" fontId="3" numFmtId="10" xfId="0" applyAlignment="1" applyBorder="1" applyFont="1" applyNumberFormat="1">
      <alignment horizontal="center" vertical="bottom"/>
    </xf>
    <xf borderId="3" fillId="0" fontId="7" numFmtId="10" xfId="0" applyAlignment="1" applyBorder="1" applyFont="1" applyNumberFormat="1">
      <alignment horizontal="center" vertical="bottom"/>
    </xf>
    <xf borderId="4" fillId="0" fontId="7" numFmtId="10" xfId="0" applyAlignment="1" applyBorder="1" applyFont="1" applyNumberFormat="1">
      <alignment horizontal="center" vertical="bottom"/>
    </xf>
    <xf borderId="3" fillId="0" fontId="3" numFmtId="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0" fontId="6" numFmtId="10" xfId="0" applyAlignment="1" applyBorder="1" applyFont="1" applyNumberFormat="1">
      <alignment horizontal="center" vertical="bottom"/>
    </xf>
    <xf borderId="6" fillId="0" fontId="3" numFmtId="10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6" fillId="0" fontId="2" numFmtId="0" xfId="0" applyBorder="1" applyFont="1"/>
    <xf borderId="6" fillId="0" fontId="8" numFmtId="10" xfId="0" applyAlignment="1" applyBorder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0" fillId="0" fontId="4" numFmtId="164" xfId="0" applyAlignment="1" applyBorder="1" applyFont="1" applyNumberFormat="1">
      <alignment horizontal="center" shrinkToFit="0" vertical="bottom" wrapText="1"/>
    </xf>
    <xf borderId="13" fillId="0" fontId="3" numFmtId="165" xfId="0" applyAlignment="1" applyBorder="1" applyFont="1" applyNumberFormat="1">
      <alignment horizontal="center" vertical="bottom"/>
    </xf>
    <xf borderId="14" fillId="0" fontId="3" numFmtId="165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shrinkToFit="0" vertical="bottom" wrapText="1"/>
    </xf>
    <xf borderId="15" fillId="0" fontId="9" numFmtId="0" xfId="0" applyAlignment="1" applyBorder="1" applyFont="1">
      <alignment horizontal="center" shrinkToFit="0" vertical="bottom" wrapText="1"/>
    </xf>
    <xf borderId="16" fillId="0" fontId="9" numFmtId="0" xfId="0" applyAlignment="1" applyBorder="1" applyFont="1">
      <alignment horizontal="center" readingOrder="0" shrinkToFit="0" vertical="bottom" wrapText="1"/>
    </xf>
    <xf borderId="16" fillId="0" fontId="9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horizontal="center" shrinkToFit="0" vertical="bottom" wrapText="1"/>
    </xf>
    <xf borderId="16" fillId="0" fontId="9" numFmtId="164" xfId="0" applyAlignment="1" applyBorder="1" applyFont="1" applyNumberFormat="1">
      <alignment horizontal="center" shrinkToFit="0" vertical="bottom" wrapText="1"/>
    </xf>
    <xf borderId="17" fillId="0" fontId="9" numFmtId="0" xfId="0" applyAlignment="1" applyBorder="1" applyFont="1">
      <alignment horizontal="center" shrinkToFit="0" vertical="bottom" wrapText="1"/>
    </xf>
    <xf borderId="0" fillId="0" fontId="9" numFmtId="165" xfId="0" applyAlignment="1" applyFont="1" applyNumberFormat="1">
      <alignment horizontal="center" shrinkToFit="0" vertical="bottom" wrapText="1"/>
    </xf>
    <xf borderId="18" fillId="0" fontId="9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19" fillId="2" fontId="3" numFmtId="165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2" fontId="3" numFmtId="2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0" fillId="2" fontId="3" numFmtId="164" xfId="0" applyAlignment="1" applyBorder="1" applyFont="1" applyNumberFormat="1">
      <alignment horizontal="center" vertical="bottom"/>
    </xf>
    <xf borderId="2" fillId="2" fontId="3" numFmtId="165" xfId="0" applyAlignment="1" applyBorder="1" applyFont="1" applyNumberFormat="1">
      <alignment horizontal="center" vertical="bottom"/>
    </xf>
    <xf borderId="2" fillId="2" fontId="3" numFmtId="10" xfId="0" applyAlignment="1" applyBorder="1" applyFont="1" applyNumberFormat="1">
      <alignment horizontal="center" vertical="bottom"/>
    </xf>
    <xf borderId="2" fillId="2" fontId="3" numFmtId="4" xfId="0" applyAlignment="1" applyBorder="1" applyFont="1" applyNumberFormat="1">
      <alignment horizontal="center" vertical="bottom"/>
    </xf>
    <xf borderId="21" fillId="2" fontId="3" numFmtId="10" xfId="0" applyAlignment="1" applyBorder="1" applyFont="1" applyNumberFormat="1">
      <alignment horizontal="center" vertical="bottom"/>
    </xf>
    <xf borderId="20" fillId="2" fontId="3" numFmtId="165" xfId="0" applyAlignment="1" applyBorder="1" applyFont="1" applyNumberFormat="1">
      <alignment horizontal="center" vertical="bottom"/>
    </xf>
    <xf borderId="21" fillId="2" fontId="3" numFmtId="164" xfId="0" applyAlignment="1" applyBorder="1" applyFont="1" applyNumberFormat="1">
      <alignment horizontal="center" vertical="bottom"/>
    </xf>
    <xf borderId="19" fillId="2" fontId="3" numFmtId="10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19" fillId="0" fontId="4" numFmtId="0" xfId="0" applyAlignment="1" applyBorder="1" applyFont="1">
      <alignment horizontal="center" readingOrder="0" vertical="bottom"/>
    </xf>
    <xf borderId="19" fillId="3" fontId="3" numFmtId="165" xfId="0" applyAlignment="1" applyBorder="1" applyFill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20" fillId="0" fontId="4" numFmtId="164" xfId="0" applyAlignment="1" applyBorder="1" applyFont="1" applyNumberFormat="1">
      <alignment horizontal="center" vertical="bottom"/>
    </xf>
    <xf borderId="19" fillId="3" fontId="4" numFmtId="165" xfId="0" applyAlignment="1" applyBorder="1" applyFont="1" applyNumberFormat="1">
      <alignment horizontal="center" readingOrder="0" shrinkToFit="0" vertical="bottom" wrapText="1"/>
    </xf>
    <xf borderId="22" fillId="0" fontId="4" numFmtId="3" xfId="0" applyAlignment="1" applyBorder="1" applyFont="1" applyNumberFormat="1">
      <alignment horizontal="center" readingOrder="0" vertical="bottom"/>
    </xf>
    <xf borderId="22" fillId="0" fontId="3" numFmtId="0" xfId="0" applyAlignment="1" applyBorder="1" applyFont="1">
      <alignment horizontal="center" readingOrder="0" vertical="bottom"/>
    </xf>
    <xf borderId="22" fillId="3" fontId="4" numFmtId="165" xfId="0" applyAlignment="1" applyBorder="1" applyFont="1" applyNumberFormat="1">
      <alignment horizontal="center" readingOrder="0" vertical="bottom"/>
    </xf>
    <xf borderId="2" fillId="0" fontId="4" numFmtId="10" xfId="0" applyAlignment="1" applyBorder="1" applyFont="1" applyNumberForma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21" fillId="0" fontId="4" numFmtId="10" xfId="0" applyAlignment="1" applyBorder="1" applyFont="1" applyNumberFormat="1">
      <alignment horizontal="center" vertical="bottom"/>
    </xf>
    <xf borderId="20" fillId="3" fontId="4" numFmtId="165" xfId="0" applyAlignment="1" applyBorder="1" applyFont="1" applyNumberFormat="1">
      <alignment horizontal="center" vertical="bottom"/>
    </xf>
    <xf borderId="21" fillId="0" fontId="4" numFmtId="164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9" fillId="4" fontId="3" numFmtId="165" xfId="0" applyAlignment="1" applyBorder="1" applyFill="1" applyFont="1" applyNumberFormat="1">
      <alignment horizontal="center" vertical="bottom"/>
    </xf>
    <xf borderId="19" fillId="4" fontId="4" numFmtId="165" xfId="0" applyAlignment="1" applyBorder="1" applyFont="1" applyNumberFormat="1">
      <alignment horizontal="center" readingOrder="0" vertical="bottom"/>
    </xf>
    <xf borderId="22" fillId="4" fontId="4" numFmtId="165" xfId="0" applyAlignment="1" applyBorder="1" applyFont="1" applyNumberFormat="1">
      <alignment horizontal="center" readingOrder="0" vertical="bottom"/>
    </xf>
    <xf borderId="20" fillId="4" fontId="4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9" fillId="5" fontId="3" numFmtId="165" xfId="0" applyAlignment="1" applyBorder="1" applyFill="1" applyFont="1" applyNumberFormat="1">
      <alignment horizontal="center" vertical="bottom"/>
    </xf>
    <xf borderId="19" fillId="5" fontId="4" numFmtId="165" xfId="0" applyAlignment="1" applyBorder="1" applyFont="1" applyNumberFormat="1">
      <alignment horizontal="center" readingOrder="0" vertical="bottom"/>
    </xf>
    <xf borderId="22" fillId="5" fontId="4" numFmtId="165" xfId="0" applyAlignment="1" applyBorder="1" applyFont="1" applyNumberFormat="1">
      <alignment horizontal="center" readingOrder="0" vertical="bottom"/>
    </xf>
    <xf borderId="20" fillId="5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9" fillId="6" fontId="3" numFmtId="165" xfId="0" applyAlignment="1" applyBorder="1" applyFill="1" applyFont="1" applyNumberFormat="1">
      <alignment horizontal="center" vertical="bottom"/>
    </xf>
    <xf borderId="1" fillId="2" fontId="9" numFmtId="0" xfId="0" applyAlignment="1" applyBorder="1" applyFont="1">
      <alignment horizontal="center" vertical="bottom"/>
    </xf>
    <xf borderId="19" fillId="2" fontId="9" numFmtId="165" xfId="0" applyAlignment="1" applyBorder="1" applyFont="1" applyNumberFormat="1">
      <alignment horizontal="center" vertical="bottom"/>
    </xf>
    <xf borderId="2" fillId="2" fontId="9" numFmtId="0" xfId="0" applyAlignment="1" applyBorder="1" applyFont="1">
      <alignment horizontal="center" vertical="bottom"/>
    </xf>
    <xf borderId="2" fillId="2" fontId="9" numFmtId="2" xfId="0" applyAlignment="1" applyBorder="1" applyFont="1" applyNumberForma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20" fillId="2" fontId="9" numFmtId="164" xfId="0" applyAlignment="1" applyBorder="1" applyFont="1" applyNumberFormat="1">
      <alignment horizontal="center" vertical="bottom"/>
    </xf>
    <xf borderId="2" fillId="2" fontId="9" numFmtId="3" xfId="0" applyAlignment="1" applyBorder="1" applyFont="1" applyNumberFormat="1">
      <alignment horizontal="center" vertical="bottom"/>
    </xf>
    <xf borderId="2" fillId="2" fontId="9" numFmtId="165" xfId="0" applyAlignment="1" applyBorder="1" applyFont="1" applyNumberFormat="1">
      <alignment horizontal="center" vertical="bottom"/>
    </xf>
    <xf borderId="2" fillId="2" fontId="9" numFmtId="10" xfId="0" applyAlignment="1" applyBorder="1" applyFont="1" applyNumberFormat="1">
      <alignment horizontal="center" vertical="bottom"/>
    </xf>
    <xf borderId="2" fillId="2" fontId="9" numFmtId="4" xfId="0" applyAlignment="1" applyBorder="1" applyFont="1" applyNumberFormat="1">
      <alignment horizontal="center" vertical="bottom"/>
    </xf>
    <xf borderId="21" fillId="2" fontId="9" numFmtId="10" xfId="0" applyAlignment="1" applyBorder="1" applyFont="1" applyNumberFormat="1">
      <alignment horizontal="center" vertical="bottom"/>
    </xf>
    <xf borderId="20" fillId="2" fontId="9" numFmtId="165" xfId="0" applyAlignment="1" applyBorder="1" applyFont="1" applyNumberFormat="1">
      <alignment horizontal="center" vertical="bottom"/>
    </xf>
    <xf borderId="21" fillId="2" fontId="9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19" fillId="0" fontId="4" numFmtId="0" xfId="0" applyAlignment="1" applyBorder="1" applyFont="1">
      <alignment horizontal="center" vertical="bottom"/>
    </xf>
    <xf borderId="19" fillId="3" fontId="3" numFmtId="165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19" fillId="3" fontId="4" numFmtId="165" xfId="0" applyAlignment="1" applyBorder="1" applyFont="1" applyNumberFormat="1">
      <alignment horizontal="center" shrinkToFit="0" vertical="bottom" wrapText="1"/>
    </xf>
    <xf borderId="22" fillId="0" fontId="4" numFmtId="3" xfId="0" applyAlignment="1" applyBorder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2" fillId="3" fontId="4" numFmtId="165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vertical="bottom"/>
    </xf>
    <xf borderId="19" fillId="4" fontId="3" numFmtId="165" xfId="0" applyAlignment="1" applyBorder="1" applyFont="1" applyNumberFormat="1">
      <alignment vertical="bottom"/>
    </xf>
    <xf borderId="19" fillId="4" fontId="4" numFmtId="165" xfId="0" applyAlignment="1" applyBorder="1" applyFont="1" applyNumberFormat="1">
      <alignment horizontal="center" vertical="bottom"/>
    </xf>
    <xf borderId="22" fillId="4" fontId="4" numFmtId="165" xfId="0" applyAlignment="1" applyBorder="1" applyFont="1" applyNumberFormat="1">
      <alignment horizontal="center" vertical="bottom"/>
    </xf>
    <xf borderId="19" fillId="5" fontId="3" numFmtId="165" xfId="0" applyAlignment="1" applyBorder="1" applyFont="1" applyNumberFormat="1">
      <alignment vertical="bottom"/>
    </xf>
    <xf borderId="19" fillId="5" fontId="4" numFmtId="165" xfId="0" applyAlignment="1" applyBorder="1" applyFont="1" applyNumberFormat="1">
      <alignment horizontal="center" vertical="bottom"/>
    </xf>
    <xf borderId="22" fillId="5" fontId="4" numFmtId="165" xfId="0" applyAlignment="1" applyBorder="1" applyFont="1" applyNumberFormat="1">
      <alignment horizontal="center" vertical="bottom"/>
    </xf>
    <xf borderId="19" fillId="6" fontId="3" numFmtId="165" xfId="0" applyAlignment="1" applyBorder="1" applyFont="1" applyNumberFormat="1">
      <alignment vertical="bottom"/>
    </xf>
    <xf borderId="22" fillId="0" fontId="3" numFmtId="3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22" fillId="4" fontId="3" numFmtId="165" xfId="0" applyAlignment="1" applyBorder="1" applyFont="1" applyNumberFormat="1">
      <alignment vertical="bottom"/>
    </xf>
    <xf borderId="1" fillId="2" fontId="9" numFmtId="0" xfId="0" applyAlignment="1" applyBorder="1" applyFont="1">
      <alignment horizontal="center" readingOrder="0" vertical="bottom"/>
    </xf>
    <xf borderId="19" fillId="2" fontId="3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bottom"/>
    </xf>
    <xf borderId="19" fillId="2" fontId="3" numFmtId="10" xfId="0" applyAlignment="1" applyBorder="1" applyFont="1" applyNumberFormat="1">
      <alignment vertical="bottom"/>
    </xf>
    <xf borderId="19" fillId="6" fontId="4" numFmtId="165" xfId="0" applyAlignment="1" applyBorder="1" applyFont="1" applyNumberFormat="1">
      <alignment horizontal="center" vertical="bottom"/>
    </xf>
    <xf borderId="22" fillId="6" fontId="4" numFmtId="165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readingOrder="0" vertical="bottom"/>
    </xf>
    <xf borderId="19" fillId="7" fontId="4" numFmtId="0" xfId="0" applyAlignment="1" applyBorder="1" applyFill="1" applyFont="1">
      <alignment horizontal="center" readingOrder="0" vertical="bottom"/>
    </xf>
    <xf borderId="19" fillId="6" fontId="4" numFmtId="165" xfId="0" applyAlignment="1" applyBorder="1" applyFont="1" applyNumberFormat="1">
      <alignment horizontal="center" readingOrder="0" vertical="bottom"/>
    </xf>
    <xf borderId="22" fillId="0" fontId="4" numFmtId="0" xfId="0" applyAlignment="1" applyBorder="1" applyFont="1">
      <alignment horizontal="center" vertical="bottom"/>
    </xf>
    <xf borderId="22" fillId="6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9" fillId="7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vertical="bottom"/>
    </xf>
    <xf borderId="2" fillId="0" fontId="3" numFmtId="165" xfId="0" applyAlignment="1" applyBorder="1" applyFont="1" applyNumberForma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3" fillId="0" fontId="3" numFmtId="165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4" fillId="0" fontId="4" numFmtId="1" xfId="0" applyAlignment="1" applyBorder="1" applyFont="1" applyNumberFormat="1">
      <alignment vertical="bottom"/>
    </xf>
    <xf borderId="0" fillId="0" fontId="3" numFmtId="9" xfId="0" applyAlignment="1" applyFont="1" applyNumberFormat="1">
      <alignment vertical="bottom"/>
    </xf>
    <xf borderId="5" fillId="0" fontId="3" numFmtId="9" xfId="0" applyAlignment="1" applyBorder="1" applyFont="1" applyNumberFormat="1">
      <alignment vertical="bottom"/>
    </xf>
    <xf borderId="3" fillId="0" fontId="11" numFmtId="10" xfId="0" applyAlignment="1" applyBorder="1" applyFont="1" applyNumberFormat="1">
      <alignment vertical="bottom"/>
    </xf>
    <xf borderId="4" fillId="0" fontId="11" numFmtId="10" xfId="0" applyAlignment="1" applyBorder="1" applyFont="1" applyNumberFormat="1">
      <alignment vertical="bottom"/>
    </xf>
    <xf borderId="3" fillId="0" fontId="3" numFmtId="9" xfId="0" applyAlignment="1" applyBorder="1" applyFont="1" applyNumberFormat="1">
      <alignment vertical="bottom"/>
    </xf>
    <xf borderId="4" fillId="0" fontId="4" numFmtId="165" xfId="0" applyAlignment="1" applyBorder="1" applyFont="1" applyNumberFormat="1">
      <alignment vertical="bottom"/>
    </xf>
    <xf borderId="4" fillId="0" fontId="4" numFmtId="10" xfId="0" applyAlignment="1" applyBorder="1" applyFont="1" applyNumberFormat="1">
      <alignment vertical="bottom"/>
    </xf>
    <xf borderId="6" fillId="0" fontId="12" numFmtId="10" xfId="0" applyAlignment="1" applyBorder="1" applyFont="1" applyNumberFormat="1">
      <alignment vertical="bottom"/>
    </xf>
    <xf borderId="0" fillId="0" fontId="11" numFmtId="10" xfId="0" applyAlignment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3" fillId="8" fontId="4" numFmtId="164" xfId="0" applyAlignment="1" applyBorder="1" applyFill="1" applyFont="1" applyNumberFormat="1">
      <alignment horizontal="center" shrinkToFit="0" vertical="bottom" wrapText="1"/>
    </xf>
    <xf borderId="24" fillId="8" fontId="4" numFmtId="164" xfId="0" applyAlignment="1" applyBorder="1" applyFont="1" applyNumberFormat="1">
      <alignment horizontal="center" shrinkToFit="0" vertical="bottom" wrapText="1"/>
    </xf>
    <xf borderId="25" fillId="0" fontId="2" numFmtId="0" xfId="0" applyBorder="1" applyFont="1"/>
    <xf borderId="26" fillId="0" fontId="2" numFmtId="0" xfId="0" applyBorder="1" applyFont="1"/>
    <xf borderId="23" fillId="8" fontId="3" numFmtId="165" xfId="0" applyAlignment="1" applyBorder="1" applyFont="1" applyNumberFormat="1">
      <alignment vertical="bottom"/>
    </xf>
    <xf borderId="23" fillId="8" fontId="9" numFmtId="164" xfId="0" applyAlignment="1" applyBorder="1" applyFont="1" applyNumberFormat="1">
      <alignment horizontal="center" shrinkToFit="0" vertical="bottom" wrapText="1"/>
    </xf>
    <xf borderId="23" fillId="8" fontId="9" numFmtId="0" xfId="0" applyAlignment="1" applyBorder="1" applyFont="1">
      <alignment horizontal="center" shrinkToFit="0" vertical="bottom" wrapText="1"/>
    </xf>
    <xf borderId="23" fillId="8" fontId="9" numFmtId="165" xfId="0" applyAlignment="1" applyBorder="1" applyFont="1" applyNumberFormat="1">
      <alignment horizontal="center" shrinkToFit="0" vertical="bottom" wrapText="1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9" fillId="2" fontId="3" numFmtId="0" xfId="0" applyAlignment="1" applyBorder="1" applyFont="1">
      <alignment vertical="bottom"/>
    </xf>
    <xf borderId="19" fillId="2" fontId="3" numFmtId="165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2" fillId="2" fontId="3" numFmtId="2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vertical="bottom"/>
    </xf>
    <xf borderId="23" fillId="8" fontId="3" numFmtId="165" xfId="0" applyAlignment="1" applyBorder="1" applyFont="1" applyNumberFormat="1">
      <alignment vertical="bottom"/>
    </xf>
    <xf borderId="23" fillId="8" fontId="3" numFmtId="0" xfId="0" applyAlignment="1" applyBorder="1" applyFont="1">
      <alignment vertical="bottom"/>
    </xf>
    <xf borderId="23" fillId="8" fontId="3" numFmtId="10" xfId="0" applyAlignment="1" applyBorder="1" applyFont="1" applyNumberFormat="1">
      <alignment vertical="bottom"/>
    </xf>
    <xf borderId="23" fillId="8" fontId="3" numFmtId="4" xfId="0" applyAlignment="1" applyBorder="1" applyFont="1" applyNumberFormat="1">
      <alignment vertical="bottom"/>
    </xf>
    <xf borderId="23" fillId="8" fontId="3" numFmtId="164" xfId="0" applyAlignment="1" applyBorder="1" applyFont="1" applyNumberFormat="1">
      <alignment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3" xfId="0" applyAlignment="1" applyBorder="1" applyFont="1" applyNumberFormat="1">
      <alignment horizontal="center" vertical="bottom"/>
    </xf>
    <xf borderId="23" fillId="8" fontId="4" numFmtId="0" xfId="0" applyAlignment="1" applyBorder="1" applyFont="1">
      <alignment horizontal="center" vertical="bottom"/>
    </xf>
    <xf borderId="23" fillId="8" fontId="4" numFmtId="10" xfId="0" applyAlignment="1" applyBorder="1" applyFont="1" applyNumberFormat="1">
      <alignment horizontal="center" vertical="bottom"/>
    </xf>
    <xf borderId="23" fillId="8" fontId="4" numFmtId="4" xfId="0" applyAlignment="1" applyBorder="1" applyFont="1" applyNumberFormat="1">
      <alignment horizontal="center"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164" xfId="0" applyAlignment="1" applyBorder="1" applyFont="1" applyNumberFormat="1">
      <alignment horizontal="center" vertical="bottom"/>
    </xf>
    <xf borderId="19" fillId="9" fontId="4" numFmtId="165" xfId="0" applyAlignment="1" applyBorder="1" applyFill="1" applyFont="1" applyNumberFormat="1">
      <alignment horizontal="center" readingOrder="0" vertical="bottom"/>
    </xf>
    <xf borderId="19" fillId="10" fontId="4" numFmtId="165" xfId="0" applyAlignment="1" applyBorder="1" applyFill="1" applyFont="1" applyNumberFormat="1">
      <alignment horizontal="center" readingOrder="0" vertical="bottom"/>
    </xf>
    <xf borderId="27" fillId="2" fontId="9" numFmtId="0" xfId="0" applyAlignment="1" applyBorder="1" applyFon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3" xfId="0" applyAlignment="1" applyBorder="1" applyFont="1" applyNumberFormat="1">
      <alignment horizontal="center" vertical="bottom"/>
    </xf>
    <xf borderId="23" fillId="8" fontId="9" numFmtId="0" xfId="0" applyAlignment="1" applyBorder="1" applyFont="1">
      <alignment horizontal="center" vertical="bottom"/>
    </xf>
    <xf borderId="23" fillId="8" fontId="9" numFmtId="10" xfId="0" applyAlignment="1" applyBorder="1" applyFont="1" applyNumberFormat="1">
      <alignment horizontal="center" vertical="bottom"/>
    </xf>
    <xf borderId="23" fillId="8" fontId="9" numFmtId="4" xfId="0" applyAlignment="1" applyBorder="1" applyFont="1" applyNumberForma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164" xfId="0" applyAlignment="1" applyBorder="1" applyFont="1" applyNumberFormat="1">
      <alignment horizontal="center" vertical="bottom"/>
    </xf>
    <xf borderId="23" fillId="8" fontId="3" numFmtId="3" xfId="0" applyAlignment="1" applyBorder="1" applyFont="1" applyNumberFormat="1">
      <alignment vertical="bottom"/>
    </xf>
    <xf borderId="27" fillId="2" fontId="9" numFmtId="0" xfId="0" applyAlignment="1" applyBorder="1" applyFont="1">
      <alignment horizontal="center" readingOrder="0" vertical="bottom"/>
    </xf>
    <xf borderId="1" fillId="2" fontId="9" numFmtId="166" xfId="0" applyAlignment="1" applyBorder="1" applyFont="1" applyNumberFormat="1">
      <alignment horizontal="center" vertical="bottom"/>
    </xf>
    <xf borderId="19" fillId="2" fontId="11" numFmtId="10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23" fillId="8" fontId="3" numFmtId="2" xfId="0" applyAlignment="1" applyBorder="1" applyFont="1" applyNumberFormat="1">
      <alignment vertical="bottom"/>
    </xf>
    <xf borderId="23" fillId="8" fontId="3" numFmtId="9" xfId="0" applyAlignment="1" applyBorder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8" fontId="3" numFmtId="10" xfId="0" applyAlignment="1" applyFont="1" applyNumberFormat="1">
      <alignment vertical="bottom"/>
    </xf>
    <xf borderId="0" fillId="8" fontId="3" numFmtId="2" xfId="0" applyAlignment="1" applyFont="1" applyNumberFormat="1">
      <alignment vertical="bottom"/>
    </xf>
    <xf borderId="0" fillId="8" fontId="3" numFmtId="9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13" numFmtId="0" xfId="0" applyFont="1"/>
    <xf borderId="3" fillId="2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vertical="bottom" wrapText="1"/>
    </xf>
    <xf borderId="20" fillId="2" fontId="3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readingOrder="0" vertical="bottom"/>
    </xf>
    <xf borderId="28" fillId="7" fontId="4" numFmtId="0" xfId="0" applyAlignment="1" applyBorder="1" applyFont="1">
      <alignment horizontal="center" readingOrder="0" vertical="bottom"/>
    </xf>
    <xf borderId="19" fillId="8" fontId="4" numFmtId="0" xfId="0" applyAlignment="1" applyBorder="1" applyFont="1">
      <alignment horizontal="center" readingOrder="0" vertical="bottom"/>
    </xf>
    <xf borderId="16" fillId="0" fontId="2" numFmtId="0" xfId="0" applyBorder="1" applyFont="1"/>
    <xf borderId="29" fillId="0" fontId="2" numFmtId="0" xfId="0" applyBorder="1" applyFont="1"/>
    <xf borderId="28" fillId="5" fontId="4" numFmtId="0" xfId="0" applyAlignment="1" applyBorder="1" applyFont="1">
      <alignment horizontal="center" readingOrder="0" vertical="bottom"/>
    </xf>
    <xf borderId="20" fillId="2" fontId="3" numFmtId="0" xfId="0" applyAlignment="1" applyBorder="1" applyFont="1">
      <alignment vertical="bottom"/>
    </xf>
    <xf borderId="28" fillId="7" fontId="4" numFmtId="0" xfId="0" applyAlignment="1" applyBorder="1" applyFont="1">
      <alignment horizontal="center" vertical="bottom"/>
    </xf>
    <xf borderId="19" fillId="8" fontId="4" numFmtId="0" xfId="0" applyAlignment="1" applyBorder="1" applyFont="1">
      <alignment horizontal="center" vertical="bottom"/>
    </xf>
    <xf borderId="28" fillId="5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Week",$B$11:$X$105,match("SALES",$B$11:$X$11,0),FALSE)</f>
        <v>0</v>
      </c>
      <c r="L4" s="13"/>
      <c r="M4" s="13"/>
      <c r="N4" s="22">
        <f>VLOOKUP("Current Week",$B$11:$X$105,match("Units Sold",$B$11:$X$11,0),FALSE)</f>
        <v>0</v>
      </c>
      <c r="O4" s="10"/>
      <c r="P4" s="8"/>
      <c r="Q4" s="3"/>
      <c r="R4" s="13"/>
      <c r="S4" s="22">
        <f>VLOOKUP("Current Week",$B$11:$X$105,match("Ordered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Week",$B$11:$X$110,match("SALES",$B$11:$X$11,0),FALSE)))/K4</f>
        <v>#DIV/0!</v>
      </c>
      <c r="L5" s="13"/>
      <c r="M5" s="13"/>
      <c r="N5" s="27" t="str">
        <f>(N4-(VLOOKUP("Previous Week",$B$11:$X$110,match("Units Sold",$B$11:$X$11,0),FALSE)))/N4</f>
        <v>#DIV/0!</v>
      </c>
      <c r="O5" s="10"/>
      <c r="P5" s="10"/>
      <c r="Q5" s="8"/>
      <c r="R5" s="13"/>
      <c r="S5" s="27" t="str">
        <f>(S4-(VLOOKUP("Previous Week",$B$11:$X$110,match("Ordered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Week",$B$11:$X$105,match("AD SALES",$B$11:$X$11,0),FALSE)</f>
        <v>571</v>
      </c>
      <c r="L8" s="13"/>
      <c r="M8" s="13"/>
      <c r="N8" s="31">
        <f>VLOOKUP("Current Week",$B$11:$X$105,match("SP AD SPEND",$B$11:$X$11,0),FALSE)</f>
        <v>593.32</v>
      </c>
      <c r="O8" s="10"/>
      <c r="P8" s="8"/>
      <c r="Q8" s="3"/>
      <c r="R8" s="13"/>
      <c r="S8" s="32">
        <f>N8/K8</f>
        <v>1.039089317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Week",$B$11:$X$110,match("AD SALES",$B$11:$X$11,0),FALSE)))/K8</f>
        <v>-0.7793345009</v>
      </c>
      <c r="L9" s="13"/>
      <c r="M9" s="13"/>
      <c r="N9" s="37">
        <f>(N8-(VLOOKUP("Previous Week",$B$11:$X$110,match("SP AD SPEND",$B$11:$X$11,0),FALSE)))/N8</f>
        <v>0.122564552</v>
      </c>
      <c r="Q9" s="35"/>
      <c r="R9" s="13"/>
      <c r="S9" s="37">
        <f>(S8-(VLOOKUP("Previous Week",$B$11:$X$110,match("ACOS",$B$11:$X$11,0),FALSE)))/S8</f>
        <v>0.5068743693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96" si="1">E13/F13</f>
        <v>#DIV/0!</v>
      </c>
      <c r="H13" s="79" t="str">
        <f t="shared" ref="H13:H96" si="2">D13/E13</f>
        <v>#DIV/0!</v>
      </c>
      <c r="I13" s="80" t="str">
        <f t="shared" ref="I13:I96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96" si="5">M13/J13</f>
        <v>#DIV/0!</v>
      </c>
      <c r="P13" s="85" t="str">
        <f t="shared" ref="P13:P96" si="6">J13/D13</f>
        <v>#DIV/0!</v>
      </c>
      <c r="Q13" s="87" t="str">
        <f t="shared" ref="Q13:Q96" si="7">M13/D13</f>
        <v>#DIV/0!</v>
      </c>
      <c r="R13" s="88">
        <f t="shared" ref="R13:R16" si="8">D13-M13</f>
        <v>0</v>
      </c>
      <c r="S13" s="89" t="str">
        <f t="shared" ref="S13:S96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5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7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126"/>
      <c r="C65" s="117" t="s">
        <v>46</v>
      </c>
      <c r="D65" s="127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28">
        <v>0.0</v>
      </c>
      <c r="K65" s="121">
        <v>0.0</v>
      </c>
      <c r="L65" s="135"/>
      <c r="M65" s="129">
        <v>0.0</v>
      </c>
      <c r="N65" s="85" t="str">
        <f t="shared" si="76"/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95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16"/>
      <c r="B66" s="74" t="s">
        <v>33</v>
      </c>
      <c r="C66" s="117" t="s">
        <v>34</v>
      </c>
      <c r="D66" s="130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31">
        <v>0.0</v>
      </c>
      <c r="K66" s="121">
        <v>0.0</v>
      </c>
      <c r="L66" s="135"/>
      <c r="M66" s="132">
        <v>0.0</v>
      </c>
      <c r="N66" s="85" t="str">
        <f>(J66/M66)</f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100">
        <f t="shared" si="79"/>
        <v>0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hidden="1" outlineLevel="1">
      <c r="A67" s="101" t="str">
        <f t="shared" ref="A67:A68" si="80">iferror(if(B67&gt;0,month(B67)&amp;"-"&amp;year(B67),B67),)</f>
        <v>12-2025</v>
      </c>
      <c r="B67" s="74">
        <v>45997.0</v>
      </c>
      <c r="C67" s="117" t="s">
        <v>35</v>
      </c>
      <c r="D67" s="133"/>
      <c r="E67" s="119"/>
      <c r="F67" s="119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28">
        <v>1220.18</v>
      </c>
      <c r="K67" s="121">
        <v>75696.0</v>
      </c>
      <c r="L67" s="135"/>
      <c r="M67" s="129">
        <v>391.0</v>
      </c>
      <c r="N67" s="85">
        <f t="shared" ref="N67:N72" si="83">J67/M67</f>
        <v>3.120664962</v>
      </c>
      <c r="O67" s="86">
        <f t="shared" si="5"/>
        <v>0.3204445246</v>
      </c>
      <c r="P67" s="85" t="str">
        <f t="shared" si="6"/>
        <v>#DIV/0!</v>
      </c>
      <c r="Q67" s="87" t="str">
        <f t="shared" si="7"/>
        <v>#DIV/0!</v>
      </c>
      <c r="R67" s="88">
        <f t="shared" si="79"/>
        <v>-391</v>
      </c>
      <c r="S67" s="89" t="str">
        <f t="shared" si="9"/>
        <v>#DIV/0!</v>
      </c>
      <c r="T67" s="124"/>
      <c r="U67" s="124"/>
      <c r="V67" s="124"/>
      <c r="W67" s="124"/>
      <c r="X67" s="125"/>
      <c r="Y67" s="116"/>
      <c r="Z67" s="116"/>
    </row>
    <row r="68" collapsed="1">
      <c r="A68" s="116" t="str">
        <f t="shared" si="80"/>
        <v/>
      </c>
      <c r="B68" s="137" t="s">
        <v>47</v>
      </c>
      <c r="C68" s="138"/>
      <c r="D68" s="104">
        <f t="shared" ref="D68:F68" si="81">SUM(D63:D67)</f>
        <v>0</v>
      </c>
      <c r="E68" s="105">
        <f t="shared" si="81"/>
        <v>0</v>
      </c>
      <c r="F68" s="105">
        <f t="shared" si="81"/>
        <v>0</v>
      </c>
      <c r="G68" s="106" t="str">
        <f t="shared" si="1"/>
        <v>#DIV/0!</v>
      </c>
      <c r="H68" s="107" t="str">
        <f t="shared" si="2"/>
        <v>#DIV/0!</v>
      </c>
      <c r="I68" s="108" t="str">
        <f t="shared" si="3"/>
        <v>#DIV/0!</v>
      </c>
      <c r="J68" s="104">
        <f t="shared" ref="J68:M68" si="82">SUM(J63:J67)</f>
        <v>2625.65</v>
      </c>
      <c r="K68" s="109">
        <f t="shared" si="82"/>
        <v>180846</v>
      </c>
      <c r="L68" s="139">
        <f t="shared" si="82"/>
        <v>0</v>
      </c>
      <c r="M68" s="110">
        <f t="shared" si="82"/>
        <v>1335</v>
      </c>
      <c r="N68" s="111">
        <f t="shared" si="83"/>
        <v>1.966779026</v>
      </c>
      <c r="O68" s="112">
        <f t="shared" si="5"/>
        <v>0.5084455278</v>
      </c>
      <c r="P68" s="111" t="str">
        <f t="shared" si="6"/>
        <v>#DIV/0!</v>
      </c>
      <c r="Q68" s="113" t="str">
        <f t="shared" si="7"/>
        <v>#DIV/0!</v>
      </c>
      <c r="R68" s="114">
        <f>SUM(R63:R67)</f>
        <v>-1335</v>
      </c>
      <c r="S68" s="115" t="str">
        <f t="shared" si="9"/>
        <v>#DIV/0!</v>
      </c>
      <c r="T68" s="140" t="str">
        <f t="shared" ref="T68:U68" si="84">IFERROR((D68-#REF!)/D68,)</f>
        <v/>
      </c>
      <c r="U68" s="140" t="str">
        <f t="shared" si="84"/>
        <v/>
      </c>
      <c r="V68" s="140" t="str">
        <f t="shared" ref="V68:W68" si="85">IFERROR((D68-#REF!)/D68, )</f>
        <v/>
      </c>
      <c r="W68" s="140" t="str">
        <f t="shared" si="85"/>
        <v/>
      </c>
      <c r="X68" s="116"/>
      <c r="Y68" s="116"/>
      <c r="Z68" s="116"/>
    </row>
    <row r="69" hidden="1" outlineLevel="1">
      <c r="A69" s="116"/>
      <c r="B69" s="74">
        <v>45998.0</v>
      </c>
      <c r="C69" s="117" t="s">
        <v>31</v>
      </c>
      <c r="D69" s="118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0">
        <v>167.6</v>
      </c>
      <c r="K69" s="121">
        <v>9254.0</v>
      </c>
      <c r="L69" s="135"/>
      <c r="M69" s="123">
        <v>559.0</v>
      </c>
      <c r="N69" s="85">
        <f t="shared" si="83"/>
        <v>0.2998211091</v>
      </c>
      <c r="O69" s="86">
        <f t="shared" si="5"/>
        <v>3.335322196</v>
      </c>
      <c r="P69" s="85" t="str">
        <f t="shared" si="6"/>
        <v>#DIV/0!</v>
      </c>
      <c r="Q69" s="87" t="str">
        <f t="shared" si="7"/>
        <v>#DIV/0!</v>
      </c>
      <c r="R69" s="88">
        <f t="shared" ref="R69:R74" si="86">D69-M69</f>
        <v>-559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126"/>
      <c r="C70" s="117" t="s">
        <v>48</v>
      </c>
      <c r="D70" s="127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41">
        <v>0.0</v>
      </c>
      <c r="K70" s="121">
        <v>0.0</v>
      </c>
      <c r="L70" s="135"/>
      <c r="M70" s="142">
        <v>0.0</v>
      </c>
      <c r="N70" s="85" t="str">
        <f t="shared" si="83"/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95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16"/>
      <c r="B71" s="126"/>
      <c r="C71" s="117" t="s">
        <v>32</v>
      </c>
      <c r="D71" s="127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186.66</v>
      </c>
      <c r="K71" s="121">
        <v>18782.0</v>
      </c>
      <c r="L71" s="135"/>
      <c r="M71" s="129">
        <v>0.0</v>
      </c>
      <c r="N71" s="85" t="str">
        <f t="shared" si="83"/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95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 hidden="1" outlineLevel="1">
      <c r="A72" s="116"/>
      <c r="B72" s="126"/>
      <c r="C72" s="117" t="s">
        <v>46</v>
      </c>
      <c r="D72" s="127"/>
      <c r="E72" s="119"/>
      <c r="F72" s="119"/>
      <c r="G72" s="78" t="str">
        <f t="shared" si="1"/>
        <v>#DIV/0!</v>
      </c>
      <c r="H72" s="79" t="str">
        <f t="shared" si="2"/>
        <v>#DIV/0!</v>
      </c>
      <c r="I72" s="80" t="str">
        <f t="shared" si="3"/>
        <v>#DIV/0!</v>
      </c>
      <c r="J72" s="128">
        <v>0.0</v>
      </c>
      <c r="K72" s="121">
        <v>0.0</v>
      </c>
      <c r="L72" s="135"/>
      <c r="M72" s="129">
        <v>0.0</v>
      </c>
      <c r="N72" s="85" t="str">
        <f t="shared" si="83"/>
        <v>#DIV/0!</v>
      </c>
      <c r="O72" s="86" t="str">
        <f t="shared" si="5"/>
        <v>#DIV/0!</v>
      </c>
      <c r="P72" s="85" t="str">
        <f t="shared" si="6"/>
        <v>#DIV/0!</v>
      </c>
      <c r="Q72" s="87" t="str">
        <f t="shared" si="7"/>
        <v>#DIV/0!</v>
      </c>
      <c r="R72" s="95">
        <f t="shared" si="86"/>
        <v>0</v>
      </c>
      <c r="S72" s="89" t="str">
        <f t="shared" si="9"/>
        <v>#DIV/0!</v>
      </c>
      <c r="T72" s="124"/>
      <c r="U72" s="124"/>
      <c r="V72" s="124"/>
      <c r="W72" s="124"/>
      <c r="X72" s="125"/>
      <c r="Y72" s="116"/>
      <c r="Z72" s="116"/>
    </row>
    <row r="73" hidden="1" outlineLevel="1">
      <c r="A73" s="116"/>
      <c r="B73" s="74" t="s">
        <v>33</v>
      </c>
      <c r="C73" s="117" t="s">
        <v>34</v>
      </c>
      <c r="D73" s="130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31">
        <v>0.0</v>
      </c>
      <c r="K73" s="121">
        <v>0.0</v>
      </c>
      <c r="L73" s="135"/>
      <c r="M73" s="132">
        <v>0.0</v>
      </c>
      <c r="N73" s="85" t="str">
        <f>(J73/M73)</f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100">
        <f t="shared" si="86"/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 hidden="1" outlineLevel="1">
      <c r="A74" s="101" t="str">
        <f t="shared" ref="A74:A75" si="87">iferror(if(B74&gt;0,month(B74)&amp;"-"&amp;year(B74),B74),)</f>
        <v>12-2025</v>
      </c>
      <c r="B74" s="74">
        <v>46004.0</v>
      </c>
      <c r="C74" s="117" t="s">
        <v>35</v>
      </c>
      <c r="D74" s="133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176.02</v>
      </c>
      <c r="K74" s="121">
        <v>9377.0</v>
      </c>
      <c r="L74" s="135"/>
      <c r="M74" s="129">
        <v>0.0</v>
      </c>
      <c r="N74" s="85" t="str">
        <f t="shared" ref="N74:N79" si="90">J74/M74</f>
        <v>#DIV/0!</v>
      </c>
      <c r="O74" s="86">
        <f t="shared" si="5"/>
        <v>0</v>
      </c>
      <c r="P74" s="85" t="str">
        <f t="shared" si="6"/>
        <v>#DIV/0!</v>
      </c>
      <c r="Q74" s="87" t="str">
        <f t="shared" si="7"/>
        <v>#DIV/0!</v>
      </c>
      <c r="R74" s="88">
        <f t="shared" si="86"/>
        <v>0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 collapsed="1">
      <c r="A75" s="116" t="str">
        <f t="shared" si="87"/>
        <v/>
      </c>
      <c r="B75" s="137" t="s">
        <v>49</v>
      </c>
      <c r="C75" s="138"/>
      <c r="D75" s="104">
        <f t="shared" ref="D75:F75" si="88">SUM(D69:D74)</f>
        <v>0</v>
      </c>
      <c r="E75" s="105">
        <f t="shared" si="88"/>
        <v>0</v>
      </c>
      <c r="F75" s="105">
        <f t="shared" si="88"/>
        <v>0</v>
      </c>
      <c r="G75" s="106" t="str">
        <f t="shared" si="1"/>
        <v>#DIV/0!</v>
      </c>
      <c r="H75" s="107" t="str">
        <f t="shared" si="2"/>
        <v>#DIV/0!</v>
      </c>
      <c r="I75" s="108" t="str">
        <f t="shared" si="3"/>
        <v>#DIV/0!</v>
      </c>
      <c r="J75" s="104">
        <f t="shared" ref="J75:M75" si="89">SUM(J69:J74)</f>
        <v>530.28</v>
      </c>
      <c r="K75" s="109">
        <f t="shared" si="89"/>
        <v>37413</v>
      </c>
      <c r="L75" s="139">
        <f t="shared" si="89"/>
        <v>0</v>
      </c>
      <c r="M75" s="110">
        <f t="shared" si="89"/>
        <v>559</v>
      </c>
      <c r="N75" s="111">
        <f t="shared" si="90"/>
        <v>0.9486225403</v>
      </c>
      <c r="O75" s="112">
        <f t="shared" si="5"/>
        <v>1.054160066</v>
      </c>
      <c r="P75" s="111" t="str">
        <f t="shared" si="6"/>
        <v>#DIV/0!</v>
      </c>
      <c r="Q75" s="113" t="str">
        <f t="shared" si="7"/>
        <v>#DIV/0!</v>
      </c>
      <c r="R75" s="114">
        <f>SUM(R69:R74)</f>
        <v>-559</v>
      </c>
      <c r="S75" s="115" t="str">
        <f t="shared" si="9"/>
        <v>#DIV/0!</v>
      </c>
      <c r="T75" s="140" t="str">
        <f t="shared" ref="T75:U75" si="91">IFERROR((D75-#REF!)/D75,)</f>
        <v/>
      </c>
      <c r="U75" s="140" t="str">
        <f t="shared" si="91"/>
        <v/>
      </c>
      <c r="V75" s="140" t="str">
        <f t="shared" ref="V75:W75" si="92">IFERROR((D75-#REF!)/D75, )</f>
        <v/>
      </c>
      <c r="W75" s="140" t="str">
        <f t="shared" si="92"/>
        <v/>
      </c>
      <c r="X75" s="116"/>
      <c r="Y75" s="116"/>
      <c r="Z75" s="116"/>
    </row>
    <row r="76" hidden="1" outlineLevel="1">
      <c r="A76" s="116"/>
      <c r="B76" s="74">
        <v>46005.0</v>
      </c>
      <c r="C76" s="117" t="s">
        <v>31</v>
      </c>
      <c r="D76" s="118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0">
        <v>184.7</v>
      </c>
      <c r="K76" s="121">
        <v>9908.0</v>
      </c>
      <c r="L76" s="135"/>
      <c r="M76" s="123">
        <v>0.0</v>
      </c>
      <c r="N76" s="85" t="str">
        <f t="shared" si="90"/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ref="R76:R81" si="93">D76-M76</f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 hidden="1" outlineLevel="1">
      <c r="A77" s="116"/>
      <c r="B77" s="126"/>
      <c r="C77" s="117" t="s">
        <v>48</v>
      </c>
      <c r="D77" s="127"/>
      <c r="E77" s="119"/>
      <c r="F77" s="119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141">
        <v>0.0</v>
      </c>
      <c r="K77" s="121">
        <v>0.0</v>
      </c>
      <c r="L77" s="135"/>
      <c r="M77" s="142">
        <v>0.0</v>
      </c>
      <c r="N77" s="85" t="str">
        <f t="shared" si="90"/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95">
        <f t="shared" si="93"/>
        <v>0</v>
      </c>
      <c r="S77" s="89" t="str">
        <f t="shared" si="9"/>
        <v>#DIV/0!</v>
      </c>
      <c r="T77" s="124"/>
      <c r="U77" s="124"/>
      <c r="V77" s="124"/>
      <c r="W77" s="124"/>
      <c r="X77" s="125"/>
      <c r="Y77" s="116"/>
      <c r="Z77" s="116"/>
    </row>
    <row r="78" hidden="1" outlineLevel="1">
      <c r="A78" s="116"/>
      <c r="B78" s="126"/>
      <c r="C78" s="117" t="s">
        <v>32</v>
      </c>
      <c r="D78" s="127"/>
      <c r="E78" s="119"/>
      <c r="F78" s="119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128">
        <v>161.84</v>
      </c>
      <c r="K78" s="121">
        <v>13094.0</v>
      </c>
      <c r="L78" s="135"/>
      <c r="M78" s="129">
        <v>1106.0</v>
      </c>
      <c r="N78" s="85">
        <f t="shared" si="90"/>
        <v>0.1463291139</v>
      </c>
      <c r="O78" s="86">
        <f t="shared" si="5"/>
        <v>6.833910035</v>
      </c>
      <c r="P78" s="85" t="str">
        <f t="shared" si="6"/>
        <v>#DIV/0!</v>
      </c>
      <c r="Q78" s="87" t="str">
        <f t="shared" si="7"/>
        <v>#DIV/0!</v>
      </c>
      <c r="R78" s="95">
        <f t="shared" si="93"/>
        <v>-1106</v>
      </c>
      <c r="S78" s="89" t="str">
        <f t="shared" si="9"/>
        <v>#DIV/0!</v>
      </c>
      <c r="T78" s="124"/>
      <c r="U78" s="124"/>
      <c r="V78" s="124"/>
      <c r="W78" s="124"/>
      <c r="X78" s="125"/>
      <c r="Y78" s="116"/>
      <c r="Z78" s="116"/>
    </row>
    <row r="79" hidden="1" outlineLevel="1">
      <c r="A79" s="116"/>
      <c r="B79" s="126"/>
      <c r="C79" s="117" t="s">
        <v>46</v>
      </c>
      <c r="D79" s="127"/>
      <c r="E79" s="119"/>
      <c r="F79" s="119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128">
        <v>0.0</v>
      </c>
      <c r="K79" s="121">
        <v>0.0</v>
      </c>
      <c r="L79" s="135"/>
      <c r="M79" s="129">
        <v>0.0</v>
      </c>
      <c r="N79" s="85" t="str">
        <f t="shared" si="90"/>
        <v>#DIV/0!</v>
      </c>
      <c r="O79" s="86" t="str">
        <f t="shared" si="5"/>
        <v>#DIV/0!</v>
      </c>
      <c r="P79" s="85" t="str">
        <f t="shared" si="6"/>
        <v>#DIV/0!</v>
      </c>
      <c r="Q79" s="87" t="str">
        <f t="shared" si="7"/>
        <v>#DIV/0!</v>
      </c>
      <c r="R79" s="95">
        <f t="shared" si="93"/>
        <v>0</v>
      </c>
      <c r="S79" s="89" t="str">
        <f t="shared" si="9"/>
        <v>#DIV/0!</v>
      </c>
      <c r="T79" s="124"/>
      <c r="U79" s="124"/>
      <c r="V79" s="124"/>
      <c r="W79" s="124"/>
      <c r="X79" s="125"/>
      <c r="Y79" s="116"/>
      <c r="Z79" s="116"/>
    </row>
    <row r="80" hidden="1" outlineLevel="1">
      <c r="A80" s="116"/>
      <c r="B80" s="74" t="s">
        <v>33</v>
      </c>
      <c r="C80" s="117" t="s">
        <v>34</v>
      </c>
      <c r="D80" s="130"/>
      <c r="E80" s="119"/>
      <c r="F80" s="119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131">
        <v>0.0</v>
      </c>
      <c r="K80" s="121">
        <v>0.0</v>
      </c>
      <c r="L80" s="135"/>
      <c r="M80" s="132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93"/>
        <v>0</v>
      </c>
      <c r="S80" s="89" t="str">
        <f t="shared" si="9"/>
        <v>#DIV/0!</v>
      </c>
      <c r="T80" s="124"/>
      <c r="U80" s="124"/>
      <c r="V80" s="124"/>
      <c r="W80" s="124"/>
      <c r="X80" s="125"/>
      <c r="Y80" s="116"/>
      <c r="Z80" s="116"/>
    </row>
    <row r="81" hidden="1" outlineLevel="1">
      <c r="A81" s="101" t="str">
        <f t="shared" ref="A81:A82" si="94">iferror(if(B81&gt;0,month(B81)&amp;"-"&amp;year(B81),B81),)</f>
        <v>12-2025</v>
      </c>
      <c r="B81" s="74">
        <v>46011.0</v>
      </c>
      <c r="C81" s="117" t="s">
        <v>35</v>
      </c>
      <c r="D81" s="133"/>
      <c r="E81" s="119"/>
      <c r="F81" s="119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128">
        <v>166.95</v>
      </c>
      <c r="K81" s="121">
        <v>5380.0</v>
      </c>
      <c r="L81" s="135"/>
      <c r="M81" s="129">
        <v>0.0</v>
      </c>
      <c r="N81" s="85" t="str">
        <f t="shared" ref="N81:N86" si="97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93"/>
        <v>0</v>
      </c>
      <c r="S81" s="89" t="str">
        <f t="shared" si="9"/>
        <v>#DIV/0!</v>
      </c>
      <c r="T81" s="124"/>
      <c r="U81" s="124"/>
      <c r="V81" s="124"/>
      <c r="W81" s="124"/>
      <c r="X81" s="125"/>
      <c r="Y81" s="116"/>
      <c r="Z81" s="116"/>
    </row>
    <row r="82" collapsed="1">
      <c r="A82" s="116" t="str">
        <f t="shared" si="94"/>
        <v/>
      </c>
      <c r="B82" s="137" t="s">
        <v>50</v>
      </c>
      <c r="C82" s="138"/>
      <c r="D82" s="104">
        <f t="shared" ref="D82:F82" si="95">SUM(D76:D81)</f>
        <v>0</v>
      </c>
      <c r="E82" s="105">
        <f t="shared" si="95"/>
        <v>0</v>
      </c>
      <c r="F82" s="105">
        <f t="shared" si="95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96">SUM(J76:J81)</f>
        <v>513.49</v>
      </c>
      <c r="K82" s="109">
        <f t="shared" si="96"/>
        <v>28382</v>
      </c>
      <c r="L82" s="139">
        <f t="shared" si="96"/>
        <v>0</v>
      </c>
      <c r="M82" s="110">
        <f t="shared" si="96"/>
        <v>1106</v>
      </c>
      <c r="N82" s="111">
        <f t="shared" si="97"/>
        <v>0.4642766727</v>
      </c>
      <c r="O82" s="112">
        <f t="shared" si="5"/>
        <v>2.153888099</v>
      </c>
      <c r="P82" s="111" t="str">
        <f t="shared" si="6"/>
        <v>#DIV/0!</v>
      </c>
      <c r="Q82" s="113" t="str">
        <f t="shared" si="7"/>
        <v>#DIV/0!</v>
      </c>
      <c r="R82" s="114">
        <f>SUM(R76:R81)</f>
        <v>-1106</v>
      </c>
      <c r="S82" s="115" t="str">
        <f t="shared" si="9"/>
        <v>#DIV/0!</v>
      </c>
      <c r="T82" s="140" t="str">
        <f t="shared" ref="T82:U82" si="98">IFERROR((D82-#REF!)/D82,)</f>
        <v/>
      </c>
      <c r="U82" s="140" t="str">
        <f t="shared" si="98"/>
        <v/>
      </c>
      <c r="V82" s="140" t="str">
        <f t="shared" ref="V82:W82" si="99">IFERROR((D82-#REF!)/D82, )</f>
        <v/>
      </c>
      <c r="W82" s="140" t="str">
        <f t="shared" si="99"/>
        <v/>
      </c>
      <c r="X82" s="116"/>
      <c r="Y82" s="116"/>
      <c r="Z82" s="116"/>
    </row>
    <row r="83">
      <c r="A83" s="13"/>
      <c r="B83" s="143">
        <v>46012.0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176.83</v>
      </c>
      <c r="K83" s="82">
        <v>10330.0</v>
      </c>
      <c r="L83" s="83"/>
      <c r="M83" s="84">
        <v>839.0</v>
      </c>
      <c r="N83" s="85">
        <f t="shared" si="97"/>
        <v>0.2107628129</v>
      </c>
      <c r="O83" s="86">
        <f t="shared" si="5"/>
        <v>4.744670022</v>
      </c>
      <c r="P83" s="85" t="str">
        <f t="shared" si="6"/>
        <v>#DIV/0!</v>
      </c>
      <c r="Q83" s="87" t="str">
        <f t="shared" si="7"/>
        <v>#DIV/0!</v>
      </c>
      <c r="R83" s="88">
        <f t="shared" ref="R83:R88" si="100">D83-M83</f>
        <v>-839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144" t="s">
        <v>48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145">
        <v>0.0</v>
      </c>
      <c r="K84" s="82">
        <v>0.0</v>
      </c>
      <c r="L84" s="146"/>
      <c r="M84" s="147">
        <v>0.0</v>
      </c>
      <c r="N84" s="85" t="str">
        <f t="shared" si="97"/>
        <v>#DIV/0!</v>
      </c>
      <c r="O84" s="86" t="str">
        <f t="shared" si="5"/>
        <v>#DIV/0!</v>
      </c>
      <c r="P84" s="85" t="str">
        <f t="shared" si="6"/>
        <v>#DIV/0!</v>
      </c>
      <c r="Q84" s="87" t="str">
        <f t="shared" si="7"/>
        <v>#DIV/0!</v>
      </c>
      <c r="R84" s="95">
        <f t="shared" si="100"/>
        <v>0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91"/>
      <c r="C85" s="75" t="s">
        <v>32</v>
      </c>
      <c r="D85" s="92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3">
        <v>169.03</v>
      </c>
      <c r="K85" s="82">
        <v>10693.0</v>
      </c>
      <c r="L85" s="83"/>
      <c r="M85" s="94">
        <v>177.0</v>
      </c>
      <c r="N85" s="85">
        <f t="shared" si="97"/>
        <v>0.9549717514</v>
      </c>
      <c r="O85" s="86">
        <f t="shared" si="5"/>
        <v>1.047151393</v>
      </c>
      <c r="P85" s="85" t="str">
        <f t="shared" si="6"/>
        <v>#DIV/0!</v>
      </c>
      <c r="Q85" s="87" t="str">
        <f t="shared" si="7"/>
        <v>#DIV/0!</v>
      </c>
      <c r="R85" s="95">
        <f t="shared" si="100"/>
        <v>-177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3"/>
      <c r="B86" s="91"/>
      <c r="C86" s="144" t="s">
        <v>46</v>
      </c>
      <c r="D86" s="9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0.0</v>
      </c>
      <c r="K86" s="82">
        <v>0.0</v>
      </c>
      <c r="L86" s="83"/>
      <c r="M86" s="94">
        <v>0.0</v>
      </c>
      <c r="N86" s="85" t="str">
        <f t="shared" si="97"/>
        <v>#DIV/0!</v>
      </c>
      <c r="O86" s="86" t="str">
        <f t="shared" si="5"/>
        <v>#DIV/0!</v>
      </c>
      <c r="P86" s="85" t="str">
        <f t="shared" si="6"/>
        <v>#DIV/0!</v>
      </c>
      <c r="Q86" s="87" t="str">
        <f t="shared" si="7"/>
        <v>#DIV/0!</v>
      </c>
      <c r="R86" s="95">
        <f t="shared" si="100"/>
        <v>0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/>
      <c r="B87" s="148" t="s">
        <v>33</v>
      </c>
      <c r="C87" s="75" t="s">
        <v>34</v>
      </c>
      <c r="D87" s="97"/>
      <c r="E87" s="77"/>
      <c r="F87" s="77"/>
      <c r="G87" s="78" t="str">
        <f t="shared" si="1"/>
        <v>#DIV/0!</v>
      </c>
      <c r="H87" s="79" t="str">
        <f t="shared" si="2"/>
        <v>#DIV/0!</v>
      </c>
      <c r="I87" s="80" t="str">
        <f t="shared" si="3"/>
        <v>#DIV/0!</v>
      </c>
      <c r="J87" s="98">
        <v>0.0</v>
      </c>
      <c r="K87" s="82">
        <v>0.0</v>
      </c>
      <c r="L87" s="83"/>
      <c r="M87" s="99">
        <v>0.0</v>
      </c>
      <c r="N87" s="85" t="str">
        <f>(J87/M87)</f>
        <v>#DIV/0!</v>
      </c>
      <c r="O87" s="86" t="str">
        <f t="shared" si="5"/>
        <v>#DIV/0!</v>
      </c>
      <c r="P87" s="85" t="str">
        <f t="shared" si="6"/>
        <v>#DIV/0!</v>
      </c>
      <c r="Q87" s="87" t="str">
        <f t="shared" si="7"/>
        <v>#DIV/0!</v>
      </c>
      <c r="R87" s="100">
        <f t="shared" si="100"/>
        <v>0</v>
      </c>
      <c r="S87" s="89" t="str">
        <f t="shared" si="9"/>
        <v>#DIV/0!</v>
      </c>
      <c r="T87" s="90"/>
      <c r="U87" s="90"/>
      <c r="V87" s="90"/>
      <c r="W87" s="90"/>
      <c r="X87" s="3"/>
      <c r="Y87" s="13"/>
      <c r="Z87" s="13"/>
    </row>
    <row r="88">
      <c r="A88" s="101" t="str">
        <f t="shared" ref="A88:A89" si="101">iferror(if(B88&gt;0,month(B88)&amp;"-"&amp;year(B88),B88),)</f>
        <v>12-2025</v>
      </c>
      <c r="B88" s="143">
        <v>46018.0</v>
      </c>
      <c r="C88" s="75" t="s">
        <v>35</v>
      </c>
      <c r="D88" s="102"/>
      <c r="E88" s="77"/>
      <c r="F88" s="77"/>
      <c r="G88" s="78" t="str">
        <f t="shared" si="1"/>
        <v>#DIV/0!</v>
      </c>
      <c r="H88" s="79" t="str">
        <f t="shared" si="2"/>
        <v>#DIV/0!</v>
      </c>
      <c r="I88" s="80" t="str">
        <f t="shared" si="3"/>
        <v>#DIV/0!</v>
      </c>
      <c r="J88" s="93">
        <v>174.74</v>
      </c>
      <c r="K88" s="82">
        <v>5497.0</v>
      </c>
      <c r="L88" s="83"/>
      <c r="M88" s="94">
        <v>0.0</v>
      </c>
      <c r="N88" s="85" t="str">
        <f t="shared" ref="N88:N93" si="104">J88/M88</f>
        <v>#DIV/0!</v>
      </c>
      <c r="O88" s="86">
        <f t="shared" si="5"/>
        <v>0</v>
      </c>
      <c r="P88" s="85" t="str">
        <f t="shared" si="6"/>
        <v>#DIV/0!</v>
      </c>
      <c r="Q88" s="87" t="str">
        <f t="shared" si="7"/>
        <v>#DIV/0!</v>
      </c>
      <c r="R88" s="88">
        <f t="shared" si="100"/>
        <v>0</v>
      </c>
      <c r="S88" s="89" t="str">
        <f t="shared" si="9"/>
        <v>#DIV/0!</v>
      </c>
      <c r="T88" s="90"/>
      <c r="U88" s="90"/>
      <c r="V88" s="90"/>
      <c r="W88" s="90"/>
      <c r="X88" s="3"/>
      <c r="Y88" s="13"/>
      <c r="Z88" s="13"/>
    </row>
    <row r="89">
      <c r="A89" s="13" t="str">
        <f t="shared" si="101"/>
        <v/>
      </c>
      <c r="B89" s="103" t="s">
        <v>51</v>
      </c>
      <c r="C89" s="61"/>
      <c r="D89" s="104">
        <f t="shared" ref="D89:F89" si="102">SUM(D83:D88)</f>
        <v>0</v>
      </c>
      <c r="E89" s="105">
        <f t="shared" si="102"/>
        <v>0</v>
      </c>
      <c r="F89" s="105">
        <f t="shared" si="102"/>
        <v>0</v>
      </c>
      <c r="G89" s="106" t="str">
        <f t="shared" si="1"/>
        <v>#DIV/0!</v>
      </c>
      <c r="H89" s="107" t="str">
        <f t="shared" si="2"/>
        <v>#DIV/0!</v>
      </c>
      <c r="I89" s="108" t="str">
        <f t="shared" si="3"/>
        <v>#DIV/0!</v>
      </c>
      <c r="J89" s="104">
        <f t="shared" ref="J89:M89" si="103">SUM(J83:J88)</f>
        <v>520.6</v>
      </c>
      <c r="K89" s="109">
        <f t="shared" si="103"/>
        <v>26520</v>
      </c>
      <c r="L89" s="105">
        <f t="shared" si="103"/>
        <v>0</v>
      </c>
      <c r="M89" s="110">
        <f t="shared" si="103"/>
        <v>1016</v>
      </c>
      <c r="N89" s="111">
        <f t="shared" si="104"/>
        <v>0.5124015748</v>
      </c>
      <c r="O89" s="112">
        <f t="shared" si="5"/>
        <v>1.951594314</v>
      </c>
      <c r="P89" s="111" t="str">
        <f t="shared" si="6"/>
        <v>#DIV/0!</v>
      </c>
      <c r="Q89" s="113" t="str">
        <f t="shared" si="7"/>
        <v>#DIV/0!</v>
      </c>
      <c r="R89" s="114">
        <f>SUM(R83:R88)</f>
        <v>-1016</v>
      </c>
      <c r="S89" s="115" t="str">
        <f t="shared" si="9"/>
        <v>#DIV/0!</v>
      </c>
      <c r="T89" s="73" t="str">
        <f t="shared" ref="T89:U89" si="105">IFERROR((D89-#REF!)/D89,)</f>
        <v/>
      </c>
      <c r="U89" s="73" t="str">
        <f t="shared" si="105"/>
        <v/>
      </c>
      <c r="V89" s="73" t="str">
        <f t="shared" ref="V89:W89" si="106">IFERROR((D89-#REF!)/D89, )</f>
        <v/>
      </c>
      <c r="W89" s="73" t="str">
        <f t="shared" si="106"/>
        <v/>
      </c>
      <c r="X89" s="13"/>
      <c r="Y89" s="13"/>
      <c r="Z89" s="13"/>
    </row>
    <row r="90">
      <c r="A90" s="13"/>
      <c r="B90" s="143">
        <v>46019.0</v>
      </c>
      <c r="C90" s="75" t="s">
        <v>31</v>
      </c>
      <c r="D90" s="76"/>
      <c r="E90" s="77"/>
      <c r="F90" s="77"/>
      <c r="G90" s="78" t="str">
        <f t="shared" si="1"/>
        <v>#DIV/0!</v>
      </c>
      <c r="H90" s="79" t="str">
        <f t="shared" si="2"/>
        <v>#DIV/0!</v>
      </c>
      <c r="I90" s="80" t="str">
        <f t="shared" si="3"/>
        <v>#DIV/0!</v>
      </c>
      <c r="J90" s="81">
        <v>163.31</v>
      </c>
      <c r="K90" s="82">
        <v>11820.0</v>
      </c>
      <c r="L90" s="83"/>
      <c r="M90" s="84">
        <v>58.0</v>
      </c>
      <c r="N90" s="85">
        <f t="shared" si="104"/>
        <v>2.815689655</v>
      </c>
      <c r="O90" s="86">
        <f t="shared" si="5"/>
        <v>0.3551527769</v>
      </c>
      <c r="P90" s="85" t="str">
        <f t="shared" si="6"/>
        <v>#DIV/0!</v>
      </c>
      <c r="Q90" s="87" t="str">
        <f t="shared" si="7"/>
        <v>#DIV/0!</v>
      </c>
      <c r="R90" s="88">
        <f t="shared" ref="R90:R95" si="107">D90-M90</f>
        <v>-58</v>
      </c>
      <c r="S90" s="89" t="str">
        <f t="shared" si="9"/>
        <v>#DIV/0!</v>
      </c>
      <c r="T90" s="90"/>
      <c r="U90" s="90"/>
      <c r="V90" s="90"/>
      <c r="W90" s="90"/>
      <c r="X90" s="3"/>
      <c r="Y90" s="13"/>
      <c r="Z90" s="13"/>
    </row>
    <row r="91">
      <c r="A91" s="13"/>
      <c r="B91" s="91"/>
      <c r="C91" s="144" t="s">
        <v>48</v>
      </c>
      <c r="D91" s="92"/>
      <c r="E91" s="77"/>
      <c r="F91" s="77"/>
      <c r="G91" s="78" t="str">
        <f t="shared" si="1"/>
        <v>#DIV/0!</v>
      </c>
      <c r="H91" s="79" t="str">
        <f t="shared" si="2"/>
        <v>#DIV/0!</v>
      </c>
      <c r="I91" s="80" t="str">
        <f t="shared" si="3"/>
        <v>#DIV/0!</v>
      </c>
      <c r="J91" s="145">
        <v>106.4</v>
      </c>
      <c r="K91" s="82">
        <v>6630.0</v>
      </c>
      <c r="L91" s="146"/>
      <c r="M91" s="147">
        <v>0.0</v>
      </c>
      <c r="N91" s="85" t="str">
        <f t="shared" si="104"/>
        <v>#DIV/0!</v>
      </c>
      <c r="O91" s="86">
        <f t="shared" si="5"/>
        <v>0</v>
      </c>
      <c r="P91" s="85" t="str">
        <f t="shared" si="6"/>
        <v>#DIV/0!</v>
      </c>
      <c r="Q91" s="87" t="str">
        <f t="shared" si="7"/>
        <v>#DIV/0!</v>
      </c>
      <c r="R91" s="95">
        <f t="shared" si="107"/>
        <v>0</v>
      </c>
      <c r="S91" s="89" t="str">
        <f t="shared" si="9"/>
        <v>#DIV/0!</v>
      </c>
      <c r="T91" s="90"/>
      <c r="U91" s="90"/>
      <c r="V91" s="90"/>
      <c r="W91" s="90"/>
      <c r="X91" s="3"/>
      <c r="Y91" s="13"/>
      <c r="Z91" s="13"/>
    </row>
    <row r="92">
      <c r="A92" s="13"/>
      <c r="B92" s="91"/>
      <c r="C92" s="75" t="s">
        <v>32</v>
      </c>
      <c r="D92" s="92"/>
      <c r="E92" s="77"/>
      <c r="F92" s="77"/>
      <c r="G92" s="78" t="str">
        <f t="shared" si="1"/>
        <v>#DIV/0!</v>
      </c>
      <c r="H92" s="79" t="str">
        <f t="shared" si="2"/>
        <v>#DIV/0!</v>
      </c>
      <c r="I92" s="80" t="str">
        <f t="shared" si="3"/>
        <v>#DIV/0!</v>
      </c>
      <c r="J92" s="93">
        <v>157.13</v>
      </c>
      <c r="K92" s="82">
        <v>10589.0</v>
      </c>
      <c r="L92" s="83"/>
      <c r="M92" s="94">
        <v>359.0</v>
      </c>
      <c r="N92" s="85">
        <f t="shared" si="104"/>
        <v>0.4376880223</v>
      </c>
      <c r="O92" s="86">
        <f t="shared" si="5"/>
        <v>2.284732387</v>
      </c>
      <c r="P92" s="85" t="str">
        <f t="shared" si="6"/>
        <v>#DIV/0!</v>
      </c>
      <c r="Q92" s="87" t="str">
        <f t="shared" si="7"/>
        <v>#DIV/0!</v>
      </c>
      <c r="R92" s="95">
        <f t="shared" si="107"/>
        <v>-359</v>
      </c>
      <c r="S92" s="89" t="str">
        <f t="shared" si="9"/>
        <v>#DIV/0!</v>
      </c>
      <c r="T92" s="90"/>
      <c r="U92" s="90"/>
      <c r="V92" s="90"/>
      <c r="W92" s="90"/>
      <c r="X92" s="3"/>
      <c r="Y92" s="13"/>
      <c r="Z92" s="13"/>
    </row>
    <row r="93">
      <c r="A93" s="13"/>
      <c r="B93" s="91"/>
      <c r="C93" s="144" t="s">
        <v>46</v>
      </c>
      <c r="D93" s="92"/>
      <c r="E93" s="77"/>
      <c r="F93" s="77"/>
      <c r="G93" s="78" t="str">
        <f t="shared" si="1"/>
        <v>#DIV/0!</v>
      </c>
      <c r="H93" s="79" t="str">
        <f t="shared" si="2"/>
        <v>#DIV/0!</v>
      </c>
      <c r="I93" s="80" t="str">
        <f t="shared" si="3"/>
        <v>#DIV/0!</v>
      </c>
      <c r="J93" s="93">
        <v>0.0</v>
      </c>
      <c r="K93" s="82">
        <v>0.0</v>
      </c>
      <c r="L93" s="83"/>
      <c r="M93" s="94">
        <v>0.0</v>
      </c>
      <c r="N93" s="85" t="str">
        <f t="shared" si="104"/>
        <v>#DIV/0!</v>
      </c>
      <c r="O93" s="86" t="str">
        <f t="shared" si="5"/>
        <v>#DIV/0!</v>
      </c>
      <c r="P93" s="85" t="str">
        <f t="shared" si="6"/>
        <v>#DIV/0!</v>
      </c>
      <c r="Q93" s="87" t="str">
        <f t="shared" si="7"/>
        <v>#DIV/0!</v>
      </c>
      <c r="R93" s="95">
        <f t="shared" si="107"/>
        <v>0</v>
      </c>
      <c r="S93" s="89" t="str">
        <f t="shared" si="9"/>
        <v>#DIV/0!</v>
      </c>
      <c r="T93" s="90"/>
      <c r="U93" s="90"/>
      <c r="V93" s="90"/>
      <c r="W93" s="90"/>
      <c r="X93" s="3"/>
      <c r="Y93" s="13"/>
      <c r="Z93" s="13"/>
    </row>
    <row r="94">
      <c r="A94" s="13"/>
      <c r="B94" s="148" t="s">
        <v>33</v>
      </c>
      <c r="C94" s="75" t="s">
        <v>34</v>
      </c>
      <c r="D94" s="97"/>
      <c r="E94" s="77"/>
      <c r="F94" s="77"/>
      <c r="G94" s="78" t="str">
        <f t="shared" si="1"/>
        <v>#DIV/0!</v>
      </c>
      <c r="H94" s="79" t="str">
        <f t="shared" si="2"/>
        <v>#DIV/0!</v>
      </c>
      <c r="I94" s="80" t="str">
        <f t="shared" si="3"/>
        <v>#DIV/0!</v>
      </c>
      <c r="J94" s="98">
        <v>0.0</v>
      </c>
      <c r="K94" s="82">
        <v>0.0</v>
      </c>
      <c r="L94" s="83"/>
      <c r="M94" s="99">
        <v>0.0</v>
      </c>
      <c r="N94" s="85" t="str">
        <f>(J94/M94)</f>
        <v>#DIV/0!</v>
      </c>
      <c r="O94" s="86" t="str">
        <f t="shared" si="5"/>
        <v>#DIV/0!</v>
      </c>
      <c r="P94" s="85" t="str">
        <f t="shared" si="6"/>
        <v>#DIV/0!</v>
      </c>
      <c r="Q94" s="87" t="str">
        <f t="shared" si="7"/>
        <v>#DIV/0!</v>
      </c>
      <c r="R94" s="100">
        <f t="shared" si="107"/>
        <v>0</v>
      </c>
      <c r="S94" s="89" t="str">
        <f t="shared" si="9"/>
        <v>#DIV/0!</v>
      </c>
      <c r="T94" s="90"/>
      <c r="U94" s="90"/>
      <c r="V94" s="90"/>
      <c r="W94" s="90"/>
      <c r="X94" s="3"/>
      <c r="Y94" s="13"/>
      <c r="Z94" s="13"/>
    </row>
    <row r="95">
      <c r="A95" s="101" t="str">
        <f t="shared" ref="A95:A96" si="108">iferror(if(B95&gt;0,month(B95)&amp;"-"&amp;year(B95),B95),)</f>
        <v>1-2026</v>
      </c>
      <c r="B95" s="143">
        <v>46025.0</v>
      </c>
      <c r="C95" s="75" t="s">
        <v>35</v>
      </c>
      <c r="D95" s="102"/>
      <c r="E95" s="77"/>
      <c r="F95" s="77"/>
      <c r="G95" s="78" t="str">
        <f t="shared" si="1"/>
        <v>#DIV/0!</v>
      </c>
      <c r="H95" s="79" t="str">
        <f t="shared" si="2"/>
        <v>#DIV/0!</v>
      </c>
      <c r="I95" s="80" t="str">
        <f t="shared" si="3"/>
        <v>#DIV/0!</v>
      </c>
      <c r="J95" s="93">
        <v>166.48</v>
      </c>
      <c r="K95" s="82">
        <v>5772.0</v>
      </c>
      <c r="L95" s="83"/>
      <c r="M95" s="94">
        <v>154.0</v>
      </c>
      <c r="N95" s="85">
        <f t="shared" ref="N95:N96" si="111">J95/M95</f>
        <v>1.081038961</v>
      </c>
      <c r="O95" s="86">
        <f t="shared" si="5"/>
        <v>0.9250360404</v>
      </c>
      <c r="P95" s="85" t="str">
        <f t="shared" si="6"/>
        <v>#DIV/0!</v>
      </c>
      <c r="Q95" s="87" t="str">
        <f t="shared" si="7"/>
        <v>#DIV/0!</v>
      </c>
      <c r="R95" s="88">
        <f t="shared" si="107"/>
        <v>-154</v>
      </c>
      <c r="S95" s="89" t="str">
        <f t="shared" si="9"/>
        <v>#DIV/0!</v>
      </c>
      <c r="T95" s="90"/>
      <c r="U95" s="90"/>
      <c r="V95" s="90"/>
      <c r="W95" s="90"/>
      <c r="X95" s="3"/>
      <c r="Y95" s="13"/>
      <c r="Z95" s="13"/>
    </row>
    <row r="96">
      <c r="A96" s="13" t="str">
        <f t="shared" si="108"/>
        <v/>
      </c>
      <c r="B96" s="103" t="s">
        <v>52</v>
      </c>
      <c r="C96" s="61"/>
      <c r="D96" s="104">
        <f t="shared" ref="D96:F96" si="109">SUM(D90:D95)</f>
        <v>0</v>
      </c>
      <c r="E96" s="105">
        <f t="shared" si="109"/>
        <v>0</v>
      </c>
      <c r="F96" s="105">
        <f t="shared" si="109"/>
        <v>0</v>
      </c>
      <c r="G96" s="106" t="str">
        <f t="shared" si="1"/>
        <v>#DIV/0!</v>
      </c>
      <c r="H96" s="107" t="str">
        <f t="shared" si="2"/>
        <v>#DIV/0!</v>
      </c>
      <c r="I96" s="108" t="str">
        <f t="shared" si="3"/>
        <v>#DIV/0!</v>
      </c>
      <c r="J96" s="104">
        <f t="shared" ref="J96:M96" si="110">SUM(J90:J95)</f>
        <v>593.32</v>
      </c>
      <c r="K96" s="109">
        <f t="shared" si="110"/>
        <v>34811</v>
      </c>
      <c r="L96" s="105">
        <f t="shared" si="110"/>
        <v>0</v>
      </c>
      <c r="M96" s="110">
        <f t="shared" si="110"/>
        <v>571</v>
      </c>
      <c r="N96" s="111">
        <f t="shared" si="111"/>
        <v>1.039089317</v>
      </c>
      <c r="O96" s="112">
        <f t="shared" si="5"/>
        <v>0.9623811771</v>
      </c>
      <c r="P96" s="111" t="str">
        <f t="shared" si="6"/>
        <v>#DIV/0!</v>
      </c>
      <c r="Q96" s="113" t="str">
        <f t="shared" si="7"/>
        <v>#DIV/0!</v>
      </c>
      <c r="R96" s="114">
        <f>SUM(R90:R95)</f>
        <v>-571</v>
      </c>
      <c r="S96" s="115" t="str">
        <f t="shared" si="9"/>
        <v>#DIV/0!</v>
      </c>
      <c r="T96" s="73" t="str">
        <f t="shared" ref="T96:U96" si="112">IFERROR((D96-D89)/D96,)</f>
        <v/>
      </c>
      <c r="U96" s="73" t="str">
        <f t="shared" si="112"/>
        <v/>
      </c>
      <c r="V96" s="73" t="str">
        <f t="shared" ref="V96:W96" si="113">IFERROR((D96-#REF!)/D96, )</f>
        <v/>
      </c>
      <c r="W96" s="73" t="str">
        <f t="shared" si="113"/>
        <v/>
      </c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8 B75 B82 B89 B96">
      <formula1>"Previous Week,Current Week"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53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Week",$B$11:$X$88,match("SALES",$B$11:$X$11,0),FALSE)</f>
        <v>0</v>
      </c>
      <c r="L4" s="13"/>
      <c r="M4" s="13"/>
      <c r="N4" s="22">
        <f>VLOOKUP("Current Week",$B$11:$X$88,match("Units Sold",$B$11:$X$11,0),FALSE)</f>
        <v>0</v>
      </c>
      <c r="O4" s="10"/>
      <c r="P4" s="8"/>
      <c r="Q4" s="3"/>
      <c r="R4" s="13"/>
      <c r="S4" s="22">
        <f>VLOOKUP("Current Week",$B$11:$X$88,match("Ordered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Week",$B$11:$X$93,match("SALES",$B$11:$X$11,0),FALSE)))/K4</f>
        <v>#DIV/0!</v>
      </c>
      <c r="L5" s="13"/>
      <c r="M5" s="13"/>
      <c r="N5" s="27" t="str">
        <f>(N4-(VLOOKUP("Previous Week",$B$11:$X$93,match("Units Sold",$B$11:$X$11,0),FALSE)))/N4</f>
        <v>#DIV/0!</v>
      </c>
      <c r="O5" s="10"/>
      <c r="P5" s="10"/>
      <c r="Q5" s="8"/>
      <c r="R5" s="13"/>
      <c r="S5" s="27" t="str">
        <f>(S4-(VLOOKUP("Previous Week",$B$11:$X$93,match("Ordered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Week",$B$11:$X$88,match("AD SALES",$B$11:$X$11,0),FALSE)</f>
        <v>2313.02</v>
      </c>
      <c r="L8" s="13"/>
      <c r="M8" s="13"/>
      <c r="N8" s="31">
        <f>VLOOKUP("Current Week",$B$11:$X$88,match("SP AD SPEND",$B$11:$X$11,0),FALSE)</f>
        <v>881.25</v>
      </c>
      <c r="O8" s="10"/>
      <c r="P8" s="8"/>
      <c r="Q8" s="3"/>
      <c r="R8" s="13"/>
      <c r="S8" s="32">
        <f>N8/K8</f>
        <v>0.3809954086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Week",$B$11:$X$93,match("AD SALES",$B$11:$X$11,0),FALSE)))/K8</f>
        <v>0.5671113955</v>
      </c>
      <c r="L9" s="13"/>
      <c r="M9" s="13"/>
      <c r="N9" s="37">
        <f>(N8-(VLOOKUP("Previous Week",$B$11:$X$93,match("SP AD SPEND",$B$11:$X$11,0),FALSE)))/N8</f>
        <v>0.3813446809</v>
      </c>
      <c r="Q9" s="35"/>
      <c r="R9" s="13"/>
      <c r="S9" s="37">
        <f>(S8-(VLOOKUP("Previous Week",$B$11:$X$93,match("ACOS",$B$11:$X$11,0),FALSE)))/S8</f>
        <v>-0.4291328363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79" si="1">E13/F13</f>
        <v>#DIV/0!</v>
      </c>
      <c r="H13" s="79" t="str">
        <f t="shared" ref="H13:H79" si="2">D13/E13</f>
        <v>#DIV/0!</v>
      </c>
      <c r="I13" s="80" t="str">
        <f t="shared" ref="I13:I79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79" si="5">M13/J13</f>
        <v>#DIV/0!</v>
      </c>
      <c r="P13" s="85" t="str">
        <f t="shared" ref="P13:P79" si="6">J13/D13</f>
        <v>#DIV/0!</v>
      </c>
      <c r="Q13" s="87" t="str">
        <f t="shared" ref="Q13:Q79" si="7">M13/D13</f>
        <v>#DIV/0!</v>
      </c>
      <c r="R13" s="88">
        <f t="shared" ref="R13:R22" si="8">D13-M13</f>
        <v>0</v>
      </c>
      <c r="S13" s="89" t="str">
        <f t="shared" ref="S13:S79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20" si="10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hidden="1" outlineLevel="1">
      <c r="A17" s="116"/>
      <c r="B17" s="74">
        <v>46012.0</v>
      </c>
      <c r="C17" s="117" t="s">
        <v>31</v>
      </c>
      <c r="D17" s="118"/>
      <c r="E17" s="119"/>
      <c r="F17" s="119"/>
      <c r="G17" s="78" t="str">
        <f t="shared" si="1"/>
        <v>#DIV/0!</v>
      </c>
      <c r="H17" s="79" t="str">
        <f t="shared" si="2"/>
        <v>#DIV/0!</v>
      </c>
      <c r="I17" s="80" t="str">
        <f t="shared" si="3"/>
        <v>#DIV/0!</v>
      </c>
      <c r="J17" s="120">
        <v>176.83</v>
      </c>
      <c r="K17" s="121">
        <v>10330.0</v>
      </c>
      <c r="L17" s="135"/>
      <c r="M17" s="123">
        <v>839.0</v>
      </c>
      <c r="N17" s="85">
        <f t="shared" si="10"/>
        <v>0.2107628129</v>
      </c>
      <c r="O17" s="86">
        <f t="shared" si="5"/>
        <v>4.744670022</v>
      </c>
      <c r="P17" s="85" t="str">
        <f t="shared" si="6"/>
        <v>#DIV/0!</v>
      </c>
      <c r="Q17" s="87" t="str">
        <f t="shared" si="7"/>
        <v>#DIV/0!</v>
      </c>
      <c r="R17" s="88">
        <f t="shared" si="8"/>
        <v>-839</v>
      </c>
      <c r="S17" s="89" t="str">
        <f t="shared" si="9"/>
        <v>#DIV/0!</v>
      </c>
      <c r="T17" s="124"/>
      <c r="U17" s="124"/>
      <c r="V17" s="124"/>
      <c r="W17" s="124"/>
      <c r="X17" s="125"/>
      <c r="Y17" s="116"/>
      <c r="Z17" s="116"/>
    </row>
    <row r="18" hidden="1" outlineLevel="1">
      <c r="A18" s="116"/>
      <c r="B18" s="126"/>
      <c r="C18" s="149" t="s">
        <v>48</v>
      </c>
      <c r="D18" s="127"/>
      <c r="E18" s="119"/>
      <c r="F18" s="119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141">
        <v>0.0</v>
      </c>
      <c r="K18" s="121">
        <v>0.0</v>
      </c>
      <c r="L18" s="135"/>
      <c r="M18" s="142">
        <v>0.0</v>
      </c>
      <c r="N18" s="85" t="str">
        <f t="shared" si="10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95">
        <f t="shared" si="8"/>
        <v>0</v>
      </c>
      <c r="S18" s="89" t="str">
        <f t="shared" si="9"/>
        <v>#DIV/0!</v>
      </c>
      <c r="T18" s="124"/>
      <c r="U18" s="124"/>
      <c r="V18" s="124"/>
      <c r="W18" s="124"/>
      <c r="X18" s="125"/>
      <c r="Y18" s="116"/>
      <c r="Z18" s="116"/>
    </row>
    <row r="19" hidden="1" outlineLevel="1">
      <c r="A19" s="116"/>
      <c r="B19" s="126"/>
      <c r="C19" s="117" t="s">
        <v>32</v>
      </c>
      <c r="D19" s="127"/>
      <c r="E19" s="119"/>
      <c r="F19" s="119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128">
        <v>169.03</v>
      </c>
      <c r="K19" s="121">
        <v>10693.0</v>
      </c>
      <c r="L19" s="135"/>
      <c r="M19" s="129">
        <v>177.0</v>
      </c>
      <c r="N19" s="85">
        <f t="shared" si="10"/>
        <v>0.9549717514</v>
      </c>
      <c r="O19" s="86">
        <f t="shared" si="5"/>
        <v>1.047151393</v>
      </c>
      <c r="P19" s="85" t="str">
        <f t="shared" si="6"/>
        <v>#DIV/0!</v>
      </c>
      <c r="Q19" s="87" t="str">
        <f t="shared" si="7"/>
        <v>#DIV/0!</v>
      </c>
      <c r="R19" s="95">
        <f t="shared" si="8"/>
        <v>-177</v>
      </c>
      <c r="S19" s="89" t="str">
        <f t="shared" si="9"/>
        <v>#DIV/0!</v>
      </c>
      <c r="T19" s="124"/>
      <c r="U19" s="124"/>
      <c r="V19" s="124"/>
      <c r="W19" s="124"/>
      <c r="X19" s="125"/>
      <c r="Y19" s="116"/>
      <c r="Z19" s="116"/>
    </row>
    <row r="20" hidden="1" outlineLevel="1">
      <c r="A20" s="116"/>
      <c r="B20" s="126"/>
      <c r="C20" s="149" t="s">
        <v>46</v>
      </c>
      <c r="D20" s="127"/>
      <c r="E20" s="119"/>
      <c r="F20" s="119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128">
        <v>0.0</v>
      </c>
      <c r="K20" s="121">
        <v>0.0</v>
      </c>
      <c r="L20" s="135"/>
      <c r="M20" s="129">
        <v>0.0</v>
      </c>
      <c r="N20" s="85" t="str">
        <f t="shared" si="10"/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95">
        <f t="shared" si="8"/>
        <v>0</v>
      </c>
      <c r="S20" s="89" t="str">
        <f t="shared" si="9"/>
        <v>#DIV/0!</v>
      </c>
      <c r="T20" s="124"/>
      <c r="U20" s="124"/>
      <c r="V20" s="124"/>
      <c r="W20" s="124"/>
      <c r="X20" s="125"/>
      <c r="Y20" s="116"/>
      <c r="Z20" s="116"/>
    </row>
    <row r="21" hidden="1" outlineLevel="1">
      <c r="A21" s="116"/>
      <c r="B21" s="74" t="s">
        <v>33</v>
      </c>
      <c r="C21" s="117" t="s">
        <v>34</v>
      </c>
      <c r="D21" s="130"/>
      <c r="E21" s="119"/>
      <c r="F21" s="119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131">
        <v>0.0</v>
      </c>
      <c r="K21" s="121">
        <v>0.0</v>
      </c>
      <c r="L21" s="135"/>
      <c r="M21" s="132">
        <v>0.0</v>
      </c>
      <c r="N21" s="85" t="str">
        <f>(J21/M21)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100">
        <f t="shared" si="8"/>
        <v>0</v>
      </c>
      <c r="S21" s="89" t="str">
        <f t="shared" si="9"/>
        <v>#DIV/0!</v>
      </c>
      <c r="T21" s="124"/>
      <c r="U21" s="124"/>
      <c r="V21" s="124"/>
      <c r="W21" s="124"/>
      <c r="X21" s="125"/>
      <c r="Y21" s="116"/>
      <c r="Z21" s="116"/>
    </row>
    <row r="22" hidden="1" outlineLevel="1">
      <c r="A22" s="101" t="str">
        <f t="shared" ref="A22:A23" si="11">iferror(if(B22&gt;0,month(B22)&amp;"-"&amp;year(B22),B22),)</f>
        <v>12-2025</v>
      </c>
      <c r="B22" s="74">
        <v>46018.0</v>
      </c>
      <c r="C22" s="117" t="s">
        <v>35</v>
      </c>
      <c r="D22" s="133"/>
      <c r="E22" s="119"/>
      <c r="F22" s="119"/>
      <c r="G22" s="78" t="str">
        <f t="shared" si="1"/>
        <v>#DIV/0!</v>
      </c>
      <c r="H22" s="79" t="str">
        <f t="shared" si="2"/>
        <v>#DIV/0!</v>
      </c>
      <c r="I22" s="80" t="str">
        <f t="shared" si="3"/>
        <v>#DIV/0!</v>
      </c>
      <c r="J22" s="128">
        <v>174.74</v>
      </c>
      <c r="K22" s="121">
        <v>5497.0</v>
      </c>
      <c r="L22" s="135"/>
      <c r="M22" s="129">
        <v>0.0</v>
      </c>
      <c r="N22" s="85" t="str">
        <f t="shared" ref="N22:N27" si="14">J22/M22</f>
        <v>#DIV/0!</v>
      </c>
      <c r="O22" s="86">
        <f t="shared" si="5"/>
        <v>0</v>
      </c>
      <c r="P22" s="85" t="str">
        <f t="shared" si="6"/>
        <v>#DIV/0!</v>
      </c>
      <c r="Q22" s="87" t="str">
        <f t="shared" si="7"/>
        <v>#DIV/0!</v>
      </c>
      <c r="R22" s="88">
        <f t="shared" si="8"/>
        <v>0</v>
      </c>
      <c r="S22" s="89" t="str">
        <f t="shared" si="9"/>
        <v>#DIV/0!</v>
      </c>
      <c r="T22" s="124"/>
      <c r="U22" s="124"/>
      <c r="V22" s="124"/>
      <c r="W22" s="124"/>
      <c r="X22" s="125"/>
      <c r="Y22" s="116"/>
      <c r="Z22" s="116"/>
    </row>
    <row r="23" collapsed="1">
      <c r="A23" s="116" t="str">
        <f t="shared" si="11"/>
        <v/>
      </c>
      <c r="B23" s="137" t="s">
        <v>54</v>
      </c>
      <c r="C23" s="138"/>
      <c r="D23" s="104">
        <f t="shared" ref="D23:F23" si="12">SUM(D17:D22)</f>
        <v>0</v>
      </c>
      <c r="E23" s="105">
        <f t="shared" si="12"/>
        <v>0</v>
      </c>
      <c r="F23" s="105">
        <f t="shared" si="12"/>
        <v>0</v>
      </c>
      <c r="G23" s="106" t="str">
        <f t="shared" si="1"/>
        <v>#DIV/0!</v>
      </c>
      <c r="H23" s="107" t="str">
        <f t="shared" si="2"/>
        <v>#DIV/0!</v>
      </c>
      <c r="I23" s="108" t="str">
        <f t="shared" si="3"/>
        <v>#DIV/0!</v>
      </c>
      <c r="J23" s="104">
        <f t="shared" ref="J23:M23" si="13">SUM(J17:J22)</f>
        <v>520.6</v>
      </c>
      <c r="K23" s="109">
        <f t="shared" si="13"/>
        <v>26520</v>
      </c>
      <c r="L23" s="139">
        <f t="shared" si="13"/>
        <v>0</v>
      </c>
      <c r="M23" s="110">
        <f t="shared" si="13"/>
        <v>1016</v>
      </c>
      <c r="N23" s="111">
        <f t="shared" si="14"/>
        <v>0.5124015748</v>
      </c>
      <c r="O23" s="112">
        <f t="shared" si="5"/>
        <v>1.951594314</v>
      </c>
      <c r="P23" s="111" t="str">
        <f t="shared" si="6"/>
        <v>#DIV/0!</v>
      </c>
      <c r="Q23" s="113" t="str">
        <f t="shared" si="7"/>
        <v>#DIV/0!</v>
      </c>
      <c r="R23" s="114">
        <f>SUM(R17:R22)</f>
        <v>-1016</v>
      </c>
      <c r="S23" s="115" t="str">
        <f t="shared" si="9"/>
        <v>#DIV/0!</v>
      </c>
      <c r="T23" s="140" t="str">
        <f t="shared" ref="T23:U23" si="15">IFERROR((D23-#REF!)/D23,)</f>
        <v/>
      </c>
      <c r="U23" s="140" t="str">
        <f t="shared" si="15"/>
        <v/>
      </c>
      <c r="V23" s="140" t="str">
        <f t="shared" ref="V23:W23" si="16">IFERROR((D23-#REF!)/D23, )</f>
        <v/>
      </c>
      <c r="W23" s="140" t="str">
        <f t="shared" si="16"/>
        <v/>
      </c>
      <c r="X23" s="116"/>
      <c r="Y23" s="116"/>
      <c r="Z23" s="116"/>
    </row>
    <row r="24" hidden="1" outlineLevel="1">
      <c r="A24" s="116"/>
      <c r="B24" s="74">
        <v>46019.0</v>
      </c>
      <c r="C24" s="117" t="s">
        <v>31</v>
      </c>
      <c r="D24" s="118"/>
      <c r="E24" s="119"/>
      <c r="F24" s="119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120">
        <v>163.31</v>
      </c>
      <c r="K24" s="121">
        <v>11820.0</v>
      </c>
      <c r="L24" s="135"/>
      <c r="M24" s="123">
        <v>58.0</v>
      </c>
      <c r="N24" s="85">
        <f t="shared" si="14"/>
        <v>2.815689655</v>
      </c>
      <c r="O24" s="86">
        <f t="shared" si="5"/>
        <v>0.3551527769</v>
      </c>
      <c r="P24" s="85" t="str">
        <f t="shared" si="6"/>
        <v>#DIV/0!</v>
      </c>
      <c r="Q24" s="87" t="str">
        <f t="shared" si="7"/>
        <v>#DIV/0!</v>
      </c>
      <c r="R24" s="88">
        <f t="shared" ref="R24:R29" si="17">D24-M24</f>
        <v>-58</v>
      </c>
      <c r="S24" s="89" t="str">
        <f t="shared" si="9"/>
        <v>#DIV/0!</v>
      </c>
      <c r="T24" s="124"/>
      <c r="U24" s="124"/>
      <c r="V24" s="124"/>
      <c r="W24" s="124"/>
      <c r="X24" s="125"/>
      <c r="Y24" s="116"/>
      <c r="Z24" s="116"/>
    </row>
    <row r="25" hidden="1" outlineLevel="1">
      <c r="A25" s="116"/>
      <c r="B25" s="126"/>
      <c r="C25" s="149" t="s">
        <v>48</v>
      </c>
      <c r="D25" s="127"/>
      <c r="E25" s="119"/>
      <c r="F25" s="119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141">
        <v>106.4</v>
      </c>
      <c r="K25" s="121">
        <v>6630.0</v>
      </c>
      <c r="L25" s="135"/>
      <c r="M25" s="142">
        <v>0.0</v>
      </c>
      <c r="N25" s="85" t="str">
        <f t="shared" si="14"/>
        <v>#DIV/0!</v>
      </c>
      <c r="O25" s="86">
        <f t="shared" si="5"/>
        <v>0</v>
      </c>
      <c r="P25" s="85" t="str">
        <f t="shared" si="6"/>
        <v>#DIV/0!</v>
      </c>
      <c r="Q25" s="87" t="str">
        <f t="shared" si="7"/>
        <v>#DIV/0!</v>
      </c>
      <c r="R25" s="95">
        <f t="shared" si="17"/>
        <v>0</v>
      </c>
      <c r="S25" s="89" t="str">
        <f t="shared" si="9"/>
        <v>#DIV/0!</v>
      </c>
      <c r="T25" s="124"/>
      <c r="U25" s="124"/>
      <c r="V25" s="124"/>
      <c r="W25" s="124"/>
      <c r="X25" s="125"/>
      <c r="Y25" s="116"/>
      <c r="Z25" s="116"/>
    </row>
    <row r="26" hidden="1" outlineLevel="1">
      <c r="A26" s="116"/>
      <c r="B26" s="126"/>
      <c r="C26" s="117" t="s">
        <v>32</v>
      </c>
      <c r="D26" s="127"/>
      <c r="E26" s="119"/>
      <c r="F26" s="119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128">
        <v>157.13</v>
      </c>
      <c r="K26" s="121">
        <v>10589.0</v>
      </c>
      <c r="L26" s="135"/>
      <c r="M26" s="129">
        <v>359.0</v>
      </c>
      <c r="N26" s="85">
        <f t="shared" si="14"/>
        <v>0.4376880223</v>
      </c>
      <c r="O26" s="86">
        <f t="shared" si="5"/>
        <v>2.284732387</v>
      </c>
      <c r="P26" s="85" t="str">
        <f t="shared" si="6"/>
        <v>#DIV/0!</v>
      </c>
      <c r="Q26" s="87" t="str">
        <f t="shared" si="7"/>
        <v>#DIV/0!</v>
      </c>
      <c r="R26" s="95">
        <f t="shared" si="17"/>
        <v>-359</v>
      </c>
      <c r="S26" s="89" t="str">
        <f t="shared" si="9"/>
        <v>#DIV/0!</v>
      </c>
      <c r="T26" s="124"/>
      <c r="U26" s="124"/>
      <c r="V26" s="124"/>
      <c r="W26" s="124"/>
      <c r="X26" s="125"/>
      <c r="Y26" s="116"/>
      <c r="Z26" s="116"/>
    </row>
    <row r="27" hidden="1" outlineLevel="1">
      <c r="A27" s="116"/>
      <c r="B27" s="126"/>
      <c r="C27" s="149" t="s">
        <v>46</v>
      </c>
      <c r="D27" s="127"/>
      <c r="E27" s="119"/>
      <c r="F27" s="119"/>
      <c r="G27" s="78" t="str">
        <f t="shared" si="1"/>
        <v>#DIV/0!</v>
      </c>
      <c r="H27" s="79" t="str">
        <f t="shared" si="2"/>
        <v>#DIV/0!</v>
      </c>
      <c r="I27" s="80" t="str">
        <f t="shared" si="3"/>
        <v>#DIV/0!</v>
      </c>
      <c r="J27" s="128">
        <v>0.0</v>
      </c>
      <c r="K27" s="121">
        <v>0.0</v>
      </c>
      <c r="L27" s="135"/>
      <c r="M27" s="129">
        <v>0.0</v>
      </c>
      <c r="N27" s="85" t="str">
        <f t="shared" si="14"/>
        <v>#DIV/0!</v>
      </c>
      <c r="O27" s="86" t="str">
        <f t="shared" si="5"/>
        <v>#DIV/0!</v>
      </c>
      <c r="P27" s="85" t="str">
        <f t="shared" si="6"/>
        <v>#DIV/0!</v>
      </c>
      <c r="Q27" s="87" t="str">
        <f t="shared" si="7"/>
        <v>#DIV/0!</v>
      </c>
      <c r="R27" s="95">
        <f t="shared" si="17"/>
        <v>0</v>
      </c>
      <c r="S27" s="89" t="str">
        <f t="shared" si="9"/>
        <v>#DIV/0!</v>
      </c>
      <c r="T27" s="124"/>
      <c r="U27" s="124"/>
      <c r="V27" s="124"/>
      <c r="W27" s="124"/>
      <c r="X27" s="125"/>
      <c r="Y27" s="116"/>
      <c r="Z27" s="116"/>
    </row>
    <row r="28" hidden="1" outlineLevel="1">
      <c r="A28" s="116"/>
      <c r="B28" s="74" t="s">
        <v>33</v>
      </c>
      <c r="C28" s="117" t="s">
        <v>34</v>
      </c>
      <c r="D28" s="130"/>
      <c r="E28" s="119"/>
      <c r="F28" s="119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131">
        <v>0.0</v>
      </c>
      <c r="K28" s="121">
        <v>0.0</v>
      </c>
      <c r="L28" s="135"/>
      <c r="M28" s="132">
        <v>0.0</v>
      </c>
      <c r="N28" s="85" t="str">
        <f>(J28/M28)</f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100">
        <f t="shared" si="17"/>
        <v>0</v>
      </c>
      <c r="S28" s="89" t="str">
        <f t="shared" si="9"/>
        <v>#DIV/0!</v>
      </c>
      <c r="T28" s="124"/>
      <c r="U28" s="124"/>
      <c r="V28" s="124"/>
      <c r="W28" s="124"/>
      <c r="X28" s="125"/>
      <c r="Y28" s="116"/>
      <c r="Z28" s="116"/>
    </row>
    <row r="29" hidden="1" outlineLevel="1">
      <c r="A29" s="101" t="str">
        <f t="shared" ref="A29:A30" si="18">iferror(if(B29&gt;0,month(B29)&amp;"-"&amp;year(B29),B29),)</f>
        <v>1-2026</v>
      </c>
      <c r="B29" s="74">
        <v>46025.0</v>
      </c>
      <c r="C29" s="117" t="s">
        <v>35</v>
      </c>
      <c r="D29" s="133"/>
      <c r="E29" s="119"/>
      <c r="F29" s="119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128">
        <v>166.48</v>
      </c>
      <c r="K29" s="121">
        <v>5772.0</v>
      </c>
      <c r="L29" s="135"/>
      <c r="M29" s="129">
        <v>154.0</v>
      </c>
      <c r="N29" s="85">
        <f t="shared" ref="N29:N34" si="21">J29/M29</f>
        <v>1.081038961</v>
      </c>
      <c r="O29" s="86">
        <f t="shared" si="5"/>
        <v>0.9250360404</v>
      </c>
      <c r="P29" s="85" t="str">
        <f t="shared" si="6"/>
        <v>#DIV/0!</v>
      </c>
      <c r="Q29" s="87" t="str">
        <f t="shared" si="7"/>
        <v>#DIV/0!</v>
      </c>
      <c r="R29" s="88">
        <f t="shared" si="17"/>
        <v>-154</v>
      </c>
      <c r="S29" s="89" t="str">
        <f t="shared" si="9"/>
        <v>#DIV/0!</v>
      </c>
      <c r="T29" s="124"/>
      <c r="U29" s="124"/>
      <c r="V29" s="124"/>
      <c r="W29" s="124"/>
      <c r="X29" s="125"/>
      <c r="Y29" s="116"/>
      <c r="Z29" s="116"/>
    </row>
    <row r="30" collapsed="1">
      <c r="A30" s="116" t="str">
        <f t="shared" si="18"/>
        <v/>
      </c>
      <c r="B30" s="137" t="s">
        <v>55</v>
      </c>
      <c r="C30" s="138"/>
      <c r="D30" s="104">
        <f t="shared" ref="D30:F30" si="19">SUM(D24:D29)</f>
        <v>0</v>
      </c>
      <c r="E30" s="105">
        <f t="shared" si="19"/>
        <v>0</v>
      </c>
      <c r="F30" s="105">
        <f t="shared" si="19"/>
        <v>0</v>
      </c>
      <c r="G30" s="106" t="str">
        <f t="shared" si="1"/>
        <v>#DIV/0!</v>
      </c>
      <c r="H30" s="107" t="str">
        <f t="shared" si="2"/>
        <v>#DIV/0!</v>
      </c>
      <c r="I30" s="108" t="str">
        <f t="shared" si="3"/>
        <v>#DIV/0!</v>
      </c>
      <c r="J30" s="104">
        <f t="shared" ref="J30:M30" si="20">SUM(J24:J29)</f>
        <v>593.32</v>
      </c>
      <c r="K30" s="109">
        <f t="shared" si="20"/>
        <v>34811</v>
      </c>
      <c r="L30" s="139">
        <f t="shared" si="20"/>
        <v>0</v>
      </c>
      <c r="M30" s="110">
        <f t="shared" si="20"/>
        <v>571</v>
      </c>
      <c r="N30" s="111">
        <f t="shared" si="21"/>
        <v>1.039089317</v>
      </c>
      <c r="O30" s="112">
        <f t="shared" si="5"/>
        <v>0.9623811771</v>
      </c>
      <c r="P30" s="111" t="str">
        <f t="shared" si="6"/>
        <v>#DIV/0!</v>
      </c>
      <c r="Q30" s="113" t="str">
        <f t="shared" si="7"/>
        <v>#DIV/0!</v>
      </c>
      <c r="R30" s="114">
        <f>SUM(R24:R29)</f>
        <v>-571</v>
      </c>
      <c r="S30" s="115" t="str">
        <f t="shared" si="9"/>
        <v>#DIV/0!</v>
      </c>
      <c r="T30" s="140" t="str">
        <f t="shared" ref="T30:U30" si="22">IFERROR((D30-#REF!)/D30,)</f>
        <v/>
      </c>
      <c r="U30" s="140" t="str">
        <f t="shared" si="22"/>
        <v/>
      </c>
      <c r="V30" s="140" t="str">
        <f t="shared" ref="V30:W30" si="23">IFERROR((D30-#REF!)/D30, )</f>
        <v/>
      </c>
      <c r="W30" s="140" t="str">
        <f t="shared" si="23"/>
        <v/>
      </c>
      <c r="X30" s="116"/>
      <c r="Y30" s="116"/>
      <c r="Z30" s="116"/>
    </row>
    <row r="31" hidden="1" outlineLevel="1">
      <c r="A31" s="116"/>
      <c r="B31" s="74">
        <v>46026.0</v>
      </c>
      <c r="C31" s="117" t="s">
        <v>31</v>
      </c>
      <c r="D31" s="118"/>
      <c r="E31" s="119"/>
      <c r="F31" s="119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120">
        <v>158.91</v>
      </c>
      <c r="K31" s="121">
        <v>13235.0</v>
      </c>
      <c r="L31" s="135"/>
      <c r="M31" s="123">
        <v>609.0</v>
      </c>
      <c r="N31" s="85">
        <f t="shared" si="21"/>
        <v>0.2609359606</v>
      </c>
      <c r="O31" s="86">
        <f t="shared" si="5"/>
        <v>3.832357938</v>
      </c>
      <c r="P31" s="85" t="str">
        <f t="shared" si="6"/>
        <v>#DIV/0!</v>
      </c>
      <c r="Q31" s="87" t="str">
        <f t="shared" si="7"/>
        <v>#DIV/0!</v>
      </c>
      <c r="R31" s="88">
        <f t="shared" ref="R31:R36" si="24">D31-M31</f>
        <v>-609</v>
      </c>
      <c r="S31" s="89" t="str">
        <f t="shared" si="9"/>
        <v>#DIV/0!</v>
      </c>
      <c r="T31" s="124"/>
      <c r="U31" s="124"/>
      <c r="V31" s="124"/>
      <c r="W31" s="124"/>
      <c r="X31" s="125"/>
      <c r="Y31" s="116"/>
      <c r="Z31" s="116"/>
    </row>
    <row r="32" hidden="1" outlineLevel="1">
      <c r="A32" s="116"/>
      <c r="B32" s="126"/>
      <c r="C32" s="149" t="s">
        <v>48</v>
      </c>
      <c r="D32" s="127"/>
      <c r="E32" s="119"/>
      <c r="F32" s="119"/>
      <c r="G32" s="78" t="str">
        <f t="shared" si="1"/>
        <v>#DIV/0!</v>
      </c>
      <c r="H32" s="79" t="str">
        <f t="shared" si="2"/>
        <v>#DIV/0!</v>
      </c>
      <c r="I32" s="80" t="str">
        <f t="shared" si="3"/>
        <v>#DIV/0!</v>
      </c>
      <c r="J32" s="141">
        <v>295.15</v>
      </c>
      <c r="K32" s="121">
        <v>25738.0</v>
      </c>
      <c r="L32" s="135"/>
      <c r="M32" s="142">
        <v>0.0</v>
      </c>
      <c r="N32" s="85" t="str">
        <f t="shared" si="21"/>
        <v>#DIV/0!</v>
      </c>
      <c r="O32" s="86">
        <f t="shared" si="5"/>
        <v>0</v>
      </c>
      <c r="P32" s="85" t="str">
        <f t="shared" si="6"/>
        <v>#DIV/0!</v>
      </c>
      <c r="Q32" s="87" t="str">
        <f t="shared" si="7"/>
        <v>#DIV/0!</v>
      </c>
      <c r="R32" s="95">
        <f t="shared" si="24"/>
        <v>0</v>
      </c>
      <c r="S32" s="89" t="str">
        <f t="shared" si="9"/>
        <v>#DIV/0!</v>
      </c>
      <c r="T32" s="124"/>
      <c r="U32" s="124"/>
      <c r="V32" s="124"/>
      <c r="W32" s="124"/>
      <c r="X32" s="125"/>
      <c r="Y32" s="116"/>
      <c r="Z32" s="116"/>
    </row>
    <row r="33" hidden="1" outlineLevel="1">
      <c r="A33" s="116"/>
      <c r="B33" s="126"/>
      <c r="C33" s="117" t="s">
        <v>32</v>
      </c>
      <c r="D33" s="127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8">
        <v>156.35</v>
      </c>
      <c r="K33" s="121">
        <v>23049.0</v>
      </c>
      <c r="L33" s="135"/>
      <c r="M33" s="129">
        <v>0.0</v>
      </c>
      <c r="N33" s="85" t="str">
        <f t="shared" si="21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95">
        <f t="shared" si="24"/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49" t="s">
        <v>46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56.72</v>
      </c>
      <c r="K34" s="121">
        <v>6838.0</v>
      </c>
      <c r="L34" s="135"/>
      <c r="M34" s="129">
        <v>0.0</v>
      </c>
      <c r="N34" s="85" t="str">
        <f t="shared" si="21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24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35"/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24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25">iferror(if(B36&gt;0,month(B36)&amp;"-"&amp;year(B36),B36),)</f>
        <v>1-2026</v>
      </c>
      <c r="B36" s="74">
        <v>46032.0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8">
        <v>139.38</v>
      </c>
      <c r="K36" s="121">
        <v>12458.0</v>
      </c>
      <c r="L36" s="135"/>
      <c r="M36" s="129">
        <v>0.0</v>
      </c>
      <c r="N36" s="85" t="str">
        <f t="shared" ref="N36:N41" si="28">J36/M36</f>
        <v>#DIV/0!</v>
      </c>
      <c r="O36" s="86">
        <f t="shared" si="5"/>
        <v>0</v>
      </c>
      <c r="P36" s="85" t="str">
        <f t="shared" si="6"/>
        <v>#DIV/0!</v>
      </c>
      <c r="Q36" s="87" t="str">
        <f t="shared" si="7"/>
        <v>#DIV/0!</v>
      </c>
      <c r="R36" s="88">
        <f t="shared" si="24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25"/>
        <v/>
      </c>
      <c r="B37" s="137" t="s">
        <v>56</v>
      </c>
      <c r="C37" s="138"/>
      <c r="D37" s="104">
        <f t="shared" ref="D37:F37" si="26">SUM(D31:D36)</f>
        <v>0</v>
      </c>
      <c r="E37" s="105">
        <f t="shared" si="26"/>
        <v>0</v>
      </c>
      <c r="F37" s="105">
        <f t="shared" si="26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27">SUM(J31:J36)</f>
        <v>806.51</v>
      </c>
      <c r="K37" s="109">
        <f t="shared" si="27"/>
        <v>81318</v>
      </c>
      <c r="L37" s="139">
        <f t="shared" si="27"/>
        <v>0</v>
      </c>
      <c r="M37" s="110">
        <f t="shared" si="27"/>
        <v>609</v>
      </c>
      <c r="N37" s="111">
        <f t="shared" si="28"/>
        <v>1.324318555</v>
      </c>
      <c r="O37" s="112">
        <f t="shared" si="5"/>
        <v>0.7551053304</v>
      </c>
      <c r="P37" s="111" t="str">
        <f t="shared" si="6"/>
        <v>#DIV/0!</v>
      </c>
      <c r="Q37" s="113" t="str">
        <f t="shared" si="7"/>
        <v>#DIV/0!</v>
      </c>
      <c r="R37" s="114">
        <f>SUM(R31:R36)</f>
        <v>-609</v>
      </c>
      <c r="S37" s="115" t="str">
        <f t="shared" si="9"/>
        <v>#DIV/0!</v>
      </c>
      <c r="T37" s="140" t="str">
        <f t="shared" ref="T37:U37" si="29">IFERROR((D37-#REF!)/D37,)</f>
        <v/>
      </c>
      <c r="U37" s="140" t="str">
        <f t="shared" si="29"/>
        <v/>
      </c>
      <c r="V37" s="140" t="str">
        <f t="shared" ref="V37:W37" si="30">IFERROR((D37-#REF!)/D37, )</f>
        <v/>
      </c>
      <c r="W37" s="140" t="str">
        <f t="shared" si="30"/>
        <v/>
      </c>
      <c r="X37" s="116"/>
      <c r="Y37" s="116"/>
      <c r="Z37" s="116"/>
    </row>
    <row r="38" hidden="1" outlineLevel="1">
      <c r="A38" s="116"/>
      <c r="B38" s="74">
        <v>46033.0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160.36</v>
      </c>
      <c r="K38" s="121">
        <v>7685.0</v>
      </c>
      <c r="L38" s="135"/>
      <c r="M38" s="123">
        <v>0.0</v>
      </c>
      <c r="N38" s="85" t="str">
        <f t="shared" si="28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3" si="31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49" t="s">
        <v>48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41">
        <v>277.4</v>
      </c>
      <c r="K39" s="121">
        <v>25369.0</v>
      </c>
      <c r="L39" s="135"/>
      <c r="M39" s="142">
        <v>0.0</v>
      </c>
      <c r="N39" s="85" t="str">
        <f t="shared" si="28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31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126"/>
      <c r="C40" s="117" t="s">
        <v>32</v>
      </c>
      <c r="D40" s="127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28">
        <v>156.06</v>
      </c>
      <c r="K40" s="121">
        <v>20546.0</v>
      </c>
      <c r="L40" s="135"/>
      <c r="M40" s="129">
        <v>0.0</v>
      </c>
      <c r="N40" s="85" t="str">
        <f t="shared" si="28"/>
        <v>#DIV/0!</v>
      </c>
      <c r="O40" s="86">
        <f t="shared" si="5"/>
        <v>0</v>
      </c>
      <c r="P40" s="85" t="str">
        <f t="shared" si="6"/>
        <v>#DIV/0!</v>
      </c>
      <c r="Q40" s="87" t="str">
        <f t="shared" si="7"/>
        <v>#DIV/0!</v>
      </c>
      <c r="R40" s="95">
        <f t="shared" si="31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16"/>
      <c r="B41" s="126"/>
      <c r="C41" s="149" t="s">
        <v>46</v>
      </c>
      <c r="D41" s="127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284.2</v>
      </c>
      <c r="K41" s="121">
        <v>18011.0</v>
      </c>
      <c r="L41" s="135"/>
      <c r="M41" s="129">
        <v>0.0</v>
      </c>
      <c r="N41" s="85" t="str">
        <f t="shared" si="28"/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95">
        <f t="shared" si="31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hidden="1" outlineLevel="1">
      <c r="A42" s="116"/>
      <c r="B42" s="74" t="s">
        <v>33</v>
      </c>
      <c r="C42" s="117" t="s">
        <v>34</v>
      </c>
      <c r="D42" s="130"/>
      <c r="E42" s="119"/>
      <c r="F42" s="119"/>
      <c r="G42" s="78" t="str">
        <f t="shared" si="1"/>
        <v>#DIV/0!</v>
      </c>
      <c r="H42" s="79" t="str">
        <f t="shared" si="2"/>
        <v>#DIV/0!</v>
      </c>
      <c r="I42" s="80" t="str">
        <f t="shared" si="3"/>
        <v>#DIV/0!</v>
      </c>
      <c r="J42" s="131">
        <v>0.0</v>
      </c>
      <c r="K42" s="121">
        <v>0.0</v>
      </c>
      <c r="L42" s="135"/>
      <c r="M42" s="132">
        <v>0.0</v>
      </c>
      <c r="N42" s="85" t="str">
        <f>(J42/M42)</f>
        <v>#DIV/0!</v>
      </c>
      <c r="O42" s="86" t="str">
        <f t="shared" si="5"/>
        <v>#DIV/0!</v>
      </c>
      <c r="P42" s="85" t="str">
        <f t="shared" si="6"/>
        <v>#DIV/0!</v>
      </c>
      <c r="Q42" s="87" t="str">
        <f t="shared" si="7"/>
        <v>#DIV/0!</v>
      </c>
      <c r="R42" s="100">
        <f t="shared" si="31"/>
        <v>0</v>
      </c>
      <c r="S42" s="89" t="str">
        <f t="shared" si="9"/>
        <v>#DIV/0!</v>
      </c>
      <c r="T42" s="124"/>
      <c r="U42" s="124"/>
      <c r="V42" s="124"/>
      <c r="W42" s="124"/>
      <c r="X42" s="125"/>
      <c r="Y42" s="116"/>
      <c r="Z42" s="116"/>
    </row>
    <row r="43" hidden="1" outlineLevel="1">
      <c r="A43" s="101" t="str">
        <f t="shared" ref="A43:A44" si="32">iferror(if(B43&gt;0,month(B43)&amp;"-"&amp;year(B43),B43),)</f>
        <v>1-2026</v>
      </c>
      <c r="B43" s="74">
        <v>46039.0</v>
      </c>
      <c r="C43" s="117" t="s">
        <v>35</v>
      </c>
      <c r="D43" s="133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8">
        <v>107.29</v>
      </c>
      <c r="K43" s="121">
        <v>16021.0</v>
      </c>
      <c r="L43" s="135"/>
      <c r="M43" s="129">
        <v>0.0</v>
      </c>
      <c r="N43" s="85" t="str">
        <f t="shared" ref="N43:N48" si="35">J43/M43</f>
        <v>#DIV/0!</v>
      </c>
      <c r="O43" s="86">
        <f t="shared" si="5"/>
        <v>0</v>
      </c>
      <c r="P43" s="85" t="str">
        <f t="shared" si="6"/>
        <v>#DIV/0!</v>
      </c>
      <c r="Q43" s="87" t="str">
        <f t="shared" si="7"/>
        <v>#DIV/0!</v>
      </c>
      <c r="R43" s="88">
        <f t="shared" si="31"/>
        <v>0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collapsed="1">
      <c r="A44" s="116" t="str">
        <f t="shared" si="32"/>
        <v/>
      </c>
      <c r="B44" s="137" t="s">
        <v>57</v>
      </c>
      <c r="C44" s="138"/>
      <c r="D44" s="104">
        <f t="shared" ref="D44:F44" si="33">SUM(D38:D43)</f>
        <v>0</v>
      </c>
      <c r="E44" s="105">
        <f t="shared" si="33"/>
        <v>0</v>
      </c>
      <c r="F44" s="105">
        <f t="shared" si="33"/>
        <v>0</v>
      </c>
      <c r="G44" s="106" t="str">
        <f t="shared" si="1"/>
        <v>#DIV/0!</v>
      </c>
      <c r="H44" s="107" t="str">
        <f t="shared" si="2"/>
        <v>#DIV/0!</v>
      </c>
      <c r="I44" s="108" t="str">
        <f t="shared" si="3"/>
        <v>#DIV/0!</v>
      </c>
      <c r="J44" s="104">
        <f t="shared" ref="J44:M44" si="34">SUM(J38:J43)</f>
        <v>985.31</v>
      </c>
      <c r="K44" s="109">
        <f t="shared" si="34"/>
        <v>87632</v>
      </c>
      <c r="L44" s="139">
        <f t="shared" si="34"/>
        <v>0</v>
      </c>
      <c r="M44" s="110">
        <f t="shared" si="34"/>
        <v>0</v>
      </c>
      <c r="N44" s="111" t="str">
        <f t="shared" si="35"/>
        <v>#DIV/0!</v>
      </c>
      <c r="O44" s="112">
        <f t="shared" si="5"/>
        <v>0</v>
      </c>
      <c r="P44" s="111" t="str">
        <f t="shared" si="6"/>
        <v>#DIV/0!</v>
      </c>
      <c r="Q44" s="113" t="str">
        <f t="shared" si="7"/>
        <v>#DIV/0!</v>
      </c>
      <c r="R44" s="114">
        <f>SUM(R38:R43)</f>
        <v>0</v>
      </c>
      <c r="S44" s="115" t="str">
        <f t="shared" si="9"/>
        <v>#DIV/0!</v>
      </c>
      <c r="T44" s="140" t="str">
        <f t="shared" ref="T44:U44" si="36">IFERROR((D44-#REF!)/D44,)</f>
        <v/>
      </c>
      <c r="U44" s="140" t="str">
        <f t="shared" si="36"/>
        <v/>
      </c>
      <c r="V44" s="140" t="str">
        <f t="shared" ref="V44:W44" si="37">IFERROR((D44-#REF!)/D44, )</f>
        <v/>
      </c>
      <c r="W44" s="140" t="str">
        <f t="shared" si="37"/>
        <v/>
      </c>
      <c r="X44" s="116"/>
      <c r="Y44" s="116"/>
      <c r="Z44" s="116"/>
    </row>
    <row r="45" hidden="1" outlineLevel="1">
      <c r="A45" s="116"/>
      <c r="B45" s="74">
        <v>46040.0</v>
      </c>
      <c r="C45" s="117" t="s">
        <v>31</v>
      </c>
      <c r="D45" s="118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20">
        <v>35.15</v>
      </c>
      <c r="K45" s="121">
        <v>1823.0</v>
      </c>
      <c r="L45" s="135"/>
      <c r="M45" s="123">
        <v>658.0</v>
      </c>
      <c r="N45" s="85">
        <f t="shared" si="35"/>
        <v>0.05341945289</v>
      </c>
      <c r="O45" s="86">
        <f t="shared" si="5"/>
        <v>18.7197724</v>
      </c>
      <c r="P45" s="85" t="str">
        <f t="shared" si="6"/>
        <v>#DIV/0!</v>
      </c>
      <c r="Q45" s="87" t="str">
        <f t="shared" si="7"/>
        <v>#DIV/0!</v>
      </c>
      <c r="R45" s="88">
        <f t="shared" ref="R45:R50" si="38">D45-M45</f>
        <v>-658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16"/>
      <c r="B46" s="126"/>
      <c r="C46" s="149" t="s">
        <v>48</v>
      </c>
      <c r="D46" s="127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41">
        <v>0.0</v>
      </c>
      <c r="K46" s="121">
        <v>23684.0</v>
      </c>
      <c r="L46" s="135"/>
      <c r="M46" s="142">
        <v>296.01</v>
      </c>
      <c r="N46" s="85">
        <f t="shared" si="35"/>
        <v>0</v>
      </c>
      <c r="O46" s="86" t="str">
        <f t="shared" si="5"/>
        <v>#DIV/0!</v>
      </c>
      <c r="P46" s="85" t="str">
        <f t="shared" si="6"/>
        <v>#DIV/0!</v>
      </c>
      <c r="Q46" s="87" t="str">
        <f t="shared" si="7"/>
        <v>#DIV/0!</v>
      </c>
      <c r="R46" s="95">
        <f t="shared" si="38"/>
        <v>-296.01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hidden="1" outlineLevel="1">
      <c r="A47" s="116"/>
      <c r="B47" s="126"/>
      <c r="C47" s="117" t="s">
        <v>32</v>
      </c>
      <c r="D47" s="127"/>
      <c r="E47" s="119"/>
      <c r="F47" s="119"/>
      <c r="G47" s="78" t="str">
        <f t="shared" si="1"/>
        <v>#DIV/0!</v>
      </c>
      <c r="H47" s="79" t="str">
        <f t="shared" si="2"/>
        <v>#DIV/0!</v>
      </c>
      <c r="I47" s="80" t="str">
        <f t="shared" si="3"/>
        <v>#DIV/0!</v>
      </c>
      <c r="J47" s="128">
        <v>35.57</v>
      </c>
      <c r="K47" s="121">
        <v>1697.0</v>
      </c>
      <c r="L47" s="135"/>
      <c r="M47" s="129">
        <v>395.0</v>
      </c>
      <c r="N47" s="85">
        <f t="shared" si="35"/>
        <v>0.09005063291</v>
      </c>
      <c r="O47" s="86">
        <f t="shared" si="5"/>
        <v>11.10486365</v>
      </c>
      <c r="P47" s="85" t="str">
        <f t="shared" si="6"/>
        <v>#DIV/0!</v>
      </c>
      <c r="Q47" s="87" t="str">
        <f t="shared" si="7"/>
        <v>#DIV/0!</v>
      </c>
      <c r="R47" s="95">
        <f t="shared" si="38"/>
        <v>-395</v>
      </c>
      <c r="S47" s="89" t="str">
        <f t="shared" si="9"/>
        <v>#DIV/0!</v>
      </c>
      <c r="T47" s="124"/>
      <c r="U47" s="124"/>
      <c r="V47" s="124"/>
      <c r="W47" s="124"/>
      <c r="X47" s="125"/>
      <c r="Y47" s="116"/>
      <c r="Z47" s="116"/>
    </row>
    <row r="48" hidden="1" outlineLevel="1">
      <c r="A48" s="116"/>
      <c r="B48" s="126"/>
      <c r="C48" s="149" t="s">
        <v>46</v>
      </c>
      <c r="D48" s="127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8">
        <v>317.31</v>
      </c>
      <c r="K48" s="121">
        <v>20351.0</v>
      </c>
      <c r="L48" s="135"/>
      <c r="M48" s="129">
        <v>878.18</v>
      </c>
      <c r="N48" s="85">
        <f t="shared" si="35"/>
        <v>0.361326835</v>
      </c>
      <c r="O48" s="86">
        <f t="shared" si="5"/>
        <v>2.767577448</v>
      </c>
      <c r="P48" s="85" t="str">
        <f t="shared" si="6"/>
        <v>#DIV/0!</v>
      </c>
      <c r="Q48" s="87" t="str">
        <f t="shared" si="7"/>
        <v>#DIV/0!</v>
      </c>
      <c r="R48" s="95">
        <f t="shared" si="38"/>
        <v>-878.18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74" t="s">
        <v>33</v>
      </c>
      <c r="C49" s="117" t="s">
        <v>34</v>
      </c>
      <c r="D49" s="130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31">
        <v>0.0</v>
      </c>
      <c r="K49" s="121">
        <v>0.0</v>
      </c>
      <c r="L49" s="135"/>
      <c r="M49" s="132">
        <v>0.0</v>
      </c>
      <c r="N49" s="85" t="str">
        <f>(J49/M49)</f>
        <v>#DIV/0!</v>
      </c>
      <c r="O49" s="86" t="str">
        <f t="shared" si="5"/>
        <v>#DIV/0!</v>
      </c>
      <c r="P49" s="85" t="str">
        <f t="shared" si="6"/>
        <v>#DIV/0!</v>
      </c>
      <c r="Q49" s="87" t="str">
        <f t="shared" si="7"/>
        <v>#DIV/0!</v>
      </c>
      <c r="R49" s="100">
        <f t="shared" si="38"/>
        <v>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01" t="str">
        <f t="shared" ref="A50:A51" si="39">iferror(if(B50&gt;0,month(B50)&amp;"-"&amp;year(B50),B50),)</f>
        <v>1-2026</v>
      </c>
      <c r="B50" s="74">
        <v>46046.0</v>
      </c>
      <c r="C50" s="117" t="s">
        <v>35</v>
      </c>
      <c r="D50" s="133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28">
        <v>28.97</v>
      </c>
      <c r="K50" s="121">
        <v>2157.0</v>
      </c>
      <c r="L50" s="135"/>
      <c r="M50" s="129">
        <v>0.0</v>
      </c>
      <c r="N50" s="85" t="str">
        <f t="shared" ref="N50:N55" si="42">J50/M50</f>
        <v>#DIV/0!</v>
      </c>
      <c r="O50" s="86">
        <f t="shared" si="5"/>
        <v>0</v>
      </c>
      <c r="P50" s="85" t="str">
        <f t="shared" si="6"/>
        <v>#DIV/0!</v>
      </c>
      <c r="Q50" s="87" t="str">
        <f t="shared" si="7"/>
        <v>#DIV/0!</v>
      </c>
      <c r="R50" s="88">
        <f t="shared" si="3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collapsed="1">
      <c r="A51" s="116" t="str">
        <f t="shared" si="39"/>
        <v/>
      </c>
      <c r="B51" s="137" t="s">
        <v>58</v>
      </c>
      <c r="C51" s="138"/>
      <c r="D51" s="104">
        <f t="shared" ref="D51:F51" si="40">SUM(D45:D50)</f>
        <v>0</v>
      </c>
      <c r="E51" s="105">
        <f t="shared" si="40"/>
        <v>0</v>
      </c>
      <c r="F51" s="105">
        <f t="shared" si="40"/>
        <v>0</v>
      </c>
      <c r="G51" s="106" t="str">
        <f t="shared" si="1"/>
        <v>#DIV/0!</v>
      </c>
      <c r="H51" s="107" t="str">
        <f t="shared" si="2"/>
        <v>#DIV/0!</v>
      </c>
      <c r="I51" s="108" t="str">
        <f t="shared" si="3"/>
        <v>#DIV/0!</v>
      </c>
      <c r="J51" s="104">
        <f t="shared" ref="J51:M51" si="41">SUM(J45:J50)</f>
        <v>417</v>
      </c>
      <c r="K51" s="109">
        <f t="shared" si="41"/>
        <v>49712</v>
      </c>
      <c r="L51" s="139">
        <f t="shared" si="41"/>
        <v>0</v>
      </c>
      <c r="M51" s="110">
        <f t="shared" si="41"/>
        <v>2227.19</v>
      </c>
      <c r="N51" s="111">
        <f t="shared" si="42"/>
        <v>0.1872314441</v>
      </c>
      <c r="O51" s="112">
        <f t="shared" si="5"/>
        <v>5.340983213</v>
      </c>
      <c r="P51" s="111" t="str">
        <f t="shared" si="6"/>
        <v>#DIV/0!</v>
      </c>
      <c r="Q51" s="113" t="str">
        <f t="shared" si="7"/>
        <v>#DIV/0!</v>
      </c>
      <c r="R51" s="114">
        <f>SUM(R45:R50)</f>
        <v>-2227.19</v>
      </c>
      <c r="S51" s="115" t="str">
        <f t="shared" si="9"/>
        <v>#DIV/0!</v>
      </c>
      <c r="T51" s="140" t="str">
        <f t="shared" ref="T51:U51" si="43">IFERROR((D51-#REF!)/D51,)</f>
        <v/>
      </c>
      <c r="U51" s="140" t="str">
        <f t="shared" si="43"/>
        <v/>
      </c>
      <c r="V51" s="140" t="str">
        <f t="shared" ref="V51:W51" si="44">IFERROR((D51-#REF!)/D51, )</f>
        <v/>
      </c>
      <c r="W51" s="140" t="str">
        <f t="shared" si="44"/>
        <v/>
      </c>
      <c r="X51" s="116"/>
      <c r="Y51" s="116"/>
      <c r="Z51" s="116"/>
    </row>
    <row r="52" hidden="1" outlineLevel="1">
      <c r="A52" s="116"/>
      <c r="B52" s="74">
        <v>46047.0</v>
      </c>
      <c r="C52" s="117" t="s">
        <v>31</v>
      </c>
      <c r="D52" s="118"/>
      <c r="E52" s="119"/>
      <c r="F52" s="119"/>
      <c r="G52" s="78" t="str">
        <f t="shared" si="1"/>
        <v>#DIV/0!</v>
      </c>
      <c r="H52" s="79" t="str">
        <f t="shared" si="2"/>
        <v>#DIV/0!</v>
      </c>
      <c r="I52" s="80" t="str">
        <f t="shared" si="3"/>
        <v>#DIV/0!</v>
      </c>
      <c r="J52" s="120">
        <v>0.0</v>
      </c>
      <c r="K52" s="121">
        <v>0.0</v>
      </c>
      <c r="L52" s="135"/>
      <c r="M52" s="123">
        <v>0.0</v>
      </c>
      <c r="N52" s="85" t="str">
        <f t="shared" si="42"/>
        <v>#DIV/0!</v>
      </c>
      <c r="O52" s="86" t="str">
        <f t="shared" si="5"/>
        <v>#DIV/0!</v>
      </c>
      <c r="P52" s="85" t="str">
        <f t="shared" si="6"/>
        <v>#DIV/0!</v>
      </c>
      <c r="Q52" s="87" t="str">
        <f t="shared" si="7"/>
        <v>#DIV/0!</v>
      </c>
      <c r="R52" s="88">
        <f t="shared" ref="R52:R57" si="45">D52-M52</f>
        <v>0</v>
      </c>
      <c r="S52" s="89" t="str">
        <f t="shared" si="9"/>
        <v>#DIV/0!</v>
      </c>
      <c r="T52" s="124"/>
      <c r="U52" s="124"/>
      <c r="V52" s="124"/>
      <c r="W52" s="124"/>
      <c r="X52" s="125"/>
      <c r="Y52" s="116"/>
      <c r="Z52" s="116"/>
    </row>
    <row r="53" hidden="1" outlineLevel="1">
      <c r="A53" s="116"/>
      <c r="B53" s="126"/>
      <c r="C53" s="149" t="s">
        <v>48</v>
      </c>
      <c r="D53" s="127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41">
        <v>164.1</v>
      </c>
      <c r="K53" s="121">
        <v>17840.0</v>
      </c>
      <c r="L53" s="135"/>
      <c r="M53" s="142">
        <v>0.0</v>
      </c>
      <c r="N53" s="85" t="str">
        <f t="shared" si="42"/>
        <v>#DIV/0!</v>
      </c>
      <c r="O53" s="86">
        <f t="shared" si="5"/>
        <v>0</v>
      </c>
      <c r="P53" s="85" t="str">
        <f t="shared" si="6"/>
        <v>#DIV/0!</v>
      </c>
      <c r="Q53" s="87" t="str">
        <f t="shared" si="7"/>
        <v>#DIV/0!</v>
      </c>
      <c r="R53" s="95">
        <f t="shared" si="45"/>
        <v>0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0.0</v>
      </c>
      <c r="K54" s="121">
        <v>0.0</v>
      </c>
      <c r="L54" s="135"/>
      <c r="M54" s="129">
        <v>0.0</v>
      </c>
      <c r="N54" s="85" t="str">
        <f t="shared" si="42"/>
        <v>#DIV/0!</v>
      </c>
      <c r="O54" s="86" t="str">
        <f t="shared" si="5"/>
        <v>#DIV/0!</v>
      </c>
      <c r="P54" s="85" t="str">
        <f t="shared" si="6"/>
        <v>#DIV/0!</v>
      </c>
      <c r="Q54" s="87" t="str">
        <f t="shared" si="7"/>
        <v>#DIV/0!</v>
      </c>
      <c r="R54" s="95">
        <f t="shared" si="4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126"/>
      <c r="C55" s="149" t="s">
        <v>46</v>
      </c>
      <c r="D55" s="127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28">
        <v>241.85</v>
      </c>
      <c r="K55" s="121">
        <v>17267.0</v>
      </c>
      <c r="L55" s="135"/>
      <c r="M55" s="129">
        <v>0.0</v>
      </c>
      <c r="N55" s="85" t="str">
        <f t="shared" si="42"/>
        <v>#DIV/0!</v>
      </c>
      <c r="O55" s="86">
        <f t="shared" si="5"/>
        <v>0</v>
      </c>
      <c r="P55" s="85" t="str">
        <f t="shared" si="6"/>
        <v>#DIV/0!</v>
      </c>
      <c r="Q55" s="87" t="str">
        <f t="shared" si="7"/>
        <v>#DIV/0!</v>
      </c>
      <c r="R55" s="95">
        <f t="shared" si="4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16"/>
      <c r="B56" s="74" t="s">
        <v>33</v>
      </c>
      <c r="C56" s="117" t="s">
        <v>34</v>
      </c>
      <c r="D56" s="130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31">
        <v>0.0</v>
      </c>
      <c r="K56" s="121">
        <v>0.0</v>
      </c>
      <c r="L56" s="135"/>
      <c r="M56" s="132">
        <v>0.0</v>
      </c>
      <c r="N56" s="85" t="str">
        <f>(J56/M56)</f>
        <v>#DIV/0!</v>
      </c>
      <c r="O56" s="86" t="str">
        <f t="shared" si="5"/>
        <v>#DIV/0!</v>
      </c>
      <c r="P56" s="85" t="str">
        <f t="shared" si="6"/>
        <v>#DIV/0!</v>
      </c>
      <c r="Q56" s="87" t="str">
        <f t="shared" si="7"/>
        <v>#DIV/0!</v>
      </c>
      <c r="R56" s="100">
        <f t="shared" si="4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hidden="1" outlineLevel="1">
      <c r="A57" s="101" t="str">
        <f t="shared" ref="A57:A58" si="46">iferror(if(B57&gt;0,month(B57)&amp;"-"&amp;year(B57),B57),)</f>
        <v>1-2026</v>
      </c>
      <c r="B57" s="74">
        <v>46053.0</v>
      </c>
      <c r="C57" s="117" t="s">
        <v>35</v>
      </c>
      <c r="D57" s="133"/>
      <c r="E57" s="119"/>
      <c r="F57" s="119"/>
      <c r="G57" s="78" t="str">
        <f t="shared" si="1"/>
        <v>#DIV/0!</v>
      </c>
      <c r="H57" s="79" t="str">
        <f t="shared" si="2"/>
        <v>#DIV/0!</v>
      </c>
      <c r="I57" s="80" t="str">
        <f t="shared" si="3"/>
        <v>#DIV/0!</v>
      </c>
      <c r="J57" s="128">
        <v>0.0</v>
      </c>
      <c r="K57" s="121">
        <v>0.0</v>
      </c>
      <c r="L57" s="135"/>
      <c r="M57" s="129">
        <v>0.0</v>
      </c>
      <c r="N57" s="85" t="str">
        <f t="shared" ref="N57:N62" si="49">J57/M57</f>
        <v>#DIV/0!</v>
      </c>
      <c r="O57" s="86" t="str">
        <f t="shared" si="5"/>
        <v>#DIV/0!</v>
      </c>
      <c r="P57" s="85" t="str">
        <f t="shared" si="6"/>
        <v>#DIV/0!</v>
      </c>
      <c r="Q57" s="87" t="str">
        <f t="shared" si="7"/>
        <v>#DIV/0!</v>
      </c>
      <c r="R57" s="88">
        <f t="shared" si="45"/>
        <v>0</v>
      </c>
      <c r="S57" s="89" t="str">
        <f t="shared" si="9"/>
        <v>#DIV/0!</v>
      </c>
      <c r="T57" s="124"/>
      <c r="U57" s="124"/>
      <c r="V57" s="124"/>
      <c r="W57" s="124"/>
      <c r="X57" s="125"/>
      <c r="Y57" s="116"/>
      <c r="Z57" s="116"/>
    </row>
    <row r="58" collapsed="1">
      <c r="A58" s="116" t="str">
        <f t="shared" si="46"/>
        <v/>
      </c>
      <c r="B58" s="137" t="s">
        <v>59</v>
      </c>
      <c r="C58" s="138"/>
      <c r="D58" s="104">
        <f t="shared" ref="D58:F58" si="47">SUM(D52:D57)</f>
        <v>0</v>
      </c>
      <c r="E58" s="105">
        <f t="shared" si="47"/>
        <v>0</v>
      </c>
      <c r="F58" s="105">
        <f t="shared" si="47"/>
        <v>0</v>
      </c>
      <c r="G58" s="106" t="str">
        <f t="shared" si="1"/>
        <v>#DIV/0!</v>
      </c>
      <c r="H58" s="107" t="str">
        <f t="shared" si="2"/>
        <v>#DIV/0!</v>
      </c>
      <c r="I58" s="108" t="str">
        <f t="shared" si="3"/>
        <v>#DIV/0!</v>
      </c>
      <c r="J58" s="104">
        <f t="shared" ref="J58:M58" si="48">SUM(J52:J57)</f>
        <v>405.95</v>
      </c>
      <c r="K58" s="109">
        <f t="shared" si="48"/>
        <v>35107</v>
      </c>
      <c r="L58" s="139">
        <f t="shared" si="48"/>
        <v>0</v>
      </c>
      <c r="M58" s="110">
        <f t="shared" si="48"/>
        <v>0</v>
      </c>
      <c r="N58" s="111" t="str">
        <f t="shared" si="49"/>
        <v>#DIV/0!</v>
      </c>
      <c r="O58" s="112">
        <f t="shared" si="5"/>
        <v>0</v>
      </c>
      <c r="P58" s="111" t="str">
        <f t="shared" si="6"/>
        <v>#DIV/0!</v>
      </c>
      <c r="Q58" s="113" t="str">
        <f t="shared" si="7"/>
        <v>#DIV/0!</v>
      </c>
      <c r="R58" s="114">
        <f>SUM(R52:R57)</f>
        <v>0</v>
      </c>
      <c r="S58" s="115" t="str">
        <f t="shared" si="9"/>
        <v>#DIV/0!</v>
      </c>
      <c r="T58" s="140" t="str">
        <f t="shared" ref="T58:U58" si="50">IFERROR((D58-#REF!)/D58,)</f>
        <v/>
      </c>
      <c r="U58" s="140" t="str">
        <f t="shared" si="50"/>
        <v/>
      </c>
      <c r="V58" s="140" t="str">
        <f t="shared" ref="V58:W58" si="51">IFERROR((D58-#REF!)/D58, )</f>
        <v/>
      </c>
      <c r="W58" s="140" t="str">
        <f t="shared" si="51"/>
        <v/>
      </c>
      <c r="X58" s="116"/>
      <c r="Y58" s="116"/>
      <c r="Z58" s="116"/>
    </row>
    <row r="59" hidden="1" outlineLevel="1">
      <c r="A59" s="116"/>
      <c r="B59" s="74">
        <v>46054.0</v>
      </c>
      <c r="C59" s="117" t="s">
        <v>31</v>
      </c>
      <c r="D59" s="118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0">
        <v>0.0</v>
      </c>
      <c r="K59" s="121">
        <v>0.0</v>
      </c>
      <c r="L59" s="135"/>
      <c r="M59" s="123">
        <v>0.0</v>
      </c>
      <c r="N59" s="85" t="str">
        <f t="shared" si="49"/>
        <v>#DIV/0!</v>
      </c>
      <c r="O59" s="86" t="str">
        <f t="shared" si="5"/>
        <v>#DIV/0!</v>
      </c>
      <c r="P59" s="85" t="str">
        <f t="shared" si="6"/>
        <v>#DIV/0!</v>
      </c>
      <c r="Q59" s="87" t="str">
        <f t="shared" si="7"/>
        <v>#DIV/0!</v>
      </c>
      <c r="R59" s="88">
        <f t="shared" ref="R59:R64" si="52">D59-M59</f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126"/>
      <c r="C60" s="149" t="s">
        <v>48</v>
      </c>
      <c r="D60" s="127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41">
        <v>0.0</v>
      </c>
      <c r="K60" s="121">
        <v>0.0</v>
      </c>
      <c r="L60" s="135"/>
      <c r="M60" s="142">
        <v>0.0</v>
      </c>
      <c r="N60" s="85" t="str">
        <f t="shared" si="49"/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95">
        <f t="shared" si="5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16"/>
      <c r="B61" s="126"/>
      <c r="C61" s="117" t="s">
        <v>32</v>
      </c>
      <c r="D61" s="127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0.0</v>
      </c>
      <c r="K61" s="121">
        <v>0.0</v>
      </c>
      <c r="L61" s="135"/>
      <c r="M61" s="129">
        <v>0.0</v>
      </c>
      <c r="N61" s="85" t="str">
        <f t="shared" si="49"/>
        <v>#DIV/0!</v>
      </c>
      <c r="O61" s="86" t="str">
        <f t="shared" si="5"/>
        <v>#DIV/0!</v>
      </c>
      <c r="P61" s="85" t="str">
        <f t="shared" si="6"/>
        <v>#DIV/0!</v>
      </c>
      <c r="Q61" s="87" t="str">
        <f t="shared" si="7"/>
        <v>#DIV/0!</v>
      </c>
      <c r="R61" s="95">
        <f t="shared" si="52"/>
        <v>0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hidden="1" outlineLevel="1">
      <c r="A62" s="116"/>
      <c r="B62" s="126"/>
      <c r="C62" s="149" t="s">
        <v>46</v>
      </c>
      <c r="D62" s="127"/>
      <c r="E62" s="119"/>
      <c r="F62" s="119"/>
      <c r="G62" s="78" t="str">
        <f t="shared" si="1"/>
        <v>#DIV/0!</v>
      </c>
      <c r="H62" s="79" t="str">
        <f t="shared" si="2"/>
        <v>#DIV/0!</v>
      </c>
      <c r="I62" s="80" t="str">
        <f t="shared" si="3"/>
        <v>#DIV/0!</v>
      </c>
      <c r="J62" s="128">
        <v>109.2</v>
      </c>
      <c r="K62" s="121">
        <v>813.0</v>
      </c>
      <c r="L62" s="135"/>
      <c r="M62" s="129">
        <v>0.0</v>
      </c>
      <c r="N62" s="85" t="str">
        <f t="shared" si="49"/>
        <v>#DIV/0!</v>
      </c>
      <c r="O62" s="86">
        <f t="shared" si="5"/>
        <v>0</v>
      </c>
      <c r="P62" s="85" t="str">
        <f t="shared" si="6"/>
        <v>#DIV/0!</v>
      </c>
      <c r="Q62" s="87" t="str">
        <f t="shared" si="7"/>
        <v>#DIV/0!</v>
      </c>
      <c r="R62" s="95">
        <f t="shared" si="52"/>
        <v>0</v>
      </c>
      <c r="S62" s="89" t="str">
        <f t="shared" si="9"/>
        <v>#DIV/0!</v>
      </c>
      <c r="T62" s="124"/>
      <c r="U62" s="124"/>
      <c r="V62" s="124"/>
      <c r="W62" s="124"/>
      <c r="X62" s="125"/>
      <c r="Y62" s="116"/>
      <c r="Z62" s="116"/>
    </row>
    <row r="63" hidden="1" outlineLevel="1">
      <c r="A63" s="116"/>
      <c r="B63" s="74" t="s">
        <v>33</v>
      </c>
      <c r="C63" s="117" t="s">
        <v>34</v>
      </c>
      <c r="D63" s="130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31">
        <v>0.0</v>
      </c>
      <c r="K63" s="121">
        <v>0.0</v>
      </c>
      <c r="L63" s="135"/>
      <c r="M63" s="132">
        <v>0.0</v>
      </c>
      <c r="N63" s="85" t="str">
        <f>(J63/M63)</f>
        <v>#DIV/0!</v>
      </c>
      <c r="O63" s="86" t="str">
        <f t="shared" si="5"/>
        <v>#DIV/0!</v>
      </c>
      <c r="P63" s="85" t="str">
        <f t="shared" si="6"/>
        <v>#DIV/0!</v>
      </c>
      <c r="Q63" s="87" t="str">
        <f t="shared" si="7"/>
        <v>#DIV/0!</v>
      </c>
      <c r="R63" s="100">
        <f t="shared" si="52"/>
        <v>0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01" t="str">
        <f t="shared" ref="A64:A65" si="53">iferror(if(B64&gt;0,month(B64)&amp;"-"&amp;year(B64),B64),)</f>
        <v>2-2026</v>
      </c>
      <c r="B64" s="74">
        <v>46060.0</v>
      </c>
      <c r="C64" s="117" t="s">
        <v>35</v>
      </c>
      <c r="D64" s="133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0.0</v>
      </c>
      <c r="K64" s="121">
        <v>0.0</v>
      </c>
      <c r="L64" s="135"/>
      <c r="M64" s="129">
        <v>0.0</v>
      </c>
      <c r="N64" s="85" t="str">
        <f t="shared" ref="N64:N69" si="56">J64/M64</f>
        <v>#DIV/0!</v>
      </c>
      <c r="O64" s="86" t="str">
        <f t="shared" si="5"/>
        <v>#DIV/0!</v>
      </c>
      <c r="P64" s="85" t="str">
        <f t="shared" si="6"/>
        <v>#DIV/0!</v>
      </c>
      <c r="Q64" s="87" t="str">
        <f t="shared" si="7"/>
        <v>#DIV/0!</v>
      </c>
      <c r="R64" s="88">
        <f t="shared" si="52"/>
        <v>0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collapsed="1">
      <c r="A65" s="116" t="str">
        <f t="shared" si="53"/>
        <v/>
      </c>
      <c r="B65" s="137" t="s">
        <v>60</v>
      </c>
      <c r="C65" s="138"/>
      <c r="D65" s="104">
        <f t="shared" ref="D65:F65" si="54">SUM(D59:D64)</f>
        <v>0</v>
      </c>
      <c r="E65" s="105">
        <f t="shared" si="54"/>
        <v>0</v>
      </c>
      <c r="F65" s="105">
        <f t="shared" si="54"/>
        <v>0</v>
      </c>
      <c r="G65" s="106" t="str">
        <f t="shared" si="1"/>
        <v>#DIV/0!</v>
      </c>
      <c r="H65" s="107" t="str">
        <f t="shared" si="2"/>
        <v>#DIV/0!</v>
      </c>
      <c r="I65" s="108" t="str">
        <f t="shared" si="3"/>
        <v>#DIV/0!</v>
      </c>
      <c r="J65" s="104">
        <f t="shared" ref="J65:M65" si="55">SUM(J59:J64)</f>
        <v>109.2</v>
      </c>
      <c r="K65" s="109">
        <f t="shared" si="55"/>
        <v>813</v>
      </c>
      <c r="L65" s="139">
        <f t="shared" si="55"/>
        <v>0</v>
      </c>
      <c r="M65" s="110">
        <f t="shared" si="55"/>
        <v>0</v>
      </c>
      <c r="N65" s="111" t="str">
        <f t="shared" si="56"/>
        <v>#DIV/0!</v>
      </c>
      <c r="O65" s="112">
        <f t="shared" si="5"/>
        <v>0</v>
      </c>
      <c r="P65" s="111" t="str">
        <f t="shared" si="6"/>
        <v>#DIV/0!</v>
      </c>
      <c r="Q65" s="113" t="str">
        <f t="shared" si="7"/>
        <v>#DIV/0!</v>
      </c>
      <c r="R65" s="114">
        <f>SUM(R59:R64)</f>
        <v>0</v>
      </c>
      <c r="S65" s="115" t="str">
        <f t="shared" si="9"/>
        <v>#DIV/0!</v>
      </c>
      <c r="T65" s="140" t="str">
        <f t="shared" ref="T65:U65" si="57">IFERROR((D65-#REF!)/D65,)</f>
        <v/>
      </c>
      <c r="U65" s="140" t="str">
        <f t="shared" si="57"/>
        <v/>
      </c>
      <c r="V65" s="140" t="str">
        <f t="shared" ref="V65:W65" si="58">IFERROR((D65-#REF!)/D65, )</f>
        <v/>
      </c>
      <c r="W65" s="140" t="str">
        <f t="shared" si="58"/>
        <v/>
      </c>
      <c r="X65" s="116"/>
      <c r="Y65" s="116"/>
      <c r="Z65" s="116"/>
    </row>
    <row r="66">
      <c r="A66" s="13"/>
      <c r="B66" s="143">
        <v>46061.0</v>
      </c>
      <c r="C66" s="75" t="s">
        <v>31</v>
      </c>
      <c r="D66" s="76"/>
      <c r="E66" s="77"/>
      <c r="F66" s="77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81">
        <v>0.0</v>
      </c>
      <c r="K66" s="82">
        <v>0.0</v>
      </c>
      <c r="L66" s="83"/>
      <c r="M66" s="84">
        <v>0.0</v>
      </c>
      <c r="N66" s="85" t="str">
        <f t="shared" si="56"/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88">
        <f t="shared" ref="R66:R71" si="59">D66-M66</f>
        <v>0</v>
      </c>
      <c r="S66" s="89" t="str">
        <f t="shared" si="9"/>
        <v>#DIV/0!</v>
      </c>
      <c r="T66" s="90"/>
      <c r="U66" s="90"/>
      <c r="V66" s="90"/>
      <c r="W66" s="90"/>
      <c r="X66" s="3"/>
      <c r="Y66" s="13"/>
      <c r="Z66" s="13"/>
    </row>
    <row r="67">
      <c r="A67" s="13"/>
      <c r="B67" s="91"/>
      <c r="C67" s="144" t="s">
        <v>48</v>
      </c>
      <c r="D67" s="92"/>
      <c r="E67" s="77"/>
      <c r="F67" s="77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45">
        <v>313.92</v>
      </c>
      <c r="K67" s="82">
        <v>10464.0</v>
      </c>
      <c r="L67" s="150"/>
      <c r="M67" s="147">
        <v>0.0</v>
      </c>
      <c r="N67" s="85" t="str">
        <f t="shared" si="56"/>
        <v>#DIV/0!</v>
      </c>
      <c r="O67" s="86">
        <f t="shared" si="5"/>
        <v>0</v>
      </c>
      <c r="P67" s="85" t="str">
        <f t="shared" si="6"/>
        <v>#DIV/0!</v>
      </c>
      <c r="Q67" s="87" t="str">
        <f t="shared" si="7"/>
        <v>#DIV/0!</v>
      </c>
      <c r="R67" s="95">
        <f t="shared" si="59"/>
        <v>0</v>
      </c>
      <c r="S67" s="89" t="str">
        <f t="shared" si="9"/>
        <v>#DIV/0!</v>
      </c>
      <c r="T67" s="90"/>
      <c r="U67" s="90"/>
      <c r="V67" s="90"/>
      <c r="W67" s="90"/>
      <c r="X67" s="3"/>
      <c r="Y67" s="13"/>
      <c r="Z67" s="13"/>
    </row>
    <row r="68">
      <c r="A68" s="13"/>
      <c r="B68" s="91"/>
      <c r="C68" s="75" t="s">
        <v>32</v>
      </c>
      <c r="D68" s="92"/>
      <c r="E68" s="77"/>
      <c r="F68" s="77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93">
        <v>0.0</v>
      </c>
      <c r="K68" s="82">
        <v>0.0</v>
      </c>
      <c r="L68" s="83"/>
      <c r="M68" s="94">
        <v>0.0</v>
      </c>
      <c r="N68" s="85" t="str">
        <f t="shared" si="56"/>
        <v>#DIV/0!</v>
      </c>
      <c r="O68" s="86" t="str">
        <f t="shared" si="5"/>
        <v>#DIV/0!</v>
      </c>
      <c r="P68" s="85" t="str">
        <f t="shared" si="6"/>
        <v>#DIV/0!</v>
      </c>
      <c r="Q68" s="87" t="str">
        <f t="shared" si="7"/>
        <v>#DIV/0!</v>
      </c>
      <c r="R68" s="95">
        <f t="shared" si="59"/>
        <v>0</v>
      </c>
      <c r="S68" s="89" t="str">
        <f t="shared" si="9"/>
        <v>#DIV/0!</v>
      </c>
      <c r="T68" s="90"/>
      <c r="U68" s="90"/>
      <c r="V68" s="90"/>
      <c r="W68" s="90"/>
      <c r="X68" s="3"/>
      <c r="Y68" s="13"/>
      <c r="Z68" s="13"/>
    </row>
    <row r="69">
      <c r="A69" s="13"/>
      <c r="B69" s="91"/>
      <c r="C69" s="144" t="s">
        <v>46</v>
      </c>
      <c r="D69" s="92"/>
      <c r="E69" s="77"/>
      <c r="F69" s="77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93">
        <v>231.27</v>
      </c>
      <c r="K69" s="82">
        <v>12927.0</v>
      </c>
      <c r="L69" s="83"/>
      <c r="M69" s="94">
        <v>1001.28</v>
      </c>
      <c r="N69" s="85">
        <f t="shared" si="56"/>
        <v>0.2309743528</v>
      </c>
      <c r="O69" s="86">
        <f t="shared" si="5"/>
        <v>4.329485018</v>
      </c>
      <c r="P69" s="85" t="str">
        <f t="shared" si="6"/>
        <v>#DIV/0!</v>
      </c>
      <c r="Q69" s="87" t="str">
        <f t="shared" si="7"/>
        <v>#DIV/0!</v>
      </c>
      <c r="R69" s="95">
        <f t="shared" si="59"/>
        <v>-1001.28</v>
      </c>
      <c r="S69" s="89" t="str">
        <f t="shared" si="9"/>
        <v>#DIV/0!</v>
      </c>
      <c r="T69" s="90"/>
      <c r="U69" s="90"/>
      <c r="V69" s="90"/>
      <c r="W69" s="90"/>
      <c r="X69" s="3"/>
      <c r="Y69" s="13"/>
      <c r="Z69" s="13"/>
    </row>
    <row r="70">
      <c r="A70" s="13"/>
      <c r="B70" s="148" t="s">
        <v>33</v>
      </c>
      <c r="C70" s="75" t="s">
        <v>34</v>
      </c>
      <c r="D70" s="97"/>
      <c r="E70" s="77"/>
      <c r="F70" s="77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98">
        <v>0.0</v>
      </c>
      <c r="K70" s="82">
        <v>0.0</v>
      </c>
      <c r="L70" s="83"/>
      <c r="M70" s="99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59"/>
        <v>0</v>
      </c>
      <c r="S70" s="89" t="str">
        <f t="shared" si="9"/>
        <v>#DIV/0!</v>
      </c>
      <c r="T70" s="90"/>
      <c r="U70" s="90"/>
      <c r="V70" s="90"/>
      <c r="W70" s="90"/>
      <c r="X70" s="3"/>
      <c r="Y70" s="13"/>
      <c r="Z70" s="13"/>
    </row>
    <row r="71">
      <c r="A71" s="101" t="str">
        <f t="shared" ref="A71:A72" si="60">iferror(if(B71&gt;0,month(B71)&amp;"-"&amp;year(B71),B71),)</f>
        <v>2-2026</v>
      </c>
      <c r="B71" s="143">
        <v>46067.0</v>
      </c>
      <c r="C71" s="75" t="s">
        <v>35</v>
      </c>
      <c r="D71" s="102"/>
      <c r="E71" s="77"/>
      <c r="F71" s="77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93">
        <v>0.0</v>
      </c>
      <c r="K71" s="82">
        <v>0.0</v>
      </c>
      <c r="L71" s="83"/>
      <c r="M71" s="94">
        <v>0.0</v>
      </c>
      <c r="N71" s="85" t="str">
        <f t="shared" ref="N71:N76" si="63">J71/M71</f>
        <v>#DIV/0!</v>
      </c>
      <c r="O71" s="86" t="str">
        <f t="shared" si="5"/>
        <v>#DIV/0!</v>
      </c>
      <c r="P71" s="85" t="str">
        <f t="shared" si="6"/>
        <v>#DIV/0!</v>
      </c>
      <c r="Q71" s="87" t="str">
        <f t="shared" si="7"/>
        <v>#DIV/0!</v>
      </c>
      <c r="R71" s="88">
        <f t="shared" si="59"/>
        <v>0</v>
      </c>
      <c r="S71" s="89" t="str">
        <f t="shared" si="9"/>
        <v>#DIV/0!</v>
      </c>
      <c r="T71" s="90"/>
      <c r="U71" s="90"/>
      <c r="V71" s="90"/>
      <c r="W71" s="90"/>
      <c r="X71" s="3"/>
      <c r="Y71" s="13"/>
      <c r="Z71" s="13"/>
    </row>
    <row r="72">
      <c r="A72" s="13" t="str">
        <f t="shared" si="60"/>
        <v/>
      </c>
      <c r="B72" s="103" t="s">
        <v>51</v>
      </c>
      <c r="C72" s="61"/>
      <c r="D72" s="104">
        <f t="shared" ref="D72:F72" si="61">SUM(D66:D71)</f>
        <v>0</v>
      </c>
      <c r="E72" s="105">
        <f t="shared" si="61"/>
        <v>0</v>
      </c>
      <c r="F72" s="105">
        <f t="shared" si="61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62">SUM(J66:J71)</f>
        <v>545.19</v>
      </c>
      <c r="K72" s="109">
        <f t="shared" si="62"/>
        <v>23391</v>
      </c>
      <c r="L72" s="105">
        <f t="shared" si="62"/>
        <v>0</v>
      </c>
      <c r="M72" s="110">
        <f t="shared" si="62"/>
        <v>1001.28</v>
      </c>
      <c r="N72" s="111">
        <f t="shared" si="63"/>
        <v>0.5444930489</v>
      </c>
      <c r="O72" s="112">
        <f t="shared" si="5"/>
        <v>1.836570737</v>
      </c>
      <c r="P72" s="111" t="str">
        <f t="shared" si="6"/>
        <v>#DIV/0!</v>
      </c>
      <c r="Q72" s="113" t="str">
        <f t="shared" si="7"/>
        <v>#DIV/0!</v>
      </c>
      <c r="R72" s="114">
        <f>SUM(R66:R71)</f>
        <v>-1001.28</v>
      </c>
      <c r="S72" s="115" t="str">
        <f t="shared" si="9"/>
        <v>#DIV/0!</v>
      </c>
      <c r="T72" s="73" t="str">
        <f t="shared" ref="T72:U72" si="64">IFERROR((D72-#REF!)/D72,)</f>
        <v/>
      </c>
      <c r="U72" s="73" t="str">
        <f t="shared" si="64"/>
        <v/>
      </c>
      <c r="V72" s="73" t="str">
        <f t="shared" ref="V72:W72" si="65">IFERROR((D72-#REF!)/D72, )</f>
        <v/>
      </c>
      <c r="W72" s="73" t="str">
        <f t="shared" si="65"/>
        <v/>
      </c>
      <c r="X72" s="13"/>
      <c r="Y72" s="13"/>
      <c r="Z72" s="13"/>
    </row>
    <row r="73">
      <c r="A73" s="13"/>
      <c r="B73" s="143">
        <v>46068.0</v>
      </c>
      <c r="C73" s="75" t="s">
        <v>31</v>
      </c>
      <c r="D73" s="76"/>
      <c r="E73" s="77"/>
      <c r="F73" s="77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81">
        <v>0.0</v>
      </c>
      <c r="K73" s="82">
        <v>0.0</v>
      </c>
      <c r="L73" s="83"/>
      <c r="M73" s="84">
        <v>0.0</v>
      </c>
      <c r="N73" s="85" t="str">
        <f t="shared" si="63"/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88">
        <f t="shared" ref="R73:R78" si="66">D73-M73</f>
        <v>0</v>
      </c>
      <c r="S73" s="89" t="str">
        <f t="shared" si="9"/>
        <v>#DIV/0!</v>
      </c>
      <c r="T73" s="90"/>
      <c r="U73" s="90"/>
      <c r="V73" s="90"/>
      <c r="W73" s="90"/>
      <c r="X73" s="3"/>
      <c r="Y73" s="13"/>
      <c r="Z73" s="13"/>
    </row>
    <row r="74">
      <c r="A74" s="13"/>
      <c r="B74" s="91"/>
      <c r="C74" s="144" t="s">
        <v>48</v>
      </c>
      <c r="D74" s="92"/>
      <c r="E74" s="77"/>
      <c r="F74" s="77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45">
        <v>478.92</v>
      </c>
      <c r="K74" s="82">
        <v>15964.0</v>
      </c>
      <c r="L74" s="150"/>
      <c r="M74" s="147">
        <v>569.0</v>
      </c>
      <c r="N74" s="85">
        <f t="shared" si="63"/>
        <v>0.8416871705</v>
      </c>
      <c r="O74" s="86">
        <f t="shared" si="5"/>
        <v>1.188089869</v>
      </c>
      <c r="P74" s="85" t="str">
        <f t="shared" si="6"/>
        <v>#DIV/0!</v>
      </c>
      <c r="Q74" s="87" t="str">
        <f t="shared" si="7"/>
        <v>#DIV/0!</v>
      </c>
      <c r="R74" s="95">
        <f t="shared" si="66"/>
        <v>-569</v>
      </c>
      <c r="S74" s="89" t="str">
        <f t="shared" si="9"/>
        <v>#DIV/0!</v>
      </c>
      <c r="T74" s="90"/>
      <c r="U74" s="90"/>
      <c r="V74" s="90"/>
      <c r="W74" s="90"/>
      <c r="X74" s="3"/>
      <c r="Y74" s="13"/>
      <c r="Z74" s="13"/>
    </row>
    <row r="75">
      <c r="A75" s="13"/>
      <c r="B75" s="91"/>
      <c r="C75" s="75" t="s">
        <v>32</v>
      </c>
      <c r="D75" s="92"/>
      <c r="E75" s="77"/>
      <c r="F75" s="77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93">
        <v>0.0</v>
      </c>
      <c r="K75" s="82">
        <v>0.0</v>
      </c>
      <c r="L75" s="83"/>
      <c r="M75" s="94">
        <v>0.0</v>
      </c>
      <c r="N75" s="85" t="str">
        <f t="shared" si="63"/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95">
        <f t="shared" si="66"/>
        <v>0</v>
      </c>
      <c r="S75" s="89" t="str">
        <f t="shared" si="9"/>
        <v>#DIV/0!</v>
      </c>
      <c r="T75" s="90"/>
      <c r="U75" s="90"/>
      <c r="V75" s="90"/>
      <c r="W75" s="90"/>
      <c r="X75" s="3"/>
      <c r="Y75" s="13"/>
      <c r="Z75" s="13"/>
    </row>
    <row r="76">
      <c r="A76" s="13"/>
      <c r="B76" s="91"/>
      <c r="C76" s="144" t="s">
        <v>46</v>
      </c>
      <c r="D76" s="92"/>
      <c r="E76" s="77"/>
      <c r="F76" s="77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93">
        <v>402.33</v>
      </c>
      <c r="K76" s="82">
        <v>20897.0</v>
      </c>
      <c r="L76" s="83"/>
      <c r="M76" s="94">
        <v>1744.02</v>
      </c>
      <c r="N76" s="85">
        <f t="shared" si="63"/>
        <v>0.2306911618</v>
      </c>
      <c r="O76" s="86">
        <f t="shared" si="5"/>
        <v>4.334799791</v>
      </c>
      <c r="P76" s="85" t="str">
        <f t="shared" si="6"/>
        <v>#DIV/0!</v>
      </c>
      <c r="Q76" s="87" t="str">
        <f t="shared" si="7"/>
        <v>#DIV/0!</v>
      </c>
      <c r="R76" s="95">
        <f t="shared" si="66"/>
        <v>-1744.02</v>
      </c>
      <c r="S76" s="89" t="str">
        <f t="shared" si="9"/>
        <v>#DIV/0!</v>
      </c>
      <c r="T76" s="90"/>
      <c r="U76" s="90"/>
      <c r="V76" s="90"/>
      <c r="W76" s="90"/>
      <c r="X76" s="3"/>
      <c r="Y76" s="13"/>
      <c r="Z76" s="13"/>
    </row>
    <row r="77">
      <c r="A77" s="13"/>
      <c r="B77" s="148" t="s">
        <v>33</v>
      </c>
      <c r="C77" s="75" t="s">
        <v>34</v>
      </c>
      <c r="D77" s="97"/>
      <c r="E77" s="77"/>
      <c r="F77" s="77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98">
        <v>0.0</v>
      </c>
      <c r="K77" s="82">
        <v>0.0</v>
      </c>
      <c r="L77" s="83"/>
      <c r="M77" s="99">
        <v>0.0</v>
      </c>
      <c r="N77" s="85" t="str">
        <f>(J77/M77)</f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100">
        <f t="shared" si="66"/>
        <v>0</v>
      </c>
      <c r="S77" s="89" t="str">
        <f t="shared" si="9"/>
        <v>#DIV/0!</v>
      </c>
      <c r="T77" s="90"/>
      <c r="U77" s="90"/>
      <c r="V77" s="90"/>
      <c r="W77" s="90"/>
      <c r="X77" s="3"/>
      <c r="Y77" s="13"/>
      <c r="Z77" s="13"/>
    </row>
    <row r="78">
      <c r="A78" s="101" t="str">
        <f t="shared" ref="A78:A79" si="67">iferror(if(B78&gt;0,month(B78)&amp;"-"&amp;year(B78),B78),)</f>
        <v>2-2026</v>
      </c>
      <c r="B78" s="143">
        <v>46074.0</v>
      </c>
      <c r="C78" s="75" t="s">
        <v>35</v>
      </c>
      <c r="D78" s="102"/>
      <c r="E78" s="77"/>
      <c r="F78" s="77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93">
        <v>0.0</v>
      </c>
      <c r="K78" s="82">
        <v>0.0</v>
      </c>
      <c r="L78" s="83"/>
      <c r="M78" s="94">
        <v>0.0</v>
      </c>
      <c r="N78" s="85" t="str">
        <f t="shared" ref="N78:N79" si="70">J78/M78</f>
        <v>#DIV/0!</v>
      </c>
      <c r="O78" s="86" t="str">
        <f t="shared" si="5"/>
        <v>#DIV/0!</v>
      </c>
      <c r="P78" s="85" t="str">
        <f t="shared" si="6"/>
        <v>#DIV/0!</v>
      </c>
      <c r="Q78" s="87" t="str">
        <f t="shared" si="7"/>
        <v>#DIV/0!</v>
      </c>
      <c r="R78" s="88">
        <f t="shared" si="66"/>
        <v>0</v>
      </c>
      <c r="S78" s="89" t="str">
        <f t="shared" si="9"/>
        <v>#DIV/0!</v>
      </c>
      <c r="T78" s="90"/>
      <c r="U78" s="90"/>
      <c r="V78" s="90"/>
      <c r="W78" s="90"/>
      <c r="X78" s="3"/>
      <c r="Y78" s="13"/>
      <c r="Z78" s="13"/>
    </row>
    <row r="79">
      <c r="A79" s="13" t="str">
        <f t="shared" si="67"/>
        <v/>
      </c>
      <c r="B79" s="103" t="s">
        <v>52</v>
      </c>
      <c r="C79" s="61"/>
      <c r="D79" s="104">
        <f t="shared" ref="D79:F79" si="68">SUM(D73:D78)</f>
        <v>0</v>
      </c>
      <c r="E79" s="105">
        <f t="shared" si="68"/>
        <v>0</v>
      </c>
      <c r="F79" s="105">
        <f t="shared" si="68"/>
        <v>0</v>
      </c>
      <c r="G79" s="106" t="str">
        <f t="shared" si="1"/>
        <v>#DIV/0!</v>
      </c>
      <c r="H79" s="107" t="str">
        <f t="shared" si="2"/>
        <v>#DIV/0!</v>
      </c>
      <c r="I79" s="108" t="str">
        <f t="shared" si="3"/>
        <v>#DIV/0!</v>
      </c>
      <c r="J79" s="104">
        <f t="shared" ref="J79:M79" si="69">SUM(J73:J78)</f>
        <v>881.25</v>
      </c>
      <c r="K79" s="109">
        <f t="shared" si="69"/>
        <v>36861</v>
      </c>
      <c r="L79" s="105">
        <f t="shared" si="69"/>
        <v>0</v>
      </c>
      <c r="M79" s="110">
        <f t="shared" si="69"/>
        <v>2313.02</v>
      </c>
      <c r="N79" s="111">
        <f t="shared" si="70"/>
        <v>0.3809954086</v>
      </c>
      <c r="O79" s="112">
        <f t="shared" si="5"/>
        <v>2.624703546</v>
      </c>
      <c r="P79" s="111" t="str">
        <f t="shared" si="6"/>
        <v>#DIV/0!</v>
      </c>
      <c r="Q79" s="113" t="str">
        <f t="shared" si="7"/>
        <v>#DIV/0!</v>
      </c>
      <c r="R79" s="114">
        <f>SUM(R73:R78)</f>
        <v>-2313.02</v>
      </c>
      <c r="S79" s="115" t="str">
        <f t="shared" si="9"/>
        <v>#DIV/0!</v>
      </c>
      <c r="T79" s="73" t="str">
        <f t="shared" ref="T79:U79" si="71">IFERROR((D79-D72)/D79,)</f>
        <v/>
      </c>
      <c r="U79" s="73" t="str">
        <f t="shared" si="71"/>
        <v/>
      </c>
      <c r="V79" s="73" t="str">
        <f t="shared" ref="V79:W79" si="72">IFERROR((D79-#REF!)/D79, )</f>
        <v/>
      </c>
      <c r="W79" s="73" t="str">
        <f t="shared" si="72"/>
        <v/>
      </c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23 B30 B37 B44 B51 B58 B65 B72 B79">
      <formula1>"Previous Week,Current Week"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61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Week",$B$11:$Z$52,match("SALES",$B$11:$Z$11,0),FALSE)</f>
        <v>0.2162351278</v>
      </c>
      <c r="D4" s="116"/>
      <c r="E4" s="116"/>
      <c r="F4" s="161">
        <f>VLOOKUP("Current Week",$B$11:$Z$52,match("Units Sold",$B$11:$Z$11,0),FALSE)</f>
        <v>74</v>
      </c>
      <c r="G4" s="10"/>
      <c r="H4" s="8"/>
      <c r="I4" s="125"/>
      <c r="J4" s="161">
        <f>VLOOKUP("Current Week",$B$11:$Z$52,match("Ordered Items",$B$11:$Z$11,0),FALSE)</f>
        <v>47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Week",$B$11:$Z$56,match("SALES",$B$11:$Z$11,0),FALSE)))/C4</f>
        <v>1</v>
      </c>
      <c r="D5" s="116"/>
      <c r="E5" s="116"/>
      <c r="F5" s="165">
        <f>(F4-(VLOOKUP("Previous Week",$B$11:$Z$66,match("Units Sold",$B$11:$Z$11,0),FALSE)))/F4</f>
        <v>0.1351351351</v>
      </c>
      <c r="G5" s="10"/>
      <c r="H5" s="10"/>
      <c r="I5" s="8"/>
      <c r="J5" s="165">
        <f>(J4-(VLOOKUP("Previous Week",$B$11:$Z$66,match("Ordered Items",$B$11:$Z$11,0),FALSE)))/J4</f>
        <v>-0.1914893617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Week",$B$11:$Z$52,match("AD SALES",$B$11:$Z$11,0),FALSE)</f>
        <v>#N/A</v>
      </c>
      <c r="D8" s="116"/>
      <c r="E8" s="116"/>
      <c r="F8" s="167" t="str">
        <f>VLOOKUP("Current Week",$B$11:$Z$52,match("SP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Week",$B$11:$Z$66,match("AD SALES",$B$11:$Z$11,0),FALSE)))/C8</f>
        <v>#N/A</v>
      </c>
      <c r="D9" s="116"/>
      <c r="E9" s="116"/>
      <c r="F9" s="170" t="str">
        <f>(F8-(VLOOKUP("Previous Week",$B$11:$Z$66,match("SP AD SPEND",$B$11:$Z$11,0),FALSE)))/F8</f>
        <v>#N/A</v>
      </c>
      <c r="I9" s="35"/>
      <c r="J9" s="170" t="str">
        <f>(J8-(VLOOKUP("Previous Week",$B$11:$Z$66,match("ACOS",$B$11:$Z$11,0),FALSE)))/J8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62</v>
      </c>
      <c r="D11" s="52" t="s">
        <v>63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outlineLevel="1">
      <c r="A13" s="101" t="str">
        <f>iferror(if(B13&gt;0,month(B13)&amp;"-"&amp;year(B13),B13),)</f>
        <v>12-2025</v>
      </c>
      <c r="B13" s="74">
        <v>46019.0</v>
      </c>
      <c r="C13" s="75" t="s">
        <v>64</v>
      </c>
      <c r="D13" s="93">
        <v>2772.16</v>
      </c>
      <c r="E13" s="150">
        <v>40.0</v>
      </c>
      <c r="F13" s="150">
        <v>37.0</v>
      </c>
      <c r="G13" s="78">
        <f t="shared" ref="G13:G52" si="1">E13/F13</f>
        <v>1.081081081</v>
      </c>
      <c r="H13" s="79">
        <f t="shared" ref="H13:H52" si="2">D13/E13</f>
        <v>69.304</v>
      </c>
      <c r="I13" s="79">
        <f t="shared" ref="I13:I52" si="3">H13/G13</f>
        <v>64.1062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outlineLevel="1">
      <c r="A14" s="116"/>
      <c r="B14" s="126"/>
      <c r="C14" s="75" t="s">
        <v>65</v>
      </c>
      <c r="D14" s="202">
        <v>5527.38</v>
      </c>
      <c r="E14" s="150">
        <v>36.0</v>
      </c>
      <c r="F14" s="150">
        <v>30.0</v>
      </c>
      <c r="G14" s="78">
        <f t="shared" si="1"/>
        <v>1.2</v>
      </c>
      <c r="H14" s="79">
        <f t="shared" si="2"/>
        <v>153.5383333</v>
      </c>
      <c r="I14" s="79">
        <f t="shared" si="3"/>
        <v>127.9486111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outlineLevel="1">
      <c r="A15" s="116" t="str">
        <f t="shared" ref="A15:A18" si="4">iferror(if(B15&gt;0,month(B15)&amp;"-"&amp;year(B15),B15),)</f>
        <v/>
      </c>
      <c r="B15" s="126"/>
      <c r="C15" s="75" t="s">
        <v>66</v>
      </c>
      <c r="D15" s="202">
        <v>382.5</v>
      </c>
      <c r="E15" s="150">
        <v>5.0</v>
      </c>
      <c r="F15" s="150">
        <v>5.0</v>
      </c>
      <c r="G15" s="78">
        <f t="shared" si="1"/>
        <v>1</v>
      </c>
      <c r="H15" s="79">
        <f t="shared" si="2"/>
        <v>76.5</v>
      </c>
      <c r="I15" s="79">
        <f t="shared" si="3"/>
        <v>76.5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outlineLevel="1">
      <c r="A16" s="101" t="str">
        <f t="shared" si="4"/>
        <v>1-2026</v>
      </c>
      <c r="B16" s="143">
        <v>46025.0</v>
      </c>
      <c r="C16" s="75" t="s">
        <v>67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>
      <c r="A17" s="116" t="str">
        <f t="shared" si="4"/>
        <v/>
      </c>
      <c r="B17" s="204" t="s">
        <v>55</v>
      </c>
      <c r="C17" s="185"/>
      <c r="D17" s="104">
        <f t="shared" ref="D17:F17" si="5">SUM(D13:D16)</f>
        <v>8682.04</v>
      </c>
      <c r="E17" s="105">
        <f t="shared" si="5"/>
        <v>81</v>
      </c>
      <c r="F17" s="105">
        <f t="shared" si="5"/>
        <v>72</v>
      </c>
      <c r="G17" s="106">
        <f t="shared" si="1"/>
        <v>1.125</v>
      </c>
      <c r="H17" s="107">
        <f t="shared" si="2"/>
        <v>107.185679</v>
      </c>
      <c r="I17" s="107">
        <f t="shared" si="3"/>
        <v>95.27615912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outlineLevel="1">
      <c r="A18" s="101" t="str">
        <f t="shared" si="4"/>
        <v>1-2026</v>
      </c>
      <c r="B18" s="74">
        <v>46026.0</v>
      </c>
      <c r="C18" s="75" t="s">
        <v>64</v>
      </c>
      <c r="D18" s="93">
        <v>5422.63</v>
      </c>
      <c r="E18" s="150">
        <v>55.0</v>
      </c>
      <c r="F18" s="150">
        <v>53.0</v>
      </c>
      <c r="G18" s="78">
        <f t="shared" si="1"/>
        <v>1.037735849</v>
      </c>
      <c r="H18" s="79">
        <f t="shared" si="2"/>
        <v>98.59327273</v>
      </c>
      <c r="I18" s="79">
        <f t="shared" si="3"/>
        <v>95.00806281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outlineLevel="1">
      <c r="A19" s="116"/>
      <c r="B19" s="126"/>
      <c r="C19" s="75" t="s">
        <v>65</v>
      </c>
      <c r="D19" s="202">
        <v>2828.19</v>
      </c>
      <c r="E19" s="150">
        <v>29.0</v>
      </c>
      <c r="F19" s="150">
        <v>25.0</v>
      </c>
      <c r="G19" s="78">
        <f t="shared" si="1"/>
        <v>1.16</v>
      </c>
      <c r="H19" s="79">
        <f t="shared" si="2"/>
        <v>97.5237931</v>
      </c>
      <c r="I19" s="79">
        <f t="shared" si="3"/>
        <v>84.07223543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outlineLevel="1">
      <c r="A20" s="116" t="str">
        <f t="shared" ref="A20:A23" si="8">iferror(if(B20&gt;0,month(B20)&amp;"-"&amp;year(B20),B20),)</f>
        <v/>
      </c>
      <c r="B20" s="126"/>
      <c r="C20" s="75" t="s">
        <v>66</v>
      </c>
      <c r="D20" s="202">
        <v>2066.1</v>
      </c>
      <c r="E20" s="150">
        <v>13.0</v>
      </c>
      <c r="F20" s="150">
        <v>12.0</v>
      </c>
      <c r="G20" s="78">
        <f t="shared" si="1"/>
        <v>1.083333333</v>
      </c>
      <c r="H20" s="79">
        <f t="shared" si="2"/>
        <v>158.9307692</v>
      </c>
      <c r="I20" s="79">
        <f t="shared" si="3"/>
        <v>146.7053254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outlineLevel="1">
      <c r="A21" s="101" t="str">
        <f t="shared" si="8"/>
        <v>1-2026</v>
      </c>
      <c r="B21" s="74">
        <v>46032.0</v>
      </c>
      <c r="C21" s="75" t="s">
        <v>67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>
      <c r="A22" s="116" t="str">
        <f t="shared" si="8"/>
        <v/>
      </c>
      <c r="B22" s="204" t="s">
        <v>56</v>
      </c>
      <c r="C22" s="185"/>
      <c r="D22" s="104">
        <f t="shared" ref="D22:F22" si="9">SUM(D18:D21)</f>
        <v>10316.92</v>
      </c>
      <c r="E22" s="105">
        <f t="shared" si="9"/>
        <v>97</v>
      </c>
      <c r="F22" s="105">
        <f t="shared" si="9"/>
        <v>90</v>
      </c>
      <c r="G22" s="106">
        <f t="shared" si="1"/>
        <v>1.077777778</v>
      </c>
      <c r="H22" s="107">
        <f t="shared" si="2"/>
        <v>106.36</v>
      </c>
      <c r="I22" s="107">
        <f t="shared" si="3"/>
        <v>98.68453608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outlineLevel="1">
      <c r="A23" s="101" t="str">
        <f t="shared" si="8"/>
        <v>1-2026</v>
      </c>
      <c r="B23" s="74">
        <v>46033.0</v>
      </c>
      <c r="C23" s="75" t="s">
        <v>64</v>
      </c>
      <c r="D23" s="93">
        <v>6614.61</v>
      </c>
      <c r="E23" s="150">
        <v>73.0</v>
      </c>
      <c r="F23" s="150">
        <v>71.0</v>
      </c>
      <c r="G23" s="78">
        <f t="shared" si="1"/>
        <v>1.028169014</v>
      </c>
      <c r="H23" s="79">
        <f t="shared" si="2"/>
        <v>90.61109589</v>
      </c>
      <c r="I23" s="79">
        <f t="shared" si="3"/>
        <v>88.12860011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outlineLevel="1">
      <c r="A24" s="116"/>
      <c r="B24" s="126"/>
      <c r="C24" s="75" t="s">
        <v>65</v>
      </c>
      <c r="D24" s="202">
        <v>3820.15</v>
      </c>
      <c r="E24" s="150">
        <v>37.0</v>
      </c>
      <c r="F24" s="150">
        <v>29.0</v>
      </c>
      <c r="G24" s="78">
        <f t="shared" si="1"/>
        <v>1.275862069</v>
      </c>
      <c r="H24" s="79">
        <f t="shared" si="2"/>
        <v>103.2472973</v>
      </c>
      <c r="I24" s="79">
        <f t="shared" si="3"/>
        <v>80.92355734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outlineLevel="1">
      <c r="A25" s="116" t="str">
        <f t="shared" ref="A25:A29" si="12">iferror(if(B25&gt;0,month(B25)&amp;"-"&amp;year(B25),B25),)</f>
        <v/>
      </c>
      <c r="B25" s="126"/>
      <c r="C25" s="75" t="s">
        <v>66</v>
      </c>
      <c r="D25" s="202">
        <v>884.7</v>
      </c>
      <c r="E25" s="150">
        <v>8.0</v>
      </c>
      <c r="F25" s="150">
        <v>8.0</v>
      </c>
      <c r="G25" s="78">
        <f t="shared" si="1"/>
        <v>1</v>
      </c>
      <c r="H25" s="79">
        <f t="shared" si="2"/>
        <v>110.5875</v>
      </c>
      <c r="I25" s="79">
        <f t="shared" si="3"/>
        <v>110.5875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outlineLevel="1">
      <c r="A26" s="101" t="str">
        <f t="shared" si="12"/>
        <v>1-2026</v>
      </c>
      <c r="B26" s="74">
        <v>46039.0</v>
      </c>
      <c r="C26" s="75" t="s">
        <v>67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>
      <c r="A27" s="116" t="str">
        <f t="shared" si="12"/>
        <v/>
      </c>
      <c r="B27" s="204" t="s">
        <v>57</v>
      </c>
      <c r="C27" s="185"/>
      <c r="D27" s="104">
        <f t="shared" ref="D27:F27" si="13">SUM(D23:D26)</f>
        <v>11319.46</v>
      </c>
      <c r="E27" s="105">
        <f t="shared" si="13"/>
        <v>118</v>
      </c>
      <c r="F27" s="105">
        <f t="shared" si="13"/>
        <v>108</v>
      </c>
      <c r="G27" s="106">
        <f t="shared" si="1"/>
        <v>1.092592593</v>
      </c>
      <c r="H27" s="107">
        <f t="shared" si="2"/>
        <v>95.92762712</v>
      </c>
      <c r="I27" s="107">
        <f t="shared" si="3"/>
        <v>87.79816719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outlineLevel="1">
      <c r="A28" s="101" t="str">
        <f t="shared" si="12"/>
        <v>1-2026</v>
      </c>
      <c r="B28" s="74">
        <v>46040.0</v>
      </c>
      <c r="C28" s="75" t="s">
        <v>64</v>
      </c>
      <c r="D28" s="93">
        <v>5624.24</v>
      </c>
      <c r="E28" s="150">
        <v>68.0</v>
      </c>
      <c r="F28" s="150">
        <v>67.0</v>
      </c>
      <c r="G28" s="78">
        <f t="shared" si="1"/>
        <v>1.014925373</v>
      </c>
      <c r="H28" s="79">
        <f t="shared" si="2"/>
        <v>82.70941176</v>
      </c>
      <c r="I28" s="79">
        <f t="shared" si="3"/>
        <v>81.49309689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outlineLevel="1">
      <c r="A29" s="116" t="str">
        <f t="shared" si="12"/>
        <v/>
      </c>
      <c r="B29" s="126"/>
      <c r="C29" s="75" t="s">
        <v>65</v>
      </c>
      <c r="D29" s="202">
        <v>3529.11</v>
      </c>
      <c r="E29" s="150">
        <v>40.0</v>
      </c>
      <c r="F29" s="150">
        <v>27.0</v>
      </c>
      <c r="G29" s="78">
        <f t="shared" si="1"/>
        <v>1.481481481</v>
      </c>
      <c r="H29" s="79">
        <f t="shared" si="2"/>
        <v>88.22775</v>
      </c>
      <c r="I29" s="79">
        <f t="shared" si="3"/>
        <v>59.55373125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outlineLevel="1">
      <c r="A30" s="116"/>
      <c r="B30" s="126"/>
      <c r="C30" s="75" t="s">
        <v>66</v>
      </c>
      <c r="D30" s="202">
        <v>364.5</v>
      </c>
      <c r="E30" s="150">
        <v>4.0</v>
      </c>
      <c r="F30" s="150">
        <v>4.0</v>
      </c>
      <c r="G30" s="78">
        <f t="shared" si="1"/>
        <v>1</v>
      </c>
      <c r="H30" s="79">
        <f t="shared" si="2"/>
        <v>91.125</v>
      </c>
      <c r="I30" s="79">
        <f t="shared" si="3"/>
        <v>91.125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67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>
      <c r="A32" s="116" t="str">
        <f t="shared" si="16"/>
        <v/>
      </c>
      <c r="B32" s="204" t="s">
        <v>58</v>
      </c>
      <c r="C32" s="185"/>
      <c r="D32" s="104">
        <f t="shared" ref="D32:F32" si="17">SUM(D28:D31)</f>
        <v>9517.85</v>
      </c>
      <c r="E32" s="105">
        <f t="shared" si="17"/>
        <v>112</v>
      </c>
      <c r="F32" s="105">
        <f t="shared" si="17"/>
        <v>98</v>
      </c>
      <c r="G32" s="106">
        <f t="shared" si="1"/>
        <v>1.142857143</v>
      </c>
      <c r="H32" s="107">
        <f t="shared" si="2"/>
        <v>84.98080357</v>
      </c>
      <c r="I32" s="107">
        <f t="shared" si="3"/>
        <v>74.35820313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outlineLevel="1">
      <c r="A33" s="101" t="str">
        <f t="shared" si="16"/>
        <v>1-2026</v>
      </c>
      <c r="B33" s="74">
        <v>46047.0</v>
      </c>
      <c r="C33" s="75" t="s">
        <v>64</v>
      </c>
      <c r="D33" s="93">
        <v>4284.19</v>
      </c>
      <c r="E33" s="150">
        <v>42.0</v>
      </c>
      <c r="F33" s="150">
        <v>41.0</v>
      </c>
      <c r="G33" s="78">
        <f t="shared" si="1"/>
        <v>1.024390244</v>
      </c>
      <c r="H33" s="79">
        <f t="shared" si="2"/>
        <v>102.0045238</v>
      </c>
      <c r="I33" s="79">
        <f t="shared" si="3"/>
        <v>99.57584467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outlineLevel="1">
      <c r="A34" s="116"/>
      <c r="B34" s="126"/>
      <c r="C34" s="75" t="s">
        <v>65</v>
      </c>
      <c r="D34" s="202">
        <v>2972.6</v>
      </c>
      <c r="E34" s="150">
        <v>21.0</v>
      </c>
      <c r="F34" s="150">
        <v>20.0</v>
      </c>
      <c r="G34" s="78">
        <f t="shared" si="1"/>
        <v>1.05</v>
      </c>
      <c r="H34" s="79">
        <f t="shared" si="2"/>
        <v>141.552381</v>
      </c>
      <c r="I34" s="79">
        <f t="shared" si="3"/>
        <v>134.8117914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outlineLevel="1">
      <c r="A35" s="116" t="str">
        <f t="shared" ref="A35:A38" si="20">iferror(if(B35&gt;0,month(B35)&amp;"-"&amp;year(B35),B35),)</f>
        <v/>
      </c>
      <c r="B35" s="126"/>
      <c r="C35" s="75" t="s">
        <v>66</v>
      </c>
      <c r="D35" s="202">
        <v>241.5</v>
      </c>
      <c r="E35" s="150">
        <v>8.0</v>
      </c>
      <c r="F35" s="150">
        <v>4.0</v>
      </c>
      <c r="G35" s="78">
        <f t="shared" si="1"/>
        <v>2</v>
      </c>
      <c r="H35" s="79">
        <f t="shared" si="2"/>
        <v>30.1875</v>
      </c>
      <c r="I35" s="79">
        <f t="shared" si="3"/>
        <v>15.09375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outlineLevel="1">
      <c r="A36" s="101" t="str">
        <f t="shared" si="20"/>
        <v>1-2026</v>
      </c>
      <c r="B36" s="74">
        <v>46053.0</v>
      </c>
      <c r="C36" s="75" t="s">
        <v>67</v>
      </c>
      <c r="D36" s="203">
        <v>195.97</v>
      </c>
      <c r="E36" s="150">
        <v>1.0</v>
      </c>
      <c r="F36" s="150">
        <v>1.0</v>
      </c>
      <c r="G36" s="78">
        <f t="shared" si="1"/>
        <v>1</v>
      </c>
      <c r="H36" s="79">
        <f t="shared" si="2"/>
        <v>195.97</v>
      </c>
      <c r="I36" s="79">
        <f t="shared" si="3"/>
        <v>195.97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>
      <c r="A37" s="116" t="str">
        <f t="shared" si="20"/>
        <v/>
      </c>
      <c r="B37" s="204" t="s">
        <v>59</v>
      </c>
      <c r="C37" s="185"/>
      <c r="D37" s="104">
        <f t="shared" ref="D37:F37" si="21">SUM(D33:D36)</f>
        <v>7694.26</v>
      </c>
      <c r="E37" s="105">
        <f t="shared" si="21"/>
        <v>72</v>
      </c>
      <c r="F37" s="105">
        <f t="shared" si="21"/>
        <v>66</v>
      </c>
      <c r="G37" s="106">
        <f t="shared" si="1"/>
        <v>1.090909091</v>
      </c>
      <c r="H37" s="107">
        <f t="shared" si="2"/>
        <v>106.8647222</v>
      </c>
      <c r="I37" s="107">
        <f t="shared" si="3"/>
        <v>97.9593287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outlineLevel="1">
      <c r="A38" s="101" t="str">
        <f t="shared" si="20"/>
        <v>2-2026</v>
      </c>
      <c r="B38" s="74">
        <v>46054.0</v>
      </c>
      <c r="C38" s="117" t="s">
        <v>64</v>
      </c>
      <c r="D38" s="93">
        <v>3583.17</v>
      </c>
      <c r="E38" s="150">
        <v>42.0</v>
      </c>
      <c r="F38" s="150">
        <v>39.0</v>
      </c>
      <c r="G38" s="78">
        <f t="shared" si="1"/>
        <v>1.076923077</v>
      </c>
      <c r="H38" s="79">
        <f t="shared" si="2"/>
        <v>85.31357143</v>
      </c>
      <c r="I38" s="79">
        <f t="shared" si="3"/>
        <v>79.2197449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outlineLevel="1">
      <c r="A39" s="116"/>
      <c r="B39" s="126"/>
      <c r="C39" s="117" t="s">
        <v>65</v>
      </c>
      <c r="D39" s="202">
        <v>3644.44</v>
      </c>
      <c r="E39" s="150">
        <v>50.0</v>
      </c>
      <c r="F39" s="150">
        <v>26.0</v>
      </c>
      <c r="G39" s="78">
        <f t="shared" si="1"/>
        <v>1.923076923</v>
      </c>
      <c r="H39" s="79">
        <f t="shared" si="2"/>
        <v>72.8888</v>
      </c>
      <c r="I39" s="79">
        <f t="shared" si="3"/>
        <v>37.902176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outlineLevel="1">
      <c r="A40" s="116" t="str">
        <f t="shared" ref="A40:A43" si="24">iferror(if(B40&gt;0,month(B40)&amp;"-"&amp;year(B40),B40),)</f>
        <v/>
      </c>
      <c r="B40" s="126"/>
      <c r="C40" s="117" t="s">
        <v>66</v>
      </c>
      <c r="D40" s="202">
        <v>848.7</v>
      </c>
      <c r="E40" s="150">
        <v>6.0</v>
      </c>
      <c r="F40" s="150">
        <v>6.0</v>
      </c>
      <c r="G40" s="78">
        <f t="shared" si="1"/>
        <v>1</v>
      </c>
      <c r="H40" s="79">
        <f t="shared" si="2"/>
        <v>141.45</v>
      </c>
      <c r="I40" s="79">
        <f t="shared" si="3"/>
        <v>141.45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outlineLevel="1">
      <c r="A41" s="101" t="str">
        <f t="shared" si="24"/>
        <v>2-2026</v>
      </c>
      <c r="B41" s="74">
        <v>46060.0</v>
      </c>
      <c r="C41" s="75" t="s">
        <v>67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>
      <c r="A42" s="116" t="str">
        <f t="shared" si="24"/>
        <v/>
      </c>
      <c r="B42" s="213" t="s">
        <v>60</v>
      </c>
      <c r="C42" s="138"/>
      <c r="D42" s="104">
        <f t="shared" ref="D42:F42" si="25">SUM(D38:D41)</f>
        <v>8076.31</v>
      </c>
      <c r="E42" s="139">
        <f t="shared" si="25"/>
        <v>98</v>
      </c>
      <c r="F42" s="139">
        <f t="shared" si="25"/>
        <v>71</v>
      </c>
      <c r="G42" s="106">
        <f t="shared" si="1"/>
        <v>1.38028169</v>
      </c>
      <c r="H42" s="107">
        <f t="shared" si="2"/>
        <v>82.41132653</v>
      </c>
      <c r="I42" s="107">
        <f t="shared" si="3"/>
        <v>59.70616514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>
      <c r="A43" s="101" t="str">
        <f t="shared" si="24"/>
        <v>2-2026</v>
      </c>
      <c r="B43" s="74">
        <v>46061.0</v>
      </c>
      <c r="C43" s="75" t="s">
        <v>64</v>
      </c>
      <c r="D43" s="93">
        <v>4041.23</v>
      </c>
      <c r="E43" s="150">
        <v>35.0</v>
      </c>
      <c r="F43" s="150">
        <v>35.0</v>
      </c>
      <c r="G43" s="78">
        <f t="shared" si="1"/>
        <v>1</v>
      </c>
      <c r="H43" s="79">
        <f t="shared" si="2"/>
        <v>115.4637143</v>
      </c>
      <c r="I43" s="79">
        <f t="shared" si="3"/>
        <v>115.4637143</v>
      </c>
      <c r="J43" s="195"/>
      <c r="K43" s="195"/>
      <c r="L43" s="195"/>
      <c r="M43" s="196"/>
      <c r="N43" s="197"/>
      <c r="O43" s="195"/>
      <c r="P43" s="198"/>
      <c r="Q43" s="199"/>
      <c r="R43" s="198"/>
      <c r="S43" s="198"/>
      <c r="T43" s="200"/>
      <c r="U43" s="201"/>
      <c r="V43" s="124"/>
      <c r="W43" s="124"/>
      <c r="X43" s="124"/>
      <c r="Y43" s="124"/>
      <c r="Z43" s="125"/>
    </row>
    <row r="44">
      <c r="A44" s="116"/>
      <c r="B44" s="126"/>
      <c r="C44" s="75" t="s">
        <v>65</v>
      </c>
      <c r="D44" s="202">
        <v>2647.75</v>
      </c>
      <c r="E44" s="150">
        <v>26.0</v>
      </c>
      <c r="F44" s="150">
        <v>18.0</v>
      </c>
      <c r="G44" s="78">
        <f t="shared" si="1"/>
        <v>1.444444444</v>
      </c>
      <c r="H44" s="79">
        <f t="shared" si="2"/>
        <v>101.8365385</v>
      </c>
      <c r="I44" s="79">
        <f t="shared" si="3"/>
        <v>70.50221893</v>
      </c>
      <c r="J44" s="195"/>
      <c r="K44" s="195"/>
      <c r="L44" s="195"/>
      <c r="M44" s="196"/>
      <c r="N44" s="197"/>
      <c r="O44" s="195"/>
      <c r="P44" s="198"/>
      <c r="Q44" s="199"/>
      <c r="R44" s="198"/>
      <c r="S44" s="198"/>
      <c r="T44" s="200"/>
      <c r="U44" s="201"/>
      <c r="V44" s="124"/>
      <c r="W44" s="124"/>
      <c r="X44" s="124"/>
      <c r="Y44" s="124"/>
      <c r="Z44" s="125"/>
    </row>
    <row r="45">
      <c r="A45" s="116" t="str">
        <f t="shared" ref="A45:A48" si="28">iferror(if(B45&gt;0,month(B45)&amp;"-"&amp;year(B45),B45),)</f>
        <v/>
      </c>
      <c r="B45" s="126"/>
      <c r="C45" s="75" t="s">
        <v>66</v>
      </c>
      <c r="D45" s="202">
        <v>54.0</v>
      </c>
      <c r="E45" s="150">
        <v>3.0</v>
      </c>
      <c r="F45" s="150">
        <v>3.0</v>
      </c>
      <c r="G45" s="78">
        <f t="shared" si="1"/>
        <v>1</v>
      </c>
      <c r="H45" s="79">
        <f t="shared" si="2"/>
        <v>18</v>
      </c>
      <c r="I45" s="79">
        <f t="shared" si="3"/>
        <v>18</v>
      </c>
      <c r="J45" s="195"/>
      <c r="K45" s="195"/>
      <c r="L45" s="195"/>
      <c r="M45" s="196"/>
      <c r="N45" s="197"/>
      <c r="O45" s="195"/>
      <c r="P45" s="198"/>
      <c r="Q45" s="199"/>
      <c r="R45" s="198"/>
      <c r="S45" s="198"/>
      <c r="T45" s="200"/>
      <c r="U45" s="201"/>
      <c r="V45" s="124"/>
      <c r="W45" s="124"/>
      <c r="X45" s="124"/>
      <c r="Y45" s="124"/>
      <c r="Z45" s="125"/>
    </row>
    <row r="46">
      <c r="A46" s="101" t="str">
        <f t="shared" si="28"/>
        <v>2-2026</v>
      </c>
      <c r="B46" s="143">
        <v>46067.0</v>
      </c>
      <c r="C46" s="75" t="s">
        <v>67</v>
      </c>
      <c r="D46" s="203">
        <v>0.0</v>
      </c>
      <c r="E46" s="150">
        <v>0.0</v>
      </c>
      <c r="F46" s="150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5"/>
      <c r="K46" s="195"/>
      <c r="L46" s="195"/>
      <c r="M46" s="196"/>
      <c r="N46" s="197"/>
      <c r="O46" s="195"/>
      <c r="P46" s="198"/>
      <c r="Q46" s="199"/>
      <c r="R46" s="198"/>
      <c r="S46" s="198"/>
      <c r="T46" s="200"/>
      <c r="U46" s="201"/>
      <c r="V46" s="124"/>
      <c r="W46" s="124"/>
      <c r="X46" s="124"/>
      <c r="Y46" s="124"/>
      <c r="Z46" s="125"/>
    </row>
    <row r="47">
      <c r="A47" s="116" t="str">
        <f t="shared" si="28"/>
        <v/>
      </c>
      <c r="B47" s="103" t="s">
        <v>51</v>
      </c>
      <c r="C47" s="185"/>
      <c r="D47" s="104">
        <f t="shared" ref="D47:F47" si="29">SUM(D43:D46)</f>
        <v>6742.98</v>
      </c>
      <c r="E47" s="105">
        <f t="shared" si="29"/>
        <v>64</v>
      </c>
      <c r="F47" s="105">
        <f t="shared" si="29"/>
        <v>56</v>
      </c>
      <c r="G47" s="106">
        <f t="shared" si="1"/>
        <v>1.142857143</v>
      </c>
      <c r="H47" s="107">
        <f t="shared" si="2"/>
        <v>105.3590625</v>
      </c>
      <c r="I47" s="107">
        <f t="shared" si="3"/>
        <v>92.18917969</v>
      </c>
      <c r="J47" s="205"/>
      <c r="K47" s="205"/>
      <c r="L47" s="205"/>
      <c r="M47" s="206"/>
      <c r="N47" s="207"/>
      <c r="O47" s="205"/>
      <c r="P47" s="208"/>
      <c r="Q47" s="209"/>
      <c r="R47" s="208"/>
      <c r="S47" s="208"/>
      <c r="T47" s="210"/>
      <c r="U47" s="211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64</v>
      </c>
      <c r="D48" s="93">
        <v>5202.36</v>
      </c>
      <c r="E48" s="150">
        <v>37.0</v>
      </c>
      <c r="F48" s="150">
        <v>31.0</v>
      </c>
      <c r="G48" s="78">
        <f t="shared" si="1"/>
        <v>1.193548387</v>
      </c>
      <c r="H48" s="79">
        <f t="shared" si="2"/>
        <v>140.6043243</v>
      </c>
      <c r="I48" s="79">
        <f t="shared" si="3"/>
        <v>117.8036231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65</v>
      </c>
      <c r="D49" s="202">
        <v>2916.76</v>
      </c>
      <c r="E49" s="150">
        <v>35.0</v>
      </c>
      <c r="F49" s="150">
        <v>14.0</v>
      </c>
      <c r="G49" s="78">
        <f t="shared" si="1"/>
        <v>2.5</v>
      </c>
      <c r="H49" s="79">
        <f t="shared" si="2"/>
        <v>83.336</v>
      </c>
      <c r="I49" s="79">
        <f t="shared" si="3"/>
        <v>33.3344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2" si="32">iferror(if(B50&gt;0,month(B50)&amp;"-"&amp;year(B50),B50),)</f>
        <v/>
      </c>
      <c r="B50" s="126"/>
      <c r="C50" s="75" t="s">
        <v>66</v>
      </c>
      <c r="D50" s="202">
        <v>484.2</v>
      </c>
      <c r="E50" s="150">
        <v>2.0</v>
      </c>
      <c r="F50" s="150">
        <v>2.0</v>
      </c>
      <c r="G50" s="78">
        <f t="shared" si="1"/>
        <v>1</v>
      </c>
      <c r="H50" s="79">
        <f t="shared" si="2"/>
        <v>242.1</v>
      </c>
      <c r="I50" s="79">
        <f t="shared" si="3"/>
        <v>242.1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67</v>
      </c>
      <c r="D51" s="203">
        <v>0.0</v>
      </c>
      <c r="E51" s="150">
        <v>0.0</v>
      </c>
      <c r="F51" s="150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214" t="s">
        <v>52</v>
      </c>
      <c r="C52" s="185"/>
      <c r="D52" s="104">
        <f t="shared" ref="D52:F52" si="33">SUM(D48:D51)</f>
        <v>8603.32</v>
      </c>
      <c r="E52" s="105">
        <f t="shared" si="33"/>
        <v>74</v>
      </c>
      <c r="F52" s="105">
        <f t="shared" si="33"/>
        <v>47</v>
      </c>
      <c r="G52" s="106">
        <f t="shared" si="1"/>
        <v>1.574468085</v>
      </c>
      <c r="H52" s="107">
        <f t="shared" si="2"/>
        <v>116.2610811</v>
      </c>
      <c r="I52" s="107">
        <f t="shared" si="3"/>
        <v>73.84149744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215">
        <f t="shared" ref="V52:W52" si="34">IFERROR((D52-D47)/D52,)</f>
        <v>0.2162351278</v>
      </c>
      <c r="W52" s="215">
        <f t="shared" si="34"/>
        <v>0.1351351351</v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16"/>
      <c r="B53" s="116"/>
      <c r="C53" s="116"/>
      <c r="D53" s="216"/>
      <c r="E53" s="116"/>
      <c r="F53" s="116"/>
      <c r="G53" s="217"/>
      <c r="H53" s="218"/>
      <c r="I53" s="218"/>
      <c r="J53" s="190"/>
      <c r="K53" s="190"/>
      <c r="L53" s="190"/>
      <c r="M53" s="191"/>
      <c r="N53" s="191"/>
      <c r="O53" s="190"/>
      <c r="P53" s="192"/>
      <c r="Q53" s="219"/>
      <c r="R53" s="192"/>
      <c r="S53" s="220"/>
      <c r="T53" s="179"/>
      <c r="U53" s="192"/>
      <c r="V53" s="221"/>
      <c r="W53" s="221"/>
      <c r="X53" s="221"/>
      <c r="Y53" s="221"/>
      <c r="Z53" s="116"/>
    </row>
    <row r="54">
      <c r="A54" s="116"/>
      <c r="B54" s="116"/>
      <c r="C54" s="116"/>
      <c r="D54" s="216"/>
      <c r="E54" s="116"/>
      <c r="F54" s="116"/>
      <c r="G54" s="217"/>
      <c r="H54" s="218"/>
      <c r="I54" s="218"/>
      <c r="J54" s="190"/>
      <c r="K54" s="190"/>
      <c r="L54" s="190"/>
      <c r="M54" s="191"/>
      <c r="N54" s="191"/>
      <c r="O54" s="190"/>
      <c r="P54" s="192"/>
      <c r="Q54" s="219"/>
      <c r="R54" s="192"/>
      <c r="S54" s="220"/>
      <c r="T54" s="179"/>
      <c r="U54" s="192"/>
      <c r="V54" s="221"/>
      <c r="W54" s="221"/>
      <c r="X54" s="221"/>
      <c r="Y54" s="221"/>
      <c r="Z54" s="116"/>
    </row>
    <row r="55">
      <c r="A55" s="116"/>
      <c r="B55" s="116"/>
      <c r="C55" s="116"/>
      <c r="D55" s="216"/>
      <c r="E55" s="116"/>
      <c r="F55" s="116"/>
      <c r="G55" s="217"/>
      <c r="H55" s="218"/>
      <c r="I55" s="218"/>
      <c r="J55" s="190"/>
      <c r="K55" s="190"/>
      <c r="L55" s="190"/>
      <c r="M55" s="191"/>
      <c r="N55" s="191"/>
      <c r="O55" s="190"/>
      <c r="P55" s="192"/>
      <c r="Q55" s="219"/>
      <c r="R55" s="192"/>
      <c r="S55" s="220"/>
      <c r="T55" s="179"/>
      <c r="U55" s="192"/>
      <c r="V55" s="221"/>
      <c r="W55" s="221"/>
      <c r="X55" s="221"/>
      <c r="Y55" s="221"/>
      <c r="Z55" s="116"/>
    </row>
    <row r="56">
      <c r="A56" s="116"/>
      <c r="B56" s="116"/>
      <c r="C56" s="116"/>
      <c r="D56" s="216"/>
      <c r="E56" s="116"/>
      <c r="F56" s="116"/>
      <c r="G56" s="217"/>
      <c r="H56" s="218"/>
      <c r="I56" s="218"/>
      <c r="J56" s="190"/>
      <c r="K56" s="190"/>
      <c r="L56" s="190"/>
      <c r="M56" s="191"/>
      <c r="N56" s="191"/>
      <c r="O56" s="190"/>
      <c r="P56" s="192"/>
      <c r="Q56" s="219"/>
      <c r="R56" s="192"/>
      <c r="S56" s="220"/>
      <c r="T56" s="179"/>
      <c r="U56" s="192"/>
      <c r="V56" s="221"/>
      <c r="W56" s="221"/>
      <c r="X56" s="221"/>
      <c r="Y56" s="221"/>
      <c r="Z56" s="116"/>
    </row>
    <row r="57">
      <c r="A57" s="116"/>
      <c r="B57" s="116"/>
      <c r="C57" s="116"/>
      <c r="D57" s="216"/>
      <c r="E57" s="116"/>
      <c r="F57" s="116"/>
      <c r="G57" s="217"/>
      <c r="H57" s="218"/>
      <c r="I57" s="218"/>
      <c r="J57" s="190"/>
      <c r="K57" s="190"/>
      <c r="L57" s="190"/>
      <c r="M57" s="191"/>
      <c r="N57" s="191"/>
      <c r="O57" s="190"/>
      <c r="P57" s="192"/>
      <c r="Q57" s="219"/>
      <c r="R57" s="192"/>
      <c r="S57" s="220"/>
      <c r="T57" s="179"/>
      <c r="U57" s="192"/>
      <c r="V57" s="221"/>
      <c r="W57" s="221"/>
      <c r="X57" s="221"/>
      <c r="Y57" s="221"/>
      <c r="Z57" s="116"/>
    </row>
    <row r="58">
      <c r="A58" s="116"/>
      <c r="B58" s="116"/>
      <c r="C58" s="116"/>
      <c r="D58" s="216"/>
      <c r="E58" s="116"/>
      <c r="F58" s="116"/>
      <c r="G58" s="217"/>
      <c r="H58" s="218"/>
      <c r="I58" s="218"/>
      <c r="J58" s="190"/>
      <c r="K58" s="190"/>
      <c r="L58" s="190"/>
      <c r="M58" s="191"/>
      <c r="N58" s="191"/>
      <c r="O58" s="190"/>
      <c r="P58" s="192"/>
      <c r="Q58" s="219"/>
      <c r="R58" s="192"/>
      <c r="S58" s="220"/>
      <c r="T58" s="179"/>
      <c r="U58" s="192"/>
      <c r="V58" s="221"/>
      <c r="W58" s="221"/>
      <c r="X58" s="221"/>
      <c r="Y58" s="221"/>
      <c r="Z58" s="116"/>
    </row>
    <row r="59">
      <c r="A59" s="116"/>
      <c r="B59" s="116"/>
      <c r="C59" s="116"/>
      <c r="D59" s="216"/>
      <c r="E59" s="116"/>
      <c r="F59" s="116"/>
      <c r="G59" s="217"/>
      <c r="H59" s="218"/>
      <c r="I59" s="218"/>
      <c r="J59" s="190"/>
      <c r="K59" s="190"/>
      <c r="L59" s="190"/>
      <c r="M59" s="191"/>
      <c r="N59" s="191"/>
      <c r="O59" s="190"/>
      <c r="P59" s="192"/>
      <c r="Q59" s="219"/>
      <c r="R59" s="192"/>
      <c r="S59" s="220"/>
      <c r="T59" s="179"/>
      <c r="U59" s="192"/>
      <c r="V59" s="221"/>
      <c r="W59" s="221"/>
      <c r="X59" s="221"/>
      <c r="Y59" s="221"/>
      <c r="Z59" s="116"/>
    </row>
    <row r="60">
      <c r="A60" s="116"/>
      <c r="B60" s="116"/>
      <c r="C60" s="116"/>
      <c r="D60" s="216"/>
      <c r="E60" s="116"/>
      <c r="F60" s="116"/>
      <c r="G60" s="217"/>
      <c r="H60" s="218"/>
      <c r="I60" s="218"/>
      <c r="J60" s="190"/>
      <c r="K60" s="190"/>
      <c r="L60" s="190"/>
      <c r="M60" s="191"/>
      <c r="N60" s="191"/>
      <c r="O60" s="190"/>
      <c r="P60" s="192"/>
      <c r="Q60" s="219"/>
      <c r="R60" s="192"/>
      <c r="S60" s="220"/>
      <c r="T60" s="179"/>
      <c r="U60" s="192"/>
      <c r="V60" s="221"/>
      <c r="W60" s="221"/>
      <c r="X60" s="221"/>
      <c r="Y60" s="221"/>
      <c r="Z60" s="116"/>
    </row>
    <row r="61">
      <c r="A61" s="116"/>
      <c r="B61" s="116"/>
      <c r="C61" s="116"/>
      <c r="D61" s="216"/>
      <c r="E61" s="116"/>
      <c r="F61" s="116"/>
      <c r="G61" s="217"/>
      <c r="H61" s="218"/>
      <c r="I61" s="218"/>
      <c r="J61" s="190"/>
      <c r="K61" s="190"/>
      <c r="L61" s="190"/>
      <c r="M61" s="191"/>
      <c r="N61" s="191"/>
      <c r="O61" s="190"/>
      <c r="P61" s="192"/>
      <c r="Q61" s="219"/>
      <c r="R61" s="192"/>
      <c r="S61" s="220"/>
      <c r="T61" s="179"/>
      <c r="U61" s="192"/>
      <c r="V61" s="221"/>
      <c r="W61" s="221"/>
      <c r="X61" s="221"/>
      <c r="Y61" s="221"/>
      <c r="Z61" s="116"/>
    </row>
    <row r="62">
      <c r="A62" s="116"/>
      <c r="B62" s="116"/>
      <c r="C62" s="116"/>
      <c r="D62" s="216"/>
      <c r="E62" s="116"/>
      <c r="F62" s="116"/>
      <c r="G62" s="217"/>
      <c r="H62" s="218"/>
      <c r="I62" s="218"/>
      <c r="J62" s="190"/>
      <c r="K62" s="190"/>
      <c r="L62" s="190"/>
      <c r="M62" s="191"/>
      <c r="N62" s="191"/>
      <c r="O62" s="190"/>
      <c r="P62" s="192"/>
      <c r="Q62" s="219"/>
      <c r="R62" s="192"/>
      <c r="S62" s="220"/>
      <c r="T62" s="179"/>
      <c r="U62" s="192"/>
      <c r="V62" s="221"/>
      <c r="W62" s="221"/>
      <c r="X62" s="221"/>
      <c r="Y62" s="221"/>
      <c r="Z62" s="116"/>
    </row>
    <row r="63">
      <c r="A63" s="116"/>
      <c r="B63" s="116"/>
      <c r="C63" s="116"/>
      <c r="D63" s="216"/>
      <c r="E63" s="116"/>
      <c r="F63" s="116"/>
      <c r="G63" s="217"/>
      <c r="H63" s="218"/>
      <c r="I63" s="218"/>
      <c r="J63" s="190"/>
      <c r="K63" s="190"/>
      <c r="L63" s="190"/>
      <c r="M63" s="191"/>
      <c r="N63" s="191"/>
      <c r="O63" s="190"/>
      <c r="P63" s="192"/>
      <c r="Q63" s="219"/>
      <c r="R63" s="192"/>
      <c r="S63" s="220"/>
      <c r="T63" s="179"/>
      <c r="U63" s="192"/>
      <c r="V63" s="221"/>
      <c r="W63" s="221"/>
      <c r="X63" s="221"/>
      <c r="Y63" s="221"/>
      <c r="Z63" s="116"/>
    </row>
    <row r="64">
      <c r="A64" s="116"/>
      <c r="B64" s="116"/>
      <c r="C64" s="116"/>
      <c r="D64" s="216"/>
      <c r="E64" s="116"/>
      <c r="F64" s="116"/>
      <c r="G64" s="217"/>
      <c r="H64" s="218"/>
      <c r="I64" s="218"/>
      <c r="J64" s="190"/>
      <c r="K64" s="190"/>
      <c r="L64" s="190"/>
      <c r="M64" s="191"/>
      <c r="N64" s="191"/>
      <c r="O64" s="190"/>
      <c r="P64" s="192"/>
      <c r="Q64" s="219"/>
      <c r="R64" s="192"/>
      <c r="S64" s="220"/>
      <c r="T64" s="179"/>
      <c r="U64" s="192"/>
      <c r="V64" s="221"/>
      <c r="W64" s="221"/>
      <c r="X64" s="221"/>
      <c r="Y64" s="221"/>
      <c r="Z64" s="116"/>
    </row>
    <row r="65">
      <c r="A65" s="116"/>
      <c r="B65" s="116"/>
      <c r="C65" s="116"/>
      <c r="D65" s="216"/>
      <c r="E65" s="116"/>
      <c r="F65" s="116"/>
      <c r="G65" s="217"/>
      <c r="H65" s="218"/>
      <c r="I65" s="218"/>
      <c r="J65" s="222"/>
      <c r="K65" s="222"/>
      <c r="L65" s="222"/>
      <c r="M65" s="223"/>
      <c r="N65" s="223"/>
      <c r="O65" s="222"/>
      <c r="P65" s="224"/>
      <c r="Q65" s="225"/>
      <c r="R65" s="224"/>
      <c r="S65" s="226"/>
      <c r="T65" s="227"/>
      <c r="U65" s="224"/>
      <c r="V65" s="221"/>
      <c r="W65" s="221"/>
      <c r="X65" s="221"/>
      <c r="Y65" s="221"/>
      <c r="Z65" s="116"/>
    </row>
    <row r="66">
      <c r="A66" s="116"/>
      <c r="B66" s="116"/>
      <c r="C66" s="116"/>
      <c r="D66" s="216"/>
      <c r="E66" s="116"/>
      <c r="F66" s="116"/>
      <c r="G66" s="217"/>
      <c r="H66" s="218"/>
      <c r="I66" s="116"/>
      <c r="J66" s="222"/>
      <c r="K66" s="222"/>
      <c r="L66" s="222"/>
      <c r="M66" s="223"/>
      <c r="N66" s="223"/>
      <c r="O66" s="222"/>
      <c r="P66" s="224"/>
      <c r="Q66" s="225"/>
      <c r="R66" s="224"/>
      <c r="S66" s="226"/>
      <c r="T66" s="227"/>
      <c r="U66" s="224"/>
      <c r="V66" s="221"/>
      <c r="W66" s="221"/>
      <c r="X66" s="221"/>
      <c r="Y66" s="221"/>
      <c r="Z66" s="116"/>
    </row>
    <row r="67"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</row>
    <row r="68"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</row>
    <row r="69"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</row>
    <row r="70"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</row>
    <row r="71"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</row>
    <row r="72"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</row>
    <row r="73"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</row>
    <row r="74"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</row>
    <row r="75"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</row>
    <row r="76"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</row>
    <row r="77"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</row>
    <row r="78"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</row>
    <row r="79"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</row>
    <row r="80"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</row>
    <row r="81"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</row>
    <row r="82"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</row>
    <row r="83"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</row>
    <row r="84"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</row>
    <row r="85"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</row>
    <row r="86"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</row>
    <row r="87"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</row>
    <row r="88"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</row>
    <row r="89"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</row>
    <row r="90"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</row>
    <row r="91"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</row>
    <row r="92"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</row>
    <row r="93"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</row>
    <row r="94"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</row>
    <row r="95"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</row>
    <row r="96"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</row>
    <row r="97"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</row>
    <row r="98"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</row>
    <row r="99"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</row>
    <row r="100"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</row>
    <row r="101"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</row>
    <row r="102"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</row>
    <row r="103"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</row>
    <row r="104"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</row>
    <row r="105"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</row>
    <row r="106"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</row>
    <row r="107"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</row>
    <row r="108"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</row>
    <row r="109"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</row>
    <row r="110"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</row>
    <row r="111"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</row>
    <row r="112"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</row>
    <row r="113"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</row>
    <row r="114"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</row>
    <row r="115"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</row>
    <row r="116"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</row>
    <row r="117"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  <row r="118"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</row>
    <row r="119"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</row>
    <row r="120"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</row>
    <row r="121"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</row>
    <row r="122"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</row>
    <row r="123"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</row>
    <row r="124"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</row>
    <row r="125"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</row>
    <row r="126"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</row>
    <row r="127"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</row>
    <row r="128"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</row>
    <row r="129"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</row>
    <row r="130"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</row>
    <row r="131"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</row>
    <row r="132"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</row>
    <row r="133"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</row>
    <row r="134"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</row>
    <row r="135"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</row>
    <row r="136"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</row>
    <row r="137"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</row>
    <row r="138"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</row>
    <row r="139"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</row>
    <row r="140"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</row>
    <row r="141"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</row>
    <row r="142"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</row>
    <row r="143"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</row>
    <row r="144"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</row>
    <row r="145"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</row>
    <row r="146"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</row>
    <row r="147"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</row>
    <row r="148"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</row>
    <row r="149"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</row>
    <row r="150"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</row>
    <row r="151"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</row>
    <row r="152"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</row>
    <row r="153"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</row>
    <row r="154"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</row>
    <row r="155"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</row>
    <row r="156"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</row>
    <row r="157"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</row>
    <row r="158"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</row>
    <row r="159"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</row>
    <row r="160"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</row>
    <row r="161"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</row>
    <row r="162"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</row>
    <row r="163"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</row>
    <row r="164"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</row>
    <row r="165"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</row>
    <row r="166"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</row>
    <row r="167"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</row>
    <row r="168"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</row>
    <row r="169"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</row>
    <row r="170"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</row>
    <row r="171"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</row>
    <row r="172"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</row>
    <row r="173"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</row>
    <row r="174"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</row>
    <row r="175"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</row>
    <row r="176"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</row>
    <row r="177"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</row>
    <row r="178"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</row>
    <row r="179"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</row>
    <row r="180"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</row>
    <row r="181"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</row>
    <row r="182"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</row>
    <row r="183"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</row>
    <row r="184"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</row>
    <row r="185"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</row>
    <row r="186"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</row>
    <row r="187"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</row>
    <row r="188"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</row>
    <row r="189"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</row>
    <row r="190"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</row>
    <row r="191"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</row>
    <row r="192"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</row>
    <row r="193"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</row>
    <row r="194"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</row>
    <row r="195"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</row>
    <row r="196"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</row>
    <row r="197"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</row>
    <row r="198"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</row>
    <row r="199"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</row>
    <row r="200"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</row>
    <row r="201"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</row>
    <row r="202"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</row>
    <row r="203"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</row>
    <row r="204"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</row>
    <row r="205"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</row>
    <row r="206"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</row>
    <row r="207"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</row>
    <row r="208"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</row>
    <row r="209"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</row>
    <row r="210"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</row>
    <row r="211"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</row>
    <row r="212"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</row>
    <row r="213"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</row>
    <row r="214"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</row>
    <row r="215"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</row>
    <row r="216"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</row>
    <row r="217"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</row>
    <row r="218"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</row>
    <row r="219"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</row>
    <row r="220"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</row>
    <row r="221"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</row>
    <row r="222"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</row>
    <row r="223"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</row>
    <row r="224"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</row>
    <row r="225"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</row>
    <row r="226"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</row>
    <row r="227"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</row>
    <row r="228"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</row>
    <row r="229"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</row>
    <row r="230"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</row>
    <row r="231"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</row>
    <row r="232"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</row>
    <row r="233"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</row>
    <row r="234"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</row>
    <row r="235"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</row>
    <row r="236"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</row>
    <row r="237"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</row>
    <row r="238"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</row>
    <row r="239"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</row>
    <row r="240"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</row>
    <row r="241"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</row>
    <row r="242"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</row>
    <row r="243"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</row>
    <row r="244"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</row>
    <row r="245"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</row>
    <row r="246"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</row>
    <row r="247"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</row>
    <row r="248"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</row>
    <row r="249"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</row>
    <row r="250"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</row>
    <row r="251"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</row>
    <row r="252"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</row>
    <row r="253"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</row>
    <row r="254"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</row>
    <row r="255"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</row>
    <row r="256"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</row>
    <row r="257"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</row>
    <row r="258"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</row>
    <row r="259"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</row>
    <row r="260"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</row>
    <row r="261"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</row>
    <row r="262"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</row>
    <row r="263"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</row>
    <row r="264"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</row>
    <row r="265"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</row>
    <row r="266"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</row>
    <row r="267"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</row>
    <row r="268"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</row>
    <row r="269"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</row>
    <row r="270"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</row>
    <row r="271"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</row>
    <row r="272"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</row>
    <row r="273"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</row>
    <row r="274"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</row>
    <row r="275"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</row>
    <row r="276"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</row>
    <row r="277"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</row>
    <row r="278"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</row>
    <row r="279"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</row>
    <row r="280"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</row>
    <row r="281"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</row>
    <row r="282"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</row>
    <row r="283"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</row>
    <row r="284"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</row>
    <row r="285"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</row>
    <row r="286"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</row>
    <row r="287"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</row>
    <row r="288"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</row>
    <row r="289"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</row>
    <row r="290"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</row>
    <row r="291"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</row>
    <row r="292"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</row>
    <row r="293"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</row>
    <row r="294"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</row>
    <row r="295"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</row>
    <row r="296"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</row>
    <row r="297"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</row>
    <row r="298"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</row>
    <row r="299"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</row>
    <row r="300"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</row>
    <row r="301"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</row>
    <row r="302"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</row>
    <row r="303"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</row>
    <row r="304"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</row>
    <row r="305"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</row>
    <row r="306"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</row>
    <row r="307"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</row>
    <row r="308"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</row>
    <row r="309"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</row>
    <row r="310"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</row>
    <row r="311"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</row>
    <row r="312"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</row>
    <row r="313"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</row>
    <row r="314"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</row>
    <row r="315"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</row>
    <row r="316"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</row>
    <row r="317"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</row>
    <row r="318"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</row>
    <row r="319"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</row>
    <row r="320"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</row>
    <row r="321"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</row>
    <row r="322"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</row>
    <row r="323"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</row>
    <row r="324"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</row>
    <row r="325"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</row>
    <row r="326"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</row>
    <row r="327"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</row>
    <row r="328"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</row>
    <row r="329"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</row>
    <row r="330"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</row>
    <row r="331"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</row>
    <row r="332"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</row>
    <row r="333"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</row>
    <row r="334"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</row>
    <row r="335"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</row>
    <row r="336"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</row>
    <row r="337"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</row>
    <row r="338"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</row>
    <row r="339"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</row>
    <row r="340"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</row>
    <row r="341"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</row>
    <row r="342"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</row>
    <row r="343"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</row>
    <row r="344"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</row>
    <row r="345"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</row>
    <row r="346"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</row>
    <row r="347"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</row>
    <row r="348"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</row>
    <row r="349"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</row>
    <row r="350"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</row>
    <row r="351"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</row>
    <row r="352"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</row>
    <row r="353"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</row>
    <row r="354"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</row>
    <row r="355"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</row>
    <row r="356"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</row>
    <row r="357"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</row>
    <row r="358"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</row>
    <row r="359"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</row>
    <row r="360"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</row>
    <row r="361"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</row>
    <row r="362"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</row>
    <row r="363"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</row>
    <row r="364"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</row>
    <row r="365"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</row>
    <row r="366"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</row>
    <row r="367"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</row>
    <row r="368"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</row>
    <row r="369"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</row>
    <row r="370"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</row>
    <row r="371"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</row>
    <row r="372"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</row>
    <row r="373"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</row>
    <row r="374"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</row>
    <row r="375"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</row>
    <row r="376"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</row>
    <row r="377"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</row>
    <row r="378"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</row>
    <row r="379"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</row>
    <row r="380"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</row>
    <row r="381"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</row>
    <row r="382"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</row>
    <row r="383"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</row>
    <row r="384"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</row>
    <row r="385"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</row>
    <row r="386"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</row>
    <row r="387"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</row>
    <row r="388"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</row>
    <row r="389"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</row>
    <row r="390"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</row>
    <row r="391"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</row>
    <row r="392"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</row>
    <row r="393"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</row>
    <row r="394"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</row>
    <row r="395"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</row>
    <row r="396"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</row>
    <row r="397"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</row>
    <row r="398"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</row>
    <row r="399"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</row>
    <row r="400"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</row>
    <row r="401"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</row>
    <row r="402"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</row>
    <row r="403"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</row>
    <row r="404"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</row>
    <row r="405"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</row>
    <row r="406"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</row>
    <row r="407"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</row>
    <row r="408"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</row>
    <row r="409"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</row>
    <row r="410"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</row>
    <row r="411"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</row>
    <row r="412"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</row>
    <row r="413"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</row>
    <row r="414"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</row>
    <row r="415"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</row>
    <row r="416"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</row>
    <row r="417"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</row>
    <row r="418"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</row>
    <row r="419"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</row>
    <row r="420"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</row>
    <row r="421"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</row>
    <row r="422"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</row>
    <row r="423"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</row>
    <row r="424"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</row>
    <row r="425"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</row>
    <row r="426"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</row>
    <row r="427"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</row>
    <row r="428"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</row>
    <row r="429"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</row>
    <row r="430"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</row>
    <row r="431"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</row>
    <row r="432"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</row>
    <row r="433"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</row>
    <row r="434"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</row>
    <row r="435"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</row>
    <row r="436"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</row>
    <row r="437"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</row>
    <row r="438"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</row>
    <row r="439"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</row>
    <row r="440"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</row>
    <row r="441"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</row>
    <row r="442"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</row>
    <row r="443"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</row>
    <row r="444"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</row>
    <row r="445"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</row>
    <row r="446"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</row>
    <row r="447"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</row>
    <row r="448"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</row>
    <row r="449"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</row>
    <row r="450"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</row>
    <row r="451"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</row>
    <row r="452"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</row>
    <row r="453"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</row>
    <row r="454"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</row>
    <row r="455"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</row>
    <row r="456"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</row>
    <row r="457"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</row>
    <row r="458"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</row>
    <row r="459"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</row>
    <row r="460"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</row>
    <row r="461"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</row>
    <row r="462"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</row>
    <row r="463"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</row>
    <row r="464"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</row>
    <row r="465"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</row>
    <row r="466"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</row>
    <row r="467"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</row>
    <row r="468"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</row>
    <row r="469"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</row>
    <row r="470"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</row>
    <row r="471"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</row>
    <row r="472"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</row>
    <row r="473"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</row>
    <row r="474"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</row>
    <row r="475"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</row>
    <row r="476"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</row>
    <row r="477"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</row>
    <row r="478"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</row>
    <row r="479"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</row>
    <row r="480"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</row>
    <row r="481"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</row>
    <row r="482"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</row>
    <row r="483"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</row>
    <row r="484"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</row>
    <row r="485"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</row>
    <row r="486"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</row>
    <row r="487"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</row>
    <row r="488"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</row>
    <row r="489"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</row>
    <row r="490"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</row>
    <row r="491"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</row>
    <row r="492"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</row>
    <row r="493"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</row>
    <row r="494"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</row>
    <row r="495"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</row>
    <row r="496"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</row>
    <row r="497"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</row>
    <row r="498"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</row>
    <row r="499"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</row>
    <row r="500"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</row>
    <row r="501"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</row>
    <row r="502"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</row>
    <row r="503"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</row>
    <row r="504"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</row>
    <row r="505"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</row>
    <row r="506"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</row>
    <row r="507"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</row>
    <row r="508"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</row>
    <row r="509"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</row>
    <row r="510"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</row>
    <row r="511"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</row>
    <row r="512"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</row>
    <row r="513"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</row>
    <row r="514"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</row>
    <row r="515"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</row>
    <row r="516"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</row>
    <row r="517"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</row>
    <row r="518"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</row>
    <row r="519"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</row>
    <row r="520"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</row>
    <row r="521"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</row>
    <row r="522"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</row>
    <row r="523"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</row>
    <row r="524"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</row>
    <row r="525"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</row>
    <row r="526"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</row>
    <row r="527"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</row>
    <row r="528"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</row>
    <row r="529"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</row>
    <row r="530"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</row>
    <row r="531"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</row>
    <row r="532"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</row>
    <row r="533"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</row>
    <row r="534"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</row>
    <row r="535"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</row>
    <row r="536"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</row>
    <row r="537"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</row>
    <row r="538"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</row>
    <row r="539"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</row>
    <row r="540"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</row>
    <row r="541"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</row>
    <row r="542"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</row>
    <row r="543"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</row>
    <row r="544"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</row>
    <row r="545"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</row>
    <row r="546"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</row>
    <row r="547"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</row>
    <row r="548"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</row>
    <row r="549"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</row>
    <row r="550"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</row>
    <row r="551"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</row>
    <row r="552"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</row>
    <row r="553"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</row>
    <row r="554"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</row>
    <row r="555"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</row>
    <row r="556"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</row>
    <row r="557"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</row>
    <row r="558"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</row>
    <row r="559"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</row>
    <row r="560"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</row>
    <row r="561"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</row>
    <row r="562"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</row>
    <row r="563"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</row>
    <row r="564"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</row>
    <row r="565"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</row>
    <row r="566"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</row>
    <row r="567"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</row>
    <row r="568"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</row>
    <row r="569"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</row>
    <row r="570"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</row>
    <row r="571"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</row>
    <row r="572"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</row>
    <row r="573"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</row>
    <row r="574"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</row>
    <row r="575"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</row>
    <row r="576"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</row>
    <row r="577"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</row>
    <row r="578"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</row>
    <row r="579"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</row>
    <row r="580"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</row>
    <row r="581"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</row>
    <row r="582"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</row>
    <row r="583"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</row>
    <row r="584"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</row>
    <row r="585"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</row>
    <row r="586"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</row>
    <row r="587"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</row>
    <row r="588"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</row>
    <row r="589"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</row>
    <row r="590"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</row>
    <row r="591"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</row>
    <row r="592"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</row>
    <row r="593"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</row>
    <row r="594"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</row>
    <row r="595"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</row>
    <row r="596"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</row>
    <row r="597"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</row>
    <row r="598"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</row>
    <row r="599"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</row>
    <row r="600"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</row>
    <row r="601"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</row>
    <row r="602"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</row>
    <row r="603"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</row>
    <row r="604"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</row>
    <row r="605"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</row>
    <row r="606"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</row>
    <row r="607"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</row>
    <row r="608"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</row>
    <row r="609"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</row>
    <row r="610"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</row>
    <row r="611"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</row>
    <row r="612"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</row>
    <row r="613"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</row>
    <row r="614"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</row>
    <row r="615"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</row>
    <row r="616"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</row>
    <row r="617"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</row>
    <row r="618"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</row>
    <row r="619"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</row>
    <row r="620"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</row>
    <row r="621"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</row>
    <row r="622"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</row>
    <row r="623"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</row>
    <row r="624"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</row>
    <row r="625"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</row>
    <row r="626"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</row>
    <row r="627"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</row>
    <row r="628"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</row>
    <row r="629"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</row>
    <row r="630"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</row>
    <row r="631"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</row>
    <row r="632"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</row>
    <row r="633"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</row>
    <row r="634"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</row>
    <row r="635"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</row>
    <row r="636"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</row>
    <row r="637"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</row>
    <row r="638"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</row>
    <row r="639"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</row>
    <row r="640"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</row>
    <row r="641"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</row>
    <row r="642"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</row>
    <row r="643"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</row>
    <row r="644"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</row>
    <row r="645"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</row>
    <row r="646"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</row>
    <row r="647"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</row>
    <row r="648"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</row>
    <row r="649"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</row>
    <row r="650"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</row>
    <row r="651"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</row>
    <row r="652"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</row>
    <row r="653"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</row>
    <row r="654"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</row>
    <row r="655"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</row>
    <row r="656"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</row>
    <row r="657"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</row>
    <row r="658"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</row>
    <row r="659"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</row>
    <row r="660"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</row>
    <row r="661"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</row>
    <row r="662"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</row>
    <row r="663"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</row>
    <row r="664"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</row>
    <row r="665"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</row>
    <row r="666"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</row>
    <row r="667"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</row>
    <row r="668"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</row>
    <row r="669"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</row>
    <row r="670"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</row>
    <row r="671"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</row>
    <row r="672"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</row>
    <row r="673"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</row>
    <row r="674"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</row>
    <row r="675"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</row>
    <row r="676"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</row>
    <row r="677"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</row>
    <row r="678"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</row>
    <row r="679"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</row>
    <row r="680"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</row>
    <row r="681"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</row>
    <row r="682"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</row>
    <row r="683"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</row>
    <row r="684"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</row>
    <row r="685"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</row>
    <row r="686"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</row>
    <row r="687"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</row>
    <row r="688"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</row>
    <row r="689"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</row>
    <row r="690"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</row>
    <row r="691"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</row>
    <row r="692"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</row>
    <row r="693"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</row>
    <row r="694"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</row>
    <row r="695"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</row>
    <row r="696"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</row>
    <row r="697"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</row>
    <row r="698"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</row>
    <row r="699"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</row>
    <row r="700"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</row>
    <row r="701"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</row>
    <row r="702"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</row>
    <row r="703"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</row>
    <row r="704"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</row>
    <row r="705"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</row>
    <row r="706"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</row>
    <row r="707"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</row>
    <row r="708"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</row>
    <row r="709"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</row>
    <row r="710"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</row>
    <row r="711"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</row>
    <row r="712"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</row>
    <row r="713"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</row>
    <row r="714"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</row>
    <row r="715"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</row>
    <row r="716"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</row>
    <row r="717"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</row>
    <row r="718"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</row>
    <row r="719"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</row>
    <row r="720"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</row>
    <row r="721"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</row>
    <row r="722"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</row>
    <row r="723"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</row>
    <row r="724"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</row>
    <row r="725"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</row>
    <row r="726"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</row>
    <row r="727"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</row>
    <row r="728"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</row>
    <row r="729"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</row>
    <row r="730"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</row>
    <row r="731"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</row>
    <row r="732"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</row>
    <row r="733"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</row>
    <row r="734"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</row>
    <row r="735"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</row>
    <row r="736"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</row>
    <row r="737"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</row>
    <row r="738"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</row>
    <row r="739"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</row>
    <row r="740"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</row>
    <row r="741"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</row>
    <row r="742"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</row>
    <row r="743"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</row>
    <row r="744"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</row>
    <row r="745"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</row>
    <row r="746"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</row>
    <row r="747"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</row>
    <row r="748"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</row>
    <row r="749"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</row>
    <row r="750"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</row>
    <row r="751"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</row>
    <row r="752"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</row>
    <row r="753"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</row>
    <row r="754"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</row>
    <row r="755"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</row>
    <row r="756"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</row>
    <row r="757"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</row>
    <row r="758"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</row>
    <row r="759"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</row>
    <row r="760"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</row>
    <row r="761"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</row>
    <row r="762"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</row>
    <row r="763"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</row>
    <row r="764"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</row>
    <row r="765"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</row>
    <row r="766"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</row>
    <row r="767"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</row>
    <row r="768"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</row>
    <row r="769"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</row>
    <row r="770"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</row>
    <row r="771"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</row>
    <row r="772"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</row>
    <row r="773"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</row>
    <row r="774"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</row>
    <row r="775"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</row>
    <row r="776"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</row>
    <row r="777"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</row>
    <row r="778"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</row>
    <row r="779"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</row>
    <row r="780"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</row>
    <row r="781"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</row>
    <row r="782"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</row>
    <row r="783"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</row>
    <row r="784"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</row>
    <row r="785"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</row>
    <row r="786"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</row>
    <row r="787"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</row>
    <row r="788"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</row>
    <row r="789"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</row>
    <row r="790"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</row>
    <row r="791"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</row>
    <row r="792"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</row>
    <row r="793"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</row>
    <row r="794"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</row>
    <row r="795"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</row>
    <row r="796"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</row>
    <row r="797"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</row>
    <row r="798"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</row>
    <row r="799"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</row>
    <row r="800"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</row>
    <row r="801"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</row>
    <row r="802"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</row>
    <row r="803"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</row>
    <row r="804"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</row>
    <row r="805"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</row>
    <row r="806"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</row>
    <row r="807"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</row>
    <row r="808"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</row>
    <row r="809"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</row>
    <row r="810"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</row>
    <row r="811"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</row>
    <row r="812"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</row>
    <row r="813"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</row>
    <row r="814"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</row>
    <row r="815"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</row>
    <row r="816"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</row>
    <row r="817"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</row>
    <row r="818"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</row>
    <row r="819"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</row>
    <row r="820"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</row>
    <row r="821"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</row>
    <row r="822"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</row>
    <row r="823"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</row>
    <row r="824"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</row>
    <row r="825"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</row>
    <row r="826"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</row>
    <row r="827"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</row>
    <row r="828"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</row>
    <row r="829"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</row>
    <row r="830"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</row>
    <row r="831"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</row>
    <row r="832"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</row>
    <row r="833"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</row>
    <row r="834"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</row>
    <row r="835"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</row>
    <row r="836"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</row>
    <row r="837"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</row>
    <row r="838"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</row>
    <row r="839"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</row>
    <row r="840"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</row>
    <row r="841"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</row>
    <row r="842"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</row>
    <row r="843"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</row>
    <row r="844"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</row>
    <row r="845"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</row>
    <row r="846"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</row>
    <row r="847"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</row>
    <row r="848"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</row>
    <row r="849"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</row>
    <row r="850"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</row>
    <row r="851"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</row>
    <row r="852"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</row>
    <row r="853"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</row>
    <row r="854"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</row>
    <row r="855"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</row>
    <row r="856"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</row>
    <row r="857"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</row>
    <row r="858"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</row>
    <row r="859"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</row>
    <row r="860"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</row>
    <row r="861"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</row>
    <row r="862"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</row>
    <row r="863"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</row>
    <row r="864"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</row>
    <row r="865"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</row>
    <row r="866"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</row>
    <row r="867"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</row>
    <row r="868"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</row>
    <row r="869"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</row>
    <row r="870"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</row>
    <row r="871"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</row>
    <row r="872"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</row>
    <row r="873"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</row>
    <row r="874"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</row>
    <row r="875"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</row>
    <row r="876"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</row>
    <row r="877"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</row>
    <row r="878"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</row>
    <row r="879"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</row>
    <row r="880"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</row>
    <row r="881"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</row>
    <row r="882"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</row>
    <row r="883"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</row>
    <row r="884"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</row>
    <row r="885"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</row>
    <row r="886"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</row>
    <row r="887"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</row>
    <row r="888"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</row>
    <row r="889"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</row>
    <row r="890"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</row>
    <row r="891"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</row>
    <row r="892"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</row>
    <row r="893"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</row>
    <row r="894"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</row>
    <row r="895"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</row>
    <row r="896"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</row>
    <row r="897"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</row>
    <row r="898"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</row>
    <row r="899"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</row>
    <row r="900"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</row>
    <row r="901"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</row>
    <row r="902"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</row>
    <row r="903"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</row>
    <row r="904"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</row>
    <row r="905"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</row>
    <row r="906"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</row>
    <row r="907"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</row>
    <row r="908"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</row>
    <row r="909"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</row>
    <row r="910"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</row>
    <row r="911"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</row>
    <row r="912"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</row>
    <row r="913"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</row>
    <row r="914"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</row>
    <row r="915"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</row>
    <row r="916"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</row>
    <row r="917"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</row>
    <row r="918"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</row>
    <row r="919"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</row>
    <row r="920"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</row>
    <row r="921"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</row>
    <row r="922"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</row>
    <row r="923"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</row>
    <row r="924"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</row>
    <row r="925"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</row>
    <row r="926"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</row>
    <row r="927"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</row>
    <row r="928"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</row>
    <row r="929"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</row>
    <row r="930"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</row>
    <row r="931"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</row>
    <row r="932"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</row>
    <row r="933"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</row>
    <row r="934"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</row>
    <row r="935"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</row>
    <row r="936"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</row>
    <row r="937"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</row>
    <row r="938"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</row>
    <row r="939"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</row>
    <row r="940"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</row>
    <row r="941"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</row>
    <row r="942"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</row>
    <row r="943"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</row>
    <row r="944"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</row>
    <row r="945"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</row>
    <row r="946"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</row>
    <row r="947"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</row>
    <row r="948"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</row>
    <row r="949"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</row>
    <row r="950"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</row>
    <row r="951"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</row>
    <row r="952"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</row>
    <row r="953"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</row>
    <row r="954"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</row>
    <row r="955"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</row>
    <row r="956"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</row>
    <row r="957"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</row>
    <row r="958"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</row>
    <row r="959"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</row>
    <row r="960"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</row>
    <row r="961"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</row>
    <row r="962"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</row>
    <row r="963"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</row>
    <row r="964"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</row>
    <row r="965"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</row>
    <row r="966"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</row>
    <row r="967"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</row>
    <row r="968"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</row>
    <row r="969"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</row>
    <row r="970"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">
      <formula1>"Previous Week,Current Week"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68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Week",$B$11:$Z$52,match("SALES",$B$11:$Z$11,0),FALSE)</f>
        <v>0.6003250234</v>
      </c>
      <c r="D4" s="116"/>
      <c r="E4" s="116"/>
      <c r="F4" s="161">
        <f>VLOOKUP("Current Week",$B$11:$Z$52,match("Units Sold",$B$11:$Z$11,0),FALSE)</f>
        <v>32</v>
      </c>
      <c r="G4" s="10"/>
      <c r="H4" s="8"/>
      <c r="I4" s="125"/>
      <c r="J4" s="161">
        <f>VLOOKUP("Current Week",$B$11:$Z$52,match("Ordered Items",$B$11:$Z$11,0),FALSE)</f>
        <v>25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Week",$B$11:$Z$56,match("SALES",$B$11:$Z$11,0),FALSE)))/C4</f>
        <v>1</v>
      </c>
      <c r="D5" s="116"/>
      <c r="E5" s="116"/>
      <c r="F5" s="165">
        <f>(F4-(VLOOKUP("Previous Week",$B$11:$Z$66,match("Units Sold",$B$11:$Z$11,0),FALSE)))/F4</f>
        <v>0.15625</v>
      </c>
      <c r="G5" s="10"/>
      <c r="H5" s="10"/>
      <c r="I5" s="8"/>
      <c r="J5" s="165">
        <f>(J4-(VLOOKUP("Previous Week",$B$11:$Z$66,match("Ordered Items",$B$11:$Z$11,0),FALSE)))/J4</f>
        <v>0.04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Week",$B$11:$Z$52,match("AD SALES",$B$11:$Z$11,0),FALSE)</f>
        <v>#N/A</v>
      </c>
      <c r="D8" s="116"/>
      <c r="E8" s="116"/>
      <c r="F8" s="167" t="str">
        <f>VLOOKUP("Current Week",$B$11:$Z$52,match("SP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Week",$B$11:$Z$66,match("AD SALES",$B$11:$Z$11,0),FALSE)))/C8</f>
        <v>#N/A</v>
      </c>
      <c r="D9" s="116"/>
      <c r="E9" s="116"/>
      <c r="F9" s="170" t="str">
        <f>(F8-(VLOOKUP("Previous Week",$B$11:$Z$66,match("SP AD SPEND",$B$11:$Z$11,0),FALSE)))/F8</f>
        <v>#N/A</v>
      </c>
      <c r="I9" s="35"/>
      <c r="J9" s="170" t="str">
        <f>(J8-(VLOOKUP("Previous Week",$B$11:$Z$66,match("ACOS",$B$11:$Z$11,0),FALSE)))/J8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62</v>
      </c>
      <c r="D11" s="52" t="s">
        <v>63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outlineLevel="1">
      <c r="A13" s="101" t="str">
        <f>iferror(if(B13&gt;0,month(B13)&amp;"-"&amp;year(B13),B13),)</f>
        <v>12-2025</v>
      </c>
      <c r="B13" s="74">
        <v>46019.0</v>
      </c>
      <c r="C13" s="75" t="s">
        <v>64</v>
      </c>
      <c r="D13" s="93">
        <v>6000.27</v>
      </c>
      <c r="E13" s="150">
        <v>42.0</v>
      </c>
      <c r="F13" s="150">
        <v>40.0</v>
      </c>
      <c r="G13" s="78">
        <f t="shared" ref="G13:G52" si="1">E13/F13</f>
        <v>1.05</v>
      </c>
      <c r="H13" s="79">
        <f t="shared" ref="H13:H52" si="2">D13/E13</f>
        <v>142.8635714</v>
      </c>
      <c r="I13" s="79">
        <f t="shared" ref="I13:I52" si="3">H13/G13</f>
        <v>136.0605442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outlineLevel="1">
      <c r="A14" s="116"/>
      <c r="B14" s="126"/>
      <c r="C14" s="75" t="s">
        <v>65</v>
      </c>
      <c r="D14" s="202">
        <v>1008.0</v>
      </c>
      <c r="E14" s="150">
        <v>3.0</v>
      </c>
      <c r="F14" s="150">
        <v>3.0</v>
      </c>
      <c r="G14" s="78">
        <f t="shared" si="1"/>
        <v>1</v>
      </c>
      <c r="H14" s="79">
        <f t="shared" si="2"/>
        <v>336</v>
      </c>
      <c r="I14" s="79">
        <f t="shared" si="3"/>
        <v>336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outlineLevel="1">
      <c r="A15" s="116" t="str">
        <f t="shared" ref="A15:A18" si="4">iferror(if(B15&gt;0,month(B15)&amp;"-"&amp;year(B15),B15),)</f>
        <v/>
      </c>
      <c r="B15" s="126"/>
      <c r="C15" s="75" t="s">
        <v>66</v>
      </c>
      <c r="D15" s="202">
        <v>0.0</v>
      </c>
      <c r="E15" s="150">
        <v>0.0</v>
      </c>
      <c r="F15" s="150">
        <v>0.0</v>
      </c>
      <c r="G15" s="78" t="str">
        <f t="shared" si="1"/>
        <v>#DIV/0!</v>
      </c>
      <c r="H15" s="79" t="str">
        <f t="shared" si="2"/>
        <v>#DIV/0!</v>
      </c>
      <c r="I15" s="79" t="str">
        <f t="shared" si="3"/>
        <v>#DIV/0!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outlineLevel="1">
      <c r="A16" s="101" t="str">
        <f t="shared" si="4"/>
        <v>1-2026</v>
      </c>
      <c r="B16" s="143">
        <v>46025.0</v>
      </c>
      <c r="C16" s="75" t="s">
        <v>67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outlineLevel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7008.27</v>
      </c>
      <c r="E17" s="105">
        <f t="shared" si="5"/>
        <v>45</v>
      </c>
      <c r="F17" s="105">
        <f t="shared" si="5"/>
        <v>43</v>
      </c>
      <c r="G17" s="106">
        <f t="shared" si="1"/>
        <v>1.046511628</v>
      </c>
      <c r="H17" s="107">
        <f t="shared" si="2"/>
        <v>155.7393333</v>
      </c>
      <c r="I17" s="107">
        <f t="shared" si="3"/>
        <v>148.8175852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outlineLevel="1">
      <c r="A18" s="101" t="str">
        <f t="shared" si="4"/>
        <v>1-2026</v>
      </c>
      <c r="B18" s="74">
        <v>46026.0</v>
      </c>
      <c r="C18" s="75" t="s">
        <v>64</v>
      </c>
      <c r="D18" s="93">
        <v>6139.58</v>
      </c>
      <c r="E18" s="150">
        <v>44.0</v>
      </c>
      <c r="F18" s="150">
        <v>44.0</v>
      </c>
      <c r="G18" s="78">
        <f t="shared" si="1"/>
        <v>1</v>
      </c>
      <c r="H18" s="79">
        <f t="shared" si="2"/>
        <v>139.5359091</v>
      </c>
      <c r="I18" s="79">
        <f t="shared" si="3"/>
        <v>139.5359091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outlineLevel="1">
      <c r="A19" s="116"/>
      <c r="B19" s="126"/>
      <c r="C19" s="75" t="s">
        <v>65</v>
      </c>
      <c r="D19" s="202">
        <v>385.0</v>
      </c>
      <c r="E19" s="150">
        <v>1.0</v>
      </c>
      <c r="F19" s="150">
        <v>1.0</v>
      </c>
      <c r="G19" s="78">
        <f t="shared" si="1"/>
        <v>1</v>
      </c>
      <c r="H19" s="79">
        <f t="shared" si="2"/>
        <v>385</v>
      </c>
      <c r="I19" s="79">
        <f t="shared" si="3"/>
        <v>385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outlineLevel="1">
      <c r="A20" s="116" t="str">
        <f t="shared" ref="A20:A23" si="8">iferror(if(B20&gt;0,month(B20)&amp;"-"&amp;year(B20),B20),)</f>
        <v/>
      </c>
      <c r="B20" s="126"/>
      <c r="C20" s="75" t="s">
        <v>66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outlineLevel="1">
      <c r="A21" s="101" t="str">
        <f t="shared" si="8"/>
        <v>1-2026</v>
      </c>
      <c r="B21" s="74">
        <v>46032.0</v>
      </c>
      <c r="C21" s="75" t="s">
        <v>67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outlineLevel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6524.58</v>
      </c>
      <c r="E22" s="105">
        <f t="shared" si="9"/>
        <v>45</v>
      </c>
      <c r="F22" s="105">
        <f t="shared" si="9"/>
        <v>45</v>
      </c>
      <c r="G22" s="106">
        <f t="shared" si="1"/>
        <v>1</v>
      </c>
      <c r="H22" s="107">
        <f t="shared" si="2"/>
        <v>144.9906667</v>
      </c>
      <c r="I22" s="107">
        <f t="shared" si="3"/>
        <v>144.9906667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outlineLevel="1">
      <c r="A23" s="101" t="str">
        <f t="shared" si="8"/>
        <v>1-2026</v>
      </c>
      <c r="B23" s="74">
        <v>46033.0</v>
      </c>
      <c r="C23" s="75" t="s">
        <v>64</v>
      </c>
      <c r="D23" s="93">
        <v>5022.11</v>
      </c>
      <c r="E23" s="150">
        <v>40.0</v>
      </c>
      <c r="F23" s="150">
        <v>40.0</v>
      </c>
      <c r="G23" s="78">
        <f t="shared" si="1"/>
        <v>1</v>
      </c>
      <c r="H23" s="79">
        <f t="shared" si="2"/>
        <v>125.55275</v>
      </c>
      <c r="I23" s="79">
        <f t="shared" si="3"/>
        <v>125.55275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outlineLevel="1">
      <c r="A24" s="116"/>
      <c r="B24" s="126"/>
      <c r="C24" s="75" t="s">
        <v>65</v>
      </c>
      <c r="D24" s="202">
        <v>0.0</v>
      </c>
      <c r="E24" s="150">
        <v>0.0</v>
      </c>
      <c r="F24" s="150">
        <v>0.0</v>
      </c>
      <c r="G24" s="78" t="str">
        <f t="shared" si="1"/>
        <v>#DIV/0!</v>
      </c>
      <c r="H24" s="79" t="str">
        <f t="shared" si="2"/>
        <v>#DIV/0!</v>
      </c>
      <c r="I24" s="79" t="str">
        <f t="shared" si="3"/>
        <v>#DIV/0!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outlineLevel="1">
      <c r="A25" s="116" t="str">
        <f t="shared" ref="A25:A29" si="12">iferror(if(B25&gt;0,month(B25)&amp;"-"&amp;year(B25),B25),)</f>
        <v/>
      </c>
      <c r="B25" s="126"/>
      <c r="C25" s="75" t="s">
        <v>66</v>
      </c>
      <c r="D25" s="202">
        <v>0.0</v>
      </c>
      <c r="E25" s="150">
        <v>0.0</v>
      </c>
      <c r="F25" s="150">
        <v>0.0</v>
      </c>
      <c r="G25" s="78" t="str">
        <f t="shared" si="1"/>
        <v>#DIV/0!</v>
      </c>
      <c r="H25" s="79" t="str">
        <f t="shared" si="2"/>
        <v>#DIV/0!</v>
      </c>
      <c r="I25" s="79" t="str">
        <f t="shared" si="3"/>
        <v>#DIV/0!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outlineLevel="1">
      <c r="A26" s="101" t="str">
        <f t="shared" si="12"/>
        <v>1-2026</v>
      </c>
      <c r="B26" s="74">
        <v>46039.0</v>
      </c>
      <c r="C26" s="75" t="s">
        <v>67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outlineLevel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5022.11</v>
      </c>
      <c r="E27" s="105">
        <f t="shared" si="13"/>
        <v>40</v>
      </c>
      <c r="F27" s="105">
        <f t="shared" si="13"/>
        <v>40</v>
      </c>
      <c r="G27" s="106">
        <f t="shared" si="1"/>
        <v>1</v>
      </c>
      <c r="H27" s="107">
        <f t="shared" si="2"/>
        <v>125.55275</v>
      </c>
      <c r="I27" s="107">
        <f t="shared" si="3"/>
        <v>125.55275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outlineLevel="1">
      <c r="A28" s="101" t="str">
        <f t="shared" si="12"/>
        <v>1-2026</v>
      </c>
      <c r="B28" s="74">
        <v>46040.0</v>
      </c>
      <c r="C28" s="75" t="s">
        <v>64</v>
      </c>
      <c r="D28" s="93">
        <v>4058.89</v>
      </c>
      <c r="E28" s="150">
        <v>34.0</v>
      </c>
      <c r="F28" s="150">
        <v>34.0</v>
      </c>
      <c r="G28" s="78">
        <f t="shared" si="1"/>
        <v>1</v>
      </c>
      <c r="H28" s="79">
        <f t="shared" si="2"/>
        <v>119.3791176</v>
      </c>
      <c r="I28" s="79">
        <f t="shared" si="3"/>
        <v>119.3791176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outlineLevel="1">
      <c r="A29" s="116" t="str">
        <f t="shared" si="12"/>
        <v/>
      </c>
      <c r="B29" s="126"/>
      <c r="C29" s="75" t="s">
        <v>65</v>
      </c>
      <c r="D29" s="202">
        <v>3292.3</v>
      </c>
      <c r="E29" s="150">
        <v>7.0</v>
      </c>
      <c r="F29" s="150">
        <v>6.0</v>
      </c>
      <c r="G29" s="78">
        <f t="shared" si="1"/>
        <v>1.166666667</v>
      </c>
      <c r="H29" s="79">
        <f t="shared" si="2"/>
        <v>470.3285714</v>
      </c>
      <c r="I29" s="79">
        <f t="shared" si="3"/>
        <v>403.1387755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outlineLevel="1">
      <c r="A30" s="116"/>
      <c r="B30" s="126"/>
      <c r="C30" s="75" t="s">
        <v>66</v>
      </c>
      <c r="D30" s="202">
        <v>0.0</v>
      </c>
      <c r="E30" s="150">
        <v>0.0</v>
      </c>
      <c r="F30" s="150">
        <v>0.0</v>
      </c>
      <c r="G30" s="78" t="str">
        <f t="shared" si="1"/>
        <v>#DIV/0!</v>
      </c>
      <c r="H30" s="79" t="str">
        <f t="shared" si="2"/>
        <v>#DIV/0!</v>
      </c>
      <c r="I30" s="79" t="str">
        <f t="shared" si="3"/>
        <v>#DIV/0!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67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>
      <c r="A32" s="116" t="str">
        <f t="shared" si="16"/>
        <v/>
      </c>
      <c r="B32" s="204" t="s">
        <v>58</v>
      </c>
      <c r="C32" s="185"/>
      <c r="D32" s="104">
        <f t="shared" ref="D32:F32" si="17">SUM(D28:D31)</f>
        <v>7351.19</v>
      </c>
      <c r="E32" s="105">
        <f t="shared" si="17"/>
        <v>41</v>
      </c>
      <c r="F32" s="105">
        <f t="shared" si="17"/>
        <v>40</v>
      </c>
      <c r="G32" s="106">
        <f t="shared" si="1"/>
        <v>1.025</v>
      </c>
      <c r="H32" s="107">
        <f t="shared" si="2"/>
        <v>179.2973171</v>
      </c>
      <c r="I32" s="107">
        <f t="shared" si="3"/>
        <v>174.9242118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outlineLevel="1">
      <c r="A33" s="101" t="str">
        <f t="shared" si="16"/>
        <v>1-2026</v>
      </c>
      <c r="B33" s="74">
        <v>46047.0</v>
      </c>
      <c r="C33" s="75" t="s">
        <v>64</v>
      </c>
      <c r="D33" s="93">
        <v>3447.61</v>
      </c>
      <c r="E33" s="150">
        <v>31.0</v>
      </c>
      <c r="F33" s="150">
        <v>29.0</v>
      </c>
      <c r="G33" s="78">
        <f t="shared" si="1"/>
        <v>1.068965517</v>
      </c>
      <c r="H33" s="79">
        <f t="shared" si="2"/>
        <v>111.2132258</v>
      </c>
      <c r="I33" s="79">
        <f t="shared" si="3"/>
        <v>104.038179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outlineLevel="1">
      <c r="A34" s="116"/>
      <c r="B34" s="126"/>
      <c r="C34" s="75" t="s">
        <v>65</v>
      </c>
      <c r="D34" s="202">
        <v>272.3</v>
      </c>
      <c r="E34" s="150">
        <v>1.0</v>
      </c>
      <c r="F34" s="150">
        <v>1.0</v>
      </c>
      <c r="G34" s="78">
        <f t="shared" si="1"/>
        <v>1</v>
      </c>
      <c r="H34" s="79">
        <f t="shared" si="2"/>
        <v>272.3</v>
      </c>
      <c r="I34" s="79">
        <f t="shared" si="3"/>
        <v>272.3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outlineLevel="1">
      <c r="A35" s="116" t="str">
        <f t="shared" ref="A35:A38" si="20">iferror(if(B35&gt;0,month(B35)&amp;"-"&amp;year(B35),B35),)</f>
        <v/>
      </c>
      <c r="B35" s="126"/>
      <c r="C35" s="75" t="s">
        <v>66</v>
      </c>
      <c r="D35" s="202">
        <v>0.0</v>
      </c>
      <c r="E35" s="150">
        <v>0.0</v>
      </c>
      <c r="F35" s="150">
        <v>0.0</v>
      </c>
      <c r="G35" s="78" t="str">
        <f t="shared" si="1"/>
        <v>#DIV/0!</v>
      </c>
      <c r="H35" s="79" t="str">
        <f t="shared" si="2"/>
        <v>#DIV/0!</v>
      </c>
      <c r="I35" s="79" t="str">
        <f t="shared" si="3"/>
        <v>#DIV/0!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outlineLevel="1">
      <c r="A36" s="101" t="str">
        <f t="shared" si="20"/>
        <v>1-2026</v>
      </c>
      <c r="B36" s="74">
        <v>46053.0</v>
      </c>
      <c r="C36" s="75" t="s">
        <v>67</v>
      </c>
      <c r="D36" s="203">
        <v>0.0</v>
      </c>
      <c r="E36" s="150">
        <v>0.0</v>
      </c>
      <c r="F36" s="150">
        <v>0.0</v>
      </c>
      <c r="G36" s="78" t="str">
        <f t="shared" si="1"/>
        <v>#DIV/0!</v>
      </c>
      <c r="H36" s="79" t="str">
        <f t="shared" si="2"/>
        <v>#DIV/0!</v>
      </c>
      <c r="I36" s="79" t="str">
        <f t="shared" si="3"/>
        <v>#DIV/0!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>
      <c r="A37" s="116" t="str">
        <f t="shared" si="20"/>
        <v/>
      </c>
      <c r="B37" s="204" t="s">
        <v>59</v>
      </c>
      <c r="C37" s="185"/>
      <c r="D37" s="104">
        <f t="shared" ref="D37:F37" si="21">SUM(D33:D36)</f>
        <v>3719.91</v>
      </c>
      <c r="E37" s="105">
        <f t="shared" si="21"/>
        <v>32</v>
      </c>
      <c r="F37" s="105">
        <f t="shared" si="21"/>
        <v>30</v>
      </c>
      <c r="G37" s="106">
        <f t="shared" si="1"/>
        <v>1.066666667</v>
      </c>
      <c r="H37" s="107">
        <f t="shared" si="2"/>
        <v>116.2471875</v>
      </c>
      <c r="I37" s="107">
        <f t="shared" si="3"/>
        <v>108.9817383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outlineLevel="1">
      <c r="A38" s="101" t="str">
        <f t="shared" si="20"/>
        <v>2-2026</v>
      </c>
      <c r="B38" s="74">
        <v>46054.0</v>
      </c>
      <c r="C38" s="117" t="s">
        <v>64</v>
      </c>
      <c r="D38" s="93">
        <v>2486.85</v>
      </c>
      <c r="E38" s="150">
        <v>25.0</v>
      </c>
      <c r="F38" s="150">
        <v>19.0</v>
      </c>
      <c r="G38" s="78">
        <f t="shared" si="1"/>
        <v>1.315789474</v>
      </c>
      <c r="H38" s="79">
        <f t="shared" si="2"/>
        <v>99.474</v>
      </c>
      <c r="I38" s="79">
        <f t="shared" si="3"/>
        <v>75.60024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outlineLevel="1">
      <c r="A39" s="116"/>
      <c r="B39" s="126"/>
      <c r="C39" s="117" t="s">
        <v>65</v>
      </c>
      <c r="D39" s="202">
        <v>1294.6</v>
      </c>
      <c r="E39" s="150">
        <v>4.0</v>
      </c>
      <c r="F39" s="150">
        <v>4.0</v>
      </c>
      <c r="G39" s="78">
        <f t="shared" si="1"/>
        <v>1</v>
      </c>
      <c r="H39" s="79">
        <f t="shared" si="2"/>
        <v>323.65</v>
      </c>
      <c r="I39" s="79">
        <f t="shared" si="3"/>
        <v>323.65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outlineLevel="1">
      <c r="A40" s="116" t="str">
        <f t="shared" ref="A40:A43" si="24">iferror(if(B40&gt;0,month(B40)&amp;"-"&amp;year(B40),B40),)</f>
        <v/>
      </c>
      <c r="B40" s="126"/>
      <c r="C40" s="117" t="s">
        <v>66</v>
      </c>
      <c r="D40" s="202">
        <v>0.0</v>
      </c>
      <c r="E40" s="150">
        <v>0.0</v>
      </c>
      <c r="F40" s="150">
        <v>0.0</v>
      </c>
      <c r="G40" s="78" t="str">
        <f t="shared" si="1"/>
        <v>#DIV/0!</v>
      </c>
      <c r="H40" s="79" t="str">
        <f t="shared" si="2"/>
        <v>#DIV/0!</v>
      </c>
      <c r="I40" s="79" t="str">
        <f t="shared" si="3"/>
        <v>#DIV/0!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outlineLevel="1">
      <c r="A41" s="101" t="str">
        <f t="shared" si="24"/>
        <v>2-2026</v>
      </c>
      <c r="B41" s="74">
        <v>46060.0</v>
      </c>
      <c r="C41" s="75" t="s">
        <v>67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>
      <c r="A42" s="116" t="str">
        <f t="shared" si="24"/>
        <v/>
      </c>
      <c r="B42" s="213" t="s">
        <v>60</v>
      </c>
      <c r="C42" s="138"/>
      <c r="D42" s="104">
        <f t="shared" ref="D42:F42" si="25">SUM(D38:D41)</f>
        <v>3781.45</v>
      </c>
      <c r="E42" s="139">
        <f t="shared" si="25"/>
        <v>29</v>
      </c>
      <c r="F42" s="139">
        <f t="shared" si="25"/>
        <v>23</v>
      </c>
      <c r="G42" s="106">
        <f t="shared" si="1"/>
        <v>1.260869565</v>
      </c>
      <c r="H42" s="107">
        <f t="shared" si="2"/>
        <v>130.3948276</v>
      </c>
      <c r="I42" s="107">
        <f t="shared" si="3"/>
        <v>103.4165874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>
      <c r="A43" s="101" t="str">
        <f t="shared" si="24"/>
        <v>2-2026</v>
      </c>
      <c r="B43" s="143">
        <v>46061.0</v>
      </c>
      <c r="C43" s="75" t="s">
        <v>64</v>
      </c>
      <c r="D43" s="93">
        <v>2233.1</v>
      </c>
      <c r="E43" s="150">
        <v>27.0</v>
      </c>
      <c r="F43" s="150">
        <v>24.0</v>
      </c>
      <c r="G43" s="78">
        <f t="shared" si="1"/>
        <v>1.125</v>
      </c>
      <c r="H43" s="79">
        <f t="shared" si="2"/>
        <v>82.70740741</v>
      </c>
      <c r="I43" s="79">
        <f t="shared" si="3"/>
        <v>73.51769547</v>
      </c>
      <c r="J43" s="195"/>
      <c r="K43" s="195"/>
      <c r="L43" s="195"/>
      <c r="M43" s="196"/>
      <c r="N43" s="197"/>
      <c r="O43" s="195"/>
      <c r="P43" s="198"/>
      <c r="Q43" s="199"/>
      <c r="R43" s="198"/>
      <c r="S43" s="198"/>
      <c r="T43" s="200"/>
      <c r="U43" s="201"/>
      <c r="V43" s="124"/>
      <c r="W43" s="124"/>
      <c r="X43" s="124"/>
      <c r="Y43" s="124"/>
      <c r="Z43" s="125"/>
    </row>
    <row r="44">
      <c r="A44" s="116"/>
      <c r="B44" s="126"/>
      <c r="C44" s="75" t="s">
        <v>65</v>
      </c>
      <c r="D44" s="202">
        <v>0.0</v>
      </c>
      <c r="E44" s="150">
        <v>0.0</v>
      </c>
      <c r="F44" s="150">
        <v>0.0</v>
      </c>
      <c r="G44" s="78" t="str">
        <f t="shared" si="1"/>
        <v>#DIV/0!</v>
      </c>
      <c r="H44" s="79" t="str">
        <f t="shared" si="2"/>
        <v>#DIV/0!</v>
      </c>
      <c r="I44" s="79" t="str">
        <f t="shared" si="3"/>
        <v>#DIV/0!</v>
      </c>
      <c r="J44" s="195"/>
      <c r="K44" s="195"/>
      <c r="L44" s="195"/>
      <c r="M44" s="196"/>
      <c r="N44" s="197"/>
      <c r="O44" s="195"/>
      <c r="P44" s="198"/>
      <c r="Q44" s="199"/>
      <c r="R44" s="198"/>
      <c r="S44" s="198"/>
      <c r="T44" s="200"/>
      <c r="U44" s="201"/>
      <c r="V44" s="124"/>
      <c r="W44" s="124"/>
      <c r="X44" s="124"/>
      <c r="Y44" s="124"/>
      <c r="Z44" s="125"/>
    </row>
    <row r="45">
      <c r="A45" s="116" t="str">
        <f t="shared" ref="A45:A48" si="28">iferror(if(B45&gt;0,month(B45)&amp;"-"&amp;year(B45),B45),)</f>
        <v/>
      </c>
      <c r="B45" s="126"/>
      <c r="C45" s="75" t="s">
        <v>66</v>
      </c>
      <c r="D45" s="202">
        <v>0.0</v>
      </c>
      <c r="E45" s="150">
        <v>0.0</v>
      </c>
      <c r="F45" s="150">
        <v>0.0</v>
      </c>
      <c r="G45" s="78" t="str">
        <f t="shared" si="1"/>
        <v>#DIV/0!</v>
      </c>
      <c r="H45" s="79" t="str">
        <f t="shared" si="2"/>
        <v>#DIV/0!</v>
      </c>
      <c r="I45" s="79" t="str">
        <f t="shared" si="3"/>
        <v>#DIV/0!</v>
      </c>
      <c r="J45" s="195"/>
      <c r="K45" s="195"/>
      <c r="L45" s="195"/>
      <c r="M45" s="196"/>
      <c r="N45" s="197"/>
      <c r="O45" s="195"/>
      <c r="P45" s="198"/>
      <c r="Q45" s="199"/>
      <c r="R45" s="198"/>
      <c r="S45" s="198"/>
      <c r="T45" s="200"/>
      <c r="U45" s="201"/>
      <c r="V45" s="124"/>
      <c r="W45" s="124"/>
      <c r="X45" s="124"/>
      <c r="Y45" s="124"/>
      <c r="Z45" s="125"/>
    </row>
    <row r="46">
      <c r="A46" s="101" t="str">
        <f t="shared" si="28"/>
        <v>2-2026</v>
      </c>
      <c r="B46" s="143">
        <v>46067.0</v>
      </c>
      <c r="C46" s="75" t="s">
        <v>67</v>
      </c>
      <c r="D46" s="203">
        <v>0.0</v>
      </c>
      <c r="E46" s="150">
        <v>0.0</v>
      </c>
      <c r="F46" s="150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5"/>
      <c r="K46" s="195"/>
      <c r="L46" s="195"/>
      <c r="M46" s="196"/>
      <c r="N46" s="197"/>
      <c r="O46" s="195"/>
      <c r="P46" s="198"/>
      <c r="Q46" s="199"/>
      <c r="R46" s="198"/>
      <c r="S46" s="198"/>
      <c r="T46" s="200"/>
      <c r="U46" s="201"/>
      <c r="V46" s="124"/>
      <c r="W46" s="124"/>
      <c r="X46" s="124"/>
      <c r="Y46" s="124"/>
      <c r="Z46" s="125"/>
    </row>
    <row r="47">
      <c r="A47" s="116" t="str">
        <f t="shared" si="28"/>
        <v/>
      </c>
      <c r="B47" s="103" t="s">
        <v>51</v>
      </c>
      <c r="C47" s="185"/>
      <c r="D47" s="104">
        <f t="shared" ref="D47:F47" si="29">SUM(D43:D46)</f>
        <v>2233.1</v>
      </c>
      <c r="E47" s="105">
        <f t="shared" si="29"/>
        <v>27</v>
      </c>
      <c r="F47" s="105">
        <f t="shared" si="29"/>
        <v>24</v>
      </c>
      <c r="G47" s="106">
        <f t="shared" si="1"/>
        <v>1.125</v>
      </c>
      <c r="H47" s="107">
        <f t="shared" si="2"/>
        <v>82.70740741</v>
      </c>
      <c r="I47" s="107">
        <f t="shared" si="3"/>
        <v>73.51769547</v>
      </c>
      <c r="J47" s="205"/>
      <c r="K47" s="205"/>
      <c r="L47" s="205"/>
      <c r="M47" s="206"/>
      <c r="N47" s="207"/>
      <c r="O47" s="205"/>
      <c r="P47" s="208"/>
      <c r="Q47" s="209"/>
      <c r="R47" s="208"/>
      <c r="S47" s="208"/>
      <c r="T47" s="210"/>
      <c r="U47" s="211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64</v>
      </c>
      <c r="D48" s="93">
        <v>2507.29</v>
      </c>
      <c r="E48" s="150">
        <v>24.0</v>
      </c>
      <c r="F48" s="150">
        <v>24.0</v>
      </c>
      <c r="G48" s="78">
        <f t="shared" si="1"/>
        <v>1</v>
      </c>
      <c r="H48" s="79">
        <f t="shared" si="2"/>
        <v>104.4704167</v>
      </c>
      <c r="I48" s="79">
        <f t="shared" si="3"/>
        <v>104.4704167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65</v>
      </c>
      <c r="D49" s="202">
        <v>3080.0</v>
      </c>
      <c r="E49" s="150">
        <v>8.0</v>
      </c>
      <c r="F49" s="150">
        <v>1.0</v>
      </c>
      <c r="G49" s="78">
        <f t="shared" si="1"/>
        <v>8</v>
      </c>
      <c r="H49" s="79">
        <f t="shared" si="2"/>
        <v>385</v>
      </c>
      <c r="I49" s="79">
        <f t="shared" si="3"/>
        <v>48.125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2" si="32">iferror(if(B50&gt;0,month(B50)&amp;"-"&amp;year(B50),B50),)</f>
        <v/>
      </c>
      <c r="B50" s="126"/>
      <c r="C50" s="75" t="s">
        <v>66</v>
      </c>
      <c r="D50" s="202">
        <v>0.0</v>
      </c>
      <c r="E50" s="150">
        <v>0.0</v>
      </c>
      <c r="F50" s="150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67</v>
      </c>
      <c r="D51" s="203">
        <v>0.0</v>
      </c>
      <c r="E51" s="150">
        <v>0.0</v>
      </c>
      <c r="F51" s="150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214" t="s">
        <v>52</v>
      </c>
      <c r="C52" s="185"/>
      <c r="D52" s="104">
        <f t="shared" ref="D52:F52" si="33">SUM(D48:D51)</f>
        <v>5587.29</v>
      </c>
      <c r="E52" s="105">
        <f t="shared" si="33"/>
        <v>32</v>
      </c>
      <c r="F52" s="105">
        <f t="shared" si="33"/>
        <v>25</v>
      </c>
      <c r="G52" s="106">
        <f t="shared" si="1"/>
        <v>1.28</v>
      </c>
      <c r="H52" s="107">
        <f t="shared" si="2"/>
        <v>174.6028125</v>
      </c>
      <c r="I52" s="107">
        <f t="shared" si="3"/>
        <v>136.4084473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215">
        <f t="shared" ref="V52:W52" si="34">IFERROR((D52-D47)/D52,)</f>
        <v>0.6003250234</v>
      </c>
      <c r="W52" s="215">
        <f t="shared" si="34"/>
        <v>0.15625</v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16"/>
      <c r="B53" s="116"/>
      <c r="C53" s="116"/>
      <c r="D53" s="216"/>
      <c r="E53" s="116"/>
      <c r="F53" s="116"/>
      <c r="G53" s="217"/>
      <c r="H53" s="218"/>
      <c r="I53" s="218"/>
      <c r="J53" s="190"/>
      <c r="K53" s="190"/>
      <c r="L53" s="190"/>
      <c r="M53" s="191"/>
      <c r="N53" s="191"/>
      <c r="O53" s="190"/>
      <c r="P53" s="192"/>
      <c r="Q53" s="219"/>
      <c r="R53" s="192"/>
      <c r="S53" s="220"/>
      <c r="T53" s="179"/>
      <c r="U53" s="192"/>
      <c r="V53" s="221"/>
      <c r="W53" s="221"/>
      <c r="X53" s="221"/>
      <c r="Y53" s="221"/>
      <c r="Z53" s="116"/>
    </row>
    <row r="54">
      <c r="A54" s="116"/>
      <c r="B54" s="116"/>
      <c r="C54" s="116"/>
      <c r="D54" s="216"/>
      <c r="E54" s="116"/>
      <c r="F54" s="116"/>
      <c r="G54" s="217"/>
      <c r="H54" s="218"/>
      <c r="I54" s="218"/>
      <c r="J54" s="190"/>
      <c r="K54" s="190"/>
      <c r="L54" s="190"/>
      <c r="M54" s="191"/>
      <c r="N54" s="191"/>
      <c r="O54" s="190"/>
      <c r="P54" s="192"/>
      <c r="Q54" s="219"/>
      <c r="R54" s="192"/>
      <c r="S54" s="220"/>
      <c r="T54" s="179"/>
      <c r="U54" s="192"/>
      <c r="V54" s="221"/>
      <c r="W54" s="221"/>
      <c r="X54" s="221"/>
      <c r="Y54" s="221"/>
      <c r="Z54" s="116"/>
    </row>
    <row r="55">
      <c r="A55" s="116"/>
      <c r="B55" s="116"/>
      <c r="C55" s="116"/>
      <c r="D55" s="216"/>
      <c r="E55" s="116"/>
      <c r="F55" s="116"/>
      <c r="G55" s="217"/>
      <c r="H55" s="218"/>
      <c r="I55" s="218"/>
      <c r="J55" s="190"/>
      <c r="K55" s="190"/>
      <c r="L55" s="190"/>
      <c r="M55" s="191"/>
      <c r="N55" s="191"/>
      <c r="O55" s="190"/>
      <c r="P55" s="192"/>
      <c r="Q55" s="219"/>
      <c r="R55" s="192"/>
      <c r="S55" s="220"/>
      <c r="T55" s="179"/>
      <c r="U55" s="192"/>
      <c r="V55" s="221"/>
      <c r="W55" s="221"/>
      <c r="X55" s="221"/>
      <c r="Y55" s="221"/>
      <c r="Z55" s="116"/>
    </row>
    <row r="56">
      <c r="A56" s="116"/>
      <c r="B56" s="116"/>
      <c r="C56" s="116"/>
      <c r="D56" s="216"/>
      <c r="E56" s="116"/>
      <c r="F56" s="116"/>
      <c r="G56" s="217"/>
      <c r="H56" s="218"/>
      <c r="I56" s="218"/>
      <c r="J56" s="190"/>
      <c r="K56" s="190"/>
      <c r="L56" s="190"/>
      <c r="M56" s="191"/>
      <c r="N56" s="191"/>
      <c r="O56" s="190"/>
      <c r="P56" s="192"/>
      <c r="Q56" s="219"/>
      <c r="R56" s="192"/>
      <c r="S56" s="220"/>
      <c r="T56" s="179"/>
      <c r="U56" s="192"/>
      <c r="V56" s="221"/>
      <c r="W56" s="221"/>
      <c r="X56" s="221"/>
      <c r="Y56" s="221"/>
      <c r="Z56" s="116"/>
    </row>
    <row r="57">
      <c r="A57" s="116"/>
      <c r="B57" s="116"/>
      <c r="C57" s="116"/>
      <c r="D57" s="216"/>
      <c r="E57" s="116"/>
      <c r="F57" s="116"/>
      <c r="G57" s="217"/>
      <c r="H57" s="218"/>
      <c r="I57" s="218"/>
      <c r="J57" s="190"/>
      <c r="K57" s="190"/>
      <c r="L57" s="190"/>
      <c r="M57" s="191"/>
      <c r="N57" s="191"/>
      <c r="O57" s="190"/>
      <c r="P57" s="192"/>
      <c r="Q57" s="219"/>
      <c r="R57" s="192"/>
      <c r="S57" s="220"/>
      <c r="T57" s="179"/>
      <c r="U57" s="192"/>
      <c r="V57" s="221"/>
      <c r="W57" s="221"/>
      <c r="X57" s="221"/>
      <c r="Y57" s="221"/>
      <c r="Z57" s="116"/>
    </row>
    <row r="58">
      <c r="A58" s="116"/>
      <c r="B58" s="116"/>
      <c r="C58" s="116"/>
      <c r="D58" s="216"/>
      <c r="E58" s="116"/>
      <c r="F58" s="116"/>
      <c r="G58" s="217"/>
      <c r="H58" s="218"/>
      <c r="I58" s="218"/>
      <c r="J58" s="190"/>
      <c r="K58" s="190"/>
      <c r="L58" s="190"/>
      <c r="M58" s="191"/>
      <c r="N58" s="191"/>
      <c r="O58" s="190"/>
      <c r="P58" s="192"/>
      <c r="Q58" s="219"/>
      <c r="R58" s="192"/>
      <c r="S58" s="220"/>
      <c r="T58" s="179"/>
      <c r="U58" s="192"/>
      <c r="V58" s="221"/>
      <c r="W58" s="221"/>
      <c r="X58" s="221"/>
      <c r="Y58" s="221"/>
      <c r="Z58" s="116"/>
    </row>
    <row r="59">
      <c r="A59" s="116"/>
      <c r="B59" s="116"/>
      <c r="C59" s="116"/>
      <c r="D59" s="216"/>
      <c r="E59" s="116"/>
      <c r="F59" s="116"/>
      <c r="G59" s="217"/>
      <c r="H59" s="218"/>
      <c r="I59" s="218"/>
      <c r="J59" s="190"/>
      <c r="K59" s="190"/>
      <c r="L59" s="190"/>
      <c r="M59" s="191"/>
      <c r="N59" s="191"/>
      <c r="O59" s="190"/>
      <c r="P59" s="192"/>
      <c r="Q59" s="219"/>
      <c r="R59" s="192"/>
      <c r="S59" s="220"/>
      <c r="T59" s="179"/>
      <c r="U59" s="192"/>
      <c r="V59" s="221"/>
      <c r="W59" s="221"/>
      <c r="X59" s="221"/>
      <c r="Y59" s="221"/>
      <c r="Z59" s="116"/>
    </row>
    <row r="60">
      <c r="A60" s="116"/>
      <c r="B60" s="116"/>
      <c r="C60" s="116"/>
      <c r="D60" s="216"/>
      <c r="E60" s="116"/>
      <c r="F60" s="116"/>
      <c r="G60" s="217"/>
      <c r="H60" s="218"/>
      <c r="I60" s="218"/>
      <c r="J60" s="190"/>
      <c r="K60" s="190"/>
      <c r="L60" s="190"/>
      <c r="M60" s="191"/>
      <c r="N60" s="191"/>
      <c r="O60" s="190"/>
      <c r="P60" s="192"/>
      <c r="Q60" s="219"/>
      <c r="R60" s="192"/>
      <c r="S60" s="220"/>
      <c r="T60" s="179"/>
      <c r="U60" s="192"/>
      <c r="V60" s="221"/>
      <c r="W60" s="221"/>
      <c r="X60" s="221"/>
      <c r="Y60" s="221"/>
      <c r="Z60" s="116"/>
    </row>
    <row r="61">
      <c r="A61" s="116"/>
      <c r="B61" s="116"/>
      <c r="C61" s="116"/>
      <c r="D61" s="216"/>
      <c r="E61" s="116"/>
      <c r="F61" s="116"/>
      <c r="G61" s="217"/>
      <c r="H61" s="218"/>
      <c r="I61" s="218"/>
      <c r="J61" s="190"/>
      <c r="K61" s="190"/>
      <c r="L61" s="190"/>
      <c r="M61" s="191"/>
      <c r="N61" s="191"/>
      <c r="O61" s="190"/>
      <c r="P61" s="192"/>
      <c r="Q61" s="219"/>
      <c r="R61" s="192"/>
      <c r="S61" s="220"/>
      <c r="T61" s="179"/>
      <c r="U61" s="192"/>
      <c r="V61" s="221"/>
      <c r="W61" s="221"/>
      <c r="X61" s="221"/>
      <c r="Y61" s="221"/>
      <c r="Z61" s="116"/>
    </row>
    <row r="62">
      <c r="A62" s="116"/>
      <c r="B62" s="116"/>
      <c r="C62" s="116"/>
      <c r="D62" s="216"/>
      <c r="E62" s="116"/>
      <c r="F62" s="116"/>
      <c r="G62" s="217"/>
      <c r="H62" s="218"/>
      <c r="I62" s="218"/>
      <c r="J62" s="190"/>
      <c r="K62" s="190"/>
      <c r="L62" s="190"/>
      <c r="M62" s="191"/>
      <c r="N62" s="191"/>
      <c r="O62" s="190"/>
      <c r="P62" s="192"/>
      <c r="Q62" s="219"/>
      <c r="R62" s="192"/>
      <c r="S62" s="220"/>
      <c r="T62" s="179"/>
      <c r="U62" s="192"/>
      <c r="V62" s="221"/>
      <c r="W62" s="221"/>
      <c r="X62" s="221"/>
      <c r="Y62" s="221"/>
      <c r="Z62" s="116"/>
    </row>
    <row r="63">
      <c r="A63" s="116"/>
      <c r="B63" s="116"/>
      <c r="C63" s="116"/>
      <c r="D63" s="216"/>
      <c r="E63" s="116"/>
      <c r="F63" s="116"/>
      <c r="G63" s="217"/>
      <c r="H63" s="218"/>
      <c r="I63" s="218"/>
      <c r="J63" s="190"/>
      <c r="K63" s="190"/>
      <c r="L63" s="190"/>
      <c r="M63" s="191"/>
      <c r="N63" s="191"/>
      <c r="O63" s="190"/>
      <c r="P63" s="192"/>
      <c r="Q63" s="219"/>
      <c r="R63" s="192"/>
      <c r="S63" s="220"/>
      <c r="T63" s="179"/>
      <c r="U63" s="192"/>
      <c r="V63" s="221"/>
      <c r="W63" s="221"/>
      <c r="X63" s="221"/>
      <c r="Y63" s="221"/>
      <c r="Z63" s="116"/>
    </row>
    <row r="64">
      <c r="A64" s="116"/>
      <c r="B64" s="116"/>
      <c r="C64" s="116"/>
      <c r="D64" s="216"/>
      <c r="E64" s="116"/>
      <c r="F64" s="116"/>
      <c r="G64" s="217"/>
      <c r="H64" s="218"/>
      <c r="I64" s="218"/>
      <c r="J64" s="190"/>
      <c r="K64" s="190"/>
      <c r="L64" s="190"/>
      <c r="M64" s="191"/>
      <c r="N64" s="191"/>
      <c r="O64" s="190"/>
      <c r="P64" s="192"/>
      <c r="Q64" s="219"/>
      <c r="R64" s="192"/>
      <c r="S64" s="220"/>
      <c r="T64" s="179"/>
      <c r="U64" s="192"/>
      <c r="V64" s="221"/>
      <c r="W64" s="221"/>
      <c r="X64" s="221"/>
      <c r="Y64" s="221"/>
      <c r="Z64" s="116"/>
    </row>
    <row r="65">
      <c r="A65" s="116"/>
      <c r="B65" s="116"/>
      <c r="C65" s="116"/>
      <c r="D65" s="216"/>
      <c r="E65" s="116"/>
      <c r="F65" s="116"/>
      <c r="G65" s="217"/>
      <c r="H65" s="218"/>
      <c r="I65" s="218"/>
      <c r="J65" s="222"/>
      <c r="K65" s="222"/>
      <c r="L65" s="222"/>
      <c r="M65" s="223"/>
      <c r="N65" s="223"/>
      <c r="O65" s="222"/>
      <c r="P65" s="224"/>
      <c r="Q65" s="225"/>
      <c r="R65" s="224"/>
      <c r="S65" s="226"/>
      <c r="T65" s="227"/>
      <c r="U65" s="224"/>
      <c r="V65" s="221"/>
      <c r="W65" s="221"/>
      <c r="X65" s="221"/>
      <c r="Y65" s="221"/>
      <c r="Z65" s="116"/>
    </row>
    <row r="66">
      <c r="A66" s="116"/>
      <c r="B66" s="116"/>
      <c r="C66" s="116"/>
      <c r="D66" s="216"/>
      <c r="E66" s="116"/>
      <c r="F66" s="116"/>
      <c r="G66" s="217"/>
      <c r="H66" s="218"/>
      <c r="I66" s="116"/>
      <c r="J66" s="222"/>
      <c r="K66" s="222"/>
      <c r="L66" s="222"/>
      <c r="M66" s="223"/>
      <c r="N66" s="223"/>
      <c r="O66" s="222"/>
      <c r="P66" s="224"/>
      <c r="Q66" s="225"/>
      <c r="R66" s="224"/>
      <c r="S66" s="226"/>
      <c r="T66" s="227"/>
      <c r="U66" s="224"/>
      <c r="V66" s="221"/>
      <c r="W66" s="221"/>
      <c r="X66" s="221"/>
      <c r="Y66" s="221"/>
      <c r="Z66" s="116"/>
    </row>
    <row r="67"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</row>
    <row r="68"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</row>
    <row r="69"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</row>
    <row r="70"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</row>
    <row r="71"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</row>
    <row r="72"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</row>
    <row r="73"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</row>
    <row r="74"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</row>
    <row r="75"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</row>
    <row r="76"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</row>
    <row r="77"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</row>
    <row r="78"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</row>
    <row r="79"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</row>
    <row r="80"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</row>
    <row r="81"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</row>
    <row r="82"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</row>
    <row r="83"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</row>
    <row r="84"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</row>
    <row r="85"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</row>
    <row r="86"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</row>
    <row r="87"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</row>
    <row r="88"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</row>
    <row r="89"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</row>
    <row r="90"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</row>
    <row r="91"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</row>
    <row r="92"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</row>
    <row r="93"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</row>
    <row r="94"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</row>
    <row r="95"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</row>
    <row r="96"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</row>
    <row r="97"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</row>
    <row r="98"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</row>
    <row r="99"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</row>
    <row r="100"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</row>
    <row r="101"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</row>
    <row r="102"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</row>
    <row r="103"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</row>
    <row r="104"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</row>
    <row r="105"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</row>
    <row r="106"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</row>
    <row r="107"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</row>
    <row r="108"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</row>
    <row r="109"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</row>
    <row r="110"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</row>
    <row r="111"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</row>
    <row r="112"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</row>
    <row r="113"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</row>
    <row r="114"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</row>
    <row r="115"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</row>
    <row r="116"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</row>
    <row r="117"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  <row r="118"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</row>
    <row r="119"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</row>
    <row r="120"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</row>
    <row r="121"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</row>
    <row r="122"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</row>
    <row r="123"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</row>
    <row r="124"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</row>
    <row r="125"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</row>
    <row r="126"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</row>
    <row r="127"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</row>
    <row r="128"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</row>
    <row r="129"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</row>
    <row r="130"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</row>
    <row r="131"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</row>
    <row r="132"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</row>
    <row r="133"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</row>
    <row r="134"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</row>
    <row r="135"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</row>
    <row r="136"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</row>
    <row r="137"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</row>
    <row r="138"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</row>
    <row r="139"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</row>
    <row r="140"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</row>
    <row r="141"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</row>
    <row r="142"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</row>
    <row r="143"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</row>
    <row r="144"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</row>
    <row r="145"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</row>
    <row r="146"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</row>
    <row r="147"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</row>
    <row r="148"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</row>
    <row r="149"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</row>
    <row r="150"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</row>
    <row r="151"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</row>
    <row r="152"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</row>
    <row r="153"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</row>
    <row r="154"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</row>
    <row r="155"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</row>
    <row r="156"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</row>
    <row r="157"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</row>
    <row r="158"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</row>
    <row r="159"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</row>
    <row r="160"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</row>
    <row r="161"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</row>
    <row r="162"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</row>
    <row r="163"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</row>
    <row r="164"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</row>
    <row r="165"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</row>
    <row r="166"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</row>
    <row r="167"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</row>
    <row r="168"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</row>
    <row r="169"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</row>
    <row r="170"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</row>
    <row r="171"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</row>
    <row r="172"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</row>
    <row r="173"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</row>
    <row r="174"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</row>
    <row r="175"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</row>
    <row r="176"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</row>
    <row r="177"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</row>
    <row r="178"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</row>
    <row r="179"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</row>
    <row r="180"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</row>
    <row r="181"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</row>
    <row r="182"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</row>
    <row r="183"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</row>
    <row r="184"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</row>
    <row r="185"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</row>
    <row r="186"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</row>
    <row r="187"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</row>
    <row r="188"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</row>
    <row r="189"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</row>
    <row r="190"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</row>
    <row r="191"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</row>
    <row r="192"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</row>
    <row r="193"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</row>
    <row r="194"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</row>
    <row r="195"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</row>
    <row r="196"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</row>
    <row r="197"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</row>
    <row r="198"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</row>
    <row r="199"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</row>
    <row r="200"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</row>
    <row r="201"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</row>
    <row r="202"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</row>
    <row r="203"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</row>
    <row r="204"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</row>
    <row r="205"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</row>
    <row r="206"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</row>
    <row r="207"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</row>
    <row r="208"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</row>
    <row r="209"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</row>
    <row r="210"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</row>
    <row r="211"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</row>
    <row r="212"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</row>
    <row r="213"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</row>
    <row r="214"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</row>
    <row r="215"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</row>
    <row r="216"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</row>
    <row r="217"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</row>
    <row r="218"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</row>
    <row r="219"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</row>
    <row r="220"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</row>
    <row r="221"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</row>
    <row r="222"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</row>
    <row r="223"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</row>
    <row r="224"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</row>
    <row r="225"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</row>
    <row r="226"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</row>
    <row r="227"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</row>
    <row r="228"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</row>
    <row r="229"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</row>
    <row r="230"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</row>
    <row r="231"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</row>
    <row r="232"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</row>
    <row r="233"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</row>
    <row r="234"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</row>
    <row r="235"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</row>
    <row r="236"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</row>
    <row r="237"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</row>
    <row r="238"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</row>
    <row r="239"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</row>
    <row r="240"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</row>
    <row r="241"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</row>
    <row r="242"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</row>
    <row r="243"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</row>
    <row r="244"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</row>
    <row r="245"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</row>
    <row r="246"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</row>
    <row r="247"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</row>
    <row r="248"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</row>
    <row r="249"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</row>
    <row r="250"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</row>
    <row r="251"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</row>
    <row r="252"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</row>
    <row r="253"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</row>
    <row r="254"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</row>
    <row r="255"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</row>
    <row r="256"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</row>
    <row r="257"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</row>
    <row r="258"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</row>
    <row r="259"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</row>
    <row r="260"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</row>
    <row r="261"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</row>
    <row r="262"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</row>
    <row r="263"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</row>
    <row r="264"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</row>
    <row r="265"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</row>
    <row r="266"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</row>
    <row r="267"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</row>
    <row r="268"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</row>
    <row r="269"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</row>
    <row r="270"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</row>
    <row r="271"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</row>
    <row r="272"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</row>
    <row r="273"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</row>
    <row r="274"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</row>
    <row r="275"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</row>
    <row r="276"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</row>
    <row r="277"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</row>
    <row r="278"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</row>
    <row r="279"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</row>
    <row r="280"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</row>
    <row r="281"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</row>
    <row r="282"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</row>
    <row r="283"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</row>
    <row r="284"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</row>
    <row r="285"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</row>
    <row r="286"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</row>
    <row r="287"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</row>
    <row r="288"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</row>
    <row r="289"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</row>
    <row r="290"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</row>
    <row r="291"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</row>
    <row r="292"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</row>
    <row r="293"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</row>
    <row r="294"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</row>
    <row r="295"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</row>
    <row r="296"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</row>
    <row r="297"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</row>
    <row r="298"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</row>
    <row r="299"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</row>
    <row r="300"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</row>
    <row r="301"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</row>
    <row r="302"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</row>
    <row r="303"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</row>
    <row r="304"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</row>
    <row r="305"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</row>
    <row r="306"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</row>
    <row r="307"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</row>
    <row r="308"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</row>
    <row r="309"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</row>
    <row r="310"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</row>
    <row r="311"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</row>
    <row r="312"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</row>
    <row r="313"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</row>
    <row r="314"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</row>
    <row r="315"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</row>
    <row r="316"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</row>
    <row r="317"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</row>
    <row r="318"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</row>
    <row r="319"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</row>
    <row r="320"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</row>
    <row r="321"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</row>
    <row r="322"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</row>
    <row r="323"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</row>
    <row r="324"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</row>
    <row r="325"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</row>
    <row r="326"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</row>
    <row r="327"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</row>
    <row r="328"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</row>
    <row r="329"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</row>
    <row r="330"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</row>
    <row r="331"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</row>
    <row r="332"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</row>
    <row r="333"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</row>
    <row r="334"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</row>
    <row r="335"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</row>
    <row r="336"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</row>
    <row r="337"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</row>
    <row r="338"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</row>
    <row r="339"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</row>
    <row r="340"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</row>
    <row r="341"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</row>
    <row r="342"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</row>
    <row r="343"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</row>
    <row r="344"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</row>
    <row r="345"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</row>
    <row r="346"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</row>
    <row r="347"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</row>
    <row r="348"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</row>
    <row r="349"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</row>
    <row r="350"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</row>
    <row r="351"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</row>
    <row r="352"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</row>
    <row r="353"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</row>
    <row r="354"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</row>
    <row r="355"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</row>
    <row r="356"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</row>
    <row r="357"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</row>
    <row r="358"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</row>
    <row r="359"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</row>
    <row r="360"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</row>
    <row r="361"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</row>
    <row r="362"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</row>
    <row r="363"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</row>
    <row r="364"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</row>
    <row r="365"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</row>
    <row r="366"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</row>
    <row r="367"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</row>
    <row r="368"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</row>
    <row r="369"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</row>
    <row r="370"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</row>
    <row r="371"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</row>
    <row r="372"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</row>
    <row r="373"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</row>
    <row r="374"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</row>
    <row r="375"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</row>
    <row r="376"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</row>
    <row r="377"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</row>
    <row r="378"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</row>
    <row r="379"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</row>
    <row r="380"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</row>
    <row r="381"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</row>
    <row r="382"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</row>
    <row r="383"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</row>
    <row r="384"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</row>
    <row r="385"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</row>
    <row r="386"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</row>
    <row r="387"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</row>
    <row r="388"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</row>
    <row r="389"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</row>
    <row r="390"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</row>
    <row r="391"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</row>
    <row r="392"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</row>
    <row r="393"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</row>
    <row r="394"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</row>
    <row r="395"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</row>
    <row r="396"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</row>
    <row r="397"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</row>
    <row r="398"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</row>
    <row r="399"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</row>
    <row r="400"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</row>
    <row r="401"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</row>
    <row r="402"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</row>
    <row r="403"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</row>
    <row r="404"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</row>
    <row r="405"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</row>
    <row r="406"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</row>
    <row r="407"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</row>
    <row r="408"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</row>
    <row r="409"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</row>
    <row r="410"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</row>
    <row r="411"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</row>
    <row r="412"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</row>
    <row r="413"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</row>
    <row r="414"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</row>
    <row r="415"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</row>
    <row r="416"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</row>
    <row r="417"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</row>
    <row r="418"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</row>
    <row r="419"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</row>
    <row r="420"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</row>
    <row r="421"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</row>
    <row r="422"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</row>
    <row r="423"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</row>
    <row r="424"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</row>
    <row r="425"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</row>
    <row r="426"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</row>
    <row r="427"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</row>
    <row r="428"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</row>
    <row r="429"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</row>
    <row r="430"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</row>
    <row r="431"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</row>
    <row r="432"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</row>
    <row r="433"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</row>
    <row r="434"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</row>
    <row r="435"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</row>
    <row r="436"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</row>
    <row r="437"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</row>
    <row r="438"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</row>
    <row r="439"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</row>
    <row r="440"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</row>
    <row r="441"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</row>
    <row r="442"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</row>
    <row r="443"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</row>
    <row r="444"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</row>
    <row r="445"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</row>
    <row r="446"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</row>
    <row r="447"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</row>
    <row r="448"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</row>
    <row r="449"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</row>
    <row r="450"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</row>
    <row r="451"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</row>
    <row r="452"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</row>
    <row r="453"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</row>
    <row r="454"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</row>
    <row r="455"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</row>
    <row r="456"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</row>
    <row r="457"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</row>
    <row r="458"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</row>
    <row r="459"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</row>
    <row r="460"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</row>
    <row r="461"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</row>
    <row r="462"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</row>
    <row r="463"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</row>
    <row r="464"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</row>
    <row r="465"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</row>
    <row r="466"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</row>
    <row r="467"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</row>
    <row r="468"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</row>
    <row r="469"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</row>
    <row r="470"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</row>
    <row r="471"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</row>
    <row r="472"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</row>
    <row r="473"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</row>
    <row r="474"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</row>
    <row r="475"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</row>
    <row r="476"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</row>
    <row r="477"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</row>
    <row r="478"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</row>
    <row r="479"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</row>
    <row r="480"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</row>
    <row r="481"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</row>
    <row r="482"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</row>
    <row r="483"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</row>
    <row r="484"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</row>
    <row r="485"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</row>
    <row r="486"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</row>
    <row r="487"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</row>
    <row r="488"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</row>
    <row r="489"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</row>
    <row r="490"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</row>
    <row r="491"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</row>
    <row r="492"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</row>
    <row r="493"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</row>
    <row r="494"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</row>
    <row r="495"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</row>
    <row r="496"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</row>
    <row r="497"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</row>
    <row r="498"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</row>
    <row r="499"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</row>
    <row r="500"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</row>
    <row r="501"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</row>
    <row r="502"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</row>
    <row r="503"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</row>
    <row r="504"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</row>
    <row r="505"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</row>
    <row r="506"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</row>
    <row r="507"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</row>
    <row r="508"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</row>
    <row r="509"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</row>
    <row r="510"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</row>
    <row r="511"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</row>
    <row r="512"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</row>
    <row r="513"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</row>
    <row r="514"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</row>
    <row r="515"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</row>
    <row r="516"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</row>
    <row r="517"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</row>
    <row r="518"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</row>
    <row r="519"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</row>
    <row r="520"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</row>
    <row r="521"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</row>
    <row r="522"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</row>
    <row r="523"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</row>
    <row r="524"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</row>
    <row r="525"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</row>
    <row r="526"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</row>
    <row r="527"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</row>
    <row r="528"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</row>
    <row r="529"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</row>
    <row r="530"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</row>
    <row r="531"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</row>
    <row r="532"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</row>
    <row r="533"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</row>
    <row r="534"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</row>
    <row r="535"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</row>
    <row r="536"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</row>
    <row r="537"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</row>
    <row r="538"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</row>
    <row r="539"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</row>
    <row r="540"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</row>
    <row r="541"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</row>
    <row r="542"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</row>
    <row r="543"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</row>
    <row r="544"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</row>
    <row r="545"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</row>
    <row r="546"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</row>
    <row r="547"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</row>
    <row r="548"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</row>
    <row r="549"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</row>
    <row r="550"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</row>
    <row r="551"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</row>
    <row r="552"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</row>
    <row r="553"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</row>
    <row r="554"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</row>
    <row r="555"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</row>
    <row r="556"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</row>
    <row r="557"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</row>
    <row r="558"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</row>
    <row r="559"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</row>
    <row r="560"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</row>
    <row r="561"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</row>
    <row r="562"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</row>
    <row r="563"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</row>
    <row r="564"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</row>
    <row r="565"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</row>
    <row r="566"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</row>
    <row r="567"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</row>
    <row r="568"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</row>
    <row r="569"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</row>
    <row r="570"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</row>
    <row r="571"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</row>
    <row r="572"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</row>
    <row r="573"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</row>
    <row r="574"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</row>
    <row r="575"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</row>
    <row r="576"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</row>
    <row r="577"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</row>
    <row r="578"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</row>
    <row r="579"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</row>
    <row r="580"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</row>
    <row r="581"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</row>
    <row r="582"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</row>
    <row r="583"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</row>
    <row r="584"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</row>
    <row r="585"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</row>
    <row r="586"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</row>
    <row r="587"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</row>
    <row r="588"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</row>
    <row r="589"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</row>
    <row r="590"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</row>
    <row r="591"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</row>
    <row r="592"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</row>
    <row r="593"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</row>
    <row r="594"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</row>
    <row r="595"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</row>
    <row r="596"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</row>
    <row r="597"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</row>
    <row r="598"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</row>
    <row r="599"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</row>
    <row r="600"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</row>
    <row r="601"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</row>
    <row r="602"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</row>
    <row r="603"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</row>
    <row r="604"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</row>
    <row r="605"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</row>
    <row r="606"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</row>
    <row r="607"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</row>
    <row r="608"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</row>
    <row r="609"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</row>
    <row r="610"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</row>
    <row r="611"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</row>
    <row r="612"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</row>
    <row r="613"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</row>
    <row r="614"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</row>
    <row r="615"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</row>
    <row r="616"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</row>
    <row r="617"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</row>
    <row r="618"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</row>
    <row r="619"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</row>
    <row r="620"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</row>
    <row r="621"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</row>
    <row r="622"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</row>
    <row r="623"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</row>
    <row r="624"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</row>
    <row r="625"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</row>
    <row r="626"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</row>
    <row r="627"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</row>
    <row r="628"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</row>
    <row r="629"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</row>
    <row r="630"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</row>
    <row r="631"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</row>
    <row r="632"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</row>
    <row r="633"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</row>
    <row r="634"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</row>
    <row r="635"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</row>
    <row r="636"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</row>
    <row r="637"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</row>
    <row r="638"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</row>
    <row r="639"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</row>
    <row r="640"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</row>
    <row r="641"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</row>
    <row r="642"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</row>
    <row r="643"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</row>
    <row r="644"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</row>
    <row r="645"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</row>
    <row r="646"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</row>
    <row r="647"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</row>
    <row r="648"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</row>
    <row r="649"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</row>
    <row r="650"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</row>
    <row r="651"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</row>
    <row r="652"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</row>
    <row r="653"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</row>
    <row r="654"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</row>
    <row r="655"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</row>
    <row r="656"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</row>
    <row r="657"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</row>
    <row r="658"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</row>
    <row r="659"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</row>
    <row r="660"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</row>
    <row r="661"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</row>
    <row r="662"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</row>
    <row r="663"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</row>
    <row r="664"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</row>
    <row r="665"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</row>
    <row r="666"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</row>
    <row r="667"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</row>
    <row r="668"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</row>
    <row r="669"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</row>
    <row r="670"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</row>
    <row r="671"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</row>
    <row r="672"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</row>
    <row r="673"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</row>
    <row r="674"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</row>
    <row r="675"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</row>
    <row r="676"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</row>
    <row r="677"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</row>
    <row r="678"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</row>
    <row r="679"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</row>
    <row r="680"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</row>
    <row r="681"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</row>
    <row r="682"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</row>
    <row r="683"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</row>
    <row r="684"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</row>
    <row r="685"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</row>
    <row r="686"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</row>
    <row r="687"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</row>
    <row r="688"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</row>
    <row r="689"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</row>
    <row r="690"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</row>
    <row r="691"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</row>
    <row r="692"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</row>
    <row r="693"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</row>
    <row r="694"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</row>
    <row r="695"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</row>
    <row r="696"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</row>
    <row r="697"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</row>
    <row r="698"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</row>
    <row r="699"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</row>
    <row r="700"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</row>
    <row r="701"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</row>
    <row r="702"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</row>
    <row r="703"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</row>
    <row r="704"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</row>
    <row r="705"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</row>
    <row r="706"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</row>
    <row r="707"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</row>
    <row r="708"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</row>
    <row r="709"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</row>
    <row r="710"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</row>
    <row r="711"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</row>
    <row r="712"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</row>
    <row r="713"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</row>
    <row r="714"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</row>
    <row r="715"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</row>
    <row r="716"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</row>
    <row r="717"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</row>
    <row r="718"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</row>
    <row r="719"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</row>
    <row r="720"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</row>
    <row r="721"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</row>
    <row r="722"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</row>
    <row r="723"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</row>
    <row r="724"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</row>
    <row r="725"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</row>
    <row r="726"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</row>
    <row r="727"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</row>
    <row r="728"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</row>
    <row r="729"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</row>
    <row r="730"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</row>
    <row r="731"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</row>
    <row r="732"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</row>
    <row r="733"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</row>
    <row r="734"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</row>
    <row r="735"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</row>
    <row r="736"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</row>
    <row r="737"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</row>
    <row r="738"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</row>
    <row r="739"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</row>
    <row r="740"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</row>
    <row r="741"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</row>
    <row r="742"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</row>
    <row r="743"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</row>
    <row r="744"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</row>
    <row r="745"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</row>
    <row r="746"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</row>
    <row r="747"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</row>
    <row r="748"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</row>
    <row r="749"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</row>
    <row r="750"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</row>
    <row r="751"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</row>
    <row r="752"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</row>
    <row r="753"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</row>
    <row r="754"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</row>
    <row r="755"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</row>
    <row r="756"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</row>
    <row r="757"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</row>
    <row r="758"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</row>
    <row r="759"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</row>
    <row r="760"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</row>
    <row r="761"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</row>
    <row r="762"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</row>
    <row r="763"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</row>
    <row r="764"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</row>
    <row r="765"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</row>
    <row r="766"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</row>
    <row r="767"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</row>
    <row r="768"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</row>
    <row r="769"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</row>
    <row r="770"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</row>
    <row r="771"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</row>
    <row r="772"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</row>
    <row r="773"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</row>
    <row r="774"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</row>
    <row r="775"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</row>
    <row r="776"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</row>
    <row r="777"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</row>
    <row r="778"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</row>
    <row r="779"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</row>
    <row r="780"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</row>
    <row r="781"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</row>
    <row r="782"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</row>
    <row r="783"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</row>
    <row r="784"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</row>
    <row r="785"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</row>
    <row r="786"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</row>
    <row r="787"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</row>
    <row r="788"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</row>
    <row r="789"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</row>
    <row r="790"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</row>
    <row r="791"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</row>
    <row r="792"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</row>
    <row r="793"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</row>
    <row r="794"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</row>
    <row r="795"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</row>
    <row r="796"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</row>
    <row r="797"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</row>
    <row r="798"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</row>
    <row r="799"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</row>
    <row r="800"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</row>
    <row r="801"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</row>
    <row r="802"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</row>
    <row r="803"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</row>
    <row r="804"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</row>
    <row r="805"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</row>
    <row r="806"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</row>
    <row r="807"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</row>
    <row r="808"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</row>
    <row r="809"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</row>
    <row r="810"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</row>
    <row r="811"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</row>
    <row r="812"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</row>
    <row r="813"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</row>
    <row r="814"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</row>
    <row r="815"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</row>
    <row r="816"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</row>
    <row r="817"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</row>
    <row r="818"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</row>
    <row r="819"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</row>
    <row r="820"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</row>
    <row r="821"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</row>
    <row r="822"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</row>
    <row r="823"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</row>
    <row r="824"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</row>
    <row r="825"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</row>
    <row r="826"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</row>
    <row r="827"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</row>
    <row r="828"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</row>
    <row r="829"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</row>
    <row r="830"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</row>
    <row r="831"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</row>
    <row r="832"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</row>
    <row r="833"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</row>
    <row r="834"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</row>
    <row r="835"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</row>
    <row r="836"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</row>
    <row r="837"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</row>
    <row r="838"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</row>
    <row r="839"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</row>
    <row r="840"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</row>
    <row r="841"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</row>
    <row r="842"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</row>
    <row r="843"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</row>
    <row r="844"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</row>
    <row r="845"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</row>
    <row r="846"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</row>
    <row r="847"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</row>
    <row r="848"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</row>
    <row r="849"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</row>
    <row r="850"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</row>
    <row r="851"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</row>
    <row r="852"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</row>
    <row r="853"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</row>
    <row r="854"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</row>
    <row r="855"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</row>
    <row r="856"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</row>
    <row r="857"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</row>
    <row r="858"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</row>
    <row r="859"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</row>
    <row r="860"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</row>
    <row r="861"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</row>
    <row r="862"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</row>
    <row r="863"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</row>
    <row r="864"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</row>
    <row r="865"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</row>
    <row r="866"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</row>
    <row r="867"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</row>
    <row r="868"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</row>
    <row r="869"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</row>
    <row r="870"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</row>
    <row r="871"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</row>
    <row r="872"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</row>
    <row r="873"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</row>
    <row r="874"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</row>
    <row r="875"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</row>
    <row r="876"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</row>
    <row r="877"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</row>
    <row r="878"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</row>
    <row r="879"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</row>
    <row r="880"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</row>
    <row r="881"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</row>
    <row r="882"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</row>
    <row r="883"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</row>
    <row r="884"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</row>
    <row r="885"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</row>
    <row r="886"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</row>
    <row r="887"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</row>
    <row r="888"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</row>
    <row r="889"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</row>
    <row r="890"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</row>
    <row r="891"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</row>
    <row r="892"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</row>
    <row r="893"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</row>
    <row r="894"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</row>
    <row r="895"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</row>
    <row r="896"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</row>
    <row r="897"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</row>
    <row r="898"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</row>
    <row r="899"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</row>
    <row r="900"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</row>
    <row r="901"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</row>
    <row r="902"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</row>
    <row r="903"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</row>
    <row r="904"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</row>
    <row r="905"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</row>
    <row r="906"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</row>
    <row r="907"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</row>
    <row r="908"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</row>
    <row r="909"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</row>
    <row r="910"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</row>
    <row r="911"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</row>
    <row r="912"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</row>
    <row r="913"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</row>
    <row r="914"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</row>
    <row r="915"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</row>
    <row r="916"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</row>
    <row r="917"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</row>
    <row r="918"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</row>
    <row r="919"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</row>
    <row r="920"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</row>
    <row r="921"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</row>
    <row r="922"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</row>
    <row r="923"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</row>
    <row r="924"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</row>
    <row r="925"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</row>
    <row r="926"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</row>
    <row r="927"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</row>
    <row r="928"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</row>
    <row r="929"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</row>
    <row r="930"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</row>
    <row r="931"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</row>
    <row r="932"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</row>
    <row r="933"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</row>
    <row r="934"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</row>
    <row r="935"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</row>
    <row r="936"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</row>
    <row r="937"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</row>
    <row r="938"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</row>
    <row r="939"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</row>
    <row r="940"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</row>
    <row r="941"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</row>
    <row r="942"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</row>
    <row r="943"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</row>
    <row r="944"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</row>
    <row r="945"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</row>
    <row r="946"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</row>
    <row r="947"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</row>
    <row r="948"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</row>
    <row r="949"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</row>
    <row r="950"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</row>
    <row r="951"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</row>
    <row r="952"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</row>
    <row r="953"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</row>
    <row r="954"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</row>
    <row r="955"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</row>
    <row r="956"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</row>
    <row r="957"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</row>
    <row r="958"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</row>
    <row r="959"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</row>
    <row r="960"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</row>
    <row r="961"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</row>
    <row r="962"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</row>
    <row r="963"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</row>
    <row r="964"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</row>
    <row r="965"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</row>
    <row r="966"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</row>
    <row r="967"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</row>
    <row r="968"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</row>
    <row r="969"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</row>
    <row r="970"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">
      <formula1>"Previous Week,Current Week"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69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Week",$B$11:$Z$52,match("SALES",$B$11:$Z$11,0),FALSE)</f>
        <v>-1.105031845</v>
      </c>
      <c r="D4" s="116"/>
      <c r="E4" s="116"/>
      <c r="F4" s="161">
        <f>VLOOKUP("Current Week",$B$11:$Z$52,match("Units Sold",$B$11:$Z$11,0),FALSE)</f>
        <v>10</v>
      </c>
      <c r="G4" s="10"/>
      <c r="H4" s="8"/>
      <c r="I4" s="125"/>
      <c r="J4" s="161">
        <f>VLOOKUP("Current Week",$B$11:$Z$52,match("Ordered Items",$B$11:$Z$11,0),FALSE)</f>
        <v>10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Week",$B$11:$Z$56,match("SALES",$B$11:$Z$11,0),FALSE)))/C4</f>
        <v>1</v>
      </c>
      <c r="D5" s="116"/>
      <c r="E5" s="116"/>
      <c r="F5" s="165">
        <f>(F4-(VLOOKUP("Previous Week",$B$11:$Z$66,match("Units Sold",$B$11:$Z$11,0),FALSE)))/F4</f>
        <v>-1</v>
      </c>
      <c r="G5" s="10"/>
      <c r="H5" s="10"/>
      <c r="I5" s="8"/>
      <c r="J5" s="165">
        <f>(J4-(VLOOKUP("Previous Week",$B$11:$Z$66,match("Ordered Items",$B$11:$Z$11,0),FALSE)))/J4</f>
        <v>-0.6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Week",$B$11:$Z$52,match("AD SALES",$B$11:$Z$11,0),FALSE)</f>
        <v>#N/A</v>
      </c>
      <c r="D8" s="116"/>
      <c r="E8" s="116"/>
      <c r="F8" s="167" t="str">
        <f>VLOOKUP("Current Week",$B$11:$Z$52,match("SP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Week",$B$11:$Z$66,match("AD SALES",$B$11:$Z$11,0),FALSE)))/C8</f>
        <v>#N/A</v>
      </c>
      <c r="D9" s="116"/>
      <c r="E9" s="116"/>
      <c r="F9" s="170" t="str">
        <f>(F8-(VLOOKUP("Previous Week",$B$11:$Z$66,match("SP AD SPEND",$B$11:$Z$11,0),FALSE)))/F8</f>
        <v>#N/A</v>
      </c>
      <c r="I9" s="35"/>
      <c r="J9" s="170" t="str">
        <f>(J8-(VLOOKUP("Previous Week",$B$11:$Z$66,match("ACOS",$B$11:$Z$11,0),FALSE)))/J8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62</v>
      </c>
      <c r="D11" s="52" t="s">
        <v>63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outlineLevel="1">
      <c r="A13" s="101" t="str">
        <f>iferror(if(B13&gt;0,month(B13)&amp;"-"&amp;year(B13),B13),)</f>
        <v>12-2025</v>
      </c>
      <c r="B13" s="74">
        <v>46019.0</v>
      </c>
      <c r="C13" s="75" t="s">
        <v>64</v>
      </c>
      <c r="D13" s="93">
        <v>1724.74</v>
      </c>
      <c r="E13" s="150">
        <v>15.0</v>
      </c>
      <c r="F13" s="150">
        <v>12.0</v>
      </c>
      <c r="G13" s="78">
        <f t="shared" ref="G13:G52" si="1">E13/F13</f>
        <v>1.25</v>
      </c>
      <c r="H13" s="79">
        <f t="shared" ref="H13:H52" si="2">D13/E13</f>
        <v>114.9826667</v>
      </c>
      <c r="I13" s="79">
        <f t="shared" ref="I13:I52" si="3">H13/G13</f>
        <v>91.98613333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outlineLevel="1">
      <c r="A14" s="116"/>
      <c r="B14" s="126"/>
      <c r="C14" s="75" t="s">
        <v>65</v>
      </c>
      <c r="D14" s="202">
        <v>521.25</v>
      </c>
      <c r="E14" s="150">
        <v>7.0</v>
      </c>
      <c r="F14" s="150">
        <v>5.0</v>
      </c>
      <c r="G14" s="78">
        <f t="shared" si="1"/>
        <v>1.4</v>
      </c>
      <c r="H14" s="79">
        <f t="shared" si="2"/>
        <v>74.46428571</v>
      </c>
      <c r="I14" s="79">
        <f t="shared" si="3"/>
        <v>53.18877551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outlineLevel="1">
      <c r="A15" s="116" t="str">
        <f t="shared" ref="A15:A18" si="4">iferror(if(B15&gt;0,month(B15)&amp;"-"&amp;year(B15),B15),)</f>
        <v/>
      </c>
      <c r="B15" s="126"/>
      <c r="C15" s="75" t="s">
        <v>66</v>
      </c>
      <c r="D15" s="202">
        <v>19.0</v>
      </c>
      <c r="E15" s="150">
        <v>1.0</v>
      </c>
      <c r="F15" s="150">
        <v>1.0</v>
      </c>
      <c r="G15" s="78">
        <f t="shared" si="1"/>
        <v>1</v>
      </c>
      <c r="H15" s="79">
        <f t="shared" si="2"/>
        <v>19</v>
      </c>
      <c r="I15" s="79">
        <f t="shared" si="3"/>
        <v>19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outlineLevel="1">
      <c r="A16" s="101" t="str">
        <f t="shared" si="4"/>
        <v>1-2026</v>
      </c>
      <c r="B16" s="143">
        <v>46025.0</v>
      </c>
      <c r="C16" s="75" t="s">
        <v>67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outlineLevel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2264.99</v>
      </c>
      <c r="E17" s="105">
        <f t="shared" si="5"/>
        <v>23</v>
      </c>
      <c r="F17" s="105">
        <f t="shared" si="5"/>
        <v>18</v>
      </c>
      <c r="G17" s="106">
        <f t="shared" si="1"/>
        <v>1.277777778</v>
      </c>
      <c r="H17" s="107">
        <f t="shared" si="2"/>
        <v>98.47782609</v>
      </c>
      <c r="I17" s="107">
        <f t="shared" si="3"/>
        <v>77.06960302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outlineLevel="1">
      <c r="A18" s="101" t="str">
        <f t="shared" si="4"/>
        <v>1-2026</v>
      </c>
      <c r="B18" s="74">
        <v>46026.0</v>
      </c>
      <c r="C18" s="75" t="s">
        <v>64</v>
      </c>
      <c r="D18" s="93">
        <v>1821.45</v>
      </c>
      <c r="E18" s="150">
        <v>11.0</v>
      </c>
      <c r="F18" s="150">
        <v>11.0</v>
      </c>
      <c r="G18" s="78">
        <f t="shared" si="1"/>
        <v>1</v>
      </c>
      <c r="H18" s="79">
        <f t="shared" si="2"/>
        <v>165.5863636</v>
      </c>
      <c r="I18" s="79">
        <f t="shared" si="3"/>
        <v>165.5863636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outlineLevel="1">
      <c r="A19" s="116"/>
      <c r="B19" s="126"/>
      <c r="C19" s="75" t="s">
        <v>65</v>
      </c>
      <c r="D19" s="202">
        <v>1649.5</v>
      </c>
      <c r="E19" s="150">
        <v>11.0</v>
      </c>
      <c r="F19" s="150">
        <v>8.0</v>
      </c>
      <c r="G19" s="78">
        <f t="shared" si="1"/>
        <v>1.375</v>
      </c>
      <c r="H19" s="79">
        <f t="shared" si="2"/>
        <v>149.9545455</v>
      </c>
      <c r="I19" s="79">
        <f t="shared" si="3"/>
        <v>109.0578512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outlineLevel="1">
      <c r="A20" s="116" t="str">
        <f t="shared" ref="A20:A23" si="8">iferror(if(B20&gt;0,month(B20)&amp;"-"&amp;year(B20),B20),)</f>
        <v/>
      </c>
      <c r="B20" s="126"/>
      <c r="C20" s="75" t="s">
        <v>66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outlineLevel="1">
      <c r="A21" s="101" t="str">
        <f t="shared" si="8"/>
        <v>1-2026</v>
      </c>
      <c r="B21" s="74">
        <v>46032.0</v>
      </c>
      <c r="C21" s="75" t="s">
        <v>67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outlineLevel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3470.95</v>
      </c>
      <c r="E22" s="105">
        <f t="shared" si="9"/>
        <v>22</v>
      </c>
      <c r="F22" s="105">
        <f t="shared" si="9"/>
        <v>19</v>
      </c>
      <c r="G22" s="106">
        <f t="shared" si="1"/>
        <v>1.157894737</v>
      </c>
      <c r="H22" s="107">
        <f t="shared" si="2"/>
        <v>157.7704545</v>
      </c>
      <c r="I22" s="107">
        <f t="shared" si="3"/>
        <v>136.2563017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outlineLevel="1">
      <c r="A23" s="101" t="str">
        <f t="shared" si="8"/>
        <v>1-2026</v>
      </c>
      <c r="B23" s="74">
        <v>46033.0</v>
      </c>
      <c r="C23" s="75" t="s">
        <v>64</v>
      </c>
      <c r="D23" s="93">
        <v>1038.69</v>
      </c>
      <c r="E23" s="150">
        <v>13.0</v>
      </c>
      <c r="F23" s="150">
        <v>12.0</v>
      </c>
      <c r="G23" s="78">
        <f t="shared" si="1"/>
        <v>1.083333333</v>
      </c>
      <c r="H23" s="79">
        <f t="shared" si="2"/>
        <v>79.89923077</v>
      </c>
      <c r="I23" s="79">
        <f t="shared" si="3"/>
        <v>73.75313609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outlineLevel="1">
      <c r="A24" s="116"/>
      <c r="B24" s="126"/>
      <c r="C24" s="75" t="s">
        <v>65</v>
      </c>
      <c r="D24" s="202">
        <v>2335.43</v>
      </c>
      <c r="E24" s="150">
        <v>9.0</v>
      </c>
      <c r="F24" s="150">
        <v>9.0</v>
      </c>
      <c r="G24" s="78">
        <f t="shared" si="1"/>
        <v>1</v>
      </c>
      <c r="H24" s="79">
        <f t="shared" si="2"/>
        <v>259.4922222</v>
      </c>
      <c r="I24" s="79">
        <f t="shared" si="3"/>
        <v>259.4922222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outlineLevel="1">
      <c r="A25" s="116" t="str">
        <f t="shared" ref="A25:A29" si="12">iferror(if(B25&gt;0,month(B25)&amp;"-"&amp;year(B25),B25),)</f>
        <v/>
      </c>
      <c r="B25" s="126"/>
      <c r="C25" s="75" t="s">
        <v>66</v>
      </c>
      <c r="D25" s="202">
        <v>310.0</v>
      </c>
      <c r="E25" s="150">
        <v>3.0</v>
      </c>
      <c r="F25" s="150">
        <v>3.0</v>
      </c>
      <c r="G25" s="78">
        <f t="shared" si="1"/>
        <v>1</v>
      </c>
      <c r="H25" s="79">
        <f t="shared" si="2"/>
        <v>103.3333333</v>
      </c>
      <c r="I25" s="79">
        <f t="shared" si="3"/>
        <v>103.3333333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outlineLevel="1">
      <c r="A26" s="101" t="str">
        <f t="shared" si="12"/>
        <v>1-2026</v>
      </c>
      <c r="B26" s="74">
        <v>46039.0</v>
      </c>
      <c r="C26" s="75" t="s">
        <v>67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outlineLevel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3684.12</v>
      </c>
      <c r="E27" s="105">
        <f t="shared" si="13"/>
        <v>25</v>
      </c>
      <c r="F27" s="105">
        <f t="shared" si="13"/>
        <v>24</v>
      </c>
      <c r="G27" s="106">
        <f t="shared" si="1"/>
        <v>1.041666667</v>
      </c>
      <c r="H27" s="107">
        <f t="shared" si="2"/>
        <v>147.3648</v>
      </c>
      <c r="I27" s="107">
        <f t="shared" si="3"/>
        <v>141.470208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outlineLevel="1">
      <c r="A28" s="101" t="str">
        <f t="shared" si="12"/>
        <v>1-2026</v>
      </c>
      <c r="B28" s="74">
        <v>46040.0</v>
      </c>
      <c r="C28" s="75" t="s">
        <v>64</v>
      </c>
      <c r="D28" s="93">
        <v>888.42</v>
      </c>
      <c r="E28" s="150">
        <v>7.0</v>
      </c>
      <c r="F28" s="150">
        <v>7.0</v>
      </c>
      <c r="G28" s="78">
        <f t="shared" si="1"/>
        <v>1</v>
      </c>
      <c r="H28" s="79">
        <f t="shared" si="2"/>
        <v>126.9171429</v>
      </c>
      <c r="I28" s="79">
        <f t="shared" si="3"/>
        <v>126.9171429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outlineLevel="1">
      <c r="A29" s="116" t="str">
        <f t="shared" si="12"/>
        <v/>
      </c>
      <c r="B29" s="126"/>
      <c r="C29" s="75" t="s">
        <v>65</v>
      </c>
      <c r="D29" s="202">
        <v>1550.66</v>
      </c>
      <c r="E29" s="150">
        <v>6.0</v>
      </c>
      <c r="F29" s="150">
        <v>5.0</v>
      </c>
      <c r="G29" s="78">
        <f t="shared" si="1"/>
        <v>1.2</v>
      </c>
      <c r="H29" s="79">
        <f t="shared" si="2"/>
        <v>258.4433333</v>
      </c>
      <c r="I29" s="79">
        <f t="shared" si="3"/>
        <v>215.3694444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outlineLevel="1">
      <c r="A30" s="116"/>
      <c r="B30" s="126"/>
      <c r="C30" s="75" t="s">
        <v>66</v>
      </c>
      <c r="D30" s="202">
        <v>129.0</v>
      </c>
      <c r="E30" s="150">
        <v>2.0</v>
      </c>
      <c r="F30" s="150">
        <v>2.0</v>
      </c>
      <c r="G30" s="78">
        <f t="shared" si="1"/>
        <v>1</v>
      </c>
      <c r="H30" s="79">
        <f t="shared" si="2"/>
        <v>64.5</v>
      </c>
      <c r="I30" s="79">
        <f t="shared" si="3"/>
        <v>64.5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67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>
      <c r="A32" s="116" t="str">
        <f t="shared" si="16"/>
        <v/>
      </c>
      <c r="B32" s="204" t="s">
        <v>58</v>
      </c>
      <c r="C32" s="185"/>
      <c r="D32" s="104">
        <f t="shared" ref="D32:F32" si="17">SUM(D28:D31)</f>
        <v>2568.08</v>
      </c>
      <c r="E32" s="105">
        <f t="shared" si="17"/>
        <v>15</v>
      </c>
      <c r="F32" s="105">
        <f t="shared" si="17"/>
        <v>14</v>
      </c>
      <c r="G32" s="106">
        <f t="shared" si="1"/>
        <v>1.071428571</v>
      </c>
      <c r="H32" s="107">
        <f t="shared" si="2"/>
        <v>171.2053333</v>
      </c>
      <c r="I32" s="107">
        <f t="shared" si="3"/>
        <v>159.7916444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outlineLevel="1">
      <c r="A33" s="101" t="str">
        <f t="shared" si="16"/>
        <v>1-2026</v>
      </c>
      <c r="B33" s="74">
        <v>46047.0</v>
      </c>
      <c r="C33" s="75" t="s">
        <v>64</v>
      </c>
      <c r="D33" s="93">
        <v>1240.78</v>
      </c>
      <c r="E33" s="150">
        <v>7.0</v>
      </c>
      <c r="F33" s="150">
        <v>7.0</v>
      </c>
      <c r="G33" s="78">
        <f t="shared" si="1"/>
        <v>1</v>
      </c>
      <c r="H33" s="79">
        <f t="shared" si="2"/>
        <v>177.2542857</v>
      </c>
      <c r="I33" s="79">
        <f t="shared" si="3"/>
        <v>177.2542857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outlineLevel="1">
      <c r="A34" s="116"/>
      <c r="B34" s="126"/>
      <c r="C34" s="75" t="s">
        <v>65</v>
      </c>
      <c r="D34" s="202">
        <v>1017.0</v>
      </c>
      <c r="E34" s="150">
        <v>4.0</v>
      </c>
      <c r="F34" s="150">
        <v>4.0</v>
      </c>
      <c r="G34" s="78">
        <f t="shared" si="1"/>
        <v>1</v>
      </c>
      <c r="H34" s="79">
        <f t="shared" si="2"/>
        <v>254.25</v>
      </c>
      <c r="I34" s="79">
        <f t="shared" si="3"/>
        <v>254.25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outlineLevel="1">
      <c r="A35" s="116" t="str">
        <f t="shared" ref="A35:A38" si="20">iferror(if(B35&gt;0,month(B35)&amp;"-"&amp;year(B35),B35),)</f>
        <v/>
      </c>
      <c r="B35" s="126"/>
      <c r="C35" s="75" t="s">
        <v>66</v>
      </c>
      <c r="D35" s="202">
        <v>109.0</v>
      </c>
      <c r="E35" s="150">
        <v>2.0</v>
      </c>
      <c r="F35" s="150">
        <v>2.0</v>
      </c>
      <c r="G35" s="78">
        <f t="shared" si="1"/>
        <v>1</v>
      </c>
      <c r="H35" s="79">
        <f t="shared" si="2"/>
        <v>54.5</v>
      </c>
      <c r="I35" s="79">
        <f t="shared" si="3"/>
        <v>54.5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outlineLevel="1">
      <c r="A36" s="101" t="str">
        <f t="shared" si="20"/>
        <v>1-2026</v>
      </c>
      <c r="B36" s="74">
        <v>46053.0</v>
      </c>
      <c r="C36" s="75" t="s">
        <v>67</v>
      </c>
      <c r="D36" s="203">
        <v>0.0</v>
      </c>
      <c r="E36" s="150">
        <v>0.0</v>
      </c>
      <c r="F36" s="150">
        <v>0.0</v>
      </c>
      <c r="G36" s="78" t="str">
        <f t="shared" si="1"/>
        <v>#DIV/0!</v>
      </c>
      <c r="H36" s="79" t="str">
        <f t="shared" si="2"/>
        <v>#DIV/0!</v>
      </c>
      <c r="I36" s="79" t="str">
        <f t="shared" si="3"/>
        <v>#DIV/0!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>
      <c r="A37" s="116" t="str">
        <f t="shared" si="20"/>
        <v/>
      </c>
      <c r="B37" s="204" t="s">
        <v>59</v>
      </c>
      <c r="C37" s="185"/>
      <c r="D37" s="104">
        <f t="shared" ref="D37:F37" si="21">SUM(D33:D36)</f>
        <v>2366.78</v>
      </c>
      <c r="E37" s="105">
        <f t="shared" si="21"/>
        <v>13</v>
      </c>
      <c r="F37" s="105">
        <f t="shared" si="21"/>
        <v>13</v>
      </c>
      <c r="G37" s="106">
        <f t="shared" si="1"/>
        <v>1</v>
      </c>
      <c r="H37" s="107">
        <f t="shared" si="2"/>
        <v>182.06</v>
      </c>
      <c r="I37" s="107">
        <f t="shared" si="3"/>
        <v>182.06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outlineLevel="1">
      <c r="A38" s="101" t="str">
        <f t="shared" si="20"/>
        <v>2-2026</v>
      </c>
      <c r="B38" s="74">
        <v>46054.0</v>
      </c>
      <c r="C38" s="117" t="s">
        <v>64</v>
      </c>
      <c r="D38" s="93">
        <v>1386.19</v>
      </c>
      <c r="E38" s="150">
        <v>7.0</v>
      </c>
      <c r="F38" s="150">
        <v>7.0</v>
      </c>
      <c r="G38" s="78">
        <f t="shared" si="1"/>
        <v>1</v>
      </c>
      <c r="H38" s="79">
        <f t="shared" si="2"/>
        <v>198.0271429</v>
      </c>
      <c r="I38" s="79">
        <f t="shared" si="3"/>
        <v>198.0271429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outlineLevel="1">
      <c r="A39" s="116"/>
      <c r="B39" s="126"/>
      <c r="C39" s="117" t="s">
        <v>65</v>
      </c>
      <c r="D39" s="202">
        <v>1709.43</v>
      </c>
      <c r="E39" s="150">
        <v>11.0</v>
      </c>
      <c r="F39" s="150">
        <v>8.0</v>
      </c>
      <c r="G39" s="78">
        <f t="shared" si="1"/>
        <v>1.375</v>
      </c>
      <c r="H39" s="79">
        <f t="shared" si="2"/>
        <v>155.4027273</v>
      </c>
      <c r="I39" s="79">
        <f t="shared" si="3"/>
        <v>113.0201653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outlineLevel="1">
      <c r="A40" s="116" t="str">
        <f t="shared" ref="A40:A43" si="24">iferror(if(B40&gt;0,month(B40)&amp;"-"&amp;year(B40),B40),)</f>
        <v/>
      </c>
      <c r="B40" s="126"/>
      <c r="C40" s="117" t="s">
        <v>66</v>
      </c>
      <c r="D40" s="202">
        <v>38.0</v>
      </c>
      <c r="E40" s="150">
        <v>2.0</v>
      </c>
      <c r="F40" s="150">
        <v>1.0</v>
      </c>
      <c r="G40" s="78">
        <f t="shared" si="1"/>
        <v>2</v>
      </c>
      <c r="H40" s="79">
        <f t="shared" si="2"/>
        <v>19</v>
      </c>
      <c r="I40" s="79">
        <f t="shared" si="3"/>
        <v>9.5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outlineLevel="1">
      <c r="A41" s="101" t="str">
        <f t="shared" si="24"/>
        <v>2-2026</v>
      </c>
      <c r="B41" s="74">
        <v>46060.0</v>
      </c>
      <c r="C41" s="75" t="s">
        <v>67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>
      <c r="A42" s="116" t="str">
        <f t="shared" si="24"/>
        <v/>
      </c>
      <c r="B42" s="214" t="s">
        <v>51</v>
      </c>
      <c r="C42" s="138"/>
      <c r="D42" s="104">
        <f t="shared" ref="D42:F42" si="25">SUM(D38:D41)</f>
        <v>3133.62</v>
      </c>
      <c r="E42" s="139">
        <f t="shared" si="25"/>
        <v>20</v>
      </c>
      <c r="F42" s="139">
        <f t="shared" si="25"/>
        <v>16</v>
      </c>
      <c r="G42" s="106">
        <f t="shared" si="1"/>
        <v>1.25</v>
      </c>
      <c r="H42" s="107">
        <f t="shared" si="2"/>
        <v>156.681</v>
      </c>
      <c r="I42" s="107">
        <f t="shared" si="3"/>
        <v>125.3448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>
      <c r="A43" s="101" t="str">
        <f t="shared" si="24"/>
        <v>2-2026</v>
      </c>
      <c r="B43" s="74">
        <v>46061.0</v>
      </c>
      <c r="C43" s="75" t="s">
        <v>64</v>
      </c>
      <c r="D43" s="93">
        <v>2072.58</v>
      </c>
      <c r="E43" s="150">
        <v>9.0</v>
      </c>
      <c r="F43" s="150">
        <v>9.0</v>
      </c>
      <c r="G43" s="78">
        <f t="shared" si="1"/>
        <v>1</v>
      </c>
      <c r="H43" s="79">
        <f t="shared" si="2"/>
        <v>230.2866667</v>
      </c>
      <c r="I43" s="79">
        <f t="shared" si="3"/>
        <v>230.2866667</v>
      </c>
      <c r="J43" s="195"/>
      <c r="K43" s="195"/>
      <c r="L43" s="195"/>
      <c r="M43" s="196"/>
      <c r="N43" s="197"/>
      <c r="O43" s="195"/>
      <c r="P43" s="198"/>
      <c r="Q43" s="199"/>
      <c r="R43" s="198"/>
      <c r="S43" s="198"/>
      <c r="T43" s="200"/>
      <c r="U43" s="201"/>
      <c r="V43" s="124"/>
      <c r="W43" s="124"/>
      <c r="X43" s="124"/>
      <c r="Y43" s="124"/>
      <c r="Z43" s="125"/>
    </row>
    <row r="44">
      <c r="A44" s="116"/>
      <c r="B44" s="126"/>
      <c r="C44" s="75" t="s">
        <v>65</v>
      </c>
      <c r="D44" s="202">
        <v>1118.5</v>
      </c>
      <c r="E44" s="150">
        <v>8.0</v>
      </c>
      <c r="F44" s="150">
        <v>7.0</v>
      </c>
      <c r="G44" s="78">
        <f t="shared" si="1"/>
        <v>1.142857143</v>
      </c>
      <c r="H44" s="79">
        <f t="shared" si="2"/>
        <v>139.8125</v>
      </c>
      <c r="I44" s="79">
        <f t="shared" si="3"/>
        <v>122.3359375</v>
      </c>
      <c r="J44" s="195"/>
      <c r="K44" s="195"/>
      <c r="L44" s="195"/>
      <c r="M44" s="196"/>
      <c r="N44" s="197"/>
      <c r="O44" s="195"/>
      <c r="P44" s="198"/>
      <c r="Q44" s="199"/>
      <c r="R44" s="198"/>
      <c r="S44" s="198"/>
      <c r="T44" s="200"/>
      <c r="U44" s="201"/>
      <c r="V44" s="124"/>
      <c r="W44" s="124"/>
      <c r="X44" s="124"/>
      <c r="Y44" s="124"/>
      <c r="Z44" s="125"/>
    </row>
    <row r="45">
      <c r="A45" s="116" t="str">
        <f t="shared" ref="A45:A48" si="28">iferror(if(B45&gt;0,month(B45)&amp;"-"&amp;year(B45),B45),)</f>
        <v/>
      </c>
      <c r="B45" s="126"/>
      <c r="C45" s="75" t="s">
        <v>66</v>
      </c>
      <c r="D45" s="202">
        <v>200.0</v>
      </c>
      <c r="E45" s="150">
        <v>2.0</v>
      </c>
      <c r="F45" s="150">
        <v>2.0</v>
      </c>
      <c r="G45" s="78">
        <f t="shared" si="1"/>
        <v>1</v>
      </c>
      <c r="H45" s="79">
        <f t="shared" si="2"/>
        <v>100</v>
      </c>
      <c r="I45" s="79">
        <f t="shared" si="3"/>
        <v>100</v>
      </c>
      <c r="J45" s="195"/>
      <c r="K45" s="195"/>
      <c r="L45" s="195"/>
      <c r="M45" s="196"/>
      <c r="N45" s="197"/>
      <c r="O45" s="195"/>
      <c r="P45" s="198"/>
      <c r="Q45" s="199"/>
      <c r="R45" s="198"/>
      <c r="S45" s="198"/>
      <c r="T45" s="200"/>
      <c r="U45" s="201"/>
      <c r="V45" s="124"/>
      <c r="W45" s="124"/>
      <c r="X45" s="124"/>
      <c r="Y45" s="124"/>
      <c r="Z45" s="125"/>
    </row>
    <row r="46">
      <c r="A46" s="101" t="str">
        <f t="shared" si="28"/>
        <v>2-2026</v>
      </c>
      <c r="B46" s="74">
        <v>46067.0</v>
      </c>
      <c r="C46" s="75" t="s">
        <v>67</v>
      </c>
      <c r="D46" s="203">
        <v>0.0</v>
      </c>
      <c r="E46" s="150">
        <v>0.0</v>
      </c>
      <c r="F46" s="150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5"/>
      <c r="K46" s="195"/>
      <c r="L46" s="195"/>
      <c r="M46" s="196"/>
      <c r="N46" s="197"/>
      <c r="O46" s="195"/>
      <c r="P46" s="198"/>
      <c r="Q46" s="199"/>
      <c r="R46" s="198"/>
      <c r="S46" s="198"/>
      <c r="T46" s="200"/>
      <c r="U46" s="201"/>
      <c r="V46" s="124"/>
      <c r="W46" s="124"/>
      <c r="X46" s="124"/>
      <c r="Y46" s="124"/>
      <c r="Z46" s="125"/>
    </row>
    <row r="47">
      <c r="A47" s="116" t="str">
        <f t="shared" si="28"/>
        <v/>
      </c>
      <c r="B47" s="103" t="s">
        <v>51</v>
      </c>
      <c r="C47" s="185"/>
      <c r="D47" s="104">
        <f t="shared" ref="D47:F47" si="29">SUM(D43:D46)</f>
        <v>3391.08</v>
      </c>
      <c r="E47" s="105">
        <f t="shared" si="29"/>
        <v>19</v>
      </c>
      <c r="F47" s="105">
        <f t="shared" si="29"/>
        <v>18</v>
      </c>
      <c r="G47" s="106">
        <f t="shared" si="1"/>
        <v>1.055555556</v>
      </c>
      <c r="H47" s="107">
        <f t="shared" si="2"/>
        <v>178.4778947</v>
      </c>
      <c r="I47" s="107">
        <f t="shared" si="3"/>
        <v>169.0843213</v>
      </c>
      <c r="J47" s="205"/>
      <c r="K47" s="205"/>
      <c r="L47" s="205"/>
      <c r="M47" s="206"/>
      <c r="N47" s="207"/>
      <c r="O47" s="205"/>
      <c r="P47" s="208"/>
      <c r="Q47" s="209"/>
      <c r="R47" s="208"/>
      <c r="S47" s="208"/>
      <c r="T47" s="210"/>
      <c r="U47" s="211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64</v>
      </c>
      <c r="D48" s="93">
        <v>486.26</v>
      </c>
      <c r="E48" s="150">
        <v>5.0</v>
      </c>
      <c r="F48" s="150">
        <v>5.0</v>
      </c>
      <c r="G48" s="78">
        <f t="shared" si="1"/>
        <v>1</v>
      </c>
      <c r="H48" s="79">
        <f t="shared" si="2"/>
        <v>97.252</v>
      </c>
      <c r="I48" s="79">
        <f t="shared" si="3"/>
        <v>97.252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65</v>
      </c>
      <c r="D49" s="202">
        <v>1124.68</v>
      </c>
      <c r="E49" s="150">
        <v>5.0</v>
      </c>
      <c r="F49" s="150">
        <v>5.0</v>
      </c>
      <c r="G49" s="78">
        <f t="shared" si="1"/>
        <v>1</v>
      </c>
      <c r="H49" s="79">
        <f t="shared" si="2"/>
        <v>224.936</v>
      </c>
      <c r="I49" s="79">
        <f t="shared" si="3"/>
        <v>224.936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2" si="32">iferror(if(B50&gt;0,month(B50)&amp;"-"&amp;year(B50),B50),)</f>
        <v/>
      </c>
      <c r="B50" s="126"/>
      <c r="C50" s="75" t="s">
        <v>66</v>
      </c>
      <c r="D50" s="202">
        <v>0.0</v>
      </c>
      <c r="E50" s="150">
        <v>0.0</v>
      </c>
      <c r="F50" s="150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67</v>
      </c>
      <c r="D51" s="203">
        <v>0.0</v>
      </c>
      <c r="E51" s="150">
        <v>0.0</v>
      </c>
      <c r="F51" s="150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214" t="s">
        <v>52</v>
      </c>
      <c r="C52" s="185"/>
      <c r="D52" s="104">
        <f t="shared" ref="D52:F52" si="33">SUM(D48:D51)</f>
        <v>1610.94</v>
      </c>
      <c r="E52" s="105">
        <f t="shared" si="33"/>
        <v>10</v>
      </c>
      <c r="F52" s="105">
        <f t="shared" si="33"/>
        <v>10</v>
      </c>
      <c r="G52" s="106">
        <f t="shared" si="1"/>
        <v>1</v>
      </c>
      <c r="H52" s="107">
        <f t="shared" si="2"/>
        <v>161.094</v>
      </c>
      <c r="I52" s="107">
        <f t="shared" si="3"/>
        <v>161.094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215">
        <f t="shared" ref="V52:W52" si="34">IFERROR((D52-D47)/D52,)</f>
        <v>-1.105031845</v>
      </c>
      <c r="W52" s="215">
        <f t="shared" si="34"/>
        <v>-0.9</v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16"/>
      <c r="B53" s="116"/>
      <c r="C53" s="116"/>
      <c r="D53" s="216"/>
      <c r="E53" s="116"/>
      <c r="F53" s="116"/>
      <c r="G53" s="217"/>
      <c r="H53" s="218"/>
      <c r="I53" s="218"/>
      <c r="J53" s="190"/>
      <c r="K53" s="190"/>
      <c r="L53" s="190"/>
      <c r="M53" s="191"/>
      <c r="N53" s="191"/>
      <c r="O53" s="190"/>
      <c r="P53" s="192"/>
      <c r="Q53" s="219"/>
      <c r="R53" s="192"/>
      <c r="S53" s="220"/>
      <c r="T53" s="179"/>
      <c r="U53" s="192"/>
      <c r="V53" s="221"/>
      <c r="W53" s="221"/>
      <c r="X53" s="221"/>
      <c r="Y53" s="221"/>
      <c r="Z53" s="116"/>
    </row>
    <row r="54">
      <c r="A54" s="116"/>
      <c r="B54" s="116"/>
      <c r="C54" s="116"/>
      <c r="D54" s="216"/>
      <c r="E54" s="116"/>
      <c r="F54" s="116"/>
      <c r="G54" s="217"/>
      <c r="H54" s="218"/>
      <c r="I54" s="218"/>
      <c r="J54" s="190"/>
      <c r="K54" s="190"/>
      <c r="L54" s="190"/>
      <c r="M54" s="191"/>
      <c r="N54" s="191"/>
      <c r="O54" s="190"/>
      <c r="P54" s="192"/>
      <c r="Q54" s="219"/>
      <c r="R54" s="192"/>
      <c r="S54" s="220"/>
      <c r="T54" s="179"/>
      <c r="U54" s="192"/>
      <c r="V54" s="221"/>
      <c r="W54" s="221"/>
      <c r="X54" s="221"/>
      <c r="Y54" s="221"/>
      <c r="Z54" s="116"/>
    </row>
    <row r="55">
      <c r="A55" s="116"/>
      <c r="B55" s="116"/>
      <c r="C55" s="116"/>
      <c r="D55" s="216"/>
      <c r="E55" s="116"/>
      <c r="F55" s="116"/>
      <c r="G55" s="217"/>
      <c r="H55" s="218"/>
      <c r="I55" s="218"/>
      <c r="J55" s="190"/>
      <c r="K55" s="190"/>
      <c r="L55" s="190"/>
      <c r="M55" s="191"/>
      <c r="N55" s="191"/>
      <c r="O55" s="190"/>
      <c r="P55" s="192"/>
      <c r="Q55" s="219"/>
      <c r="R55" s="192"/>
      <c r="S55" s="220"/>
      <c r="T55" s="179"/>
      <c r="U55" s="192"/>
      <c r="V55" s="221"/>
      <c r="W55" s="221"/>
      <c r="X55" s="221"/>
      <c r="Y55" s="221"/>
      <c r="Z55" s="116"/>
    </row>
    <row r="56">
      <c r="A56" s="116"/>
      <c r="B56" s="116"/>
      <c r="C56" s="116"/>
      <c r="D56" s="216"/>
      <c r="E56" s="116"/>
      <c r="F56" s="116"/>
      <c r="G56" s="217"/>
      <c r="H56" s="218"/>
      <c r="I56" s="218"/>
      <c r="J56" s="190"/>
      <c r="K56" s="190"/>
      <c r="L56" s="190"/>
      <c r="M56" s="191"/>
      <c r="N56" s="191"/>
      <c r="O56" s="190"/>
      <c r="P56" s="192"/>
      <c r="Q56" s="219"/>
      <c r="R56" s="192"/>
      <c r="S56" s="220"/>
      <c r="T56" s="179"/>
      <c r="U56" s="192"/>
      <c r="V56" s="221"/>
      <c r="W56" s="221"/>
      <c r="X56" s="221"/>
      <c r="Y56" s="221"/>
      <c r="Z56" s="116"/>
    </row>
    <row r="57">
      <c r="A57" s="116"/>
      <c r="B57" s="116"/>
      <c r="C57" s="116"/>
      <c r="D57" s="216"/>
      <c r="E57" s="116"/>
      <c r="F57" s="116"/>
      <c r="G57" s="217"/>
      <c r="H57" s="218"/>
      <c r="I57" s="218"/>
      <c r="J57" s="190"/>
      <c r="K57" s="190"/>
      <c r="L57" s="190"/>
      <c r="M57" s="191"/>
      <c r="N57" s="191"/>
      <c r="O57" s="190"/>
      <c r="P57" s="192"/>
      <c r="Q57" s="219"/>
      <c r="R57" s="192"/>
      <c r="S57" s="220"/>
      <c r="T57" s="179"/>
      <c r="U57" s="192"/>
      <c r="V57" s="221"/>
      <c r="W57" s="221"/>
      <c r="X57" s="221"/>
      <c r="Y57" s="221"/>
      <c r="Z57" s="116"/>
    </row>
    <row r="58">
      <c r="A58" s="116"/>
      <c r="B58" s="116"/>
      <c r="C58" s="116"/>
      <c r="D58" s="216"/>
      <c r="E58" s="116"/>
      <c r="F58" s="116"/>
      <c r="G58" s="217"/>
      <c r="H58" s="218"/>
      <c r="I58" s="218"/>
      <c r="J58" s="190"/>
      <c r="K58" s="190"/>
      <c r="L58" s="190"/>
      <c r="M58" s="191"/>
      <c r="N58" s="191"/>
      <c r="O58" s="190"/>
      <c r="P58" s="192"/>
      <c r="Q58" s="219"/>
      <c r="R58" s="192"/>
      <c r="S58" s="220"/>
      <c r="T58" s="179"/>
      <c r="U58" s="192"/>
      <c r="V58" s="221"/>
      <c r="W58" s="221"/>
      <c r="X58" s="221"/>
      <c r="Y58" s="221"/>
      <c r="Z58" s="116"/>
    </row>
    <row r="59">
      <c r="A59" s="116"/>
      <c r="B59" s="116"/>
      <c r="C59" s="116"/>
      <c r="D59" s="216"/>
      <c r="E59" s="116"/>
      <c r="F59" s="116"/>
      <c r="G59" s="217"/>
      <c r="H59" s="218"/>
      <c r="I59" s="218"/>
      <c r="J59" s="190"/>
      <c r="K59" s="190"/>
      <c r="L59" s="190"/>
      <c r="M59" s="191"/>
      <c r="N59" s="191"/>
      <c r="O59" s="190"/>
      <c r="P59" s="192"/>
      <c r="Q59" s="219"/>
      <c r="R59" s="192"/>
      <c r="S59" s="220"/>
      <c r="T59" s="179"/>
      <c r="U59" s="192"/>
      <c r="V59" s="221"/>
      <c r="W59" s="221"/>
      <c r="X59" s="221"/>
      <c r="Y59" s="221"/>
      <c r="Z59" s="116"/>
    </row>
    <row r="60">
      <c r="A60" s="116"/>
      <c r="B60" s="116"/>
      <c r="C60" s="116"/>
      <c r="D60" s="216"/>
      <c r="E60" s="116"/>
      <c r="F60" s="116"/>
      <c r="G60" s="217"/>
      <c r="H60" s="218"/>
      <c r="I60" s="218"/>
      <c r="J60" s="190"/>
      <c r="K60" s="190"/>
      <c r="L60" s="190"/>
      <c r="M60" s="191"/>
      <c r="N60" s="191"/>
      <c r="O60" s="190"/>
      <c r="P60" s="192"/>
      <c r="Q60" s="219"/>
      <c r="R60" s="192"/>
      <c r="S60" s="220"/>
      <c r="T60" s="179"/>
      <c r="U60" s="192"/>
      <c r="V60" s="221"/>
      <c r="W60" s="221"/>
      <c r="X60" s="221"/>
      <c r="Y60" s="221"/>
      <c r="Z60" s="116"/>
    </row>
    <row r="61">
      <c r="A61" s="116"/>
      <c r="B61" s="116"/>
      <c r="C61" s="116"/>
      <c r="D61" s="216"/>
      <c r="E61" s="116"/>
      <c r="F61" s="116"/>
      <c r="G61" s="217"/>
      <c r="H61" s="218"/>
      <c r="I61" s="218"/>
      <c r="J61" s="190"/>
      <c r="K61" s="190"/>
      <c r="L61" s="190"/>
      <c r="M61" s="191"/>
      <c r="N61" s="191"/>
      <c r="O61" s="190"/>
      <c r="P61" s="192"/>
      <c r="Q61" s="219"/>
      <c r="R61" s="192"/>
      <c r="S61" s="220"/>
      <c r="T61" s="179"/>
      <c r="U61" s="192"/>
      <c r="V61" s="221"/>
      <c r="W61" s="221"/>
      <c r="X61" s="221"/>
      <c r="Y61" s="221"/>
      <c r="Z61" s="116"/>
    </row>
    <row r="62">
      <c r="A62" s="116"/>
      <c r="B62" s="116"/>
      <c r="C62" s="116"/>
      <c r="D62" s="216"/>
      <c r="E62" s="116"/>
      <c r="F62" s="116"/>
      <c r="G62" s="217"/>
      <c r="H62" s="218"/>
      <c r="I62" s="218"/>
      <c r="J62" s="190"/>
      <c r="K62" s="190"/>
      <c r="L62" s="190"/>
      <c r="M62" s="191"/>
      <c r="N62" s="191"/>
      <c r="O62" s="190"/>
      <c r="P62" s="192"/>
      <c r="Q62" s="219"/>
      <c r="R62" s="192"/>
      <c r="S62" s="220"/>
      <c r="T62" s="179"/>
      <c r="U62" s="192"/>
      <c r="V62" s="221"/>
      <c r="W62" s="221"/>
      <c r="X62" s="221"/>
      <c r="Y62" s="221"/>
      <c r="Z62" s="116"/>
    </row>
    <row r="63">
      <c r="A63" s="116"/>
      <c r="B63" s="116"/>
      <c r="C63" s="116"/>
      <c r="D63" s="216"/>
      <c r="E63" s="116"/>
      <c r="F63" s="116"/>
      <c r="G63" s="217"/>
      <c r="H63" s="218"/>
      <c r="I63" s="218"/>
      <c r="J63" s="190"/>
      <c r="K63" s="190"/>
      <c r="L63" s="190"/>
      <c r="M63" s="191"/>
      <c r="N63" s="191"/>
      <c r="O63" s="190"/>
      <c r="P63" s="192"/>
      <c r="Q63" s="219"/>
      <c r="R63" s="192"/>
      <c r="S63" s="220"/>
      <c r="T63" s="179"/>
      <c r="U63" s="192"/>
      <c r="V63" s="221"/>
      <c r="W63" s="221"/>
      <c r="X63" s="221"/>
      <c r="Y63" s="221"/>
      <c r="Z63" s="116"/>
    </row>
    <row r="64">
      <c r="A64" s="116"/>
      <c r="B64" s="116"/>
      <c r="C64" s="116"/>
      <c r="D64" s="216"/>
      <c r="E64" s="116"/>
      <c r="F64" s="116"/>
      <c r="G64" s="217"/>
      <c r="H64" s="218"/>
      <c r="I64" s="218"/>
      <c r="J64" s="190"/>
      <c r="K64" s="190"/>
      <c r="L64" s="190"/>
      <c r="M64" s="191"/>
      <c r="N64" s="191"/>
      <c r="O64" s="190"/>
      <c r="P64" s="192"/>
      <c r="Q64" s="219"/>
      <c r="R64" s="192"/>
      <c r="S64" s="220"/>
      <c r="T64" s="179"/>
      <c r="U64" s="192"/>
      <c r="V64" s="221"/>
      <c r="W64" s="221"/>
      <c r="X64" s="221"/>
      <c r="Y64" s="221"/>
      <c r="Z64" s="116"/>
    </row>
    <row r="65">
      <c r="A65" s="116"/>
      <c r="B65" s="116"/>
      <c r="C65" s="116"/>
      <c r="D65" s="216"/>
      <c r="E65" s="116"/>
      <c r="F65" s="116"/>
      <c r="G65" s="217"/>
      <c r="H65" s="218"/>
      <c r="I65" s="218"/>
      <c r="J65" s="222"/>
      <c r="K65" s="222"/>
      <c r="L65" s="222"/>
      <c r="M65" s="223"/>
      <c r="N65" s="223"/>
      <c r="O65" s="222"/>
      <c r="P65" s="224"/>
      <c r="Q65" s="225"/>
      <c r="R65" s="224"/>
      <c r="S65" s="226"/>
      <c r="T65" s="227"/>
      <c r="U65" s="224"/>
      <c r="V65" s="221"/>
      <c r="W65" s="221"/>
      <c r="X65" s="221"/>
      <c r="Y65" s="221"/>
      <c r="Z65" s="116"/>
    </row>
    <row r="66">
      <c r="A66" s="116"/>
      <c r="B66" s="116"/>
      <c r="C66" s="116"/>
      <c r="D66" s="216"/>
      <c r="E66" s="116"/>
      <c r="F66" s="116"/>
      <c r="G66" s="217"/>
      <c r="H66" s="218"/>
      <c r="I66" s="116"/>
      <c r="J66" s="222"/>
      <c r="K66" s="222"/>
      <c r="L66" s="222"/>
      <c r="M66" s="223"/>
      <c r="N66" s="223"/>
      <c r="O66" s="222"/>
      <c r="P66" s="224"/>
      <c r="Q66" s="225"/>
      <c r="R66" s="224"/>
      <c r="S66" s="226"/>
      <c r="T66" s="227"/>
      <c r="U66" s="224"/>
      <c r="V66" s="221"/>
      <c r="W66" s="221"/>
      <c r="X66" s="221"/>
      <c r="Y66" s="221"/>
      <c r="Z66" s="116"/>
    </row>
    <row r="67"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</row>
    <row r="68">
      <c r="J68" s="228"/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</row>
    <row r="69">
      <c r="J69" s="228"/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</row>
    <row r="70"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</row>
    <row r="71"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</row>
    <row r="72"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</row>
    <row r="73"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</row>
    <row r="74"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</row>
    <row r="75"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</row>
    <row r="76"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</row>
    <row r="77"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</row>
    <row r="78">
      <c r="J78" s="228"/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</row>
    <row r="79">
      <c r="J79" s="228"/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</row>
    <row r="80">
      <c r="J80" s="228"/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</row>
    <row r="81"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</row>
    <row r="82">
      <c r="J82" s="228"/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</row>
    <row r="83">
      <c r="J83" s="228"/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</row>
    <row r="84">
      <c r="J84" s="228"/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</row>
    <row r="85">
      <c r="J85" s="228"/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</row>
    <row r="86">
      <c r="J86" s="228"/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</row>
    <row r="87"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</row>
    <row r="88"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</row>
    <row r="89"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</row>
    <row r="90">
      <c r="J90" s="228"/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</row>
    <row r="91">
      <c r="J91" s="228"/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</row>
    <row r="92">
      <c r="J92" s="228"/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</row>
    <row r="93">
      <c r="J93" s="228"/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</row>
    <row r="94"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</row>
    <row r="95"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</row>
    <row r="96"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</row>
    <row r="97">
      <c r="J97" s="228"/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</row>
    <row r="98">
      <c r="J98" s="228"/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</row>
    <row r="99"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</row>
    <row r="100">
      <c r="J100" s="228"/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</row>
    <row r="101"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</row>
    <row r="102"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</row>
    <row r="103">
      <c r="J103" s="228"/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</row>
    <row r="104">
      <c r="J104" s="228"/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</row>
    <row r="105"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</row>
    <row r="106">
      <c r="J106" s="228"/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</row>
    <row r="107"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</row>
    <row r="108"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</row>
    <row r="109"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</row>
    <row r="110">
      <c r="J110" s="228"/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</row>
    <row r="111">
      <c r="J111" s="228"/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</row>
    <row r="112"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</row>
    <row r="113">
      <c r="J113" s="228"/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</row>
    <row r="114"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</row>
    <row r="115"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</row>
    <row r="116"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</row>
    <row r="117"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  <row r="118"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</row>
    <row r="119"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</row>
    <row r="120"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</row>
    <row r="121"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</row>
    <row r="122"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</row>
    <row r="123"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</row>
    <row r="124"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</row>
    <row r="125">
      <c r="J125" s="228"/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</row>
    <row r="126">
      <c r="J126" s="228"/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</row>
    <row r="127"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</row>
    <row r="128"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</row>
    <row r="129"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</row>
    <row r="130"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</row>
    <row r="131"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</row>
    <row r="132"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</row>
    <row r="133"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</row>
    <row r="134"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</row>
    <row r="135">
      <c r="J135" s="228"/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</row>
    <row r="136"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</row>
    <row r="137"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</row>
    <row r="138"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</row>
    <row r="139"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</row>
    <row r="140"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</row>
    <row r="141"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</row>
    <row r="142"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</row>
    <row r="143"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</row>
    <row r="144"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</row>
    <row r="145"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</row>
    <row r="146">
      <c r="J146" s="228"/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</row>
    <row r="147"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</row>
    <row r="148">
      <c r="J148" s="228"/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</row>
    <row r="149">
      <c r="J149" s="228"/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</row>
    <row r="150"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</row>
    <row r="151"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</row>
    <row r="152">
      <c r="J152" s="228"/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</row>
    <row r="153">
      <c r="J153" s="228"/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</row>
    <row r="154">
      <c r="J154" s="228"/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</row>
    <row r="155">
      <c r="J155" s="228"/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</row>
    <row r="156">
      <c r="J156" s="228"/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</row>
    <row r="157"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</row>
    <row r="158"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</row>
    <row r="159"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</row>
    <row r="160">
      <c r="J160" s="228"/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</row>
    <row r="161">
      <c r="J161" s="228"/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</row>
    <row r="162">
      <c r="J162" s="228"/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</row>
    <row r="163">
      <c r="J163" s="228"/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</row>
    <row r="164"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</row>
    <row r="165"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</row>
    <row r="166">
      <c r="J166" s="228"/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</row>
    <row r="167"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</row>
    <row r="168">
      <c r="J168" s="228"/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</row>
    <row r="169"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</row>
    <row r="170">
      <c r="J170" s="228"/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</row>
    <row r="171"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</row>
    <row r="172"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</row>
    <row r="173">
      <c r="J173" s="228"/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</row>
    <row r="174"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</row>
    <row r="175">
      <c r="J175" s="228"/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</row>
    <row r="176"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</row>
    <row r="177">
      <c r="J177" s="228"/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</row>
    <row r="178"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</row>
    <row r="179"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</row>
    <row r="180">
      <c r="J180" s="228"/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</row>
    <row r="181">
      <c r="J181" s="228"/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</row>
    <row r="182"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</row>
    <row r="183">
      <c r="J183" s="228"/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</row>
    <row r="184"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</row>
    <row r="185"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</row>
    <row r="186"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</row>
    <row r="187">
      <c r="J187" s="228"/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</row>
    <row r="188">
      <c r="J188" s="228"/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</row>
    <row r="189">
      <c r="J189" s="228"/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</row>
    <row r="190">
      <c r="J190" s="228"/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</row>
    <row r="191">
      <c r="J191" s="228"/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</row>
    <row r="192"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</row>
    <row r="193"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</row>
    <row r="194"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</row>
    <row r="195">
      <c r="J195" s="228"/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</row>
    <row r="196">
      <c r="J196" s="228"/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</row>
    <row r="197">
      <c r="J197" s="228"/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</row>
    <row r="198"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</row>
    <row r="199">
      <c r="J199" s="228"/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</row>
    <row r="200"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</row>
    <row r="201">
      <c r="J201" s="228"/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</row>
    <row r="202">
      <c r="J202" s="228"/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</row>
    <row r="203">
      <c r="J203" s="228"/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</row>
    <row r="204">
      <c r="J204" s="228"/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</row>
    <row r="205">
      <c r="J205" s="228"/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</row>
    <row r="206">
      <c r="J206" s="228"/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</row>
    <row r="207">
      <c r="J207" s="228"/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</row>
    <row r="208"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</row>
    <row r="209">
      <c r="J209" s="228"/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</row>
    <row r="210">
      <c r="J210" s="228"/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</row>
    <row r="211">
      <c r="J211" s="228"/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</row>
    <row r="212">
      <c r="J212" s="228"/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</row>
    <row r="213">
      <c r="J213" s="228"/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</row>
    <row r="214">
      <c r="J214" s="228"/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</row>
    <row r="215">
      <c r="J215" s="228"/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</row>
    <row r="216">
      <c r="J216" s="228"/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</row>
    <row r="217">
      <c r="J217" s="228"/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</row>
    <row r="218">
      <c r="J218" s="228"/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</row>
    <row r="219">
      <c r="J219" s="228"/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</row>
    <row r="220">
      <c r="J220" s="228"/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</row>
    <row r="221">
      <c r="J221" s="228"/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</row>
    <row r="222">
      <c r="J222" s="228"/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</row>
    <row r="223">
      <c r="J223" s="228"/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</row>
    <row r="224">
      <c r="J224" s="228"/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</row>
    <row r="225">
      <c r="J225" s="228"/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</row>
    <row r="226">
      <c r="J226" s="228"/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</row>
    <row r="227">
      <c r="J227" s="228"/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</row>
    <row r="228">
      <c r="J228" s="228"/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</row>
    <row r="229">
      <c r="J229" s="228"/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</row>
    <row r="230">
      <c r="J230" s="228"/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</row>
    <row r="231">
      <c r="J231" s="228"/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</row>
    <row r="232">
      <c r="J232" s="228"/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</row>
    <row r="233">
      <c r="J233" s="228"/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</row>
    <row r="234">
      <c r="J234" s="228"/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</row>
    <row r="235">
      <c r="J235" s="228"/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</row>
    <row r="236">
      <c r="J236" s="228"/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</row>
    <row r="237">
      <c r="J237" s="228"/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</row>
    <row r="238">
      <c r="J238" s="228"/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</row>
    <row r="239">
      <c r="J239" s="228"/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</row>
    <row r="240">
      <c r="J240" s="228"/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</row>
    <row r="241">
      <c r="J241" s="228"/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</row>
    <row r="242">
      <c r="J242" s="228"/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</row>
    <row r="243">
      <c r="J243" s="228"/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</row>
    <row r="244">
      <c r="J244" s="228"/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</row>
    <row r="245">
      <c r="J245" s="228"/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</row>
    <row r="246">
      <c r="J246" s="228"/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</row>
    <row r="247">
      <c r="J247" s="228"/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</row>
    <row r="248">
      <c r="J248" s="228"/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</row>
    <row r="249">
      <c r="J249" s="228"/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</row>
    <row r="250">
      <c r="J250" s="228"/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</row>
    <row r="251">
      <c r="J251" s="228"/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</row>
    <row r="252">
      <c r="J252" s="228"/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</row>
    <row r="253">
      <c r="J253" s="228"/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</row>
    <row r="254">
      <c r="J254" s="228"/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</row>
    <row r="255">
      <c r="J255" s="228"/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</row>
    <row r="256">
      <c r="J256" s="228"/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</row>
    <row r="257">
      <c r="J257" s="228"/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</row>
    <row r="258">
      <c r="J258" s="228"/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</row>
    <row r="259">
      <c r="J259" s="228"/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</row>
    <row r="260">
      <c r="J260" s="228"/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</row>
    <row r="261">
      <c r="J261" s="228"/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</row>
    <row r="262">
      <c r="J262" s="228"/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</row>
    <row r="263">
      <c r="J263" s="228"/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</row>
    <row r="264">
      <c r="J264" s="228"/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</row>
    <row r="265">
      <c r="J265" s="228"/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</row>
    <row r="266">
      <c r="J266" s="228"/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</row>
    <row r="267">
      <c r="J267" s="228"/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</row>
    <row r="268">
      <c r="J268" s="228"/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</row>
    <row r="269">
      <c r="J269" s="228"/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</row>
    <row r="270">
      <c r="J270" s="228"/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</row>
    <row r="271">
      <c r="J271" s="228"/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</row>
    <row r="272">
      <c r="J272" s="228"/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</row>
    <row r="273">
      <c r="J273" s="228"/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</row>
    <row r="274">
      <c r="J274" s="228"/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</row>
    <row r="275">
      <c r="J275" s="228"/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</row>
    <row r="276">
      <c r="J276" s="228"/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</row>
    <row r="277">
      <c r="J277" s="228"/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</row>
    <row r="278">
      <c r="J278" s="228"/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</row>
    <row r="279">
      <c r="J279" s="228"/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</row>
    <row r="280">
      <c r="J280" s="228"/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</row>
    <row r="281">
      <c r="J281" s="228"/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</row>
    <row r="282">
      <c r="J282" s="228"/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</row>
    <row r="283">
      <c r="J283" s="228"/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</row>
    <row r="284">
      <c r="J284" s="228"/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</row>
    <row r="285">
      <c r="J285" s="228"/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</row>
    <row r="286">
      <c r="J286" s="228"/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</row>
    <row r="287">
      <c r="J287" s="228"/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</row>
    <row r="288">
      <c r="J288" s="228"/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</row>
    <row r="289">
      <c r="J289" s="228"/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</row>
    <row r="290">
      <c r="J290" s="228"/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</row>
    <row r="291">
      <c r="J291" s="228"/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</row>
    <row r="292">
      <c r="J292" s="228"/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</row>
    <row r="293">
      <c r="J293" s="228"/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</row>
    <row r="294">
      <c r="J294" s="228"/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</row>
    <row r="295">
      <c r="J295" s="228"/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</row>
    <row r="296">
      <c r="J296" s="228"/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</row>
    <row r="297">
      <c r="J297" s="228"/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</row>
    <row r="298">
      <c r="J298" s="228"/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</row>
    <row r="299">
      <c r="J299" s="228"/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</row>
    <row r="300"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</row>
    <row r="301">
      <c r="J301" s="228"/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</row>
    <row r="302">
      <c r="J302" s="228"/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</row>
    <row r="303">
      <c r="J303" s="228"/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</row>
    <row r="304">
      <c r="J304" s="228"/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</row>
    <row r="305">
      <c r="J305" s="228"/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</row>
    <row r="306">
      <c r="J306" s="228"/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</row>
    <row r="307">
      <c r="J307" s="228"/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</row>
    <row r="308">
      <c r="J308" s="228"/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</row>
    <row r="309">
      <c r="J309" s="228"/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</row>
    <row r="310">
      <c r="J310" s="228"/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</row>
    <row r="311">
      <c r="J311" s="228"/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</row>
    <row r="312">
      <c r="J312" s="228"/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</row>
    <row r="313">
      <c r="J313" s="228"/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</row>
    <row r="314">
      <c r="J314" s="228"/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</row>
    <row r="315">
      <c r="J315" s="228"/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</row>
    <row r="316"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</row>
    <row r="317">
      <c r="J317" s="228"/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</row>
    <row r="318">
      <c r="J318" s="228"/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</row>
    <row r="319">
      <c r="J319" s="228"/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</row>
    <row r="320">
      <c r="J320" s="228"/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</row>
    <row r="321">
      <c r="J321" s="228"/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</row>
    <row r="322">
      <c r="J322" s="228"/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</row>
    <row r="323">
      <c r="J323" s="228"/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</row>
    <row r="324">
      <c r="J324" s="228"/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</row>
    <row r="325">
      <c r="J325" s="228"/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</row>
    <row r="326">
      <c r="J326" s="228"/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</row>
    <row r="327">
      <c r="J327" s="228"/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</row>
    <row r="328">
      <c r="J328" s="228"/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</row>
    <row r="329">
      <c r="J329" s="228"/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</row>
    <row r="330">
      <c r="J330" s="228"/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</row>
    <row r="331">
      <c r="J331" s="228"/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</row>
    <row r="332">
      <c r="J332" s="228"/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</row>
    <row r="333">
      <c r="J333" s="228"/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</row>
    <row r="334">
      <c r="J334" s="228"/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</row>
    <row r="335">
      <c r="J335" s="228"/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</row>
    <row r="336">
      <c r="J336" s="228"/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</row>
    <row r="337">
      <c r="J337" s="228"/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</row>
    <row r="338">
      <c r="J338" s="228"/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</row>
    <row r="339">
      <c r="J339" s="228"/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</row>
    <row r="340">
      <c r="J340" s="228"/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</row>
    <row r="341">
      <c r="J341" s="228"/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</row>
    <row r="342">
      <c r="J342" s="228"/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</row>
    <row r="343">
      <c r="J343" s="228"/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</row>
    <row r="344">
      <c r="J344" s="228"/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</row>
    <row r="345">
      <c r="J345" s="228"/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</row>
    <row r="346">
      <c r="J346" s="228"/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</row>
    <row r="347">
      <c r="J347" s="228"/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</row>
    <row r="348">
      <c r="J348" s="228"/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</row>
    <row r="349">
      <c r="J349" s="228"/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</row>
    <row r="350">
      <c r="J350" s="228"/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</row>
    <row r="351">
      <c r="J351" s="228"/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</row>
    <row r="352">
      <c r="J352" s="228"/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</row>
    <row r="353">
      <c r="J353" s="228"/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</row>
    <row r="354">
      <c r="J354" s="228"/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</row>
    <row r="355">
      <c r="J355" s="228"/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</row>
    <row r="356">
      <c r="J356" s="228"/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</row>
    <row r="357">
      <c r="J357" s="228"/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</row>
    <row r="358">
      <c r="J358" s="228"/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</row>
    <row r="359">
      <c r="J359" s="228"/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</row>
    <row r="360">
      <c r="J360" s="228"/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</row>
    <row r="361">
      <c r="J361" s="228"/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</row>
    <row r="362">
      <c r="J362" s="228"/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</row>
    <row r="363">
      <c r="J363" s="228"/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</row>
    <row r="364">
      <c r="J364" s="228"/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</row>
    <row r="365">
      <c r="J365" s="228"/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</row>
    <row r="366">
      <c r="J366" s="228"/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</row>
    <row r="367">
      <c r="J367" s="228"/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</row>
    <row r="368">
      <c r="J368" s="228"/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</row>
    <row r="369">
      <c r="J369" s="228"/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</row>
    <row r="370">
      <c r="J370" s="228"/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</row>
    <row r="371">
      <c r="J371" s="228"/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</row>
    <row r="372">
      <c r="J372" s="228"/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</row>
    <row r="373">
      <c r="J373" s="228"/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</row>
    <row r="374">
      <c r="J374" s="228"/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</row>
    <row r="375">
      <c r="J375" s="228"/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</row>
    <row r="376">
      <c r="J376" s="228"/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</row>
    <row r="377">
      <c r="J377" s="228"/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</row>
    <row r="378">
      <c r="J378" s="228"/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</row>
    <row r="379">
      <c r="J379" s="228"/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</row>
    <row r="380">
      <c r="J380" s="228"/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</row>
    <row r="381">
      <c r="J381" s="228"/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</row>
    <row r="382">
      <c r="J382" s="228"/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</row>
    <row r="383">
      <c r="J383" s="228"/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</row>
    <row r="384">
      <c r="J384" s="228"/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</row>
    <row r="385">
      <c r="J385" s="228"/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</row>
    <row r="386">
      <c r="J386" s="228"/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</row>
    <row r="387">
      <c r="J387" s="228"/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</row>
    <row r="388">
      <c r="J388" s="228"/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</row>
    <row r="389">
      <c r="J389" s="228"/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</row>
    <row r="390">
      <c r="J390" s="228"/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</row>
    <row r="391">
      <c r="J391" s="228"/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</row>
    <row r="392">
      <c r="J392" s="228"/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</row>
    <row r="393">
      <c r="J393" s="228"/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</row>
    <row r="394">
      <c r="J394" s="228"/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</row>
    <row r="395">
      <c r="J395" s="228"/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</row>
    <row r="396">
      <c r="J396" s="228"/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</row>
    <row r="397">
      <c r="J397" s="228"/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</row>
    <row r="398">
      <c r="J398" s="228"/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</row>
    <row r="399">
      <c r="J399" s="228"/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</row>
    <row r="400">
      <c r="J400" s="228"/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</row>
    <row r="401">
      <c r="J401" s="228"/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</row>
    <row r="402">
      <c r="J402" s="228"/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</row>
    <row r="403">
      <c r="J403" s="228"/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</row>
    <row r="404">
      <c r="J404" s="228"/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</row>
    <row r="405">
      <c r="J405" s="228"/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</row>
    <row r="406">
      <c r="J406" s="228"/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</row>
    <row r="407">
      <c r="J407" s="228"/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</row>
    <row r="408">
      <c r="J408" s="228"/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</row>
    <row r="409">
      <c r="J409" s="228"/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</row>
    <row r="410">
      <c r="J410" s="228"/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</row>
    <row r="411">
      <c r="J411" s="228"/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</row>
    <row r="412">
      <c r="J412" s="228"/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</row>
    <row r="413">
      <c r="J413" s="228"/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</row>
    <row r="414">
      <c r="J414" s="228"/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</row>
    <row r="415">
      <c r="J415" s="228"/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</row>
    <row r="416">
      <c r="J416" s="228"/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</row>
    <row r="417">
      <c r="J417" s="228"/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</row>
    <row r="418">
      <c r="J418" s="228"/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</row>
    <row r="419">
      <c r="J419" s="228"/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</row>
    <row r="420">
      <c r="J420" s="228"/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</row>
    <row r="421">
      <c r="J421" s="228"/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</row>
    <row r="422">
      <c r="J422" s="228"/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</row>
    <row r="423">
      <c r="J423" s="228"/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</row>
    <row r="424">
      <c r="J424" s="228"/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</row>
    <row r="425">
      <c r="J425" s="228"/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</row>
    <row r="426">
      <c r="J426" s="228"/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</row>
    <row r="427">
      <c r="J427" s="228"/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</row>
    <row r="428">
      <c r="J428" s="228"/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</row>
    <row r="429">
      <c r="J429" s="228"/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</row>
    <row r="430">
      <c r="J430" s="228"/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</row>
    <row r="431">
      <c r="J431" s="228"/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</row>
    <row r="432">
      <c r="J432" s="228"/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</row>
    <row r="433">
      <c r="J433" s="228"/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</row>
    <row r="434">
      <c r="J434" s="228"/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</row>
    <row r="435">
      <c r="J435" s="228"/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</row>
    <row r="436">
      <c r="J436" s="228"/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</row>
    <row r="437">
      <c r="J437" s="228"/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</row>
    <row r="438">
      <c r="J438" s="228"/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</row>
    <row r="439">
      <c r="J439" s="228"/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</row>
    <row r="440">
      <c r="J440" s="228"/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</row>
    <row r="441">
      <c r="J441" s="228"/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</row>
    <row r="442">
      <c r="J442" s="228"/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</row>
    <row r="443">
      <c r="J443" s="228"/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</row>
    <row r="444">
      <c r="J444" s="228"/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</row>
    <row r="445">
      <c r="J445" s="228"/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</row>
    <row r="446">
      <c r="J446" s="228"/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</row>
    <row r="447">
      <c r="J447" s="228"/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</row>
    <row r="448">
      <c r="J448" s="228"/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</row>
    <row r="449">
      <c r="J449" s="228"/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</row>
    <row r="450">
      <c r="J450" s="228"/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</row>
    <row r="451">
      <c r="J451" s="228"/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</row>
    <row r="452">
      <c r="J452" s="228"/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</row>
    <row r="453">
      <c r="J453" s="228"/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</row>
    <row r="454">
      <c r="J454" s="228"/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</row>
    <row r="455">
      <c r="J455" s="228"/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</row>
    <row r="456">
      <c r="J456" s="228"/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</row>
    <row r="457">
      <c r="J457" s="228"/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</row>
    <row r="458">
      <c r="J458" s="228"/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</row>
    <row r="459">
      <c r="J459" s="228"/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</row>
    <row r="460">
      <c r="J460" s="228"/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</row>
    <row r="461">
      <c r="J461" s="228"/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</row>
    <row r="462">
      <c r="J462" s="228"/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</row>
    <row r="463">
      <c r="J463" s="228"/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</row>
    <row r="464">
      <c r="J464" s="228"/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</row>
    <row r="465">
      <c r="J465" s="228"/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</row>
    <row r="466">
      <c r="J466" s="228"/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</row>
    <row r="467">
      <c r="J467" s="228"/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</row>
    <row r="468">
      <c r="J468" s="228"/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</row>
    <row r="469">
      <c r="J469" s="228"/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</row>
    <row r="470">
      <c r="J470" s="228"/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</row>
    <row r="471">
      <c r="J471" s="228"/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</row>
    <row r="472">
      <c r="J472" s="228"/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</row>
    <row r="473">
      <c r="J473" s="228"/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</row>
    <row r="474">
      <c r="J474" s="228"/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</row>
    <row r="475">
      <c r="J475" s="228"/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</row>
    <row r="476">
      <c r="J476" s="228"/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</row>
    <row r="477">
      <c r="J477" s="228"/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</row>
    <row r="478">
      <c r="J478" s="228"/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</row>
    <row r="479">
      <c r="J479" s="228"/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</row>
    <row r="480">
      <c r="J480" s="228"/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</row>
    <row r="481">
      <c r="J481" s="228"/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</row>
    <row r="482">
      <c r="J482" s="228"/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</row>
    <row r="483">
      <c r="J483" s="228"/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</row>
    <row r="484">
      <c r="J484" s="228"/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</row>
    <row r="485">
      <c r="J485" s="228"/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</row>
    <row r="486">
      <c r="J486" s="228"/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</row>
    <row r="487">
      <c r="J487" s="228"/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</row>
    <row r="488">
      <c r="J488" s="228"/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</row>
    <row r="489">
      <c r="J489" s="228"/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</row>
    <row r="490">
      <c r="J490" s="228"/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</row>
    <row r="491">
      <c r="J491" s="228"/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</row>
    <row r="492">
      <c r="J492" s="228"/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</row>
    <row r="493">
      <c r="J493" s="228"/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</row>
    <row r="494">
      <c r="J494" s="228"/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</row>
    <row r="495">
      <c r="J495" s="228"/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</row>
    <row r="496">
      <c r="J496" s="228"/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</row>
    <row r="497">
      <c r="J497" s="228"/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</row>
    <row r="498">
      <c r="J498" s="228"/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</row>
    <row r="499">
      <c r="J499" s="228"/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</row>
    <row r="500">
      <c r="J500" s="228"/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</row>
    <row r="501">
      <c r="J501" s="228"/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</row>
    <row r="502">
      <c r="J502" s="228"/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</row>
    <row r="503">
      <c r="J503" s="228"/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</row>
    <row r="504">
      <c r="J504" s="228"/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</row>
    <row r="505">
      <c r="J505" s="228"/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</row>
    <row r="506">
      <c r="J506" s="228"/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</row>
    <row r="507">
      <c r="J507" s="228"/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</row>
    <row r="508">
      <c r="J508" s="228"/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</row>
    <row r="509">
      <c r="J509" s="228"/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</row>
    <row r="510">
      <c r="J510" s="228"/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</row>
    <row r="511">
      <c r="J511" s="228"/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</row>
    <row r="512">
      <c r="J512" s="228"/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</row>
    <row r="513">
      <c r="J513" s="228"/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</row>
    <row r="514">
      <c r="J514" s="228"/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</row>
    <row r="515">
      <c r="J515" s="228"/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</row>
    <row r="516">
      <c r="J516" s="228"/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</row>
    <row r="517">
      <c r="J517" s="228"/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</row>
    <row r="518">
      <c r="J518" s="228"/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</row>
    <row r="519">
      <c r="J519" s="228"/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</row>
    <row r="520">
      <c r="J520" s="228"/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</row>
    <row r="521">
      <c r="J521" s="228"/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</row>
    <row r="522">
      <c r="J522" s="228"/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</row>
    <row r="523">
      <c r="J523" s="228"/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</row>
    <row r="524">
      <c r="J524" s="228"/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</row>
    <row r="525">
      <c r="J525" s="228"/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</row>
    <row r="526">
      <c r="J526" s="228"/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</row>
    <row r="527">
      <c r="J527" s="228"/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</row>
    <row r="528">
      <c r="J528" s="228"/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</row>
    <row r="529">
      <c r="J529" s="228"/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</row>
    <row r="530">
      <c r="J530" s="228"/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</row>
    <row r="531">
      <c r="J531" s="228"/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</row>
    <row r="532">
      <c r="J532" s="228"/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</row>
    <row r="533">
      <c r="J533" s="228"/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</row>
    <row r="534">
      <c r="J534" s="228"/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</row>
    <row r="535">
      <c r="J535" s="228"/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</row>
    <row r="536">
      <c r="J536" s="228"/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</row>
    <row r="537">
      <c r="J537" s="228"/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</row>
    <row r="538">
      <c r="J538" s="228"/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</row>
    <row r="539">
      <c r="J539" s="228"/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</row>
    <row r="540">
      <c r="J540" s="228"/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</row>
    <row r="541">
      <c r="J541" s="228"/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</row>
    <row r="542">
      <c r="J542" s="228"/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</row>
    <row r="543">
      <c r="J543" s="228"/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</row>
    <row r="544">
      <c r="J544" s="228"/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</row>
    <row r="545">
      <c r="J545" s="228"/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</row>
    <row r="546">
      <c r="J546" s="228"/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</row>
    <row r="547">
      <c r="J547" s="228"/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</row>
    <row r="548">
      <c r="J548" s="228"/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</row>
    <row r="549">
      <c r="J549" s="228"/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</row>
    <row r="550">
      <c r="J550" s="228"/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</row>
    <row r="551">
      <c r="J551" s="228"/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</row>
    <row r="552">
      <c r="J552" s="228"/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</row>
    <row r="553">
      <c r="J553" s="228"/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</row>
    <row r="554">
      <c r="J554" s="228"/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</row>
    <row r="555">
      <c r="J555" s="228"/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</row>
    <row r="556">
      <c r="J556" s="228"/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</row>
    <row r="557">
      <c r="J557" s="228"/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</row>
    <row r="558">
      <c r="J558" s="228"/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</row>
    <row r="559">
      <c r="J559" s="228"/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</row>
    <row r="560">
      <c r="J560" s="228"/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</row>
    <row r="561">
      <c r="J561" s="228"/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</row>
    <row r="562">
      <c r="J562" s="228"/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</row>
    <row r="563">
      <c r="J563" s="228"/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</row>
    <row r="564">
      <c r="J564" s="228"/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</row>
    <row r="565">
      <c r="J565" s="228"/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</row>
    <row r="566">
      <c r="J566" s="228"/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</row>
    <row r="567">
      <c r="J567" s="228"/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</row>
    <row r="568">
      <c r="J568" s="228"/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</row>
    <row r="569">
      <c r="J569" s="228"/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</row>
    <row r="570">
      <c r="J570" s="228"/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</row>
    <row r="571">
      <c r="J571" s="228"/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</row>
    <row r="572">
      <c r="J572" s="228"/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</row>
    <row r="573">
      <c r="J573" s="228"/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</row>
    <row r="574">
      <c r="J574" s="228"/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</row>
    <row r="575">
      <c r="J575" s="228"/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</row>
    <row r="576">
      <c r="J576" s="228"/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</row>
    <row r="577">
      <c r="J577" s="228"/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</row>
    <row r="578">
      <c r="J578" s="228"/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</row>
    <row r="579">
      <c r="J579" s="228"/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</row>
    <row r="580">
      <c r="J580" s="228"/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</row>
    <row r="581">
      <c r="J581" s="228"/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</row>
    <row r="582">
      <c r="J582" s="228"/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</row>
    <row r="583">
      <c r="J583" s="228"/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</row>
    <row r="584">
      <c r="J584" s="228"/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</row>
    <row r="585">
      <c r="J585" s="228"/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</row>
    <row r="586">
      <c r="J586" s="228"/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</row>
    <row r="587">
      <c r="J587" s="228"/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</row>
    <row r="588">
      <c r="J588" s="228"/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</row>
    <row r="589">
      <c r="J589" s="228"/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</row>
    <row r="590">
      <c r="J590" s="228"/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</row>
    <row r="591">
      <c r="J591" s="228"/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</row>
    <row r="592">
      <c r="J592" s="228"/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</row>
    <row r="593">
      <c r="J593" s="228"/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</row>
    <row r="594">
      <c r="J594" s="228"/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</row>
    <row r="595">
      <c r="J595" s="228"/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</row>
    <row r="596">
      <c r="J596" s="228"/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</row>
    <row r="597">
      <c r="J597" s="228"/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</row>
    <row r="598">
      <c r="J598" s="228"/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</row>
    <row r="599">
      <c r="J599" s="228"/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</row>
    <row r="600">
      <c r="J600" s="228"/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</row>
    <row r="601">
      <c r="J601" s="228"/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</row>
    <row r="602">
      <c r="J602" s="228"/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</row>
    <row r="603">
      <c r="J603" s="228"/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</row>
    <row r="604">
      <c r="J604" s="228"/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</row>
    <row r="605">
      <c r="J605" s="228"/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</row>
    <row r="606">
      <c r="J606" s="228"/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</row>
    <row r="607">
      <c r="J607" s="228"/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</row>
    <row r="608">
      <c r="J608" s="228"/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</row>
    <row r="609">
      <c r="J609" s="228"/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</row>
    <row r="610">
      <c r="J610" s="228"/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</row>
    <row r="611">
      <c r="J611" s="228"/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</row>
    <row r="612">
      <c r="J612" s="228"/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</row>
    <row r="613">
      <c r="J613" s="228"/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</row>
    <row r="614">
      <c r="J614" s="228"/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</row>
    <row r="615">
      <c r="J615" s="228"/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</row>
    <row r="616">
      <c r="J616" s="228"/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</row>
    <row r="617">
      <c r="J617" s="228"/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</row>
    <row r="618">
      <c r="J618" s="228"/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</row>
    <row r="619">
      <c r="J619" s="228"/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</row>
    <row r="620">
      <c r="J620" s="228"/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</row>
    <row r="621">
      <c r="J621" s="228"/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</row>
    <row r="622">
      <c r="J622" s="228"/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</row>
    <row r="623">
      <c r="J623" s="228"/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</row>
    <row r="624">
      <c r="J624" s="228"/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</row>
    <row r="625">
      <c r="J625" s="228"/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</row>
    <row r="626">
      <c r="J626" s="228"/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</row>
    <row r="627">
      <c r="J627" s="228"/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</row>
    <row r="628">
      <c r="J628" s="228"/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</row>
    <row r="629">
      <c r="J629" s="228"/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</row>
    <row r="630">
      <c r="J630" s="228"/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</row>
    <row r="631">
      <c r="J631" s="228"/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</row>
    <row r="632">
      <c r="J632" s="228"/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</row>
    <row r="633">
      <c r="J633" s="228"/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</row>
    <row r="634">
      <c r="J634" s="228"/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</row>
    <row r="635">
      <c r="J635" s="228"/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</row>
    <row r="636">
      <c r="J636" s="228"/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</row>
    <row r="637">
      <c r="J637" s="228"/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</row>
    <row r="638">
      <c r="J638" s="228"/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</row>
    <row r="639">
      <c r="J639" s="228"/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</row>
    <row r="640">
      <c r="J640" s="228"/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</row>
    <row r="641">
      <c r="J641" s="228"/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</row>
    <row r="642">
      <c r="J642" s="228"/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</row>
    <row r="643">
      <c r="J643" s="228"/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</row>
    <row r="644">
      <c r="J644" s="228"/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</row>
    <row r="645">
      <c r="J645" s="228"/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</row>
    <row r="646">
      <c r="J646" s="228"/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</row>
    <row r="647">
      <c r="J647" s="228"/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</row>
    <row r="648">
      <c r="J648" s="228"/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</row>
    <row r="649">
      <c r="J649" s="228"/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</row>
    <row r="650">
      <c r="J650" s="228"/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</row>
    <row r="651">
      <c r="J651" s="228"/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</row>
    <row r="652">
      <c r="J652" s="228"/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</row>
    <row r="653">
      <c r="J653" s="228"/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</row>
    <row r="654">
      <c r="J654" s="228"/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</row>
    <row r="655">
      <c r="J655" s="228"/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</row>
    <row r="656">
      <c r="J656" s="228"/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</row>
    <row r="657">
      <c r="J657" s="228"/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</row>
    <row r="658">
      <c r="J658" s="228"/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</row>
    <row r="659">
      <c r="J659" s="228"/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</row>
    <row r="660">
      <c r="J660" s="228"/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</row>
    <row r="661">
      <c r="J661" s="228"/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</row>
    <row r="662">
      <c r="J662" s="228"/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</row>
    <row r="663">
      <c r="J663" s="228"/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</row>
    <row r="664">
      <c r="J664" s="228"/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</row>
    <row r="665">
      <c r="J665" s="228"/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</row>
    <row r="666">
      <c r="J666" s="228"/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</row>
    <row r="667">
      <c r="J667" s="228"/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</row>
    <row r="668">
      <c r="J668" s="228"/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</row>
    <row r="669">
      <c r="J669" s="228"/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</row>
    <row r="670">
      <c r="J670" s="228"/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</row>
    <row r="671">
      <c r="J671" s="228"/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</row>
    <row r="672">
      <c r="J672" s="228"/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</row>
    <row r="673">
      <c r="J673" s="228"/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</row>
    <row r="674">
      <c r="J674" s="228"/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</row>
    <row r="675">
      <c r="J675" s="228"/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</row>
    <row r="676">
      <c r="J676" s="228"/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</row>
    <row r="677">
      <c r="J677" s="228"/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</row>
    <row r="678">
      <c r="J678" s="228"/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</row>
    <row r="679">
      <c r="J679" s="228"/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</row>
    <row r="680">
      <c r="J680" s="228"/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</row>
    <row r="681">
      <c r="J681" s="228"/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</row>
    <row r="682">
      <c r="J682" s="228"/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</row>
    <row r="683">
      <c r="J683" s="228"/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</row>
    <row r="684">
      <c r="J684" s="228"/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</row>
    <row r="685">
      <c r="J685" s="228"/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</row>
    <row r="686">
      <c r="J686" s="228"/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</row>
    <row r="687">
      <c r="J687" s="228"/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</row>
    <row r="688">
      <c r="J688" s="228"/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</row>
    <row r="689">
      <c r="J689" s="228"/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</row>
    <row r="690">
      <c r="J690" s="228"/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</row>
    <row r="691">
      <c r="J691" s="228"/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</row>
    <row r="692">
      <c r="J692" s="228"/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</row>
    <row r="693">
      <c r="J693" s="228"/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</row>
    <row r="694">
      <c r="J694" s="228"/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</row>
    <row r="695">
      <c r="J695" s="228"/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</row>
    <row r="696">
      <c r="J696" s="228"/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</row>
    <row r="697">
      <c r="J697" s="228"/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</row>
    <row r="698">
      <c r="J698" s="228"/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</row>
    <row r="699">
      <c r="J699" s="228"/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</row>
    <row r="700">
      <c r="J700" s="228"/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</row>
    <row r="701">
      <c r="J701" s="228"/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</row>
    <row r="702">
      <c r="J702" s="228"/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</row>
    <row r="703">
      <c r="J703" s="228"/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</row>
    <row r="704">
      <c r="J704" s="228"/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</row>
    <row r="705">
      <c r="J705" s="228"/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</row>
    <row r="706">
      <c r="J706" s="228"/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</row>
    <row r="707">
      <c r="J707" s="228"/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</row>
    <row r="708">
      <c r="J708" s="228"/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</row>
    <row r="709">
      <c r="J709" s="228"/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</row>
    <row r="710">
      <c r="J710" s="228"/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</row>
    <row r="711">
      <c r="J711" s="228"/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</row>
    <row r="712">
      <c r="J712" s="228"/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</row>
    <row r="713">
      <c r="J713" s="228"/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</row>
    <row r="714">
      <c r="J714" s="228"/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</row>
    <row r="715">
      <c r="J715" s="228"/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</row>
    <row r="716">
      <c r="J716" s="228"/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</row>
    <row r="717">
      <c r="J717" s="228"/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</row>
    <row r="718">
      <c r="J718" s="228"/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</row>
    <row r="719">
      <c r="J719" s="228"/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</row>
    <row r="720">
      <c r="J720" s="228"/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</row>
    <row r="721">
      <c r="J721" s="228"/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</row>
    <row r="722">
      <c r="J722" s="228"/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</row>
    <row r="723">
      <c r="J723" s="228"/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</row>
    <row r="724">
      <c r="J724" s="228"/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</row>
    <row r="725">
      <c r="J725" s="228"/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</row>
    <row r="726">
      <c r="J726" s="228"/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</row>
    <row r="727">
      <c r="J727" s="228"/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</row>
    <row r="728">
      <c r="J728" s="228"/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</row>
    <row r="729">
      <c r="J729" s="228"/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</row>
    <row r="730">
      <c r="J730" s="228"/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</row>
    <row r="731">
      <c r="J731" s="228"/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</row>
    <row r="732">
      <c r="J732" s="228"/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</row>
    <row r="733">
      <c r="J733" s="228"/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</row>
    <row r="734">
      <c r="J734" s="228"/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</row>
    <row r="735">
      <c r="J735" s="228"/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</row>
    <row r="736">
      <c r="J736" s="228"/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</row>
    <row r="737">
      <c r="J737" s="228"/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</row>
    <row r="738">
      <c r="J738" s="228"/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</row>
    <row r="739">
      <c r="J739" s="228"/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</row>
    <row r="740">
      <c r="J740" s="228"/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</row>
    <row r="741">
      <c r="J741" s="228"/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</row>
    <row r="742">
      <c r="J742" s="228"/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</row>
    <row r="743">
      <c r="J743" s="228"/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</row>
    <row r="744">
      <c r="J744" s="228"/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</row>
    <row r="745">
      <c r="J745" s="228"/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</row>
    <row r="746">
      <c r="J746" s="228"/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</row>
    <row r="747">
      <c r="J747" s="228"/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</row>
    <row r="748">
      <c r="J748" s="228"/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</row>
    <row r="749">
      <c r="J749" s="228"/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</row>
    <row r="750">
      <c r="J750" s="228"/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</row>
    <row r="751">
      <c r="J751" s="228"/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</row>
    <row r="752">
      <c r="J752" s="228"/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</row>
    <row r="753">
      <c r="J753" s="228"/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</row>
    <row r="754">
      <c r="J754" s="228"/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</row>
    <row r="755">
      <c r="J755" s="228"/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</row>
    <row r="756">
      <c r="J756" s="228"/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</row>
    <row r="757">
      <c r="J757" s="228"/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</row>
    <row r="758">
      <c r="J758" s="228"/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</row>
    <row r="759">
      <c r="J759" s="228"/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</row>
    <row r="760">
      <c r="J760" s="228"/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</row>
    <row r="761">
      <c r="J761" s="228"/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</row>
    <row r="762">
      <c r="J762" s="228"/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</row>
    <row r="763">
      <c r="J763" s="228"/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</row>
    <row r="764">
      <c r="J764" s="228"/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</row>
    <row r="765">
      <c r="J765" s="228"/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</row>
    <row r="766">
      <c r="J766" s="228"/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</row>
    <row r="767">
      <c r="J767" s="228"/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</row>
    <row r="768">
      <c r="J768" s="228"/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</row>
    <row r="769">
      <c r="J769" s="228"/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</row>
    <row r="770">
      <c r="J770" s="228"/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</row>
    <row r="771">
      <c r="J771" s="228"/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</row>
    <row r="772">
      <c r="J772" s="228"/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</row>
    <row r="773">
      <c r="J773" s="228"/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</row>
    <row r="774">
      <c r="J774" s="228"/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</row>
    <row r="775">
      <c r="J775" s="228"/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</row>
    <row r="776">
      <c r="J776" s="228"/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</row>
    <row r="777">
      <c r="J777" s="228"/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</row>
    <row r="778">
      <c r="J778" s="228"/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</row>
    <row r="779">
      <c r="J779" s="228"/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</row>
    <row r="780">
      <c r="J780" s="228"/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</row>
    <row r="781">
      <c r="J781" s="228"/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</row>
    <row r="782">
      <c r="J782" s="228"/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</row>
    <row r="783">
      <c r="J783" s="228"/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</row>
    <row r="784">
      <c r="J784" s="228"/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</row>
    <row r="785">
      <c r="J785" s="228"/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</row>
    <row r="786">
      <c r="J786" s="228"/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</row>
    <row r="787">
      <c r="J787" s="228"/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</row>
    <row r="788">
      <c r="J788" s="228"/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</row>
    <row r="789">
      <c r="J789" s="228"/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</row>
    <row r="790">
      <c r="J790" s="228"/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</row>
    <row r="791">
      <c r="J791" s="228"/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</row>
    <row r="792">
      <c r="J792" s="228"/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</row>
    <row r="793">
      <c r="J793" s="228"/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</row>
    <row r="794">
      <c r="J794" s="228"/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</row>
    <row r="795">
      <c r="J795" s="228"/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</row>
    <row r="796">
      <c r="J796" s="228"/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</row>
    <row r="797">
      <c r="J797" s="228"/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</row>
    <row r="798">
      <c r="J798" s="228"/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</row>
    <row r="799">
      <c r="J799" s="228"/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</row>
    <row r="800">
      <c r="J800" s="228"/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</row>
    <row r="801">
      <c r="J801" s="228"/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</row>
    <row r="802">
      <c r="J802" s="228"/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</row>
    <row r="803">
      <c r="J803" s="228"/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</row>
    <row r="804">
      <c r="J804" s="228"/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</row>
    <row r="805">
      <c r="J805" s="228"/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</row>
    <row r="806">
      <c r="J806" s="228"/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</row>
    <row r="807">
      <c r="J807" s="228"/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</row>
    <row r="808">
      <c r="J808" s="228"/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</row>
    <row r="809">
      <c r="J809" s="228"/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</row>
    <row r="810">
      <c r="J810" s="228"/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</row>
    <row r="811">
      <c r="J811" s="228"/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</row>
    <row r="812">
      <c r="J812" s="228"/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</row>
    <row r="813">
      <c r="J813" s="228"/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</row>
    <row r="814">
      <c r="J814" s="228"/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</row>
    <row r="815">
      <c r="J815" s="228"/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</row>
    <row r="816">
      <c r="J816" s="228"/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</row>
    <row r="817">
      <c r="J817" s="228"/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</row>
    <row r="818">
      <c r="J818" s="228"/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</row>
    <row r="819">
      <c r="J819" s="228"/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</row>
    <row r="820">
      <c r="J820" s="228"/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</row>
    <row r="821">
      <c r="J821" s="228"/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</row>
    <row r="822">
      <c r="J822" s="228"/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</row>
    <row r="823">
      <c r="J823" s="228"/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</row>
    <row r="824">
      <c r="J824" s="228"/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</row>
    <row r="825">
      <c r="J825" s="228"/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</row>
    <row r="826">
      <c r="J826" s="228"/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</row>
    <row r="827">
      <c r="J827" s="228"/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</row>
    <row r="828">
      <c r="J828" s="228"/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</row>
    <row r="829">
      <c r="J829" s="228"/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</row>
    <row r="830">
      <c r="J830" s="228"/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</row>
    <row r="831">
      <c r="J831" s="228"/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</row>
    <row r="832">
      <c r="J832" s="228"/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</row>
    <row r="833">
      <c r="J833" s="228"/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</row>
    <row r="834">
      <c r="J834" s="228"/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</row>
    <row r="835">
      <c r="J835" s="228"/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</row>
    <row r="836">
      <c r="J836" s="228"/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</row>
    <row r="837">
      <c r="J837" s="228"/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</row>
    <row r="838">
      <c r="J838" s="228"/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</row>
    <row r="839">
      <c r="J839" s="228"/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</row>
    <row r="840">
      <c r="J840" s="228"/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</row>
    <row r="841">
      <c r="J841" s="228"/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</row>
    <row r="842">
      <c r="J842" s="228"/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</row>
    <row r="843">
      <c r="J843" s="228"/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</row>
    <row r="844">
      <c r="J844" s="228"/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</row>
    <row r="845">
      <c r="J845" s="228"/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</row>
    <row r="846">
      <c r="J846" s="228"/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</row>
    <row r="847">
      <c r="J847" s="228"/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</row>
    <row r="848">
      <c r="J848" s="228"/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</row>
    <row r="849">
      <c r="J849" s="228"/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</row>
    <row r="850">
      <c r="J850" s="228"/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</row>
    <row r="851">
      <c r="J851" s="228"/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</row>
    <row r="852">
      <c r="J852" s="228"/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</row>
    <row r="853">
      <c r="J853" s="228"/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</row>
    <row r="854">
      <c r="J854" s="228"/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</row>
    <row r="855">
      <c r="J855" s="228"/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</row>
    <row r="856">
      <c r="J856" s="228"/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</row>
    <row r="857">
      <c r="J857" s="228"/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</row>
    <row r="858">
      <c r="J858" s="228"/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</row>
    <row r="859">
      <c r="J859" s="228"/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</row>
    <row r="860">
      <c r="J860" s="228"/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</row>
    <row r="861">
      <c r="J861" s="228"/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</row>
    <row r="862">
      <c r="J862" s="228"/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</row>
    <row r="863">
      <c r="J863" s="228"/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</row>
    <row r="864">
      <c r="J864" s="228"/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</row>
    <row r="865">
      <c r="J865" s="228"/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</row>
    <row r="866">
      <c r="J866" s="228"/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</row>
    <row r="867">
      <c r="J867" s="228"/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</row>
    <row r="868">
      <c r="J868" s="228"/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</row>
    <row r="869">
      <c r="J869" s="228"/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</row>
    <row r="870">
      <c r="J870" s="228"/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</row>
    <row r="871">
      <c r="J871" s="228"/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</row>
    <row r="872">
      <c r="J872" s="228"/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</row>
    <row r="873">
      <c r="J873" s="228"/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</row>
    <row r="874">
      <c r="J874" s="228"/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</row>
    <row r="875">
      <c r="J875" s="228"/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</row>
    <row r="876">
      <c r="J876" s="228"/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</row>
    <row r="877">
      <c r="J877" s="228"/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</row>
    <row r="878">
      <c r="J878" s="228"/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</row>
    <row r="879">
      <c r="J879" s="228"/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</row>
    <row r="880">
      <c r="J880" s="228"/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</row>
    <row r="881">
      <c r="J881" s="228"/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</row>
    <row r="882">
      <c r="J882" s="228"/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</row>
    <row r="883">
      <c r="J883" s="228"/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</row>
    <row r="884">
      <c r="J884" s="228"/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</row>
    <row r="885">
      <c r="J885" s="228"/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</row>
    <row r="886">
      <c r="J886" s="228"/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</row>
    <row r="887">
      <c r="J887" s="228"/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</row>
    <row r="888">
      <c r="J888" s="228"/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</row>
    <row r="889">
      <c r="J889" s="228"/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</row>
    <row r="890">
      <c r="J890" s="228"/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</row>
    <row r="891">
      <c r="J891" s="228"/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</row>
    <row r="892">
      <c r="J892" s="228"/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</row>
    <row r="893">
      <c r="J893" s="228"/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</row>
    <row r="894">
      <c r="J894" s="228"/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</row>
    <row r="895">
      <c r="J895" s="228"/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</row>
    <row r="896">
      <c r="J896" s="228"/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</row>
    <row r="897">
      <c r="J897" s="228"/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</row>
    <row r="898">
      <c r="J898" s="228"/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</row>
    <row r="899">
      <c r="J899" s="228"/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</row>
    <row r="900">
      <c r="J900" s="228"/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</row>
    <row r="901">
      <c r="J901" s="228"/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</row>
    <row r="902">
      <c r="J902" s="228"/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</row>
    <row r="903">
      <c r="J903" s="228"/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</row>
    <row r="904">
      <c r="J904" s="228"/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</row>
    <row r="905">
      <c r="J905" s="228"/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</row>
    <row r="906">
      <c r="J906" s="228"/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</row>
    <row r="907">
      <c r="J907" s="228"/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</row>
    <row r="908">
      <c r="J908" s="228"/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</row>
    <row r="909">
      <c r="J909" s="228"/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</row>
    <row r="910">
      <c r="J910" s="228"/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</row>
    <row r="911">
      <c r="J911" s="228"/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</row>
    <row r="912">
      <c r="J912" s="228"/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</row>
    <row r="913">
      <c r="J913" s="228"/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</row>
    <row r="914">
      <c r="J914" s="228"/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</row>
    <row r="915">
      <c r="J915" s="228"/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</row>
    <row r="916">
      <c r="J916" s="228"/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</row>
    <row r="917">
      <c r="J917" s="228"/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</row>
    <row r="918">
      <c r="J918" s="228"/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</row>
    <row r="919">
      <c r="J919" s="228"/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</row>
    <row r="920">
      <c r="J920" s="228"/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</row>
    <row r="921">
      <c r="J921" s="228"/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</row>
    <row r="922">
      <c r="J922" s="228"/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</row>
    <row r="923">
      <c r="J923" s="228"/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</row>
    <row r="924">
      <c r="J924" s="228"/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</row>
    <row r="925">
      <c r="J925" s="228"/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</row>
    <row r="926">
      <c r="J926" s="228"/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</row>
    <row r="927">
      <c r="J927" s="228"/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</row>
    <row r="928">
      <c r="J928" s="228"/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</row>
    <row r="929">
      <c r="J929" s="228"/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</row>
    <row r="930">
      <c r="J930" s="228"/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</row>
    <row r="931">
      <c r="J931" s="228"/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</row>
    <row r="932">
      <c r="J932" s="228"/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</row>
    <row r="933">
      <c r="J933" s="228"/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</row>
    <row r="934">
      <c r="J934" s="228"/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</row>
    <row r="935">
      <c r="J935" s="228"/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</row>
    <row r="936">
      <c r="J936" s="228"/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</row>
    <row r="937">
      <c r="J937" s="228"/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</row>
    <row r="938">
      <c r="J938" s="228"/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</row>
    <row r="939">
      <c r="J939" s="228"/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</row>
    <row r="940">
      <c r="J940" s="228"/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</row>
    <row r="941">
      <c r="J941" s="228"/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</row>
    <row r="942">
      <c r="J942" s="228"/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</row>
    <row r="943">
      <c r="J943" s="228"/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</row>
    <row r="944">
      <c r="J944" s="228"/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</row>
    <row r="945">
      <c r="J945" s="228"/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</row>
    <row r="946">
      <c r="J946" s="228"/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</row>
    <row r="947">
      <c r="J947" s="228"/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</row>
    <row r="948">
      <c r="J948" s="228"/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</row>
    <row r="949">
      <c r="J949" s="228"/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</row>
    <row r="950">
      <c r="J950" s="228"/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</row>
    <row r="951">
      <c r="J951" s="228"/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</row>
    <row r="952">
      <c r="J952" s="228"/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</row>
    <row r="953">
      <c r="J953" s="228"/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</row>
    <row r="954">
      <c r="J954" s="228"/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</row>
    <row r="955">
      <c r="J955" s="228"/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</row>
    <row r="956">
      <c r="J956" s="228"/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</row>
    <row r="957">
      <c r="J957" s="228"/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</row>
    <row r="958">
      <c r="J958" s="228"/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</row>
    <row r="959">
      <c r="J959" s="228"/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</row>
    <row r="960">
      <c r="J960" s="228"/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</row>
    <row r="961">
      <c r="J961" s="228"/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</row>
    <row r="962">
      <c r="J962" s="228"/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</row>
    <row r="963">
      <c r="J963" s="228"/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</row>
    <row r="964">
      <c r="J964" s="228"/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</row>
    <row r="965">
      <c r="J965" s="228"/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</row>
    <row r="966">
      <c r="J966" s="228"/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</row>
    <row r="967">
      <c r="J967" s="228"/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</row>
    <row r="968">
      <c r="J968" s="228"/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</row>
    <row r="969">
      <c r="J969" s="228"/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</row>
    <row r="970">
      <c r="J970" s="228"/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">
      <formula1>"Previous Week,Current Week"</formula1>
    </dataValidation>
  </dataValidation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70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Week",$B$11:$X$96,match("SALES",$B$11:$X$11,0),FALSE)</f>
        <v>0</v>
      </c>
      <c r="L4" s="13"/>
      <c r="M4" s="13"/>
      <c r="N4" s="22">
        <f>VLOOKUP("Current Week",$B$11:$X$96,match("Units Sold",$B$11:$X$11,0),FALSE)</f>
        <v>0</v>
      </c>
      <c r="O4" s="10"/>
      <c r="P4" s="8"/>
      <c r="Q4" s="3"/>
      <c r="R4" s="13"/>
      <c r="S4" s="22">
        <f>VLOOKUP("Current Week",$B$11:$X$96,match("Ordered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Week",$B$11:$X$101,match("SALES",$B$11:$X$11,0),FALSE)))/K4</f>
        <v>#DIV/0!</v>
      </c>
      <c r="L5" s="13"/>
      <c r="M5" s="13"/>
      <c r="N5" s="27" t="str">
        <f>(N4-(VLOOKUP("Previous Week",$B$11:$X$101,match("Units Sold",$B$11:$X$11,0),FALSE)))/N4</f>
        <v>#DIV/0!</v>
      </c>
      <c r="O5" s="10"/>
      <c r="P5" s="10"/>
      <c r="Q5" s="8"/>
      <c r="R5" s="13"/>
      <c r="S5" s="27" t="str">
        <f>(S4-(VLOOKUP("Previous Week",$B$11:$X$101,match("Ordered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Week",$B$11:$X$96,match("AD SALES",$B$11:$X$11,0),FALSE)</f>
        <v>571</v>
      </c>
      <c r="L8" s="13"/>
      <c r="M8" s="13"/>
      <c r="N8" s="31">
        <f>VLOOKUP("Current Week",$B$11:$X$96,match("SP AD SPEND",$B$11:$X$11,0),FALSE)</f>
        <v>486.92</v>
      </c>
      <c r="O8" s="10"/>
      <c r="P8" s="8"/>
      <c r="Q8" s="3"/>
      <c r="R8" s="13"/>
      <c r="S8" s="32">
        <f>N8/K8</f>
        <v>0.8527495622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Week",$B$11:$X$101,match("AD SALES",$B$11:$X$11,0),FALSE)))/K8</f>
        <v>-0.9369527145</v>
      </c>
      <c r="L9" s="13"/>
      <c r="M9" s="13"/>
      <c r="N9" s="37">
        <f>(N8-(VLOOKUP("Previous Week",$B$11:$X$101,match("SP AD SPEND",$B$11:$X$11,0),FALSE)))/N8</f>
        <v>-0.05456748542</v>
      </c>
      <c r="Q9" s="35"/>
      <c r="R9" s="13"/>
      <c r="S9" s="37">
        <f>(S8-(VLOOKUP("Previous Week",$B$11:$X$101,match("ACOS",$B$11:$X$11,0),FALSE)))/S8</f>
        <v>0.4555533145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87" si="1">E13/F13</f>
        <v>#DIV/0!</v>
      </c>
      <c r="H13" s="79" t="str">
        <f t="shared" ref="H13:H87" si="2">D13/E13</f>
        <v>#DIV/0!</v>
      </c>
      <c r="I13" s="80" t="str">
        <f t="shared" ref="I13:I87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87" si="5">M13/J13</f>
        <v>#DIV/0!</v>
      </c>
      <c r="P13" s="85" t="str">
        <f t="shared" ref="P13:P87" si="6">J13/D13</f>
        <v>#DIV/0!</v>
      </c>
      <c r="Q13" s="87" t="str">
        <f t="shared" ref="Q13:Q87" si="7">M13/D13</f>
        <v>#DIV/0!</v>
      </c>
      <c r="R13" s="88">
        <f t="shared" ref="R13:R16" si="8">D13-M13</f>
        <v>0</v>
      </c>
      <c r="S13" s="89" t="str">
        <f t="shared" ref="S13:S87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4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6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74" t="s">
        <v>33</v>
      </c>
      <c r="C65" s="117" t="s">
        <v>34</v>
      </c>
      <c r="D65" s="130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31">
        <v>0.0</v>
      </c>
      <c r="K65" s="121">
        <v>0.0</v>
      </c>
      <c r="L65" s="135"/>
      <c r="M65" s="132">
        <v>0.0</v>
      </c>
      <c r="N65" s="85" t="str">
        <f>(J65/M65)</f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100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01" t="str">
        <f t="shared" ref="A66:A67" si="80">iferror(if(B66&gt;0,month(B66)&amp;"-"&amp;year(B66),B66),)</f>
        <v>12-2025</v>
      </c>
      <c r="B66" s="74">
        <v>45997.0</v>
      </c>
      <c r="C66" s="117" t="s">
        <v>35</v>
      </c>
      <c r="D66" s="133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28">
        <v>1220.18</v>
      </c>
      <c r="K66" s="121">
        <v>75696.0</v>
      </c>
      <c r="L66" s="135"/>
      <c r="M66" s="129">
        <v>391.0</v>
      </c>
      <c r="N66" s="85">
        <f t="shared" ref="N66:N69" si="83">J66/M66</f>
        <v>3.120664962</v>
      </c>
      <c r="O66" s="86">
        <f t="shared" si="5"/>
        <v>0.3204445246</v>
      </c>
      <c r="P66" s="85" t="str">
        <f t="shared" si="6"/>
        <v>#DIV/0!</v>
      </c>
      <c r="Q66" s="87" t="str">
        <f t="shared" si="7"/>
        <v>#DIV/0!</v>
      </c>
      <c r="R66" s="88">
        <f t="shared" si="79"/>
        <v>-391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collapsed="1">
      <c r="A67" s="116" t="str">
        <f t="shared" si="80"/>
        <v/>
      </c>
      <c r="B67" s="137" t="s">
        <v>47</v>
      </c>
      <c r="C67" s="138"/>
      <c r="D67" s="104">
        <f t="shared" ref="D67:F67" si="81">SUM(D63:D66)</f>
        <v>0</v>
      </c>
      <c r="E67" s="105">
        <f t="shared" si="81"/>
        <v>0</v>
      </c>
      <c r="F67" s="105">
        <f t="shared" si="81"/>
        <v>0</v>
      </c>
      <c r="G67" s="106" t="str">
        <f t="shared" si="1"/>
        <v>#DIV/0!</v>
      </c>
      <c r="H67" s="107" t="str">
        <f t="shared" si="2"/>
        <v>#DIV/0!</v>
      </c>
      <c r="I67" s="108" t="str">
        <f t="shared" si="3"/>
        <v>#DIV/0!</v>
      </c>
      <c r="J67" s="104">
        <f t="shared" ref="J67:M67" si="82">SUM(J63:J66)</f>
        <v>2625.65</v>
      </c>
      <c r="K67" s="109">
        <f t="shared" si="82"/>
        <v>180846</v>
      </c>
      <c r="L67" s="139">
        <f t="shared" si="82"/>
        <v>0</v>
      </c>
      <c r="M67" s="110">
        <f t="shared" si="82"/>
        <v>1335</v>
      </c>
      <c r="N67" s="111">
        <f t="shared" si="83"/>
        <v>1.966779026</v>
      </c>
      <c r="O67" s="112">
        <f t="shared" si="5"/>
        <v>0.5084455278</v>
      </c>
      <c r="P67" s="111" t="str">
        <f t="shared" si="6"/>
        <v>#DIV/0!</v>
      </c>
      <c r="Q67" s="113" t="str">
        <f t="shared" si="7"/>
        <v>#DIV/0!</v>
      </c>
      <c r="R67" s="114">
        <f>SUM(R63:R66)</f>
        <v>-1335</v>
      </c>
      <c r="S67" s="115" t="str">
        <f t="shared" si="9"/>
        <v>#DIV/0!</v>
      </c>
      <c r="T67" s="140" t="str">
        <f t="shared" ref="T67:U67" si="84">IFERROR((D67-#REF!)/D67,)</f>
        <v/>
      </c>
      <c r="U67" s="140" t="str">
        <f t="shared" si="84"/>
        <v/>
      </c>
      <c r="V67" s="140" t="str">
        <f t="shared" ref="V67:W67" si="85">IFERROR((D67-#REF!)/D67, )</f>
        <v/>
      </c>
      <c r="W67" s="140" t="str">
        <f t="shared" si="85"/>
        <v/>
      </c>
      <c r="X67" s="116"/>
      <c r="Y67" s="116"/>
      <c r="Z67" s="116"/>
    </row>
    <row r="68" hidden="1" outlineLevel="1">
      <c r="A68" s="116"/>
      <c r="B68" s="74">
        <v>45998.0</v>
      </c>
      <c r="C68" s="117" t="s">
        <v>31</v>
      </c>
      <c r="D68" s="118"/>
      <c r="E68" s="119"/>
      <c r="F68" s="119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120">
        <v>167.6</v>
      </c>
      <c r="K68" s="121">
        <v>9254.0</v>
      </c>
      <c r="L68" s="135"/>
      <c r="M68" s="123">
        <v>559.0</v>
      </c>
      <c r="N68" s="85">
        <f t="shared" si="83"/>
        <v>0.2998211091</v>
      </c>
      <c r="O68" s="86">
        <f t="shared" si="5"/>
        <v>3.335322196</v>
      </c>
      <c r="P68" s="85" t="str">
        <f t="shared" si="6"/>
        <v>#DIV/0!</v>
      </c>
      <c r="Q68" s="87" t="str">
        <f t="shared" si="7"/>
        <v>#DIV/0!</v>
      </c>
      <c r="R68" s="88">
        <f t="shared" ref="R68:R71" si="86">D68-M68</f>
        <v>-559</v>
      </c>
      <c r="S68" s="89" t="str">
        <f t="shared" si="9"/>
        <v>#DIV/0!</v>
      </c>
      <c r="T68" s="124"/>
      <c r="U68" s="124"/>
      <c r="V68" s="124"/>
      <c r="W68" s="124"/>
      <c r="X68" s="125"/>
      <c r="Y68" s="116"/>
      <c r="Z68" s="116"/>
    </row>
    <row r="69" hidden="1" outlineLevel="1">
      <c r="A69" s="116"/>
      <c r="B69" s="126"/>
      <c r="C69" s="117" t="s">
        <v>32</v>
      </c>
      <c r="D69" s="127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8">
        <v>186.66</v>
      </c>
      <c r="K69" s="121">
        <v>18782.0</v>
      </c>
      <c r="L69" s="135"/>
      <c r="M69" s="129">
        <v>0.0</v>
      </c>
      <c r="N69" s="85" t="str">
        <f t="shared" si="83"/>
        <v>#DIV/0!</v>
      </c>
      <c r="O69" s="86">
        <f t="shared" si="5"/>
        <v>0</v>
      </c>
      <c r="P69" s="85" t="str">
        <f t="shared" si="6"/>
        <v>#DIV/0!</v>
      </c>
      <c r="Q69" s="87" t="str">
        <f t="shared" si="7"/>
        <v>#DIV/0!</v>
      </c>
      <c r="R69" s="95">
        <f t="shared" si="86"/>
        <v>0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74" t="s">
        <v>33</v>
      </c>
      <c r="C70" s="117" t="s">
        <v>34</v>
      </c>
      <c r="D70" s="130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31">
        <v>0.0</v>
      </c>
      <c r="K70" s="121">
        <v>0.0</v>
      </c>
      <c r="L70" s="135"/>
      <c r="M70" s="132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01" t="str">
        <f t="shared" ref="A71:A72" si="87">iferror(if(B71&gt;0,month(B71)&amp;"-"&amp;year(B71),B71),)</f>
        <v>12-2025</v>
      </c>
      <c r="B71" s="74">
        <v>46004.0</v>
      </c>
      <c r="C71" s="117" t="s">
        <v>35</v>
      </c>
      <c r="D71" s="133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176.02</v>
      </c>
      <c r="K71" s="121">
        <v>9377.0</v>
      </c>
      <c r="L71" s="135"/>
      <c r="M71" s="129">
        <v>0.0</v>
      </c>
      <c r="N71" s="85" t="str">
        <f t="shared" ref="N71:N74" si="90">J71/M71</f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88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>
      <c r="A72" s="116" t="str">
        <f t="shared" si="87"/>
        <v/>
      </c>
      <c r="B72" s="137" t="s">
        <v>49</v>
      </c>
      <c r="C72" s="138"/>
      <c r="D72" s="104">
        <f t="shared" ref="D72:F72" si="88">SUM(D68:D71)</f>
        <v>0</v>
      </c>
      <c r="E72" s="105">
        <f t="shared" si="88"/>
        <v>0</v>
      </c>
      <c r="F72" s="105">
        <f t="shared" si="88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89">SUM(J68:J71)</f>
        <v>530.28</v>
      </c>
      <c r="K72" s="109">
        <f t="shared" si="89"/>
        <v>37413</v>
      </c>
      <c r="L72" s="139">
        <f t="shared" si="89"/>
        <v>0</v>
      </c>
      <c r="M72" s="110">
        <f t="shared" si="89"/>
        <v>559</v>
      </c>
      <c r="N72" s="111">
        <f t="shared" si="90"/>
        <v>0.9486225403</v>
      </c>
      <c r="O72" s="112">
        <f t="shared" si="5"/>
        <v>1.054160066</v>
      </c>
      <c r="P72" s="111" t="str">
        <f t="shared" si="6"/>
        <v>#DIV/0!</v>
      </c>
      <c r="Q72" s="113" t="str">
        <f t="shared" si="7"/>
        <v>#DIV/0!</v>
      </c>
      <c r="R72" s="114">
        <f>SUM(R68:R71)</f>
        <v>-559</v>
      </c>
      <c r="S72" s="115" t="str">
        <f t="shared" si="9"/>
        <v>#DIV/0!</v>
      </c>
      <c r="T72" s="140" t="str">
        <f t="shared" ref="T72:U72" si="91">IFERROR((D72-#REF!)/D72,)</f>
        <v/>
      </c>
      <c r="U72" s="140" t="str">
        <f t="shared" si="91"/>
        <v/>
      </c>
      <c r="V72" s="140" t="str">
        <f t="shared" ref="V72:W72" si="92">IFERROR((D72-#REF!)/D72, )</f>
        <v/>
      </c>
      <c r="W72" s="140" t="str">
        <f t="shared" si="92"/>
        <v/>
      </c>
      <c r="X72" s="116"/>
      <c r="Y72" s="116"/>
      <c r="Z72" s="116"/>
    </row>
    <row r="73">
      <c r="A73" s="116"/>
      <c r="B73" s="74">
        <v>46005.0</v>
      </c>
      <c r="C73" s="117" t="s">
        <v>31</v>
      </c>
      <c r="D73" s="118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20">
        <v>184.7</v>
      </c>
      <c r="K73" s="121">
        <v>9908.0</v>
      </c>
      <c r="L73" s="135"/>
      <c r="M73" s="123">
        <v>0.0</v>
      </c>
      <c r="N73" s="85" t="str">
        <f t="shared" si="90"/>
        <v>#DIV/0!</v>
      </c>
      <c r="O73" s="86">
        <f t="shared" si="5"/>
        <v>0</v>
      </c>
      <c r="P73" s="85" t="str">
        <f t="shared" si="6"/>
        <v>#DIV/0!</v>
      </c>
      <c r="Q73" s="87" t="str">
        <f t="shared" si="7"/>
        <v>#DIV/0!</v>
      </c>
      <c r="R73" s="88">
        <f t="shared" ref="R73:R76" si="93">D73-M73</f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>
      <c r="A74" s="116"/>
      <c r="B74" s="126"/>
      <c r="C74" s="117" t="s">
        <v>32</v>
      </c>
      <c r="D74" s="127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161.84</v>
      </c>
      <c r="K74" s="121">
        <v>13094.0</v>
      </c>
      <c r="L74" s="135"/>
      <c r="M74" s="129">
        <v>1106.0</v>
      </c>
      <c r="N74" s="85">
        <f t="shared" si="90"/>
        <v>0.1463291139</v>
      </c>
      <c r="O74" s="86">
        <f t="shared" si="5"/>
        <v>6.833910035</v>
      </c>
      <c r="P74" s="85" t="str">
        <f t="shared" si="6"/>
        <v>#DIV/0!</v>
      </c>
      <c r="Q74" s="87" t="str">
        <f t="shared" si="7"/>
        <v>#DIV/0!</v>
      </c>
      <c r="R74" s="95">
        <f t="shared" si="93"/>
        <v>-1106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>
      <c r="A75" s="116"/>
      <c r="B75" s="74" t="s">
        <v>33</v>
      </c>
      <c r="C75" s="117" t="s">
        <v>34</v>
      </c>
      <c r="D75" s="130"/>
      <c r="E75" s="119"/>
      <c r="F75" s="119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131">
        <v>0.0</v>
      </c>
      <c r="K75" s="121">
        <v>0.0</v>
      </c>
      <c r="L75" s="135"/>
      <c r="M75" s="132">
        <v>0.0</v>
      </c>
      <c r="N75" s="85" t="str">
        <f>(J75/M75)</f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100">
        <f t="shared" si="93"/>
        <v>0</v>
      </c>
      <c r="S75" s="89" t="str">
        <f t="shared" si="9"/>
        <v>#DIV/0!</v>
      </c>
      <c r="T75" s="124"/>
      <c r="U75" s="124"/>
      <c r="V75" s="124"/>
      <c r="W75" s="124"/>
      <c r="X75" s="125"/>
      <c r="Y75" s="116"/>
      <c r="Z75" s="116"/>
    </row>
    <row r="76">
      <c r="A76" s="101" t="str">
        <f t="shared" ref="A76:A77" si="94">iferror(if(B76&gt;0,month(B76)&amp;"-"&amp;year(B76),B76),)</f>
        <v>12-2025</v>
      </c>
      <c r="B76" s="74">
        <v>46011.0</v>
      </c>
      <c r="C76" s="117" t="s">
        <v>35</v>
      </c>
      <c r="D76" s="133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8">
        <v>166.95</v>
      </c>
      <c r="K76" s="121">
        <v>5380.0</v>
      </c>
      <c r="L76" s="135"/>
      <c r="M76" s="129">
        <v>0.0</v>
      </c>
      <c r="N76" s="85" t="str">
        <f t="shared" ref="N76:N79" si="97">J76/M76</f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si="93"/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>
      <c r="A77" s="116" t="str">
        <f t="shared" si="94"/>
        <v/>
      </c>
      <c r="B77" s="214" t="s">
        <v>51</v>
      </c>
      <c r="C77" s="138"/>
      <c r="D77" s="104">
        <f t="shared" ref="D77:F77" si="95">SUM(D73:D76)</f>
        <v>0</v>
      </c>
      <c r="E77" s="105">
        <f t="shared" si="95"/>
        <v>0</v>
      </c>
      <c r="F77" s="105">
        <f t="shared" si="95"/>
        <v>0</v>
      </c>
      <c r="G77" s="106" t="str">
        <f t="shared" si="1"/>
        <v>#DIV/0!</v>
      </c>
      <c r="H77" s="107" t="str">
        <f t="shared" si="2"/>
        <v>#DIV/0!</v>
      </c>
      <c r="I77" s="108" t="str">
        <f t="shared" si="3"/>
        <v>#DIV/0!</v>
      </c>
      <c r="J77" s="104">
        <f t="shared" ref="J77:M77" si="96">SUM(J73:J76)</f>
        <v>513.49</v>
      </c>
      <c r="K77" s="109">
        <f t="shared" si="96"/>
        <v>28382</v>
      </c>
      <c r="L77" s="139">
        <f t="shared" si="96"/>
        <v>0</v>
      </c>
      <c r="M77" s="110">
        <f t="shared" si="96"/>
        <v>1106</v>
      </c>
      <c r="N77" s="111">
        <f t="shared" si="97"/>
        <v>0.4642766727</v>
      </c>
      <c r="O77" s="112">
        <f t="shared" si="5"/>
        <v>2.153888099</v>
      </c>
      <c r="P77" s="111" t="str">
        <f t="shared" si="6"/>
        <v>#DIV/0!</v>
      </c>
      <c r="Q77" s="113" t="str">
        <f t="shared" si="7"/>
        <v>#DIV/0!</v>
      </c>
      <c r="R77" s="114">
        <f>SUM(R73:R76)</f>
        <v>-1106</v>
      </c>
      <c r="S77" s="115" t="str">
        <f t="shared" si="9"/>
        <v>#DIV/0!</v>
      </c>
      <c r="T77" s="140" t="str">
        <f t="shared" ref="T77:U77" si="98">IFERROR((D77-#REF!)/D77,)</f>
        <v/>
      </c>
      <c r="U77" s="140" t="str">
        <f t="shared" si="98"/>
        <v/>
      </c>
      <c r="V77" s="140" t="str">
        <f t="shared" ref="V77:W77" si="99">IFERROR((D77-#REF!)/D77, )</f>
        <v/>
      </c>
      <c r="W77" s="140" t="str">
        <f t="shared" si="99"/>
        <v/>
      </c>
      <c r="X77" s="116"/>
      <c r="Y77" s="116"/>
      <c r="Z77" s="116"/>
    </row>
    <row r="78">
      <c r="A78" s="13"/>
      <c r="B78" s="143">
        <v>46012.0</v>
      </c>
      <c r="C78" s="75" t="s">
        <v>31</v>
      </c>
      <c r="D78" s="76"/>
      <c r="E78" s="77"/>
      <c r="F78" s="77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81">
        <v>176.83</v>
      </c>
      <c r="K78" s="82">
        <v>10330.0</v>
      </c>
      <c r="L78" s="83"/>
      <c r="M78" s="84">
        <v>839.0</v>
      </c>
      <c r="N78" s="85">
        <f t="shared" si="97"/>
        <v>0.2107628129</v>
      </c>
      <c r="O78" s="86">
        <f t="shared" si="5"/>
        <v>4.744670022</v>
      </c>
      <c r="P78" s="85" t="str">
        <f t="shared" si="6"/>
        <v>#DIV/0!</v>
      </c>
      <c r="Q78" s="87" t="str">
        <f t="shared" si="7"/>
        <v>#DIV/0!</v>
      </c>
      <c r="R78" s="88">
        <f t="shared" ref="R78:R81" si="100">D78-M78</f>
        <v>-839</v>
      </c>
      <c r="S78" s="89" t="str">
        <f t="shared" si="9"/>
        <v>#DIV/0!</v>
      </c>
      <c r="T78" s="90"/>
      <c r="U78" s="90"/>
      <c r="V78" s="90"/>
      <c r="W78" s="90"/>
      <c r="X78" s="3"/>
      <c r="Y78" s="13"/>
      <c r="Z78" s="13"/>
    </row>
    <row r="79">
      <c r="A79" s="13"/>
      <c r="B79" s="91"/>
      <c r="C79" s="75" t="s">
        <v>32</v>
      </c>
      <c r="D79" s="92"/>
      <c r="E79" s="77"/>
      <c r="F79" s="77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93">
        <v>169.03</v>
      </c>
      <c r="K79" s="82">
        <v>10693.0</v>
      </c>
      <c r="L79" s="83"/>
      <c r="M79" s="94">
        <v>177.0</v>
      </c>
      <c r="N79" s="85">
        <f t="shared" si="97"/>
        <v>0.9549717514</v>
      </c>
      <c r="O79" s="86">
        <f t="shared" si="5"/>
        <v>1.047151393</v>
      </c>
      <c r="P79" s="85" t="str">
        <f t="shared" si="6"/>
        <v>#DIV/0!</v>
      </c>
      <c r="Q79" s="87" t="str">
        <f t="shared" si="7"/>
        <v>#DIV/0!</v>
      </c>
      <c r="R79" s="95">
        <f t="shared" si="100"/>
        <v>-177</v>
      </c>
      <c r="S79" s="89" t="str">
        <f t="shared" si="9"/>
        <v>#DIV/0!</v>
      </c>
      <c r="T79" s="90"/>
      <c r="U79" s="90"/>
      <c r="V79" s="90"/>
      <c r="W79" s="90"/>
      <c r="X79" s="3"/>
      <c r="Y79" s="13"/>
      <c r="Z79" s="13"/>
    </row>
    <row r="80">
      <c r="A80" s="13"/>
      <c r="B80" s="148" t="s">
        <v>33</v>
      </c>
      <c r="C80" s="75" t="s">
        <v>34</v>
      </c>
      <c r="D80" s="97"/>
      <c r="E80" s="77"/>
      <c r="F80" s="77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98">
        <v>0.0</v>
      </c>
      <c r="K80" s="82">
        <v>0.0</v>
      </c>
      <c r="L80" s="83"/>
      <c r="M80" s="99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100"/>
        <v>0</v>
      </c>
      <c r="S80" s="89" t="str">
        <f t="shared" si="9"/>
        <v>#DIV/0!</v>
      </c>
      <c r="T80" s="90"/>
      <c r="U80" s="90"/>
      <c r="V80" s="90"/>
      <c r="W80" s="90"/>
      <c r="X80" s="3"/>
      <c r="Y80" s="13"/>
      <c r="Z80" s="13"/>
    </row>
    <row r="81">
      <c r="A81" s="101" t="str">
        <f t="shared" ref="A81:A82" si="101">iferror(if(B81&gt;0,month(B81)&amp;"-"&amp;year(B81),B81),)</f>
        <v>12-2025</v>
      </c>
      <c r="B81" s="143">
        <v>46018.0</v>
      </c>
      <c r="C81" s="75" t="s">
        <v>35</v>
      </c>
      <c r="D81" s="102"/>
      <c r="E81" s="77"/>
      <c r="F81" s="77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93">
        <v>174.74</v>
      </c>
      <c r="K81" s="82">
        <v>5497.0</v>
      </c>
      <c r="L81" s="83"/>
      <c r="M81" s="94">
        <v>0.0</v>
      </c>
      <c r="N81" s="85" t="str">
        <f t="shared" ref="N81:N84" si="104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100"/>
        <v>0</v>
      </c>
      <c r="S81" s="89" t="str">
        <f t="shared" si="9"/>
        <v>#DIV/0!</v>
      </c>
      <c r="T81" s="90"/>
      <c r="U81" s="90"/>
      <c r="V81" s="90"/>
      <c r="W81" s="90"/>
      <c r="X81" s="3"/>
      <c r="Y81" s="13"/>
      <c r="Z81" s="13"/>
    </row>
    <row r="82">
      <c r="A82" s="13" t="str">
        <f t="shared" si="101"/>
        <v/>
      </c>
      <c r="B82" s="103" t="s">
        <v>51</v>
      </c>
      <c r="C82" s="61"/>
      <c r="D82" s="104">
        <f t="shared" ref="D82:F82" si="102">SUM(D78:D81)</f>
        <v>0</v>
      </c>
      <c r="E82" s="105">
        <f t="shared" si="102"/>
        <v>0</v>
      </c>
      <c r="F82" s="105">
        <f t="shared" si="102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103">SUM(J78:J81)</f>
        <v>520.6</v>
      </c>
      <c r="K82" s="109">
        <f t="shared" si="103"/>
        <v>26520</v>
      </c>
      <c r="L82" s="105">
        <f t="shared" si="103"/>
        <v>0</v>
      </c>
      <c r="M82" s="110">
        <f t="shared" si="103"/>
        <v>1016</v>
      </c>
      <c r="N82" s="111">
        <f t="shared" si="104"/>
        <v>0.5124015748</v>
      </c>
      <c r="O82" s="112">
        <f t="shared" si="5"/>
        <v>1.951594314</v>
      </c>
      <c r="P82" s="111" t="str">
        <f t="shared" si="6"/>
        <v>#DIV/0!</v>
      </c>
      <c r="Q82" s="113" t="str">
        <f t="shared" si="7"/>
        <v>#DIV/0!</v>
      </c>
      <c r="R82" s="114">
        <f>SUM(R78:R81)</f>
        <v>-1016</v>
      </c>
      <c r="S82" s="115" t="str">
        <f t="shared" si="9"/>
        <v>#DIV/0!</v>
      </c>
      <c r="T82" s="73" t="str">
        <f t="shared" ref="T82:U82" si="105">IFERROR((D82-#REF!)/D82,)</f>
        <v/>
      </c>
      <c r="U82" s="73" t="str">
        <f t="shared" si="105"/>
        <v/>
      </c>
      <c r="V82" s="73" t="str">
        <f t="shared" ref="V82:W82" si="106">IFERROR((D82-#REF!)/D82, )</f>
        <v/>
      </c>
      <c r="W82" s="73" t="str">
        <f t="shared" si="106"/>
        <v/>
      </c>
      <c r="X82" s="13"/>
      <c r="Y82" s="13"/>
      <c r="Z82" s="13"/>
    </row>
    <row r="83">
      <c r="A83" s="13"/>
      <c r="B83" s="143">
        <v>46019.0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163.31</v>
      </c>
      <c r="K83" s="82">
        <v>11820.0</v>
      </c>
      <c r="L83" s="83"/>
      <c r="M83" s="84">
        <v>58.0</v>
      </c>
      <c r="N83" s="85">
        <f t="shared" si="104"/>
        <v>2.815689655</v>
      </c>
      <c r="O83" s="86">
        <f t="shared" si="5"/>
        <v>0.3551527769</v>
      </c>
      <c r="P83" s="85" t="str">
        <f t="shared" si="6"/>
        <v>#DIV/0!</v>
      </c>
      <c r="Q83" s="87" t="str">
        <f t="shared" si="7"/>
        <v>#DIV/0!</v>
      </c>
      <c r="R83" s="88">
        <f t="shared" ref="R83:R86" si="107">D83-M83</f>
        <v>-58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75" t="s">
        <v>32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93">
        <v>157.13</v>
      </c>
      <c r="K84" s="82">
        <v>10589.0</v>
      </c>
      <c r="L84" s="83"/>
      <c r="M84" s="94">
        <v>359.0</v>
      </c>
      <c r="N84" s="85">
        <f t="shared" si="104"/>
        <v>0.4376880223</v>
      </c>
      <c r="O84" s="86">
        <f t="shared" si="5"/>
        <v>2.284732387</v>
      </c>
      <c r="P84" s="85" t="str">
        <f t="shared" si="6"/>
        <v>#DIV/0!</v>
      </c>
      <c r="Q84" s="87" t="str">
        <f t="shared" si="7"/>
        <v>#DIV/0!</v>
      </c>
      <c r="R84" s="95">
        <f t="shared" si="107"/>
        <v>-359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148" t="s">
        <v>33</v>
      </c>
      <c r="C85" s="75" t="s">
        <v>34</v>
      </c>
      <c r="D85" s="97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8">
        <v>0.0</v>
      </c>
      <c r="K85" s="82">
        <v>0.0</v>
      </c>
      <c r="L85" s="83"/>
      <c r="M85" s="99">
        <v>0.0</v>
      </c>
      <c r="N85" s="85" t="str">
        <f>(J85/M85)</f>
        <v>#DIV/0!</v>
      </c>
      <c r="O85" s="86" t="str">
        <f t="shared" si="5"/>
        <v>#DIV/0!</v>
      </c>
      <c r="P85" s="85" t="str">
        <f t="shared" si="6"/>
        <v>#DIV/0!</v>
      </c>
      <c r="Q85" s="87" t="str">
        <f t="shared" si="7"/>
        <v>#DIV/0!</v>
      </c>
      <c r="R85" s="100">
        <f t="shared" si="107"/>
        <v>0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01" t="str">
        <f t="shared" ref="A86:A87" si="108">iferror(if(B86&gt;0,month(B86)&amp;"-"&amp;year(B86),B86),)</f>
        <v>1-2026</v>
      </c>
      <c r="B86" s="143">
        <v>46025.0</v>
      </c>
      <c r="C86" s="75" t="s">
        <v>35</v>
      </c>
      <c r="D86" s="10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166.48</v>
      </c>
      <c r="K86" s="82">
        <v>5772.0</v>
      </c>
      <c r="L86" s="83"/>
      <c r="M86" s="94">
        <v>154.0</v>
      </c>
      <c r="N86" s="85">
        <f t="shared" ref="N86:N87" si="111">J86/M86</f>
        <v>1.081038961</v>
      </c>
      <c r="O86" s="86">
        <f t="shared" si="5"/>
        <v>0.9250360404</v>
      </c>
      <c r="P86" s="85" t="str">
        <f t="shared" si="6"/>
        <v>#DIV/0!</v>
      </c>
      <c r="Q86" s="87" t="str">
        <f t="shared" si="7"/>
        <v>#DIV/0!</v>
      </c>
      <c r="R86" s="88">
        <f t="shared" si="107"/>
        <v>-154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 t="str">
        <f t="shared" si="108"/>
        <v/>
      </c>
      <c r="B87" s="103" t="s">
        <v>52</v>
      </c>
      <c r="C87" s="61"/>
      <c r="D87" s="104">
        <f t="shared" ref="D87:F87" si="109">SUM(D83:D86)</f>
        <v>0</v>
      </c>
      <c r="E87" s="105">
        <f t="shared" si="109"/>
        <v>0</v>
      </c>
      <c r="F87" s="105">
        <f t="shared" si="109"/>
        <v>0</v>
      </c>
      <c r="G87" s="106" t="str">
        <f t="shared" si="1"/>
        <v>#DIV/0!</v>
      </c>
      <c r="H87" s="107" t="str">
        <f t="shared" si="2"/>
        <v>#DIV/0!</v>
      </c>
      <c r="I87" s="108" t="str">
        <f t="shared" si="3"/>
        <v>#DIV/0!</v>
      </c>
      <c r="J87" s="104">
        <f t="shared" ref="J87:M87" si="110">SUM(J83:J86)</f>
        <v>486.92</v>
      </c>
      <c r="K87" s="109">
        <f t="shared" si="110"/>
        <v>28181</v>
      </c>
      <c r="L87" s="105">
        <f t="shared" si="110"/>
        <v>0</v>
      </c>
      <c r="M87" s="110">
        <f t="shared" si="110"/>
        <v>571</v>
      </c>
      <c r="N87" s="111">
        <f t="shared" si="111"/>
        <v>0.8527495622</v>
      </c>
      <c r="O87" s="112">
        <f t="shared" si="5"/>
        <v>1.172677237</v>
      </c>
      <c r="P87" s="111" t="str">
        <f t="shared" si="6"/>
        <v>#DIV/0!</v>
      </c>
      <c r="Q87" s="113" t="str">
        <f t="shared" si="7"/>
        <v>#DIV/0!</v>
      </c>
      <c r="R87" s="114">
        <f>SUM(R83:R86)</f>
        <v>-571</v>
      </c>
      <c r="S87" s="115" t="str">
        <f t="shared" si="9"/>
        <v>#DIV/0!</v>
      </c>
      <c r="T87" s="73" t="str">
        <f t="shared" ref="T87:U87" si="112">IFERROR((D87-D82)/D87,)</f>
        <v/>
      </c>
      <c r="U87" s="73" t="str">
        <f t="shared" si="112"/>
        <v/>
      </c>
      <c r="V87" s="73" t="str">
        <f t="shared" ref="V87:W87" si="113">IFERROR((D87-#REF!)/D87, )</f>
        <v/>
      </c>
      <c r="W87" s="73" t="str">
        <f t="shared" si="113"/>
        <v/>
      </c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7 B72 B77 B82 B87">
      <formula1>"Previous Week,Current Week"</formula1>
    </dataValidation>
  </dataValidation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4" width="37.13"/>
    <col hidden="1" min="5" max="10" width="12.63"/>
  </cols>
  <sheetData>
    <row r="1">
      <c r="A1" s="1" t="s">
        <v>71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6"/>
      <c r="V1" s="6"/>
      <c r="W1" s="4"/>
      <c r="X1" s="4"/>
      <c r="Y1" s="4"/>
      <c r="Z1" s="4"/>
      <c r="AA1" s="4"/>
    </row>
    <row r="2">
      <c r="A2" s="7"/>
      <c r="B2" s="8"/>
      <c r="C2" s="229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8"/>
      <c r="Y2" s="11" t="str">
        <f>(#REF!+#REF!+#REF!+#REF!)-(monthly_reporting_2021!E17+monthly_reporting_2021!E23+monthly_reporting_2021!E29+monthly_reporting_2021!E35)</f>
        <v>#REF!</v>
      </c>
      <c r="Z2" s="12" t="str">
        <f>((#REF!+#REF!+#REF!+#REF!)-(monthly_reporting_2021!F17+monthly_reporting_2021!F23+monthly_reporting_2021!F29+monthly_reporting_2021!F35))/(#REF!+#REF!+#REF!+#REF!)</f>
        <v>#REF!</v>
      </c>
      <c r="AA2" s="3"/>
    </row>
    <row r="3">
      <c r="A3" s="13"/>
      <c r="B3" s="14"/>
      <c r="C3" s="3"/>
      <c r="D3" s="3"/>
      <c r="E3" s="13"/>
      <c r="F3" s="13"/>
      <c r="G3" s="15"/>
      <c r="H3" s="10"/>
      <c r="I3" s="10"/>
      <c r="J3" s="8"/>
      <c r="K3" s="13"/>
      <c r="L3" s="16" t="s">
        <v>2</v>
      </c>
      <c r="M3" s="13"/>
      <c r="N3" s="13"/>
      <c r="O3" s="17" t="s">
        <v>3</v>
      </c>
      <c r="P3" s="10"/>
      <c r="Q3" s="10"/>
      <c r="R3" s="8"/>
      <c r="S3" s="13"/>
      <c r="T3" s="18" t="s">
        <v>4</v>
      </c>
      <c r="U3" s="10"/>
      <c r="V3" s="10"/>
      <c r="W3" s="8"/>
      <c r="X3" s="3"/>
      <c r="Y3" s="3"/>
      <c r="Z3" s="3"/>
      <c r="AA3" s="3"/>
    </row>
    <row r="4">
      <c r="A4" s="13"/>
      <c r="B4" s="14"/>
      <c r="C4" s="19"/>
      <c r="D4" s="19"/>
      <c r="E4" s="13"/>
      <c r="F4" s="13"/>
      <c r="G4" s="20"/>
      <c r="H4" s="10"/>
      <c r="I4" s="8"/>
      <c r="J4" s="3"/>
      <c r="K4" s="13"/>
      <c r="L4" s="21">
        <f>VLOOKUP("Current Week",$B$11:$Y$61,match("SALES",$B$11:$Y$11,0),FALSE)</f>
        <v>0</v>
      </c>
      <c r="M4" s="13"/>
      <c r="N4" s="13"/>
      <c r="O4" s="22">
        <f>VLOOKUP("Current Week",$B$11:$Y$61,match("Units Sold",$B$11:$Y$11,0),FALSE)</f>
        <v>0</v>
      </c>
      <c r="P4" s="10"/>
      <c r="Q4" s="8"/>
      <c r="R4" s="3"/>
      <c r="S4" s="13"/>
      <c r="T4" s="22">
        <f>VLOOKUP("Current Week",$B$11:$Y$61,match("Ordered Items",$B$11:$Y$11,0),FALSE)</f>
        <v>0</v>
      </c>
      <c r="U4" s="10"/>
      <c r="V4" s="8"/>
      <c r="W4" s="3"/>
      <c r="X4" s="3"/>
      <c r="Y4" s="3"/>
      <c r="Z4" s="3"/>
      <c r="AA4" s="3"/>
    </row>
    <row r="5">
      <c r="A5" s="23"/>
      <c r="B5" s="24"/>
      <c r="C5" s="25"/>
      <c r="D5" s="25"/>
      <c r="E5" s="13"/>
      <c r="F5" s="13"/>
      <c r="G5" s="15"/>
      <c r="H5" s="10"/>
      <c r="I5" s="10"/>
      <c r="J5" s="8"/>
      <c r="K5" s="13"/>
      <c r="L5" s="26" t="str">
        <f>(L4-(VLOOKUP("Previous Week",$B$11:$Y$66,match("SALES",$B$11:$Y$11,0),FALSE)))/L4</f>
        <v>#DIV/0!</v>
      </c>
      <c r="M5" s="13"/>
      <c r="N5" s="13"/>
      <c r="O5" s="27" t="str">
        <f>(O4-(VLOOKUP("Previous Week",$B$11:$Y$66,match("Units Sold",$B$11:$Y$11,0),FALSE)))/O4</f>
        <v>#DIV/0!</v>
      </c>
      <c r="P5" s="10"/>
      <c r="Q5" s="10"/>
      <c r="R5" s="8"/>
      <c r="S5" s="13"/>
      <c r="T5" s="27" t="str">
        <f>(T4-(VLOOKUP("Previous Week",$B$11:$Y$66,match("Ordered Items",$B$11:$Y$11,0),FALSE)))/T4</f>
        <v>#DIV/0!</v>
      </c>
      <c r="U5" s="10"/>
      <c r="V5" s="10"/>
      <c r="W5" s="8"/>
      <c r="X5" s="28"/>
      <c r="Y5" s="28"/>
      <c r="Z5" s="28"/>
      <c r="AA5" s="28"/>
    </row>
    <row r="6">
      <c r="A6" s="13"/>
      <c r="B6" s="14"/>
      <c r="C6" s="3"/>
      <c r="D6" s="3"/>
      <c r="E6" s="13"/>
      <c r="F6" s="13"/>
      <c r="G6" s="3"/>
      <c r="H6" s="3"/>
      <c r="I6" s="3"/>
      <c r="J6" s="3"/>
      <c r="K6" s="13"/>
      <c r="L6" s="3"/>
      <c r="M6" s="13"/>
      <c r="N6" s="13"/>
      <c r="O6" s="3"/>
      <c r="P6" s="3"/>
      <c r="Q6" s="3"/>
      <c r="R6" s="3"/>
      <c r="S6" s="13"/>
      <c r="T6" s="3"/>
      <c r="U6" s="3"/>
      <c r="V6" s="3"/>
      <c r="W6" s="3"/>
      <c r="X6" s="3"/>
      <c r="Y6" s="3"/>
      <c r="Z6" s="3"/>
      <c r="AA6" s="3"/>
    </row>
    <row r="7">
      <c r="A7" s="13"/>
      <c r="B7" s="14"/>
      <c r="C7" s="3"/>
      <c r="D7" s="3"/>
      <c r="E7" s="13"/>
      <c r="F7" s="13"/>
      <c r="G7" s="29"/>
      <c r="H7" s="10"/>
      <c r="I7" s="10"/>
      <c r="J7" s="8"/>
      <c r="K7" s="13"/>
      <c r="L7" s="16" t="s">
        <v>5</v>
      </c>
      <c r="M7" s="13"/>
      <c r="N7" s="13"/>
      <c r="O7" s="18" t="s">
        <v>6</v>
      </c>
      <c r="P7" s="10"/>
      <c r="Q7" s="10"/>
      <c r="R7" s="8"/>
      <c r="S7" s="13"/>
      <c r="T7" s="18" t="s">
        <v>7</v>
      </c>
      <c r="U7" s="10"/>
      <c r="V7" s="10"/>
      <c r="W7" s="8"/>
      <c r="X7" s="3"/>
      <c r="Y7" s="3"/>
      <c r="Z7" s="3"/>
      <c r="AA7" s="3"/>
    </row>
    <row r="8">
      <c r="A8" s="13"/>
      <c r="B8" s="14"/>
      <c r="C8" s="19"/>
      <c r="D8" s="19"/>
      <c r="E8" s="13"/>
      <c r="F8" s="13"/>
      <c r="G8" s="30"/>
      <c r="H8" s="10"/>
      <c r="I8" s="8"/>
      <c r="J8" s="3"/>
      <c r="K8" s="13"/>
      <c r="L8" s="21">
        <f>VLOOKUP("Current Week",$B$11:$Y$61,match("AD SALES",$B$11:$Y$11,0),FALSE)</f>
        <v>0</v>
      </c>
      <c r="M8" s="13"/>
      <c r="N8" s="13"/>
      <c r="O8" s="31">
        <f>VLOOKUP("Current Week",$B$11:$Y$61,match("SP AD SPEND",$B$11:$Y$11,0),FALSE)</f>
        <v>106.4</v>
      </c>
      <c r="P8" s="10"/>
      <c r="Q8" s="8"/>
      <c r="R8" s="3"/>
      <c r="S8" s="13"/>
      <c r="T8" s="32" t="str">
        <f>O8/L8</f>
        <v>#DIV/0!</v>
      </c>
      <c r="U8" s="10"/>
      <c r="V8" s="8"/>
      <c r="W8" s="3"/>
      <c r="X8" s="3"/>
      <c r="Y8" s="3"/>
      <c r="Z8" s="3"/>
      <c r="AA8" s="3"/>
    </row>
    <row r="9">
      <c r="A9" s="13"/>
      <c r="B9" s="14"/>
      <c r="C9" s="33"/>
      <c r="D9" s="33"/>
      <c r="E9" s="13"/>
      <c r="F9" s="13"/>
      <c r="G9" s="34"/>
      <c r="J9" s="35"/>
      <c r="K9" s="13"/>
      <c r="L9" s="36" t="str">
        <f>(L8-(VLOOKUP("Previous Week",$B$11:$Y$66,match("AD SALES",$B$11:$Y$11,0),FALSE)))/L8</f>
        <v>#DIV/0!</v>
      </c>
      <c r="M9" s="13"/>
      <c r="N9" s="13"/>
      <c r="O9" s="37">
        <f>(O8-(VLOOKUP("Previous Week",$B$11:$Y$66,match("SP AD SPEND",$B$11:$Y$11,0),FALSE)))/O8</f>
        <v>1</v>
      </c>
      <c r="R9" s="35"/>
      <c r="S9" s="13"/>
      <c r="T9" s="37" t="str">
        <f>(T8-(VLOOKUP("Previous Week",$B$11:$Y$66,match("ACOS",$B$11:$Y$11,0),FALSE)))/T8</f>
        <v>#DIV/0!</v>
      </c>
      <c r="W9" s="35"/>
      <c r="X9" s="38"/>
      <c r="Y9" s="38"/>
      <c r="Z9" s="38"/>
      <c r="AA9" s="3"/>
    </row>
    <row r="10">
      <c r="A10" s="13"/>
      <c r="B10" s="39"/>
      <c r="C10" s="29"/>
      <c r="D10" s="40"/>
      <c r="E10" s="41" t="s">
        <v>8</v>
      </c>
      <c r="F10" s="42"/>
      <c r="G10" s="42"/>
      <c r="H10" s="42"/>
      <c r="I10" s="42"/>
      <c r="J10" s="43"/>
      <c r="K10" s="44"/>
      <c r="L10" s="45"/>
      <c r="M10" s="46" t="s">
        <v>9</v>
      </c>
      <c r="N10" s="42"/>
      <c r="O10" s="42"/>
      <c r="P10" s="42"/>
      <c r="Q10" s="42"/>
      <c r="R10" s="42"/>
      <c r="S10" s="42"/>
      <c r="T10" s="43"/>
      <c r="U10" s="47"/>
      <c r="V10" s="48"/>
      <c r="W10" s="49" t="s">
        <v>10</v>
      </c>
      <c r="X10" s="43"/>
      <c r="Y10" s="41" t="s">
        <v>11</v>
      </c>
      <c r="Z10" s="43"/>
      <c r="AA10" s="3"/>
    </row>
    <row r="11">
      <c r="A11" s="50" t="s">
        <v>12</v>
      </c>
      <c r="B11" s="51" t="s">
        <v>13</v>
      </c>
      <c r="C11" s="230" t="s">
        <v>14</v>
      </c>
      <c r="D11" s="53" t="s">
        <v>72</v>
      </c>
      <c r="E11" s="53" t="s">
        <v>15</v>
      </c>
      <c r="F11" s="54" t="s">
        <v>16</v>
      </c>
      <c r="G11" s="54" t="s">
        <v>17</v>
      </c>
      <c r="H11" s="54" t="s">
        <v>18</v>
      </c>
      <c r="I11" s="54" t="s">
        <v>19</v>
      </c>
      <c r="J11" s="50" t="s">
        <v>20</v>
      </c>
      <c r="K11" s="55" t="s">
        <v>21</v>
      </c>
      <c r="L11" s="54" t="s">
        <v>22</v>
      </c>
      <c r="M11" s="54" t="s">
        <v>23</v>
      </c>
      <c r="N11" s="54" t="s">
        <v>24</v>
      </c>
      <c r="O11" s="54" t="s">
        <v>7</v>
      </c>
      <c r="P11" s="54" t="s">
        <v>25</v>
      </c>
      <c r="Q11" s="50" t="s">
        <v>26</v>
      </c>
      <c r="R11" s="56" t="s">
        <v>27</v>
      </c>
      <c r="S11" s="57" t="s">
        <v>28</v>
      </c>
      <c r="T11" s="50" t="s">
        <v>29</v>
      </c>
      <c r="U11" s="58" t="s">
        <v>15</v>
      </c>
      <c r="V11" s="56" t="s">
        <v>30</v>
      </c>
      <c r="W11" s="58" t="s">
        <v>15</v>
      </c>
      <c r="X11" s="56" t="s">
        <v>30</v>
      </c>
      <c r="Y11" s="38"/>
      <c r="Z11" s="13"/>
      <c r="AA11" s="13"/>
    </row>
    <row r="12" collapsed="1">
      <c r="A12" s="59"/>
      <c r="B12" s="60"/>
      <c r="C12" s="231"/>
      <c r="D12" s="61"/>
      <c r="E12" s="62"/>
      <c r="F12" s="63"/>
      <c r="G12" s="63"/>
      <c r="H12" s="64"/>
      <c r="I12" s="65"/>
      <c r="J12" s="66"/>
      <c r="K12" s="62"/>
      <c r="L12" s="63"/>
      <c r="M12" s="63"/>
      <c r="N12" s="67"/>
      <c r="O12" s="68"/>
      <c r="P12" s="69"/>
      <c r="Q12" s="68"/>
      <c r="R12" s="70"/>
      <c r="S12" s="71"/>
      <c r="T12" s="72"/>
      <c r="U12" s="73"/>
      <c r="V12" s="73"/>
      <c r="W12" s="73"/>
      <c r="X12" s="73"/>
      <c r="Y12" s="13"/>
      <c r="Z12" s="13"/>
      <c r="AA12" s="13"/>
    </row>
    <row r="13" hidden="1" outlineLevel="1">
      <c r="A13" s="13"/>
      <c r="B13" s="74">
        <v>45921.0</v>
      </c>
      <c r="C13" s="232"/>
      <c r="D13" s="75" t="s">
        <v>31</v>
      </c>
      <c r="E13" s="76"/>
      <c r="F13" s="77"/>
      <c r="G13" s="77"/>
      <c r="H13" s="78" t="str">
        <f t="shared" ref="H13:H52" si="1">F13/G13</f>
        <v>#DIV/0!</v>
      </c>
      <c r="I13" s="79" t="str">
        <f t="shared" ref="I13:I52" si="2">E13/F13</f>
        <v>#DIV/0!</v>
      </c>
      <c r="J13" s="80" t="str">
        <f t="shared" ref="J13:J52" si="3">I13/H13</f>
        <v>#DIV/0!</v>
      </c>
      <c r="K13" s="81">
        <v>0.0</v>
      </c>
      <c r="L13" s="82">
        <v>0.0</v>
      </c>
      <c r="M13" s="83">
        <v>0.0</v>
      </c>
      <c r="N13" s="84">
        <v>0.0</v>
      </c>
      <c r="O13" s="85" t="str">
        <f t="shared" ref="O13:O14" si="4">K13/N13</f>
        <v>#DIV/0!</v>
      </c>
      <c r="P13" s="86" t="str">
        <f t="shared" ref="P13:P52" si="5">N13/K13</f>
        <v>#DIV/0!</v>
      </c>
      <c r="Q13" s="85" t="str">
        <f t="shared" ref="Q13:Q52" si="6">K13/E13</f>
        <v>#DIV/0!</v>
      </c>
      <c r="R13" s="87" t="str">
        <f t="shared" ref="R13:R52" si="7">N13/E13</f>
        <v>#DIV/0!</v>
      </c>
      <c r="S13" s="88">
        <f t="shared" ref="S13:S24" si="8">E13-N13</f>
        <v>0</v>
      </c>
      <c r="T13" s="89" t="str">
        <f t="shared" ref="T13:T52" si="9">K13/M13</f>
        <v>#DIV/0!</v>
      </c>
      <c r="U13" s="90"/>
      <c r="V13" s="90"/>
      <c r="W13" s="90"/>
      <c r="X13" s="90"/>
      <c r="Y13" s="3"/>
      <c r="Z13" s="13"/>
      <c r="AA13" s="13"/>
    </row>
    <row r="14" hidden="1" outlineLevel="1">
      <c r="A14" s="13"/>
      <c r="B14" s="91"/>
      <c r="C14" s="232"/>
      <c r="D14" s="75" t="s">
        <v>32</v>
      </c>
      <c r="E14" s="92"/>
      <c r="F14" s="77"/>
      <c r="G14" s="77"/>
      <c r="H14" s="78" t="str">
        <f t="shared" si="1"/>
        <v>#DIV/0!</v>
      </c>
      <c r="I14" s="79" t="str">
        <f t="shared" si="2"/>
        <v>#DIV/0!</v>
      </c>
      <c r="J14" s="80" t="str">
        <f t="shared" si="3"/>
        <v>#DIV/0!</v>
      </c>
      <c r="K14" s="93">
        <v>0.0</v>
      </c>
      <c r="L14" s="82">
        <v>0.0</v>
      </c>
      <c r="M14" s="83">
        <v>0.0</v>
      </c>
      <c r="N14" s="94">
        <v>0.0</v>
      </c>
      <c r="O14" s="85" t="str">
        <f t="shared" si="4"/>
        <v>#DIV/0!</v>
      </c>
      <c r="P14" s="86" t="str">
        <f t="shared" si="5"/>
        <v>#DIV/0!</v>
      </c>
      <c r="Q14" s="85" t="str">
        <f t="shared" si="6"/>
        <v>#DIV/0!</v>
      </c>
      <c r="R14" s="87" t="str">
        <f t="shared" si="7"/>
        <v>#DIV/0!</v>
      </c>
      <c r="S14" s="95">
        <f t="shared" si="8"/>
        <v>0</v>
      </c>
      <c r="T14" s="89" t="str">
        <f t="shared" si="9"/>
        <v>#DIV/0!</v>
      </c>
      <c r="U14" s="90"/>
      <c r="V14" s="90"/>
      <c r="W14" s="90"/>
      <c r="X14" s="90"/>
      <c r="Y14" s="3"/>
      <c r="Z14" s="13"/>
      <c r="AA14" s="13"/>
    </row>
    <row r="15" hidden="1" outlineLevel="1">
      <c r="A15" s="13"/>
      <c r="B15" s="96" t="s">
        <v>33</v>
      </c>
      <c r="C15" s="232"/>
      <c r="D15" s="75" t="s">
        <v>34</v>
      </c>
      <c r="E15" s="97"/>
      <c r="F15" s="77"/>
      <c r="G15" s="77"/>
      <c r="H15" s="78" t="str">
        <f t="shared" si="1"/>
        <v>#DIV/0!</v>
      </c>
      <c r="I15" s="79" t="str">
        <f t="shared" si="2"/>
        <v>#DIV/0!</v>
      </c>
      <c r="J15" s="80" t="str">
        <f t="shared" si="3"/>
        <v>#DIV/0!</v>
      </c>
      <c r="K15" s="98">
        <v>0.0</v>
      </c>
      <c r="L15" s="82">
        <v>0.0</v>
      </c>
      <c r="M15" s="83">
        <v>0.0</v>
      </c>
      <c r="N15" s="99">
        <v>0.0</v>
      </c>
      <c r="O15" s="85" t="str">
        <f>(K15/N15)</f>
        <v>#DIV/0!</v>
      </c>
      <c r="P15" s="86" t="str">
        <f t="shared" si="5"/>
        <v>#DIV/0!</v>
      </c>
      <c r="Q15" s="85" t="str">
        <f t="shared" si="6"/>
        <v>#DIV/0!</v>
      </c>
      <c r="R15" s="87" t="str">
        <f t="shared" si="7"/>
        <v>#DIV/0!</v>
      </c>
      <c r="S15" s="100">
        <f t="shared" si="8"/>
        <v>0</v>
      </c>
      <c r="T15" s="89" t="str">
        <f t="shared" si="9"/>
        <v>#DIV/0!</v>
      </c>
      <c r="U15" s="90"/>
      <c r="V15" s="90"/>
      <c r="W15" s="90"/>
      <c r="X15" s="90"/>
      <c r="Y15" s="3"/>
      <c r="Z15" s="13"/>
      <c r="AA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232"/>
      <c r="D16" s="75" t="s">
        <v>35</v>
      </c>
      <c r="E16" s="102"/>
      <c r="F16" s="77"/>
      <c r="G16" s="77"/>
      <c r="H16" s="78" t="str">
        <f t="shared" si="1"/>
        <v>#DIV/0!</v>
      </c>
      <c r="I16" s="79" t="str">
        <f t="shared" si="2"/>
        <v>#DIV/0!</v>
      </c>
      <c r="J16" s="80" t="str">
        <f t="shared" si="3"/>
        <v>#DIV/0!</v>
      </c>
      <c r="K16" s="93">
        <v>0.0</v>
      </c>
      <c r="L16" s="82">
        <v>0.0</v>
      </c>
      <c r="M16" s="83">
        <v>0.0</v>
      </c>
      <c r="N16" s="94">
        <v>0.0</v>
      </c>
      <c r="O16" s="85" t="str">
        <f t="shared" ref="O16:O22" si="10">K16/N16</f>
        <v>#DIV/0!</v>
      </c>
      <c r="P16" s="86" t="str">
        <f t="shared" si="5"/>
        <v>#DIV/0!</v>
      </c>
      <c r="Q16" s="85" t="str">
        <f t="shared" si="6"/>
        <v>#DIV/0!</v>
      </c>
      <c r="R16" s="87" t="str">
        <f t="shared" si="7"/>
        <v>#DIV/0!</v>
      </c>
      <c r="S16" s="88">
        <f t="shared" si="8"/>
        <v>0</v>
      </c>
      <c r="T16" s="89" t="str">
        <f t="shared" si="9"/>
        <v>#DIV/0!</v>
      </c>
      <c r="U16" s="90"/>
      <c r="V16" s="90"/>
      <c r="W16" s="90"/>
      <c r="X16" s="90"/>
      <c r="Y16" s="3"/>
      <c r="Z16" s="13"/>
      <c r="AA16" s="13"/>
    </row>
    <row r="17" hidden="1" outlineLevel="1">
      <c r="A17" s="13"/>
      <c r="B17" s="143">
        <v>46005.0</v>
      </c>
      <c r="C17" s="233" t="s">
        <v>48</v>
      </c>
      <c r="D17" s="234" t="s">
        <v>73</v>
      </c>
      <c r="E17" s="76"/>
      <c r="F17" s="77"/>
      <c r="G17" s="77"/>
      <c r="H17" s="78" t="str">
        <f t="shared" si="1"/>
        <v>#DIV/0!</v>
      </c>
      <c r="I17" s="79" t="str">
        <f t="shared" si="2"/>
        <v>#DIV/0!</v>
      </c>
      <c r="J17" s="80" t="str">
        <f t="shared" si="3"/>
        <v>#DIV/0!</v>
      </c>
      <c r="K17" s="93">
        <v>0.0</v>
      </c>
      <c r="L17" s="82">
        <v>0.0</v>
      </c>
      <c r="M17" s="83"/>
      <c r="N17" s="93">
        <v>0.0</v>
      </c>
      <c r="O17" s="85" t="str">
        <f t="shared" si="10"/>
        <v>#DIV/0!</v>
      </c>
      <c r="P17" s="86" t="str">
        <f t="shared" si="5"/>
        <v>#DIV/0!</v>
      </c>
      <c r="Q17" s="85" t="str">
        <f t="shared" si="6"/>
        <v>#DIV/0!</v>
      </c>
      <c r="R17" s="87" t="str">
        <f t="shared" si="7"/>
        <v>#DIV/0!</v>
      </c>
      <c r="S17" s="95">
        <f t="shared" si="8"/>
        <v>0</v>
      </c>
      <c r="T17" s="89" t="str">
        <f t="shared" si="9"/>
        <v>#DIV/0!</v>
      </c>
      <c r="U17" s="90"/>
      <c r="V17" s="90"/>
      <c r="W17" s="90"/>
      <c r="X17" s="90"/>
      <c r="Y17" s="3"/>
      <c r="Z17" s="13"/>
      <c r="AA17" s="13"/>
    </row>
    <row r="18" hidden="1" outlineLevel="1">
      <c r="A18" s="13"/>
      <c r="B18" s="91"/>
      <c r="C18" s="235"/>
      <c r="D18" s="234" t="s">
        <v>74</v>
      </c>
      <c r="E18" s="92"/>
      <c r="F18" s="77"/>
      <c r="G18" s="77"/>
      <c r="H18" s="78" t="str">
        <f t="shared" si="1"/>
        <v>#DIV/0!</v>
      </c>
      <c r="I18" s="79" t="str">
        <f t="shared" si="2"/>
        <v>#DIV/0!</v>
      </c>
      <c r="J18" s="80" t="str">
        <f t="shared" si="3"/>
        <v>#DIV/0!</v>
      </c>
      <c r="K18" s="93">
        <v>0.0</v>
      </c>
      <c r="L18" s="82">
        <v>0.0</v>
      </c>
      <c r="M18" s="146"/>
      <c r="N18" s="93">
        <v>0.0</v>
      </c>
      <c r="O18" s="85" t="str">
        <f t="shared" si="10"/>
        <v>#DIV/0!</v>
      </c>
      <c r="P18" s="86" t="str">
        <f t="shared" si="5"/>
        <v>#DIV/0!</v>
      </c>
      <c r="Q18" s="85" t="str">
        <f t="shared" si="6"/>
        <v>#DIV/0!</v>
      </c>
      <c r="R18" s="87" t="str">
        <f t="shared" si="7"/>
        <v>#DIV/0!</v>
      </c>
      <c r="S18" s="95">
        <f t="shared" si="8"/>
        <v>0</v>
      </c>
      <c r="T18" s="89" t="str">
        <f t="shared" si="9"/>
        <v>#DIV/0!</v>
      </c>
      <c r="U18" s="90"/>
      <c r="V18" s="90"/>
      <c r="W18" s="90"/>
      <c r="X18" s="90"/>
      <c r="Y18" s="3"/>
      <c r="Z18" s="13"/>
      <c r="AA18" s="13"/>
    </row>
    <row r="19" hidden="1" outlineLevel="1">
      <c r="A19" s="13"/>
      <c r="B19" s="91"/>
      <c r="C19" s="236"/>
      <c r="D19" s="234" t="s">
        <v>75</v>
      </c>
      <c r="E19" s="92"/>
      <c r="F19" s="77"/>
      <c r="G19" s="77"/>
      <c r="H19" s="78" t="str">
        <f t="shared" si="1"/>
        <v>#DIV/0!</v>
      </c>
      <c r="I19" s="79" t="str">
        <f t="shared" si="2"/>
        <v>#DIV/0!</v>
      </c>
      <c r="J19" s="80" t="str">
        <f t="shared" si="3"/>
        <v>#DIV/0!</v>
      </c>
      <c r="K19" s="93">
        <v>0.0</v>
      </c>
      <c r="L19" s="82">
        <v>0.0</v>
      </c>
      <c r="M19" s="83"/>
      <c r="N19" s="93">
        <v>0.0</v>
      </c>
      <c r="O19" s="85" t="str">
        <f t="shared" si="10"/>
        <v>#DIV/0!</v>
      </c>
      <c r="P19" s="86" t="str">
        <f t="shared" si="5"/>
        <v>#DIV/0!</v>
      </c>
      <c r="Q19" s="85" t="str">
        <f t="shared" si="6"/>
        <v>#DIV/0!</v>
      </c>
      <c r="R19" s="87" t="str">
        <f t="shared" si="7"/>
        <v>#DIV/0!</v>
      </c>
      <c r="S19" s="95">
        <f t="shared" si="8"/>
        <v>0</v>
      </c>
      <c r="T19" s="89" t="str">
        <f t="shared" si="9"/>
        <v>#DIV/0!</v>
      </c>
      <c r="U19" s="90"/>
      <c r="V19" s="90"/>
      <c r="W19" s="90"/>
      <c r="X19" s="90"/>
      <c r="Y19" s="3"/>
      <c r="Z19" s="13"/>
      <c r="AA19" s="13"/>
    </row>
    <row r="20" hidden="1" outlineLevel="1">
      <c r="A20" s="13"/>
      <c r="B20" s="91"/>
      <c r="C20" s="237" t="s">
        <v>46</v>
      </c>
      <c r="D20" s="234" t="s">
        <v>76</v>
      </c>
      <c r="E20" s="92"/>
      <c r="F20" s="77"/>
      <c r="G20" s="77"/>
      <c r="H20" s="78" t="str">
        <f t="shared" si="1"/>
        <v>#DIV/0!</v>
      </c>
      <c r="I20" s="79" t="str">
        <f t="shared" si="2"/>
        <v>#DIV/0!</v>
      </c>
      <c r="J20" s="80" t="str">
        <f t="shared" si="3"/>
        <v>#DIV/0!</v>
      </c>
      <c r="K20" s="98">
        <v>0.0</v>
      </c>
      <c r="L20" s="82">
        <v>0.0</v>
      </c>
      <c r="M20" s="83"/>
      <c r="N20" s="98">
        <v>0.0</v>
      </c>
      <c r="O20" s="85" t="str">
        <f t="shared" si="10"/>
        <v>#DIV/0!</v>
      </c>
      <c r="P20" s="86" t="str">
        <f t="shared" si="5"/>
        <v>#DIV/0!</v>
      </c>
      <c r="Q20" s="85" t="str">
        <f t="shared" si="6"/>
        <v>#DIV/0!</v>
      </c>
      <c r="R20" s="87" t="str">
        <f t="shared" si="7"/>
        <v>#DIV/0!</v>
      </c>
      <c r="S20" s="100">
        <f t="shared" si="8"/>
        <v>0</v>
      </c>
      <c r="T20" s="89" t="str">
        <f t="shared" si="9"/>
        <v>#DIV/0!</v>
      </c>
      <c r="U20" s="90"/>
      <c r="V20" s="90"/>
      <c r="W20" s="90"/>
      <c r="X20" s="90"/>
      <c r="Y20" s="3"/>
      <c r="Z20" s="13"/>
      <c r="AA20" s="13"/>
    </row>
    <row r="21" hidden="1" outlineLevel="1">
      <c r="A21" s="13"/>
      <c r="B21" s="91"/>
      <c r="C21" s="235"/>
      <c r="D21" s="234" t="s">
        <v>77</v>
      </c>
      <c r="E21" s="92"/>
      <c r="F21" s="77"/>
      <c r="G21" s="77"/>
      <c r="H21" s="78" t="str">
        <f t="shared" si="1"/>
        <v>#DIV/0!</v>
      </c>
      <c r="I21" s="79" t="str">
        <f t="shared" si="2"/>
        <v>#DIV/0!</v>
      </c>
      <c r="J21" s="80" t="str">
        <f t="shared" si="3"/>
        <v>#DIV/0!</v>
      </c>
      <c r="K21" s="98">
        <v>0.0</v>
      </c>
      <c r="L21" s="82">
        <v>0.0</v>
      </c>
      <c r="M21" s="83"/>
      <c r="N21" s="99">
        <v>0.0</v>
      </c>
      <c r="O21" s="85" t="str">
        <f t="shared" si="10"/>
        <v>#DIV/0!</v>
      </c>
      <c r="P21" s="86" t="str">
        <f t="shared" si="5"/>
        <v>#DIV/0!</v>
      </c>
      <c r="Q21" s="85" t="str">
        <f t="shared" si="6"/>
        <v>#DIV/0!</v>
      </c>
      <c r="R21" s="87" t="str">
        <f t="shared" si="7"/>
        <v>#DIV/0!</v>
      </c>
      <c r="S21" s="100">
        <f t="shared" si="8"/>
        <v>0</v>
      </c>
      <c r="T21" s="89" t="str">
        <f t="shared" si="9"/>
        <v>#DIV/0!</v>
      </c>
      <c r="U21" s="90"/>
      <c r="V21" s="90"/>
      <c r="W21" s="90"/>
      <c r="X21" s="90"/>
      <c r="Y21" s="3"/>
      <c r="Z21" s="13"/>
      <c r="AA21" s="13"/>
    </row>
    <row r="22" hidden="1" outlineLevel="1">
      <c r="A22" s="13"/>
      <c r="B22" s="91"/>
      <c r="C22" s="235"/>
      <c r="D22" s="234" t="s">
        <v>78</v>
      </c>
      <c r="E22" s="92"/>
      <c r="F22" s="77"/>
      <c r="G22" s="77"/>
      <c r="H22" s="78" t="str">
        <f t="shared" si="1"/>
        <v>#DIV/0!</v>
      </c>
      <c r="I22" s="79" t="str">
        <f t="shared" si="2"/>
        <v>#DIV/0!</v>
      </c>
      <c r="J22" s="80" t="str">
        <f t="shared" si="3"/>
        <v>#DIV/0!</v>
      </c>
      <c r="K22" s="98">
        <v>0.0</v>
      </c>
      <c r="L22" s="82">
        <v>0.0</v>
      </c>
      <c r="M22" s="83"/>
      <c r="N22" s="99">
        <v>0.0</v>
      </c>
      <c r="O22" s="85" t="str">
        <f t="shared" si="10"/>
        <v>#DIV/0!</v>
      </c>
      <c r="P22" s="86" t="str">
        <f t="shared" si="5"/>
        <v>#DIV/0!</v>
      </c>
      <c r="Q22" s="85" t="str">
        <f t="shared" si="6"/>
        <v>#DIV/0!</v>
      </c>
      <c r="R22" s="87" t="str">
        <f t="shared" si="7"/>
        <v>#DIV/0!</v>
      </c>
      <c r="S22" s="100">
        <f t="shared" si="8"/>
        <v>0</v>
      </c>
      <c r="T22" s="89" t="str">
        <f t="shared" si="9"/>
        <v>#DIV/0!</v>
      </c>
      <c r="U22" s="90"/>
      <c r="V22" s="90"/>
      <c r="W22" s="90"/>
      <c r="X22" s="90"/>
      <c r="Y22" s="3"/>
      <c r="Z22" s="13"/>
      <c r="AA22" s="13"/>
    </row>
    <row r="23" hidden="1" outlineLevel="1">
      <c r="A23" s="13"/>
      <c r="B23" s="148" t="s">
        <v>33</v>
      </c>
      <c r="C23" s="235"/>
      <c r="D23" s="234" t="s">
        <v>79</v>
      </c>
      <c r="E23" s="97"/>
      <c r="F23" s="77"/>
      <c r="G23" s="77"/>
      <c r="H23" s="78" t="str">
        <f t="shared" si="1"/>
        <v>#DIV/0!</v>
      </c>
      <c r="I23" s="79" t="str">
        <f t="shared" si="2"/>
        <v>#DIV/0!</v>
      </c>
      <c r="J23" s="80" t="str">
        <f t="shared" si="3"/>
        <v>#DIV/0!</v>
      </c>
      <c r="K23" s="98">
        <v>0.0</v>
      </c>
      <c r="L23" s="82">
        <v>0.0</v>
      </c>
      <c r="M23" s="83"/>
      <c r="N23" s="99">
        <v>0.0</v>
      </c>
      <c r="O23" s="85" t="str">
        <f>(K23/N23)</f>
        <v>#DIV/0!</v>
      </c>
      <c r="P23" s="86" t="str">
        <f t="shared" si="5"/>
        <v>#DIV/0!</v>
      </c>
      <c r="Q23" s="85" t="str">
        <f t="shared" si="6"/>
        <v>#DIV/0!</v>
      </c>
      <c r="R23" s="87" t="str">
        <f t="shared" si="7"/>
        <v>#DIV/0!</v>
      </c>
      <c r="S23" s="100">
        <f t="shared" si="8"/>
        <v>0</v>
      </c>
      <c r="T23" s="89" t="str">
        <f t="shared" si="9"/>
        <v>#DIV/0!</v>
      </c>
      <c r="U23" s="90"/>
      <c r="V23" s="90"/>
      <c r="W23" s="90"/>
      <c r="X23" s="90"/>
      <c r="Y23" s="3"/>
      <c r="Z23" s="13"/>
      <c r="AA23" s="13"/>
    </row>
    <row r="24" hidden="1" outlineLevel="1">
      <c r="A24" s="101" t="str">
        <f t="shared" ref="A24:A25" si="11">iferror(if(B24&gt;0,month(B24)&amp;"-"&amp;year(B24),B24),)</f>
        <v>12-2025</v>
      </c>
      <c r="B24" s="143">
        <v>46011.0</v>
      </c>
      <c r="C24" s="236"/>
      <c r="D24" s="234" t="s">
        <v>80</v>
      </c>
      <c r="E24" s="102"/>
      <c r="F24" s="77"/>
      <c r="G24" s="77"/>
      <c r="H24" s="78" t="str">
        <f t="shared" si="1"/>
        <v>#DIV/0!</v>
      </c>
      <c r="I24" s="79" t="str">
        <f t="shared" si="2"/>
        <v>#DIV/0!</v>
      </c>
      <c r="J24" s="80" t="str">
        <f t="shared" si="3"/>
        <v>#DIV/0!</v>
      </c>
      <c r="K24" s="98">
        <v>0.0</v>
      </c>
      <c r="L24" s="82">
        <v>0.0</v>
      </c>
      <c r="M24" s="83"/>
      <c r="N24" s="99">
        <v>0.0</v>
      </c>
      <c r="O24" s="85" t="str">
        <f t="shared" ref="O24:O31" si="14">K24/N24</f>
        <v>#DIV/0!</v>
      </c>
      <c r="P24" s="86" t="str">
        <f t="shared" si="5"/>
        <v>#DIV/0!</v>
      </c>
      <c r="Q24" s="85" t="str">
        <f t="shared" si="6"/>
        <v>#DIV/0!</v>
      </c>
      <c r="R24" s="87" t="str">
        <f t="shared" si="7"/>
        <v>#DIV/0!</v>
      </c>
      <c r="S24" s="100">
        <f t="shared" si="8"/>
        <v>0</v>
      </c>
      <c r="T24" s="89" t="str">
        <f t="shared" si="9"/>
        <v>#DIV/0!</v>
      </c>
      <c r="U24" s="90"/>
      <c r="V24" s="90"/>
      <c r="W24" s="90"/>
      <c r="X24" s="90"/>
      <c r="Y24" s="3"/>
      <c r="Z24" s="13"/>
      <c r="AA24" s="13"/>
    </row>
    <row r="25" collapsed="1">
      <c r="A25" s="116" t="str">
        <f t="shared" si="11"/>
        <v/>
      </c>
      <c r="B25" s="137" t="s">
        <v>49</v>
      </c>
      <c r="C25" s="238"/>
      <c r="D25" s="138"/>
      <c r="E25" s="104">
        <f t="shared" ref="E25:G25" si="12">SUM(E17:E24)</f>
        <v>0</v>
      </c>
      <c r="F25" s="105">
        <f t="shared" si="12"/>
        <v>0</v>
      </c>
      <c r="G25" s="105">
        <f t="shared" si="12"/>
        <v>0</v>
      </c>
      <c r="H25" s="106" t="str">
        <f t="shared" si="1"/>
        <v>#DIV/0!</v>
      </c>
      <c r="I25" s="107" t="str">
        <f t="shared" si="2"/>
        <v>#DIV/0!</v>
      </c>
      <c r="J25" s="108" t="str">
        <f t="shared" si="3"/>
        <v>#DIV/0!</v>
      </c>
      <c r="K25" s="104">
        <f t="shared" ref="K25:N25" si="13">SUM(K17:K24)</f>
        <v>0</v>
      </c>
      <c r="L25" s="109">
        <f t="shared" si="13"/>
        <v>0</v>
      </c>
      <c r="M25" s="139">
        <f t="shared" si="13"/>
        <v>0</v>
      </c>
      <c r="N25" s="110">
        <f t="shared" si="13"/>
        <v>0</v>
      </c>
      <c r="O25" s="111" t="str">
        <f t="shared" si="14"/>
        <v>#DIV/0!</v>
      </c>
      <c r="P25" s="112" t="str">
        <f t="shared" si="5"/>
        <v>#DIV/0!</v>
      </c>
      <c r="Q25" s="111" t="str">
        <f t="shared" si="6"/>
        <v>#DIV/0!</v>
      </c>
      <c r="R25" s="113" t="str">
        <f t="shared" si="7"/>
        <v>#DIV/0!</v>
      </c>
      <c r="S25" s="114">
        <f>SUM(S17:S24)</f>
        <v>0</v>
      </c>
      <c r="T25" s="115" t="str">
        <f t="shared" si="9"/>
        <v>#DIV/0!</v>
      </c>
      <c r="U25" s="140" t="str">
        <f t="shared" ref="U25:V25" si="15">IFERROR((E25-#REF!)/E25,)</f>
        <v/>
      </c>
      <c r="V25" s="140" t="str">
        <f t="shared" si="15"/>
        <v/>
      </c>
      <c r="W25" s="140" t="str">
        <f t="shared" ref="W25:X25" si="16">IFERROR((E25-#REF!)/E25, )</f>
        <v/>
      </c>
      <c r="X25" s="140" t="str">
        <f t="shared" si="16"/>
        <v/>
      </c>
      <c r="Y25" s="116"/>
      <c r="Z25" s="116"/>
      <c r="AA25" s="116"/>
    </row>
    <row r="26" hidden="1" outlineLevel="1">
      <c r="A26" s="116"/>
      <c r="B26" s="74">
        <v>46005.0</v>
      </c>
      <c r="C26" s="239" t="s">
        <v>48</v>
      </c>
      <c r="D26" s="240" t="s">
        <v>73</v>
      </c>
      <c r="E26" s="118"/>
      <c r="F26" s="119"/>
      <c r="G26" s="119"/>
      <c r="H26" s="78" t="str">
        <f t="shared" si="1"/>
        <v>#DIV/0!</v>
      </c>
      <c r="I26" s="79" t="str">
        <f t="shared" si="2"/>
        <v>#DIV/0!</v>
      </c>
      <c r="J26" s="80" t="str">
        <f t="shared" si="3"/>
        <v>#DIV/0!</v>
      </c>
      <c r="K26" s="128">
        <v>0.0</v>
      </c>
      <c r="L26" s="121">
        <v>0.0</v>
      </c>
      <c r="M26" s="135"/>
      <c r="N26" s="128">
        <v>0.0</v>
      </c>
      <c r="O26" s="85" t="str">
        <f t="shared" si="14"/>
        <v>#DIV/0!</v>
      </c>
      <c r="P26" s="86" t="str">
        <f t="shared" si="5"/>
        <v>#DIV/0!</v>
      </c>
      <c r="Q26" s="85" t="str">
        <f t="shared" si="6"/>
        <v>#DIV/0!</v>
      </c>
      <c r="R26" s="87" t="str">
        <f t="shared" si="7"/>
        <v>#DIV/0!</v>
      </c>
      <c r="S26" s="95">
        <f t="shared" ref="S26:S33" si="17">E26-N26</f>
        <v>0</v>
      </c>
      <c r="T26" s="89" t="str">
        <f t="shared" si="9"/>
        <v>#DIV/0!</v>
      </c>
      <c r="U26" s="124"/>
      <c r="V26" s="124"/>
      <c r="W26" s="124"/>
      <c r="X26" s="124"/>
      <c r="Y26" s="125"/>
      <c r="Z26" s="116"/>
      <c r="AA26" s="116"/>
    </row>
    <row r="27" hidden="1" outlineLevel="1">
      <c r="A27" s="116"/>
      <c r="B27" s="126"/>
      <c r="C27" s="235"/>
      <c r="D27" s="240" t="s">
        <v>74</v>
      </c>
      <c r="E27" s="127"/>
      <c r="F27" s="119"/>
      <c r="G27" s="119"/>
      <c r="H27" s="78" t="str">
        <f t="shared" si="1"/>
        <v>#DIV/0!</v>
      </c>
      <c r="I27" s="79" t="str">
        <f t="shared" si="2"/>
        <v>#DIV/0!</v>
      </c>
      <c r="J27" s="80" t="str">
        <f t="shared" si="3"/>
        <v>#DIV/0!</v>
      </c>
      <c r="K27" s="128">
        <v>0.0</v>
      </c>
      <c r="L27" s="121">
        <v>0.0</v>
      </c>
      <c r="M27" s="135"/>
      <c r="N27" s="128">
        <v>0.0</v>
      </c>
      <c r="O27" s="85" t="str">
        <f t="shared" si="14"/>
        <v>#DIV/0!</v>
      </c>
      <c r="P27" s="86" t="str">
        <f t="shared" si="5"/>
        <v>#DIV/0!</v>
      </c>
      <c r="Q27" s="85" t="str">
        <f t="shared" si="6"/>
        <v>#DIV/0!</v>
      </c>
      <c r="R27" s="87" t="str">
        <f t="shared" si="7"/>
        <v>#DIV/0!</v>
      </c>
      <c r="S27" s="95">
        <f t="shared" si="17"/>
        <v>0</v>
      </c>
      <c r="T27" s="89" t="str">
        <f t="shared" si="9"/>
        <v>#DIV/0!</v>
      </c>
      <c r="U27" s="124"/>
      <c r="V27" s="124"/>
      <c r="W27" s="124"/>
      <c r="X27" s="124"/>
      <c r="Y27" s="125"/>
      <c r="Z27" s="116"/>
      <c r="AA27" s="116"/>
    </row>
    <row r="28" hidden="1" outlineLevel="1">
      <c r="A28" s="116"/>
      <c r="B28" s="126"/>
      <c r="C28" s="236"/>
      <c r="D28" s="240" t="s">
        <v>75</v>
      </c>
      <c r="E28" s="127"/>
      <c r="F28" s="119"/>
      <c r="G28" s="119"/>
      <c r="H28" s="78" t="str">
        <f t="shared" si="1"/>
        <v>#DIV/0!</v>
      </c>
      <c r="I28" s="79" t="str">
        <f t="shared" si="2"/>
        <v>#DIV/0!</v>
      </c>
      <c r="J28" s="80" t="str">
        <f t="shared" si="3"/>
        <v>#DIV/0!</v>
      </c>
      <c r="K28" s="128">
        <v>0.0</v>
      </c>
      <c r="L28" s="121">
        <v>0.0</v>
      </c>
      <c r="M28" s="135"/>
      <c r="N28" s="128">
        <v>0.0</v>
      </c>
      <c r="O28" s="85" t="str">
        <f t="shared" si="14"/>
        <v>#DIV/0!</v>
      </c>
      <c r="P28" s="86" t="str">
        <f t="shared" si="5"/>
        <v>#DIV/0!</v>
      </c>
      <c r="Q28" s="85" t="str">
        <f t="shared" si="6"/>
        <v>#DIV/0!</v>
      </c>
      <c r="R28" s="87" t="str">
        <f t="shared" si="7"/>
        <v>#DIV/0!</v>
      </c>
      <c r="S28" s="95">
        <f t="shared" si="17"/>
        <v>0</v>
      </c>
      <c r="T28" s="89" t="str">
        <f t="shared" si="9"/>
        <v>#DIV/0!</v>
      </c>
      <c r="U28" s="124"/>
      <c r="V28" s="124"/>
      <c r="W28" s="124"/>
      <c r="X28" s="124"/>
      <c r="Y28" s="125"/>
      <c r="Z28" s="116"/>
      <c r="AA28" s="116"/>
    </row>
    <row r="29" hidden="1" outlineLevel="1">
      <c r="A29" s="116"/>
      <c r="B29" s="126"/>
      <c r="C29" s="241" t="s">
        <v>46</v>
      </c>
      <c r="D29" s="240" t="s">
        <v>76</v>
      </c>
      <c r="E29" s="127"/>
      <c r="F29" s="119"/>
      <c r="G29" s="119"/>
      <c r="H29" s="78" t="str">
        <f t="shared" si="1"/>
        <v>#DIV/0!</v>
      </c>
      <c r="I29" s="79" t="str">
        <f t="shared" si="2"/>
        <v>#DIV/0!</v>
      </c>
      <c r="J29" s="80" t="str">
        <f t="shared" si="3"/>
        <v>#DIV/0!</v>
      </c>
      <c r="K29" s="131">
        <v>0.0</v>
      </c>
      <c r="L29" s="121">
        <v>0.0</v>
      </c>
      <c r="M29" s="135"/>
      <c r="N29" s="131">
        <v>0.0</v>
      </c>
      <c r="O29" s="85" t="str">
        <f t="shared" si="14"/>
        <v>#DIV/0!</v>
      </c>
      <c r="P29" s="86" t="str">
        <f t="shared" si="5"/>
        <v>#DIV/0!</v>
      </c>
      <c r="Q29" s="85" t="str">
        <f t="shared" si="6"/>
        <v>#DIV/0!</v>
      </c>
      <c r="R29" s="87" t="str">
        <f t="shared" si="7"/>
        <v>#DIV/0!</v>
      </c>
      <c r="S29" s="100">
        <f t="shared" si="17"/>
        <v>0</v>
      </c>
      <c r="T29" s="89" t="str">
        <f t="shared" si="9"/>
        <v>#DIV/0!</v>
      </c>
      <c r="U29" s="124"/>
      <c r="V29" s="124"/>
      <c r="W29" s="124"/>
      <c r="X29" s="124"/>
      <c r="Y29" s="125"/>
      <c r="Z29" s="116"/>
      <c r="AA29" s="116"/>
    </row>
    <row r="30" hidden="1" outlineLevel="1">
      <c r="A30" s="116"/>
      <c r="B30" s="126"/>
      <c r="C30" s="235"/>
      <c r="D30" s="240" t="s">
        <v>77</v>
      </c>
      <c r="E30" s="127"/>
      <c r="F30" s="119"/>
      <c r="G30" s="119"/>
      <c r="H30" s="78" t="str">
        <f t="shared" si="1"/>
        <v>#DIV/0!</v>
      </c>
      <c r="I30" s="79" t="str">
        <f t="shared" si="2"/>
        <v>#DIV/0!</v>
      </c>
      <c r="J30" s="80" t="str">
        <f t="shared" si="3"/>
        <v>#DIV/0!</v>
      </c>
      <c r="K30" s="131">
        <v>0.0</v>
      </c>
      <c r="L30" s="121">
        <v>0.0</v>
      </c>
      <c r="M30" s="135"/>
      <c r="N30" s="132">
        <v>0.0</v>
      </c>
      <c r="O30" s="85" t="str">
        <f t="shared" si="14"/>
        <v>#DIV/0!</v>
      </c>
      <c r="P30" s="86" t="str">
        <f t="shared" si="5"/>
        <v>#DIV/0!</v>
      </c>
      <c r="Q30" s="85" t="str">
        <f t="shared" si="6"/>
        <v>#DIV/0!</v>
      </c>
      <c r="R30" s="87" t="str">
        <f t="shared" si="7"/>
        <v>#DIV/0!</v>
      </c>
      <c r="S30" s="100">
        <f t="shared" si="17"/>
        <v>0</v>
      </c>
      <c r="T30" s="89" t="str">
        <f t="shared" si="9"/>
        <v>#DIV/0!</v>
      </c>
      <c r="U30" s="124"/>
      <c r="V30" s="124"/>
      <c r="W30" s="124"/>
      <c r="X30" s="124"/>
      <c r="Y30" s="125"/>
      <c r="Z30" s="116"/>
      <c r="AA30" s="116"/>
    </row>
    <row r="31" hidden="1" outlineLevel="1">
      <c r="A31" s="116"/>
      <c r="B31" s="126"/>
      <c r="C31" s="235"/>
      <c r="D31" s="240" t="s">
        <v>78</v>
      </c>
      <c r="E31" s="127"/>
      <c r="F31" s="119"/>
      <c r="G31" s="119"/>
      <c r="H31" s="78" t="str">
        <f t="shared" si="1"/>
        <v>#DIV/0!</v>
      </c>
      <c r="I31" s="79" t="str">
        <f t="shared" si="2"/>
        <v>#DIV/0!</v>
      </c>
      <c r="J31" s="80" t="str">
        <f t="shared" si="3"/>
        <v>#DIV/0!</v>
      </c>
      <c r="K31" s="131">
        <v>0.0</v>
      </c>
      <c r="L31" s="121">
        <v>0.0</v>
      </c>
      <c r="M31" s="135"/>
      <c r="N31" s="132">
        <v>0.0</v>
      </c>
      <c r="O31" s="85" t="str">
        <f t="shared" si="14"/>
        <v>#DIV/0!</v>
      </c>
      <c r="P31" s="86" t="str">
        <f t="shared" si="5"/>
        <v>#DIV/0!</v>
      </c>
      <c r="Q31" s="85" t="str">
        <f t="shared" si="6"/>
        <v>#DIV/0!</v>
      </c>
      <c r="R31" s="87" t="str">
        <f t="shared" si="7"/>
        <v>#DIV/0!</v>
      </c>
      <c r="S31" s="100">
        <f t="shared" si="17"/>
        <v>0</v>
      </c>
      <c r="T31" s="89" t="str">
        <f t="shared" si="9"/>
        <v>#DIV/0!</v>
      </c>
      <c r="U31" s="124"/>
      <c r="V31" s="124"/>
      <c r="W31" s="124"/>
      <c r="X31" s="124"/>
      <c r="Y31" s="125"/>
      <c r="Z31" s="116"/>
      <c r="AA31" s="116"/>
    </row>
    <row r="32" hidden="1" outlineLevel="1">
      <c r="A32" s="116"/>
      <c r="B32" s="74" t="s">
        <v>33</v>
      </c>
      <c r="C32" s="235"/>
      <c r="D32" s="240" t="s">
        <v>79</v>
      </c>
      <c r="E32" s="130"/>
      <c r="F32" s="119"/>
      <c r="G32" s="119"/>
      <c r="H32" s="78" t="str">
        <f t="shared" si="1"/>
        <v>#DIV/0!</v>
      </c>
      <c r="I32" s="79" t="str">
        <f t="shared" si="2"/>
        <v>#DIV/0!</v>
      </c>
      <c r="J32" s="80" t="str">
        <f t="shared" si="3"/>
        <v>#DIV/0!</v>
      </c>
      <c r="K32" s="131">
        <v>0.0</v>
      </c>
      <c r="L32" s="121">
        <v>0.0</v>
      </c>
      <c r="M32" s="135"/>
      <c r="N32" s="132">
        <v>0.0</v>
      </c>
      <c r="O32" s="85" t="str">
        <f>(K32/N32)</f>
        <v>#DIV/0!</v>
      </c>
      <c r="P32" s="86" t="str">
        <f t="shared" si="5"/>
        <v>#DIV/0!</v>
      </c>
      <c r="Q32" s="85" t="str">
        <f t="shared" si="6"/>
        <v>#DIV/0!</v>
      </c>
      <c r="R32" s="87" t="str">
        <f t="shared" si="7"/>
        <v>#DIV/0!</v>
      </c>
      <c r="S32" s="100">
        <f t="shared" si="17"/>
        <v>0</v>
      </c>
      <c r="T32" s="89" t="str">
        <f t="shared" si="9"/>
        <v>#DIV/0!</v>
      </c>
      <c r="U32" s="124"/>
      <c r="V32" s="124"/>
      <c r="W32" s="124"/>
      <c r="X32" s="124"/>
      <c r="Y32" s="125"/>
      <c r="Z32" s="116"/>
      <c r="AA32" s="116"/>
    </row>
    <row r="33" hidden="1" outlineLevel="1">
      <c r="A33" s="101" t="str">
        <f t="shared" ref="A33:A34" si="18">iferror(if(B33&gt;0,month(B33)&amp;"-"&amp;year(B33),B33),)</f>
        <v>12-2025</v>
      </c>
      <c r="B33" s="74">
        <v>46011.0</v>
      </c>
      <c r="C33" s="236"/>
      <c r="D33" s="240" t="s">
        <v>80</v>
      </c>
      <c r="E33" s="133"/>
      <c r="F33" s="119"/>
      <c r="G33" s="119"/>
      <c r="H33" s="78" t="str">
        <f t="shared" si="1"/>
        <v>#DIV/0!</v>
      </c>
      <c r="I33" s="79" t="str">
        <f t="shared" si="2"/>
        <v>#DIV/0!</v>
      </c>
      <c r="J33" s="80" t="str">
        <f t="shared" si="3"/>
        <v>#DIV/0!</v>
      </c>
      <c r="K33" s="131">
        <v>0.0</v>
      </c>
      <c r="L33" s="121">
        <v>0.0</v>
      </c>
      <c r="M33" s="135"/>
      <c r="N33" s="132">
        <v>0.0</v>
      </c>
      <c r="O33" s="85" t="str">
        <f t="shared" ref="O33:O38" si="21">K33/N33</f>
        <v>#DIV/0!</v>
      </c>
      <c r="P33" s="86" t="str">
        <f t="shared" si="5"/>
        <v>#DIV/0!</v>
      </c>
      <c r="Q33" s="85" t="str">
        <f t="shared" si="6"/>
        <v>#DIV/0!</v>
      </c>
      <c r="R33" s="87" t="str">
        <f t="shared" si="7"/>
        <v>#DIV/0!</v>
      </c>
      <c r="S33" s="100">
        <f t="shared" si="17"/>
        <v>0</v>
      </c>
      <c r="T33" s="89" t="str">
        <f t="shared" si="9"/>
        <v>#DIV/0!</v>
      </c>
      <c r="U33" s="124"/>
      <c r="V33" s="124"/>
      <c r="W33" s="124"/>
      <c r="X33" s="124"/>
      <c r="Y33" s="125"/>
      <c r="Z33" s="116"/>
      <c r="AA33" s="116"/>
    </row>
    <row r="34">
      <c r="A34" s="116" t="str">
        <f t="shared" si="18"/>
        <v/>
      </c>
      <c r="B34" s="137" t="s">
        <v>50</v>
      </c>
      <c r="C34" s="238"/>
      <c r="D34" s="138"/>
      <c r="E34" s="104">
        <f t="shared" ref="E34:G34" si="19">SUM(E26:E33)</f>
        <v>0</v>
      </c>
      <c r="F34" s="105">
        <f t="shared" si="19"/>
        <v>0</v>
      </c>
      <c r="G34" s="105">
        <f t="shared" si="19"/>
        <v>0</v>
      </c>
      <c r="H34" s="106" t="str">
        <f t="shared" si="1"/>
        <v>#DIV/0!</v>
      </c>
      <c r="I34" s="107" t="str">
        <f t="shared" si="2"/>
        <v>#DIV/0!</v>
      </c>
      <c r="J34" s="108" t="str">
        <f t="shared" si="3"/>
        <v>#DIV/0!</v>
      </c>
      <c r="K34" s="104">
        <f t="shared" ref="K34:N34" si="20">SUM(K26:K33)</f>
        <v>0</v>
      </c>
      <c r="L34" s="109">
        <f t="shared" si="20"/>
        <v>0</v>
      </c>
      <c r="M34" s="139">
        <f t="shared" si="20"/>
        <v>0</v>
      </c>
      <c r="N34" s="110">
        <f t="shared" si="20"/>
        <v>0</v>
      </c>
      <c r="O34" s="111" t="str">
        <f t="shared" si="21"/>
        <v>#DIV/0!</v>
      </c>
      <c r="P34" s="112" t="str">
        <f t="shared" si="5"/>
        <v>#DIV/0!</v>
      </c>
      <c r="Q34" s="111" t="str">
        <f t="shared" si="6"/>
        <v>#DIV/0!</v>
      </c>
      <c r="R34" s="113" t="str">
        <f t="shared" si="7"/>
        <v>#DIV/0!</v>
      </c>
      <c r="S34" s="114">
        <f>SUM(S26:S33)</f>
        <v>0</v>
      </c>
      <c r="T34" s="115" t="str">
        <f t="shared" si="9"/>
        <v>#DIV/0!</v>
      </c>
      <c r="U34" s="140" t="str">
        <f t="shared" ref="U34:V34" si="22">IFERROR((E34-#REF!)/E34,)</f>
        <v/>
      </c>
      <c r="V34" s="140" t="str">
        <f t="shared" si="22"/>
        <v/>
      </c>
      <c r="W34" s="140" t="str">
        <f t="shared" ref="W34:X34" si="23">IFERROR((E34-#REF!)/E34, )</f>
        <v/>
      </c>
      <c r="X34" s="140" t="str">
        <f t="shared" si="23"/>
        <v/>
      </c>
      <c r="Y34" s="116"/>
      <c r="Z34" s="116"/>
      <c r="AA34" s="116"/>
    </row>
    <row r="35">
      <c r="A35" s="13"/>
      <c r="B35" s="143">
        <v>46012.0</v>
      </c>
      <c r="C35" s="233" t="s">
        <v>48</v>
      </c>
      <c r="D35" s="234" t="s">
        <v>73</v>
      </c>
      <c r="E35" s="76"/>
      <c r="F35" s="77"/>
      <c r="G35" s="77"/>
      <c r="H35" s="78" t="str">
        <f t="shared" si="1"/>
        <v>#DIV/0!</v>
      </c>
      <c r="I35" s="79" t="str">
        <f t="shared" si="2"/>
        <v>#DIV/0!</v>
      </c>
      <c r="J35" s="80" t="str">
        <f t="shared" si="3"/>
        <v>#DIV/0!</v>
      </c>
      <c r="K35" s="93">
        <v>0.0</v>
      </c>
      <c r="L35" s="82">
        <v>0.0</v>
      </c>
      <c r="M35" s="83"/>
      <c r="N35" s="93">
        <v>0.0</v>
      </c>
      <c r="O35" s="85" t="str">
        <f t="shared" si="21"/>
        <v>#DIV/0!</v>
      </c>
      <c r="P35" s="86" t="str">
        <f t="shared" si="5"/>
        <v>#DIV/0!</v>
      </c>
      <c r="Q35" s="85" t="str">
        <f t="shared" si="6"/>
        <v>#DIV/0!</v>
      </c>
      <c r="R35" s="87" t="str">
        <f t="shared" si="7"/>
        <v>#DIV/0!</v>
      </c>
      <c r="S35" s="95">
        <f t="shared" ref="S35:S42" si="24">E35-N35</f>
        <v>0</v>
      </c>
      <c r="T35" s="89" t="str">
        <f t="shared" si="9"/>
        <v>#DIV/0!</v>
      </c>
      <c r="U35" s="90"/>
      <c r="V35" s="90"/>
      <c r="W35" s="90"/>
      <c r="X35" s="90"/>
      <c r="Y35" s="3"/>
      <c r="Z35" s="13"/>
      <c r="AA35" s="13"/>
    </row>
    <row r="36">
      <c r="A36" s="13"/>
      <c r="B36" s="91"/>
      <c r="C36" s="235"/>
      <c r="D36" s="234" t="s">
        <v>74</v>
      </c>
      <c r="E36" s="92"/>
      <c r="F36" s="77"/>
      <c r="G36" s="77"/>
      <c r="H36" s="78" t="str">
        <f t="shared" si="1"/>
        <v>#DIV/0!</v>
      </c>
      <c r="I36" s="79" t="str">
        <f t="shared" si="2"/>
        <v>#DIV/0!</v>
      </c>
      <c r="J36" s="80" t="str">
        <f t="shared" si="3"/>
        <v>#DIV/0!</v>
      </c>
      <c r="K36" s="93">
        <v>0.0</v>
      </c>
      <c r="L36" s="82">
        <v>0.0</v>
      </c>
      <c r="M36" s="146"/>
      <c r="N36" s="93">
        <v>0.0</v>
      </c>
      <c r="O36" s="85" t="str">
        <f t="shared" si="21"/>
        <v>#DIV/0!</v>
      </c>
      <c r="P36" s="86" t="str">
        <f t="shared" si="5"/>
        <v>#DIV/0!</v>
      </c>
      <c r="Q36" s="85" t="str">
        <f t="shared" si="6"/>
        <v>#DIV/0!</v>
      </c>
      <c r="R36" s="87" t="str">
        <f t="shared" si="7"/>
        <v>#DIV/0!</v>
      </c>
      <c r="S36" s="95">
        <f t="shared" si="24"/>
        <v>0</v>
      </c>
      <c r="T36" s="89" t="str">
        <f t="shared" si="9"/>
        <v>#DIV/0!</v>
      </c>
      <c r="U36" s="90"/>
      <c r="V36" s="90"/>
      <c r="W36" s="90"/>
      <c r="X36" s="90"/>
      <c r="Y36" s="3"/>
      <c r="Z36" s="13"/>
      <c r="AA36" s="13"/>
    </row>
    <row r="37">
      <c r="A37" s="13"/>
      <c r="B37" s="91"/>
      <c r="C37" s="236"/>
      <c r="D37" s="234" t="s">
        <v>75</v>
      </c>
      <c r="E37" s="92"/>
      <c r="F37" s="77"/>
      <c r="G37" s="77"/>
      <c r="H37" s="78" t="str">
        <f t="shared" si="1"/>
        <v>#DIV/0!</v>
      </c>
      <c r="I37" s="79" t="str">
        <f t="shared" si="2"/>
        <v>#DIV/0!</v>
      </c>
      <c r="J37" s="80" t="str">
        <f t="shared" si="3"/>
        <v>#DIV/0!</v>
      </c>
      <c r="K37" s="93">
        <v>0.0</v>
      </c>
      <c r="L37" s="82">
        <v>0.0</v>
      </c>
      <c r="M37" s="83"/>
      <c r="N37" s="93">
        <v>0.0</v>
      </c>
      <c r="O37" s="85" t="str">
        <f t="shared" si="21"/>
        <v>#DIV/0!</v>
      </c>
      <c r="P37" s="86" t="str">
        <f t="shared" si="5"/>
        <v>#DIV/0!</v>
      </c>
      <c r="Q37" s="85" t="str">
        <f t="shared" si="6"/>
        <v>#DIV/0!</v>
      </c>
      <c r="R37" s="87" t="str">
        <f t="shared" si="7"/>
        <v>#DIV/0!</v>
      </c>
      <c r="S37" s="95">
        <f t="shared" si="24"/>
        <v>0</v>
      </c>
      <c r="T37" s="89" t="str">
        <f t="shared" si="9"/>
        <v>#DIV/0!</v>
      </c>
      <c r="U37" s="90"/>
      <c r="V37" s="90"/>
      <c r="W37" s="90"/>
      <c r="X37" s="90"/>
      <c r="Y37" s="3"/>
      <c r="Z37" s="13"/>
      <c r="AA37" s="13"/>
    </row>
    <row r="38">
      <c r="A38" s="13"/>
      <c r="B38" s="91"/>
      <c r="C38" s="237" t="s">
        <v>46</v>
      </c>
      <c r="D38" s="234" t="s">
        <v>76</v>
      </c>
      <c r="E38" s="92"/>
      <c r="F38" s="77"/>
      <c r="G38" s="77"/>
      <c r="H38" s="78" t="str">
        <f t="shared" si="1"/>
        <v>#DIV/0!</v>
      </c>
      <c r="I38" s="79" t="str">
        <f t="shared" si="2"/>
        <v>#DIV/0!</v>
      </c>
      <c r="J38" s="80" t="str">
        <f t="shared" si="3"/>
        <v>#DIV/0!</v>
      </c>
      <c r="K38" s="98">
        <v>0.0</v>
      </c>
      <c r="L38" s="82">
        <v>0.0</v>
      </c>
      <c r="M38" s="83"/>
      <c r="N38" s="98">
        <v>0.0</v>
      </c>
      <c r="O38" s="85" t="str">
        <f t="shared" si="21"/>
        <v>#DIV/0!</v>
      </c>
      <c r="P38" s="86" t="str">
        <f t="shared" si="5"/>
        <v>#DIV/0!</v>
      </c>
      <c r="Q38" s="85" t="str">
        <f t="shared" si="6"/>
        <v>#DIV/0!</v>
      </c>
      <c r="R38" s="87" t="str">
        <f t="shared" si="7"/>
        <v>#DIV/0!</v>
      </c>
      <c r="S38" s="100">
        <f t="shared" si="24"/>
        <v>0</v>
      </c>
      <c r="T38" s="89" t="str">
        <f t="shared" si="9"/>
        <v>#DIV/0!</v>
      </c>
      <c r="U38" s="90"/>
      <c r="V38" s="90"/>
      <c r="W38" s="90"/>
      <c r="X38" s="90"/>
      <c r="Y38" s="3"/>
      <c r="Z38" s="13"/>
      <c r="AA38" s="13"/>
    </row>
    <row r="39">
      <c r="A39" s="13"/>
      <c r="B39" s="148" t="s">
        <v>33</v>
      </c>
      <c r="C39" s="235"/>
      <c r="D39" s="234" t="s">
        <v>77</v>
      </c>
      <c r="E39" s="97"/>
      <c r="F39" s="77"/>
      <c r="G39" s="77"/>
      <c r="H39" s="78" t="str">
        <f t="shared" si="1"/>
        <v>#DIV/0!</v>
      </c>
      <c r="I39" s="79" t="str">
        <f t="shared" si="2"/>
        <v>#DIV/0!</v>
      </c>
      <c r="J39" s="80" t="str">
        <f t="shared" si="3"/>
        <v>#DIV/0!</v>
      </c>
      <c r="K39" s="98">
        <v>0.0</v>
      </c>
      <c r="L39" s="82">
        <v>0.0</v>
      </c>
      <c r="M39" s="83"/>
      <c r="N39" s="99">
        <v>0.0</v>
      </c>
      <c r="O39" s="85" t="str">
        <f t="shared" ref="O39:O41" si="25">(K39/N39)</f>
        <v>#DIV/0!</v>
      </c>
      <c r="P39" s="86" t="str">
        <f t="shared" si="5"/>
        <v>#DIV/0!</v>
      </c>
      <c r="Q39" s="85" t="str">
        <f t="shared" si="6"/>
        <v>#DIV/0!</v>
      </c>
      <c r="R39" s="87" t="str">
        <f t="shared" si="7"/>
        <v>#DIV/0!</v>
      </c>
      <c r="S39" s="100">
        <f t="shared" si="24"/>
        <v>0</v>
      </c>
      <c r="T39" s="89" t="str">
        <f t="shared" si="9"/>
        <v>#DIV/0!</v>
      </c>
      <c r="U39" s="90"/>
      <c r="V39" s="90"/>
      <c r="W39" s="90"/>
      <c r="X39" s="90"/>
      <c r="Y39" s="3"/>
      <c r="Z39" s="13"/>
      <c r="AA39" s="13"/>
    </row>
    <row r="40">
      <c r="A40" s="13"/>
      <c r="B40" s="148"/>
      <c r="C40" s="235"/>
      <c r="D40" s="234" t="s">
        <v>78</v>
      </c>
      <c r="E40" s="97"/>
      <c r="F40" s="77"/>
      <c r="G40" s="77"/>
      <c r="H40" s="78" t="str">
        <f t="shared" si="1"/>
        <v>#DIV/0!</v>
      </c>
      <c r="I40" s="79" t="str">
        <f t="shared" si="2"/>
        <v>#DIV/0!</v>
      </c>
      <c r="J40" s="80" t="str">
        <f t="shared" si="3"/>
        <v>#DIV/0!</v>
      </c>
      <c r="K40" s="98">
        <v>0.0</v>
      </c>
      <c r="L40" s="82">
        <v>0.0</v>
      </c>
      <c r="M40" s="83"/>
      <c r="N40" s="99">
        <v>0.0</v>
      </c>
      <c r="O40" s="85" t="str">
        <f t="shared" si="25"/>
        <v>#DIV/0!</v>
      </c>
      <c r="P40" s="86" t="str">
        <f t="shared" si="5"/>
        <v>#DIV/0!</v>
      </c>
      <c r="Q40" s="85" t="str">
        <f t="shared" si="6"/>
        <v>#DIV/0!</v>
      </c>
      <c r="R40" s="87" t="str">
        <f t="shared" si="7"/>
        <v>#DIV/0!</v>
      </c>
      <c r="S40" s="100">
        <f t="shared" si="24"/>
        <v>0</v>
      </c>
      <c r="T40" s="89" t="str">
        <f t="shared" si="9"/>
        <v>#DIV/0!</v>
      </c>
      <c r="U40" s="90"/>
      <c r="V40" s="90"/>
      <c r="W40" s="90"/>
      <c r="X40" s="90"/>
      <c r="Y40" s="3"/>
      <c r="Z40" s="13"/>
      <c r="AA40" s="13"/>
    </row>
    <row r="41">
      <c r="A41" s="13"/>
      <c r="B41" s="148"/>
      <c r="C41" s="235"/>
      <c r="D41" s="234" t="s">
        <v>79</v>
      </c>
      <c r="E41" s="97"/>
      <c r="F41" s="77"/>
      <c r="G41" s="77"/>
      <c r="H41" s="78" t="str">
        <f t="shared" si="1"/>
        <v>#DIV/0!</v>
      </c>
      <c r="I41" s="79" t="str">
        <f t="shared" si="2"/>
        <v>#DIV/0!</v>
      </c>
      <c r="J41" s="80" t="str">
        <f t="shared" si="3"/>
        <v>#DIV/0!</v>
      </c>
      <c r="K41" s="98">
        <v>0.0</v>
      </c>
      <c r="L41" s="82">
        <v>0.0</v>
      </c>
      <c r="M41" s="83"/>
      <c r="N41" s="99">
        <v>0.0</v>
      </c>
      <c r="O41" s="85" t="str">
        <f t="shared" si="25"/>
        <v>#DIV/0!</v>
      </c>
      <c r="P41" s="86" t="str">
        <f t="shared" si="5"/>
        <v>#DIV/0!</v>
      </c>
      <c r="Q41" s="85" t="str">
        <f t="shared" si="6"/>
        <v>#DIV/0!</v>
      </c>
      <c r="R41" s="87" t="str">
        <f t="shared" si="7"/>
        <v>#DIV/0!</v>
      </c>
      <c r="S41" s="100">
        <f t="shared" si="24"/>
        <v>0</v>
      </c>
      <c r="T41" s="89" t="str">
        <f t="shared" si="9"/>
        <v>#DIV/0!</v>
      </c>
      <c r="U41" s="90"/>
      <c r="V41" s="90"/>
      <c r="W41" s="90"/>
      <c r="X41" s="90"/>
      <c r="Y41" s="3"/>
      <c r="Z41" s="13"/>
      <c r="AA41" s="13"/>
    </row>
    <row r="42">
      <c r="A42" s="101" t="str">
        <f t="shared" ref="A42:A43" si="26">iferror(if(B42&gt;0,month(B42)&amp;"-"&amp;year(B42),B42),)</f>
        <v>12-2025</v>
      </c>
      <c r="B42" s="143">
        <v>46018.0</v>
      </c>
      <c r="C42" s="236"/>
      <c r="D42" s="234" t="s">
        <v>80</v>
      </c>
      <c r="E42" s="102"/>
      <c r="F42" s="77"/>
      <c r="G42" s="77"/>
      <c r="H42" s="78" t="str">
        <f t="shared" si="1"/>
        <v>#DIV/0!</v>
      </c>
      <c r="I42" s="79" t="str">
        <f t="shared" si="2"/>
        <v>#DIV/0!</v>
      </c>
      <c r="J42" s="80" t="str">
        <f t="shared" si="3"/>
        <v>#DIV/0!</v>
      </c>
      <c r="K42" s="98">
        <v>0.0</v>
      </c>
      <c r="L42" s="82">
        <v>0.0</v>
      </c>
      <c r="M42" s="83"/>
      <c r="N42" s="99">
        <v>0.0</v>
      </c>
      <c r="O42" s="85" t="str">
        <f t="shared" ref="O42:O47" si="29">K42/N42</f>
        <v>#DIV/0!</v>
      </c>
      <c r="P42" s="86" t="str">
        <f t="shared" si="5"/>
        <v>#DIV/0!</v>
      </c>
      <c r="Q42" s="85" t="str">
        <f t="shared" si="6"/>
        <v>#DIV/0!</v>
      </c>
      <c r="R42" s="87" t="str">
        <f t="shared" si="7"/>
        <v>#DIV/0!</v>
      </c>
      <c r="S42" s="100">
        <f t="shared" si="24"/>
        <v>0</v>
      </c>
      <c r="T42" s="89" t="str">
        <f t="shared" si="9"/>
        <v>#DIV/0!</v>
      </c>
      <c r="U42" s="90"/>
      <c r="V42" s="90"/>
      <c r="W42" s="90"/>
      <c r="X42" s="90"/>
      <c r="Y42" s="3"/>
      <c r="Z42" s="13"/>
      <c r="AA42" s="13"/>
    </row>
    <row r="43">
      <c r="A43" s="13" t="str">
        <f t="shared" si="26"/>
        <v/>
      </c>
      <c r="B43" s="103" t="s">
        <v>51</v>
      </c>
      <c r="C43" s="231"/>
      <c r="D43" s="61"/>
      <c r="E43" s="104">
        <f t="shared" ref="E43:G43" si="27">SUM(E35:E42)</f>
        <v>0</v>
      </c>
      <c r="F43" s="105">
        <f t="shared" si="27"/>
        <v>0</v>
      </c>
      <c r="G43" s="105">
        <f t="shared" si="27"/>
        <v>0</v>
      </c>
      <c r="H43" s="106" t="str">
        <f t="shared" si="1"/>
        <v>#DIV/0!</v>
      </c>
      <c r="I43" s="107" t="str">
        <f t="shared" si="2"/>
        <v>#DIV/0!</v>
      </c>
      <c r="J43" s="108" t="str">
        <f t="shared" si="3"/>
        <v>#DIV/0!</v>
      </c>
      <c r="K43" s="104">
        <f t="shared" ref="K43:N43" si="28">SUM(K35:K42)</f>
        <v>0</v>
      </c>
      <c r="L43" s="109">
        <f t="shared" si="28"/>
        <v>0</v>
      </c>
      <c r="M43" s="105">
        <f t="shared" si="28"/>
        <v>0</v>
      </c>
      <c r="N43" s="110">
        <f t="shared" si="28"/>
        <v>0</v>
      </c>
      <c r="O43" s="111" t="str">
        <f t="shared" si="29"/>
        <v>#DIV/0!</v>
      </c>
      <c r="P43" s="112" t="str">
        <f t="shared" si="5"/>
        <v>#DIV/0!</v>
      </c>
      <c r="Q43" s="111" t="str">
        <f t="shared" si="6"/>
        <v>#DIV/0!</v>
      </c>
      <c r="R43" s="113" t="str">
        <f t="shared" si="7"/>
        <v>#DIV/0!</v>
      </c>
      <c r="S43" s="114">
        <f>SUM(S35:S42)</f>
        <v>0</v>
      </c>
      <c r="T43" s="115" t="str">
        <f t="shared" si="9"/>
        <v>#DIV/0!</v>
      </c>
      <c r="U43" s="73" t="str">
        <f t="shared" ref="U43:V43" si="30">IFERROR((E43-#REF!)/E43,)</f>
        <v/>
      </c>
      <c r="V43" s="73" t="str">
        <f t="shared" si="30"/>
        <v/>
      </c>
      <c r="W43" s="73" t="str">
        <f t="shared" ref="W43:X43" si="31">IFERROR((E43-#REF!)/E43, )</f>
        <v/>
      </c>
      <c r="X43" s="73" t="str">
        <f t="shared" si="31"/>
        <v/>
      </c>
      <c r="Y43" s="13"/>
      <c r="Z43" s="13"/>
      <c r="AA43" s="13"/>
    </row>
    <row r="44">
      <c r="A44" s="13"/>
      <c r="B44" s="143">
        <v>46019.0</v>
      </c>
      <c r="C44" s="233" t="s">
        <v>48</v>
      </c>
      <c r="D44" s="234" t="s">
        <v>73</v>
      </c>
      <c r="E44" s="76"/>
      <c r="F44" s="77"/>
      <c r="G44" s="77"/>
      <c r="H44" s="78" t="str">
        <f t="shared" si="1"/>
        <v>#DIV/0!</v>
      </c>
      <c r="I44" s="79" t="str">
        <f t="shared" si="2"/>
        <v>#DIV/0!</v>
      </c>
      <c r="J44" s="80" t="str">
        <f t="shared" si="3"/>
        <v>#DIV/0!</v>
      </c>
      <c r="K44" s="93">
        <v>106.4</v>
      </c>
      <c r="L44" s="82">
        <v>6630.0</v>
      </c>
      <c r="M44" s="83"/>
      <c r="N44" s="93">
        <v>0.0</v>
      </c>
      <c r="O44" s="85" t="str">
        <f t="shared" si="29"/>
        <v>#DIV/0!</v>
      </c>
      <c r="P44" s="86">
        <f t="shared" si="5"/>
        <v>0</v>
      </c>
      <c r="Q44" s="85" t="str">
        <f t="shared" si="6"/>
        <v>#DIV/0!</v>
      </c>
      <c r="R44" s="87" t="str">
        <f t="shared" si="7"/>
        <v>#DIV/0!</v>
      </c>
      <c r="S44" s="95">
        <f t="shared" ref="S44:S51" si="32">E44-N44</f>
        <v>0</v>
      </c>
      <c r="T44" s="89" t="str">
        <f t="shared" si="9"/>
        <v>#DIV/0!</v>
      </c>
      <c r="U44" s="90"/>
      <c r="V44" s="90"/>
      <c r="W44" s="90"/>
      <c r="X44" s="90"/>
      <c r="Y44" s="3"/>
      <c r="Z44" s="13"/>
      <c r="AA44" s="13"/>
    </row>
    <row r="45">
      <c r="A45" s="13"/>
      <c r="B45" s="91"/>
      <c r="C45" s="235"/>
      <c r="D45" s="234" t="s">
        <v>74</v>
      </c>
      <c r="E45" s="92"/>
      <c r="F45" s="77"/>
      <c r="G45" s="77"/>
      <c r="H45" s="78" t="str">
        <f t="shared" si="1"/>
        <v>#DIV/0!</v>
      </c>
      <c r="I45" s="79" t="str">
        <f t="shared" si="2"/>
        <v>#DIV/0!</v>
      </c>
      <c r="J45" s="80" t="str">
        <f t="shared" si="3"/>
        <v>#DIV/0!</v>
      </c>
      <c r="K45" s="93">
        <v>0.0</v>
      </c>
      <c r="L45" s="82">
        <v>0.0</v>
      </c>
      <c r="M45" s="146"/>
      <c r="N45" s="93">
        <v>0.0</v>
      </c>
      <c r="O45" s="85" t="str">
        <f t="shared" si="29"/>
        <v>#DIV/0!</v>
      </c>
      <c r="P45" s="86" t="str">
        <f t="shared" si="5"/>
        <v>#DIV/0!</v>
      </c>
      <c r="Q45" s="85" t="str">
        <f t="shared" si="6"/>
        <v>#DIV/0!</v>
      </c>
      <c r="R45" s="87" t="str">
        <f t="shared" si="7"/>
        <v>#DIV/0!</v>
      </c>
      <c r="S45" s="95">
        <f t="shared" si="32"/>
        <v>0</v>
      </c>
      <c r="T45" s="89" t="str">
        <f t="shared" si="9"/>
        <v>#DIV/0!</v>
      </c>
      <c r="U45" s="90"/>
      <c r="V45" s="90"/>
      <c r="W45" s="90"/>
      <c r="X45" s="90"/>
      <c r="Y45" s="3"/>
      <c r="Z45" s="13"/>
      <c r="AA45" s="13"/>
    </row>
    <row r="46">
      <c r="A46" s="13"/>
      <c r="B46" s="91"/>
      <c r="C46" s="236"/>
      <c r="D46" s="234" t="s">
        <v>75</v>
      </c>
      <c r="E46" s="92"/>
      <c r="F46" s="77"/>
      <c r="G46" s="77"/>
      <c r="H46" s="78" t="str">
        <f t="shared" si="1"/>
        <v>#DIV/0!</v>
      </c>
      <c r="I46" s="79" t="str">
        <f t="shared" si="2"/>
        <v>#DIV/0!</v>
      </c>
      <c r="J46" s="80" t="str">
        <f t="shared" si="3"/>
        <v>#DIV/0!</v>
      </c>
      <c r="K46" s="93">
        <v>0.0</v>
      </c>
      <c r="L46" s="82">
        <v>0.0</v>
      </c>
      <c r="M46" s="83"/>
      <c r="N46" s="93">
        <v>0.0</v>
      </c>
      <c r="O46" s="85" t="str">
        <f t="shared" si="29"/>
        <v>#DIV/0!</v>
      </c>
      <c r="P46" s="86" t="str">
        <f t="shared" si="5"/>
        <v>#DIV/0!</v>
      </c>
      <c r="Q46" s="85" t="str">
        <f t="shared" si="6"/>
        <v>#DIV/0!</v>
      </c>
      <c r="R46" s="87" t="str">
        <f t="shared" si="7"/>
        <v>#DIV/0!</v>
      </c>
      <c r="S46" s="95">
        <f t="shared" si="32"/>
        <v>0</v>
      </c>
      <c r="T46" s="89" t="str">
        <f t="shared" si="9"/>
        <v>#DIV/0!</v>
      </c>
      <c r="U46" s="90"/>
      <c r="V46" s="90"/>
      <c r="W46" s="90"/>
      <c r="X46" s="90"/>
      <c r="Y46" s="3"/>
      <c r="Z46" s="13"/>
      <c r="AA46" s="13"/>
    </row>
    <row r="47">
      <c r="A47" s="13"/>
      <c r="B47" s="91"/>
      <c r="C47" s="237" t="s">
        <v>46</v>
      </c>
      <c r="D47" s="234" t="s">
        <v>76</v>
      </c>
      <c r="E47" s="92"/>
      <c r="F47" s="77"/>
      <c r="G47" s="77"/>
      <c r="H47" s="78" t="str">
        <f t="shared" si="1"/>
        <v>#DIV/0!</v>
      </c>
      <c r="I47" s="79" t="str">
        <f t="shared" si="2"/>
        <v>#DIV/0!</v>
      </c>
      <c r="J47" s="80" t="str">
        <f t="shared" si="3"/>
        <v>#DIV/0!</v>
      </c>
      <c r="K47" s="98">
        <v>0.0</v>
      </c>
      <c r="L47" s="82">
        <v>0.0</v>
      </c>
      <c r="M47" s="83"/>
      <c r="N47" s="98">
        <v>0.0</v>
      </c>
      <c r="O47" s="85" t="str">
        <f t="shared" si="29"/>
        <v>#DIV/0!</v>
      </c>
      <c r="P47" s="86" t="str">
        <f t="shared" si="5"/>
        <v>#DIV/0!</v>
      </c>
      <c r="Q47" s="85" t="str">
        <f t="shared" si="6"/>
        <v>#DIV/0!</v>
      </c>
      <c r="R47" s="87" t="str">
        <f t="shared" si="7"/>
        <v>#DIV/0!</v>
      </c>
      <c r="S47" s="100">
        <f t="shared" si="32"/>
        <v>0</v>
      </c>
      <c r="T47" s="89" t="str">
        <f t="shared" si="9"/>
        <v>#DIV/0!</v>
      </c>
      <c r="U47" s="90"/>
      <c r="V47" s="90"/>
      <c r="W47" s="90"/>
      <c r="X47" s="90"/>
      <c r="Y47" s="3"/>
      <c r="Z47" s="13"/>
      <c r="AA47" s="13"/>
    </row>
    <row r="48">
      <c r="A48" s="13"/>
      <c r="B48" s="148" t="s">
        <v>33</v>
      </c>
      <c r="C48" s="235"/>
      <c r="D48" s="234" t="s">
        <v>77</v>
      </c>
      <c r="E48" s="97"/>
      <c r="F48" s="77"/>
      <c r="G48" s="77"/>
      <c r="H48" s="78" t="str">
        <f t="shared" si="1"/>
        <v>#DIV/0!</v>
      </c>
      <c r="I48" s="79" t="str">
        <f t="shared" si="2"/>
        <v>#DIV/0!</v>
      </c>
      <c r="J48" s="80" t="str">
        <f t="shared" si="3"/>
        <v>#DIV/0!</v>
      </c>
      <c r="K48" s="98">
        <v>0.0</v>
      </c>
      <c r="L48" s="82">
        <v>0.0</v>
      </c>
      <c r="M48" s="83"/>
      <c r="N48" s="99">
        <v>0.0</v>
      </c>
      <c r="O48" s="85" t="str">
        <f t="shared" ref="O48:O50" si="33">(K48/N48)</f>
        <v>#DIV/0!</v>
      </c>
      <c r="P48" s="86" t="str">
        <f t="shared" si="5"/>
        <v>#DIV/0!</v>
      </c>
      <c r="Q48" s="85" t="str">
        <f t="shared" si="6"/>
        <v>#DIV/0!</v>
      </c>
      <c r="R48" s="87" t="str">
        <f t="shared" si="7"/>
        <v>#DIV/0!</v>
      </c>
      <c r="S48" s="100">
        <f t="shared" si="32"/>
        <v>0</v>
      </c>
      <c r="T48" s="89" t="str">
        <f t="shared" si="9"/>
        <v>#DIV/0!</v>
      </c>
      <c r="U48" s="90"/>
      <c r="V48" s="90"/>
      <c r="W48" s="90"/>
      <c r="X48" s="90"/>
      <c r="Y48" s="3"/>
      <c r="Z48" s="13"/>
      <c r="AA48" s="13"/>
    </row>
    <row r="49">
      <c r="A49" s="13"/>
      <c r="B49" s="148"/>
      <c r="C49" s="235"/>
      <c r="D49" s="234" t="s">
        <v>78</v>
      </c>
      <c r="E49" s="97"/>
      <c r="F49" s="77"/>
      <c r="G49" s="77"/>
      <c r="H49" s="78" t="str">
        <f t="shared" si="1"/>
        <v>#DIV/0!</v>
      </c>
      <c r="I49" s="79" t="str">
        <f t="shared" si="2"/>
        <v>#DIV/0!</v>
      </c>
      <c r="J49" s="80" t="str">
        <f t="shared" si="3"/>
        <v>#DIV/0!</v>
      </c>
      <c r="K49" s="98">
        <v>0.0</v>
      </c>
      <c r="L49" s="82">
        <v>0.0</v>
      </c>
      <c r="M49" s="83"/>
      <c r="N49" s="99">
        <v>0.0</v>
      </c>
      <c r="O49" s="85" t="str">
        <f t="shared" si="33"/>
        <v>#DIV/0!</v>
      </c>
      <c r="P49" s="86" t="str">
        <f t="shared" si="5"/>
        <v>#DIV/0!</v>
      </c>
      <c r="Q49" s="85" t="str">
        <f t="shared" si="6"/>
        <v>#DIV/0!</v>
      </c>
      <c r="R49" s="87" t="str">
        <f t="shared" si="7"/>
        <v>#DIV/0!</v>
      </c>
      <c r="S49" s="100">
        <f t="shared" si="32"/>
        <v>0</v>
      </c>
      <c r="T49" s="89" t="str">
        <f t="shared" si="9"/>
        <v>#DIV/0!</v>
      </c>
      <c r="U49" s="90"/>
      <c r="V49" s="90"/>
      <c r="W49" s="90"/>
      <c r="X49" s="90"/>
      <c r="Y49" s="3"/>
      <c r="Z49" s="13"/>
      <c r="AA49" s="13"/>
    </row>
    <row r="50">
      <c r="A50" s="13"/>
      <c r="B50" s="148"/>
      <c r="C50" s="235"/>
      <c r="D50" s="234" t="s">
        <v>79</v>
      </c>
      <c r="E50" s="97"/>
      <c r="F50" s="77"/>
      <c r="G50" s="77"/>
      <c r="H50" s="78" t="str">
        <f t="shared" si="1"/>
        <v>#DIV/0!</v>
      </c>
      <c r="I50" s="79" t="str">
        <f t="shared" si="2"/>
        <v>#DIV/0!</v>
      </c>
      <c r="J50" s="80" t="str">
        <f t="shared" si="3"/>
        <v>#DIV/0!</v>
      </c>
      <c r="K50" s="98">
        <v>0.0</v>
      </c>
      <c r="L50" s="82">
        <v>0.0</v>
      </c>
      <c r="M50" s="83"/>
      <c r="N50" s="99">
        <v>0.0</v>
      </c>
      <c r="O50" s="85" t="str">
        <f t="shared" si="33"/>
        <v>#DIV/0!</v>
      </c>
      <c r="P50" s="86" t="str">
        <f t="shared" si="5"/>
        <v>#DIV/0!</v>
      </c>
      <c r="Q50" s="85" t="str">
        <f t="shared" si="6"/>
        <v>#DIV/0!</v>
      </c>
      <c r="R50" s="87" t="str">
        <f t="shared" si="7"/>
        <v>#DIV/0!</v>
      </c>
      <c r="S50" s="100">
        <f t="shared" si="32"/>
        <v>0</v>
      </c>
      <c r="T50" s="89" t="str">
        <f t="shared" si="9"/>
        <v>#DIV/0!</v>
      </c>
      <c r="U50" s="90"/>
      <c r="V50" s="90"/>
      <c r="W50" s="90"/>
      <c r="X50" s="90"/>
      <c r="Y50" s="3"/>
      <c r="Z50" s="13"/>
      <c r="AA50" s="13"/>
    </row>
    <row r="51">
      <c r="A51" s="101" t="str">
        <f t="shared" ref="A51:A52" si="34">iferror(if(B51&gt;0,month(B51)&amp;"-"&amp;year(B51),B51),)</f>
        <v>1-2026</v>
      </c>
      <c r="B51" s="143">
        <v>46025.0</v>
      </c>
      <c r="C51" s="236"/>
      <c r="D51" s="234" t="s">
        <v>80</v>
      </c>
      <c r="E51" s="102"/>
      <c r="F51" s="77"/>
      <c r="G51" s="77"/>
      <c r="H51" s="78" t="str">
        <f t="shared" si="1"/>
        <v>#DIV/0!</v>
      </c>
      <c r="I51" s="79" t="str">
        <f t="shared" si="2"/>
        <v>#DIV/0!</v>
      </c>
      <c r="J51" s="80" t="str">
        <f t="shared" si="3"/>
        <v>#DIV/0!</v>
      </c>
      <c r="K51" s="98">
        <v>0.0</v>
      </c>
      <c r="L51" s="82">
        <v>0.0</v>
      </c>
      <c r="M51" s="83"/>
      <c r="N51" s="99">
        <v>0.0</v>
      </c>
      <c r="O51" s="85" t="str">
        <f t="shared" ref="O51:O52" si="37">K51/N51</f>
        <v>#DIV/0!</v>
      </c>
      <c r="P51" s="86" t="str">
        <f t="shared" si="5"/>
        <v>#DIV/0!</v>
      </c>
      <c r="Q51" s="85" t="str">
        <f t="shared" si="6"/>
        <v>#DIV/0!</v>
      </c>
      <c r="R51" s="87" t="str">
        <f t="shared" si="7"/>
        <v>#DIV/0!</v>
      </c>
      <c r="S51" s="100">
        <f t="shared" si="32"/>
        <v>0</v>
      </c>
      <c r="T51" s="89" t="str">
        <f t="shared" si="9"/>
        <v>#DIV/0!</v>
      </c>
      <c r="U51" s="90"/>
      <c r="V51" s="90"/>
      <c r="W51" s="90"/>
      <c r="X51" s="90"/>
      <c r="Y51" s="3"/>
      <c r="Z51" s="13"/>
      <c r="AA51" s="13"/>
    </row>
    <row r="52">
      <c r="A52" s="13" t="str">
        <f t="shared" si="34"/>
        <v/>
      </c>
      <c r="B52" s="103" t="s">
        <v>52</v>
      </c>
      <c r="C52" s="231"/>
      <c r="D52" s="61"/>
      <c r="E52" s="104">
        <f t="shared" ref="E52:G52" si="35">SUM(E44:E51)</f>
        <v>0</v>
      </c>
      <c r="F52" s="105">
        <f t="shared" si="35"/>
        <v>0</v>
      </c>
      <c r="G52" s="105">
        <f t="shared" si="35"/>
        <v>0</v>
      </c>
      <c r="H52" s="106" t="str">
        <f t="shared" si="1"/>
        <v>#DIV/0!</v>
      </c>
      <c r="I52" s="107" t="str">
        <f t="shared" si="2"/>
        <v>#DIV/0!</v>
      </c>
      <c r="J52" s="108" t="str">
        <f t="shared" si="3"/>
        <v>#DIV/0!</v>
      </c>
      <c r="K52" s="104">
        <f t="shared" ref="K52:N52" si="36">SUM(K44:K51)</f>
        <v>106.4</v>
      </c>
      <c r="L52" s="109">
        <f t="shared" si="36"/>
        <v>6630</v>
      </c>
      <c r="M52" s="105">
        <f t="shared" si="36"/>
        <v>0</v>
      </c>
      <c r="N52" s="110">
        <f t="shared" si="36"/>
        <v>0</v>
      </c>
      <c r="O52" s="111" t="str">
        <f t="shared" si="37"/>
        <v>#DIV/0!</v>
      </c>
      <c r="P52" s="112">
        <f t="shared" si="5"/>
        <v>0</v>
      </c>
      <c r="Q52" s="111" t="str">
        <f t="shared" si="6"/>
        <v>#DIV/0!</v>
      </c>
      <c r="R52" s="113" t="str">
        <f t="shared" si="7"/>
        <v>#DIV/0!</v>
      </c>
      <c r="S52" s="114">
        <f>SUM(S44:S51)</f>
        <v>0</v>
      </c>
      <c r="T52" s="115" t="str">
        <f t="shared" si="9"/>
        <v>#DIV/0!</v>
      </c>
      <c r="U52" s="73" t="str">
        <f t="shared" ref="U52:V52" si="38">IFERROR((E52-E43)/E52,)</f>
        <v/>
      </c>
      <c r="V52" s="73" t="str">
        <f t="shared" si="38"/>
        <v/>
      </c>
      <c r="W52" s="73" t="str">
        <f t="shared" ref="W52:X52" si="39">IFERROR((E52-#REF!)/E52, )</f>
        <v/>
      </c>
      <c r="X52" s="73" t="str">
        <f t="shared" si="39"/>
        <v/>
      </c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</sheetData>
  <mergeCells count="33">
    <mergeCell ref="T3:W3"/>
    <mergeCell ref="T4:V4"/>
    <mergeCell ref="T7:W7"/>
    <mergeCell ref="T8:V8"/>
    <mergeCell ref="T9:W9"/>
    <mergeCell ref="A1:B1"/>
    <mergeCell ref="A2:B2"/>
    <mergeCell ref="D2:X2"/>
    <mergeCell ref="G3:J3"/>
    <mergeCell ref="O3:R3"/>
    <mergeCell ref="G4:I4"/>
    <mergeCell ref="G5:J5"/>
    <mergeCell ref="T5:W5"/>
    <mergeCell ref="G9:J9"/>
    <mergeCell ref="E10:J10"/>
    <mergeCell ref="M10:T10"/>
    <mergeCell ref="W10:X10"/>
    <mergeCell ref="Y10:Z10"/>
    <mergeCell ref="C17:C19"/>
    <mergeCell ref="C20:C24"/>
    <mergeCell ref="C26:C28"/>
    <mergeCell ref="C29:C33"/>
    <mergeCell ref="C35:C37"/>
    <mergeCell ref="C38:C42"/>
    <mergeCell ref="C44:C46"/>
    <mergeCell ref="C47:C51"/>
    <mergeCell ref="O4:Q4"/>
    <mergeCell ref="O5:R5"/>
    <mergeCell ref="G7:J7"/>
    <mergeCell ref="O7:R7"/>
    <mergeCell ref="G8:I8"/>
    <mergeCell ref="O8:Q8"/>
    <mergeCell ref="O9:R9"/>
  </mergeCells>
  <dataValidations>
    <dataValidation type="list" allowBlank="1" sqref="B12 B25 B34 B43 B52">
      <formula1>"Previous Week,Current Week"</formula1>
    </dataValidation>
  </dataValidations>
  <hyperlinks>
    <hyperlink r:id="rId1" ref="A1"/>
  </hyperlinks>
  <drawing r:id="rId2"/>
</worksheet>
</file>