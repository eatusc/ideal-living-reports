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LL - 2025" sheetId="1" r:id="rId5"/>
    <sheet state="visible" name="ALL - 2026 - Orange Access" sheetId="2" r:id="rId6"/>
    <sheet state="visible" name="Home Depot - 2026" sheetId="3" r:id="rId7"/>
    <sheet state="visible" name="Home Depot Canada - 2026" sheetId="4" r:id="rId8"/>
    <sheet state="visible" name="Lowes - 2026" sheetId="5" r:id="rId9"/>
    <sheet state="hidden" name="US" sheetId="6" r:id="rId10"/>
    <sheet state="hidden" name="CANADA" sheetId="7" r:id="rId11"/>
  </sheets>
  <definedNames/>
  <calcPr/>
</workbook>
</file>

<file path=xl/sharedStrings.xml><?xml version="1.0" encoding="utf-8"?>
<sst xmlns="http://schemas.openxmlformats.org/spreadsheetml/2006/main" count="675" uniqueCount="82">
  <si>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</si>
  <si>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 xml:space="preserve"> WEEKLY PERFORMANCE</t>
  </si>
  <si>
    <t>Total Sales</t>
  </si>
  <si>
    <t>Total Orders</t>
  </si>
  <si>
    <t>Total Units Sold</t>
  </si>
  <si>
    <t>Advertising Sales</t>
  </si>
  <si>
    <t>Advertising Spend</t>
  </si>
  <si>
    <t>ACoS</t>
  </si>
  <si>
    <t>SALES METRICS</t>
  </si>
  <si>
    <t xml:space="preserve">ADVERTISING PERFORMANCE </t>
  </si>
  <si>
    <t>MoM</t>
  </si>
  <si>
    <t>YoY</t>
  </si>
  <si>
    <t>Month-Code</t>
  </si>
  <si>
    <t>DATE</t>
  </si>
  <si>
    <t>Campaign Group per Brand</t>
  </si>
  <si>
    <t>SALES</t>
  </si>
  <si>
    <t>UNITS SOLD</t>
  </si>
  <si>
    <t>ORDERED ITEMS</t>
  </si>
  <si>
    <t>UNITS PER ORDER</t>
  </si>
  <si>
    <t>SALES PER ORDER</t>
  </si>
  <si>
    <t>ASP</t>
  </si>
  <si>
    <t>SP AD SPEND</t>
  </si>
  <si>
    <t>IMPRESSIONS</t>
  </si>
  <si>
    <t>UNIT SALES</t>
  </si>
  <si>
    <t>AD SALES</t>
  </si>
  <si>
    <t>ROAS (return on ad send)</t>
  </si>
  <si>
    <t>TACoS (Total Advertsing Cost of Sales)</t>
  </si>
  <si>
    <t>REVENUE PERCENTAGE OF AD SALES</t>
  </si>
  <si>
    <t>ORGANIC SALES</t>
  </si>
  <si>
    <t>CPO</t>
  </si>
  <si>
    <t>UNITS</t>
  </si>
  <si>
    <t>AIRDOCTOR - Home Depot US</t>
  </si>
  <si>
    <t>AQUA TRU - Home Depot US</t>
  </si>
  <si>
    <t>to</t>
  </si>
  <si>
    <t>PAINT ZOOM - Home Depot US</t>
  </si>
  <si>
    <t>ROTORAZER SAW - Home Depot US /
ROTORAZERSAW - Home Depot US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</si>
  <si>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</si>
  <si>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</si>
  <si>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</si>
  <si>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</si>
  <si>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</si>
  <si>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</si>
  <si>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</si>
  <si>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</si>
  <si>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</si>
  <si>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</si>
  <si>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AquaTru - Home Depot CA</t>
  </si>
  <si>
    <t>Week 49</t>
  </si>
  <si>
    <t>AirDoctor - Home Depot CA</t>
  </si>
  <si>
    <t>Week 50</t>
  </si>
  <si>
    <t>Week 51</t>
  </si>
  <si>
    <t>Previous Week</t>
  </si>
  <si>
    <t>Current Week</t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</si>
  <si>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</si>
  <si>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Week 52</t>
  </si>
  <si>
    <t>2026 - Week 1</t>
  </si>
  <si>
    <t>2026 - Week 2</t>
  </si>
  <si>
    <t>2026 - Week 3</t>
  </si>
  <si>
    <t>2026 - Week 4</t>
  </si>
  <si>
    <t>2026 - Week 5</t>
  </si>
  <si>
    <t>2026 - Week 6</t>
  </si>
  <si>
    <t>2026 - Week 7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</si>
  <si>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</si>
  <si>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t>BRAND</t>
  </si>
  <si>
    <t>GWV</t>
  </si>
  <si>
    <t>AquaTru</t>
  </si>
  <si>
    <t>AirDoctor</t>
  </si>
  <si>
    <t>Rotorazer</t>
  </si>
  <si>
    <t>Ionic Pro</t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</si>
  <si>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</si>
  <si>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DATA SOURCE: </t>
    </r>
    <r>
      <rPr>
        <rFont val="Calibri"/>
        <color rgb="FF1155CC"/>
        <u/>
      </rPr>
      <t>https://app.dsco.io/insights/sales-insights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</si>
  <si>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</si>
  <si>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r>
      <rPr>
        <rFont val="Calibri"/>
        <color rgb="FF000000"/>
        <u/>
      </rPr>
      <t xml:space="preserve">Home Depot RPD - Orange Access - DATA SOURCES: </t>
    </r>
    <r>
      <rPr>
        <rFont val="Calibri"/>
        <color rgb="FF1155CC"/>
        <u/>
      </rPr>
      <t>https://us.orangeapronmedia.com/r/organizations</t>
    </r>
  </si>
  <si>
    <t>Campaign Name</t>
  </si>
  <si>
    <t>AirDoctor - Onsite - Sponsored Grid</t>
  </si>
  <si>
    <t>AirDoctor - Offsite</t>
  </si>
  <si>
    <t>AirDoctor - Onsite - Sponsored Banners</t>
  </si>
  <si>
    <t>AquaTru - Onsite - Systems - Sponsored Grid</t>
  </si>
  <si>
    <t>AquaTru - Onsite - Replacements - Sponsored Grid</t>
  </si>
  <si>
    <t>AquaTru - Onsite - - Systems - Sponsored Banners</t>
  </si>
  <si>
    <t>AquaTru - Onsite - Replacements - Sponsored Banners</t>
  </si>
  <si>
    <t>AquaTru - Offsite
WebsiteVisitorsAudience &gt;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</si>
</sst>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&quot;$&quot;#,##0"/>
    <numFmt numFmtId="166" formatCode="m/d/yyyy"/>
  </numFmts>
  <fonts count="14">
    <font>
      <sz val="10.0"/>
      <color rgb="FF000000"/>
      <name val="Arial"/>
      <scheme val="minor"/>
    </font>
    <font>
      <u/>
      <color rgb="FF1155CC"/>
      <name val="Calibri"/>
    </font>
    <font/>
    <font>
      <color theme="1"/>
      <name val="Arial"/>
    </font>
    <font>
      <color theme="1"/>
      <name val="Calibri"/>
    </font>
    <font>
      <sz val="15.0"/>
      <color rgb="FF757171"/>
      <name val="Calibri"/>
    </font>
    <font>
      <sz val="13.0"/>
      <color theme="1"/>
      <name val="Calibri"/>
    </font>
    <font>
      <b/>
      <sz val="13.0"/>
      <color rgb="FF008000"/>
      <name val="Calibri"/>
    </font>
    <font>
      <b/>
      <sz val="13.0"/>
      <color rgb="FF34A853"/>
      <name val="Calibri"/>
    </font>
    <font>
      <b/>
      <color theme="1"/>
      <name val="Calibri"/>
    </font>
    <font>
      <color rgb="FF757171"/>
      <name val="Calibri"/>
    </font>
    <font>
      <b/>
      <color rgb="FF34A853"/>
      <name val="Calibri"/>
    </font>
    <font>
      <b/>
      <color rgb="FFFF0000"/>
      <name val="Calibri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</fills>
  <borders count="30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FFFFFF"/>
      </bottom>
    </border>
    <border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FFFFFF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FFFFFF"/>
      </left>
    </border>
    <border>
      <left style="thin">
        <color rgb="FF000000"/>
      </left>
      <right style="thin">
        <color rgb="FFFFFFFF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1"/>
    </xf>
    <xf borderId="2" fillId="0" fontId="2" numFmtId="0" xfId="0" applyBorder="1" applyFont="1"/>
    <xf borderId="3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2" fillId="0" fontId="3" numFmtId="165" xfId="0" applyAlignment="1" applyBorder="1" applyFont="1" applyNumberFormat="1">
      <alignment horizontal="center" vertical="bottom"/>
    </xf>
    <xf borderId="4" fillId="2" fontId="3" numFmtId="0" xfId="0" applyAlignment="1" applyBorder="1" applyFill="1" applyFont="1">
      <alignment horizontal="center" vertical="bottom"/>
    </xf>
    <xf borderId="3" fillId="0" fontId="2" numFmtId="0" xfId="0" applyBorder="1" applyFont="1"/>
    <xf borderId="4" fillId="2" fontId="4" numFmtId="0" xfId="0" applyAlignment="1" applyBorder="1" applyFont="1">
      <alignment horizontal="center" vertical="bottom"/>
    </xf>
    <xf borderId="4" fillId="0" fontId="2" numFmtId="0" xfId="0" applyBorder="1" applyFont="1"/>
    <xf borderId="3" fillId="2" fontId="4" numFmtId="0" xfId="0" applyAlignment="1" applyBorder="1" applyFont="1">
      <alignment horizontal="center"/>
    </xf>
    <xf borderId="3" fillId="2" fontId="4" numFmtId="10" xfId="0" applyAlignment="1" applyBorder="1" applyFont="1" applyNumberFormat="1">
      <alignment horizontal="center"/>
    </xf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3" numFmtId="10" xfId="0" applyAlignment="1" applyBorder="1" applyFont="1" applyNumberFormat="1">
      <alignment horizontal="center" vertical="bottom"/>
    </xf>
    <xf borderId="3" fillId="0" fontId="5" numFmtId="0" xfId="0" applyAlignment="1" applyBorder="1" applyFont="1">
      <alignment horizontal="center" vertical="bottom"/>
    </xf>
    <xf borderId="4" fillId="0" fontId="5" numFmtId="10" xfId="0" applyAlignment="1" applyBorder="1" applyFont="1" applyNumberFormat="1">
      <alignment horizontal="center" vertical="bottom"/>
    </xf>
    <xf borderId="4" fillId="0" fontId="5" numFmtId="0" xfId="0" applyAlignment="1" applyBorder="1" applyFon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4" fillId="0" fontId="3" numFmtId="1" xfId="0" applyAlignment="1" applyBorder="1" applyFont="1" applyNumberFormat="1">
      <alignment horizontal="center" vertical="bottom"/>
    </xf>
    <xf borderId="3" fillId="0" fontId="6" numFmtId="165" xfId="0" applyAlignment="1" applyBorder="1" applyFont="1" applyNumberFormat="1">
      <alignment horizontal="center" vertical="bottom"/>
    </xf>
    <xf borderId="4" fillId="0" fontId="6" numFmtId="1" xfId="0" applyAlignment="1" applyBorder="1" applyFont="1" applyNumberFormat="1">
      <alignment horizontal="center" vertical="bottom"/>
    </xf>
    <xf borderId="0" fillId="0" fontId="3" numFmtId="9" xfId="0" applyAlignment="1" applyFont="1" applyNumberFormat="1">
      <alignment horizontal="center" vertical="bottom"/>
    </xf>
    <xf borderId="5" fillId="0" fontId="3" numFmtId="9" xfId="0" applyAlignment="1" applyBorder="1" applyFont="1" applyNumberFormat="1">
      <alignment horizontal="center" vertical="bottom"/>
    </xf>
    <xf borderId="3" fillId="0" fontId="3" numFmtId="10" xfId="0" applyAlignment="1" applyBorder="1" applyFont="1" applyNumberFormat="1">
      <alignment horizontal="center" vertical="bottom"/>
    </xf>
    <xf borderId="3" fillId="0" fontId="7" numFmtId="10" xfId="0" applyAlignment="1" applyBorder="1" applyFont="1" applyNumberFormat="1">
      <alignment horizontal="center" vertical="bottom"/>
    </xf>
    <xf borderId="4" fillId="0" fontId="7" numFmtId="10" xfId="0" applyAlignment="1" applyBorder="1" applyFont="1" applyNumberFormat="1">
      <alignment horizontal="center" vertical="bottom"/>
    </xf>
    <xf borderId="3" fillId="0" fontId="3" numFmtId="9" xfId="0" applyAlignment="1" applyBorder="1" applyFont="1" applyNumberFormat="1">
      <alignment horizontal="center" vertical="bottom"/>
    </xf>
    <xf borderId="4" fillId="0" fontId="3" numFmtId="0" xfId="0" applyAlignment="1" applyBorder="1" applyFont="1">
      <alignment horizontal="center" vertical="bottom"/>
    </xf>
    <xf borderId="4" fillId="0" fontId="3" numFmtId="165" xfId="0" applyAlignment="1" applyBorder="1" applyFont="1" applyNumberFormat="1">
      <alignment horizontal="center" vertical="bottom"/>
    </xf>
    <xf borderId="4" fillId="0" fontId="6" numFmtId="165" xfId="0" applyAlignment="1" applyBorder="1" applyFont="1" applyNumberFormat="1">
      <alignment horizontal="center" vertical="bottom"/>
    </xf>
    <xf borderId="4" fillId="0" fontId="6" numFmtId="10" xfId="0" applyAlignment="1" applyBorder="1" applyFont="1" applyNumberFormat="1">
      <alignment horizontal="center" vertical="bottom"/>
    </xf>
    <xf borderId="6" fillId="0" fontId="3" numFmtId="10" xfId="0" applyAlignment="1" applyBorder="1" applyFont="1" applyNumberFormat="1">
      <alignment horizontal="center" vertical="bottom"/>
    </xf>
    <xf borderId="0" fillId="0" fontId="3" numFmtId="10" xfId="0" applyAlignment="1" applyFont="1" applyNumberFormat="1">
      <alignment horizontal="center" vertical="bottom"/>
    </xf>
    <xf borderId="6" fillId="0" fontId="2" numFmtId="0" xfId="0" applyBorder="1" applyFont="1"/>
    <xf borderId="6" fillId="0" fontId="8" numFmtId="10" xfId="0" applyAlignment="1" applyBorder="1" applyFont="1" applyNumberFormat="1">
      <alignment horizontal="center" vertical="bottom"/>
    </xf>
    <xf borderId="0" fillId="0" fontId="8" numFmtId="10" xfId="0" applyAlignment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Alignment="1" applyBorder="1" applyFont="1">
      <alignment horizontal="center" vertical="bottom"/>
    </xf>
    <xf borderId="10" fillId="0" fontId="2" numFmtId="0" xfId="0" applyBorder="1" applyFont="1"/>
    <xf borderId="11" fillId="0" fontId="2" numFmtId="0" xfId="0" applyBorder="1" applyFont="1"/>
    <xf borderId="9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10" fillId="0" fontId="4" numFmtId="164" xfId="0" applyAlignment="1" applyBorder="1" applyFont="1" applyNumberFormat="1">
      <alignment horizontal="center" shrinkToFit="0" vertical="bottom" wrapText="1"/>
    </xf>
    <xf borderId="13" fillId="0" fontId="3" numFmtId="165" xfId="0" applyAlignment="1" applyBorder="1" applyFont="1" applyNumberFormat="1">
      <alignment horizontal="center" vertical="bottom"/>
    </xf>
    <xf borderId="14" fillId="0" fontId="3" numFmtId="165" xfId="0" applyAlignment="1" applyBorder="1" applyFont="1" applyNumberFormat="1">
      <alignment horizontal="center" vertical="bottom"/>
    </xf>
    <xf borderId="10" fillId="0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shrinkToFit="0" vertical="bottom" wrapText="1"/>
    </xf>
    <xf borderId="15" fillId="0" fontId="9" numFmtId="0" xfId="0" applyAlignment="1" applyBorder="1" applyFont="1">
      <alignment horizontal="center" shrinkToFit="0" vertical="bottom" wrapText="1"/>
    </xf>
    <xf borderId="16" fillId="0" fontId="9" numFmtId="0" xfId="0" applyAlignment="1" applyBorder="1" applyFont="1">
      <alignment horizontal="center" readingOrder="0" shrinkToFit="0" vertical="bottom" wrapText="1"/>
    </xf>
    <xf borderId="16" fillId="0" fontId="9" numFmtId="0" xfId="0" applyAlignment="1" applyBorder="1" applyFont="1">
      <alignment horizontal="center" shrinkToFit="0" vertical="bottom" wrapText="1"/>
    </xf>
    <xf borderId="6" fillId="0" fontId="9" numFmtId="0" xfId="0" applyAlignment="1" applyBorder="1" applyFont="1">
      <alignment horizontal="center" shrinkToFit="0" vertical="bottom" wrapText="1"/>
    </xf>
    <xf borderId="16" fillId="0" fontId="9" numFmtId="164" xfId="0" applyAlignment="1" applyBorder="1" applyFont="1" applyNumberFormat="1">
      <alignment horizontal="center" shrinkToFit="0" vertical="bottom" wrapText="1"/>
    </xf>
    <xf borderId="17" fillId="0" fontId="9" numFmtId="0" xfId="0" applyAlignment="1" applyBorder="1" applyFont="1">
      <alignment horizontal="center" shrinkToFit="0" vertical="bottom" wrapText="1"/>
    </xf>
    <xf borderId="0" fillId="0" fontId="9" numFmtId="165" xfId="0" applyAlignment="1" applyFont="1" applyNumberFormat="1">
      <alignment horizontal="center" shrinkToFit="0" vertical="bottom" wrapText="1"/>
    </xf>
    <xf borderId="18" fillId="0" fontId="9" numFmtId="0" xfId="0" applyAlignment="1" applyBorder="1" applyFont="1">
      <alignment horizontal="center" shrinkToFit="0" vertical="bottom" wrapText="1"/>
    </xf>
    <xf borderId="0" fillId="2" fontId="3" numFmtId="0" xfId="0" applyAlignment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19" fillId="2" fontId="3" numFmtId="0" xfId="0" applyAlignment="1" applyBorder="1" applyFont="1">
      <alignment horizontal="center" vertical="bottom"/>
    </xf>
    <xf borderId="19" fillId="2" fontId="3" numFmtId="165" xfId="0" applyAlignment="1" applyBorder="1" applyFont="1" applyNumberFormat="1">
      <alignment horizontal="center" vertical="bottom"/>
    </xf>
    <xf borderId="2" fillId="2" fontId="3" numFmtId="0" xfId="0" applyAlignment="1" applyBorder="1" applyFont="1">
      <alignment horizontal="center" vertical="bottom"/>
    </xf>
    <xf borderId="2" fillId="2" fontId="3" numFmtId="2" xfId="0" applyAlignment="1" applyBorder="1" applyFont="1" applyNumberForma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20" fillId="2" fontId="3" numFmtId="164" xfId="0" applyAlignment="1" applyBorder="1" applyFont="1" applyNumberFormat="1">
      <alignment horizontal="center" vertical="bottom"/>
    </xf>
    <xf borderId="2" fillId="2" fontId="3" numFmtId="165" xfId="0" applyAlignment="1" applyBorder="1" applyFont="1" applyNumberFormat="1">
      <alignment horizontal="center" vertical="bottom"/>
    </xf>
    <xf borderId="2" fillId="2" fontId="3" numFmtId="10" xfId="0" applyAlignment="1" applyBorder="1" applyFont="1" applyNumberFormat="1">
      <alignment horizontal="center" vertical="bottom"/>
    </xf>
    <xf borderId="2" fillId="2" fontId="3" numFmtId="4" xfId="0" applyAlignment="1" applyBorder="1" applyFont="1" applyNumberFormat="1">
      <alignment horizontal="center" vertical="bottom"/>
    </xf>
    <xf borderId="21" fillId="2" fontId="3" numFmtId="10" xfId="0" applyAlignment="1" applyBorder="1" applyFont="1" applyNumberFormat="1">
      <alignment horizontal="center" vertical="bottom"/>
    </xf>
    <xf borderId="20" fillId="2" fontId="3" numFmtId="165" xfId="0" applyAlignment="1" applyBorder="1" applyFont="1" applyNumberFormat="1">
      <alignment horizontal="center" vertical="bottom"/>
    </xf>
    <xf borderId="21" fillId="2" fontId="3" numFmtId="164" xfId="0" applyAlignment="1" applyBorder="1" applyFont="1" applyNumberFormat="1">
      <alignment horizontal="center" vertical="bottom"/>
    </xf>
    <xf borderId="19" fillId="2" fontId="3" numFmtId="10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vertical="bottom"/>
    </xf>
    <xf borderId="19" fillId="0" fontId="4" numFmtId="0" xfId="0" applyAlignment="1" applyBorder="1" applyFont="1">
      <alignment horizontal="center" readingOrder="0" vertical="bottom"/>
    </xf>
    <xf borderId="19" fillId="3" fontId="3" numFmtId="165" xfId="0" applyAlignment="1" applyBorder="1" applyFill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" fillId="0" fontId="4" numFmtId="2" xfId="0" applyAlignment="1" applyBorder="1" applyFont="1" applyNumberFormat="1">
      <alignment horizontal="center" vertical="bottom"/>
    </xf>
    <xf borderId="2" fillId="0" fontId="4" numFmtId="164" xfId="0" applyAlignment="1" applyBorder="1" applyFont="1" applyNumberFormat="1">
      <alignment horizontal="center" vertical="bottom"/>
    </xf>
    <xf borderId="20" fillId="0" fontId="4" numFmtId="164" xfId="0" applyAlignment="1" applyBorder="1" applyFont="1" applyNumberFormat="1">
      <alignment horizontal="center" vertical="bottom"/>
    </xf>
    <xf borderId="19" fillId="3" fontId="4" numFmtId="165" xfId="0" applyAlignment="1" applyBorder="1" applyFont="1" applyNumberFormat="1">
      <alignment horizontal="center" readingOrder="0" shrinkToFit="0" vertical="bottom" wrapText="1"/>
    </xf>
    <xf borderId="22" fillId="0" fontId="4" numFmtId="3" xfId="0" applyAlignment="1" applyBorder="1" applyFont="1" applyNumberFormat="1">
      <alignment horizontal="center" readingOrder="0" vertical="bottom"/>
    </xf>
    <xf borderId="22" fillId="0" fontId="3" numFmtId="0" xfId="0" applyAlignment="1" applyBorder="1" applyFont="1">
      <alignment horizontal="center" readingOrder="0" vertical="bottom"/>
    </xf>
    <xf borderId="22" fillId="3" fontId="4" numFmtId="165" xfId="0" applyAlignment="1" applyBorder="1" applyFont="1" applyNumberFormat="1">
      <alignment horizontal="center" readingOrder="0" vertical="bottom"/>
    </xf>
    <xf borderId="2" fillId="0" fontId="4" numFmtId="10" xfId="0" applyAlignment="1" applyBorder="1" applyFont="1" applyNumberFormat="1">
      <alignment horizontal="center" vertical="bottom"/>
    </xf>
    <xf borderId="2" fillId="0" fontId="4" numFmtId="4" xfId="0" applyAlignment="1" applyBorder="1" applyFont="1" applyNumberFormat="1">
      <alignment horizontal="center" vertical="bottom"/>
    </xf>
    <xf borderId="21" fillId="0" fontId="4" numFmtId="10" xfId="0" applyAlignment="1" applyBorder="1" applyFont="1" applyNumberFormat="1">
      <alignment horizontal="center" vertical="bottom"/>
    </xf>
    <xf borderId="20" fillId="3" fontId="4" numFmtId="165" xfId="0" applyAlignment="1" applyBorder="1" applyFont="1" applyNumberFormat="1">
      <alignment horizontal="center" vertical="bottom"/>
    </xf>
    <xf borderId="21" fillId="0" fontId="4" numFmtId="164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9" fillId="4" fontId="3" numFmtId="165" xfId="0" applyAlignment="1" applyBorder="1" applyFill="1" applyFont="1" applyNumberFormat="1">
      <alignment horizontal="center" vertical="bottom"/>
    </xf>
    <xf borderId="19" fillId="4" fontId="4" numFmtId="165" xfId="0" applyAlignment="1" applyBorder="1" applyFont="1" applyNumberFormat="1">
      <alignment horizontal="center" readingOrder="0" vertical="bottom"/>
    </xf>
    <xf borderId="22" fillId="4" fontId="4" numFmtId="165" xfId="0" applyAlignment="1" applyBorder="1" applyFont="1" applyNumberFormat="1">
      <alignment horizontal="center" readingOrder="0" vertical="bottom"/>
    </xf>
    <xf borderId="20" fillId="4" fontId="4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9" fillId="5" fontId="3" numFmtId="165" xfId="0" applyAlignment="1" applyBorder="1" applyFill="1" applyFont="1" applyNumberFormat="1">
      <alignment horizontal="center" vertical="bottom"/>
    </xf>
    <xf borderId="19" fillId="5" fontId="4" numFmtId="165" xfId="0" applyAlignment="1" applyBorder="1" applyFont="1" applyNumberFormat="1">
      <alignment horizontal="center" readingOrder="0" vertical="bottom"/>
    </xf>
    <xf borderId="22" fillId="5" fontId="4" numFmtId="165" xfId="0" applyAlignment="1" applyBorder="1" applyFont="1" applyNumberFormat="1">
      <alignment horizontal="center" readingOrder="0" vertical="bottom"/>
    </xf>
    <xf borderId="20" fillId="5" fontId="4" numFmtId="165" xfId="0" applyAlignment="1" applyBorder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19" fillId="6" fontId="3" numFmtId="165" xfId="0" applyAlignment="1" applyBorder="1" applyFill="1" applyFont="1" applyNumberFormat="1">
      <alignment horizontal="center" vertical="bottom"/>
    </xf>
    <xf borderId="1" fillId="2" fontId="9" numFmtId="0" xfId="0" applyAlignment="1" applyBorder="1" applyFont="1">
      <alignment horizontal="center" vertical="bottom"/>
    </xf>
    <xf borderId="19" fillId="2" fontId="9" numFmtId="165" xfId="0" applyAlignment="1" applyBorder="1" applyFont="1" applyNumberFormat="1">
      <alignment horizontal="center" vertical="bottom"/>
    </xf>
    <xf borderId="2" fillId="2" fontId="9" numFmtId="0" xfId="0" applyAlignment="1" applyBorder="1" applyFont="1">
      <alignment horizontal="center" vertical="bottom"/>
    </xf>
    <xf borderId="2" fillId="2" fontId="9" numFmtId="2" xfId="0" applyAlignment="1" applyBorder="1" applyFont="1" applyNumberFormat="1">
      <alignment horizontal="center" vertical="bottom"/>
    </xf>
    <xf borderId="2" fillId="2" fontId="9" numFmtId="164" xfId="0" applyAlignment="1" applyBorder="1" applyFont="1" applyNumberFormat="1">
      <alignment horizontal="center" vertical="bottom"/>
    </xf>
    <xf borderId="20" fillId="2" fontId="9" numFmtId="164" xfId="0" applyAlignment="1" applyBorder="1" applyFont="1" applyNumberFormat="1">
      <alignment horizontal="center" vertical="bottom"/>
    </xf>
    <xf borderId="2" fillId="2" fontId="9" numFmtId="3" xfId="0" applyAlignment="1" applyBorder="1" applyFont="1" applyNumberFormat="1">
      <alignment horizontal="center" vertical="bottom"/>
    </xf>
    <xf borderId="2" fillId="2" fontId="9" numFmtId="165" xfId="0" applyAlignment="1" applyBorder="1" applyFont="1" applyNumberFormat="1">
      <alignment horizontal="center" vertical="bottom"/>
    </xf>
    <xf borderId="2" fillId="2" fontId="9" numFmtId="10" xfId="0" applyAlignment="1" applyBorder="1" applyFont="1" applyNumberFormat="1">
      <alignment horizontal="center" vertical="bottom"/>
    </xf>
    <xf borderId="2" fillId="2" fontId="9" numFmtId="4" xfId="0" applyAlignment="1" applyBorder="1" applyFont="1" applyNumberFormat="1">
      <alignment horizontal="center" vertical="bottom"/>
    </xf>
    <xf borderId="21" fillId="2" fontId="9" numFmtId="10" xfId="0" applyAlignment="1" applyBorder="1" applyFont="1" applyNumberFormat="1">
      <alignment horizontal="center" vertical="bottom"/>
    </xf>
    <xf borderId="20" fillId="2" fontId="9" numFmtId="165" xfId="0" applyAlignment="1" applyBorder="1" applyFont="1" applyNumberFormat="1">
      <alignment horizontal="center" vertical="bottom"/>
    </xf>
    <xf borderId="21" fillId="2" fontId="9" numFmtId="164" xfId="0" applyAlignment="1" applyBorder="1" applyFont="1" applyNumberFormat="1">
      <alignment horizontal="center" vertical="bottom"/>
    </xf>
    <xf borderId="0" fillId="0" fontId="3" numFmtId="0" xfId="0" applyAlignment="1" applyFont="1">
      <alignment vertical="bottom"/>
    </xf>
    <xf borderId="19" fillId="0" fontId="4" numFmtId="0" xfId="0" applyAlignment="1" applyBorder="1" applyFont="1">
      <alignment horizontal="center" vertical="bottom"/>
    </xf>
    <xf borderId="19" fillId="3" fontId="3" numFmtId="165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19" fillId="3" fontId="4" numFmtId="165" xfId="0" applyAlignment="1" applyBorder="1" applyFont="1" applyNumberFormat="1">
      <alignment horizontal="center" shrinkToFit="0" vertical="bottom" wrapText="1"/>
    </xf>
    <xf borderId="22" fillId="0" fontId="4" numFmtId="3" xfId="0" applyAlignment="1" applyBorder="1" applyFont="1" applyNumberFormat="1">
      <alignment horizontal="center" vertical="bottom"/>
    </xf>
    <xf borderId="22" fillId="0" fontId="3" numFmtId="0" xfId="0" applyAlignment="1" applyBorder="1" applyFont="1">
      <alignment horizontal="center" vertical="bottom"/>
    </xf>
    <xf borderId="22" fillId="3" fontId="4" numFmtId="165" xfId="0" applyAlignment="1" applyBorder="1" applyFont="1" applyNumberFormat="1">
      <alignment horizontal="center" vertical="bottom"/>
    </xf>
    <xf borderId="19" fillId="0" fontId="3" numFmtId="10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1" fillId="0" fontId="3" numFmtId="166" xfId="0" applyAlignment="1" applyBorder="1" applyFont="1" applyNumberFormat="1">
      <alignment vertical="bottom"/>
    </xf>
    <xf borderId="19" fillId="4" fontId="3" numFmtId="165" xfId="0" applyAlignment="1" applyBorder="1" applyFont="1" applyNumberFormat="1">
      <alignment vertical="bottom"/>
    </xf>
    <xf borderId="19" fillId="4" fontId="4" numFmtId="165" xfId="0" applyAlignment="1" applyBorder="1" applyFont="1" applyNumberFormat="1">
      <alignment horizontal="center" vertical="bottom"/>
    </xf>
    <xf borderId="22" fillId="4" fontId="4" numFmtId="165" xfId="0" applyAlignment="1" applyBorder="1" applyFont="1" applyNumberFormat="1">
      <alignment horizontal="center" vertical="bottom"/>
    </xf>
    <xf borderId="19" fillId="5" fontId="3" numFmtId="165" xfId="0" applyAlignment="1" applyBorder="1" applyFont="1" applyNumberFormat="1">
      <alignment vertical="bottom"/>
    </xf>
    <xf borderId="19" fillId="5" fontId="4" numFmtId="165" xfId="0" applyAlignment="1" applyBorder="1" applyFont="1" applyNumberFormat="1">
      <alignment horizontal="center" vertical="bottom"/>
    </xf>
    <xf borderId="22" fillId="5" fontId="4" numFmtId="165" xfId="0" applyAlignment="1" applyBorder="1" applyFont="1" applyNumberFormat="1">
      <alignment horizontal="center" vertical="bottom"/>
    </xf>
    <xf borderId="19" fillId="6" fontId="3" numFmtId="165" xfId="0" applyAlignment="1" applyBorder="1" applyFont="1" applyNumberFormat="1">
      <alignment vertical="bottom"/>
    </xf>
    <xf borderId="22" fillId="0" fontId="3" numFmtId="3" xfId="0" applyAlignment="1" applyBorder="1" applyFont="1" applyNumberFormat="1">
      <alignment vertical="bottom"/>
    </xf>
    <xf borderId="22" fillId="0" fontId="3" numFmtId="0" xfId="0" applyAlignment="1" applyBorder="1" applyFont="1">
      <alignment vertical="bottom"/>
    </xf>
    <xf borderId="22" fillId="4" fontId="3" numFmtId="165" xfId="0" applyAlignment="1" applyBorder="1" applyFont="1" applyNumberFormat="1">
      <alignment vertical="bottom"/>
    </xf>
    <xf borderId="1" fillId="2" fontId="9" numFmtId="0" xfId="0" applyAlignment="1" applyBorder="1" applyFont="1">
      <alignment horizontal="center" readingOrder="0" vertical="bottom"/>
    </xf>
    <xf borderId="19" fillId="2" fontId="3" numFmtId="0" xfId="0" applyAlignment="1" applyBorder="1" applyFont="1">
      <alignment vertical="bottom"/>
    </xf>
    <xf borderId="2" fillId="2" fontId="9" numFmtId="0" xfId="0" applyAlignment="1" applyBorder="1" applyFont="1">
      <alignment horizontal="center" vertical="bottom"/>
    </xf>
    <xf borderId="19" fillId="2" fontId="3" numFmtId="10" xfId="0" applyAlignment="1" applyBorder="1" applyFont="1" applyNumberFormat="1">
      <alignment vertical="bottom"/>
    </xf>
    <xf borderId="19" fillId="6" fontId="4" numFmtId="165" xfId="0" applyAlignment="1" applyBorder="1" applyFont="1" applyNumberFormat="1">
      <alignment horizontal="center" vertical="bottom"/>
    </xf>
    <xf borderId="22" fillId="6" fontId="4" numFmtId="165" xfId="0" applyAlignment="1" applyBorder="1" applyFont="1" applyNumberFormat="1">
      <alignment horizontal="center" vertical="bottom"/>
    </xf>
    <xf borderId="1" fillId="0" fontId="4" numFmtId="166" xfId="0" applyAlignment="1" applyBorder="1" applyFont="1" applyNumberFormat="1">
      <alignment horizontal="center" readingOrder="0" vertical="bottom"/>
    </xf>
    <xf borderId="19" fillId="7" fontId="4" numFmtId="0" xfId="0" applyAlignment="1" applyBorder="1" applyFill="1" applyFont="1">
      <alignment horizontal="center" readingOrder="0" vertical="bottom"/>
    </xf>
    <xf borderId="19" fillId="6" fontId="4" numFmtId="165" xfId="0" applyAlignment="1" applyBorder="1" applyFont="1" applyNumberFormat="1">
      <alignment horizontal="center" readingOrder="0" vertical="bottom"/>
    </xf>
    <xf borderId="22" fillId="0" fontId="4" numFmtId="0" xfId="0" applyAlignment="1" applyBorder="1" applyFont="1">
      <alignment horizontal="center" vertical="bottom"/>
    </xf>
    <xf borderId="22" fillId="6" fontId="4" numFmtId="165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9" fillId="7" fontId="4" numFmtId="0" xfId="0" applyAlignment="1" applyBorder="1" applyFont="1">
      <alignment horizontal="center" vertical="bottom"/>
    </xf>
    <xf borderId="22" fillId="0" fontId="4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vertical="bottom"/>
    </xf>
    <xf borderId="2" fillId="0" fontId="3" numFmtId="164" xfId="0" applyAlignment="1" applyBorder="1" applyFont="1" applyNumberFormat="1">
      <alignment vertical="bottom"/>
    </xf>
    <xf borderId="2" fillId="0" fontId="3" numFmtId="165" xfId="0" applyAlignment="1" applyBorder="1" applyFont="1" applyNumberForma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4" fillId="0" fontId="10" numFmtId="10" xfId="0" applyAlignment="1" applyBorder="1" applyFont="1" applyNumberFormat="1">
      <alignment vertical="bottom"/>
    </xf>
    <xf borderId="4" fillId="0" fontId="10" numFmtId="0" xfId="0" applyAlignment="1" applyBorder="1" applyFont="1">
      <alignment vertical="bottom"/>
    </xf>
    <xf borderId="3" fillId="0" fontId="3" numFmtId="165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vertical="bottom"/>
    </xf>
    <xf borderId="4" fillId="0" fontId="4" numFmtId="1" xfId="0" applyAlignment="1" applyBorder="1" applyFont="1" applyNumberFormat="1">
      <alignment vertical="bottom"/>
    </xf>
    <xf borderId="0" fillId="0" fontId="3" numFmtId="9" xfId="0" applyAlignment="1" applyFont="1" applyNumberFormat="1">
      <alignment vertical="bottom"/>
    </xf>
    <xf borderId="5" fillId="0" fontId="3" numFmtId="9" xfId="0" applyAlignment="1" applyBorder="1" applyFont="1" applyNumberFormat="1">
      <alignment vertical="bottom"/>
    </xf>
    <xf borderId="3" fillId="0" fontId="11" numFmtId="10" xfId="0" applyAlignment="1" applyBorder="1" applyFont="1" applyNumberFormat="1">
      <alignment vertical="bottom"/>
    </xf>
    <xf borderId="4" fillId="0" fontId="11" numFmtId="10" xfId="0" applyAlignment="1" applyBorder="1" applyFont="1" applyNumberFormat="1">
      <alignment vertical="bottom"/>
    </xf>
    <xf borderId="3" fillId="0" fontId="3" numFmtId="9" xfId="0" applyAlignment="1" applyBorder="1" applyFont="1" applyNumberFormat="1">
      <alignment vertical="bottom"/>
    </xf>
    <xf borderId="4" fillId="0" fontId="4" numFmtId="165" xfId="0" applyAlignment="1" applyBorder="1" applyFont="1" applyNumberFormat="1">
      <alignment vertical="bottom"/>
    </xf>
    <xf borderId="4" fillId="0" fontId="4" numFmtId="10" xfId="0" applyAlignment="1" applyBorder="1" applyFont="1" applyNumberFormat="1">
      <alignment vertical="bottom"/>
    </xf>
    <xf borderId="6" fillId="0" fontId="12" numFmtId="10" xfId="0" applyAlignment="1" applyBorder="1" applyFont="1" applyNumberFormat="1">
      <alignment vertical="bottom"/>
    </xf>
    <xf borderId="0" fillId="0" fontId="11" numFmtId="10" xfId="0" applyAlignment="1" applyFont="1" applyNumberFormat="1">
      <alignment vertical="bottom"/>
    </xf>
    <xf borderId="6" fillId="0" fontId="3" numFmtId="0" xfId="0" applyAlignment="1" applyBorder="1" applyFont="1">
      <alignment vertical="bottom"/>
    </xf>
    <xf borderId="6" fillId="0" fontId="3" numFmtId="165" xfId="0" applyAlignment="1" applyBorder="1" applyFont="1" applyNumberFormat="1">
      <alignment vertical="bottom"/>
    </xf>
    <xf borderId="7" fillId="0" fontId="3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23" fillId="8" fontId="4" numFmtId="164" xfId="0" applyAlignment="1" applyBorder="1" applyFill="1" applyFont="1" applyNumberFormat="1">
      <alignment horizontal="center" shrinkToFit="0" vertical="bottom" wrapText="1"/>
    </xf>
    <xf borderId="24" fillId="8" fontId="4" numFmtId="164" xfId="0" applyAlignment="1" applyBorder="1" applyFont="1" applyNumberFormat="1">
      <alignment horizontal="center" shrinkToFit="0" vertical="bottom" wrapText="1"/>
    </xf>
    <xf borderId="25" fillId="0" fontId="2" numFmtId="0" xfId="0" applyBorder="1" applyFont="1"/>
    <xf borderId="26" fillId="0" fontId="2" numFmtId="0" xfId="0" applyBorder="1" applyFont="1"/>
    <xf borderId="23" fillId="8" fontId="3" numFmtId="165" xfId="0" applyAlignment="1" applyBorder="1" applyFont="1" applyNumberFormat="1">
      <alignment vertical="bottom"/>
    </xf>
    <xf borderId="23" fillId="8" fontId="9" numFmtId="164" xfId="0" applyAlignment="1" applyBorder="1" applyFont="1" applyNumberFormat="1">
      <alignment horizontal="center" shrinkToFit="0" vertical="bottom" wrapText="1"/>
    </xf>
    <xf borderId="23" fillId="8" fontId="9" numFmtId="0" xfId="0" applyAlignment="1" applyBorder="1" applyFont="1">
      <alignment horizontal="center" shrinkToFit="0" vertical="bottom" wrapText="1"/>
    </xf>
    <xf borderId="23" fillId="8" fontId="9" numFmtId="165" xfId="0" applyAlignment="1" applyBorder="1" applyFont="1" applyNumberFormat="1">
      <alignment horizontal="center" shrinkToFit="0" vertical="bottom" wrapText="1"/>
    </xf>
    <xf borderId="0" fillId="2" fontId="3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19" fillId="2" fontId="3" numFmtId="0" xfId="0" applyAlignment="1" applyBorder="1" applyFont="1">
      <alignment vertical="bottom"/>
    </xf>
    <xf borderId="19" fillId="2" fontId="3" numFmtId="165" xfId="0" applyAlignment="1" applyBorder="1" applyFont="1" applyNumberFormat="1">
      <alignment vertical="bottom"/>
    </xf>
    <xf borderId="2" fillId="2" fontId="3" numFmtId="0" xfId="0" applyAlignment="1" applyBorder="1" applyFont="1">
      <alignment vertical="bottom"/>
    </xf>
    <xf borderId="2" fillId="2" fontId="3" numFmtId="2" xfId="0" applyAlignment="1" applyBorder="1" applyFont="1" applyNumberFormat="1">
      <alignment vertical="bottom"/>
    </xf>
    <xf borderId="2" fillId="2" fontId="3" numFmtId="164" xfId="0" applyAlignment="1" applyBorder="1" applyFont="1" applyNumberFormat="1">
      <alignment vertical="bottom"/>
    </xf>
    <xf borderId="23" fillId="8" fontId="3" numFmtId="165" xfId="0" applyAlignment="1" applyBorder="1" applyFont="1" applyNumberFormat="1">
      <alignment vertical="bottom"/>
    </xf>
    <xf borderId="23" fillId="8" fontId="3" numFmtId="0" xfId="0" applyAlignment="1" applyBorder="1" applyFont="1">
      <alignment vertical="bottom"/>
    </xf>
    <xf borderId="23" fillId="8" fontId="3" numFmtId="10" xfId="0" applyAlignment="1" applyBorder="1" applyFont="1" applyNumberFormat="1">
      <alignment vertical="bottom"/>
    </xf>
    <xf borderId="23" fillId="8" fontId="3" numFmtId="4" xfId="0" applyAlignment="1" applyBorder="1" applyFont="1" applyNumberFormat="1">
      <alignment vertical="bottom"/>
    </xf>
    <xf borderId="23" fillId="8" fontId="3" numFmtId="164" xfId="0" applyAlignment="1" applyBorder="1" applyFont="1" applyNumberFormat="1">
      <alignment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3" xfId="0" applyAlignment="1" applyBorder="1" applyFont="1" applyNumberFormat="1">
      <alignment horizontal="center" vertical="bottom"/>
    </xf>
    <xf borderId="23" fillId="8" fontId="4" numFmtId="0" xfId="0" applyAlignment="1" applyBorder="1" applyFont="1">
      <alignment horizontal="center" vertical="bottom"/>
    </xf>
    <xf borderId="23" fillId="8" fontId="4" numFmtId="10" xfId="0" applyAlignment="1" applyBorder="1" applyFont="1" applyNumberFormat="1">
      <alignment horizontal="center" vertical="bottom"/>
    </xf>
    <xf borderId="23" fillId="8" fontId="4" numFmtId="4" xfId="0" applyAlignment="1" applyBorder="1" applyFont="1" applyNumberFormat="1">
      <alignment horizontal="center" vertical="bottom"/>
    </xf>
    <xf borderId="23" fillId="8" fontId="4" numFmtId="165" xfId="0" applyAlignment="1" applyBorder="1" applyFont="1" applyNumberFormat="1">
      <alignment horizontal="center" vertical="bottom"/>
    </xf>
    <xf borderId="23" fillId="8" fontId="4" numFmtId="164" xfId="0" applyAlignment="1" applyBorder="1" applyFont="1" applyNumberFormat="1">
      <alignment horizontal="center" vertical="bottom"/>
    </xf>
    <xf borderId="19" fillId="9" fontId="4" numFmtId="165" xfId="0" applyAlignment="1" applyBorder="1" applyFill="1" applyFont="1" applyNumberFormat="1">
      <alignment horizontal="center" readingOrder="0" vertical="bottom"/>
    </xf>
    <xf borderId="19" fillId="10" fontId="4" numFmtId="165" xfId="0" applyAlignment="1" applyBorder="1" applyFill="1" applyFont="1" applyNumberFormat="1">
      <alignment horizontal="center" readingOrder="0" vertical="bottom"/>
    </xf>
    <xf borderId="27" fillId="2" fontId="9" numFmtId="0" xfId="0" applyAlignment="1" applyBorder="1" applyFon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3" xfId="0" applyAlignment="1" applyBorder="1" applyFont="1" applyNumberFormat="1">
      <alignment horizontal="center" vertical="bottom"/>
    </xf>
    <xf borderId="23" fillId="8" fontId="9" numFmtId="0" xfId="0" applyAlignment="1" applyBorder="1" applyFont="1">
      <alignment horizontal="center" vertical="bottom"/>
    </xf>
    <xf borderId="23" fillId="8" fontId="9" numFmtId="10" xfId="0" applyAlignment="1" applyBorder="1" applyFont="1" applyNumberFormat="1">
      <alignment horizontal="center" vertical="bottom"/>
    </xf>
    <xf borderId="23" fillId="8" fontId="9" numFmtId="4" xfId="0" applyAlignment="1" applyBorder="1" applyFont="1" applyNumberFormat="1">
      <alignment horizontal="center" vertical="bottom"/>
    </xf>
    <xf borderId="23" fillId="8" fontId="9" numFmtId="165" xfId="0" applyAlignment="1" applyBorder="1" applyFont="1" applyNumberFormat="1">
      <alignment horizontal="center" vertical="bottom"/>
    </xf>
    <xf borderId="23" fillId="8" fontId="9" numFmtId="164" xfId="0" applyAlignment="1" applyBorder="1" applyFont="1" applyNumberFormat="1">
      <alignment horizontal="center" vertical="bottom"/>
    </xf>
    <xf borderId="23" fillId="8" fontId="3" numFmtId="3" xfId="0" applyAlignment="1" applyBorder="1" applyFont="1" applyNumberFormat="1">
      <alignment vertical="bottom"/>
    </xf>
    <xf borderId="27" fillId="2" fontId="9" numFmtId="0" xfId="0" applyAlignment="1" applyBorder="1" applyFont="1">
      <alignment horizontal="center" readingOrder="0" vertical="bottom"/>
    </xf>
    <xf borderId="19" fillId="9" fontId="4" numFmtId="165" xfId="0" applyAlignment="1" applyBorder="1" applyFont="1" applyNumberFormat="1">
      <alignment horizontal="center" vertical="bottom"/>
    </xf>
    <xf borderId="19" fillId="10" fontId="4" numFmtId="165" xfId="0" applyAlignment="1" applyBorder="1" applyFont="1" applyNumberFormat="1">
      <alignment horizontal="center" vertical="bottom"/>
    </xf>
    <xf borderId="1" fillId="2" fontId="9" numFmtId="166" xfId="0" applyAlignment="1" applyBorder="1" applyFont="1" applyNumberFormat="1">
      <alignment horizontal="center" vertical="bottom"/>
    </xf>
    <xf borderId="19" fillId="2" fontId="11" numFmtId="10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vertical="bottom"/>
    </xf>
    <xf borderId="0" fillId="0" fontId="3" numFmtId="2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23" fillId="8" fontId="3" numFmtId="2" xfId="0" applyAlignment="1" applyBorder="1" applyFont="1" applyNumberFormat="1">
      <alignment vertical="bottom"/>
    </xf>
    <xf borderId="23" fillId="8" fontId="3" numFmtId="9" xfId="0" applyAlignment="1" applyBorder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3" numFmtId="0" xfId="0" applyAlignment="1" applyFont="1">
      <alignment vertical="bottom"/>
    </xf>
    <xf borderId="0" fillId="8" fontId="3" numFmtId="10" xfId="0" applyAlignment="1" applyFont="1" applyNumberFormat="1">
      <alignment vertical="bottom"/>
    </xf>
    <xf borderId="0" fillId="8" fontId="3" numFmtId="2" xfId="0" applyAlignment="1" applyFont="1" applyNumberFormat="1">
      <alignment vertical="bottom"/>
    </xf>
    <xf borderId="0" fillId="8" fontId="3" numFmtId="9" xfId="0" applyAlignment="1" applyFont="1" applyNumberFormat="1">
      <alignment vertical="bottom"/>
    </xf>
    <xf borderId="0" fillId="8" fontId="3" numFmtId="165" xfId="0" applyAlignment="1" applyFont="1" applyNumberFormat="1">
      <alignment vertical="bottom"/>
    </xf>
    <xf borderId="0" fillId="8" fontId="13" numFmtId="0" xfId="0" applyFont="1"/>
    <xf borderId="3" fillId="2" fontId="4" numFmtId="0" xfId="0" applyAlignment="1" applyBorder="1" applyFont="1">
      <alignment horizontal="center" vertical="bottom"/>
    </xf>
    <xf borderId="0" fillId="0" fontId="9" numFmtId="0" xfId="0" applyAlignment="1" applyFont="1">
      <alignment horizontal="center" readingOrder="0" shrinkToFit="0" vertical="bottom" wrapText="1"/>
    </xf>
    <xf borderId="20" fillId="2" fontId="3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readingOrder="0" vertical="bottom"/>
    </xf>
    <xf borderId="28" fillId="7" fontId="4" numFmtId="0" xfId="0" applyAlignment="1" applyBorder="1" applyFont="1">
      <alignment horizontal="center" readingOrder="0" vertical="bottom"/>
    </xf>
    <xf borderId="19" fillId="8" fontId="4" numFmtId="0" xfId="0" applyAlignment="1" applyBorder="1" applyFont="1">
      <alignment horizontal="center" readingOrder="0" vertical="bottom"/>
    </xf>
    <xf borderId="16" fillId="0" fontId="2" numFmtId="0" xfId="0" applyBorder="1" applyFont="1"/>
    <xf borderId="29" fillId="0" fontId="2" numFmtId="0" xfId="0" applyBorder="1" applyFont="1"/>
    <xf borderId="28" fillId="5" fontId="4" numFmtId="0" xfId="0" applyAlignment="1" applyBorder="1" applyFont="1">
      <alignment horizontal="center" readingOrder="0" vertical="bottom"/>
    </xf>
    <xf borderId="20" fillId="2" fontId="3" numFmtId="0" xfId="0" applyAlignment="1" applyBorder="1" applyFont="1">
      <alignment vertical="bottom"/>
    </xf>
    <xf borderId="28" fillId="7" fontId="4" numFmtId="0" xfId="0" applyAlignment="1" applyBorder="1" applyFont="1">
      <alignment horizontal="center" vertical="bottom"/>
    </xf>
    <xf borderId="19" fillId="8" fontId="4" numFmtId="0" xfId="0" applyAlignment="1" applyBorder="1" applyFont="1">
      <alignment horizontal="center" vertical="bottom"/>
    </xf>
    <xf borderId="28" fillId="5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pp.dsco.io/insights/sales-insights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us.orangeapronmedia.com/r/organizations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Week",$B$11:$X$105,match("SALES",$B$11:$X$11,0),FALSE)</f>
        <v>0</v>
      </c>
      <c r="L4" s="13"/>
      <c r="M4" s="13"/>
      <c r="N4" s="22">
        <f>VLOOKUP("Current Week",$B$11:$X$105,match("Units Sold",$B$11:$X$11,0),FALSE)</f>
        <v>0</v>
      </c>
      <c r="O4" s="10"/>
      <c r="P4" s="8"/>
      <c r="Q4" s="3"/>
      <c r="R4" s="13"/>
      <c r="S4" s="22">
        <f>VLOOKUP("Current Week",$B$11:$X$105,match("Ordered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Week",$B$11:$X$110,match("SALES",$B$11:$X$11,0),FALSE)))/K4</f>
        <v>#DIV/0!</v>
      </c>
      <c r="L5" s="13"/>
      <c r="M5" s="13"/>
      <c r="N5" s="27" t="str">
        <f>(N4-(VLOOKUP("Previous Week",$B$11:$X$110,match("Units Sold",$B$11:$X$11,0),FALSE)))/N4</f>
        <v>#DIV/0!</v>
      </c>
      <c r="O5" s="10"/>
      <c r="P5" s="10"/>
      <c r="Q5" s="8"/>
      <c r="R5" s="13"/>
      <c r="S5" s="27" t="str">
        <f>(S4-(VLOOKUP("Previous Week",$B$11:$X$110,match("Ordered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Week",$B$11:$X$105,match("AD SALES",$B$11:$X$11,0),FALSE)</f>
        <v>571</v>
      </c>
      <c r="L8" s="13"/>
      <c r="M8" s="13"/>
      <c r="N8" s="31">
        <f>VLOOKUP("Current Week",$B$11:$X$105,match("SP AD SPEND",$B$11:$X$11,0),FALSE)</f>
        <v>593.32</v>
      </c>
      <c r="O8" s="10"/>
      <c r="P8" s="8"/>
      <c r="Q8" s="3"/>
      <c r="R8" s="13"/>
      <c r="S8" s="32">
        <f>N8/K8</f>
        <v>1.039089317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Week",$B$11:$X$110,match("AD SALES",$B$11:$X$11,0),FALSE)))/K8</f>
        <v>-0.7793345009</v>
      </c>
      <c r="L9" s="13"/>
      <c r="M9" s="13"/>
      <c r="N9" s="37">
        <f>(N8-(VLOOKUP("Previous Week",$B$11:$X$110,match("SP AD SPEND",$B$11:$X$11,0),FALSE)))/N8</f>
        <v>0.122564552</v>
      </c>
      <c r="Q9" s="35"/>
      <c r="R9" s="13"/>
      <c r="S9" s="37">
        <f>(S8-(VLOOKUP("Previous Week",$B$11:$X$110,match("ACOS",$B$11:$X$11,0),FALSE)))/S8</f>
        <v>0.5068743693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96" si="1">E13/F13</f>
        <v>#DIV/0!</v>
      </c>
      <c r="H13" s="79" t="str">
        <f t="shared" ref="H13:H96" si="2">D13/E13</f>
        <v>#DIV/0!</v>
      </c>
      <c r="I13" s="80" t="str">
        <f t="shared" ref="I13:I96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96" si="5">M13/J13</f>
        <v>#DIV/0!</v>
      </c>
      <c r="P13" s="85" t="str">
        <f t="shared" ref="P13:P96" si="6">J13/D13</f>
        <v>#DIV/0!</v>
      </c>
      <c r="Q13" s="87" t="str">
        <f t="shared" ref="Q13:Q96" si="7">M13/D13</f>
        <v>#DIV/0!</v>
      </c>
      <c r="R13" s="88">
        <f t="shared" ref="R13:R16" si="8">D13-M13</f>
        <v>0</v>
      </c>
      <c r="S13" s="89" t="str">
        <f t="shared" ref="S13:S96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5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7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126"/>
      <c r="C65" s="117" t="s">
        <v>46</v>
      </c>
      <c r="D65" s="127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28">
        <v>0.0</v>
      </c>
      <c r="K65" s="121">
        <v>0.0</v>
      </c>
      <c r="L65" s="135"/>
      <c r="M65" s="129">
        <v>0.0</v>
      </c>
      <c r="N65" s="85" t="str">
        <f t="shared" si="76"/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95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16"/>
      <c r="B66" s="74" t="s">
        <v>33</v>
      </c>
      <c r="C66" s="117" t="s">
        <v>34</v>
      </c>
      <c r="D66" s="130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31">
        <v>0.0</v>
      </c>
      <c r="K66" s="121">
        <v>0.0</v>
      </c>
      <c r="L66" s="135"/>
      <c r="M66" s="132">
        <v>0.0</v>
      </c>
      <c r="N66" s="85" t="str">
        <f>(J66/M66)</f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100">
        <f t="shared" si="79"/>
        <v>0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hidden="1" outlineLevel="1">
      <c r="A67" s="101" t="str">
        <f t="shared" ref="A67:A68" si="80">iferror(if(B67&gt;0,month(B67)&amp;"-"&amp;year(B67),B67),)</f>
        <v>12-2025</v>
      </c>
      <c r="B67" s="74">
        <v>45997.0</v>
      </c>
      <c r="C67" s="117" t="s">
        <v>35</v>
      </c>
      <c r="D67" s="133"/>
      <c r="E67" s="119"/>
      <c r="F67" s="119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28">
        <v>1220.18</v>
      </c>
      <c r="K67" s="121">
        <v>75696.0</v>
      </c>
      <c r="L67" s="135"/>
      <c r="M67" s="129">
        <v>391.0</v>
      </c>
      <c r="N67" s="85">
        <f t="shared" ref="N67:N72" si="83">J67/M67</f>
        <v>3.120664962</v>
      </c>
      <c r="O67" s="86">
        <f t="shared" si="5"/>
        <v>0.3204445246</v>
      </c>
      <c r="P67" s="85" t="str">
        <f t="shared" si="6"/>
        <v>#DIV/0!</v>
      </c>
      <c r="Q67" s="87" t="str">
        <f t="shared" si="7"/>
        <v>#DIV/0!</v>
      </c>
      <c r="R67" s="88">
        <f t="shared" si="79"/>
        <v>-391</v>
      </c>
      <c r="S67" s="89" t="str">
        <f t="shared" si="9"/>
        <v>#DIV/0!</v>
      </c>
      <c r="T67" s="124"/>
      <c r="U67" s="124"/>
      <c r="V67" s="124"/>
      <c r="W67" s="124"/>
      <c r="X67" s="125"/>
      <c r="Y67" s="116"/>
      <c r="Z67" s="116"/>
    </row>
    <row r="68" collapsed="1">
      <c r="A68" s="116" t="str">
        <f t="shared" si="80"/>
        <v/>
      </c>
      <c r="B68" s="137" t="s">
        <v>47</v>
      </c>
      <c r="C68" s="138"/>
      <c r="D68" s="104">
        <f t="shared" ref="D68:F68" si="81">SUM(D63:D67)</f>
        <v>0</v>
      </c>
      <c r="E68" s="105">
        <f t="shared" si="81"/>
        <v>0</v>
      </c>
      <c r="F68" s="105">
        <f t="shared" si="81"/>
        <v>0</v>
      </c>
      <c r="G68" s="106" t="str">
        <f t="shared" si="1"/>
        <v>#DIV/0!</v>
      </c>
      <c r="H68" s="107" t="str">
        <f t="shared" si="2"/>
        <v>#DIV/0!</v>
      </c>
      <c r="I68" s="108" t="str">
        <f t="shared" si="3"/>
        <v>#DIV/0!</v>
      </c>
      <c r="J68" s="104">
        <f t="shared" ref="J68:M68" si="82">SUM(J63:J67)</f>
        <v>2625.65</v>
      </c>
      <c r="K68" s="109">
        <f t="shared" si="82"/>
        <v>180846</v>
      </c>
      <c r="L68" s="139">
        <f t="shared" si="82"/>
        <v>0</v>
      </c>
      <c r="M68" s="110">
        <f t="shared" si="82"/>
        <v>1335</v>
      </c>
      <c r="N68" s="111">
        <f t="shared" si="83"/>
        <v>1.966779026</v>
      </c>
      <c r="O68" s="112">
        <f t="shared" si="5"/>
        <v>0.5084455278</v>
      </c>
      <c r="P68" s="111" t="str">
        <f t="shared" si="6"/>
        <v>#DIV/0!</v>
      </c>
      <c r="Q68" s="113" t="str">
        <f t="shared" si="7"/>
        <v>#DIV/0!</v>
      </c>
      <c r="R68" s="114">
        <f>SUM(R63:R67)</f>
        <v>-1335</v>
      </c>
      <c r="S68" s="115" t="str">
        <f t="shared" si="9"/>
        <v>#DIV/0!</v>
      </c>
      <c r="T68" s="140" t="str">
        <f t="shared" ref="T68:U68" si="84">IFERROR((D68-#REF!)/D68,)</f>
        <v/>
      </c>
      <c r="U68" s="140" t="str">
        <f t="shared" si="84"/>
        <v/>
      </c>
      <c r="V68" s="140" t="str">
        <f t="shared" ref="V68:W68" si="85">IFERROR((D68-#REF!)/D68, )</f>
        <v/>
      </c>
      <c r="W68" s="140" t="str">
        <f t="shared" si="85"/>
        <v/>
      </c>
      <c r="X68" s="116"/>
      <c r="Y68" s="116"/>
      <c r="Z68" s="116"/>
    </row>
    <row r="69" hidden="1" outlineLevel="1">
      <c r="A69" s="116"/>
      <c r="B69" s="74">
        <v>45998.0</v>
      </c>
      <c r="C69" s="117" t="s">
        <v>31</v>
      </c>
      <c r="D69" s="118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0">
        <v>167.6</v>
      </c>
      <c r="K69" s="121">
        <v>9254.0</v>
      </c>
      <c r="L69" s="135"/>
      <c r="M69" s="123">
        <v>559.0</v>
      </c>
      <c r="N69" s="85">
        <f t="shared" si="83"/>
        <v>0.2998211091</v>
      </c>
      <c r="O69" s="86">
        <f t="shared" si="5"/>
        <v>3.335322196</v>
      </c>
      <c r="P69" s="85" t="str">
        <f t="shared" si="6"/>
        <v>#DIV/0!</v>
      </c>
      <c r="Q69" s="87" t="str">
        <f t="shared" si="7"/>
        <v>#DIV/0!</v>
      </c>
      <c r="R69" s="88">
        <f t="shared" ref="R69:R74" si="86">D69-M69</f>
        <v>-559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126"/>
      <c r="C70" s="117" t="s">
        <v>48</v>
      </c>
      <c r="D70" s="127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41">
        <v>0.0</v>
      </c>
      <c r="K70" s="121">
        <v>0.0</v>
      </c>
      <c r="L70" s="135"/>
      <c r="M70" s="142">
        <v>0.0</v>
      </c>
      <c r="N70" s="85" t="str">
        <f t="shared" si="83"/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95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16"/>
      <c r="B71" s="126"/>
      <c r="C71" s="117" t="s">
        <v>32</v>
      </c>
      <c r="D71" s="127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186.66</v>
      </c>
      <c r="K71" s="121">
        <v>18782.0</v>
      </c>
      <c r="L71" s="135"/>
      <c r="M71" s="129">
        <v>0.0</v>
      </c>
      <c r="N71" s="85" t="str">
        <f t="shared" si="83"/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95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 hidden="1" outlineLevel="1">
      <c r="A72" s="116"/>
      <c r="B72" s="126"/>
      <c r="C72" s="117" t="s">
        <v>46</v>
      </c>
      <c r="D72" s="127"/>
      <c r="E72" s="119"/>
      <c r="F72" s="119"/>
      <c r="G72" s="78" t="str">
        <f t="shared" si="1"/>
        <v>#DIV/0!</v>
      </c>
      <c r="H72" s="79" t="str">
        <f t="shared" si="2"/>
        <v>#DIV/0!</v>
      </c>
      <c r="I72" s="80" t="str">
        <f t="shared" si="3"/>
        <v>#DIV/0!</v>
      </c>
      <c r="J72" s="128">
        <v>0.0</v>
      </c>
      <c r="K72" s="121">
        <v>0.0</v>
      </c>
      <c r="L72" s="135"/>
      <c r="M72" s="129">
        <v>0.0</v>
      </c>
      <c r="N72" s="85" t="str">
        <f t="shared" si="83"/>
        <v>#DIV/0!</v>
      </c>
      <c r="O72" s="86" t="str">
        <f t="shared" si="5"/>
        <v>#DIV/0!</v>
      </c>
      <c r="P72" s="85" t="str">
        <f t="shared" si="6"/>
        <v>#DIV/0!</v>
      </c>
      <c r="Q72" s="87" t="str">
        <f t="shared" si="7"/>
        <v>#DIV/0!</v>
      </c>
      <c r="R72" s="95">
        <f t="shared" si="86"/>
        <v>0</v>
      </c>
      <c r="S72" s="89" t="str">
        <f t="shared" si="9"/>
        <v>#DIV/0!</v>
      </c>
      <c r="T72" s="124"/>
      <c r="U72" s="124"/>
      <c r="V72" s="124"/>
      <c r="W72" s="124"/>
      <c r="X72" s="125"/>
      <c r="Y72" s="116"/>
      <c r="Z72" s="116"/>
    </row>
    <row r="73" hidden="1" outlineLevel="1">
      <c r="A73" s="116"/>
      <c r="B73" s="74" t="s">
        <v>33</v>
      </c>
      <c r="C73" s="117" t="s">
        <v>34</v>
      </c>
      <c r="D73" s="130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31">
        <v>0.0</v>
      </c>
      <c r="K73" s="121">
        <v>0.0</v>
      </c>
      <c r="L73" s="135"/>
      <c r="M73" s="132">
        <v>0.0</v>
      </c>
      <c r="N73" s="85" t="str">
        <f>(J73/M73)</f>
        <v>#DIV/0!</v>
      </c>
      <c r="O73" s="86" t="str">
        <f t="shared" si="5"/>
        <v>#DIV/0!</v>
      </c>
      <c r="P73" s="85" t="str">
        <f t="shared" si="6"/>
        <v>#DIV/0!</v>
      </c>
      <c r="Q73" s="87" t="str">
        <f t="shared" si="7"/>
        <v>#DIV/0!</v>
      </c>
      <c r="R73" s="100">
        <f t="shared" si="86"/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 hidden="1" outlineLevel="1">
      <c r="A74" s="101" t="str">
        <f t="shared" ref="A74:A75" si="87">iferror(if(B74&gt;0,month(B74)&amp;"-"&amp;year(B74),B74),)</f>
        <v>12-2025</v>
      </c>
      <c r="B74" s="74">
        <v>46004.0</v>
      </c>
      <c r="C74" s="117" t="s">
        <v>35</v>
      </c>
      <c r="D74" s="133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176.02</v>
      </c>
      <c r="K74" s="121">
        <v>9377.0</v>
      </c>
      <c r="L74" s="135"/>
      <c r="M74" s="129">
        <v>0.0</v>
      </c>
      <c r="N74" s="85" t="str">
        <f t="shared" ref="N74:N79" si="90">J74/M74</f>
        <v>#DIV/0!</v>
      </c>
      <c r="O74" s="86">
        <f t="shared" si="5"/>
        <v>0</v>
      </c>
      <c r="P74" s="85" t="str">
        <f t="shared" si="6"/>
        <v>#DIV/0!</v>
      </c>
      <c r="Q74" s="87" t="str">
        <f t="shared" si="7"/>
        <v>#DIV/0!</v>
      </c>
      <c r="R74" s="88">
        <f t="shared" si="86"/>
        <v>0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 collapsed="1">
      <c r="A75" s="116" t="str">
        <f t="shared" si="87"/>
        <v/>
      </c>
      <c r="B75" s="137" t="s">
        <v>49</v>
      </c>
      <c r="C75" s="138"/>
      <c r="D75" s="104">
        <f t="shared" ref="D75:F75" si="88">SUM(D69:D74)</f>
        <v>0</v>
      </c>
      <c r="E75" s="105">
        <f t="shared" si="88"/>
        <v>0</v>
      </c>
      <c r="F75" s="105">
        <f t="shared" si="88"/>
        <v>0</v>
      </c>
      <c r="G75" s="106" t="str">
        <f t="shared" si="1"/>
        <v>#DIV/0!</v>
      </c>
      <c r="H75" s="107" t="str">
        <f t="shared" si="2"/>
        <v>#DIV/0!</v>
      </c>
      <c r="I75" s="108" t="str">
        <f t="shared" si="3"/>
        <v>#DIV/0!</v>
      </c>
      <c r="J75" s="104">
        <f t="shared" ref="J75:M75" si="89">SUM(J69:J74)</f>
        <v>530.28</v>
      </c>
      <c r="K75" s="109">
        <f t="shared" si="89"/>
        <v>37413</v>
      </c>
      <c r="L75" s="139">
        <f t="shared" si="89"/>
        <v>0</v>
      </c>
      <c r="M75" s="110">
        <f t="shared" si="89"/>
        <v>559</v>
      </c>
      <c r="N75" s="111">
        <f t="shared" si="90"/>
        <v>0.9486225403</v>
      </c>
      <c r="O75" s="112">
        <f t="shared" si="5"/>
        <v>1.054160066</v>
      </c>
      <c r="P75" s="111" t="str">
        <f t="shared" si="6"/>
        <v>#DIV/0!</v>
      </c>
      <c r="Q75" s="113" t="str">
        <f t="shared" si="7"/>
        <v>#DIV/0!</v>
      </c>
      <c r="R75" s="114">
        <f>SUM(R69:R74)</f>
        <v>-559</v>
      </c>
      <c r="S75" s="115" t="str">
        <f t="shared" si="9"/>
        <v>#DIV/0!</v>
      </c>
      <c r="T75" s="140" t="str">
        <f t="shared" ref="T75:U75" si="91">IFERROR((D75-#REF!)/D75,)</f>
        <v/>
      </c>
      <c r="U75" s="140" t="str">
        <f t="shared" si="91"/>
        <v/>
      </c>
      <c r="V75" s="140" t="str">
        <f t="shared" ref="V75:W75" si="92">IFERROR((D75-#REF!)/D75, )</f>
        <v/>
      </c>
      <c r="W75" s="140" t="str">
        <f t="shared" si="92"/>
        <v/>
      </c>
      <c r="X75" s="116"/>
      <c r="Y75" s="116"/>
      <c r="Z75" s="116"/>
    </row>
    <row r="76" hidden="1" outlineLevel="1">
      <c r="A76" s="116"/>
      <c r="B76" s="74">
        <v>46005.0</v>
      </c>
      <c r="C76" s="117" t="s">
        <v>31</v>
      </c>
      <c r="D76" s="118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0">
        <v>184.7</v>
      </c>
      <c r="K76" s="121">
        <v>9908.0</v>
      </c>
      <c r="L76" s="135"/>
      <c r="M76" s="123">
        <v>0.0</v>
      </c>
      <c r="N76" s="85" t="str">
        <f t="shared" si="90"/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ref="R76:R81" si="93">D76-M76</f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 hidden="1" outlineLevel="1">
      <c r="A77" s="116"/>
      <c r="B77" s="126"/>
      <c r="C77" s="117" t="s">
        <v>48</v>
      </c>
      <c r="D77" s="127"/>
      <c r="E77" s="119"/>
      <c r="F77" s="119"/>
      <c r="G77" s="78" t="str">
        <f t="shared" si="1"/>
        <v>#DIV/0!</v>
      </c>
      <c r="H77" s="79" t="str">
        <f t="shared" si="2"/>
        <v>#DIV/0!</v>
      </c>
      <c r="I77" s="80" t="str">
        <f t="shared" si="3"/>
        <v>#DIV/0!</v>
      </c>
      <c r="J77" s="141">
        <v>0.0</v>
      </c>
      <c r="K77" s="121">
        <v>0.0</v>
      </c>
      <c r="L77" s="135"/>
      <c r="M77" s="142">
        <v>0.0</v>
      </c>
      <c r="N77" s="85" t="str">
        <f t="shared" si="90"/>
        <v>#DIV/0!</v>
      </c>
      <c r="O77" s="86" t="str">
        <f t="shared" si="5"/>
        <v>#DIV/0!</v>
      </c>
      <c r="P77" s="85" t="str">
        <f t="shared" si="6"/>
        <v>#DIV/0!</v>
      </c>
      <c r="Q77" s="87" t="str">
        <f t="shared" si="7"/>
        <v>#DIV/0!</v>
      </c>
      <c r="R77" s="95">
        <f t="shared" si="93"/>
        <v>0</v>
      </c>
      <c r="S77" s="89" t="str">
        <f t="shared" si="9"/>
        <v>#DIV/0!</v>
      </c>
      <c r="T77" s="124"/>
      <c r="U77" s="124"/>
      <c r="V77" s="124"/>
      <c r="W77" s="124"/>
      <c r="X77" s="125"/>
      <c r="Y77" s="116"/>
      <c r="Z77" s="116"/>
    </row>
    <row r="78" hidden="1" outlineLevel="1">
      <c r="A78" s="116"/>
      <c r="B78" s="126"/>
      <c r="C78" s="117" t="s">
        <v>32</v>
      </c>
      <c r="D78" s="127"/>
      <c r="E78" s="119"/>
      <c r="F78" s="119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128">
        <v>161.84</v>
      </c>
      <c r="K78" s="121">
        <v>13094.0</v>
      </c>
      <c r="L78" s="135"/>
      <c r="M78" s="129">
        <v>1106.0</v>
      </c>
      <c r="N78" s="85">
        <f t="shared" si="90"/>
        <v>0.1463291139</v>
      </c>
      <c r="O78" s="86">
        <f t="shared" si="5"/>
        <v>6.833910035</v>
      </c>
      <c r="P78" s="85" t="str">
        <f t="shared" si="6"/>
        <v>#DIV/0!</v>
      </c>
      <c r="Q78" s="87" t="str">
        <f t="shared" si="7"/>
        <v>#DIV/0!</v>
      </c>
      <c r="R78" s="95">
        <f t="shared" si="93"/>
        <v>-1106</v>
      </c>
      <c r="S78" s="89" t="str">
        <f t="shared" si="9"/>
        <v>#DIV/0!</v>
      </c>
      <c r="T78" s="124"/>
      <c r="U78" s="124"/>
      <c r="V78" s="124"/>
      <c r="W78" s="124"/>
      <c r="X78" s="125"/>
      <c r="Y78" s="116"/>
      <c r="Z78" s="116"/>
    </row>
    <row r="79" hidden="1" outlineLevel="1">
      <c r="A79" s="116"/>
      <c r="B79" s="126"/>
      <c r="C79" s="117" t="s">
        <v>46</v>
      </c>
      <c r="D79" s="127"/>
      <c r="E79" s="119"/>
      <c r="F79" s="119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128">
        <v>0.0</v>
      </c>
      <c r="K79" s="121">
        <v>0.0</v>
      </c>
      <c r="L79" s="135"/>
      <c r="M79" s="129">
        <v>0.0</v>
      </c>
      <c r="N79" s="85" t="str">
        <f t="shared" si="90"/>
        <v>#DIV/0!</v>
      </c>
      <c r="O79" s="86" t="str">
        <f t="shared" si="5"/>
        <v>#DIV/0!</v>
      </c>
      <c r="P79" s="85" t="str">
        <f t="shared" si="6"/>
        <v>#DIV/0!</v>
      </c>
      <c r="Q79" s="87" t="str">
        <f t="shared" si="7"/>
        <v>#DIV/0!</v>
      </c>
      <c r="R79" s="95">
        <f t="shared" si="93"/>
        <v>0</v>
      </c>
      <c r="S79" s="89" t="str">
        <f t="shared" si="9"/>
        <v>#DIV/0!</v>
      </c>
      <c r="T79" s="124"/>
      <c r="U79" s="124"/>
      <c r="V79" s="124"/>
      <c r="W79" s="124"/>
      <c r="X79" s="125"/>
      <c r="Y79" s="116"/>
      <c r="Z79" s="116"/>
    </row>
    <row r="80" hidden="1" outlineLevel="1">
      <c r="A80" s="116"/>
      <c r="B80" s="74" t="s">
        <v>33</v>
      </c>
      <c r="C80" s="117" t="s">
        <v>34</v>
      </c>
      <c r="D80" s="130"/>
      <c r="E80" s="119"/>
      <c r="F80" s="119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131">
        <v>0.0</v>
      </c>
      <c r="K80" s="121">
        <v>0.0</v>
      </c>
      <c r="L80" s="135"/>
      <c r="M80" s="132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93"/>
        <v>0</v>
      </c>
      <c r="S80" s="89" t="str">
        <f t="shared" si="9"/>
        <v>#DIV/0!</v>
      </c>
      <c r="T80" s="124"/>
      <c r="U80" s="124"/>
      <c r="V80" s="124"/>
      <c r="W80" s="124"/>
      <c r="X80" s="125"/>
      <c r="Y80" s="116"/>
      <c r="Z80" s="116"/>
    </row>
    <row r="81" hidden="1" outlineLevel="1">
      <c r="A81" s="101" t="str">
        <f t="shared" ref="A81:A82" si="94">iferror(if(B81&gt;0,month(B81)&amp;"-"&amp;year(B81),B81),)</f>
        <v>12-2025</v>
      </c>
      <c r="B81" s="74">
        <v>46011.0</v>
      </c>
      <c r="C81" s="117" t="s">
        <v>35</v>
      </c>
      <c r="D81" s="133"/>
      <c r="E81" s="119"/>
      <c r="F81" s="119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128">
        <v>166.95</v>
      </c>
      <c r="K81" s="121">
        <v>5380.0</v>
      </c>
      <c r="L81" s="135"/>
      <c r="M81" s="129">
        <v>0.0</v>
      </c>
      <c r="N81" s="85" t="str">
        <f t="shared" ref="N81:N86" si="97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93"/>
        <v>0</v>
      </c>
      <c r="S81" s="89" t="str">
        <f t="shared" si="9"/>
        <v>#DIV/0!</v>
      </c>
      <c r="T81" s="124"/>
      <c r="U81" s="124"/>
      <c r="V81" s="124"/>
      <c r="W81" s="124"/>
      <c r="X81" s="125"/>
      <c r="Y81" s="116"/>
      <c r="Z81" s="116"/>
    </row>
    <row r="82" collapsed="1">
      <c r="A82" s="116" t="str">
        <f t="shared" si="94"/>
        <v/>
      </c>
      <c r="B82" s="137" t="s">
        <v>50</v>
      </c>
      <c r="C82" s="138"/>
      <c r="D82" s="104">
        <f t="shared" ref="D82:F82" si="95">SUM(D76:D81)</f>
        <v>0</v>
      </c>
      <c r="E82" s="105">
        <f t="shared" si="95"/>
        <v>0</v>
      </c>
      <c r="F82" s="105">
        <f t="shared" si="95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96">SUM(J76:J81)</f>
        <v>513.49</v>
      </c>
      <c r="K82" s="109">
        <f t="shared" si="96"/>
        <v>28382</v>
      </c>
      <c r="L82" s="139">
        <f t="shared" si="96"/>
        <v>0</v>
      </c>
      <c r="M82" s="110">
        <f t="shared" si="96"/>
        <v>1106</v>
      </c>
      <c r="N82" s="111">
        <f t="shared" si="97"/>
        <v>0.4642766727</v>
      </c>
      <c r="O82" s="112">
        <f t="shared" si="5"/>
        <v>2.153888099</v>
      </c>
      <c r="P82" s="111" t="str">
        <f t="shared" si="6"/>
        <v>#DIV/0!</v>
      </c>
      <c r="Q82" s="113" t="str">
        <f t="shared" si="7"/>
        <v>#DIV/0!</v>
      </c>
      <c r="R82" s="114">
        <f>SUM(R76:R81)</f>
        <v>-1106</v>
      </c>
      <c r="S82" s="115" t="str">
        <f t="shared" si="9"/>
        <v>#DIV/0!</v>
      </c>
      <c r="T82" s="140" t="str">
        <f t="shared" ref="T82:U82" si="98">IFERROR((D82-#REF!)/D82,)</f>
        <v/>
      </c>
      <c r="U82" s="140" t="str">
        <f t="shared" si="98"/>
        <v/>
      </c>
      <c r="V82" s="140" t="str">
        <f t="shared" ref="V82:W82" si="99">IFERROR((D82-#REF!)/D82, )</f>
        <v/>
      </c>
      <c r="W82" s="140" t="str">
        <f t="shared" si="99"/>
        <v/>
      </c>
      <c r="X82" s="116"/>
      <c r="Y82" s="116"/>
      <c r="Z82" s="116"/>
    </row>
    <row r="83">
      <c r="A83" s="13"/>
      <c r="B83" s="143">
        <v>46012.0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176.83</v>
      </c>
      <c r="K83" s="82">
        <v>10330.0</v>
      </c>
      <c r="L83" s="83"/>
      <c r="M83" s="84">
        <v>839.0</v>
      </c>
      <c r="N83" s="85">
        <f t="shared" si="97"/>
        <v>0.2107628129</v>
      </c>
      <c r="O83" s="86">
        <f t="shared" si="5"/>
        <v>4.744670022</v>
      </c>
      <c r="P83" s="85" t="str">
        <f t="shared" si="6"/>
        <v>#DIV/0!</v>
      </c>
      <c r="Q83" s="87" t="str">
        <f t="shared" si="7"/>
        <v>#DIV/0!</v>
      </c>
      <c r="R83" s="88">
        <f t="shared" ref="R83:R88" si="100">D83-M83</f>
        <v>-839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144" t="s">
        <v>48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145">
        <v>0.0</v>
      </c>
      <c r="K84" s="82">
        <v>0.0</v>
      </c>
      <c r="L84" s="146"/>
      <c r="M84" s="147">
        <v>0.0</v>
      </c>
      <c r="N84" s="85" t="str">
        <f t="shared" si="97"/>
        <v>#DIV/0!</v>
      </c>
      <c r="O84" s="86" t="str">
        <f t="shared" si="5"/>
        <v>#DIV/0!</v>
      </c>
      <c r="P84" s="85" t="str">
        <f t="shared" si="6"/>
        <v>#DIV/0!</v>
      </c>
      <c r="Q84" s="87" t="str">
        <f t="shared" si="7"/>
        <v>#DIV/0!</v>
      </c>
      <c r="R84" s="95">
        <f t="shared" si="100"/>
        <v>0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91"/>
      <c r="C85" s="75" t="s">
        <v>32</v>
      </c>
      <c r="D85" s="92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3">
        <v>169.03</v>
      </c>
      <c r="K85" s="82">
        <v>10693.0</v>
      </c>
      <c r="L85" s="83"/>
      <c r="M85" s="94">
        <v>177.0</v>
      </c>
      <c r="N85" s="85">
        <f t="shared" si="97"/>
        <v>0.9549717514</v>
      </c>
      <c r="O85" s="86">
        <f t="shared" si="5"/>
        <v>1.047151393</v>
      </c>
      <c r="P85" s="85" t="str">
        <f t="shared" si="6"/>
        <v>#DIV/0!</v>
      </c>
      <c r="Q85" s="87" t="str">
        <f t="shared" si="7"/>
        <v>#DIV/0!</v>
      </c>
      <c r="R85" s="95">
        <f t="shared" si="100"/>
        <v>-177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3"/>
      <c r="B86" s="91"/>
      <c r="C86" s="144" t="s">
        <v>46</v>
      </c>
      <c r="D86" s="9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0.0</v>
      </c>
      <c r="K86" s="82">
        <v>0.0</v>
      </c>
      <c r="L86" s="83"/>
      <c r="M86" s="94">
        <v>0.0</v>
      </c>
      <c r="N86" s="85" t="str">
        <f t="shared" si="97"/>
        <v>#DIV/0!</v>
      </c>
      <c r="O86" s="86" t="str">
        <f t="shared" si="5"/>
        <v>#DIV/0!</v>
      </c>
      <c r="P86" s="85" t="str">
        <f t="shared" si="6"/>
        <v>#DIV/0!</v>
      </c>
      <c r="Q86" s="87" t="str">
        <f t="shared" si="7"/>
        <v>#DIV/0!</v>
      </c>
      <c r="R86" s="95">
        <f t="shared" si="100"/>
        <v>0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/>
      <c r="B87" s="148" t="s">
        <v>33</v>
      </c>
      <c r="C87" s="75" t="s">
        <v>34</v>
      </c>
      <c r="D87" s="97"/>
      <c r="E87" s="77"/>
      <c r="F87" s="77"/>
      <c r="G87" s="78" t="str">
        <f t="shared" si="1"/>
        <v>#DIV/0!</v>
      </c>
      <c r="H87" s="79" t="str">
        <f t="shared" si="2"/>
        <v>#DIV/0!</v>
      </c>
      <c r="I87" s="80" t="str">
        <f t="shared" si="3"/>
        <v>#DIV/0!</v>
      </c>
      <c r="J87" s="98">
        <v>0.0</v>
      </c>
      <c r="K87" s="82">
        <v>0.0</v>
      </c>
      <c r="L87" s="83"/>
      <c r="M87" s="99">
        <v>0.0</v>
      </c>
      <c r="N87" s="85" t="str">
        <f>(J87/M87)</f>
        <v>#DIV/0!</v>
      </c>
      <c r="O87" s="86" t="str">
        <f t="shared" si="5"/>
        <v>#DIV/0!</v>
      </c>
      <c r="P87" s="85" t="str">
        <f t="shared" si="6"/>
        <v>#DIV/0!</v>
      </c>
      <c r="Q87" s="87" t="str">
        <f t="shared" si="7"/>
        <v>#DIV/0!</v>
      </c>
      <c r="R87" s="100">
        <f t="shared" si="100"/>
        <v>0</v>
      </c>
      <c r="S87" s="89" t="str">
        <f t="shared" si="9"/>
        <v>#DIV/0!</v>
      </c>
      <c r="T87" s="90"/>
      <c r="U87" s="90"/>
      <c r="V87" s="90"/>
      <c r="W87" s="90"/>
      <c r="X87" s="3"/>
      <c r="Y87" s="13"/>
      <c r="Z87" s="13"/>
    </row>
    <row r="88">
      <c r="A88" s="101" t="str">
        <f t="shared" ref="A88:A89" si="101">iferror(if(B88&gt;0,month(B88)&amp;"-"&amp;year(B88),B88),)</f>
        <v>12-2025</v>
      </c>
      <c r="B88" s="143">
        <v>46018.0</v>
      </c>
      <c r="C88" s="75" t="s">
        <v>35</v>
      </c>
      <c r="D88" s="102"/>
      <c r="E88" s="77"/>
      <c r="F88" s="77"/>
      <c r="G88" s="78" t="str">
        <f t="shared" si="1"/>
        <v>#DIV/0!</v>
      </c>
      <c r="H88" s="79" t="str">
        <f t="shared" si="2"/>
        <v>#DIV/0!</v>
      </c>
      <c r="I88" s="80" t="str">
        <f t="shared" si="3"/>
        <v>#DIV/0!</v>
      </c>
      <c r="J88" s="93">
        <v>174.74</v>
      </c>
      <c r="K88" s="82">
        <v>5497.0</v>
      </c>
      <c r="L88" s="83"/>
      <c r="M88" s="94">
        <v>0.0</v>
      </c>
      <c r="N88" s="85" t="str">
        <f t="shared" ref="N88:N93" si="104">J88/M88</f>
        <v>#DIV/0!</v>
      </c>
      <c r="O88" s="86">
        <f t="shared" si="5"/>
        <v>0</v>
      </c>
      <c r="P88" s="85" t="str">
        <f t="shared" si="6"/>
        <v>#DIV/0!</v>
      </c>
      <c r="Q88" s="87" t="str">
        <f t="shared" si="7"/>
        <v>#DIV/0!</v>
      </c>
      <c r="R88" s="88">
        <f t="shared" si="100"/>
        <v>0</v>
      </c>
      <c r="S88" s="89" t="str">
        <f t="shared" si="9"/>
        <v>#DIV/0!</v>
      </c>
      <c r="T88" s="90"/>
      <c r="U88" s="90"/>
      <c r="V88" s="90"/>
      <c r="W88" s="90"/>
      <c r="X88" s="3"/>
      <c r="Y88" s="13"/>
      <c r="Z88" s="13"/>
    </row>
    <row r="89">
      <c r="A89" s="13" t="str">
        <f t="shared" si="101"/>
        <v/>
      </c>
      <c r="B89" s="103" t="s">
        <v>51</v>
      </c>
      <c r="C89" s="61"/>
      <c r="D89" s="104">
        <f t="shared" ref="D89:F89" si="102">SUM(D83:D88)</f>
        <v>0</v>
      </c>
      <c r="E89" s="105">
        <f t="shared" si="102"/>
        <v>0</v>
      </c>
      <c r="F89" s="105">
        <f t="shared" si="102"/>
        <v>0</v>
      </c>
      <c r="G89" s="106" t="str">
        <f t="shared" si="1"/>
        <v>#DIV/0!</v>
      </c>
      <c r="H89" s="107" t="str">
        <f t="shared" si="2"/>
        <v>#DIV/0!</v>
      </c>
      <c r="I89" s="108" t="str">
        <f t="shared" si="3"/>
        <v>#DIV/0!</v>
      </c>
      <c r="J89" s="104">
        <f t="shared" ref="J89:M89" si="103">SUM(J83:J88)</f>
        <v>520.6</v>
      </c>
      <c r="K89" s="109">
        <f t="shared" si="103"/>
        <v>26520</v>
      </c>
      <c r="L89" s="105">
        <f t="shared" si="103"/>
        <v>0</v>
      </c>
      <c r="M89" s="110">
        <f t="shared" si="103"/>
        <v>1016</v>
      </c>
      <c r="N89" s="111">
        <f t="shared" si="104"/>
        <v>0.5124015748</v>
      </c>
      <c r="O89" s="112">
        <f t="shared" si="5"/>
        <v>1.951594314</v>
      </c>
      <c r="P89" s="111" t="str">
        <f t="shared" si="6"/>
        <v>#DIV/0!</v>
      </c>
      <c r="Q89" s="113" t="str">
        <f t="shared" si="7"/>
        <v>#DIV/0!</v>
      </c>
      <c r="R89" s="114">
        <f>SUM(R83:R88)</f>
        <v>-1016</v>
      </c>
      <c r="S89" s="115" t="str">
        <f t="shared" si="9"/>
        <v>#DIV/0!</v>
      </c>
      <c r="T89" s="73" t="str">
        <f t="shared" ref="T89:U89" si="105">IFERROR((D89-#REF!)/D89,)</f>
        <v/>
      </c>
      <c r="U89" s="73" t="str">
        <f t="shared" si="105"/>
        <v/>
      </c>
      <c r="V89" s="73" t="str">
        <f t="shared" ref="V89:W89" si="106">IFERROR((D89-#REF!)/D89, )</f>
        <v/>
      </c>
      <c r="W89" s="73" t="str">
        <f t="shared" si="106"/>
        <v/>
      </c>
      <c r="X89" s="13"/>
      <c r="Y89" s="13"/>
      <c r="Z89" s="13"/>
    </row>
    <row r="90">
      <c r="A90" s="13"/>
      <c r="B90" s="143">
        <v>46019.0</v>
      </c>
      <c r="C90" s="75" t="s">
        <v>31</v>
      </c>
      <c r="D90" s="76"/>
      <c r="E90" s="77"/>
      <c r="F90" s="77"/>
      <c r="G90" s="78" t="str">
        <f t="shared" si="1"/>
        <v>#DIV/0!</v>
      </c>
      <c r="H90" s="79" t="str">
        <f t="shared" si="2"/>
        <v>#DIV/0!</v>
      </c>
      <c r="I90" s="80" t="str">
        <f t="shared" si="3"/>
        <v>#DIV/0!</v>
      </c>
      <c r="J90" s="81">
        <v>163.31</v>
      </c>
      <c r="K90" s="82">
        <v>11820.0</v>
      </c>
      <c r="L90" s="83"/>
      <c r="M90" s="84">
        <v>58.0</v>
      </c>
      <c r="N90" s="85">
        <f t="shared" si="104"/>
        <v>2.815689655</v>
      </c>
      <c r="O90" s="86">
        <f t="shared" si="5"/>
        <v>0.3551527769</v>
      </c>
      <c r="P90" s="85" t="str">
        <f t="shared" si="6"/>
        <v>#DIV/0!</v>
      </c>
      <c r="Q90" s="87" t="str">
        <f t="shared" si="7"/>
        <v>#DIV/0!</v>
      </c>
      <c r="R90" s="88">
        <f t="shared" ref="R90:R95" si="107">D90-M90</f>
        <v>-58</v>
      </c>
      <c r="S90" s="89" t="str">
        <f t="shared" si="9"/>
        <v>#DIV/0!</v>
      </c>
      <c r="T90" s="90"/>
      <c r="U90" s="90"/>
      <c r="V90" s="90"/>
      <c r="W90" s="90"/>
      <c r="X90" s="3"/>
      <c r="Y90" s="13"/>
      <c r="Z90" s="13"/>
    </row>
    <row r="91">
      <c r="A91" s="13"/>
      <c r="B91" s="91"/>
      <c r="C91" s="144" t="s">
        <v>48</v>
      </c>
      <c r="D91" s="92"/>
      <c r="E91" s="77"/>
      <c r="F91" s="77"/>
      <c r="G91" s="78" t="str">
        <f t="shared" si="1"/>
        <v>#DIV/0!</v>
      </c>
      <c r="H91" s="79" t="str">
        <f t="shared" si="2"/>
        <v>#DIV/0!</v>
      </c>
      <c r="I91" s="80" t="str">
        <f t="shared" si="3"/>
        <v>#DIV/0!</v>
      </c>
      <c r="J91" s="145">
        <v>106.4</v>
      </c>
      <c r="K91" s="82">
        <v>6630.0</v>
      </c>
      <c r="L91" s="146"/>
      <c r="M91" s="147">
        <v>0.0</v>
      </c>
      <c r="N91" s="85" t="str">
        <f t="shared" si="104"/>
        <v>#DIV/0!</v>
      </c>
      <c r="O91" s="86">
        <f t="shared" si="5"/>
        <v>0</v>
      </c>
      <c r="P91" s="85" t="str">
        <f t="shared" si="6"/>
        <v>#DIV/0!</v>
      </c>
      <c r="Q91" s="87" t="str">
        <f t="shared" si="7"/>
        <v>#DIV/0!</v>
      </c>
      <c r="R91" s="95">
        <f t="shared" si="107"/>
        <v>0</v>
      </c>
      <c r="S91" s="89" t="str">
        <f t="shared" si="9"/>
        <v>#DIV/0!</v>
      </c>
      <c r="T91" s="90"/>
      <c r="U91" s="90"/>
      <c r="V91" s="90"/>
      <c r="W91" s="90"/>
      <c r="X91" s="3"/>
      <c r="Y91" s="13"/>
      <c r="Z91" s="13"/>
    </row>
    <row r="92">
      <c r="A92" s="13"/>
      <c r="B92" s="91"/>
      <c r="C92" s="75" t="s">
        <v>32</v>
      </c>
      <c r="D92" s="92"/>
      <c r="E92" s="77"/>
      <c r="F92" s="77"/>
      <c r="G92" s="78" t="str">
        <f t="shared" si="1"/>
        <v>#DIV/0!</v>
      </c>
      <c r="H92" s="79" t="str">
        <f t="shared" si="2"/>
        <v>#DIV/0!</v>
      </c>
      <c r="I92" s="80" t="str">
        <f t="shared" si="3"/>
        <v>#DIV/0!</v>
      </c>
      <c r="J92" s="93">
        <v>157.13</v>
      </c>
      <c r="K92" s="82">
        <v>10589.0</v>
      </c>
      <c r="L92" s="83"/>
      <c r="M92" s="94">
        <v>359.0</v>
      </c>
      <c r="N92" s="85">
        <f t="shared" si="104"/>
        <v>0.4376880223</v>
      </c>
      <c r="O92" s="86">
        <f t="shared" si="5"/>
        <v>2.284732387</v>
      </c>
      <c r="P92" s="85" t="str">
        <f t="shared" si="6"/>
        <v>#DIV/0!</v>
      </c>
      <c r="Q92" s="87" t="str">
        <f t="shared" si="7"/>
        <v>#DIV/0!</v>
      </c>
      <c r="R92" s="95">
        <f t="shared" si="107"/>
        <v>-359</v>
      </c>
      <c r="S92" s="89" t="str">
        <f t="shared" si="9"/>
        <v>#DIV/0!</v>
      </c>
      <c r="T92" s="90"/>
      <c r="U92" s="90"/>
      <c r="V92" s="90"/>
      <c r="W92" s="90"/>
      <c r="X92" s="3"/>
      <c r="Y92" s="13"/>
      <c r="Z92" s="13"/>
    </row>
    <row r="93">
      <c r="A93" s="13"/>
      <c r="B93" s="91"/>
      <c r="C93" s="144" t="s">
        <v>46</v>
      </c>
      <c r="D93" s="92"/>
      <c r="E93" s="77"/>
      <c r="F93" s="77"/>
      <c r="G93" s="78" t="str">
        <f t="shared" si="1"/>
        <v>#DIV/0!</v>
      </c>
      <c r="H93" s="79" t="str">
        <f t="shared" si="2"/>
        <v>#DIV/0!</v>
      </c>
      <c r="I93" s="80" t="str">
        <f t="shared" si="3"/>
        <v>#DIV/0!</v>
      </c>
      <c r="J93" s="93">
        <v>0.0</v>
      </c>
      <c r="K93" s="82">
        <v>0.0</v>
      </c>
      <c r="L93" s="83"/>
      <c r="M93" s="94">
        <v>0.0</v>
      </c>
      <c r="N93" s="85" t="str">
        <f t="shared" si="104"/>
        <v>#DIV/0!</v>
      </c>
      <c r="O93" s="86" t="str">
        <f t="shared" si="5"/>
        <v>#DIV/0!</v>
      </c>
      <c r="P93" s="85" t="str">
        <f t="shared" si="6"/>
        <v>#DIV/0!</v>
      </c>
      <c r="Q93" s="87" t="str">
        <f t="shared" si="7"/>
        <v>#DIV/0!</v>
      </c>
      <c r="R93" s="95">
        <f t="shared" si="107"/>
        <v>0</v>
      </c>
      <c r="S93" s="89" t="str">
        <f t="shared" si="9"/>
        <v>#DIV/0!</v>
      </c>
      <c r="T93" s="90"/>
      <c r="U93" s="90"/>
      <c r="V93" s="90"/>
      <c r="W93" s="90"/>
      <c r="X93" s="3"/>
      <c r="Y93" s="13"/>
      <c r="Z93" s="13"/>
    </row>
    <row r="94">
      <c r="A94" s="13"/>
      <c r="B94" s="148" t="s">
        <v>33</v>
      </c>
      <c r="C94" s="75" t="s">
        <v>34</v>
      </c>
      <c r="D94" s="97"/>
      <c r="E94" s="77"/>
      <c r="F94" s="77"/>
      <c r="G94" s="78" t="str">
        <f t="shared" si="1"/>
        <v>#DIV/0!</v>
      </c>
      <c r="H94" s="79" t="str">
        <f t="shared" si="2"/>
        <v>#DIV/0!</v>
      </c>
      <c r="I94" s="80" t="str">
        <f t="shared" si="3"/>
        <v>#DIV/0!</v>
      </c>
      <c r="J94" s="98">
        <v>0.0</v>
      </c>
      <c r="K94" s="82">
        <v>0.0</v>
      </c>
      <c r="L94" s="83"/>
      <c r="M94" s="99">
        <v>0.0</v>
      </c>
      <c r="N94" s="85" t="str">
        <f>(J94/M94)</f>
        <v>#DIV/0!</v>
      </c>
      <c r="O94" s="86" t="str">
        <f t="shared" si="5"/>
        <v>#DIV/0!</v>
      </c>
      <c r="P94" s="85" t="str">
        <f t="shared" si="6"/>
        <v>#DIV/0!</v>
      </c>
      <c r="Q94" s="87" t="str">
        <f t="shared" si="7"/>
        <v>#DIV/0!</v>
      </c>
      <c r="R94" s="100">
        <f t="shared" si="107"/>
        <v>0</v>
      </c>
      <c r="S94" s="89" t="str">
        <f t="shared" si="9"/>
        <v>#DIV/0!</v>
      </c>
      <c r="T94" s="90"/>
      <c r="U94" s="90"/>
      <c r="V94" s="90"/>
      <c r="W94" s="90"/>
      <c r="X94" s="3"/>
      <c r="Y94" s="13"/>
      <c r="Z94" s="13"/>
    </row>
    <row r="95">
      <c r="A95" s="101" t="str">
        <f t="shared" ref="A95:A96" si="108">iferror(if(B95&gt;0,month(B95)&amp;"-"&amp;year(B95),B95),)</f>
        <v>1-2026</v>
      </c>
      <c r="B95" s="143">
        <v>46025.0</v>
      </c>
      <c r="C95" s="75" t="s">
        <v>35</v>
      </c>
      <c r="D95" s="102"/>
      <c r="E95" s="77"/>
      <c r="F95" s="77"/>
      <c r="G95" s="78" t="str">
        <f t="shared" si="1"/>
        <v>#DIV/0!</v>
      </c>
      <c r="H95" s="79" t="str">
        <f t="shared" si="2"/>
        <v>#DIV/0!</v>
      </c>
      <c r="I95" s="80" t="str">
        <f t="shared" si="3"/>
        <v>#DIV/0!</v>
      </c>
      <c r="J95" s="93">
        <v>166.48</v>
      </c>
      <c r="K95" s="82">
        <v>5772.0</v>
      </c>
      <c r="L95" s="83"/>
      <c r="M95" s="94">
        <v>154.0</v>
      </c>
      <c r="N95" s="85">
        <f t="shared" ref="N95:N96" si="111">J95/M95</f>
        <v>1.081038961</v>
      </c>
      <c r="O95" s="86">
        <f t="shared" si="5"/>
        <v>0.9250360404</v>
      </c>
      <c r="P95" s="85" t="str">
        <f t="shared" si="6"/>
        <v>#DIV/0!</v>
      </c>
      <c r="Q95" s="87" t="str">
        <f t="shared" si="7"/>
        <v>#DIV/0!</v>
      </c>
      <c r="R95" s="88">
        <f t="shared" si="107"/>
        <v>-154</v>
      </c>
      <c r="S95" s="89" t="str">
        <f t="shared" si="9"/>
        <v>#DIV/0!</v>
      </c>
      <c r="T95" s="90"/>
      <c r="U95" s="90"/>
      <c r="V95" s="90"/>
      <c r="W95" s="90"/>
      <c r="X95" s="3"/>
      <c r="Y95" s="13"/>
      <c r="Z95" s="13"/>
    </row>
    <row r="96">
      <c r="A96" s="13" t="str">
        <f t="shared" si="108"/>
        <v/>
      </c>
      <c r="B96" s="103" t="s">
        <v>52</v>
      </c>
      <c r="C96" s="61"/>
      <c r="D96" s="104">
        <f t="shared" ref="D96:F96" si="109">SUM(D90:D95)</f>
        <v>0</v>
      </c>
      <c r="E96" s="105">
        <f t="shared" si="109"/>
        <v>0</v>
      </c>
      <c r="F96" s="105">
        <f t="shared" si="109"/>
        <v>0</v>
      </c>
      <c r="G96" s="106" t="str">
        <f t="shared" si="1"/>
        <v>#DIV/0!</v>
      </c>
      <c r="H96" s="107" t="str">
        <f t="shared" si="2"/>
        <v>#DIV/0!</v>
      </c>
      <c r="I96" s="108" t="str">
        <f t="shared" si="3"/>
        <v>#DIV/0!</v>
      </c>
      <c r="J96" s="104">
        <f t="shared" ref="J96:M96" si="110">SUM(J90:J95)</f>
        <v>593.32</v>
      </c>
      <c r="K96" s="109">
        <f t="shared" si="110"/>
        <v>34811</v>
      </c>
      <c r="L96" s="105">
        <f t="shared" si="110"/>
        <v>0</v>
      </c>
      <c r="M96" s="110">
        <f t="shared" si="110"/>
        <v>571</v>
      </c>
      <c r="N96" s="111">
        <f t="shared" si="111"/>
        <v>1.039089317</v>
      </c>
      <c r="O96" s="112">
        <f t="shared" si="5"/>
        <v>0.9623811771</v>
      </c>
      <c r="P96" s="111" t="str">
        <f t="shared" si="6"/>
        <v>#DIV/0!</v>
      </c>
      <c r="Q96" s="113" t="str">
        <f t="shared" si="7"/>
        <v>#DIV/0!</v>
      </c>
      <c r="R96" s="114">
        <f>SUM(R90:R95)</f>
        <v>-571</v>
      </c>
      <c r="S96" s="115" t="str">
        <f t="shared" si="9"/>
        <v>#DIV/0!</v>
      </c>
      <c r="T96" s="73" t="str">
        <f t="shared" ref="T96:U96" si="112">IFERROR((D96-D89)/D96,)</f>
        <v/>
      </c>
      <c r="U96" s="73" t="str">
        <f t="shared" si="112"/>
        <v/>
      </c>
      <c r="V96" s="73" t="str">
        <f t="shared" ref="V96:W96" si="113">IFERROR((D96-#REF!)/D96, )</f>
        <v/>
      </c>
      <c r="W96" s="73" t="str">
        <f t="shared" si="113"/>
        <v/>
      </c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8 B75 B82 B89 B96">
      <formula1>"Previous Week,Current Week"</formula1>
    </dataValidation>
  </dataValidation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53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Week",$B$11:$X$95,match("SALES",$B$11:$X$11,0),FALSE)</f>
        <v>0</v>
      </c>
      <c r="L4" s="13"/>
      <c r="M4" s="13"/>
      <c r="N4" s="22">
        <f>VLOOKUP("Current Week",$B$11:$X$95,match("Units Sold",$B$11:$X$11,0),FALSE)</f>
        <v>0</v>
      </c>
      <c r="O4" s="10"/>
      <c r="P4" s="8"/>
      <c r="Q4" s="3"/>
      <c r="R4" s="13"/>
      <c r="S4" s="22">
        <f>VLOOKUP("Current Week",$B$11:$X$95,match("Ordered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Week",$B$11:$X$100,match("SALES",$B$11:$X$11,0),FALSE)))/K4</f>
        <v>#DIV/0!</v>
      </c>
      <c r="L5" s="13"/>
      <c r="M5" s="13"/>
      <c r="N5" s="27" t="str">
        <f>(N4-(VLOOKUP("Previous Week",$B$11:$X$100,match("Units Sold",$B$11:$X$11,0),FALSE)))/N4</f>
        <v>#DIV/0!</v>
      </c>
      <c r="O5" s="10"/>
      <c r="P5" s="10"/>
      <c r="Q5" s="8"/>
      <c r="R5" s="13"/>
      <c r="S5" s="27" t="str">
        <f>(S4-(VLOOKUP("Previous Week",$B$11:$X$100,match("Ordered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Week",$B$11:$X$95,match("AD SALES",$B$11:$X$11,0),FALSE)</f>
        <v>1710.34</v>
      </c>
      <c r="L8" s="13"/>
      <c r="M8" s="13"/>
      <c r="N8" s="31">
        <f>VLOOKUP("Current Week",$B$11:$X$95,match("SP AD SPEND",$B$11:$X$11,0),FALSE)</f>
        <v>907.14</v>
      </c>
      <c r="O8" s="10"/>
      <c r="P8" s="8"/>
      <c r="Q8" s="3"/>
      <c r="R8" s="13"/>
      <c r="S8" s="32">
        <f>N8/K8</f>
        <v>0.5303857713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Week",$B$11:$X$100,match("AD SALES",$B$11:$X$11,0),FALSE)))/K8</f>
        <v>-0.3523743817</v>
      </c>
      <c r="L9" s="13"/>
      <c r="M9" s="13"/>
      <c r="N9" s="37">
        <f>(N8-(VLOOKUP("Previous Week",$B$11:$X$100,match("SP AD SPEND",$B$11:$X$11,0),FALSE)))/N8</f>
        <v>0.02854024737</v>
      </c>
      <c r="Q9" s="35"/>
      <c r="R9" s="13"/>
      <c r="S9" s="37">
        <f>(S8-(VLOOKUP("Previous Week",$B$11:$X$100,match("ACOS",$B$11:$X$11,0),FALSE)))/S8</f>
        <v>0.2816635942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86" si="1">E13/F13</f>
        <v>#DIV/0!</v>
      </c>
      <c r="H13" s="79" t="str">
        <f t="shared" ref="H13:H86" si="2">D13/E13</f>
        <v>#DIV/0!</v>
      </c>
      <c r="I13" s="80" t="str">
        <f t="shared" ref="I13:I86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86" si="5">M13/J13</f>
        <v>#DIV/0!</v>
      </c>
      <c r="P13" s="85" t="str">
        <f t="shared" ref="P13:P86" si="6">J13/D13</f>
        <v>#DIV/0!</v>
      </c>
      <c r="Q13" s="87" t="str">
        <f t="shared" ref="Q13:Q86" si="7">M13/D13</f>
        <v>#DIV/0!</v>
      </c>
      <c r="R13" s="88">
        <f t="shared" ref="R13:R22" si="8">D13-M13</f>
        <v>0</v>
      </c>
      <c r="S13" s="89" t="str">
        <f t="shared" ref="S13:S86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20" si="10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hidden="1" outlineLevel="1">
      <c r="A17" s="116"/>
      <c r="B17" s="74">
        <v>46012.0</v>
      </c>
      <c r="C17" s="117" t="s">
        <v>31</v>
      </c>
      <c r="D17" s="118"/>
      <c r="E17" s="119"/>
      <c r="F17" s="119"/>
      <c r="G17" s="78" t="str">
        <f t="shared" si="1"/>
        <v>#DIV/0!</v>
      </c>
      <c r="H17" s="79" t="str">
        <f t="shared" si="2"/>
        <v>#DIV/0!</v>
      </c>
      <c r="I17" s="80" t="str">
        <f t="shared" si="3"/>
        <v>#DIV/0!</v>
      </c>
      <c r="J17" s="120">
        <v>176.83</v>
      </c>
      <c r="K17" s="121">
        <v>10330.0</v>
      </c>
      <c r="L17" s="135"/>
      <c r="M17" s="123">
        <v>839.0</v>
      </c>
      <c r="N17" s="85">
        <f t="shared" si="10"/>
        <v>0.2107628129</v>
      </c>
      <c r="O17" s="86">
        <f t="shared" si="5"/>
        <v>4.744670022</v>
      </c>
      <c r="P17" s="85" t="str">
        <f t="shared" si="6"/>
        <v>#DIV/0!</v>
      </c>
      <c r="Q17" s="87" t="str">
        <f t="shared" si="7"/>
        <v>#DIV/0!</v>
      </c>
      <c r="R17" s="88">
        <f t="shared" si="8"/>
        <v>-839</v>
      </c>
      <c r="S17" s="89" t="str">
        <f t="shared" si="9"/>
        <v>#DIV/0!</v>
      </c>
      <c r="T17" s="124"/>
      <c r="U17" s="124"/>
      <c r="V17" s="124"/>
      <c r="W17" s="124"/>
      <c r="X17" s="125"/>
      <c r="Y17" s="116"/>
      <c r="Z17" s="116"/>
    </row>
    <row r="18" hidden="1" outlineLevel="1">
      <c r="A18" s="116"/>
      <c r="B18" s="126"/>
      <c r="C18" s="149" t="s">
        <v>48</v>
      </c>
      <c r="D18" s="127"/>
      <c r="E18" s="119"/>
      <c r="F18" s="119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141">
        <v>0.0</v>
      </c>
      <c r="K18" s="121">
        <v>0.0</v>
      </c>
      <c r="L18" s="135"/>
      <c r="M18" s="142">
        <v>0.0</v>
      </c>
      <c r="N18" s="85" t="str">
        <f t="shared" si="10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95">
        <f t="shared" si="8"/>
        <v>0</v>
      </c>
      <c r="S18" s="89" t="str">
        <f t="shared" si="9"/>
        <v>#DIV/0!</v>
      </c>
      <c r="T18" s="124"/>
      <c r="U18" s="124"/>
      <c r="V18" s="124"/>
      <c r="W18" s="124"/>
      <c r="X18" s="125"/>
      <c r="Y18" s="116"/>
      <c r="Z18" s="116"/>
    </row>
    <row r="19" hidden="1" outlineLevel="1">
      <c r="A19" s="116"/>
      <c r="B19" s="126"/>
      <c r="C19" s="117" t="s">
        <v>32</v>
      </c>
      <c r="D19" s="127"/>
      <c r="E19" s="119"/>
      <c r="F19" s="119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128">
        <v>169.03</v>
      </c>
      <c r="K19" s="121">
        <v>10693.0</v>
      </c>
      <c r="L19" s="135"/>
      <c r="M19" s="129">
        <v>177.0</v>
      </c>
      <c r="N19" s="85">
        <f t="shared" si="10"/>
        <v>0.9549717514</v>
      </c>
      <c r="O19" s="86">
        <f t="shared" si="5"/>
        <v>1.047151393</v>
      </c>
      <c r="P19" s="85" t="str">
        <f t="shared" si="6"/>
        <v>#DIV/0!</v>
      </c>
      <c r="Q19" s="87" t="str">
        <f t="shared" si="7"/>
        <v>#DIV/0!</v>
      </c>
      <c r="R19" s="95">
        <f t="shared" si="8"/>
        <v>-177</v>
      </c>
      <c r="S19" s="89" t="str">
        <f t="shared" si="9"/>
        <v>#DIV/0!</v>
      </c>
      <c r="T19" s="124"/>
      <c r="U19" s="124"/>
      <c r="V19" s="124"/>
      <c r="W19" s="124"/>
      <c r="X19" s="125"/>
      <c r="Y19" s="116"/>
      <c r="Z19" s="116"/>
    </row>
    <row r="20" hidden="1" outlineLevel="1">
      <c r="A20" s="116"/>
      <c r="B20" s="126"/>
      <c r="C20" s="149" t="s">
        <v>46</v>
      </c>
      <c r="D20" s="127"/>
      <c r="E20" s="119"/>
      <c r="F20" s="119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128">
        <v>0.0</v>
      </c>
      <c r="K20" s="121">
        <v>0.0</v>
      </c>
      <c r="L20" s="135"/>
      <c r="M20" s="129">
        <v>0.0</v>
      </c>
      <c r="N20" s="85" t="str">
        <f t="shared" si="10"/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95">
        <f t="shared" si="8"/>
        <v>0</v>
      </c>
      <c r="S20" s="89" t="str">
        <f t="shared" si="9"/>
        <v>#DIV/0!</v>
      </c>
      <c r="T20" s="124"/>
      <c r="U20" s="124"/>
      <c r="V20" s="124"/>
      <c r="W20" s="124"/>
      <c r="X20" s="125"/>
      <c r="Y20" s="116"/>
      <c r="Z20" s="116"/>
    </row>
    <row r="21" hidden="1" outlineLevel="1">
      <c r="A21" s="116"/>
      <c r="B21" s="74" t="s">
        <v>33</v>
      </c>
      <c r="C21" s="117" t="s">
        <v>34</v>
      </c>
      <c r="D21" s="130"/>
      <c r="E21" s="119"/>
      <c r="F21" s="119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131">
        <v>0.0</v>
      </c>
      <c r="K21" s="121">
        <v>0.0</v>
      </c>
      <c r="L21" s="135"/>
      <c r="M21" s="132">
        <v>0.0</v>
      </c>
      <c r="N21" s="85" t="str">
        <f>(J21/M21)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100">
        <f t="shared" si="8"/>
        <v>0</v>
      </c>
      <c r="S21" s="89" t="str">
        <f t="shared" si="9"/>
        <v>#DIV/0!</v>
      </c>
      <c r="T21" s="124"/>
      <c r="U21" s="124"/>
      <c r="V21" s="124"/>
      <c r="W21" s="124"/>
      <c r="X21" s="125"/>
      <c r="Y21" s="116"/>
      <c r="Z21" s="116"/>
    </row>
    <row r="22" hidden="1" outlineLevel="1">
      <c r="A22" s="101" t="str">
        <f t="shared" ref="A22:A23" si="11">iferror(if(B22&gt;0,month(B22)&amp;"-"&amp;year(B22),B22),)</f>
        <v>12-2025</v>
      </c>
      <c r="B22" s="74">
        <v>46018.0</v>
      </c>
      <c r="C22" s="117" t="s">
        <v>35</v>
      </c>
      <c r="D22" s="133"/>
      <c r="E22" s="119"/>
      <c r="F22" s="119"/>
      <c r="G22" s="78" t="str">
        <f t="shared" si="1"/>
        <v>#DIV/0!</v>
      </c>
      <c r="H22" s="79" t="str">
        <f t="shared" si="2"/>
        <v>#DIV/0!</v>
      </c>
      <c r="I22" s="80" t="str">
        <f t="shared" si="3"/>
        <v>#DIV/0!</v>
      </c>
      <c r="J22" s="128">
        <v>174.74</v>
      </c>
      <c r="K22" s="121">
        <v>5497.0</v>
      </c>
      <c r="L22" s="135"/>
      <c r="M22" s="129">
        <v>0.0</v>
      </c>
      <c r="N22" s="85" t="str">
        <f t="shared" ref="N22:N27" si="14">J22/M22</f>
        <v>#DIV/0!</v>
      </c>
      <c r="O22" s="86">
        <f t="shared" si="5"/>
        <v>0</v>
      </c>
      <c r="P22" s="85" t="str">
        <f t="shared" si="6"/>
        <v>#DIV/0!</v>
      </c>
      <c r="Q22" s="87" t="str">
        <f t="shared" si="7"/>
        <v>#DIV/0!</v>
      </c>
      <c r="R22" s="88">
        <f t="shared" si="8"/>
        <v>0</v>
      </c>
      <c r="S22" s="89" t="str">
        <f t="shared" si="9"/>
        <v>#DIV/0!</v>
      </c>
      <c r="T22" s="124"/>
      <c r="U22" s="124"/>
      <c r="V22" s="124"/>
      <c r="W22" s="124"/>
      <c r="X22" s="125"/>
      <c r="Y22" s="116"/>
      <c r="Z22" s="116"/>
    </row>
    <row r="23" collapsed="1">
      <c r="A23" s="116" t="str">
        <f t="shared" si="11"/>
        <v/>
      </c>
      <c r="B23" s="137" t="s">
        <v>54</v>
      </c>
      <c r="C23" s="138"/>
      <c r="D23" s="104">
        <f t="shared" ref="D23:F23" si="12">SUM(D17:D22)</f>
        <v>0</v>
      </c>
      <c r="E23" s="105">
        <f t="shared" si="12"/>
        <v>0</v>
      </c>
      <c r="F23" s="105">
        <f t="shared" si="12"/>
        <v>0</v>
      </c>
      <c r="G23" s="106" t="str">
        <f t="shared" si="1"/>
        <v>#DIV/0!</v>
      </c>
      <c r="H23" s="107" t="str">
        <f t="shared" si="2"/>
        <v>#DIV/0!</v>
      </c>
      <c r="I23" s="108" t="str">
        <f t="shared" si="3"/>
        <v>#DIV/0!</v>
      </c>
      <c r="J23" s="104">
        <f t="shared" ref="J23:M23" si="13">SUM(J17:J22)</f>
        <v>520.6</v>
      </c>
      <c r="K23" s="109">
        <f t="shared" si="13"/>
        <v>26520</v>
      </c>
      <c r="L23" s="139">
        <f t="shared" si="13"/>
        <v>0</v>
      </c>
      <c r="M23" s="110">
        <f t="shared" si="13"/>
        <v>1016</v>
      </c>
      <c r="N23" s="111">
        <f t="shared" si="14"/>
        <v>0.5124015748</v>
      </c>
      <c r="O23" s="112">
        <f t="shared" si="5"/>
        <v>1.951594314</v>
      </c>
      <c r="P23" s="111" t="str">
        <f t="shared" si="6"/>
        <v>#DIV/0!</v>
      </c>
      <c r="Q23" s="113" t="str">
        <f t="shared" si="7"/>
        <v>#DIV/0!</v>
      </c>
      <c r="R23" s="114">
        <f>SUM(R17:R22)</f>
        <v>-1016</v>
      </c>
      <c r="S23" s="115" t="str">
        <f t="shared" si="9"/>
        <v>#DIV/0!</v>
      </c>
      <c r="T23" s="140" t="str">
        <f t="shared" ref="T23:U23" si="15">IFERROR((D23-#REF!)/D23,)</f>
        <v/>
      </c>
      <c r="U23" s="140" t="str">
        <f t="shared" si="15"/>
        <v/>
      </c>
      <c r="V23" s="140" t="str">
        <f t="shared" ref="V23:W23" si="16">IFERROR((D23-#REF!)/D23, )</f>
        <v/>
      </c>
      <c r="W23" s="140" t="str">
        <f t="shared" si="16"/>
        <v/>
      </c>
      <c r="X23" s="116"/>
      <c r="Y23" s="116"/>
      <c r="Z23" s="116"/>
    </row>
    <row r="24" hidden="1" outlineLevel="1">
      <c r="A24" s="116"/>
      <c r="B24" s="74">
        <v>46019.0</v>
      </c>
      <c r="C24" s="117" t="s">
        <v>31</v>
      </c>
      <c r="D24" s="118"/>
      <c r="E24" s="119"/>
      <c r="F24" s="119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120">
        <v>163.31</v>
      </c>
      <c r="K24" s="121">
        <v>11820.0</v>
      </c>
      <c r="L24" s="135"/>
      <c r="M24" s="123">
        <v>58.0</v>
      </c>
      <c r="N24" s="85">
        <f t="shared" si="14"/>
        <v>2.815689655</v>
      </c>
      <c r="O24" s="86">
        <f t="shared" si="5"/>
        <v>0.3551527769</v>
      </c>
      <c r="P24" s="85" t="str">
        <f t="shared" si="6"/>
        <v>#DIV/0!</v>
      </c>
      <c r="Q24" s="87" t="str">
        <f t="shared" si="7"/>
        <v>#DIV/0!</v>
      </c>
      <c r="R24" s="88">
        <f t="shared" ref="R24:R29" si="17">D24-M24</f>
        <v>-58</v>
      </c>
      <c r="S24" s="89" t="str">
        <f t="shared" si="9"/>
        <v>#DIV/0!</v>
      </c>
      <c r="T24" s="124"/>
      <c r="U24" s="124"/>
      <c r="V24" s="124"/>
      <c r="W24" s="124"/>
      <c r="X24" s="125"/>
      <c r="Y24" s="116"/>
      <c r="Z24" s="116"/>
    </row>
    <row r="25" hidden="1" outlineLevel="1">
      <c r="A25" s="116"/>
      <c r="B25" s="126"/>
      <c r="C25" s="149" t="s">
        <v>48</v>
      </c>
      <c r="D25" s="127"/>
      <c r="E25" s="119"/>
      <c r="F25" s="119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141">
        <v>106.4</v>
      </c>
      <c r="K25" s="121">
        <v>6630.0</v>
      </c>
      <c r="L25" s="135"/>
      <c r="M25" s="142">
        <v>0.0</v>
      </c>
      <c r="N25" s="85" t="str">
        <f t="shared" si="14"/>
        <v>#DIV/0!</v>
      </c>
      <c r="O25" s="86">
        <f t="shared" si="5"/>
        <v>0</v>
      </c>
      <c r="P25" s="85" t="str">
        <f t="shared" si="6"/>
        <v>#DIV/0!</v>
      </c>
      <c r="Q25" s="87" t="str">
        <f t="shared" si="7"/>
        <v>#DIV/0!</v>
      </c>
      <c r="R25" s="95">
        <f t="shared" si="17"/>
        <v>0</v>
      </c>
      <c r="S25" s="89" t="str">
        <f t="shared" si="9"/>
        <v>#DIV/0!</v>
      </c>
      <c r="T25" s="124"/>
      <c r="U25" s="124"/>
      <c r="V25" s="124"/>
      <c r="W25" s="124"/>
      <c r="X25" s="125"/>
      <c r="Y25" s="116"/>
      <c r="Z25" s="116"/>
    </row>
    <row r="26" hidden="1" outlineLevel="1">
      <c r="A26" s="116"/>
      <c r="B26" s="126"/>
      <c r="C26" s="117" t="s">
        <v>32</v>
      </c>
      <c r="D26" s="127"/>
      <c r="E26" s="119"/>
      <c r="F26" s="119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128">
        <v>157.13</v>
      </c>
      <c r="K26" s="121">
        <v>10589.0</v>
      </c>
      <c r="L26" s="135"/>
      <c r="M26" s="129">
        <v>359.0</v>
      </c>
      <c r="N26" s="85">
        <f t="shared" si="14"/>
        <v>0.4376880223</v>
      </c>
      <c r="O26" s="86">
        <f t="shared" si="5"/>
        <v>2.284732387</v>
      </c>
      <c r="P26" s="85" t="str">
        <f t="shared" si="6"/>
        <v>#DIV/0!</v>
      </c>
      <c r="Q26" s="87" t="str">
        <f t="shared" si="7"/>
        <v>#DIV/0!</v>
      </c>
      <c r="R26" s="95">
        <f t="shared" si="17"/>
        <v>-359</v>
      </c>
      <c r="S26" s="89" t="str">
        <f t="shared" si="9"/>
        <v>#DIV/0!</v>
      </c>
      <c r="T26" s="124"/>
      <c r="U26" s="124"/>
      <c r="V26" s="124"/>
      <c r="W26" s="124"/>
      <c r="X26" s="125"/>
      <c r="Y26" s="116"/>
      <c r="Z26" s="116"/>
    </row>
    <row r="27" hidden="1" outlineLevel="1">
      <c r="A27" s="116"/>
      <c r="B27" s="126"/>
      <c r="C27" s="149" t="s">
        <v>46</v>
      </c>
      <c r="D27" s="127"/>
      <c r="E27" s="119"/>
      <c r="F27" s="119"/>
      <c r="G27" s="78" t="str">
        <f t="shared" si="1"/>
        <v>#DIV/0!</v>
      </c>
      <c r="H27" s="79" t="str">
        <f t="shared" si="2"/>
        <v>#DIV/0!</v>
      </c>
      <c r="I27" s="80" t="str">
        <f t="shared" si="3"/>
        <v>#DIV/0!</v>
      </c>
      <c r="J27" s="128">
        <v>0.0</v>
      </c>
      <c r="K27" s="121">
        <v>0.0</v>
      </c>
      <c r="L27" s="135"/>
      <c r="M27" s="129">
        <v>0.0</v>
      </c>
      <c r="N27" s="85" t="str">
        <f t="shared" si="14"/>
        <v>#DIV/0!</v>
      </c>
      <c r="O27" s="86" t="str">
        <f t="shared" si="5"/>
        <v>#DIV/0!</v>
      </c>
      <c r="P27" s="85" t="str">
        <f t="shared" si="6"/>
        <v>#DIV/0!</v>
      </c>
      <c r="Q27" s="87" t="str">
        <f t="shared" si="7"/>
        <v>#DIV/0!</v>
      </c>
      <c r="R27" s="95">
        <f t="shared" si="17"/>
        <v>0</v>
      </c>
      <c r="S27" s="89" t="str">
        <f t="shared" si="9"/>
        <v>#DIV/0!</v>
      </c>
      <c r="T27" s="124"/>
      <c r="U27" s="124"/>
      <c r="V27" s="124"/>
      <c r="W27" s="124"/>
      <c r="X27" s="125"/>
      <c r="Y27" s="116"/>
      <c r="Z27" s="116"/>
    </row>
    <row r="28" hidden="1" outlineLevel="1">
      <c r="A28" s="116"/>
      <c r="B28" s="74" t="s">
        <v>33</v>
      </c>
      <c r="C28" s="117" t="s">
        <v>34</v>
      </c>
      <c r="D28" s="130"/>
      <c r="E28" s="119"/>
      <c r="F28" s="119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131">
        <v>0.0</v>
      </c>
      <c r="K28" s="121">
        <v>0.0</v>
      </c>
      <c r="L28" s="135"/>
      <c r="M28" s="132">
        <v>0.0</v>
      </c>
      <c r="N28" s="85" t="str">
        <f>(J28/M28)</f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100">
        <f t="shared" si="17"/>
        <v>0</v>
      </c>
      <c r="S28" s="89" t="str">
        <f t="shared" si="9"/>
        <v>#DIV/0!</v>
      </c>
      <c r="T28" s="124"/>
      <c r="U28" s="124"/>
      <c r="V28" s="124"/>
      <c r="W28" s="124"/>
      <c r="X28" s="125"/>
      <c r="Y28" s="116"/>
      <c r="Z28" s="116"/>
    </row>
    <row r="29" hidden="1" outlineLevel="1">
      <c r="A29" s="101" t="str">
        <f t="shared" ref="A29:A30" si="18">iferror(if(B29&gt;0,month(B29)&amp;"-"&amp;year(B29),B29),)</f>
        <v>1-2026</v>
      </c>
      <c r="B29" s="74">
        <v>46025.0</v>
      </c>
      <c r="C29" s="117" t="s">
        <v>35</v>
      </c>
      <c r="D29" s="133"/>
      <c r="E29" s="119"/>
      <c r="F29" s="119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128">
        <v>166.48</v>
      </c>
      <c r="K29" s="121">
        <v>5772.0</v>
      </c>
      <c r="L29" s="135"/>
      <c r="M29" s="129">
        <v>154.0</v>
      </c>
      <c r="N29" s="85">
        <f t="shared" ref="N29:N34" si="21">J29/M29</f>
        <v>1.081038961</v>
      </c>
      <c r="O29" s="86">
        <f t="shared" si="5"/>
        <v>0.9250360404</v>
      </c>
      <c r="P29" s="85" t="str">
        <f t="shared" si="6"/>
        <v>#DIV/0!</v>
      </c>
      <c r="Q29" s="87" t="str">
        <f t="shared" si="7"/>
        <v>#DIV/0!</v>
      </c>
      <c r="R29" s="88">
        <f t="shared" si="17"/>
        <v>-154</v>
      </c>
      <c r="S29" s="89" t="str">
        <f t="shared" si="9"/>
        <v>#DIV/0!</v>
      </c>
      <c r="T29" s="124"/>
      <c r="U29" s="124"/>
      <c r="V29" s="124"/>
      <c r="W29" s="124"/>
      <c r="X29" s="125"/>
      <c r="Y29" s="116"/>
      <c r="Z29" s="116"/>
    </row>
    <row r="30" collapsed="1">
      <c r="A30" s="116" t="str">
        <f t="shared" si="18"/>
        <v/>
      </c>
      <c r="B30" s="137" t="s">
        <v>55</v>
      </c>
      <c r="C30" s="138"/>
      <c r="D30" s="104">
        <f t="shared" ref="D30:F30" si="19">SUM(D24:D29)</f>
        <v>0</v>
      </c>
      <c r="E30" s="105">
        <f t="shared" si="19"/>
        <v>0</v>
      </c>
      <c r="F30" s="105">
        <f t="shared" si="19"/>
        <v>0</v>
      </c>
      <c r="G30" s="106" t="str">
        <f t="shared" si="1"/>
        <v>#DIV/0!</v>
      </c>
      <c r="H30" s="107" t="str">
        <f t="shared" si="2"/>
        <v>#DIV/0!</v>
      </c>
      <c r="I30" s="108" t="str">
        <f t="shared" si="3"/>
        <v>#DIV/0!</v>
      </c>
      <c r="J30" s="104">
        <f t="shared" ref="J30:M30" si="20">SUM(J24:J29)</f>
        <v>593.32</v>
      </c>
      <c r="K30" s="109">
        <f t="shared" si="20"/>
        <v>34811</v>
      </c>
      <c r="L30" s="139">
        <f t="shared" si="20"/>
        <v>0</v>
      </c>
      <c r="M30" s="110">
        <f t="shared" si="20"/>
        <v>571</v>
      </c>
      <c r="N30" s="111">
        <f t="shared" si="21"/>
        <v>1.039089317</v>
      </c>
      <c r="O30" s="112">
        <f t="shared" si="5"/>
        <v>0.9623811771</v>
      </c>
      <c r="P30" s="111" t="str">
        <f t="shared" si="6"/>
        <v>#DIV/0!</v>
      </c>
      <c r="Q30" s="113" t="str">
        <f t="shared" si="7"/>
        <v>#DIV/0!</v>
      </c>
      <c r="R30" s="114">
        <f>SUM(R24:R29)</f>
        <v>-571</v>
      </c>
      <c r="S30" s="115" t="str">
        <f t="shared" si="9"/>
        <v>#DIV/0!</v>
      </c>
      <c r="T30" s="140" t="str">
        <f t="shared" ref="T30:U30" si="22">IFERROR((D30-#REF!)/D30,)</f>
        <v/>
      </c>
      <c r="U30" s="140" t="str">
        <f t="shared" si="22"/>
        <v/>
      </c>
      <c r="V30" s="140" t="str">
        <f t="shared" ref="V30:W30" si="23">IFERROR((D30-#REF!)/D30, )</f>
        <v/>
      </c>
      <c r="W30" s="140" t="str">
        <f t="shared" si="23"/>
        <v/>
      </c>
      <c r="X30" s="116"/>
      <c r="Y30" s="116"/>
      <c r="Z30" s="116"/>
    </row>
    <row r="31" hidden="1" outlineLevel="1">
      <c r="A31" s="116"/>
      <c r="B31" s="74">
        <v>46026.0</v>
      </c>
      <c r="C31" s="117" t="s">
        <v>31</v>
      </c>
      <c r="D31" s="118"/>
      <c r="E31" s="119"/>
      <c r="F31" s="119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120">
        <v>158.91</v>
      </c>
      <c r="K31" s="121">
        <v>13235.0</v>
      </c>
      <c r="L31" s="135"/>
      <c r="M31" s="123">
        <v>609.0</v>
      </c>
      <c r="N31" s="85">
        <f t="shared" si="21"/>
        <v>0.2609359606</v>
      </c>
      <c r="O31" s="86">
        <f t="shared" si="5"/>
        <v>3.832357938</v>
      </c>
      <c r="P31" s="85" t="str">
        <f t="shared" si="6"/>
        <v>#DIV/0!</v>
      </c>
      <c r="Q31" s="87" t="str">
        <f t="shared" si="7"/>
        <v>#DIV/0!</v>
      </c>
      <c r="R31" s="88">
        <f t="shared" ref="R31:R36" si="24">D31-M31</f>
        <v>-609</v>
      </c>
      <c r="S31" s="89" t="str">
        <f t="shared" si="9"/>
        <v>#DIV/0!</v>
      </c>
      <c r="T31" s="124"/>
      <c r="U31" s="124"/>
      <c r="V31" s="124"/>
      <c r="W31" s="124"/>
      <c r="X31" s="125"/>
      <c r="Y31" s="116"/>
      <c r="Z31" s="116"/>
    </row>
    <row r="32" hidden="1" outlineLevel="1">
      <c r="A32" s="116"/>
      <c r="B32" s="126"/>
      <c r="C32" s="149" t="s">
        <v>48</v>
      </c>
      <c r="D32" s="127"/>
      <c r="E32" s="119"/>
      <c r="F32" s="119"/>
      <c r="G32" s="78" t="str">
        <f t="shared" si="1"/>
        <v>#DIV/0!</v>
      </c>
      <c r="H32" s="79" t="str">
        <f t="shared" si="2"/>
        <v>#DIV/0!</v>
      </c>
      <c r="I32" s="80" t="str">
        <f t="shared" si="3"/>
        <v>#DIV/0!</v>
      </c>
      <c r="J32" s="141">
        <v>295.15</v>
      </c>
      <c r="K32" s="121">
        <v>25738.0</v>
      </c>
      <c r="L32" s="135"/>
      <c r="M32" s="142">
        <v>0.0</v>
      </c>
      <c r="N32" s="85" t="str">
        <f t="shared" si="21"/>
        <v>#DIV/0!</v>
      </c>
      <c r="O32" s="86">
        <f t="shared" si="5"/>
        <v>0</v>
      </c>
      <c r="P32" s="85" t="str">
        <f t="shared" si="6"/>
        <v>#DIV/0!</v>
      </c>
      <c r="Q32" s="87" t="str">
        <f t="shared" si="7"/>
        <v>#DIV/0!</v>
      </c>
      <c r="R32" s="95">
        <f t="shared" si="24"/>
        <v>0</v>
      </c>
      <c r="S32" s="89" t="str">
        <f t="shared" si="9"/>
        <v>#DIV/0!</v>
      </c>
      <c r="T32" s="124"/>
      <c r="U32" s="124"/>
      <c r="V32" s="124"/>
      <c r="W32" s="124"/>
      <c r="X32" s="125"/>
      <c r="Y32" s="116"/>
      <c r="Z32" s="116"/>
    </row>
    <row r="33" hidden="1" outlineLevel="1">
      <c r="A33" s="116"/>
      <c r="B33" s="126"/>
      <c r="C33" s="117" t="s">
        <v>32</v>
      </c>
      <c r="D33" s="127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8">
        <v>156.35</v>
      </c>
      <c r="K33" s="121">
        <v>23049.0</v>
      </c>
      <c r="L33" s="135"/>
      <c r="M33" s="129">
        <v>0.0</v>
      </c>
      <c r="N33" s="85" t="str">
        <f t="shared" si="21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95">
        <f t="shared" si="24"/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49" t="s">
        <v>46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56.72</v>
      </c>
      <c r="K34" s="121">
        <v>6838.0</v>
      </c>
      <c r="L34" s="135"/>
      <c r="M34" s="129">
        <v>0.0</v>
      </c>
      <c r="N34" s="85" t="str">
        <f t="shared" si="21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24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35"/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24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25">iferror(if(B36&gt;0,month(B36)&amp;"-"&amp;year(B36),B36),)</f>
        <v>1-2026</v>
      </c>
      <c r="B36" s="74">
        <v>46032.0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8">
        <v>139.38</v>
      </c>
      <c r="K36" s="121">
        <v>12458.0</v>
      </c>
      <c r="L36" s="135"/>
      <c r="M36" s="129">
        <v>0.0</v>
      </c>
      <c r="N36" s="85" t="str">
        <f t="shared" ref="N36:N41" si="28">J36/M36</f>
        <v>#DIV/0!</v>
      </c>
      <c r="O36" s="86">
        <f t="shared" si="5"/>
        <v>0</v>
      </c>
      <c r="P36" s="85" t="str">
        <f t="shared" si="6"/>
        <v>#DIV/0!</v>
      </c>
      <c r="Q36" s="87" t="str">
        <f t="shared" si="7"/>
        <v>#DIV/0!</v>
      </c>
      <c r="R36" s="88">
        <f t="shared" si="24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25"/>
        <v/>
      </c>
      <c r="B37" s="137" t="s">
        <v>56</v>
      </c>
      <c r="C37" s="138"/>
      <c r="D37" s="104">
        <f t="shared" ref="D37:F37" si="26">SUM(D31:D36)</f>
        <v>0</v>
      </c>
      <c r="E37" s="105">
        <f t="shared" si="26"/>
        <v>0</v>
      </c>
      <c r="F37" s="105">
        <f t="shared" si="26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27">SUM(J31:J36)</f>
        <v>806.51</v>
      </c>
      <c r="K37" s="109">
        <f t="shared" si="27"/>
        <v>81318</v>
      </c>
      <c r="L37" s="139">
        <f t="shared" si="27"/>
        <v>0</v>
      </c>
      <c r="M37" s="110">
        <f t="shared" si="27"/>
        <v>609</v>
      </c>
      <c r="N37" s="111">
        <f t="shared" si="28"/>
        <v>1.324318555</v>
      </c>
      <c r="O37" s="112">
        <f t="shared" si="5"/>
        <v>0.7551053304</v>
      </c>
      <c r="P37" s="111" t="str">
        <f t="shared" si="6"/>
        <v>#DIV/0!</v>
      </c>
      <c r="Q37" s="113" t="str">
        <f t="shared" si="7"/>
        <v>#DIV/0!</v>
      </c>
      <c r="R37" s="114">
        <f>SUM(R31:R36)</f>
        <v>-609</v>
      </c>
      <c r="S37" s="115" t="str">
        <f t="shared" si="9"/>
        <v>#DIV/0!</v>
      </c>
      <c r="T37" s="140" t="str">
        <f t="shared" ref="T37:U37" si="29">IFERROR((D37-#REF!)/D37,)</f>
        <v/>
      </c>
      <c r="U37" s="140" t="str">
        <f t="shared" si="29"/>
        <v/>
      </c>
      <c r="V37" s="140" t="str">
        <f t="shared" ref="V37:W37" si="30">IFERROR((D37-#REF!)/D37, )</f>
        <v/>
      </c>
      <c r="W37" s="140" t="str">
        <f t="shared" si="30"/>
        <v/>
      </c>
      <c r="X37" s="116"/>
      <c r="Y37" s="116"/>
      <c r="Z37" s="116"/>
    </row>
    <row r="38" hidden="1" outlineLevel="1">
      <c r="A38" s="116"/>
      <c r="B38" s="74">
        <v>46033.0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160.36</v>
      </c>
      <c r="K38" s="121">
        <v>7685.0</v>
      </c>
      <c r="L38" s="135"/>
      <c r="M38" s="123">
        <v>0.0</v>
      </c>
      <c r="N38" s="85" t="str">
        <f t="shared" si="28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3" si="31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49" t="s">
        <v>48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41">
        <v>277.4</v>
      </c>
      <c r="K39" s="121">
        <v>25369.0</v>
      </c>
      <c r="L39" s="135"/>
      <c r="M39" s="142">
        <v>0.0</v>
      </c>
      <c r="N39" s="85" t="str">
        <f t="shared" si="28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31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126"/>
      <c r="C40" s="117" t="s">
        <v>32</v>
      </c>
      <c r="D40" s="127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28">
        <v>156.06</v>
      </c>
      <c r="K40" s="121">
        <v>20546.0</v>
      </c>
      <c r="L40" s="135"/>
      <c r="M40" s="129">
        <v>0.0</v>
      </c>
      <c r="N40" s="85" t="str">
        <f t="shared" si="28"/>
        <v>#DIV/0!</v>
      </c>
      <c r="O40" s="86">
        <f t="shared" si="5"/>
        <v>0</v>
      </c>
      <c r="P40" s="85" t="str">
        <f t="shared" si="6"/>
        <v>#DIV/0!</v>
      </c>
      <c r="Q40" s="87" t="str">
        <f t="shared" si="7"/>
        <v>#DIV/0!</v>
      </c>
      <c r="R40" s="95">
        <f t="shared" si="31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16"/>
      <c r="B41" s="126"/>
      <c r="C41" s="149" t="s">
        <v>46</v>
      </c>
      <c r="D41" s="127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284.2</v>
      </c>
      <c r="K41" s="121">
        <v>18011.0</v>
      </c>
      <c r="L41" s="135"/>
      <c r="M41" s="129">
        <v>0.0</v>
      </c>
      <c r="N41" s="85" t="str">
        <f t="shared" si="28"/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95">
        <f t="shared" si="31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hidden="1" outlineLevel="1">
      <c r="A42" s="116"/>
      <c r="B42" s="74" t="s">
        <v>33</v>
      </c>
      <c r="C42" s="117" t="s">
        <v>34</v>
      </c>
      <c r="D42" s="130"/>
      <c r="E42" s="119"/>
      <c r="F42" s="119"/>
      <c r="G42" s="78" t="str">
        <f t="shared" si="1"/>
        <v>#DIV/0!</v>
      </c>
      <c r="H42" s="79" t="str">
        <f t="shared" si="2"/>
        <v>#DIV/0!</v>
      </c>
      <c r="I42" s="80" t="str">
        <f t="shared" si="3"/>
        <v>#DIV/0!</v>
      </c>
      <c r="J42" s="131">
        <v>0.0</v>
      </c>
      <c r="K42" s="121">
        <v>0.0</v>
      </c>
      <c r="L42" s="135"/>
      <c r="M42" s="132">
        <v>0.0</v>
      </c>
      <c r="N42" s="85" t="str">
        <f>(J42/M42)</f>
        <v>#DIV/0!</v>
      </c>
      <c r="O42" s="86" t="str">
        <f t="shared" si="5"/>
        <v>#DIV/0!</v>
      </c>
      <c r="P42" s="85" t="str">
        <f t="shared" si="6"/>
        <v>#DIV/0!</v>
      </c>
      <c r="Q42" s="87" t="str">
        <f t="shared" si="7"/>
        <v>#DIV/0!</v>
      </c>
      <c r="R42" s="100">
        <f t="shared" si="31"/>
        <v>0</v>
      </c>
      <c r="S42" s="89" t="str">
        <f t="shared" si="9"/>
        <v>#DIV/0!</v>
      </c>
      <c r="T42" s="124"/>
      <c r="U42" s="124"/>
      <c r="V42" s="124"/>
      <c r="W42" s="124"/>
      <c r="X42" s="125"/>
      <c r="Y42" s="116"/>
      <c r="Z42" s="116"/>
    </row>
    <row r="43" hidden="1" outlineLevel="1">
      <c r="A43" s="101" t="str">
        <f t="shared" ref="A43:A44" si="32">iferror(if(B43&gt;0,month(B43)&amp;"-"&amp;year(B43),B43),)</f>
        <v>1-2026</v>
      </c>
      <c r="B43" s="74">
        <v>46039.0</v>
      </c>
      <c r="C43" s="117" t="s">
        <v>35</v>
      </c>
      <c r="D43" s="133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8">
        <v>107.29</v>
      </c>
      <c r="K43" s="121">
        <v>16021.0</v>
      </c>
      <c r="L43" s="135"/>
      <c r="M43" s="129">
        <v>0.0</v>
      </c>
      <c r="N43" s="85" t="str">
        <f t="shared" ref="N43:N48" si="35">J43/M43</f>
        <v>#DIV/0!</v>
      </c>
      <c r="O43" s="86">
        <f t="shared" si="5"/>
        <v>0</v>
      </c>
      <c r="P43" s="85" t="str">
        <f t="shared" si="6"/>
        <v>#DIV/0!</v>
      </c>
      <c r="Q43" s="87" t="str">
        <f t="shared" si="7"/>
        <v>#DIV/0!</v>
      </c>
      <c r="R43" s="88">
        <f t="shared" si="31"/>
        <v>0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collapsed="1">
      <c r="A44" s="116" t="str">
        <f t="shared" si="32"/>
        <v/>
      </c>
      <c r="B44" s="137" t="s">
        <v>57</v>
      </c>
      <c r="C44" s="138"/>
      <c r="D44" s="104">
        <f t="shared" ref="D44:F44" si="33">SUM(D38:D43)</f>
        <v>0</v>
      </c>
      <c r="E44" s="105">
        <f t="shared" si="33"/>
        <v>0</v>
      </c>
      <c r="F44" s="105">
        <f t="shared" si="33"/>
        <v>0</v>
      </c>
      <c r="G44" s="106" t="str">
        <f t="shared" si="1"/>
        <v>#DIV/0!</v>
      </c>
      <c r="H44" s="107" t="str">
        <f t="shared" si="2"/>
        <v>#DIV/0!</v>
      </c>
      <c r="I44" s="108" t="str">
        <f t="shared" si="3"/>
        <v>#DIV/0!</v>
      </c>
      <c r="J44" s="104">
        <f t="shared" ref="J44:M44" si="34">SUM(J38:J43)</f>
        <v>985.31</v>
      </c>
      <c r="K44" s="109">
        <f t="shared" si="34"/>
        <v>87632</v>
      </c>
      <c r="L44" s="139">
        <f t="shared" si="34"/>
        <v>0</v>
      </c>
      <c r="M44" s="110">
        <f t="shared" si="34"/>
        <v>0</v>
      </c>
      <c r="N44" s="111" t="str">
        <f t="shared" si="35"/>
        <v>#DIV/0!</v>
      </c>
      <c r="O44" s="112">
        <f t="shared" si="5"/>
        <v>0</v>
      </c>
      <c r="P44" s="111" t="str">
        <f t="shared" si="6"/>
        <v>#DIV/0!</v>
      </c>
      <c r="Q44" s="113" t="str">
        <f t="shared" si="7"/>
        <v>#DIV/0!</v>
      </c>
      <c r="R44" s="114">
        <f>SUM(R38:R43)</f>
        <v>0</v>
      </c>
      <c r="S44" s="115" t="str">
        <f t="shared" si="9"/>
        <v>#DIV/0!</v>
      </c>
      <c r="T44" s="140" t="str">
        <f t="shared" ref="T44:U44" si="36">IFERROR((D44-#REF!)/D44,)</f>
        <v/>
      </c>
      <c r="U44" s="140" t="str">
        <f t="shared" si="36"/>
        <v/>
      </c>
      <c r="V44" s="140" t="str">
        <f t="shared" ref="V44:W44" si="37">IFERROR((D44-#REF!)/D44, )</f>
        <v/>
      </c>
      <c r="W44" s="140" t="str">
        <f t="shared" si="37"/>
        <v/>
      </c>
      <c r="X44" s="116"/>
      <c r="Y44" s="116"/>
      <c r="Z44" s="116"/>
    </row>
    <row r="45" hidden="1" outlineLevel="1">
      <c r="A45" s="116"/>
      <c r="B45" s="74">
        <v>46040.0</v>
      </c>
      <c r="C45" s="117" t="s">
        <v>31</v>
      </c>
      <c r="D45" s="118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20">
        <v>35.15</v>
      </c>
      <c r="K45" s="121">
        <v>1823.0</v>
      </c>
      <c r="L45" s="135"/>
      <c r="M45" s="123">
        <v>658.0</v>
      </c>
      <c r="N45" s="85">
        <f t="shared" si="35"/>
        <v>0.05341945289</v>
      </c>
      <c r="O45" s="86">
        <f t="shared" si="5"/>
        <v>18.7197724</v>
      </c>
      <c r="P45" s="85" t="str">
        <f t="shared" si="6"/>
        <v>#DIV/0!</v>
      </c>
      <c r="Q45" s="87" t="str">
        <f t="shared" si="7"/>
        <v>#DIV/0!</v>
      </c>
      <c r="R45" s="88">
        <f t="shared" ref="R45:R50" si="38">D45-M45</f>
        <v>-658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16"/>
      <c r="B46" s="126"/>
      <c r="C46" s="149" t="s">
        <v>48</v>
      </c>
      <c r="D46" s="127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41">
        <v>0.0</v>
      </c>
      <c r="K46" s="121">
        <v>23684.0</v>
      </c>
      <c r="L46" s="135"/>
      <c r="M46" s="142">
        <v>296.01</v>
      </c>
      <c r="N46" s="85">
        <f t="shared" si="35"/>
        <v>0</v>
      </c>
      <c r="O46" s="86" t="str">
        <f t="shared" si="5"/>
        <v>#DIV/0!</v>
      </c>
      <c r="P46" s="85" t="str">
        <f t="shared" si="6"/>
        <v>#DIV/0!</v>
      </c>
      <c r="Q46" s="87" t="str">
        <f t="shared" si="7"/>
        <v>#DIV/0!</v>
      </c>
      <c r="R46" s="95">
        <f t="shared" si="38"/>
        <v>-296.01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hidden="1" outlineLevel="1">
      <c r="A47" s="116"/>
      <c r="B47" s="126"/>
      <c r="C47" s="117" t="s">
        <v>32</v>
      </c>
      <c r="D47" s="127"/>
      <c r="E47" s="119"/>
      <c r="F47" s="119"/>
      <c r="G47" s="78" t="str">
        <f t="shared" si="1"/>
        <v>#DIV/0!</v>
      </c>
      <c r="H47" s="79" t="str">
        <f t="shared" si="2"/>
        <v>#DIV/0!</v>
      </c>
      <c r="I47" s="80" t="str">
        <f t="shared" si="3"/>
        <v>#DIV/0!</v>
      </c>
      <c r="J47" s="128">
        <v>35.57</v>
      </c>
      <c r="K47" s="121">
        <v>1697.0</v>
      </c>
      <c r="L47" s="135"/>
      <c r="M47" s="129">
        <v>395.0</v>
      </c>
      <c r="N47" s="85">
        <f t="shared" si="35"/>
        <v>0.09005063291</v>
      </c>
      <c r="O47" s="86">
        <f t="shared" si="5"/>
        <v>11.10486365</v>
      </c>
      <c r="P47" s="85" t="str">
        <f t="shared" si="6"/>
        <v>#DIV/0!</v>
      </c>
      <c r="Q47" s="87" t="str">
        <f t="shared" si="7"/>
        <v>#DIV/0!</v>
      </c>
      <c r="R47" s="95">
        <f t="shared" si="38"/>
        <v>-395</v>
      </c>
      <c r="S47" s="89" t="str">
        <f t="shared" si="9"/>
        <v>#DIV/0!</v>
      </c>
      <c r="T47" s="124"/>
      <c r="U47" s="124"/>
      <c r="V47" s="124"/>
      <c r="W47" s="124"/>
      <c r="X47" s="125"/>
      <c r="Y47" s="116"/>
      <c r="Z47" s="116"/>
    </row>
    <row r="48" hidden="1" outlineLevel="1">
      <c r="A48" s="116"/>
      <c r="B48" s="126"/>
      <c r="C48" s="149" t="s">
        <v>46</v>
      </c>
      <c r="D48" s="127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8">
        <v>317.31</v>
      </c>
      <c r="K48" s="121">
        <v>20351.0</v>
      </c>
      <c r="L48" s="135"/>
      <c r="M48" s="129">
        <v>878.18</v>
      </c>
      <c r="N48" s="85">
        <f t="shared" si="35"/>
        <v>0.361326835</v>
      </c>
      <c r="O48" s="86">
        <f t="shared" si="5"/>
        <v>2.767577448</v>
      </c>
      <c r="P48" s="85" t="str">
        <f t="shared" si="6"/>
        <v>#DIV/0!</v>
      </c>
      <c r="Q48" s="87" t="str">
        <f t="shared" si="7"/>
        <v>#DIV/0!</v>
      </c>
      <c r="R48" s="95">
        <f t="shared" si="38"/>
        <v>-878.18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74" t="s">
        <v>33</v>
      </c>
      <c r="C49" s="117" t="s">
        <v>34</v>
      </c>
      <c r="D49" s="130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31">
        <v>0.0</v>
      </c>
      <c r="K49" s="121">
        <v>0.0</v>
      </c>
      <c r="L49" s="135"/>
      <c r="M49" s="132">
        <v>0.0</v>
      </c>
      <c r="N49" s="85" t="str">
        <f>(J49/M49)</f>
        <v>#DIV/0!</v>
      </c>
      <c r="O49" s="86" t="str">
        <f t="shared" si="5"/>
        <v>#DIV/0!</v>
      </c>
      <c r="P49" s="85" t="str">
        <f t="shared" si="6"/>
        <v>#DIV/0!</v>
      </c>
      <c r="Q49" s="87" t="str">
        <f t="shared" si="7"/>
        <v>#DIV/0!</v>
      </c>
      <c r="R49" s="100">
        <f t="shared" si="38"/>
        <v>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01" t="str">
        <f t="shared" ref="A50:A51" si="39">iferror(if(B50&gt;0,month(B50)&amp;"-"&amp;year(B50),B50),)</f>
        <v>1-2026</v>
      </c>
      <c r="B50" s="74">
        <v>46046.0</v>
      </c>
      <c r="C50" s="117" t="s">
        <v>35</v>
      </c>
      <c r="D50" s="133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28">
        <v>28.97</v>
      </c>
      <c r="K50" s="121">
        <v>2157.0</v>
      </c>
      <c r="L50" s="135"/>
      <c r="M50" s="129">
        <v>0.0</v>
      </c>
      <c r="N50" s="85" t="str">
        <f t="shared" ref="N50:N55" si="42">J50/M50</f>
        <v>#DIV/0!</v>
      </c>
      <c r="O50" s="86">
        <f t="shared" si="5"/>
        <v>0</v>
      </c>
      <c r="P50" s="85" t="str">
        <f t="shared" si="6"/>
        <v>#DIV/0!</v>
      </c>
      <c r="Q50" s="87" t="str">
        <f t="shared" si="7"/>
        <v>#DIV/0!</v>
      </c>
      <c r="R50" s="88">
        <f t="shared" si="3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collapsed="1">
      <c r="A51" s="116" t="str">
        <f t="shared" si="39"/>
        <v/>
      </c>
      <c r="B51" s="137" t="s">
        <v>58</v>
      </c>
      <c r="C51" s="138"/>
      <c r="D51" s="104">
        <f t="shared" ref="D51:F51" si="40">SUM(D45:D50)</f>
        <v>0</v>
      </c>
      <c r="E51" s="105">
        <f t="shared" si="40"/>
        <v>0</v>
      </c>
      <c r="F51" s="105">
        <f t="shared" si="40"/>
        <v>0</v>
      </c>
      <c r="G51" s="106" t="str">
        <f t="shared" si="1"/>
        <v>#DIV/0!</v>
      </c>
      <c r="H51" s="107" t="str">
        <f t="shared" si="2"/>
        <v>#DIV/0!</v>
      </c>
      <c r="I51" s="108" t="str">
        <f t="shared" si="3"/>
        <v>#DIV/0!</v>
      </c>
      <c r="J51" s="104">
        <f t="shared" ref="J51:M51" si="41">SUM(J45:J50)</f>
        <v>417</v>
      </c>
      <c r="K51" s="109">
        <f t="shared" si="41"/>
        <v>49712</v>
      </c>
      <c r="L51" s="139">
        <f t="shared" si="41"/>
        <v>0</v>
      </c>
      <c r="M51" s="110">
        <f t="shared" si="41"/>
        <v>2227.19</v>
      </c>
      <c r="N51" s="111">
        <f t="shared" si="42"/>
        <v>0.1872314441</v>
      </c>
      <c r="O51" s="112">
        <f t="shared" si="5"/>
        <v>5.340983213</v>
      </c>
      <c r="P51" s="111" t="str">
        <f t="shared" si="6"/>
        <v>#DIV/0!</v>
      </c>
      <c r="Q51" s="113" t="str">
        <f t="shared" si="7"/>
        <v>#DIV/0!</v>
      </c>
      <c r="R51" s="114">
        <f>SUM(R45:R50)</f>
        <v>-2227.19</v>
      </c>
      <c r="S51" s="115" t="str">
        <f t="shared" si="9"/>
        <v>#DIV/0!</v>
      </c>
      <c r="T51" s="140" t="str">
        <f t="shared" ref="T51:U51" si="43">IFERROR((D51-#REF!)/D51,)</f>
        <v/>
      </c>
      <c r="U51" s="140" t="str">
        <f t="shared" si="43"/>
        <v/>
      </c>
      <c r="V51" s="140" t="str">
        <f t="shared" ref="V51:W51" si="44">IFERROR((D51-#REF!)/D51, )</f>
        <v/>
      </c>
      <c r="W51" s="140" t="str">
        <f t="shared" si="44"/>
        <v/>
      </c>
      <c r="X51" s="116"/>
      <c r="Y51" s="116"/>
      <c r="Z51" s="116"/>
    </row>
    <row r="52" hidden="1" outlineLevel="1">
      <c r="A52" s="116"/>
      <c r="B52" s="74">
        <v>46047.0</v>
      </c>
      <c r="C52" s="117" t="s">
        <v>31</v>
      </c>
      <c r="D52" s="118"/>
      <c r="E52" s="119"/>
      <c r="F52" s="119"/>
      <c r="G52" s="78" t="str">
        <f t="shared" si="1"/>
        <v>#DIV/0!</v>
      </c>
      <c r="H52" s="79" t="str">
        <f t="shared" si="2"/>
        <v>#DIV/0!</v>
      </c>
      <c r="I52" s="80" t="str">
        <f t="shared" si="3"/>
        <v>#DIV/0!</v>
      </c>
      <c r="J52" s="120">
        <v>0.0</v>
      </c>
      <c r="K52" s="121">
        <v>0.0</v>
      </c>
      <c r="L52" s="135"/>
      <c r="M52" s="123">
        <v>0.0</v>
      </c>
      <c r="N52" s="85" t="str">
        <f t="shared" si="42"/>
        <v>#DIV/0!</v>
      </c>
      <c r="O52" s="86" t="str">
        <f t="shared" si="5"/>
        <v>#DIV/0!</v>
      </c>
      <c r="P52" s="85" t="str">
        <f t="shared" si="6"/>
        <v>#DIV/0!</v>
      </c>
      <c r="Q52" s="87" t="str">
        <f t="shared" si="7"/>
        <v>#DIV/0!</v>
      </c>
      <c r="R52" s="88">
        <f t="shared" ref="R52:R57" si="45">D52-M52</f>
        <v>0</v>
      </c>
      <c r="S52" s="89" t="str">
        <f t="shared" si="9"/>
        <v>#DIV/0!</v>
      </c>
      <c r="T52" s="124"/>
      <c r="U52" s="124"/>
      <c r="V52" s="124"/>
      <c r="W52" s="124"/>
      <c r="X52" s="125"/>
      <c r="Y52" s="116"/>
      <c r="Z52" s="116"/>
    </row>
    <row r="53" hidden="1" outlineLevel="1">
      <c r="A53" s="116"/>
      <c r="B53" s="126"/>
      <c r="C53" s="149" t="s">
        <v>48</v>
      </c>
      <c r="D53" s="127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41">
        <v>164.1</v>
      </c>
      <c r="K53" s="121">
        <v>17840.0</v>
      </c>
      <c r="L53" s="135"/>
      <c r="M53" s="142">
        <v>0.0</v>
      </c>
      <c r="N53" s="85" t="str">
        <f t="shared" si="42"/>
        <v>#DIV/0!</v>
      </c>
      <c r="O53" s="86">
        <f t="shared" si="5"/>
        <v>0</v>
      </c>
      <c r="P53" s="85" t="str">
        <f t="shared" si="6"/>
        <v>#DIV/0!</v>
      </c>
      <c r="Q53" s="87" t="str">
        <f t="shared" si="7"/>
        <v>#DIV/0!</v>
      </c>
      <c r="R53" s="95">
        <f t="shared" si="45"/>
        <v>0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0.0</v>
      </c>
      <c r="K54" s="121">
        <v>0.0</v>
      </c>
      <c r="L54" s="135"/>
      <c r="M54" s="129">
        <v>0.0</v>
      </c>
      <c r="N54" s="85" t="str">
        <f t="shared" si="42"/>
        <v>#DIV/0!</v>
      </c>
      <c r="O54" s="86" t="str">
        <f t="shared" si="5"/>
        <v>#DIV/0!</v>
      </c>
      <c r="P54" s="85" t="str">
        <f t="shared" si="6"/>
        <v>#DIV/0!</v>
      </c>
      <c r="Q54" s="87" t="str">
        <f t="shared" si="7"/>
        <v>#DIV/0!</v>
      </c>
      <c r="R54" s="95">
        <f t="shared" si="4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126"/>
      <c r="C55" s="149" t="s">
        <v>46</v>
      </c>
      <c r="D55" s="127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28">
        <v>241.85</v>
      </c>
      <c r="K55" s="121">
        <v>17267.0</v>
      </c>
      <c r="L55" s="135"/>
      <c r="M55" s="129">
        <v>0.0</v>
      </c>
      <c r="N55" s="85" t="str">
        <f t="shared" si="42"/>
        <v>#DIV/0!</v>
      </c>
      <c r="O55" s="86">
        <f t="shared" si="5"/>
        <v>0</v>
      </c>
      <c r="P55" s="85" t="str">
        <f t="shared" si="6"/>
        <v>#DIV/0!</v>
      </c>
      <c r="Q55" s="87" t="str">
        <f t="shared" si="7"/>
        <v>#DIV/0!</v>
      </c>
      <c r="R55" s="95">
        <f t="shared" si="4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16"/>
      <c r="B56" s="74" t="s">
        <v>33</v>
      </c>
      <c r="C56" s="117" t="s">
        <v>34</v>
      </c>
      <c r="D56" s="130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31">
        <v>0.0</v>
      </c>
      <c r="K56" s="121">
        <v>0.0</v>
      </c>
      <c r="L56" s="135"/>
      <c r="M56" s="132">
        <v>0.0</v>
      </c>
      <c r="N56" s="85" t="str">
        <f>(J56/M56)</f>
        <v>#DIV/0!</v>
      </c>
      <c r="O56" s="86" t="str">
        <f t="shared" si="5"/>
        <v>#DIV/0!</v>
      </c>
      <c r="P56" s="85" t="str">
        <f t="shared" si="6"/>
        <v>#DIV/0!</v>
      </c>
      <c r="Q56" s="87" t="str">
        <f t="shared" si="7"/>
        <v>#DIV/0!</v>
      </c>
      <c r="R56" s="100">
        <f t="shared" si="4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hidden="1" outlineLevel="1">
      <c r="A57" s="101" t="str">
        <f t="shared" ref="A57:A58" si="46">iferror(if(B57&gt;0,month(B57)&amp;"-"&amp;year(B57),B57),)</f>
        <v>1-2026</v>
      </c>
      <c r="B57" s="74">
        <v>46053.0</v>
      </c>
      <c r="C57" s="117" t="s">
        <v>35</v>
      </c>
      <c r="D57" s="133"/>
      <c r="E57" s="119"/>
      <c r="F57" s="119"/>
      <c r="G57" s="78" t="str">
        <f t="shared" si="1"/>
        <v>#DIV/0!</v>
      </c>
      <c r="H57" s="79" t="str">
        <f t="shared" si="2"/>
        <v>#DIV/0!</v>
      </c>
      <c r="I57" s="80" t="str">
        <f t="shared" si="3"/>
        <v>#DIV/0!</v>
      </c>
      <c r="J57" s="128">
        <v>0.0</v>
      </c>
      <c r="K57" s="121">
        <v>0.0</v>
      </c>
      <c r="L57" s="135"/>
      <c r="M57" s="129">
        <v>0.0</v>
      </c>
      <c r="N57" s="85" t="str">
        <f t="shared" ref="N57:N62" si="49">J57/M57</f>
        <v>#DIV/0!</v>
      </c>
      <c r="O57" s="86" t="str">
        <f t="shared" si="5"/>
        <v>#DIV/0!</v>
      </c>
      <c r="P57" s="85" t="str">
        <f t="shared" si="6"/>
        <v>#DIV/0!</v>
      </c>
      <c r="Q57" s="87" t="str">
        <f t="shared" si="7"/>
        <v>#DIV/0!</v>
      </c>
      <c r="R57" s="88">
        <f t="shared" si="45"/>
        <v>0</v>
      </c>
      <c r="S57" s="89" t="str">
        <f t="shared" si="9"/>
        <v>#DIV/0!</v>
      </c>
      <c r="T57" s="124"/>
      <c r="U57" s="124"/>
      <c r="V57" s="124"/>
      <c r="W57" s="124"/>
      <c r="X57" s="125"/>
      <c r="Y57" s="116"/>
      <c r="Z57" s="116"/>
    </row>
    <row r="58" collapsed="1">
      <c r="A58" s="116" t="str">
        <f t="shared" si="46"/>
        <v/>
      </c>
      <c r="B58" s="137" t="s">
        <v>59</v>
      </c>
      <c r="C58" s="138"/>
      <c r="D58" s="104">
        <f t="shared" ref="D58:F58" si="47">SUM(D52:D57)</f>
        <v>0</v>
      </c>
      <c r="E58" s="105">
        <f t="shared" si="47"/>
        <v>0</v>
      </c>
      <c r="F58" s="105">
        <f t="shared" si="47"/>
        <v>0</v>
      </c>
      <c r="G58" s="106" t="str">
        <f t="shared" si="1"/>
        <v>#DIV/0!</v>
      </c>
      <c r="H58" s="107" t="str">
        <f t="shared" si="2"/>
        <v>#DIV/0!</v>
      </c>
      <c r="I58" s="108" t="str">
        <f t="shared" si="3"/>
        <v>#DIV/0!</v>
      </c>
      <c r="J58" s="104">
        <f t="shared" ref="J58:M58" si="48">SUM(J52:J57)</f>
        <v>405.95</v>
      </c>
      <c r="K58" s="109">
        <f t="shared" si="48"/>
        <v>35107</v>
      </c>
      <c r="L58" s="139">
        <f t="shared" si="48"/>
        <v>0</v>
      </c>
      <c r="M58" s="110">
        <f t="shared" si="48"/>
        <v>0</v>
      </c>
      <c r="N58" s="111" t="str">
        <f t="shared" si="49"/>
        <v>#DIV/0!</v>
      </c>
      <c r="O58" s="112">
        <f t="shared" si="5"/>
        <v>0</v>
      </c>
      <c r="P58" s="111" t="str">
        <f t="shared" si="6"/>
        <v>#DIV/0!</v>
      </c>
      <c r="Q58" s="113" t="str">
        <f t="shared" si="7"/>
        <v>#DIV/0!</v>
      </c>
      <c r="R58" s="114">
        <f>SUM(R52:R57)</f>
        <v>0</v>
      </c>
      <c r="S58" s="115" t="str">
        <f t="shared" si="9"/>
        <v>#DIV/0!</v>
      </c>
      <c r="T58" s="140" t="str">
        <f t="shared" ref="T58:U58" si="50">IFERROR((D58-#REF!)/D58,)</f>
        <v/>
      </c>
      <c r="U58" s="140" t="str">
        <f t="shared" si="50"/>
        <v/>
      </c>
      <c r="V58" s="140" t="str">
        <f t="shared" ref="V58:W58" si="51">IFERROR((D58-#REF!)/D58, )</f>
        <v/>
      </c>
      <c r="W58" s="140" t="str">
        <f t="shared" si="51"/>
        <v/>
      </c>
      <c r="X58" s="116"/>
      <c r="Y58" s="116"/>
      <c r="Z58" s="116"/>
    </row>
    <row r="59" hidden="1" outlineLevel="1">
      <c r="A59" s="116"/>
      <c r="B59" s="74">
        <v>46054.0</v>
      </c>
      <c r="C59" s="117" t="s">
        <v>31</v>
      </c>
      <c r="D59" s="118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0">
        <v>0.0</v>
      </c>
      <c r="K59" s="121">
        <v>0.0</v>
      </c>
      <c r="L59" s="135"/>
      <c r="M59" s="123">
        <v>0.0</v>
      </c>
      <c r="N59" s="85" t="str">
        <f t="shared" si="49"/>
        <v>#DIV/0!</v>
      </c>
      <c r="O59" s="86" t="str">
        <f t="shared" si="5"/>
        <v>#DIV/0!</v>
      </c>
      <c r="P59" s="85" t="str">
        <f t="shared" si="6"/>
        <v>#DIV/0!</v>
      </c>
      <c r="Q59" s="87" t="str">
        <f t="shared" si="7"/>
        <v>#DIV/0!</v>
      </c>
      <c r="R59" s="88">
        <f t="shared" ref="R59:R64" si="52">D59-M59</f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126"/>
      <c r="C60" s="149" t="s">
        <v>48</v>
      </c>
      <c r="D60" s="127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41">
        <v>0.0</v>
      </c>
      <c r="K60" s="121">
        <v>0.0</v>
      </c>
      <c r="L60" s="135"/>
      <c r="M60" s="142">
        <v>0.0</v>
      </c>
      <c r="N60" s="85" t="str">
        <f t="shared" si="49"/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95">
        <f t="shared" si="5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16"/>
      <c r="B61" s="126"/>
      <c r="C61" s="117" t="s">
        <v>32</v>
      </c>
      <c r="D61" s="127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0.0</v>
      </c>
      <c r="K61" s="121">
        <v>0.0</v>
      </c>
      <c r="L61" s="135"/>
      <c r="M61" s="129">
        <v>0.0</v>
      </c>
      <c r="N61" s="85" t="str">
        <f t="shared" si="49"/>
        <v>#DIV/0!</v>
      </c>
      <c r="O61" s="86" t="str">
        <f t="shared" si="5"/>
        <v>#DIV/0!</v>
      </c>
      <c r="P61" s="85" t="str">
        <f t="shared" si="6"/>
        <v>#DIV/0!</v>
      </c>
      <c r="Q61" s="87" t="str">
        <f t="shared" si="7"/>
        <v>#DIV/0!</v>
      </c>
      <c r="R61" s="95">
        <f t="shared" si="52"/>
        <v>0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hidden="1" outlineLevel="1">
      <c r="A62" s="116"/>
      <c r="B62" s="126"/>
      <c r="C62" s="149" t="s">
        <v>46</v>
      </c>
      <c r="D62" s="127"/>
      <c r="E62" s="119"/>
      <c r="F62" s="119"/>
      <c r="G62" s="78" t="str">
        <f t="shared" si="1"/>
        <v>#DIV/0!</v>
      </c>
      <c r="H62" s="79" t="str">
        <f t="shared" si="2"/>
        <v>#DIV/0!</v>
      </c>
      <c r="I62" s="80" t="str">
        <f t="shared" si="3"/>
        <v>#DIV/0!</v>
      </c>
      <c r="J62" s="128">
        <v>109.2</v>
      </c>
      <c r="K62" s="121">
        <v>813.0</v>
      </c>
      <c r="L62" s="135"/>
      <c r="M62" s="129">
        <v>0.0</v>
      </c>
      <c r="N62" s="85" t="str">
        <f t="shared" si="49"/>
        <v>#DIV/0!</v>
      </c>
      <c r="O62" s="86">
        <f t="shared" si="5"/>
        <v>0</v>
      </c>
      <c r="P62" s="85" t="str">
        <f t="shared" si="6"/>
        <v>#DIV/0!</v>
      </c>
      <c r="Q62" s="87" t="str">
        <f t="shared" si="7"/>
        <v>#DIV/0!</v>
      </c>
      <c r="R62" s="95">
        <f t="shared" si="52"/>
        <v>0</v>
      </c>
      <c r="S62" s="89" t="str">
        <f t="shared" si="9"/>
        <v>#DIV/0!</v>
      </c>
      <c r="T62" s="124"/>
      <c r="U62" s="124"/>
      <c r="V62" s="124"/>
      <c r="W62" s="124"/>
      <c r="X62" s="125"/>
      <c r="Y62" s="116"/>
      <c r="Z62" s="116"/>
    </row>
    <row r="63" hidden="1" outlineLevel="1">
      <c r="A63" s="116"/>
      <c r="B63" s="74" t="s">
        <v>33</v>
      </c>
      <c r="C63" s="117" t="s">
        <v>34</v>
      </c>
      <c r="D63" s="130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31">
        <v>0.0</v>
      </c>
      <c r="K63" s="121">
        <v>0.0</v>
      </c>
      <c r="L63" s="135"/>
      <c r="M63" s="132">
        <v>0.0</v>
      </c>
      <c r="N63" s="85" t="str">
        <f>(J63/M63)</f>
        <v>#DIV/0!</v>
      </c>
      <c r="O63" s="86" t="str">
        <f t="shared" si="5"/>
        <v>#DIV/0!</v>
      </c>
      <c r="P63" s="85" t="str">
        <f t="shared" si="6"/>
        <v>#DIV/0!</v>
      </c>
      <c r="Q63" s="87" t="str">
        <f t="shared" si="7"/>
        <v>#DIV/0!</v>
      </c>
      <c r="R63" s="100">
        <f t="shared" si="52"/>
        <v>0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01" t="str">
        <f t="shared" ref="A64:A65" si="53">iferror(if(B64&gt;0,month(B64)&amp;"-"&amp;year(B64),B64),)</f>
        <v>2-2026</v>
      </c>
      <c r="B64" s="74">
        <v>46060.0</v>
      </c>
      <c r="C64" s="117" t="s">
        <v>35</v>
      </c>
      <c r="D64" s="133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0.0</v>
      </c>
      <c r="K64" s="121">
        <v>0.0</v>
      </c>
      <c r="L64" s="135"/>
      <c r="M64" s="129">
        <v>0.0</v>
      </c>
      <c r="N64" s="85" t="str">
        <f t="shared" ref="N64:N69" si="56">J64/M64</f>
        <v>#DIV/0!</v>
      </c>
      <c r="O64" s="86" t="str">
        <f t="shared" si="5"/>
        <v>#DIV/0!</v>
      </c>
      <c r="P64" s="85" t="str">
        <f t="shared" si="6"/>
        <v>#DIV/0!</v>
      </c>
      <c r="Q64" s="87" t="str">
        <f t="shared" si="7"/>
        <v>#DIV/0!</v>
      </c>
      <c r="R64" s="88">
        <f t="shared" si="52"/>
        <v>0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collapsed="1">
      <c r="A65" s="116" t="str">
        <f t="shared" si="53"/>
        <v/>
      </c>
      <c r="B65" s="137" t="s">
        <v>60</v>
      </c>
      <c r="C65" s="138"/>
      <c r="D65" s="104">
        <f t="shared" ref="D65:F65" si="54">SUM(D59:D64)</f>
        <v>0</v>
      </c>
      <c r="E65" s="105">
        <f t="shared" si="54"/>
        <v>0</v>
      </c>
      <c r="F65" s="105">
        <f t="shared" si="54"/>
        <v>0</v>
      </c>
      <c r="G65" s="106" t="str">
        <f t="shared" si="1"/>
        <v>#DIV/0!</v>
      </c>
      <c r="H65" s="107" t="str">
        <f t="shared" si="2"/>
        <v>#DIV/0!</v>
      </c>
      <c r="I65" s="108" t="str">
        <f t="shared" si="3"/>
        <v>#DIV/0!</v>
      </c>
      <c r="J65" s="104">
        <f t="shared" ref="J65:M65" si="55">SUM(J59:J64)</f>
        <v>109.2</v>
      </c>
      <c r="K65" s="109">
        <f t="shared" si="55"/>
        <v>813</v>
      </c>
      <c r="L65" s="139">
        <f t="shared" si="55"/>
        <v>0</v>
      </c>
      <c r="M65" s="110">
        <f t="shared" si="55"/>
        <v>0</v>
      </c>
      <c r="N65" s="111" t="str">
        <f t="shared" si="56"/>
        <v>#DIV/0!</v>
      </c>
      <c r="O65" s="112">
        <f t="shared" si="5"/>
        <v>0</v>
      </c>
      <c r="P65" s="111" t="str">
        <f t="shared" si="6"/>
        <v>#DIV/0!</v>
      </c>
      <c r="Q65" s="113" t="str">
        <f t="shared" si="7"/>
        <v>#DIV/0!</v>
      </c>
      <c r="R65" s="114">
        <f>SUM(R59:R64)</f>
        <v>0</v>
      </c>
      <c r="S65" s="115" t="str">
        <f t="shared" si="9"/>
        <v>#DIV/0!</v>
      </c>
      <c r="T65" s="140" t="str">
        <f t="shared" ref="T65:U65" si="57">IFERROR((D65-#REF!)/D65,)</f>
        <v/>
      </c>
      <c r="U65" s="140" t="str">
        <f t="shared" si="57"/>
        <v/>
      </c>
      <c r="V65" s="140" t="str">
        <f t="shared" ref="V65:W65" si="58">IFERROR((D65-#REF!)/D65, )</f>
        <v/>
      </c>
      <c r="W65" s="140" t="str">
        <f t="shared" si="58"/>
        <v/>
      </c>
      <c r="X65" s="116"/>
      <c r="Y65" s="116"/>
      <c r="Z65" s="116"/>
    </row>
    <row r="66" hidden="1" outlineLevel="1">
      <c r="A66" s="116"/>
      <c r="B66" s="74">
        <v>46061.0</v>
      </c>
      <c r="C66" s="117" t="s">
        <v>31</v>
      </c>
      <c r="D66" s="118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20">
        <v>0.0</v>
      </c>
      <c r="K66" s="121">
        <v>0.0</v>
      </c>
      <c r="L66" s="135"/>
      <c r="M66" s="123">
        <v>0.0</v>
      </c>
      <c r="N66" s="85" t="str">
        <f t="shared" si="56"/>
        <v>#DIV/0!</v>
      </c>
      <c r="O66" s="86" t="str">
        <f t="shared" si="5"/>
        <v>#DIV/0!</v>
      </c>
      <c r="P66" s="85" t="str">
        <f t="shared" si="6"/>
        <v>#DIV/0!</v>
      </c>
      <c r="Q66" s="87" t="str">
        <f t="shared" si="7"/>
        <v>#DIV/0!</v>
      </c>
      <c r="R66" s="88">
        <f t="shared" ref="R66:R71" si="59">D66-M66</f>
        <v>0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hidden="1" outlineLevel="1">
      <c r="A67" s="116"/>
      <c r="B67" s="126"/>
      <c r="C67" s="149" t="s">
        <v>48</v>
      </c>
      <c r="D67" s="127"/>
      <c r="E67" s="119"/>
      <c r="F67" s="119"/>
      <c r="G67" s="78" t="str">
        <f t="shared" si="1"/>
        <v>#DIV/0!</v>
      </c>
      <c r="H67" s="79" t="str">
        <f t="shared" si="2"/>
        <v>#DIV/0!</v>
      </c>
      <c r="I67" s="80" t="str">
        <f t="shared" si="3"/>
        <v>#DIV/0!</v>
      </c>
      <c r="J67" s="141">
        <v>313.92</v>
      </c>
      <c r="K67" s="121">
        <v>10464.0</v>
      </c>
      <c r="L67" s="135"/>
      <c r="M67" s="142">
        <v>0.0</v>
      </c>
      <c r="N67" s="85" t="str">
        <f t="shared" si="56"/>
        <v>#DIV/0!</v>
      </c>
      <c r="O67" s="86">
        <f t="shared" si="5"/>
        <v>0</v>
      </c>
      <c r="P67" s="85" t="str">
        <f t="shared" si="6"/>
        <v>#DIV/0!</v>
      </c>
      <c r="Q67" s="87" t="str">
        <f t="shared" si="7"/>
        <v>#DIV/0!</v>
      </c>
      <c r="R67" s="95">
        <f t="shared" si="59"/>
        <v>0</v>
      </c>
      <c r="S67" s="89" t="str">
        <f t="shared" si="9"/>
        <v>#DIV/0!</v>
      </c>
      <c r="T67" s="124"/>
      <c r="U67" s="124"/>
      <c r="V67" s="124"/>
      <c r="W67" s="124"/>
      <c r="X67" s="125"/>
      <c r="Y67" s="116"/>
      <c r="Z67" s="116"/>
    </row>
    <row r="68" hidden="1" outlineLevel="1">
      <c r="A68" s="116"/>
      <c r="B68" s="126"/>
      <c r="C68" s="117" t="s">
        <v>32</v>
      </c>
      <c r="D68" s="127"/>
      <c r="E68" s="119"/>
      <c r="F68" s="119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128">
        <v>0.0</v>
      </c>
      <c r="K68" s="121">
        <v>0.0</v>
      </c>
      <c r="L68" s="135"/>
      <c r="M68" s="129">
        <v>0.0</v>
      </c>
      <c r="N68" s="85" t="str">
        <f t="shared" si="56"/>
        <v>#DIV/0!</v>
      </c>
      <c r="O68" s="86" t="str">
        <f t="shared" si="5"/>
        <v>#DIV/0!</v>
      </c>
      <c r="P68" s="85" t="str">
        <f t="shared" si="6"/>
        <v>#DIV/0!</v>
      </c>
      <c r="Q68" s="87" t="str">
        <f t="shared" si="7"/>
        <v>#DIV/0!</v>
      </c>
      <c r="R68" s="95">
        <f t="shared" si="59"/>
        <v>0</v>
      </c>
      <c r="S68" s="89" t="str">
        <f t="shared" si="9"/>
        <v>#DIV/0!</v>
      </c>
      <c r="T68" s="124"/>
      <c r="U68" s="124"/>
      <c r="V68" s="124"/>
      <c r="W68" s="124"/>
      <c r="X68" s="125"/>
      <c r="Y68" s="116"/>
      <c r="Z68" s="116"/>
    </row>
    <row r="69" hidden="1" outlineLevel="1">
      <c r="A69" s="116"/>
      <c r="B69" s="126"/>
      <c r="C69" s="149" t="s">
        <v>46</v>
      </c>
      <c r="D69" s="127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8">
        <v>231.27</v>
      </c>
      <c r="K69" s="121">
        <v>12927.0</v>
      </c>
      <c r="L69" s="135"/>
      <c r="M69" s="129">
        <v>1001.28</v>
      </c>
      <c r="N69" s="85">
        <f t="shared" si="56"/>
        <v>0.2309743528</v>
      </c>
      <c r="O69" s="86">
        <f t="shared" si="5"/>
        <v>4.329485018</v>
      </c>
      <c r="P69" s="85" t="str">
        <f t="shared" si="6"/>
        <v>#DIV/0!</v>
      </c>
      <c r="Q69" s="87" t="str">
        <f t="shared" si="7"/>
        <v>#DIV/0!</v>
      </c>
      <c r="R69" s="95">
        <f t="shared" si="59"/>
        <v>-1001.28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74" t="s">
        <v>33</v>
      </c>
      <c r="C70" s="117" t="s">
        <v>34</v>
      </c>
      <c r="D70" s="130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31">
        <v>0.0</v>
      </c>
      <c r="K70" s="121">
        <v>0.0</v>
      </c>
      <c r="L70" s="135"/>
      <c r="M70" s="132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59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01" t="str">
        <f t="shared" ref="A71:A72" si="60">iferror(if(B71&gt;0,month(B71)&amp;"-"&amp;year(B71),B71),)</f>
        <v>2-2026</v>
      </c>
      <c r="B71" s="74">
        <v>46067.0</v>
      </c>
      <c r="C71" s="117" t="s">
        <v>35</v>
      </c>
      <c r="D71" s="133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0.0</v>
      </c>
      <c r="K71" s="121">
        <v>0.0</v>
      </c>
      <c r="L71" s="135"/>
      <c r="M71" s="129">
        <v>0.0</v>
      </c>
      <c r="N71" s="85" t="str">
        <f t="shared" ref="N71:N76" si="63">J71/M71</f>
        <v>#DIV/0!</v>
      </c>
      <c r="O71" s="86" t="str">
        <f t="shared" si="5"/>
        <v>#DIV/0!</v>
      </c>
      <c r="P71" s="85" t="str">
        <f t="shared" si="6"/>
        <v>#DIV/0!</v>
      </c>
      <c r="Q71" s="87" t="str">
        <f t="shared" si="7"/>
        <v>#DIV/0!</v>
      </c>
      <c r="R71" s="88">
        <f t="shared" si="59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 collapsed="1">
      <c r="A72" s="116" t="str">
        <f t="shared" si="60"/>
        <v/>
      </c>
      <c r="B72" s="137" t="s">
        <v>61</v>
      </c>
      <c r="C72" s="138"/>
      <c r="D72" s="104">
        <f t="shared" ref="D72:F72" si="61">SUM(D66:D71)</f>
        <v>0</v>
      </c>
      <c r="E72" s="105">
        <f t="shared" si="61"/>
        <v>0</v>
      </c>
      <c r="F72" s="105">
        <f t="shared" si="61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62">SUM(J66:J71)</f>
        <v>545.19</v>
      </c>
      <c r="K72" s="109">
        <f t="shared" si="62"/>
        <v>23391</v>
      </c>
      <c r="L72" s="139">
        <f t="shared" si="62"/>
        <v>0</v>
      </c>
      <c r="M72" s="110">
        <f t="shared" si="62"/>
        <v>1001.28</v>
      </c>
      <c r="N72" s="111">
        <f t="shared" si="63"/>
        <v>0.5444930489</v>
      </c>
      <c r="O72" s="112">
        <f t="shared" si="5"/>
        <v>1.836570737</v>
      </c>
      <c r="P72" s="111" t="str">
        <f t="shared" si="6"/>
        <v>#DIV/0!</v>
      </c>
      <c r="Q72" s="113" t="str">
        <f t="shared" si="7"/>
        <v>#DIV/0!</v>
      </c>
      <c r="R72" s="114">
        <f>SUM(R66:R71)</f>
        <v>-1001.28</v>
      </c>
      <c r="S72" s="115" t="str">
        <f t="shared" si="9"/>
        <v>#DIV/0!</v>
      </c>
      <c r="T72" s="140" t="str">
        <f t="shared" ref="T72:U72" si="64">IFERROR((D72-#REF!)/D72,)</f>
        <v/>
      </c>
      <c r="U72" s="140" t="str">
        <f t="shared" si="64"/>
        <v/>
      </c>
      <c r="V72" s="140" t="str">
        <f t="shared" ref="V72:W72" si="65">IFERROR((D72-#REF!)/D72, )</f>
        <v/>
      </c>
      <c r="W72" s="140" t="str">
        <f t="shared" si="65"/>
        <v/>
      </c>
      <c r="X72" s="116"/>
      <c r="Y72" s="116"/>
      <c r="Z72" s="116"/>
    </row>
    <row r="73">
      <c r="A73" s="13"/>
      <c r="B73" s="143">
        <v>46068.0</v>
      </c>
      <c r="C73" s="75" t="s">
        <v>31</v>
      </c>
      <c r="D73" s="76"/>
      <c r="E73" s="77"/>
      <c r="F73" s="77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81">
        <v>0.0</v>
      </c>
      <c r="K73" s="82">
        <v>0.0</v>
      </c>
      <c r="L73" s="83"/>
      <c r="M73" s="84">
        <v>0.0</v>
      </c>
      <c r="N73" s="85" t="str">
        <f t="shared" si="63"/>
        <v>#DIV/0!</v>
      </c>
      <c r="O73" s="86" t="str">
        <f t="shared" si="5"/>
        <v>#DIV/0!</v>
      </c>
      <c r="P73" s="85" t="str">
        <f t="shared" si="6"/>
        <v>#DIV/0!</v>
      </c>
      <c r="Q73" s="87" t="str">
        <f t="shared" si="7"/>
        <v>#DIV/0!</v>
      </c>
      <c r="R73" s="88">
        <f t="shared" ref="R73:R78" si="66">D73-M73</f>
        <v>0</v>
      </c>
      <c r="S73" s="89" t="str">
        <f t="shared" si="9"/>
        <v>#DIV/0!</v>
      </c>
      <c r="T73" s="90"/>
      <c r="U73" s="90"/>
      <c r="V73" s="90"/>
      <c r="W73" s="90"/>
      <c r="X73" s="3"/>
      <c r="Y73" s="13"/>
      <c r="Z73" s="13"/>
    </row>
    <row r="74">
      <c r="A74" s="13"/>
      <c r="B74" s="91"/>
      <c r="C74" s="144" t="s">
        <v>48</v>
      </c>
      <c r="D74" s="92"/>
      <c r="E74" s="77"/>
      <c r="F74" s="77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45">
        <v>478.92</v>
      </c>
      <c r="K74" s="82">
        <v>15964.0</v>
      </c>
      <c r="L74" s="150"/>
      <c r="M74" s="147">
        <v>569.0</v>
      </c>
      <c r="N74" s="85">
        <f t="shared" si="63"/>
        <v>0.8416871705</v>
      </c>
      <c r="O74" s="86">
        <f t="shared" si="5"/>
        <v>1.188089869</v>
      </c>
      <c r="P74" s="85" t="str">
        <f t="shared" si="6"/>
        <v>#DIV/0!</v>
      </c>
      <c r="Q74" s="87" t="str">
        <f t="shared" si="7"/>
        <v>#DIV/0!</v>
      </c>
      <c r="R74" s="95">
        <f t="shared" si="66"/>
        <v>-569</v>
      </c>
      <c r="S74" s="89" t="str">
        <f t="shared" si="9"/>
        <v>#DIV/0!</v>
      </c>
      <c r="T74" s="90"/>
      <c r="U74" s="90"/>
      <c r="V74" s="90"/>
      <c r="W74" s="90"/>
      <c r="X74" s="3"/>
      <c r="Y74" s="13"/>
      <c r="Z74" s="13"/>
    </row>
    <row r="75">
      <c r="A75" s="13"/>
      <c r="B75" s="91"/>
      <c r="C75" s="75" t="s">
        <v>32</v>
      </c>
      <c r="D75" s="92"/>
      <c r="E75" s="77"/>
      <c r="F75" s="77"/>
      <c r="G75" s="78" t="str">
        <f t="shared" si="1"/>
        <v>#DIV/0!</v>
      </c>
      <c r="H75" s="79" t="str">
        <f t="shared" si="2"/>
        <v>#DIV/0!</v>
      </c>
      <c r="I75" s="80" t="str">
        <f t="shared" si="3"/>
        <v>#DIV/0!</v>
      </c>
      <c r="J75" s="93">
        <v>0.0</v>
      </c>
      <c r="K75" s="82">
        <v>0.0</v>
      </c>
      <c r="L75" s="83"/>
      <c r="M75" s="94">
        <v>0.0</v>
      </c>
      <c r="N75" s="85" t="str">
        <f t="shared" si="63"/>
        <v>#DIV/0!</v>
      </c>
      <c r="O75" s="86" t="str">
        <f t="shared" si="5"/>
        <v>#DIV/0!</v>
      </c>
      <c r="P75" s="85" t="str">
        <f t="shared" si="6"/>
        <v>#DIV/0!</v>
      </c>
      <c r="Q75" s="87" t="str">
        <f t="shared" si="7"/>
        <v>#DIV/0!</v>
      </c>
      <c r="R75" s="95">
        <f t="shared" si="66"/>
        <v>0</v>
      </c>
      <c r="S75" s="89" t="str">
        <f t="shared" si="9"/>
        <v>#DIV/0!</v>
      </c>
      <c r="T75" s="90"/>
      <c r="U75" s="90"/>
      <c r="V75" s="90"/>
      <c r="W75" s="90"/>
      <c r="X75" s="3"/>
      <c r="Y75" s="13"/>
      <c r="Z75" s="13"/>
    </row>
    <row r="76">
      <c r="A76" s="13"/>
      <c r="B76" s="91"/>
      <c r="C76" s="144" t="s">
        <v>46</v>
      </c>
      <c r="D76" s="92"/>
      <c r="E76" s="77"/>
      <c r="F76" s="77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93">
        <v>402.33</v>
      </c>
      <c r="K76" s="82">
        <v>20897.0</v>
      </c>
      <c r="L76" s="83"/>
      <c r="M76" s="94">
        <v>1744.02</v>
      </c>
      <c r="N76" s="85">
        <f t="shared" si="63"/>
        <v>0.2306911618</v>
      </c>
      <c r="O76" s="86">
        <f t="shared" si="5"/>
        <v>4.334799791</v>
      </c>
      <c r="P76" s="85" t="str">
        <f t="shared" si="6"/>
        <v>#DIV/0!</v>
      </c>
      <c r="Q76" s="87" t="str">
        <f t="shared" si="7"/>
        <v>#DIV/0!</v>
      </c>
      <c r="R76" s="95">
        <f t="shared" si="66"/>
        <v>-1744.02</v>
      </c>
      <c r="S76" s="89" t="str">
        <f t="shared" si="9"/>
        <v>#DIV/0!</v>
      </c>
      <c r="T76" s="90"/>
      <c r="U76" s="90"/>
      <c r="V76" s="90"/>
      <c r="W76" s="90"/>
      <c r="X76" s="3"/>
      <c r="Y76" s="13"/>
      <c r="Z76" s="13"/>
    </row>
    <row r="77">
      <c r="A77" s="13"/>
      <c r="B77" s="148" t="s">
        <v>33</v>
      </c>
      <c r="C77" s="75" t="s">
        <v>34</v>
      </c>
      <c r="D77" s="97"/>
      <c r="E77" s="77"/>
      <c r="F77" s="77"/>
      <c r="G77" s="78" t="str">
        <f t="shared" si="1"/>
        <v>#DIV/0!</v>
      </c>
      <c r="H77" s="79" t="str">
        <f t="shared" si="2"/>
        <v>#DIV/0!</v>
      </c>
      <c r="I77" s="80" t="str">
        <f t="shared" si="3"/>
        <v>#DIV/0!</v>
      </c>
      <c r="J77" s="98">
        <v>0.0</v>
      </c>
      <c r="K77" s="82">
        <v>0.0</v>
      </c>
      <c r="L77" s="83"/>
      <c r="M77" s="99">
        <v>0.0</v>
      </c>
      <c r="N77" s="85" t="str">
        <f>(J77/M77)</f>
        <v>#DIV/0!</v>
      </c>
      <c r="O77" s="86" t="str">
        <f t="shared" si="5"/>
        <v>#DIV/0!</v>
      </c>
      <c r="P77" s="85" t="str">
        <f t="shared" si="6"/>
        <v>#DIV/0!</v>
      </c>
      <c r="Q77" s="87" t="str">
        <f t="shared" si="7"/>
        <v>#DIV/0!</v>
      </c>
      <c r="R77" s="100">
        <f t="shared" si="66"/>
        <v>0</v>
      </c>
      <c r="S77" s="89" t="str">
        <f t="shared" si="9"/>
        <v>#DIV/0!</v>
      </c>
      <c r="T77" s="90"/>
      <c r="U77" s="90"/>
      <c r="V77" s="90"/>
      <c r="W77" s="90"/>
      <c r="X77" s="3"/>
      <c r="Y77" s="13"/>
      <c r="Z77" s="13"/>
    </row>
    <row r="78">
      <c r="A78" s="101" t="str">
        <f t="shared" ref="A78:A79" si="67">iferror(if(B78&gt;0,month(B78)&amp;"-"&amp;year(B78),B78),)</f>
        <v>2-2026</v>
      </c>
      <c r="B78" s="143">
        <v>46074.0</v>
      </c>
      <c r="C78" s="75" t="s">
        <v>35</v>
      </c>
      <c r="D78" s="102"/>
      <c r="E78" s="77"/>
      <c r="F78" s="77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93">
        <v>0.0</v>
      </c>
      <c r="K78" s="82">
        <v>0.0</v>
      </c>
      <c r="L78" s="83"/>
      <c r="M78" s="94">
        <v>0.0</v>
      </c>
      <c r="N78" s="85" t="str">
        <f t="shared" ref="N78:N83" si="70">J78/M78</f>
        <v>#DIV/0!</v>
      </c>
      <c r="O78" s="86" t="str">
        <f t="shared" si="5"/>
        <v>#DIV/0!</v>
      </c>
      <c r="P78" s="85" t="str">
        <f t="shared" si="6"/>
        <v>#DIV/0!</v>
      </c>
      <c r="Q78" s="87" t="str">
        <f t="shared" si="7"/>
        <v>#DIV/0!</v>
      </c>
      <c r="R78" s="88">
        <f t="shared" si="66"/>
        <v>0</v>
      </c>
      <c r="S78" s="89" t="str">
        <f t="shared" si="9"/>
        <v>#DIV/0!</v>
      </c>
      <c r="T78" s="90"/>
      <c r="U78" s="90"/>
      <c r="V78" s="90"/>
      <c r="W78" s="90"/>
      <c r="X78" s="3"/>
      <c r="Y78" s="13"/>
      <c r="Z78" s="13"/>
    </row>
    <row r="79">
      <c r="A79" s="13" t="str">
        <f t="shared" si="67"/>
        <v/>
      </c>
      <c r="B79" s="103" t="s">
        <v>51</v>
      </c>
      <c r="C79" s="61"/>
      <c r="D79" s="104">
        <f t="shared" ref="D79:F79" si="68">SUM(D73:D78)</f>
        <v>0</v>
      </c>
      <c r="E79" s="105">
        <f t="shared" si="68"/>
        <v>0</v>
      </c>
      <c r="F79" s="105">
        <f t="shared" si="68"/>
        <v>0</v>
      </c>
      <c r="G79" s="106" t="str">
        <f t="shared" si="1"/>
        <v>#DIV/0!</v>
      </c>
      <c r="H79" s="107" t="str">
        <f t="shared" si="2"/>
        <v>#DIV/0!</v>
      </c>
      <c r="I79" s="108" t="str">
        <f t="shared" si="3"/>
        <v>#DIV/0!</v>
      </c>
      <c r="J79" s="104">
        <f t="shared" ref="J79:M79" si="69">SUM(J73:J78)</f>
        <v>881.25</v>
      </c>
      <c r="K79" s="109">
        <f t="shared" si="69"/>
        <v>36861</v>
      </c>
      <c r="L79" s="105">
        <f t="shared" si="69"/>
        <v>0</v>
      </c>
      <c r="M79" s="110">
        <f t="shared" si="69"/>
        <v>2313.02</v>
      </c>
      <c r="N79" s="111">
        <f t="shared" si="70"/>
        <v>0.3809954086</v>
      </c>
      <c r="O79" s="112">
        <f t="shared" si="5"/>
        <v>2.624703546</v>
      </c>
      <c r="P79" s="111" t="str">
        <f t="shared" si="6"/>
        <v>#DIV/0!</v>
      </c>
      <c r="Q79" s="113" t="str">
        <f t="shared" si="7"/>
        <v>#DIV/0!</v>
      </c>
      <c r="R79" s="114">
        <f>SUM(R73:R78)</f>
        <v>-2313.02</v>
      </c>
      <c r="S79" s="115" t="str">
        <f t="shared" si="9"/>
        <v>#DIV/0!</v>
      </c>
      <c r="T79" s="73" t="str">
        <f t="shared" ref="T79:U79" si="71">IFERROR((D79-#REF!)/D79,)</f>
        <v/>
      </c>
      <c r="U79" s="73" t="str">
        <f t="shared" si="71"/>
        <v/>
      </c>
      <c r="V79" s="73" t="str">
        <f t="shared" ref="V79:W79" si="72">IFERROR((D79-#REF!)/D79, )</f>
        <v/>
      </c>
      <c r="W79" s="73" t="str">
        <f t="shared" si="72"/>
        <v/>
      </c>
      <c r="X79" s="13"/>
      <c r="Y79" s="13"/>
      <c r="Z79" s="13"/>
    </row>
    <row r="80">
      <c r="A80" s="13"/>
      <c r="B80" s="143">
        <v>46075.0</v>
      </c>
      <c r="C80" s="75" t="s">
        <v>31</v>
      </c>
      <c r="D80" s="76"/>
      <c r="E80" s="77"/>
      <c r="F80" s="77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81">
        <v>0.0</v>
      </c>
      <c r="K80" s="82">
        <v>0.0</v>
      </c>
      <c r="L80" s="83"/>
      <c r="M80" s="84">
        <v>0.0</v>
      </c>
      <c r="N80" s="85" t="str">
        <f t="shared" si="70"/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88">
        <f t="shared" ref="R80:R85" si="73">D80-M80</f>
        <v>0</v>
      </c>
      <c r="S80" s="89" t="str">
        <f t="shared" si="9"/>
        <v>#DIV/0!</v>
      </c>
      <c r="T80" s="90"/>
      <c r="U80" s="90"/>
      <c r="V80" s="90"/>
      <c r="W80" s="90"/>
      <c r="X80" s="3"/>
      <c r="Y80" s="13"/>
      <c r="Z80" s="13"/>
    </row>
    <row r="81">
      <c r="A81" s="13"/>
      <c r="B81" s="91"/>
      <c r="C81" s="144" t="s">
        <v>48</v>
      </c>
      <c r="D81" s="92"/>
      <c r="E81" s="77"/>
      <c r="F81" s="77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145">
        <v>498.54</v>
      </c>
      <c r="K81" s="82">
        <v>16618.0</v>
      </c>
      <c r="L81" s="150"/>
      <c r="M81" s="147">
        <v>0.0</v>
      </c>
      <c r="N81" s="85" t="str">
        <f t="shared" si="70"/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95">
        <f t="shared" si="73"/>
        <v>0</v>
      </c>
      <c r="S81" s="89" t="str">
        <f t="shared" si="9"/>
        <v>#DIV/0!</v>
      </c>
      <c r="T81" s="90"/>
      <c r="U81" s="90"/>
      <c r="V81" s="90"/>
      <c r="W81" s="90"/>
      <c r="X81" s="3"/>
      <c r="Y81" s="13"/>
      <c r="Z81" s="13"/>
    </row>
    <row r="82">
      <c r="A82" s="13"/>
      <c r="B82" s="91"/>
      <c r="C82" s="75" t="s">
        <v>32</v>
      </c>
      <c r="D82" s="92"/>
      <c r="E82" s="77"/>
      <c r="F82" s="77"/>
      <c r="G82" s="78" t="str">
        <f t="shared" si="1"/>
        <v>#DIV/0!</v>
      </c>
      <c r="H82" s="79" t="str">
        <f t="shared" si="2"/>
        <v>#DIV/0!</v>
      </c>
      <c r="I82" s="80" t="str">
        <f t="shared" si="3"/>
        <v>#DIV/0!</v>
      </c>
      <c r="J82" s="93">
        <v>0.0</v>
      </c>
      <c r="K82" s="82">
        <v>0.0</v>
      </c>
      <c r="L82" s="83"/>
      <c r="M82" s="94">
        <v>0.0</v>
      </c>
      <c r="N82" s="85" t="str">
        <f t="shared" si="70"/>
        <v>#DIV/0!</v>
      </c>
      <c r="O82" s="86" t="str">
        <f t="shared" si="5"/>
        <v>#DIV/0!</v>
      </c>
      <c r="P82" s="85" t="str">
        <f t="shared" si="6"/>
        <v>#DIV/0!</v>
      </c>
      <c r="Q82" s="87" t="str">
        <f t="shared" si="7"/>
        <v>#DIV/0!</v>
      </c>
      <c r="R82" s="95">
        <f t="shared" si="73"/>
        <v>0</v>
      </c>
      <c r="S82" s="89" t="str">
        <f t="shared" si="9"/>
        <v>#DIV/0!</v>
      </c>
      <c r="T82" s="90"/>
      <c r="U82" s="90"/>
      <c r="V82" s="90"/>
      <c r="W82" s="90"/>
      <c r="X82" s="3"/>
      <c r="Y82" s="13"/>
      <c r="Z82" s="13"/>
    </row>
    <row r="83">
      <c r="A83" s="13"/>
      <c r="B83" s="91"/>
      <c r="C83" s="144" t="s">
        <v>46</v>
      </c>
      <c r="D83" s="92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93">
        <v>408.6</v>
      </c>
      <c r="K83" s="82">
        <v>19013.0</v>
      </c>
      <c r="L83" s="83"/>
      <c r="M83" s="94">
        <v>1710.34</v>
      </c>
      <c r="N83" s="85">
        <f t="shared" si="70"/>
        <v>0.2388998679</v>
      </c>
      <c r="O83" s="86">
        <f t="shared" si="5"/>
        <v>4.185854136</v>
      </c>
      <c r="P83" s="85" t="str">
        <f t="shared" si="6"/>
        <v>#DIV/0!</v>
      </c>
      <c r="Q83" s="87" t="str">
        <f t="shared" si="7"/>
        <v>#DIV/0!</v>
      </c>
      <c r="R83" s="95">
        <f t="shared" si="73"/>
        <v>-1710.34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148" t="s">
        <v>33</v>
      </c>
      <c r="C84" s="75" t="s">
        <v>34</v>
      </c>
      <c r="D84" s="97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98">
        <v>0.0</v>
      </c>
      <c r="K84" s="82">
        <v>0.0</v>
      </c>
      <c r="L84" s="83"/>
      <c r="M84" s="99">
        <v>0.0</v>
      </c>
      <c r="N84" s="85" t="str">
        <f>(J84/M84)</f>
        <v>#DIV/0!</v>
      </c>
      <c r="O84" s="86" t="str">
        <f t="shared" si="5"/>
        <v>#DIV/0!</v>
      </c>
      <c r="P84" s="85" t="str">
        <f t="shared" si="6"/>
        <v>#DIV/0!</v>
      </c>
      <c r="Q84" s="87" t="str">
        <f t="shared" si="7"/>
        <v>#DIV/0!</v>
      </c>
      <c r="R84" s="100">
        <f t="shared" si="73"/>
        <v>0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01" t="str">
        <f t="shared" ref="A85:A86" si="74">iferror(if(B85&gt;0,month(B85)&amp;"-"&amp;year(B85),B85),)</f>
        <v>2-2026</v>
      </c>
      <c r="B85" s="143">
        <v>46081.0</v>
      </c>
      <c r="C85" s="75" t="s">
        <v>35</v>
      </c>
      <c r="D85" s="102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3">
        <v>0.0</v>
      </c>
      <c r="K85" s="82">
        <v>0.0</v>
      </c>
      <c r="L85" s="83"/>
      <c r="M85" s="94">
        <v>0.0</v>
      </c>
      <c r="N85" s="85" t="str">
        <f t="shared" ref="N85:N86" si="77">J85/M85</f>
        <v>#DIV/0!</v>
      </c>
      <c r="O85" s="86" t="str">
        <f t="shared" si="5"/>
        <v>#DIV/0!</v>
      </c>
      <c r="P85" s="85" t="str">
        <f t="shared" si="6"/>
        <v>#DIV/0!</v>
      </c>
      <c r="Q85" s="87" t="str">
        <f t="shared" si="7"/>
        <v>#DIV/0!</v>
      </c>
      <c r="R85" s="88">
        <f t="shared" si="73"/>
        <v>0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3" t="str">
        <f t="shared" si="74"/>
        <v/>
      </c>
      <c r="B86" s="103" t="s">
        <v>52</v>
      </c>
      <c r="C86" s="61"/>
      <c r="D86" s="104">
        <f t="shared" ref="D86:F86" si="75">SUM(D80:D85)</f>
        <v>0</v>
      </c>
      <c r="E86" s="105">
        <f t="shared" si="75"/>
        <v>0</v>
      </c>
      <c r="F86" s="105">
        <f t="shared" si="75"/>
        <v>0</v>
      </c>
      <c r="G86" s="106" t="str">
        <f t="shared" si="1"/>
        <v>#DIV/0!</v>
      </c>
      <c r="H86" s="107" t="str">
        <f t="shared" si="2"/>
        <v>#DIV/0!</v>
      </c>
      <c r="I86" s="108" t="str">
        <f t="shared" si="3"/>
        <v>#DIV/0!</v>
      </c>
      <c r="J86" s="104">
        <f t="shared" ref="J86:M86" si="76">SUM(J80:J85)</f>
        <v>907.14</v>
      </c>
      <c r="K86" s="109">
        <f t="shared" si="76"/>
        <v>35631</v>
      </c>
      <c r="L86" s="105">
        <f t="shared" si="76"/>
        <v>0</v>
      </c>
      <c r="M86" s="110">
        <f t="shared" si="76"/>
        <v>1710.34</v>
      </c>
      <c r="N86" s="111">
        <f t="shared" si="77"/>
        <v>0.5303857713</v>
      </c>
      <c r="O86" s="112">
        <f t="shared" si="5"/>
        <v>1.885420112</v>
      </c>
      <c r="P86" s="111" t="str">
        <f t="shared" si="6"/>
        <v>#DIV/0!</v>
      </c>
      <c r="Q86" s="113" t="str">
        <f t="shared" si="7"/>
        <v>#DIV/0!</v>
      </c>
      <c r="R86" s="114">
        <f>SUM(R80:R85)</f>
        <v>-1710.34</v>
      </c>
      <c r="S86" s="115" t="str">
        <f t="shared" si="9"/>
        <v>#DIV/0!</v>
      </c>
      <c r="T86" s="73" t="str">
        <f t="shared" ref="T86:U86" si="78">IFERROR((D86-D79)/D86,)</f>
        <v/>
      </c>
      <c r="U86" s="73" t="str">
        <f t="shared" si="78"/>
        <v/>
      </c>
      <c r="V86" s="73" t="str">
        <f t="shared" ref="V86:W86" si="79">IFERROR((D86-#REF!)/D86, )</f>
        <v/>
      </c>
      <c r="W86" s="73" t="str">
        <f t="shared" si="79"/>
        <v/>
      </c>
      <c r="X86" s="13"/>
      <c r="Y86" s="13"/>
      <c r="Z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23 B30 B37 B44 B51 B58 B65 B72 B79 B86">
      <formula1>"Previous Week,Current Week"</formula1>
    </dataValidation>
  </dataValidations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62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Week",$B$11:$Z$57,match("SALES",$B$11:$Z$11,0),FALSE)</f>
        <v>0.488239402</v>
      </c>
      <c r="D4" s="116"/>
      <c r="E4" s="116"/>
      <c r="F4" s="161">
        <f>VLOOKUP("Current Week",$B$11:$Z$57,match("Units Sold",$B$11:$Z$11,0),FALSE)</f>
        <v>137</v>
      </c>
      <c r="G4" s="10"/>
      <c r="H4" s="8"/>
      <c r="I4" s="125"/>
      <c r="J4" s="161">
        <f>VLOOKUP("Current Week",$B$11:$Z$57,match("Ordered Items",$B$11:$Z$11,0),FALSE)</f>
        <v>84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Week",$B$11:$Z$61,match("SALES",$B$11:$Z$11,0),FALSE)))/C4</f>
        <v>1</v>
      </c>
      <c r="D5" s="116"/>
      <c r="E5" s="116"/>
      <c r="F5" s="165">
        <f>(F4-(VLOOKUP("Previous Week",$B$11:$Z$71,match("Units Sold",$B$11:$Z$11,0),FALSE)))/F4</f>
        <v>0.4598540146</v>
      </c>
      <c r="G5" s="10"/>
      <c r="H5" s="10"/>
      <c r="I5" s="8"/>
      <c r="J5" s="165">
        <f>(J4-(VLOOKUP("Previous Week",$B$11:$Z$71,match("Ordered Items",$B$11:$Z$11,0),FALSE)))/J4</f>
        <v>0.4404761905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Week",$B$11:$Z$57,match("AD SALES",$B$11:$Z$11,0),FALSE)</f>
        <v>#N/A</v>
      </c>
      <c r="D8" s="116"/>
      <c r="E8" s="116"/>
      <c r="F8" s="167" t="str">
        <f>VLOOKUP("Current Week",$B$11:$Z$57,match("SP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Week",$B$11:$Z$71,match("AD SALES",$B$11:$Z$11,0),FALSE)))/C8</f>
        <v>#N/A</v>
      </c>
      <c r="D9" s="116"/>
      <c r="E9" s="116"/>
      <c r="F9" s="170" t="str">
        <f>(F8-(VLOOKUP("Previous Week",$B$11:$Z$71,match("SP AD SPEND",$B$11:$Z$11,0),FALSE)))/F8</f>
        <v>#N/A</v>
      </c>
      <c r="I9" s="35"/>
      <c r="J9" s="170" t="str">
        <f>(J8-(VLOOKUP("Previous Week",$B$11:$Z$71,match("ACOS",$B$11:$Z$11,0),FALSE)))/J8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63</v>
      </c>
      <c r="D11" s="52" t="s">
        <v>64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hidden="1" outlineLevel="1">
      <c r="A13" s="101" t="str">
        <f>iferror(if(B13&gt;0,month(B13)&amp;"-"&amp;year(B13),B13),)</f>
        <v>12-2025</v>
      </c>
      <c r="B13" s="74">
        <v>46019.0</v>
      </c>
      <c r="C13" s="75" t="s">
        <v>65</v>
      </c>
      <c r="D13" s="93">
        <v>2772.16</v>
      </c>
      <c r="E13" s="150">
        <v>40.0</v>
      </c>
      <c r="F13" s="150">
        <v>37.0</v>
      </c>
      <c r="G13" s="78">
        <f t="shared" ref="G13:G57" si="1">E13/F13</f>
        <v>1.081081081</v>
      </c>
      <c r="H13" s="79">
        <f t="shared" ref="H13:H57" si="2">D13/E13</f>
        <v>69.304</v>
      </c>
      <c r="I13" s="79">
        <f t="shared" ref="I13:I57" si="3">H13/G13</f>
        <v>64.1062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hidden="1" outlineLevel="1">
      <c r="A14" s="116"/>
      <c r="B14" s="126"/>
      <c r="C14" s="75" t="s">
        <v>66</v>
      </c>
      <c r="D14" s="202">
        <v>5527.38</v>
      </c>
      <c r="E14" s="150">
        <v>36.0</v>
      </c>
      <c r="F14" s="150">
        <v>30.0</v>
      </c>
      <c r="G14" s="78">
        <f t="shared" si="1"/>
        <v>1.2</v>
      </c>
      <c r="H14" s="79">
        <f t="shared" si="2"/>
        <v>153.5383333</v>
      </c>
      <c r="I14" s="79">
        <f t="shared" si="3"/>
        <v>127.9486111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hidden="1" outlineLevel="1">
      <c r="A15" s="116" t="str">
        <f t="shared" ref="A15:A18" si="4">iferror(if(B15&gt;0,month(B15)&amp;"-"&amp;year(B15),B15),)</f>
        <v/>
      </c>
      <c r="B15" s="126"/>
      <c r="C15" s="75" t="s">
        <v>67</v>
      </c>
      <c r="D15" s="202">
        <v>382.5</v>
      </c>
      <c r="E15" s="150">
        <v>5.0</v>
      </c>
      <c r="F15" s="150">
        <v>5.0</v>
      </c>
      <c r="G15" s="78">
        <f t="shared" si="1"/>
        <v>1</v>
      </c>
      <c r="H15" s="79">
        <f t="shared" si="2"/>
        <v>76.5</v>
      </c>
      <c r="I15" s="79">
        <f t="shared" si="3"/>
        <v>76.5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hidden="1" outlineLevel="1">
      <c r="A16" s="101" t="str">
        <f t="shared" si="4"/>
        <v>1-2026</v>
      </c>
      <c r="B16" s="143">
        <v>46025.0</v>
      </c>
      <c r="C16" s="75" t="s">
        <v>68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collapsed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8682.04</v>
      </c>
      <c r="E17" s="105">
        <f t="shared" si="5"/>
        <v>81</v>
      </c>
      <c r="F17" s="105">
        <f t="shared" si="5"/>
        <v>72</v>
      </c>
      <c r="G17" s="106">
        <f t="shared" si="1"/>
        <v>1.125</v>
      </c>
      <c r="H17" s="107">
        <f t="shared" si="2"/>
        <v>107.185679</v>
      </c>
      <c r="I17" s="107">
        <f t="shared" si="3"/>
        <v>95.27615912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hidden="1" outlineLevel="1">
      <c r="A18" s="101" t="str">
        <f t="shared" si="4"/>
        <v>1-2026</v>
      </c>
      <c r="B18" s="74">
        <v>46026.0</v>
      </c>
      <c r="C18" s="75" t="s">
        <v>65</v>
      </c>
      <c r="D18" s="93">
        <v>5422.63</v>
      </c>
      <c r="E18" s="150">
        <v>55.0</v>
      </c>
      <c r="F18" s="150">
        <v>53.0</v>
      </c>
      <c r="G18" s="78">
        <f t="shared" si="1"/>
        <v>1.037735849</v>
      </c>
      <c r="H18" s="79">
        <f t="shared" si="2"/>
        <v>98.59327273</v>
      </c>
      <c r="I18" s="79">
        <f t="shared" si="3"/>
        <v>95.00806281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hidden="1" outlineLevel="1">
      <c r="A19" s="116"/>
      <c r="B19" s="126"/>
      <c r="C19" s="75" t="s">
        <v>66</v>
      </c>
      <c r="D19" s="202">
        <v>2828.19</v>
      </c>
      <c r="E19" s="150">
        <v>29.0</v>
      </c>
      <c r="F19" s="150">
        <v>25.0</v>
      </c>
      <c r="G19" s="78">
        <f t="shared" si="1"/>
        <v>1.16</v>
      </c>
      <c r="H19" s="79">
        <f t="shared" si="2"/>
        <v>97.5237931</v>
      </c>
      <c r="I19" s="79">
        <f t="shared" si="3"/>
        <v>84.07223543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hidden="1" outlineLevel="1">
      <c r="A20" s="116" t="str">
        <f t="shared" ref="A20:A23" si="8">iferror(if(B20&gt;0,month(B20)&amp;"-"&amp;year(B20),B20),)</f>
        <v/>
      </c>
      <c r="B20" s="126"/>
      <c r="C20" s="75" t="s">
        <v>67</v>
      </c>
      <c r="D20" s="202">
        <v>2066.1</v>
      </c>
      <c r="E20" s="150">
        <v>13.0</v>
      </c>
      <c r="F20" s="150">
        <v>12.0</v>
      </c>
      <c r="G20" s="78">
        <f t="shared" si="1"/>
        <v>1.083333333</v>
      </c>
      <c r="H20" s="79">
        <f t="shared" si="2"/>
        <v>158.9307692</v>
      </c>
      <c r="I20" s="79">
        <f t="shared" si="3"/>
        <v>146.7053254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hidden="1" outlineLevel="1">
      <c r="A21" s="101" t="str">
        <f t="shared" si="8"/>
        <v>1-2026</v>
      </c>
      <c r="B21" s="74">
        <v>46032.0</v>
      </c>
      <c r="C21" s="75" t="s">
        <v>68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collapsed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10316.92</v>
      </c>
      <c r="E22" s="105">
        <f t="shared" si="9"/>
        <v>97</v>
      </c>
      <c r="F22" s="105">
        <f t="shared" si="9"/>
        <v>90</v>
      </c>
      <c r="G22" s="106">
        <f t="shared" si="1"/>
        <v>1.077777778</v>
      </c>
      <c r="H22" s="107">
        <f t="shared" si="2"/>
        <v>106.36</v>
      </c>
      <c r="I22" s="107">
        <f t="shared" si="3"/>
        <v>98.68453608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hidden="1" outlineLevel="1">
      <c r="A23" s="101" t="str">
        <f t="shared" si="8"/>
        <v>1-2026</v>
      </c>
      <c r="B23" s="74">
        <v>46033.0</v>
      </c>
      <c r="C23" s="75" t="s">
        <v>65</v>
      </c>
      <c r="D23" s="93">
        <v>6614.61</v>
      </c>
      <c r="E23" s="150">
        <v>73.0</v>
      </c>
      <c r="F23" s="150">
        <v>71.0</v>
      </c>
      <c r="G23" s="78">
        <f t="shared" si="1"/>
        <v>1.028169014</v>
      </c>
      <c r="H23" s="79">
        <f t="shared" si="2"/>
        <v>90.61109589</v>
      </c>
      <c r="I23" s="79">
        <f t="shared" si="3"/>
        <v>88.12860011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hidden="1" outlineLevel="1">
      <c r="A24" s="116"/>
      <c r="B24" s="126"/>
      <c r="C24" s="75" t="s">
        <v>66</v>
      </c>
      <c r="D24" s="202">
        <v>3820.15</v>
      </c>
      <c r="E24" s="150">
        <v>37.0</v>
      </c>
      <c r="F24" s="150">
        <v>29.0</v>
      </c>
      <c r="G24" s="78">
        <f t="shared" si="1"/>
        <v>1.275862069</v>
      </c>
      <c r="H24" s="79">
        <f t="shared" si="2"/>
        <v>103.2472973</v>
      </c>
      <c r="I24" s="79">
        <f t="shared" si="3"/>
        <v>80.92355734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hidden="1" outlineLevel="1">
      <c r="A25" s="116" t="str">
        <f t="shared" ref="A25:A29" si="12">iferror(if(B25&gt;0,month(B25)&amp;"-"&amp;year(B25),B25),)</f>
        <v/>
      </c>
      <c r="B25" s="126"/>
      <c r="C25" s="75" t="s">
        <v>67</v>
      </c>
      <c r="D25" s="202">
        <v>884.7</v>
      </c>
      <c r="E25" s="150">
        <v>8.0</v>
      </c>
      <c r="F25" s="150">
        <v>8.0</v>
      </c>
      <c r="G25" s="78">
        <f t="shared" si="1"/>
        <v>1</v>
      </c>
      <c r="H25" s="79">
        <f t="shared" si="2"/>
        <v>110.5875</v>
      </c>
      <c r="I25" s="79">
        <f t="shared" si="3"/>
        <v>110.5875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hidden="1" outlineLevel="1">
      <c r="A26" s="101" t="str">
        <f t="shared" si="12"/>
        <v>1-2026</v>
      </c>
      <c r="B26" s="74">
        <v>46039.0</v>
      </c>
      <c r="C26" s="75" t="s">
        <v>68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collapsed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11319.46</v>
      </c>
      <c r="E27" s="105">
        <f t="shared" si="13"/>
        <v>118</v>
      </c>
      <c r="F27" s="105">
        <f t="shared" si="13"/>
        <v>108</v>
      </c>
      <c r="G27" s="106">
        <f t="shared" si="1"/>
        <v>1.092592593</v>
      </c>
      <c r="H27" s="107">
        <f t="shared" si="2"/>
        <v>95.92762712</v>
      </c>
      <c r="I27" s="107">
        <f t="shared" si="3"/>
        <v>87.79816719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hidden="1" outlineLevel="1">
      <c r="A28" s="101" t="str">
        <f t="shared" si="12"/>
        <v>1-2026</v>
      </c>
      <c r="B28" s="74">
        <v>46040.0</v>
      </c>
      <c r="C28" s="75" t="s">
        <v>65</v>
      </c>
      <c r="D28" s="93">
        <v>5624.24</v>
      </c>
      <c r="E28" s="150">
        <v>68.0</v>
      </c>
      <c r="F28" s="150">
        <v>67.0</v>
      </c>
      <c r="G28" s="78">
        <f t="shared" si="1"/>
        <v>1.014925373</v>
      </c>
      <c r="H28" s="79">
        <f t="shared" si="2"/>
        <v>82.70941176</v>
      </c>
      <c r="I28" s="79">
        <f t="shared" si="3"/>
        <v>81.49309689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hidden="1" outlineLevel="1">
      <c r="A29" s="116" t="str">
        <f t="shared" si="12"/>
        <v/>
      </c>
      <c r="B29" s="126"/>
      <c r="C29" s="75" t="s">
        <v>66</v>
      </c>
      <c r="D29" s="202">
        <v>3529.11</v>
      </c>
      <c r="E29" s="150">
        <v>40.0</v>
      </c>
      <c r="F29" s="150">
        <v>27.0</v>
      </c>
      <c r="G29" s="78">
        <f t="shared" si="1"/>
        <v>1.481481481</v>
      </c>
      <c r="H29" s="79">
        <f t="shared" si="2"/>
        <v>88.22775</v>
      </c>
      <c r="I29" s="79">
        <f t="shared" si="3"/>
        <v>59.55373125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hidden="1" outlineLevel="1">
      <c r="A30" s="116"/>
      <c r="B30" s="126"/>
      <c r="C30" s="75" t="s">
        <v>67</v>
      </c>
      <c r="D30" s="202">
        <v>364.5</v>
      </c>
      <c r="E30" s="150">
        <v>4.0</v>
      </c>
      <c r="F30" s="150">
        <v>4.0</v>
      </c>
      <c r="G30" s="78">
        <f t="shared" si="1"/>
        <v>1</v>
      </c>
      <c r="H30" s="79">
        <f t="shared" si="2"/>
        <v>91.125</v>
      </c>
      <c r="I30" s="79">
        <f t="shared" si="3"/>
        <v>91.125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hidden="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68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 collapsed="1">
      <c r="A32" s="116" t="str">
        <f t="shared" si="16"/>
        <v/>
      </c>
      <c r="B32" s="204" t="s">
        <v>58</v>
      </c>
      <c r="C32" s="185"/>
      <c r="D32" s="104">
        <f t="shared" ref="D32:F32" si="17">SUM(D28:D31)</f>
        <v>9517.85</v>
      </c>
      <c r="E32" s="105">
        <f t="shared" si="17"/>
        <v>112</v>
      </c>
      <c r="F32" s="105">
        <f t="shared" si="17"/>
        <v>98</v>
      </c>
      <c r="G32" s="106">
        <f t="shared" si="1"/>
        <v>1.142857143</v>
      </c>
      <c r="H32" s="107">
        <f t="shared" si="2"/>
        <v>84.98080357</v>
      </c>
      <c r="I32" s="107">
        <f t="shared" si="3"/>
        <v>74.35820313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hidden="1" outlineLevel="1">
      <c r="A33" s="101" t="str">
        <f t="shared" si="16"/>
        <v>1-2026</v>
      </c>
      <c r="B33" s="74">
        <v>46047.0</v>
      </c>
      <c r="C33" s="75" t="s">
        <v>65</v>
      </c>
      <c r="D33" s="93">
        <v>4284.19</v>
      </c>
      <c r="E33" s="150">
        <v>42.0</v>
      </c>
      <c r="F33" s="150">
        <v>41.0</v>
      </c>
      <c r="G33" s="78">
        <f t="shared" si="1"/>
        <v>1.024390244</v>
      </c>
      <c r="H33" s="79">
        <f t="shared" si="2"/>
        <v>102.0045238</v>
      </c>
      <c r="I33" s="79">
        <f t="shared" si="3"/>
        <v>99.57584467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hidden="1" outlineLevel="1">
      <c r="A34" s="116"/>
      <c r="B34" s="126"/>
      <c r="C34" s="75" t="s">
        <v>66</v>
      </c>
      <c r="D34" s="202">
        <v>2972.6</v>
      </c>
      <c r="E34" s="150">
        <v>21.0</v>
      </c>
      <c r="F34" s="150">
        <v>20.0</v>
      </c>
      <c r="G34" s="78">
        <f t="shared" si="1"/>
        <v>1.05</v>
      </c>
      <c r="H34" s="79">
        <f t="shared" si="2"/>
        <v>141.552381</v>
      </c>
      <c r="I34" s="79">
        <f t="shared" si="3"/>
        <v>134.8117914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hidden="1" outlineLevel="1">
      <c r="A35" s="116" t="str">
        <f t="shared" ref="A35:A38" si="20">iferror(if(B35&gt;0,month(B35)&amp;"-"&amp;year(B35),B35),)</f>
        <v/>
      </c>
      <c r="B35" s="126"/>
      <c r="C35" s="75" t="s">
        <v>67</v>
      </c>
      <c r="D35" s="202">
        <v>241.5</v>
      </c>
      <c r="E35" s="150">
        <v>8.0</v>
      </c>
      <c r="F35" s="150">
        <v>4.0</v>
      </c>
      <c r="G35" s="78">
        <f t="shared" si="1"/>
        <v>2</v>
      </c>
      <c r="H35" s="79">
        <f t="shared" si="2"/>
        <v>30.1875</v>
      </c>
      <c r="I35" s="79">
        <f t="shared" si="3"/>
        <v>15.09375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hidden="1" outlineLevel="1">
      <c r="A36" s="101" t="str">
        <f t="shared" si="20"/>
        <v>1-2026</v>
      </c>
      <c r="B36" s="74">
        <v>46053.0</v>
      </c>
      <c r="C36" s="75" t="s">
        <v>68</v>
      </c>
      <c r="D36" s="203">
        <v>195.97</v>
      </c>
      <c r="E36" s="150">
        <v>1.0</v>
      </c>
      <c r="F36" s="150">
        <v>1.0</v>
      </c>
      <c r="G36" s="78">
        <f t="shared" si="1"/>
        <v>1</v>
      </c>
      <c r="H36" s="79">
        <f t="shared" si="2"/>
        <v>195.97</v>
      </c>
      <c r="I36" s="79">
        <f t="shared" si="3"/>
        <v>195.97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 collapsed="1">
      <c r="A37" s="116" t="str">
        <f t="shared" si="20"/>
        <v/>
      </c>
      <c r="B37" s="204" t="s">
        <v>59</v>
      </c>
      <c r="C37" s="185"/>
      <c r="D37" s="104">
        <f t="shared" ref="D37:F37" si="21">SUM(D33:D36)</f>
        <v>7694.26</v>
      </c>
      <c r="E37" s="105">
        <f t="shared" si="21"/>
        <v>72</v>
      </c>
      <c r="F37" s="105">
        <f t="shared" si="21"/>
        <v>66</v>
      </c>
      <c r="G37" s="106">
        <f t="shared" si="1"/>
        <v>1.090909091</v>
      </c>
      <c r="H37" s="107">
        <f t="shared" si="2"/>
        <v>106.8647222</v>
      </c>
      <c r="I37" s="107">
        <f t="shared" si="3"/>
        <v>97.9593287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hidden="1" outlineLevel="1">
      <c r="A38" s="101" t="str">
        <f t="shared" si="20"/>
        <v>2-2026</v>
      </c>
      <c r="B38" s="74">
        <v>46054.0</v>
      </c>
      <c r="C38" s="117" t="s">
        <v>65</v>
      </c>
      <c r="D38" s="93">
        <v>3583.17</v>
      </c>
      <c r="E38" s="150">
        <v>42.0</v>
      </c>
      <c r="F38" s="150">
        <v>39.0</v>
      </c>
      <c r="G38" s="78">
        <f t="shared" si="1"/>
        <v>1.076923077</v>
      </c>
      <c r="H38" s="79">
        <f t="shared" si="2"/>
        <v>85.31357143</v>
      </c>
      <c r="I38" s="79">
        <f t="shared" si="3"/>
        <v>79.2197449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hidden="1" outlineLevel="1">
      <c r="A39" s="116"/>
      <c r="B39" s="126"/>
      <c r="C39" s="117" t="s">
        <v>66</v>
      </c>
      <c r="D39" s="202">
        <v>3644.44</v>
      </c>
      <c r="E39" s="150">
        <v>50.0</v>
      </c>
      <c r="F39" s="150">
        <v>26.0</v>
      </c>
      <c r="G39" s="78">
        <f t="shared" si="1"/>
        <v>1.923076923</v>
      </c>
      <c r="H39" s="79">
        <f t="shared" si="2"/>
        <v>72.8888</v>
      </c>
      <c r="I39" s="79">
        <f t="shared" si="3"/>
        <v>37.902176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hidden="1" outlineLevel="1">
      <c r="A40" s="116" t="str">
        <f t="shared" ref="A40:A43" si="24">iferror(if(B40&gt;0,month(B40)&amp;"-"&amp;year(B40),B40),)</f>
        <v/>
      </c>
      <c r="B40" s="126"/>
      <c r="C40" s="117" t="s">
        <v>67</v>
      </c>
      <c r="D40" s="202">
        <v>848.7</v>
      </c>
      <c r="E40" s="150">
        <v>6.0</v>
      </c>
      <c r="F40" s="150">
        <v>6.0</v>
      </c>
      <c r="G40" s="78">
        <f t="shared" si="1"/>
        <v>1</v>
      </c>
      <c r="H40" s="79">
        <f t="shared" si="2"/>
        <v>141.45</v>
      </c>
      <c r="I40" s="79">
        <f t="shared" si="3"/>
        <v>141.45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hidden="1" outlineLevel="1">
      <c r="A41" s="101" t="str">
        <f t="shared" si="24"/>
        <v>2-2026</v>
      </c>
      <c r="B41" s="74">
        <v>46060.0</v>
      </c>
      <c r="C41" s="75" t="s">
        <v>68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 collapsed="1">
      <c r="A42" s="116" t="str">
        <f t="shared" si="24"/>
        <v/>
      </c>
      <c r="B42" s="213" t="s">
        <v>60</v>
      </c>
      <c r="C42" s="138"/>
      <c r="D42" s="104">
        <f t="shared" ref="D42:F42" si="25">SUM(D38:D41)</f>
        <v>8076.31</v>
      </c>
      <c r="E42" s="139">
        <f t="shared" si="25"/>
        <v>98</v>
      </c>
      <c r="F42" s="139">
        <f t="shared" si="25"/>
        <v>71</v>
      </c>
      <c r="G42" s="106">
        <f t="shared" si="1"/>
        <v>1.38028169</v>
      </c>
      <c r="H42" s="107">
        <f t="shared" si="2"/>
        <v>82.41132653</v>
      </c>
      <c r="I42" s="107">
        <f t="shared" si="3"/>
        <v>59.70616514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 outlineLevel="1">
      <c r="A43" s="101" t="str">
        <f t="shared" si="24"/>
        <v>2-2026</v>
      </c>
      <c r="B43" s="74">
        <v>46061.0</v>
      </c>
      <c r="C43" s="117" t="s">
        <v>65</v>
      </c>
      <c r="D43" s="128">
        <v>4041.23</v>
      </c>
      <c r="E43" s="146">
        <v>35.0</v>
      </c>
      <c r="F43" s="146">
        <v>35.0</v>
      </c>
      <c r="G43" s="78">
        <f t="shared" si="1"/>
        <v>1</v>
      </c>
      <c r="H43" s="79">
        <f t="shared" si="2"/>
        <v>115.4637143</v>
      </c>
      <c r="I43" s="79">
        <f t="shared" si="3"/>
        <v>115.4637143</v>
      </c>
      <c r="J43" s="190"/>
      <c r="K43" s="190"/>
      <c r="L43" s="190"/>
      <c r="M43" s="212"/>
      <c r="N43" s="191"/>
      <c r="O43" s="190"/>
      <c r="P43" s="192"/>
      <c r="Q43" s="193"/>
      <c r="R43" s="192"/>
      <c r="S43" s="192"/>
      <c r="T43" s="179"/>
      <c r="U43" s="194"/>
      <c r="V43" s="124"/>
      <c r="W43" s="124"/>
      <c r="X43" s="124"/>
      <c r="Y43" s="124"/>
      <c r="Z43" s="125"/>
    </row>
    <row r="44" outlineLevel="1">
      <c r="A44" s="116"/>
      <c r="B44" s="126"/>
      <c r="C44" s="117" t="s">
        <v>66</v>
      </c>
      <c r="D44" s="214">
        <v>2647.75</v>
      </c>
      <c r="E44" s="146">
        <v>26.0</v>
      </c>
      <c r="F44" s="146">
        <v>18.0</v>
      </c>
      <c r="G44" s="78">
        <f t="shared" si="1"/>
        <v>1.444444444</v>
      </c>
      <c r="H44" s="79">
        <f t="shared" si="2"/>
        <v>101.8365385</v>
      </c>
      <c r="I44" s="79">
        <f t="shared" si="3"/>
        <v>70.50221893</v>
      </c>
      <c r="J44" s="190"/>
      <c r="K44" s="190"/>
      <c r="L44" s="190"/>
      <c r="M44" s="212"/>
      <c r="N44" s="191"/>
      <c r="O44" s="190"/>
      <c r="P44" s="192"/>
      <c r="Q44" s="193"/>
      <c r="R44" s="192"/>
      <c r="S44" s="192"/>
      <c r="T44" s="179"/>
      <c r="U44" s="194"/>
      <c r="V44" s="124"/>
      <c r="W44" s="124"/>
      <c r="X44" s="124"/>
      <c r="Y44" s="124"/>
      <c r="Z44" s="125"/>
    </row>
    <row r="45" outlineLevel="1">
      <c r="A45" s="116" t="str">
        <f t="shared" ref="A45:A48" si="28">iferror(if(B45&gt;0,month(B45)&amp;"-"&amp;year(B45),B45),)</f>
        <v/>
      </c>
      <c r="B45" s="126"/>
      <c r="C45" s="117" t="s">
        <v>67</v>
      </c>
      <c r="D45" s="214">
        <v>54.0</v>
      </c>
      <c r="E45" s="146">
        <v>3.0</v>
      </c>
      <c r="F45" s="146">
        <v>3.0</v>
      </c>
      <c r="G45" s="78">
        <f t="shared" si="1"/>
        <v>1</v>
      </c>
      <c r="H45" s="79">
        <f t="shared" si="2"/>
        <v>18</v>
      </c>
      <c r="I45" s="79">
        <f t="shared" si="3"/>
        <v>18</v>
      </c>
      <c r="J45" s="190"/>
      <c r="K45" s="190"/>
      <c r="L45" s="190"/>
      <c r="M45" s="212"/>
      <c r="N45" s="191"/>
      <c r="O45" s="190"/>
      <c r="P45" s="192"/>
      <c r="Q45" s="193"/>
      <c r="R45" s="192"/>
      <c r="S45" s="192"/>
      <c r="T45" s="179"/>
      <c r="U45" s="194"/>
      <c r="V45" s="124"/>
      <c r="W45" s="124"/>
      <c r="X45" s="124"/>
      <c r="Y45" s="124"/>
      <c r="Z45" s="125"/>
    </row>
    <row r="46" outlineLevel="1">
      <c r="A46" s="101" t="str">
        <f t="shared" si="28"/>
        <v>2-2026</v>
      </c>
      <c r="B46" s="74">
        <v>46067.0</v>
      </c>
      <c r="C46" s="117" t="s">
        <v>68</v>
      </c>
      <c r="D46" s="215">
        <v>0.0</v>
      </c>
      <c r="E46" s="146">
        <v>0.0</v>
      </c>
      <c r="F46" s="146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0"/>
      <c r="K46" s="190"/>
      <c r="L46" s="190"/>
      <c r="M46" s="212"/>
      <c r="N46" s="191"/>
      <c r="O46" s="190"/>
      <c r="P46" s="192"/>
      <c r="Q46" s="193"/>
      <c r="R46" s="192"/>
      <c r="S46" s="192"/>
      <c r="T46" s="179"/>
      <c r="U46" s="194"/>
      <c r="V46" s="124"/>
      <c r="W46" s="124"/>
      <c r="X46" s="124"/>
      <c r="Y46" s="124"/>
      <c r="Z46" s="125"/>
    </row>
    <row r="47">
      <c r="A47" s="116" t="str">
        <f t="shared" si="28"/>
        <v/>
      </c>
      <c r="B47" s="213" t="s">
        <v>61</v>
      </c>
      <c r="C47" s="138"/>
      <c r="D47" s="104">
        <f t="shared" ref="D47:F47" si="29">SUM(D43:D46)</f>
        <v>6742.98</v>
      </c>
      <c r="E47" s="139">
        <f t="shared" si="29"/>
        <v>64</v>
      </c>
      <c r="F47" s="139">
        <f t="shared" si="29"/>
        <v>56</v>
      </c>
      <c r="G47" s="106">
        <f t="shared" si="1"/>
        <v>1.142857143</v>
      </c>
      <c r="H47" s="107">
        <f t="shared" si="2"/>
        <v>105.3590625</v>
      </c>
      <c r="I47" s="107">
        <f t="shared" si="3"/>
        <v>92.18917969</v>
      </c>
      <c r="J47" s="190"/>
      <c r="K47" s="190"/>
      <c r="L47" s="190"/>
      <c r="M47" s="212"/>
      <c r="N47" s="191"/>
      <c r="O47" s="190"/>
      <c r="P47" s="192"/>
      <c r="Q47" s="193"/>
      <c r="R47" s="192"/>
      <c r="S47" s="192"/>
      <c r="T47" s="179"/>
      <c r="U47" s="194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65</v>
      </c>
      <c r="D48" s="93">
        <v>5202.36</v>
      </c>
      <c r="E48" s="150">
        <v>37.0</v>
      </c>
      <c r="F48" s="150">
        <v>31.0</v>
      </c>
      <c r="G48" s="78">
        <f t="shared" si="1"/>
        <v>1.193548387</v>
      </c>
      <c r="H48" s="79">
        <f t="shared" si="2"/>
        <v>140.6043243</v>
      </c>
      <c r="I48" s="79">
        <f t="shared" si="3"/>
        <v>117.8036231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66</v>
      </c>
      <c r="D49" s="202">
        <v>2916.76</v>
      </c>
      <c r="E49" s="150">
        <v>35.0</v>
      </c>
      <c r="F49" s="150">
        <v>14.0</v>
      </c>
      <c r="G49" s="78">
        <f t="shared" si="1"/>
        <v>2.5</v>
      </c>
      <c r="H49" s="79">
        <f t="shared" si="2"/>
        <v>83.336</v>
      </c>
      <c r="I49" s="79">
        <f t="shared" si="3"/>
        <v>33.3344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3" si="32">iferror(if(B50&gt;0,month(B50)&amp;"-"&amp;year(B50),B50),)</f>
        <v/>
      </c>
      <c r="B50" s="126"/>
      <c r="C50" s="75" t="s">
        <v>67</v>
      </c>
      <c r="D50" s="202">
        <v>484.2</v>
      </c>
      <c r="E50" s="150">
        <v>2.0</v>
      </c>
      <c r="F50" s="150">
        <v>2.0</v>
      </c>
      <c r="G50" s="78">
        <f t="shared" si="1"/>
        <v>1</v>
      </c>
      <c r="H50" s="79">
        <f t="shared" si="2"/>
        <v>242.1</v>
      </c>
      <c r="I50" s="79">
        <f t="shared" si="3"/>
        <v>242.1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68</v>
      </c>
      <c r="D51" s="203">
        <v>0.0</v>
      </c>
      <c r="E51" s="150">
        <v>0.0</v>
      </c>
      <c r="F51" s="150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103" t="s">
        <v>51</v>
      </c>
      <c r="C52" s="185"/>
      <c r="D52" s="104">
        <f t="shared" ref="D52:F52" si="33">SUM(D48:D51)</f>
        <v>8603.32</v>
      </c>
      <c r="E52" s="105">
        <f t="shared" si="33"/>
        <v>74</v>
      </c>
      <c r="F52" s="105">
        <f t="shared" si="33"/>
        <v>47</v>
      </c>
      <c r="G52" s="106">
        <f t="shared" si="1"/>
        <v>1.574468085</v>
      </c>
      <c r="H52" s="107">
        <f t="shared" si="2"/>
        <v>116.2610811</v>
      </c>
      <c r="I52" s="107">
        <f t="shared" si="3"/>
        <v>73.84149744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140" t="str">
        <f t="shared" ref="V52:W52" si="34">IFERROR((D52-#REF!)/D52,)</f>
        <v/>
      </c>
      <c r="W52" s="140" t="str">
        <f t="shared" si="34"/>
        <v/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01" t="str">
        <f t="shared" si="32"/>
        <v>2-2026</v>
      </c>
      <c r="B53" s="143">
        <v>46075.0</v>
      </c>
      <c r="C53" s="75" t="s">
        <v>65</v>
      </c>
      <c r="D53" s="93">
        <v>6586.78</v>
      </c>
      <c r="E53" s="150">
        <v>72.0</v>
      </c>
      <c r="F53" s="150">
        <v>45.0</v>
      </c>
      <c r="G53" s="78">
        <f t="shared" si="1"/>
        <v>1.6</v>
      </c>
      <c r="H53" s="79">
        <f t="shared" si="2"/>
        <v>91.48305556</v>
      </c>
      <c r="I53" s="79">
        <f t="shared" si="3"/>
        <v>57.17690972</v>
      </c>
      <c r="J53" s="195"/>
      <c r="K53" s="195"/>
      <c r="L53" s="195"/>
      <c r="M53" s="196"/>
      <c r="N53" s="197"/>
      <c r="O53" s="195"/>
      <c r="P53" s="198"/>
      <c r="Q53" s="199"/>
      <c r="R53" s="198"/>
      <c r="S53" s="198"/>
      <c r="T53" s="200"/>
      <c r="U53" s="201"/>
      <c r="V53" s="124"/>
      <c r="W53" s="124"/>
      <c r="X53" s="124"/>
      <c r="Y53" s="124"/>
      <c r="Z53" s="125"/>
    </row>
    <row r="54">
      <c r="A54" s="116"/>
      <c r="B54" s="126"/>
      <c r="C54" s="75" t="s">
        <v>66</v>
      </c>
      <c r="D54" s="202">
        <v>9477.44</v>
      </c>
      <c r="E54" s="150">
        <v>56.0</v>
      </c>
      <c r="F54" s="150">
        <v>30.0</v>
      </c>
      <c r="G54" s="78">
        <f t="shared" si="1"/>
        <v>1.866666667</v>
      </c>
      <c r="H54" s="79">
        <f t="shared" si="2"/>
        <v>169.24</v>
      </c>
      <c r="I54" s="79">
        <f t="shared" si="3"/>
        <v>90.66428571</v>
      </c>
      <c r="J54" s="195"/>
      <c r="K54" s="195"/>
      <c r="L54" s="195"/>
      <c r="M54" s="196"/>
      <c r="N54" s="197"/>
      <c r="O54" s="195"/>
      <c r="P54" s="198"/>
      <c r="Q54" s="199"/>
      <c r="R54" s="198"/>
      <c r="S54" s="198"/>
      <c r="T54" s="200"/>
      <c r="U54" s="201"/>
      <c r="V54" s="124"/>
      <c r="W54" s="124"/>
      <c r="X54" s="124"/>
      <c r="Y54" s="124"/>
      <c r="Z54" s="125"/>
    </row>
    <row r="55">
      <c r="A55" s="116" t="str">
        <f t="shared" ref="A55:A57" si="36">iferror(if(B55&gt;0,month(B55)&amp;"-"&amp;year(B55),B55),)</f>
        <v/>
      </c>
      <c r="B55" s="126"/>
      <c r="C55" s="75" t="s">
        <v>67</v>
      </c>
      <c r="D55" s="202">
        <v>747.0</v>
      </c>
      <c r="E55" s="150">
        <v>9.0</v>
      </c>
      <c r="F55" s="150">
        <v>9.0</v>
      </c>
      <c r="G55" s="78">
        <f t="shared" si="1"/>
        <v>1</v>
      </c>
      <c r="H55" s="79">
        <f t="shared" si="2"/>
        <v>83</v>
      </c>
      <c r="I55" s="79">
        <f t="shared" si="3"/>
        <v>83</v>
      </c>
      <c r="J55" s="195"/>
      <c r="K55" s="195"/>
      <c r="L55" s="195"/>
      <c r="M55" s="196"/>
      <c r="N55" s="197"/>
      <c r="O55" s="195"/>
      <c r="P55" s="198"/>
      <c r="Q55" s="199"/>
      <c r="R55" s="198"/>
      <c r="S55" s="198"/>
      <c r="T55" s="200"/>
      <c r="U55" s="201"/>
      <c r="V55" s="124"/>
      <c r="W55" s="124"/>
      <c r="X55" s="124"/>
      <c r="Y55" s="124"/>
      <c r="Z55" s="125"/>
    </row>
    <row r="56">
      <c r="A56" s="101" t="str">
        <f t="shared" si="36"/>
        <v>2-2026</v>
      </c>
      <c r="B56" s="143">
        <v>46081.0</v>
      </c>
      <c r="C56" s="75" t="s">
        <v>68</v>
      </c>
      <c r="D56" s="203">
        <v>0.0</v>
      </c>
      <c r="E56" s="150">
        <v>0.0</v>
      </c>
      <c r="F56" s="150">
        <v>0.0</v>
      </c>
      <c r="G56" s="78" t="str">
        <f t="shared" si="1"/>
        <v>#DIV/0!</v>
      </c>
      <c r="H56" s="79" t="str">
        <f t="shared" si="2"/>
        <v>#DIV/0!</v>
      </c>
      <c r="I56" s="79" t="str">
        <f t="shared" si="3"/>
        <v>#DIV/0!</v>
      </c>
      <c r="J56" s="195"/>
      <c r="K56" s="195"/>
      <c r="L56" s="195"/>
      <c r="M56" s="196"/>
      <c r="N56" s="197"/>
      <c r="O56" s="195"/>
      <c r="P56" s="198"/>
      <c r="Q56" s="199"/>
      <c r="R56" s="198"/>
      <c r="S56" s="198"/>
      <c r="T56" s="200"/>
      <c r="U56" s="201"/>
      <c r="V56" s="124"/>
      <c r="W56" s="124"/>
      <c r="X56" s="124"/>
      <c r="Y56" s="124"/>
      <c r="Z56" s="125"/>
    </row>
    <row r="57">
      <c r="A57" s="116" t="str">
        <f t="shared" si="36"/>
        <v/>
      </c>
      <c r="B57" s="216" t="s">
        <v>52</v>
      </c>
      <c r="C57" s="185"/>
      <c r="D57" s="104">
        <f t="shared" ref="D57:F57" si="37">SUM(D53:D56)</f>
        <v>16811.22</v>
      </c>
      <c r="E57" s="105">
        <f t="shared" si="37"/>
        <v>137</v>
      </c>
      <c r="F57" s="105">
        <f t="shared" si="37"/>
        <v>84</v>
      </c>
      <c r="G57" s="106">
        <f t="shared" si="1"/>
        <v>1.630952381</v>
      </c>
      <c r="H57" s="107">
        <f t="shared" si="2"/>
        <v>122.709635</v>
      </c>
      <c r="I57" s="107">
        <f t="shared" si="3"/>
        <v>75.2380244</v>
      </c>
      <c r="J57" s="205"/>
      <c r="K57" s="205"/>
      <c r="L57" s="205"/>
      <c r="M57" s="206"/>
      <c r="N57" s="207"/>
      <c r="O57" s="205"/>
      <c r="P57" s="208"/>
      <c r="Q57" s="209"/>
      <c r="R57" s="208"/>
      <c r="S57" s="208"/>
      <c r="T57" s="210"/>
      <c r="U57" s="211"/>
      <c r="V57" s="217">
        <f t="shared" ref="V57:W57" si="38">IFERROR((D57-D52)/D57,)</f>
        <v>0.488239402</v>
      </c>
      <c r="W57" s="217">
        <f t="shared" si="38"/>
        <v>0.4598540146</v>
      </c>
      <c r="X57" s="140" t="str">
        <f t="shared" ref="X57:Y57" si="39">IFERROR((D57-#REF!)/D57,)</f>
        <v/>
      </c>
      <c r="Y57" s="140" t="str">
        <f t="shared" si="39"/>
        <v/>
      </c>
      <c r="Z57" s="116"/>
    </row>
    <row r="58">
      <c r="A58" s="116"/>
      <c r="B58" s="116"/>
      <c r="C58" s="116"/>
      <c r="D58" s="218"/>
      <c r="E58" s="116"/>
      <c r="F58" s="116"/>
      <c r="G58" s="219"/>
      <c r="H58" s="220"/>
      <c r="I58" s="220"/>
      <c r="J58" s="190"/>
      <c r="K58" s="190"/>
      <c r="L58" s="190"/>
      <c r="M58" s="191"/>
      <c r="N58" s="191"/>
      <c r="O58" s="190"/>
      <c r="P58" s="192"/>
      <c r="Q58" s="221"/>
      <c r="R58" s="192"/>
      <c r="S58" s="222"/>
      <c r="T58" s="179"/>
      <c r="U58" s="192"/>
      <c r="V58" s="223"/>
      <c r="W58" s="223"/>
      <c r="X58" s="223"/>
      <c r="Y58" s="223"/>
      <c r="Z58" s="116"/>
    </row>
    <row r="59">
      <c r="A59" s="116"/>
      <c r="B59" s="116"/>
      <c r="C59" s="116"/>
      <c r="D59" s="218"/>
      <c r="E59" s="116"/>
      <c r="F59" s="116"/>
      <c r="G59" s="219"/>
      <c r="H59" s="220"/>
      <c r="I59" s="220"/>
      <c r="J59" s="190"/>
      <c r="K59" s="190"/>
      <c r="L59" s="190"/>
      <c r="M59" s="191"/>
      <c r="N59" s="191"/>
      <c r="O59" s="190"/>
      <c r="P59" s="192"/>
      <c r="Q59" s="221"/>
      <c r="R59" s="192"/>
      <c r="S59" s="222"/>
      <c r="T59" s="179"/>
      <c r="U59" s="192"/>
      <c r="V59" s="223"/>
      <c r="W59" s="223"/>
      <c r="X59" s="223"/>
      <c r="Y59" s="223"/>
      <c r="Z59" s="116"/>
    </row>
    <row r="60">
      <c r="A60" s="116"/>
      <c r="B60" s="116"/>
      <c r="C60" s="116"/>
      <c r="D60" s="218"/>
      <c r="E60" s="116"/>
      <c r="F60" s="116"/>
      <c r="G60" s="219"/>
      <c r="H60" s="220"/>
      <c r="I60" s="220"/>
      <c r="J60" s="190"/>
      <c r="K60" s="190"/>
      <c r="L60" s="190"/>
      <c r="M60" s="191"/>
      <c r="N60" s="191"/>
      <c r="O60" s="190"/>
      <c r="P60" s="192"/>
      <c r="Q60" s="221"/>
      <c r="R60" s="192"/>
      <c r="S60" s="222"/>
      <c r="T60" s="179"/>
      <c r="U60" s="192"/>
      <c r="V60" s="223"/>
      <c r="W60" s="223"/>
      <c r="X60" s="223"/>
      <c r="Y60" s="223"/>
      <c r="Z60" s="116"/>
    </row>
    <row r="61">
      <c r="A61" s="116"/>
      <c r="B61" s="116"/>
      <c r="C61" s="116"/>
      <c r="D61" s="218"/>
      <c r="E61" s="116"/>
      <c r="F61" s="116"/>
      <c r="G61" s="219"/>
      <c r="H61" s="220"/>
      <c r="I61" s="220"/>
      <c r="J61" s="190"/>
      <c r="K61" s="190"/>
      <c r="L61" s="190"/>
      <c r="M61" s="191"/>
      <c r="N61" s="191"/>
      <c r="O61" s="190"/>
      <c r="P61" s="192"/>
      <c r="Q61" s="221"/>
      <c r="R61" s="192"/>
      <c r="S61" s="222"/>
      <c r="T61" s="179"/>
      <c r="U61" s="192"/>
      <c r="V61" s="223"/>
      <c r="W61" s="223"/>
      <c r="X61" s="223"/>
      <c r="Y61" s="223"/>
      <c r="Z61" s="116"/>
    </row>
    <row r="62">
      <c r="A62" s="116"/>
      <c r="B62" s="116"/>
      <c r="C62" s="116"/>
      <c r="D62" s="218"/>
      <c r="E62" s="116"/>
      <c r="F62" s="116"/>
      <c r="G62" s="219"/>
      <c r="H62" s="220"/>
      <c r="I62" s="220"/>
      <c r="J62" s="190"/>
      <c r="K62" s="190"/>
      <c r="L62" s="190"/>
      <c r="M62" s="191"/>
      <c r="N62" s="191"/>
      <c r="O62" s="190"/>
      <c r="P62" s="192"/>
      <c r="Q62" s="221"/>
      <c r="R62" s="192"/>
      <c r="S62" s="222"/>
      <c r="T62" s="179"/>
      <c r="U62" s="192"/>
      <c r="V62" s="223"/>
      <c r="W62" s="223"/>
      <c r="X62" s="223"/>
      <c r="Y62" s="223"/>
      <c r="Z62" s="116"/>
    </row>
    <row r="63">
      <c r="A63" s="116"/>
      <c r="B63" s="116"/>
      <c r="C63" s="116"/>
      <c r="D63" s="218"/>
      <c r="E63" s="116"/>
      <c r="F63" s="116"/>
      <c r="G63" s="219"/>
      <c r="H63" s="220"/>
      <c r="I63" s="220"/>
      <c r="J63" s="190"/>
      <c r="K63" s="190"/>
      <c r="L63" s="190"/>
      <c r="M63" s="191"/>
      <c r="N63" s="191"/>
      <c r="O63" s="190"/>
      <c r="P63" s="192"/>
      <c r="Q63" s="221"/>
      <c r="R63" s="192"/>
      <c r="S63" s="222"/>
      <c r="T63" s="179"/>
      <c r="U63" s="192"/>
      <c r="V63" s="223"/>
      <c r="W63" s="223"/>
      <c r="X63" s="223"/>
      <c r="Y63" s="223"/>
      <c r="Z63" s="116"/>
    </row>
    <row r="64">
      <c r="A64" s="116"/>
      <c r="B64" s="116"/>
      <c r="C64" s="116"/>
      <c r="D64" s="218"/>
      <c r="E64" s="116"/>
      <c r="F64" s="116"/>
      <c r="G64" s="219"/>
      <c r="H64" s="220"/>
      <c r="I64" s="220"/>
      <c r="J64" s="190"/>
      <c r="K64" s="190"/>
      <c r="L64" s="190"/>
      <c r="M64" s="191"/>
      <c r="N64" s="191"/>
      <c r="O64" s="190"/>
      <c r="P64" s="192"/>
      <c r="Q64" s="221"/>
      <c r="R64" s="192"/>
      <c r="S64" s="222"/>
      <c r="T64" s="179"/>
      <c r="U64" s="192"/>
      <c r="V64" s="223"/>
      <c r="W64" s="223"/>
      <c r="X64" s="223"/>
      <c r="Y64" s="223"/>
      <c r="Z64" s="116"/>
    </row>
    <row r="65">
      <c r="A65" s="116"/>
      <c r="B65" s="116"/>
      <c r="C65" s="116"/>
      <c r="D65" s="218"/>
      <c r="E65" s="116"/>
      <c r="F65" s="116"/>
      <c r="G65" s="219"/>
      <c r="H65" s="220"/>
      <c r="I65" s="220"/>
      <c r="J65" s="190"/>
      <c r="K65" s="190"/>
      <c r="L65" s="190"/>
      <c r="M65" s="191"/>
      <c r="N65" s="191"/>
      <c r="O65" s="190"/>
      <c r="P65" s="192"/>
      <c r="Q65" s="221"/>
      <c r="R65" s="192"/>
      <c r="S65" s="222"/>
      <c r="T65" s="179"/>
      <c r="U65" s="192"/>
      <c r="V65" s="223"/>
      <c r="W65" s="223"/>
      <c r="X65" s="223"/>
      <c r="Y65" s="223"/>
      <c r="Z65" s="116"/>
    </row>
    <row r="66">
      <c r="A66" s="116"/>
      <c r="B66" s="116"/>
      <c r="C66" s="116"/>
      <c r="D66" s="218"/>
      <c r="E66" s="116"/>
      <c r="F66" s="116"/>
      <c r="G66" s="219"/>
      <c r="H66" s="220"/>
      <c r="I66" s="220"/>
      <c r="J66" s="190"/>
      <c r="K66" s="190"/>
      <c r="L66" s="190"/>
      <c r="M66" s="191"/>
      <c r="N66" s="191"/>
      <c r="O66" s="190"/>
      <c r="P66" s="192"/>
      <c r="Q66" s="221"/>
      <c r="R66" s="192"/>
      <c r="S66" s="222"/>
      <c r="T66" s="179"/>
      <c r="U66" s="192"/>
      <c r="V66" s="223"/>
      <c r="W66" s="223"/>
      <c r="X66" s="223"/>
      <c r="Y66" s="223"/>
      <c r="Z66" s="116"/>
    </row>
    <row r="67">
      <c r="A67" s="116"/>
      <c r="B67" s="116"/>
      <c r="C67" s="116"/>
      <c r="D67" s="218"/>
      <c r="E67" s="116"/>
      <c r="F67" s="116"/>
      <c r="G67" s="219"/>
      <c r="H67" s="220"/>
      <c r="I67" s="220"/>
      <c r="J67" s="190"/>
      <c r="K67" s="190"/>
      <c r="L67" s="190"/>
      <c r="M67" s="191"/>
      <c r="N67" s="191"/>
      <c r="O67" s="190"/>
      <c r="P67" s="192"/>
      <c r="Q67" s="221"/>
      <c r="R67" s="192"/>
      <c r="S67" s="222"/>
      <c r="T67" s="179"/>
      <c r="U67" s="192"/>
      <c r="V67" s="223"/>
      <c r="W67" s="223"/>
      <c r="X67" s="223"/>
      <c r="Y67" s="223"/>
      <c r="Z67" s="116"/>
    </row>
    <row r="68">
      <c r="A68" s="116"/>
      <c r="B68" s="116"/>
      <c r="C68" s="116"/>
      <c r="D68" s="218"/>
      <c r="E68" s="116"/>
      <c r="F68" s="116"/>
      <c r="G68" s="219"/>
      <c r="H68" s="220"/>
      <c r="I68" s="220"/>
      <c r="J68" s="190"/>
      <c r="K68" s="190"/>
      <c r="L68" s="190"/>
      <c r="M68" s="191"/>
      <c r="N68" s="191"/>
      <c r="O68" s="190"/>
      <c r="P68" s="192"/>
      <c r="Q68" s="221"/>
      <c r="R68" s="192"/>
      <c r="S68" s="222"/>
      <c r="T68" s="179"/>
      <c r="U68" s="192"/>
      <c r="V68" s="223"/>
      <c r="W68" s="223"/>
      <c r="X68" s="223"/>
      <c r="Y68" s="223"/>
      <c r="Z68" s="116"/>
    </row>
    <row r="69">
      <c r="A69" s="116"/>
      <c r="B69" s="116"/>
      <c r="C69" s="116"/>
      <c r="D69" s="218"/>
      <c r="E69" s="116"/>
      <c r="F69" s="116"/>
      <c r="G69" s="219"/>
      <c r="H69" s="220"/>
      <c r="I69" s="220"/>
      <c r="J69" s="190"/>
      <c r="K69" s="190"/>
      <c r="L69" s="190"/>
      <c r="M69" s="191"/>
      <c r="N69" s="191"/>
      <c r="O69" s="190"/>
      <c r="P69" s="192"/>
      <c r="Q69" s="221"/>
      <c r="R69" s="192"/>
      <c r="S69" s="222"/>
      <c r="T69" s="179"/>
      <c r="U69" s="192"/>
      <c r="V69" s="223"/>
      <c r="W69" s="223"/>
      <c r="X69" s="223"/>
      <c r="Y69" s="223"/>
      <c r="Z69" s="116"/>
    </row>
    <row r="70">
      <c r="A70" s="116"/>
      <c r="B70" s="116"/>
      <c r="C70" s="116"/>
      <c r="D70" s="218"/>
      <c r="E70" s="116"/>
      <c r="F70" s="116"/>
      <c r="G70" s="219"/>
      <c r="H70" s="220"/>
      <c r="I70" s="220"/>
      <c r="J70" s="224"/>
      <c r="K70" s="224"/>
      <c r="L70" s="224"/>
      <c r="M70" s="225"/>
      <c r="N70" s="225"/>
      <c r="O70" s="224"/>
      <c r="P70" s="226"/>
      <c r="Q70" s="227"/>
      <c r="R70" s="226"/>
      <c r="S70" s="228"/>
      <c r="T70" s="229"/>
      <c r="U70" s="226"/>
      <c r="V70" s="223"/>
      <c r="W70" s="223"/>
      <c r="X70" s="223"/>
      <c r="Y70" s="223"/>
      <c r="Z70" s="116"/>
    </row>
    <row r="71">
      <c r="A71" s="116"/>
      <c r="B71" s="116"/>
      <c r="C71" s="116"/>
      <c r="D71" s="218"/>
      <c r="E71" s="116"/>
      <c r="F71" s="116"/>
      <c r="G71" s="219"/>
      <c r="H71" s="220"/>
      <c r="I71" s="116"/>
      <c r="J71" s="224"/>
      <c r="K71" s="224"/>
      <c r="L71" s="224"/>
      <c r="M71" s="225"/>
      <c r="N71" s="225"/>
      <c r="O71" s="224"/>
      <c r="P71" s="226"/>
      <c r="Q71" s="227"/>
      <c r="R71" s="226"/>
      <c r="S71" s="228"/>
      <c r="T71" s="229"/>
      <c r="U71" s="226"/>
      <c r="V71" s="223"/>
      <c r="W71" s="223"/>
      <c r="X71" s="223"/>
      <c r="Y71" s="223"/>
      <c r="Z71" s="116"/>
    </row>
    <row r="72"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</row>
    <row r="73"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</row>
    <row r="74"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</row>
    <row r="76"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  <row r="77"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</row>
    <row r="78"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</row>
    <row r="79"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</row>
    <row r="80"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</row>
    <row r="81"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</row>
    <row r="82"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</row>
    <row r="83"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</row>
    <row r="84"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</row>
    <row r="85"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</row>
    <row r="86"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  <row r="971"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</row>
    <row r="972"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</row>
    <row r="973"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</row>
    <row r="974"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</row>
    <row r="975"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 B57">
      <formula1>"Previous Week,Current Week"</formula1>
    </dataValidation>
  </dataValidation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69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Week",$B$11:$Z$57,match("SALES",$B$11:$Z$11,0),FALSE)</f>
        <v>-1.179138764</v>
      </c>
      <c r="D4" s="116"/>
      <c r="E4" s="116"/>
      <c r="F4" s="161">
        <f>VLOOKUP("Current Week",$B$11:$Z$57,match("Units Sold",$B$11:$Z$11,0),FALSE)</f>
        <v>24</v>
      </c>
      <c r="G4" s="10"/>
      <c r="H4" s="8"/>
      <c r="I4" s="125"/>
      <c r="J4" s="161">
        <f>VLOOKUP("Current Week",$B$11:$Z$57,match("Ordered Items",$B$11:$Z$11,0),FALSE)</f>
        <v>24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Week",$B$11:$Z$61,match("SALES",$B$11:$Z$11,0),FALSE)))/C4</f>
        <v>1</v>
      </c>
      <c r="D5" s="116"/>
      <c r="E5" s="116"/>
      <c r="F5" s="165">
        <f>(F4-(VLOOKUP("Previous Week",$B$11:$Z$71,match("Units Sold",$B$11:$Z$11,0),FALSE)))/F4</f>
        <v>-0.3333333333</v>
      </c>
      <c r="G5" s="10"/>
      <c r="H5" s="10"/>
      <c r="I5" s="8"/>
      <c r="J5" s="165">
        <f>(J4-(VLOOKUP("Previous Week",$B$11:$Z$71,match("Ordered Items",$B$11:$Z$11,0),FALSE)))/J4</f>
        <v>-0.04166666667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Week",$B$11:$Z$57,match("AD SALES",$B$11:$Z$11,0),FALSE)</f>
        <v>#N/A</v>
      </c>
      <c r="D8" s="116"/>
      <c r="E8" s="116"/>
      <c r="F8" s="167" t="str">
        <f>VLOOKUP("Current Week",$B$11:$Z$57,match("SP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Week",$B$11:$Z$71,match("AD SALES",$B$11:$Z$11,0),FALSE)))/C8</f>
        <v>#N/A</v>
      </c>
      <c r="D9" s="116"/>
      <c r="E9" s="116"/>
      <c r="F9" s="170" t="str">
        <f>(F8-(VLOOKUP("Previous Week",$B$11:$Z$71,match("SP AD SPEND",$B$11:$Z$11,0),FALSE)))/F8</f>
        <v>#N/A</v>
      </c>
      <c r="I9" s="35"/>
      <c r="J9" s="170" t="str">
        <f>(J8-(VLOOKUP("Previous Week",$B$11:$Z$71,match("ACOS",$B$11:$Z$11,0),FALSE)))/J8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63</v>
      </c>
      <c r="D11" s="52" t="s">
        <v>64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hidden="1" outlineLevel="1">
      <c r="A13" s="101" t="str">
        <f>iferror(if(B13&gt;0,month(B13)&amp;"-"&amp;year(B13),B13),)</f>
        <v>12-2025</v>
      </c>
      <c r="B13" s="74">
        <v>46019.0</v>
      </c>
      <c r="C13" s="75" t="s">
        <v>65</v>
      </c>
      <c r="D13" s="93">
        <v>6000.27</v>
      </c>
      <c r="E13" s="150">
        <v>42.0</v>
      </c>
      <c r="F13" s="150">
        <v>40.0</v>
      </c>
      <c r="G13" s="78">
        <f t="shared" ref="G13:G57" si="1">E13/F13</f>
        <v>1.05</v>
      </c>
      <c r="H13" s="79">
        <f t="shared" ref="H13:H57" si="2">D13/E13</f>
        <v>142.8635714</v>
      </c>
      <c r="I13" s="79">
        <f t="shared" ref="I13:I57" si="3">H13/G13</f>
        <v>136.0605442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hidden="1" outlineLevel="1">
      <c r="A14" s="116"/>
      <c r="B14" s="126"/>
      <c r="C14" s="75" t="s">
        <v>66</v>
      </c>
      <c r="D14" s="202">
        <v>1008.0</v>
      </c>
      <c r="E14" s="150">
        <v>3.0</v>
      </c>
      <c r="F14" s="150">
        <v>3.0</v>
      </c>
      <c r="G14" s="78">
        <f t="shared" si="1"/>
        <v>1</v>
      </c>
      <c r="H14" s="79">
        <f t="shared" si="2"/>
        <v>336</v>
      </c>
      <c r="I14" s="79">
        <f t="shared" si="3"/>
        <v>336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hidden="1" outlineLevel="1">
      <c r="A15" s="116" t="str">
        <f t="shared" ref="A15:A18" si="4">iferror(if(B15&gt;0,month(B15)&amp;"-"&amp;year(B15),B15),)</f>
        <v/>
      </c>
      <c r="B15" s="126"/>
      <c r="C15" s="75" t="s">
        <v>67</v>
      </c>
      <c r="D15" s="202">
        <v>0.0</v>
      </c>
      <c r="E15" s="150">
        <v>0.0</v>
      </c>
      <c r="F15" s="150">
        <v>0.0</v>
      </c>
      <c r="G15" s="78" t="str">
        <f t="shared" si="1"/>
        <v>#DIV/0!</v>
      </c>
      <c r="H15" s="79" t="str">
        <f t="shared" si="2"/>
        <v>#DIV/0!</v>
      </c>
      <c r="I15" s="79" t="str">
        <f t="shared" si="3"/>
        <v>#DIV/0!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hidden="1" outlineLevel="1">
      <c r="A16" s="101" t="str">
        <f t="shared" si="4"/>
        <v>1-2026</v>
      </c>
      <c r="B16" s="143">
        <v>46025.0</v>
      </c>
      <c r="C16" s="75" t="s">
        <v>68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collapsed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7008.27</v>
      </c>
      <c r="E17" s="105">
        <f t="shared" si="5"/>
        <v>45</v>
      </c>
      <c r="F17" s="105">
        <f t="shared" si="5"/>
        <v>43</v>
      </c>
      <c r="G17" s="106">
        <f t="shared" si="1"/>
        <v>1.046511628</v>
      </c>
      <c r="H17" s="107">
        <f t="shared" si="2"/>
        <v>155.7393333</v>
      </c>
      <c r="I17" s="107">
        <f t="shared" si="3"/>
        <v>148.8175852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hidden="1" outlineLevel="1">
      <c r="A18" s="101" t="str">
        <f t="shared" si="4"/>
        <v>1-2026</v>
      </c>
      <c r="B18" s="74">
        <v>46026.0</v>
      </c>
      <c r="C18" s="75" t="s">
        <v>65</v>
      </c>
      <c r="D18" s="93">
        <v>6139.58</v>
      </c>
      <c r="E18" s="150">
        <v>44.0</v>
      </c>
      <c r="F18" s="150">
        <v>44.0</v>
      </c>
      <c r="G18" s="78">
        <f t="shared" si="1"/>
        <v>1</v>
      </c>
      <c r="H18" s="79">
        <f t="shared" si="2"/>
        <v>139.5359091</v>
      </c>
      <c r="I18" s="79">
        <f t="shared" si="3"/>
        <v>139.5359091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hidden="1" outlineLevel="1">
      <c r="A19" s="116"/>
      <c r="B19" s="126"/>
      <c r="C19" s="75" t="s">
        <v>66</v>
      </c>
      <c r="D19" s="202">
        <v>385.0</v>
      </c>
      <c r="E19" s="150">
        <v>1.0</v>
      </c>
      <c r="F19" s="150">
        <v>1.0</v>
      </c>
      <c r="G19" s="78">
        <f t="shared" si="1"/>
        <v>1</v>
      </c>
      <c r="H19" s="79">
        <f t="shared" si="2"/>
        <v>385</v>
      </c>
      <c r="I19" s="79">
        <f t="shared" si="3"/>
        <v>385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hidden="1" outlineLevel="1">
      <c r="A20" s="116" t="str">
        <f t="shared" ref="A20:A23" si="8">iferror(if(B20&gt;0,month(B20)&amp;"-"&amp;year(B20),B20),)</f>
        <v/>
      </c>
      <c r="B20" s="126"/>
      <c r="C20" s="75" t="s">
        <v>67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hidden="1" outlineLevel="1">
      <c r="A21" s="101" t="str">
        <f t="shared" si="8"/>
        <v>1-2026</v>
      </c>
      <c r="B21" s="74">
        <v>46032.0</v>
      </c>
      <c r="C21" s="75" t="s">
        <v>68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collapsed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6524.58</v>
      </c>
      <c r="E22" s="105">
        <f t="shared" si="9"/>
        <v>45</v>
      </c>
      <c r="F22" s="105">
        <f t="shared" si="9"/>
        <v>45</v>
      </c>
      <c r="G22" s="106">
        <f t="shared" si="1"/>
        <v>1</v>
      </c>
      <c r="H22" s="107">
        <f t="shared" si="2"/>
        <v>144.9906667</v>
      </c>
      <c r="I22" s="107">
        <f t="shared" si="3"/>
        <v>144.9906667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hidden="1" outlineLevel="1">
      <c r="A23" s="101" t="str">
        <f t="shared" si="8"/>
        <v>1-2026</v>
      </c>
      <c r="B23" s="74">
        <v>46033.0</v>
      </c>
      <c r="C23" s="75" t="s">
        <v>65</v>
      </c>
      <c r="D23" s="93">
        <v>5022.11</v>
      </c>
      <c r="E23" s="150">
        <v>40.0</v>
      </c>
      <c r="F23" s="150">
        <v>40.0</v>
      </c>
      <c r="G23" s="78">
        <f t="shared" si="1"/>
        <v>1</v>
      </c>
      <c r="H23" s="79">
        <f t="shared" si="2"/>
        <v>125.55275</v>
      </c>
      <c r="I23" s="79">
        <f t="shared" si="3"/>
        <v>125.55275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hidden="1" outlineLevel="1">
      <c r="A24" s="116"/>
      <c r="B24" s="126"/>
      <c r="C24" s="75" t="s">
        <v>66</v>
      </c>
      <c r="D24" s="202">
        <v>0.0</v>
      </c>
      <c r="E24" s="150">
        <v>0.0</v>
      </c>
      <c r="F24" s="150">
        <v>0.0</v>
      </c>
      <c r="G24" s="78" t="str">
        <f t="shared" si="1"/>
        <v>#DIV/0!</v>
      </c>
      <c r="H24" s="79" t="str">
        <f t="shared" si="2"/>
        <v>#DIV/0!</v>
      </c>
      <c r="I24" s="79" t="str">
        <f t="shared" si="3"/>
        <v>#DIV/0!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hidden="1" outlineLevel="1">
      <c r="A25" s="116" t="str">
        <f t="shared" ref="A25:A29" si="12">iferror(if(B25&gt;0,month(B25)&amp;"-"&amp;year(B25),B25),)</f>
        <v/>
      </c>
      <c r="B25" s="126"/>
      <c r="C25" s="75" t="s">
        <v>67</v>
      </c>
      <c r="D25" s="202">
        <v>0.0</v>
      </c>
      <c r="E25" s="150">
        <v>0.0</v>
      </c>
      <c r="F25" s="150">
        <v>0.0</v>
      </c>
      <c r="G25" s="78" t="str">
        <f t="shared" si="1"/>
        <v>#DIV/0!</v>
      </c>
      <c r="H25" s="79" t="str">
        <f t="shared" si="2"/>
        <v>#DIV/0!</v>
      </c>
      <c r="I25" s="79" t="str">
        <f t="shared" si="3"/>
        <v>#DIV/0!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hidden="1" outlineLevel="1">
      <c r="A26" s="101" t="str">
        <f t="shared" si="12"/>
        <v>1-2026</v>
      </c>
      <c r="B26" s="74">
        <v>46039.0</v>
      </c>
      <c r="C26" s="75" t="s">
        <v>68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collapsed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5022.11</v>
      </c>
      <c r="E27" s="105">
        <f t="shared" si="13"/>
        <v>40</v>
      </c>
      <c r="F27" s="105">
        <f t="shared" si="13"/>
        <v>40</v>
      </c>
      <c r="G27" s="106">
        <f t="shared" si="1"/>
        <v>1</v>
      </c>
      <c r="H27" s="107">
        <f t="shared" si="2"/>
        <v>125.55275</v>
      </c>
      <c r="I27" s="107">
        <f t="shared" si="3"/>
        <v>125.55275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hidden="1" outlineLevel="1">
      <c r="A28" s="101" t="str">
        <f t="shared" si="12"/>
        <v>1-2026</v>
      </c>
      <c r="B28" s="74">
        <v>46040.0</v>
      </c>
      <c r="C28" s="75" t="s">
        <v>65</v>
      </c>
      <c r="D28" s="93">
        <v>4058.89</v>
      </c>
      <c r="E28" s="150">
        <v>34.0</v>
      </c>
      <c r="F28" s="150">
        <v>34.0</v>
      </c>
      <c r="G28" s="78">
        <f t="shared" si="1"/>
        <v>1</v>
      </c>
      <c r="H28" s="79">
        <f t="shared" si="2"/>
        <v>119.3791176</v>
      </c>
      <c r="I28" s="79">
        <f t="shared" si="3"/>
        <v>119.3791176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hidden="1" outlineLevel="1">
      <c r="A29" s="116" t="str">
        <f t="shared" si="12"/>
        <v/>
      </c>
      <c r="B29" s="126"/>
      <c r="C29" s="75" t="s">
        <v>66</v>
      </c>
      <c r="D29" s="202">
        <v>3292.3</v>
      </c>
      <c r="E29" s="150">
        <v>7.0</v>
      </c>
      <c r="F29" s="150">
        <v>6.0</v>
      </c>
      <c r="G29" s="78">
        <f t="shared" si="1"/>
        <v>1.166666667</v>
      </c>
      <c r="H29" s="79">
        <f t="shared" si="2"/>
        <v>470.3285714</v>
      </c>
      <c r="I29" s="79">
        <f t="shared" si="3"/>
        <v>403.1387755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hidden="1" outlineLevel="1">
      <c r="A30" s="116"/>
      <c r="B30" s="126"/>
      <c r="C30" s="75" t="s">
        <v>67</v>
      </c>
      <c r="D30" s="202">
        <v>0.0</v>
      </c>
      <c r="E30" s="150">
        <v>0.0</v>
      </c>
      <c r="F30" s="150">
        <v>0.0</v>
      </c>
      <c r="G30" s="78" t="str">
        <f t="shared" si="1"/>
        <v>#DIV/0!</v>
      </c>
      <c r="H30" s="79" t="str">
        <f t="shared" si="2"/>
        <v>#DIV/0!</v>
      </c>
      <c r="I30" s="79" t="str">
        <f t="shared" si="3"/>
        <v>#DIV/0!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hidden="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68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 collapsed="1">
      <c r="A32" s="116" t="str">
        <f t="shared" si="16"/>
        <v/>
      </c>
      <c r="B32" s="204" t="s">
        <v>58</v>
      </c>
      <c r="C32" s="185"/>
      <c r="D32" s="104">
        <f t="shared" ref="D32:F32" si="17">SUM(D28:D31)</f>
        <v>7351.19</v>
      </c>
      <c r="E32" s="105">
        <f t="shared" si="17"/>
        <v>41</v>
      </c>
      <c r="F32" s="105">
        <f t="shared" si="17"/>
        <v>40</v>
      </c>
      <c r="G32" s="106">
        <f t="shared" si="1"/>
        <v>1.025</v>
      </c>
      <c r="H32" s="107">
        <f t="shared" si="2"/>
        <v>179.2973171</v>
      </c>
      <c r="I32" s="107">
        <f t="shared" si="3"/>
        <v>174.9242118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hidden="1" outlineLevel="1">
      <c r="A33" s="101" t="str">
        <f t="shared" si="16"/>
        <v>1-2026</v>
      </c>
      <c r="B33" s="74">
        <v>46047.0</v>
      </c>
      <c r="C33" s="75" t="s">
        <v>65</v>
      </c>
      <c r="D33" s="93">
        <v>3447.61</v>
      </c>
      <c r="E33" s="150">
        <v>31.0</v>
      </c>
      <c r="F33" s="150">
        <v>29.0</v>
      </c>
      <c r="G33" s="78">
        <f t="shared" si="1"/>
        <v>1.068965517</v>
      </c>
      <c r="H33" s="79">
        <f t="shared" si="2"/>
        <v>111.2132258</v>
      </c>
      <c r="I33" s="79">
        <f t="shared" si="3"/>
        <v>104.038179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hidden="1" outlineLevel="1">
      <c r="A34" s="116"/>
      <c r="B34" s="126"/>
      <c r="C34" s="75" t="s">
        <v>66</v>
      </c>
      <c r="D34" s="202">
        <v>272.3</v>
      </c>
      <c r="E34" s="150">
        <v>1.0</v>
      </c>
      <c r="F34" s="150">
        <v>1.0</v>
      </c>
      <c r="G34" s="78">
        <f t="shared" si="1"/>
        <v>1</v>
      </c>
      <c r="H34" s="79">
        <f t="shared" si="2"/>
        <v>272.3</v>
      </c>
      <c r="I34" s="79">
        <f t="shared" si="3"/>
        <v>272.3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hidden="1" outlineLevel="1">
      <c r="A35" s="116" t="str">
        <f t="shared" ref="A35:A38" si="20">iferror(if(B35&gt;0,month(B35)&amp;"-"&amp;year(B35),B35),)</f>
        <v/>
      </c>
      <c r="B35" s="126"/>
      <c r="C35" s="75" t="s">
        <v>67</v>
      </c>
      <c r="D35" s="202">
        <v>0.0</v>
      </c>
      <c r="E35" s="150">
        <v>0.0</v>
      </c>
      <c r="F35" s="150">
        <v>0.0</v>
      </c>
      <c r="G35" s="78" t="str">
        <f t="shared" si="1"/>
        <v>#DIV/0!</v>
      </c>
      <c r="H35" s="79" t="str">
        <f t="shared" si="2"/>
        <v>#DIV/0!</v>
      </c>
      <c r="I35" s="79" t="str">
        <f t="shared" si="3"/>
        <v>#DIV/0!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hidden="1" outlineLevel="1">
      <c r="A36" s="101" t="str">
        <f t="shared" si="20"/>
        <v>1-2026</v>
      </c>
      <c r="B36" s="74">
        <v>46053.0</v>
      </c>
      <c r="C36" s="75" t="s">
        <v>68</v>
      </c>
      <c r="D36" s="203">
        <v>0.0</v>
      </c>
      <c r="E36" s="150">
        <v>0.0</v>
      </c>
      <c r="F36" s="150">
        <v>0.0</v>
      </c>
      <c r="G36" s="78" t="str">
        <f t="shared" si="1"/>
        <v>#DIV/0!</v>
      </c>
      <c r="H36" s="79" t="str">
        <f t="shared" si="2"/>
        <v>#DIV/0!</v>
      </c>
      <c r="I36" s="79" t="str">
        <f t="shared" si="3"/>
        <v>#DIV/0!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 collapsed="1">
      <c r="A37" s="116" t="str">
        <f t="shared" si="20"/>
        <v/>
      </c>
      <c r="B37" s="204" t="s">
        <v>59</v>
      </c>
      <c r="C37" s="185"/>
      <c r="D37" s="104">
        <f t="shared" ref="D37:F37" si="21">SUM(D33:D36)</f>
        <v>3719.91</v>
      </c>
      <c r="E37" s="105">
        <f t="shared" si="21"/>
        <v>32</v>
      </c>
      <c r="F37" s="105">
        <f t="shared" si="21"/>
        <v>30</v>
      </c>
      <c r="G37" s="106">
        <f t="shared" si="1"/>
        <v>1.066666667</v>
      </c>
      <c r="H37" s="107">
        <f t="shared" si="2"/>
        <v>116.2471875</v>
      </c>
      <c r="I37" s="107">
        <f t="shared" si="3"/>
        <v>108.9817383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hidden="1" outlineLevel="1">
      <c r="A38" s="101" t="str">
        <f t="shared" si="20"/>
        <v>2-2026</v>
      </c>
      <c r="B38" s="74">
        <v>46054.0</v>
      </c>
      <c r="C38" s="117" t="s">
        <v>65</v>
      </c>
      <c r="D38" s="93">
        <v>2486.85</v>
      </c>
      <c r="E38" s="150">
        <v>25.0</v>
      </c>
      <c r="F38" s="150">
        <v>19.0</v>
      </c>
      <c r="G38" s="78">
        <f t="shared" si="1"/>
        <v>1.315789474</v>
      </c>
      <c r="H38" s="79">
        <f t="shared" si="2"/>
        <v>99.474</v>
      </c>
      <c r="I38" s="79">
        <f t="shared" si="3"/>
        <v>75.60024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hidden="1" outlineLevel="1">
      <c r="A39" s="116"/>
      <c r="B39" s="126"/>
      <c r="C39" s="117" t="s">
        <v>66</v>
      </c>
      <c r="D39" s="202">
        <v>1294.6</v>
      </c>
      <c r="E39" s="150">
        <v>4.0</v>
      </c>
      <c r="F39" s="150">
        <v>4.0</v>
      </c>
      <c r="G39" s="78">
        <f t="shared" si="1"/>
        <v>1</v>
      </c>
      <c r="H39" s="79">
        <f t="shared" si="2"/>
        <v>323.65</v>
      </c>
      <c r="I39" s="79">
        <f t="shared" si="3"/>
        <v>323.65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hidden="1" outlineLevel="1">
      <c r="A40" s="116" t="str">
        <f t="shared" ref="A40:A43" si="24">iferror(if(B40&gt;0,month(B40)&amp;"-"&amp;year(B40),B40),)</f>
        <v/>
      </c>
      <c r="B40" s="126"/>
      <c r="C40" s="117" t="s">
        <v>67</v>
      </c>
      <c r="D40" s="202">
        <v>0.0</v>
      </c>
      <c r="E40" s="150">
        <v>0.0</v>
      </c>
      <c r="F40" s="150">
        <v>0.0</v>
      </c>
      <c r="G40" s="78" t="str">
        <f t="shared" si="1"/>
        <v>#DIV/0!</v>
      </c>
      <c r="H40" s="79" t="str">
        <f t="shared" si="2"/>
        <v>#DIV/0!</v>
      </c>
      <c r="I40" s="79" t="str">
        <f t="shared" si="3"/>
        <v>#DIV/0!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hidden="1" outlineLevel="1">
      <c r="A41" s="101" t="str">
        <f t="shared" si="24"/>
        <v>2-2026</v>
      </c>
      <c r="B41" s="74">
        <v>46060.0</v>
      </c>
      <c r="C41" s="75" t="s">
        <v>68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 collapsed="1">
      <c r="A42" s="116" t="str">
        <f t="shared" si="24"/>
        <v/>
      </c>
      <c r="B42" s="213" t="s">
        <v>60</v>
      </c>
      <c r="C42" s="138"/>
      <c r="D42" s="104">
        <f t="shared" ref="D42:F42" si="25">SUM(D38:D41)</f>
        <v>3781.45</v>
      </c>
      <c r="E42" s="139">
        <f t="shared" si="25"/>
        <v>29</v>
      </c>
      <c r="F42" s="139">
        <f t="shared" si="25"/>
        <v>23</v>
      </c>
      <c r="G42" s="106">
        <f t="shared" si="1"/>
        <v>1.260869565</v>
      </c>
      <c r="H42" s="107">
        <f t="shared" si="2"/>
        <v>130.3948276</v>
      </c>
      <c r="I42" s="107">
        <f t="shared" si="3"/>
        <v>103.4165874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 outlineLevel="1">
      <c r="A43" s="101" t="str">
        <f t="shared" si="24"/>
        <v>2-2026</v>
      </c>
      <c r="B43" s="74">
        <v>46061.0</v>
      </c>
      <c r="C43" s="117" t="s">
        <v>65</v>
      </c>
      <c r="D43" s="128">
        <v>2233.1</v>
      </c>
      <c r="E43" s="146">
        <v>27.0</v>
      </c>
      <c r="F43" s="146">
        <v>24.0</v>
      </c>
      <c r="G43" s="78">
        <f t="shared" si="1"/>
        <v>1.125</v>
      </c>
      <c r="H43" s="79">
        <f t="shared" si="2"/>
        <v>82.70740741</v>
      </c>
      <c r="I43" s="79">
        <f t="shared" si="3"/>
        <v>73.51769547</v>
      </c>
      <c r="J43" s="190"/>
      <c r="K43" s="190"/>
      <c r="L43" s="190"/>
      <c r="M43" s="212"/>
      <c r="N43" s="191"/>
      <c r="O43" s="190"/>
      <c r="P43" s="192"/>
      <c r="Q43" s="193"/>
      <c r="R43" s="192"/>
      <c r="S43" s="192"/>
      <c r="T43" s="179"/>
      <c r="U43" s="194"/>
      <c r="V43" s="124"/>
      <c r="W43" s="124"/>
      <c r="X43" s="124"/>
      <c r="Y43" s="124"/>
      <c r="Z43" s="125"/>
    </row>
    <row r="44" outlineLevel="1">
      <c r="A44" s="116"/>
      <c r="B44" s="126"/>
      <c r="C44" s="117" t="s">
        <v>66</v>
      </c>
      <c r="D44" s="214">
        <v>0.0</v>
      </c>
      <c r="E44" s="146">
        <v>0.0</v>
      </c>
      <c r="F44" s="146">
        <v>0.0</v>
      </c>
      <c r="G44" s="78" t="str">
        <f t="shared" si="1"/>
        <v>#DIV/0!</v>
      </c>
      <c r="H44" s="79" t="str">
        <f t="shared" si="2"/>
        <v>#DIV/0!</v>
      </c>
      <c r="I44" s="79" t="str">
        <f t="shared" si="3"/>
        <v>#DIV/0!</v>
      </c>
      <c r="J44" s="190"/>
      <c r="K44" s="190"/>
      <c r="L44" s="190"/>
      <c r="M44" s="212"/>
      <c r="N44" s="191"/>
      <c r="O44" s="190"/>
      <c r="P44" s="192"/>
      <c r="Q44" s="193"/>
      <c r="R44" s="192"/>
      <c r="S44" s="192"/>
      <c r="T44" s="179"/>
      <c r="U44" s="194"/>
      <c r="V44" s="124"/>
      <c r="W44" s="124"/>
      <c r="X44" s="124"/>
      <c r="Y44" s="124"/>
      <c r="Z44" s="125"/>
    </row>
    <row r="45" outlineLevel="1">
      <c r="A45" s="116" t="str">
        <f t="shared" ref="A45:A48" si="28">iferror(if(B45&gt;0,month(B45)&amp;"-"&amp;year(B45),B45),)</f>
        <v/>
      </c>
      <c r="B45" s="126"/>
      <c r="C45" s="117" t="s">
        <v>67</v>
      </c>
      <c r="D45" s="214">
        <v>0.0</v>
      </c>
      <c r="E45" s="146">
        <v>0.0</v>
      </c>
      <c r="F45" s="146">
        <v>0.0</v>
      </c>
      <c r="G45" s="78" t="str">
        <f t="shared" si="1"/>
        <v>#DIV/0!</v>
      </c>
      <c r="H45" s="79" t="str">
        <f t="shared" si="2"/>
        <v>#DIV/0!</v>
      </c>
      <c r="I45" s="79" t="str">
        <f t="shared" si="3"/>
        <v>#DIV/0!</v>
      </c>
      <c r="J45" s="190"/>
      <c r="K45" s="190"/>
      <c r="L45" s="190"/>
      <c r="M45" s="212"/>
      <c r="N45" s="191"/>
      <c r="O45" s="190"/>
      <c r="P45" s="192"/>
      <c r="Q45" s="193"/>
      <c r="R45" s="192"/>
      <c r="S45" s="192"/>
      <c r="T45" s="179"/>
      <c r="U45" s="194"/>
      <c r="V45" s="124"/>
      <c r="W45" s="124"/>
      <c r="X45" s="124"/>
      <c r="Y45" s="124"/>
      <c r="Z45" s="125"/>
    </row>
    <row r="46" outlineLevel="1">
      <c r="A46" s="101" t="str">
        <f t="shared" si="28"/>
        <v>2-2026</v>
      </c>
      <c r="B46" s="74">
        <v>46067.0</v>
      </c>
      <c r="C46" s="117" t="s">
        <v>68</v>
      </c>
      <c r="D46" s="215">
        <v>0.0</v>
      </c>
      <c r="E46" s="146">
        <v>0.0</v>
      </c>
      <c r="F46" s="146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0"/>
      <c r="K46" s="190"/>
      <c r="L46" s="190"/>
      <c r="M46" s="212"/>
      <c r="N46" s="191"/>
      <c r="O46" s="190"/>
      <c r="P46" s="192"/>
      <c r="Q46" s="193"/>
      <c r="R46" s="192"/>
      <c r="S46" s="192"/>
      <c r="T46" s="179"/>
      <c r="U46" s="194"/>
      <c r="V46" s="124"/>
      <c r="W46" s="124"/>
      <c r="X46" s="124"/>
      <c r="Y46" s="124"/>
      <c r="Z46" s="125"/>
    </row>
    <row r="47">
      <c r="A47" s="116" t="str">
        <f t="shared" si="28"/>
        <v/>
      </c>
      <c r="B47" s="213" t="s">
        <v>61</v>
      </c>
      <c r="C47" s="138"/>
      <c r="D47" s="104">
        <f t="shared" ref="D47:F47" si="29">SUM(D43:D46)</f>
        <v>2233.1</v>
      </c>
      <c r="E47" s="139">
        <f t="shared" si="29"/>
        <v>27</v>
      </c>
      <c r="F47" s="139">
        <f t="shared" si="29"/>
        <v>24</v>
      </c>
      <c r="G47" s="106">
        <f t="shared" si="1"/>
        <v>1.125</v>
      </c>
      <c r="H47" s="107">
        <f t="shared" si="2"/>
        <v>82.70740741</v>
      </c>
      <c r="I47" s="107">
        <f t="shared" si="3"/>
        <v>73.51769547</v>
      </c>
      <c r="J47" s="190"/>
      <c r="K47" s="190"/>
      <c r="L47" s="190"/>
      <c r="M47" s="212"/>
      <c r="N47" s="191"/>
      <c r="O47" s="190"/>
      <c r="P47" s="192"/>
      <c r="Q47" s="193"/>
      <c r="R47" s="192"/>
      <c r="S47" s="192"/>
      <c r="T47" s="179"/>
      <c r="U47" s="194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65</v>
      </c>
      <c r="D48" s="93">
        <v>2507.29</v>
      </c>
      <c r="E48" s="150">
        <v>24.0</v>
      </c>
      <c r="F48" s="150">
        <v>24.0</v>
      </c>
      <c r="G48" s="78">
        <f t="shared" si="1"/>
        <v>1</v>
      </c>
      <c r="H48" s="79">
        <f t="shared" si="2"/>
        <v>104.4704167</v>
      </c>
      <c r="I48" s="79">
        <f t="shared" si="3"/>
        <v>104.4704167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66</v>
      </c>
      <c r="D49" s="202">
        <v>3080.0</v>
      </c>
      <c r="E49" s="150">
        <v>8.0</v>
      </c>
      <c r="F49" s="150">
        <v>1.0</v>
      </c>
      <c r="G49" s="78">
        <f t="shared" si="1"/>
        <v>8</v>
      </c>
      <c r="H49" s="79">
        <f t="shared" si="2"/>
        <v>385</v>
      </c>
      <c r="I49" s="79">
        <f t="shared" si="3"/>
        <v>48.125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3" si="32">iferror(if(B50&gt;0,month(B50)&amp;"-"&amp;year(B50),B50),)</f>
        <v/>
      </c>
      <c r="B50" s="126"/>
      <c r="C50" s="75" t="s">
        <v>67</v>
      </c>
      <c r="D50" s="202">
        <v>0.0</v>
      </c>
      <c r="E50" s="150">
        <v>0.0</v>
      </c>
      <c r="F50" s="150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68</v>
      </c>
      <c r="D51" s="203">
        <v>0.0</v>
      </c>
      <c r="E51" s="150">
        <v>0.0</v>
      </c>
      <c r="F51" s="150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103" t="s">
        <v>51</v>
      </c>
      <c r="C52" s="185"/>
      <c r="D52" s="104">
        <f t="shared" ref="D52:F52" si="33">SUM(D48:D51)</f>
        <v>5587.29</v>
      </c>
      <c r="E52" s="105">
        <f t="shared" si="33"/>
        <v>32</v>
      </c>
      <c r="F52" s="105">
        <f t="shared" si="33"/>
        <v>25</v>
      </c>
      <c r="G52" s="106">
        <f t="shared" si="1"/>
        <v>1.28</v>
      </c>
      <c r="H52" s="107">
        <f t="shared" si="2"/>
        <v>174.6028125</v>
      </c>
      <c r="I52" s="107">
        <f t="shared" si="3"/>
        <v>136.4084473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140" t="str">
        <f t="shared" ref="V52:W52" si="34">IFERROR((D52-#REF!)/D52,)</f>
        <v/>
      </c>
      <c r="W52" s="140" t="str">
        <f t="shared" si="34"/>
        <v/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01" t="str">
        <f t="shared" si="32"/>
        <v>2-2026</v>
      </c>
      <c r="B53" s="143">
        <v>46075.0</v>
      </c>
      <c r="C53" s="75" t="s">
        <v>65</v>
      </c>
      <c r="D53" s="93">
        <v>2305.99</v>
      </c>
      <c r="E53" s="150">
        <v>23.0</v>
      </c>
      <c r="F53" s="150">
        <v>23.0</v>
      </c>
      <c r="G53" s="78">
        <f t="shared" si="1"/>
        <v>1</v>
      </c>
      <c r="H53" s="79">
        <f t="shared" si="2"/>
        <v>100.2604348</v>
      </c>
      <c r="I53" s="79">
        <f t="shared" si="3"/>
        <v>100.2604348</v>
      </c>
      <c r="J53" s="195"/>
      <c r="K53" s="195"/>
      <c r="L53" s="195"/>
      <c r="M53" s="196"/>
      <c r="N53" s="197"/>
      <c r="O53" s="195"/>
      <c r="P53" s="198"/>
      <c r="Q53" s="199"/>
      <c r="R53" s="198"/>
      <c r="S53" s="198"/>
      <c r="T53" s="200"/>
      <c r="U53" s="201"/>
      <c r="V53" s="124"/>
      <c r="W53" s="124"/>
      <c r="X53" s="124"/>
      <c r="Y53" s="124"/>
      <c r="Z53" s="125"/>
    </row>
    <row r="54">
      <c r="A54" s="116"/>
      <c r="B54" s="126"/>
      <c r="C54" s="75" t="s">
        <v>66</v>
      </c>
      <c r="D54" s="202">
        <v>258.0</v>
      </c>
      <c r="E54" s="150">
        <v>1.0</v>
      </c>
      <c r="F54" s="150">
        <v>1.0</v>
      </c>
      <c r="G54" s="78">
        <f t="shared" si="1"/>
        <v>1</v>
      </c>
      <c r="H54" s="79">
        <f t="shared" si="2"/>
        <v>258</v>
      </c>
      <c r="I54" s="79">
        <f t="shared" si="3"/>
        <v>258</v>
      </c>
      <c r="J54" s="195"/>
      <c r="K54" s="195"/>
      <c r="L54" s="195"/>
      <c r="M54" s="196"/>
      <c r="N54" s="197"/>
      <c r="O54" s="195"/>
      <c r="P54" s="198"/>
      <c r="Q54" s="199"/>
      <c r="R54" s="198"/>
      <c r="S54" s="198"/>
      <c r="T54" s="200"/>
      <c r="U54" s="201"/>
      <c r="V54" s="124"/>
      <c r="W54" s="124"/>
      <c r="X54" s="124"/>
      <c r="Y54" s="124"/>
      <c r="Z54" s="125"/>
    </row>
    <row r="55">
      <c r="A55" s="116" t="str">
        <f t="shared" ref="A55:A57" si="36">iferror(if(B55&gt;0,month(B55)&amp;"-"&amp;year(B55),B55),)</f>
        <v/>
      </c>
      <c r="B55" s="126"/>
      <c r="C55" s="75" t="s">
        <v>67</v>
      </c>
      <c r="D55" s="202">
        <v>0.0</v>
      </c>
      <c r="E55" s="150">
        <v>0.0</v>
      </c>
      <c r="F55" s="150">
        <v>0.0</v>
      </c>
      <c r="G55" s="78" t="str">
        <f t="shared" si="1"/>
        <v>#DIV/0!</v>
      </c>
      <c r="H55" s="79" t="str">
        <f t="shared" si="2"/>
        <v>#DIV/0!</v>
      </c>
      <c r="I55" s="79" t="str">
        <f t="shared" si="3"/>
        <v>#DIV/0!</v>
      </c>
      <c r="J55" s="195"/>
      <c r="K55" s="195"/>
      <c r="L55" s="195"/>
      <c r="M55" s="196"/>
      <c r="N55" s="197"/>
      <c r="O55" s="195"/>
      <c r="P55" s="198"/>
      <c r="Q55" s="199"/>
      <c r="R55" s="198"/>
      <c r="S55" s="198"/>
      <c r="T55" s="200"/>
      <c r="U55" s="201"/>
      <c r="V55" s="124"/>
      <c r="W55" s="124"/>
      <c r="X55" s="124"/>
      <c r="Y55" s="124"/>
      <c r="Z55" s="125"/>
    </row>
    <row r="56">
      <c r="A56" s="101" t="str">
        <f t="shared" si="36"/>
        <v>2-2026</v>
      </c>
      <c r="B56" s="143">
        <v>46081.0</v>
      </c>
      <c r="C56" s="75" t="s">
        <v>68</v>
      </c>
      <c r="D56" s="203">
        <v>0.0</v>
      </c>
      <c r="E56" s="150">
        <v>0.0</v>
      </c>
      <c r="F56" s="150">
        <v>0.0</v>
      </c>
      <c r="G56" s="78" t="str">
        <f t="shared" si="1"/>
        <v>#DIV/0!</v>
      </c>
      <c r="H56" s="79" t="str">
        <f t="shared" si="2"/>
        <v>#DIV/0!</v>
      </c>
      <c r="I56" s="79" t="str">
        <f t="shared" si="3"/>
        <v>#DIV/0!</v>
      </c>
      <c r="J56" s="195"/>
      <c r="K56" s="195"/>
      <c r="L56" s="195"/>
      <c r="M56" s="196"/>
      <c r="N56" s="197"/>
      <c r="O56" s="195"/>
      <c r="P56" s="198"/>
      <c r="Q56" s="199"/>
      <c r="R56" s="198"/>
      <c r="S56" s="198"/>
      <c r="T56" s="200"/>
      <c r="U56" s="201"/>
      <c r="V56" s="124"/>
      <c r="W56" s="124"/>
      <c r="X56" s="124"/>
      <c r="Y56" s="124"/>
      <c r="Z56" s="125"/>
    </row>
    <row r="57">
      <c r="A57" s="116" t="str">
        <f t="shared" si="36"/>
        <v/>
      </c>
      <c r="B57" s="216" t="s">
        <v>52</v>
      </c>
      <c r="C57" s="185"/>
      <c r="D57" s="104">
        <f t="shared" ref="D57:F57" si="37">SUM(D53:D56)</f>
        <v>2563.99</v>
      </c>
      <c r="E57" s="105">
        <f t="shared" si="37"/>
        <v>24</v>
      </c>
      <c r="F57" s="105">
        <f t="shared" si="37"/>
        <v>24</v>
      </c>
      <c r="G57" s="106">
        <f t="shared" si="1"/>
        <v>1</v>
      </c>
      <c r="H57" s="107">
        <f t="shared" si="2"/>
        <v>106.8329167</v>
      </c>
      <c r="I57" s="107">
        <f t="shared" si="3"/>
        <v>106.8329167</v>
      </c>
      <c r="J57" s="205"/>
      <c r="K57" s="205"/>
      <c r="L57" s="205"/>
      <c r="M57" s="206"/>
      <c r="N57" s="207"/>
      <c r="O57" s="205"/>
      <c r="P57" s="208"/>
      <c r="Q57" s="209"/>
      <c r="R57" s="208"/>
      <c r="S57" s="208"/>
      <c r="T57" s="210"/>
      <c r="U57" s="211"/>
      <c r="V57" s="217">
        <f t="shared" ref="V57:W57" si="38">IFERROR((D57-D52)/D57,)</f>
        <v>-1.179138764</v>
      </c>
      <c r="W57" s="217">
        <f t="shared" si="38"/>
        <v>-0.3333333333</v>
      </c>
      <c r="X57" s="140" t="str">
        <f t="shared" ref="X57:Y57" si="39">IFERROR((D57-#REF!)/D57,)</f>
        <v/>
      </c>
      <c r="Y57" s="140" t="str">
        <f t="shared" si="39"/>
        <v/>
      </c>
      <c r="Z57" s="116"/>
    </row>
    <row r="58">
      <c r="A58" s="116"/>
      <c r="B58" s="116"/>
      <c r="C58" s="116"/>
      <c r="D58" s="218"/>
      <c r="E58" s="116"/>
      <c r="F58" s="116"/>
      <c r="G58" s="219"/>
      <c r="H58" s="220"/>
      <c r="I58" s="220"/>
      <c r="J58" s="190"/>
      <c r="K58" s="190"/>
      <c r="L58" s="190"/>
      <c r="M58" s="191"/>
      <c r="N58" s="191"/>
      <c r="O58" s="190"/>
      <c r="P58" s="192"/>
      <c r="Q58" s="221"/>
      <c r="R58" s="192"/>
      <c r="S58" s="222"/>
      <c r="T58" s="179"/>
      <c r="U58" s="192"/>
      <c r="V58" s="223"/>
      <c r="W58" s="223"/>
      <c r="X58" s="223"/>
      <c r="Y58" s="223"/>
      <c r="Z58" s="116"/>
    </row>
    <row r="59">
      <c r="A59" s="116"/>
      <c r="B59" s="116"/>
      <c r="C59" s="116"/>
      <c r="D59" s="218"/>
      <c r="E59" s="116"/>
      <c r="F59" s="116"/>
      <c r="G59" s="219"/>
      <c r="H59" s="220"/>
      <c r="I59" s="220"/>
      <c r="J59" s="190"/>
      <c r="K59" s="190"/>
      <c r="L59" s="190"/>
      <c r="M59" s="191"/>
      <c r="N59" s="191"/>
      <c r="O59" s="190"/>
      <c r="P59" s="192"/>
      <c r="Q59" s="221"/>
      <c r="R59" s="192"/>
      <c r="S59" s="222"/>
      <c r="T59" s="179"/>
      <c r="U59" s="192"/>
      <c r="V59" s="223"/>
      <c r="W59" s="223"/>
      <c r="X59" s="223"/>
      <c r="Y59" s="223"/>
      <c r="Z59" s="116"/>
    </row>
    <row r="60">
      <c r="A60" s="116"/>
      <c r="B60" s="116"/>
      <c r="C60" s="116"/>
      <c r="D60" s="218"/>
      <c r="E60" s="116"/>
      <c r="F60" s="116"/>
      <c r="G60" s="219"/>
      <c r="H60" s="220"/>
      <c r="I60" s="220"/>
      <c r="J60" s="190"/>
      <c r="K60" s="190"/>
      <c r="L60" s="190"/>
      <c r="M60" s="191"/>
      <c r="N60" s="191"/>
      <c r="O60" s="190"/>
      <c r="P60" s="192"/>
      <c r="Q60" s="221"/>
      <c r="R60" s="192"/>
      <c r="S60" s="222"/>
      <c r="T60" s="179"/>
      <c r="U60" s="192"/>
      <c r="V60" s="223"/>
      <c r="W60" s="223"/>
      <c r="X60" s="223"/>
      <c r="Y60" s="223"/>
      <c r="Z60" s="116"/>
    </row>
    <row r="61">
      <c r="A61" s="116"/>
      <c r="B61" s="116"/>
      <c r="C61" s="116"/>
      <c r="D61" s="218"/>
      <c r="E61" s="116"/>
      <c r="F61" s="116"/>
      <c r="G61" s="219"/>
      <c r="H61" s="220"/>
      <c r="I61" s="220"/>
      <c r="J61" s="190"/>
      <c r="K61" s="190"/>
      <c r="L61" s="190"/>
      <c r="M61" s="191"/>
      <c r="N61" s="191"/>
      <c r="O61" s="190"/>
      <c r="P61" s="192"/>
      <c r="Q61" s="221"/>
      <c r="R61" s="192"/>
      <c r="S61" s="222"/>
      <c r="T61" s="179"/>
      <c r="U61" s="192"/>
      <c r="V61" s="223"/>
      <c r="W61" s="223"/>
      <c r="X61" s="223"/>
      <c r="Y61" s="223"/>
      <c r="Z61" s="116"/>
    </row>
    <row r="62">
      <c r="A62" s="116"/>
      <c r="B62" s="116"/>
      <c r="C62" s="116"/>
      <c r="D62" s="218"/>
      <c r="E62" s="116"/>
      <c r="F62" s="116"/>
      <c r="G62" s="219"/>
      <c r="H62" s="220"/>
      <c r="I62" s="220"/>
      <c r="J62" s="190"/>
      <c r="K62" s="190"/>
      <c r="L62" s="190"/>
      <c r="M62" s="191"/>
      <c r="N62" s="191"/>
      <c r="O62" s="190"/>
      <c r="P62" s="192"/>
      <c r="Q62" s="221"/>
      <c r="R62" s="192"/>
      <c r="S62" s="222"/>
      <c r="T62" s="179"/>
      <c r="U62" s="192"/>
      <c r="V62" s="223"/>
      <c r="W62" s="223"/>
      <c r="X62" s="223"/>
      <c r="Y62" s="223"/>
      <c r="Z62" s="116"/>
    </row>
    <row r="63">
      <c r="A63" s="116"/>
      <c r="B63" s="116"/>
      <c r="C63" s="116"/>
      <c r="D63" s="218"/>
      <c r="E63" s="116"/>
      <c r="F63" s="116"/>
      <c r="G63" s="219"/>
      <c r="H63" s="220"/>
      <c r="I63" s="220"/>
      <c r="J63" s="190"/>
      <c r="K63" s="190"/>
      <c r="L63" s="190"/>
      <c r="M63" s="191"/>
      <c r="N63" s="191"/>
      <c r="O63" s="190"/>
      <c r="P63" s="192"/>
      <c r="Q63" s="221"/>
      <c r="R63" s="192"/>
      <c r="S63" s="222"/>
      <c r="T63" s="179"/>
      <c r="U63" s="192"/>
      <c r="V63" s="223"/>
      <c r="W63" s="223"/>
      <c r="X63" s="223"/>
      <c r="Y63" s="223"/>
      <c r="Z63" s="116"/>
    </row>
    <row r="64">
      <c r="A64" s="116"/>
      <c r="B64" s="116"/>
      <c r="C64" s="116"/>
      <c r="D64" s="218"/>
      <c r="E64" s="116"/>
      <c r="F64" s="116"/>
      <c r="G64" s="219"/>
      <c r="H64" s="220"/>
      <c r="I64" s="220"/>
      <c r="J64" s="190"/>
      <c r="K64" s="190"/>
      <c r="L64" s="190"/>
      <c r="M64" s="191"/>
      <c r="N64" s="191"/>
      <c r="O64" s="190"/>
      <c r="P64" s="192"/>
      <c r="Q64" s="221"/>
      <c r="R64" s="192"/>
      <c r="S64" s="222"/>
      <c r="T64" s="179"/>
      <c r="U64" s="192"/>
      <c r="V64" s="223"/>
      <c r="W64" s="223"/>
      <c r="X64" s="223"/>
      <c r="Y64" s="223"/>
      <c r="Z64" s="116"/>
    </row>
    <row r="65">
      <c r="A65" s="116"/>
      <c r="B65" s="116"/>
      <c r="C65" s="116"/>
      <c r="D65" s="218"/>
      <c r="E65" s="116"/>
      <c r="F65" s="116"/>
      <c r="G65" s="219"/>
      <c r="H65" s="220"/>
      <c r="I65" s="220"/>
      <c r="J65" s="190"/>
      <c r="K65" s="190"/>
      <c r="L65" s="190"/>
      <c r="M65" s="191"/>
      <c r="N65" s="191"/>
      <c r="O65" s="190"/>
      <c r="P65" s="192"/>
      <c r="Q65" s="221"/>
      <c r="R65" s="192"/>
      <c r="S65" s="222"/>
      <c r="T65" s="179"/>
      <c r="U65" s="192"/>
      <c r="V65" s="223"/>
      <c r="W65" s="223"/>
      <c r="X65" s="223"/>
      <c r="Y65" s="223"/>
      <c r="Z65" s="116"/>
    </row>
    <row r="66">
      <c r="A66" s="116"/>
      <c r="B66" s="116"/>
      <c r="C66" s="116"/>
      <c r="D66" s="218"/>
      <c r="E66" s="116"/>
      <c r="F66" s="116"/>
      <c r="G66" s="219"/>
      <c r="H66" s="220"/>
      <c r="I66" s="220"/>
      <c r="J66" s="190"/>
      <c r="K66" s="190"/>
      <c r="L66" s="190"/>
      <c r="M66" s="191"/>
      <c r="N66" s="191"/>
      <c r="O66" s="190"/>
      <c r="P66" s="192"/>
      <c r="Q66" s="221"/>
      <c r="R66" s="192"/>
      <c r="S66" s="222"/>
      <c r="T66" s="179"/>
      <c r="U66" s="192"/>
      <c r="V66" s="223"/>
      <c r="W66" s="223"/>
      <c r="X66" s="223"/>
      <c r="Y66" s="223"/>
      <c r="Z66" s="116"/>
    </row>
    <row r="67">
      <c r="A67" s="116"/>
      <c r="B67" s="116"/>
      <c r="C67" s="116"/>
      <c r="D67" s="218"/>
      <c r="E67" s="116"/>
      <c r="F67" s="116"/>
      <c r="G67" s="219"/>
      <c r="H67" s="220"/>
      <c r="I67" s="220"/>
      <c r="J67" s="190"/>
      <c r="K67" s="190"/>
      <c r="L67" s="190"/>
      <c r="M67" s="191"/>
      <c r="N67" s="191"/>
      <c r="O67" s="190"/>
      <c r="P67" s="192"/>
      <c r="Q67" s="221"/>
      <c r="R67" s="192"/>
      <c r="S67" s="222"/>
      <c r="T67" s="179"/>
      <c r="U67" s="192"/>
      <c r="V67" s="223"/>
      <c r="W67" s="223"/>
      <c r="X67" s="223"/>
      <c r="Y67" s="223"/>
      <c r="Z67" s="116"/>
    </row>
    <row r="68">
      <c r="A68" s="116"/>
      <c r="B68" s="116"/>
      <c r="C68" s="116"/>
      <c r="D68" s="218"/>
      <c r="E68" s="116"/>
      <c r="F68" s="116"/>
      <c r="G68" s="219"/>
      <c r="H68" s="220"/>
      <c r="I68" s="220"/>
      <c r="J68" s="190"/>
      <c r="K68" s="190"/>
      <c r="L68" s="190"/>
      <c r="M68" s="191"/>
      <c r="N68" s="191"/>
      <c r="O68" s="190"/>
      <c r="P68" s="192"/>
      <c r="Q68" s="221"/>
      <c r="R68" s="192"/>
      <c r="S68" s="222"/>
      <c r="T68" s="179"/>
      <c r="U68" s="192"/>
      <c r="V68" s="223"/>
      <c r="W68" s="223"/>
      <c r="X68" s="223"/>
      <c r="Y68" s="223"/>
      <c r="Z68" s="116"/>
    </row>
    <row r="69">
      <c r="A69" s="116"/>
      <c r="B69" s="116"/>
      <c r="C69" s="116"/>
      <c r="D69" s="218"/>
      <c r="E69" s="116"/>
      <c r="F69" s="116"/>
      <c r="G69" s="219"/>
      <c r="H69" s="220"/>
      <c r="I69" s="220"/>
      <c r="J69" s="190"/>
      <c r="K69" s="190"/>
      <c r="L69" s="190"/>
      <c r="M69" s="191"/>
      <c r="N69" s="191"/>
      <c r="O69" s="190"/>
      <c r="P69" s="192"/>
      <c r="Q69" s="221"/>
      <c r="R69" s="192"/>
      <c r="S69" s="222"/>
      <c r="T69" s="179"/>
      <c r="U69" s="192"/>
      <c r="V69" s="223"/>
      <c r="W69" s="223"/>
      <c r="X69" s="223"/>
      <c r="Y69" s="223"/>
      <c r="Z69" s="116"/>
    </row>
    <row r="70">
      <c r="A70" s="116"/>
      <c r="B70" s="116"/>
      <c r="C70" s="116"/>
      <c r="D70" s="218"/>
      <c r="E70" s="116"/>
      <c r="F70" s="116"/>
      <c r="G70" s="219"/>
      <c r="H70" s="220"/>
      <c r="I70" s="220"/>
      <c r="J70" s="224"/>
      <c r="K70" s="224"/>
      <c r="L70" s="224"/>
      <c r="M70" s="225"/>
      <c r="N70" s="225"/>
      <c r="O70" s="224"/>
      <c r="P70" s="226"/>
      <c r="Q70" s="227"/>
      <c r="R70" s="226"/>
      <c r="S70" s="228"/>
      <c r="T70" s="229"/>
      <c r="U70" s="226"/>
      <c r="V70" s="223"/>
      <c r="W70" s="223"/>
      <c r="X70" s="223"/>
      <c r="Y70" s="223"/>
      <c r="Z70" s="116"/>
    </row>
    <row r="71">
      <c r="A71" s="116"/>
      <c r="B71" s="116"/>
      <c r="C71" s="116"/>
      <c r="D71" s="218"/>
      <c r="E71" s="116"/>
      <c r="F71" s="116"/>
      <c r="G71" s="219"/>
      <c r="H71" s="220"/>
      <c r="I71" s="116"/>
      <c r="J71" s="224"/>
      <c r="K71" s="224"/>
      <c r="L71" s="224"/>
      <c r="M71" s="225"/>
      <c r="N71" s="225"/>
      <c r="O71" s="224"/>
      <c r="P71" s="226"/>
      <c r="Q71" s="227"/>
      <c r="R71" s="226"/>
      <c r="S71" s="228"/>
      <c r="T71" s="229"/>
      <c r="U71" s="226"/>
      <c r="V71" s="223"/>
      <c r="W71" s="223"/>
      <c r="X71" s="223"/>
      <c r="Y71" s="223"/>
      <c r="Z71" s="116"/>
    </row>
    <row r="72"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</row>
    <row r="73"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</row>
    <row r="74"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</row>
    <row r="76"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  <row r="77"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</row>
    <row r="78"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</row>
    <row r="79"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</row>
    <row r="80"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</row>
    <row r="81"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</row>
    <row r="82"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</row>
    <row r="83"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</row>
    <row r="84"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</row>
    <row r="85"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</row>
    <row r="86"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  <row r="971"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</row>
    <row r="972"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</row>
    <row r="973"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</row>
    <row r="974"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</row>
    <row r="975"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 B57">
      <formula1>"Previous Week,Current Week"</formula1>
    </dataValidation>
  </dataValidations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/>
  </sheetViews>
  <sheetFormatPr customHeight="1" defaultColWidth="12.63" defaultRowHeight="15.75" outlineLevelRow="1"/>
  <sheetData>
    <row r="1">
      <c r="A1" s="1" t="s">
        <v>70</v>
      </c>
      <c r="B1" s="2"/>
      <c r="C1" s="125"/>
      <c r="D1" s="151"/>
      <c r="E1" s="151"/>
      <c r="F1" s="151"/>
      <c r="G1" s="151"/>
      <c r="H1" s="151"/>
      <c r="I1" s="151"/>
      <c r="J1" s="151"/>
      <c r="K1" s="152"/>
      <c r="L1" s="152"/>
      <c r="M1" s="151"/>
      <c r="N1" s="151"/>
      <c r="O1" s="151"/>
      <c r="P1" s="151"/>
      <c r="Q1" s="151"/>
      <c r="R1" s="151"/>
      <c r="S1" s="151"/>
      <c r="T1" s="153"/>
      <c r="U1" s="153"/>
      <c r="V1" s="151"/>
      <c r="W1" s="151"/>
      <c r="X1" s="151"/>
      <c r="Y1" s="151"/>
      <c r="Z1" s="151"/>
    </row>
    <row r="2">
      <c r="A2" s="154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125"/>
    </row>
    <row r="3">
      <c r="A3" s="116"/>
      <c r="B3" s="155"/>
      <c r="C3" s="156" t="s">
        <v>2</v>
      </c>
      <c r="D3" s="116"/>
      <c r="E3" s="116"/>
      <c r="F3" s="157" t="s">
        <v>3</v>
      </c>
      <c r="G3" s="10"/>
      <c r="H3" s="10"/>
      <c r="I3" s="8"/>
      <c r="J3" s="158" t="s">
        <v>4</v>
      </c>
      <c r="K3" s="10"/>
      <c r="L3" s="10"/>
      <c r="M3" s="10"/>
      <c r="N3" s="8"/>
      <c r="O3" s="125"/>
      <c r="P3" s="125"/>
      <c r="Q3" s="125"/>
      <c r="R3" s="125"/>
      <c r="S3" s="125"/>
      <c r="T3" s="159"/>
      <c r="U3" s="159"/>
      <c r="V3" s="125"/>
      <c r="W3" s="125"/>
      <c r="X3" s="125"/>
      <c r="Y3" s="125"/>
      <c r="Z3" s="125"/>
    </row>
    <row r="4">
      <c r="A4" s="116"/>
      <c r="B4" s="155"/>
      <c r="C4" s="160">
        <f>VLOOKUP("Current Week",$B$11:$Z$57,match("SALES",$B$11:$Z$11,0),FALSE)</f>
        <v>0.2977440659</v>
      </c>
      <c r="D4" s="116"/>
      <c r="E4" s="116"/>
      <c r="F4" s="161">
        <f>VLOOKUP("Current Week",$B$11:$Z$57,match("Units Sold",$B$11:$Z$11,0),FALSE)</f>
        <v>7</v>
      </c>
      <c r="G4" s="10"/>
      <c r="H4" s="8"/>
      <c r="I4" s="125"/>
      <c r="J4" s="161">
        <f>VLOOKUP("Current Week",$B$11:$Z$57,match("Ordered Items",$B$11:$Z$11,0),FALSE)</f>
        <v>7</v>
      </c>
      <c r="K4" s="10"/>
      <c r="L4" s="10"/>
      <c r="M4" s="8"/>
      <c r="N4" s="125"/>
      <c r="O4" s="125"/>
      <c r="P4" s="125"/>
      <c r="Q4" s="125"/>
      <c r="R4" s="125"/>
      <c r="S4" s="125"/>
      <c r="T4" s="159"/>
      <c r="U4" s="159"/>
      <c r="V4" s="125"/>
      <c r="W4" s="125"/>
      <c r="X4" s="125"/>
      <c r="Y4" s="125"/>
      <c r="Z4" s="125"/>
    </row>
    <row r="5">
      <c r="A5" s="162"/>
      <c r="B5" s="163"/>
      <c r="C5" s="164">
        <f>(C4-(VLOOKUP("Previous Week",$B$11:$Z$61,match("SALES",$B$11:$Z$11,0),FALSE)))/C4</f>
        <v>1</v>
      </c>
      <c r="D5" s="116"/>
      <c r="E5" s="116"/>
      <c r="F5" s="165">
        <f>(F4-(VLOOKUP("Previous Week",$B$11:$Z$71,match("Units Sold",$B$11:$Z$11,0),FALSE)))/F4</f>
        <v>-0.4285714286</v>
      </c>
      <c r="G5" s="10"/>
      <c r="H5" s="10"/>
      <c r="I5" s="8"/>
      <c r="J5" s="165">
        <f>(J4-(VLOOKUP("Previous Week",$B$11:$Z$71,match("Ordered Items",$B$11:$Z$11,0),FALSE)))/J4</f>
        <v>-0.4285714286</v>
      </c>
      <c r="K5" s="10"/>
      <c r="L5" s="10"/>
      <c r="M5" s="10"/>
      <c r="N5" s="8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>
      <c r="A6" s="116"/>
      <c r="B6" s="155"/>
      <c r="C6" s="125"/>
      <c r="D6" s="116"/>
      <c r="E6" s="116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59"/>
      <c r="U6" s="159"/>
      <c r="V6" s="125"/>
      <c r="W6" s="125"/>
      <c r="X6" s="125"/>
      <c r="Y6" s="125"/>
      <c r="Z6" s="125"/>
    </row>
    <row r="7">
      <c r="A7" s="116"/>
      <c r="B7" s="155"/>
      <c r="C7" s="156" t="s">
        <v>5</v>
      </c>
      <c r="D7" s="116"/>
      <c r="E7" s="116"/>
      <c r="F7" s="158" t="s">
        <v>6</v>
      </c>
      <c r="G7" s="10"/>
      <c r="H7" s="10"/>
      <c r="I7" s="8"/>
      <c r="J7" s="158" t="s">
        <v>7</v>
      </c>
      <c r="K7" s="10"/>
      <c r="L7" s="10"/>
      <c r="M7" s="10"/>
      <c r="N7" s="8"/>
      <c r="O7" s="125"/>
      <c r="P7" s="125"/>
      <c r="Q7" s="125"/>
      <c r="R7" s="125"/>
      <c r="S7" s="125"/>
      <c r="T7" s="159"/>
      <c r="U7" s="159"/>
      <c r="V7" s="125"/>
      <c r="W7" s="125"/>
      <c r="X7" s="125"/>
      <c r="Y7" s="125"/>
      <c r="Z7" s="125"/>
    </row>
    <row r="8">
      <c r="A8" s="116"/>
      <c r="B8" s="155"/>
      <c r="C8" s="160" t="str">
        <f>VLOOKUP("Current Week",$B$11:$Z$57,match("AD SALES",$B$11:$Z$11,0),FALSE)</f>
        <v>#N/A</v>
      </c>
      <c r="D8" s="116"/>
      <c r="E8" s="116"/>
      <c r="F8" s="167" t="str">
        <f>VLOOKUP("Current Week",$B$11:$Z$57,match("SP AD SPEND",$B$11:$Z$11,0),FALSE)</f>
        <v>#N/A</v>
      </c>
      <c r="G8" s="10"/>
      <c r="H8" s="8"/>
      <c r="I8" s="125"/>
      <c r="J8" s="168" t="str">
        <f>F8/C8</f>
        <v>#N/A</v>
      </c>
      <c r="K8" s="10"/>
      <c r="L8" s="10"/>
      <c r="M8" s="8"/>
      <c r="N8" s="125"/>
      <c r="O8" s="125"/>
      <c r="P8" s="125"/>
      <c r="Q8" s="125"/>
      <c r="R8" s="125"/>
      <c r="S8" s="125"/>
      <c r="T8" s="159"/>
      <c r="U8" s="159"/>
      <c r="V8" s="125"/>
      <c r="W8" s="125"/>
      <c r="X8" s="125"/>
      <c r="Y8" s="125"/>
      <c r="Z8" s="125"/>
    </row>
    <row r="9">
      <c r="A9" s="116"/>
      <c r="B9" s="155"/>
      <c r="C9" s="169" t="str">
        <f>(C8-(VLOOKUP("Previous Week",$B$11:$Z$71,match("AD SALES",$B$11:$Z$11,0),FALSE)))/C8</f>
        <v>#N/A</v>
      </c>
      <c r="D9" s="116"/>
      <c r="E9" s="116"/>
      <c r="F9" s="170" t="str">
        <f>(F8-(VLOOKUP("Previous Week",$B$11:$Z$71,match("SP AD SPEND",$B$11:$Z$11,0),FALSE)))/F8</f>
        <v>#N/A</v>
      </c>
      <c r="I9" s="35"/>
      <c r="J9" s="170" t="str">
        <f>(J8-(VLOOKUP("Previous Week",$B$11:$Z$71,match("ACOS",$B$11:$Z$11,0),FALSE)))/J8</f>
        <v>#N/A</v>
      </c>
      <c r="N9" s="35"/>
      <c r="O9" s="171"/>
      <c r="P9" s="171"/>
      <c r="Q9" s="171"/>
      <c r="R9" s="171"/>
      <c r="S9" s="171"/>
      <c r="T9" s="172"/>
      <c r="U9" s="172"/>
      <c r="V9" s="171"/>
      <c r="W9" s="171"/>
      <c r="X9" s="171"/>
      <c r="Y9" s="171"/>
      <c r="Z9" s="125"/>
    </row>
    <row r="10">
      <c r="A10" s="116"/>
      <c r="B10" s="173"/>
      <c r="C10" s="174"/>
      <c r="D10" s="41" t="s">
        <v>8</v>
      </c>
      <c r="E10" s="42"/>
      <c r="F10" s="42"/>
      <c r="G10" s="42"/>
      <c r="H10" s="42"/>
      <c r="I10" s="42"/>
      <c r="J10" s="43"/>
      <c r="K10" s="175"/>
      <c r="L10" s="176"/>
      <c r="M10" s="177"/>
      <c r="N10" s="177"/>
      <c r="O10" s="177"/>
      <c r="P10" s="177"/>
      <c r="Q10" s="177"/>
      <c r="R10" s="177"/>
      <c r="S10" s="178"/>
      <c r="T10" s="179"/>
      <c r="U10" s="179"/>
      <c r="V10" s="49" t="s">
        <v>10</v>
      </c>
      <c r="W10" s="43"/>
      <c r="X10" s="41" t="s">
        <v>11</v>
      </c>
      <c r="Y10" s="43"/>
      <c r="Z10" s="125"/>
    </row>
    <row r="11">
      <c r="A11" s="50" t="s">
        <v>12</v>
      </c>
      <c r="B11" s="51" t="s">
        <v>13</v>
      </c>
      <c r="C11" s="53" t="s">
        <v>63</v>
      </c>
      <c r="D11" s="52" t="s">
        <v>64</v>
      </c>
      <c r="E11" s="54" t="s">
        <v>16</v>
      </c>
      <c r="F11" s="54" t="s">
        <v>17</v>
      </c>
      <c r="G11" s="54" t="s">
        <v>18</v>
      </c>
      <c r="H11" s="54" t="s">
        <v>19</v>
      </c>
      <c r="I11" s="54" t="s">
        <v>20</v>
      </c>
      <c r="J11" s="180"/>
      <c r="K11" s="180"/>
      <c r="L11" s="180"/>
      <c r="M11" s="181"/>
      <c r="N11" s="181"/>
      <c r="O11" s="181"/>
      <c r="P11" s="181"/>
      <c r="Q11" s="181"/>
      <c r="R11" s="181"/>
      <c r="S11" s="181"/>
      <c r="T11" s="182"/>
      <c r="U11" s="181"/>
      <c r="V11" s="58" t="s">
        <v>15</v>
      </c>
      <c r="W11" s="56" t="s">
        <v>30</v>
      </c>
      <c r="X11" s="58" t="s">
        <v>15</v>
      </c>
      <c r="Y11" s="56" t="s">
        <v>30</v>
      </c>
      <c r="Z11" s="171"/>
    </row>
    <row r="12">
      <c r="A12" s="183"/>
      <c r="B12" s="184"/>
      <c r="C12" s="185"/>
      <c r="D12" s="186"/>
      <c r="E12" s="187"/>
      <c r="F12" s="187"/>
      <c r="G12" s="188"/>
      <c r="H12" s="189"/>
      <c r="I12" s="189"/>
      <c r="J12" s="190"/>
      <c r="K12" s="190"/>
      <c r="L12" s="190"/>
      <c r="M12" s="191"/>
      <c r="N12" s="191"/>
      <c r="O12" s="190"/>
      <c r="P12" s="192"/>
      <c r="Q12" s="193"/>
      <c r="R12" s="192"/>
      <c r="S12" s="192"/>
      <c r="T12" s="179"/>
      <c r="U12" s="194"/>
      <c r="V12" s="140"/>
      <c r="W12" s="140"/>
      <c r="X12" s="140"/>
      <c r="Y12" s="140"/>
      <c r="Z12" s="116"/>
    </row>
    <row r="13" hidden="1" outlineLevel="1">
      <c r="A13" s="101" t="str">
        <f>iferror(if(B13&gt;0,month(B13)&amp;"-"&amp;year(B13),B13),)</f>
        <v>12-2025</v>
      </c>
      <c r="B13" s="74">
        <v>46019.0</v>
      </c>
      <c r="C13" s="75" t="s">
        <v>65</v>
      </c>
      <c r="D13" s="93">
        <v>1724.74</v>
      </c>
      <c r="E13" s="150">
        <v>15.0</v>
      </c>
      <c r="F13" s="150">
        <v>12.0</v>
      </c>
      <c r="G13" s="78">
        <f t="shared" ref="G13:G57" si="1">E13/F13</f>
        <v>1.25</v>
      </c>
      <c r="H13" s="79">
        <f t="shared" ref="H13:H57" si="2">D13/E13</f>
        <v>114.9826667</v>
      </c>
      <c r="I13" s="79">
        <f t="shared" ref="I13:I57" si="3">H13/G13</f>
        <v>91.98613333</v>
      </c>
      <c r="J13" s="195"/>
      <c r="K13" s="195"/>
      <c r="L13" s="195"/>
      <c r="M13" s="196"/>
      <c r="N13" s="197"/>
      <c r="O13" s="195"/>
      <c r="P13" s="198"/>
      <c r="Q13" s="199"/>
      <c r="R13" s="198"/>
      <c r="S13" s="198"/>
      <c r="T13" s="200"/>
      <c r="U13" s="201"/>
      <c r="V13" s="124"/>
      <c r="W13" s="124"/>
      <c r="X13" s="124"/>
      <c r="Y13" s="124"/>
      <c r="Z13" s="125"/>
    </row>
    <row r="14" hidden="1" outlineLevel="1">
      <c r="A14" s="116"/>
      <c r="B14" s="126"/>
      <c r="C14" s="75" t="s">
        <v>66</v>
      </c>
      <c r="D14" s="202">
        <v>521.25</v>
      </c>
      <c r="E14" s="150">
        <v>7.0</v>
      </c>
      <c r="F14" s="150">
        <v>5.0</v>
      </c>
      <c r="G14" s="78">
        <f t="shared" si="1"/>
        <v>1.4</v>
      </c>
      <c r="H14" s="79">
        <f t="shared" si="2"/>
        <v>74.46428571</v>
      </c>
      <c r="I14" s="79">
        <f t="shared" si="3"/>
        <v>53.18877551</v>
      </c>
      <c r="J14" s="195"/>
      <c r="K14" s="195"/>
      <c r="L14" s="195"/>
      <c r="M14" s="196"/>
      <c r="N14" s="197"/>
      <c r="O14" s="195"/>
      <c r="P14" s="198"/>
      <c r="Q14" s="199"/>
      <c r="R14" s="198"/>
      <c r="S14" s="198"/>
      <c r="T14" s="200"/>
      <c r="U14" s="201"/>
      <c r="V14" s="124"/>
      <c r="W14" s="124"/>
      <c r="X14" s="124"/>
      <c r="Y14" s="124"/>
      <c r="Z14" s="125"/>
    </row>
    <row r="15" hidden="1" outlineLevel="1">
      <c r="A15" s="116" t="str">
        <f t="shared" ref="A15:A18" si="4">iferror(if(B15&gt;0,month(B15)&amp;"-"&amp;year(B15),B15),)</f>
        <v/>
      </c>
      <c r="B15" s="126"/>
      <c r="C15" s="75" t="s">
        <v>67</v>
      </c>
      <c r="D15" s="202">
        <v>19.0</v>
      </c>
      <c r="E15" s="150">
        <v>1.0</v>
      </c>
      <c r="F15" s="150">
        <v>1.0</v>
      </c>
      <c r="G15" s="78">
        <f t="shared" si="1"/>
        <v>1</v>
      </c>
      <c r="H15" s="79">
        <f t="shared" si="2"/>
        <v>19</v>
      </c>
      <c r="I15" s="79">
        <f t="shared" si="3"/>
        <v>19</v>
      </c>
      <c r="J15" s="195"/>
      <c r="K15" s="195"/>
      <c r="L15" s="195"/>
      <c r="M15" s="196"/>
      <c r="N15" s="197"/>
      <c r="O15" s="195"/>
      <c r="P15" s="198"/>
      <c r="Q15" s="199"/>
      <c r="R15" s="198"/>
      <c r="S15" s="198"/>
      <c r="T15" s="200"/>
      <c r="U15" s="201"/>
      <c r="V15" s="124"/>
      <c r="W15" s="124"/>
      <c r="X15" s="124"/>
      <c r="Y15" s="124"/>
      <c r="Z15" s="125"/>
    </row>
    <row r="16" hidden="1" outlineLevel="1">
      <c r="A16" s="101" t="str">
        <f t="shared" si="4"/>
        <v>1-2026</v>
      </c>
      <c r="B16" s="143">
        <v>46025.0</v>
      </c>
      <c r="C16" s="75" t="s">
        <v>68</v>
      </c>
      <c r="D16" s="203">
        <v>0.0</v>
      </c>
      <c r="E16" s="150">
        <v>0.0</v>
      </c>
      <c r="F16" s="150">
        <v>0.0</v>
      </c>
      <c r="G16" s="78" t="str">
        <f t="shared" si="1"/>
        <v>#DIV/0!</v>
      </c>
      <c r="H16" s="79" t="str">
        <f t="shared" si="2"/>
        <v>#DIV/0!</v>
      </c>
      <c r="I16" s="79" t="str">
        <f t="shared" si="3"/>
        <v>#DIV/0!</v>
      </c>
      <c r="J16" s="195"/>
      <c r="K16" s="195"/>
      <c r="L16" s="195"/>
      <c r="M16" s="196"/>
      <c r="N16" s="197"/>
      <c r="O16" s="195"/>
      <c r="P16" s="198"/>
      <c r="Q16" s="199"/>
      <c r="R16" s="198"/>
      <c r="S16" s="198"/>
      <c r="T16" s="200"/>
      <c r="U16" s="201"/>
      <c r="V16" s="124"/>
      <c r="W16" s="124"/>
      <c r="X16" s="124"/>
      <c r="Y16" s="124"/>
      <c r="Z16" s="125"/>
    </row>
    <row r="17" collapsed="1">
      <c r="A17" s="116" t="str">
        <f t="shared" si="4"/>
        <v/>
      </c>
      <c r="B17" s="204" t="s">
        <v>55</v>
      </c>
      <c r="C17" s="185"/>
      <c r="D17" s="104">
        <f t="shared" ref="D17:F17" si="5">SUM(D13:D16)</f>
        <v>2264.99</v>
      </c>
      <c r="E17" s="105">
        <f t="shared" si="5"/>
        <v>23</v>
      </c>
      <c r="F17" s="105">
        <f t="shared" si="5"/>
        <v>18</v>
      </c>
      <c r="G17" s="106">
        <f t="shared" si="1"/>
        <v>1.277777778</v>
      </c>
      <c r="H17" s="107">
        <f t="shared" si="2"/>
        <v>98.47782609</v>
      </c>
      <c r="I17" s="107">
        <f t="shared" si="3"/>
        <v>77.06960302</v>
      </c>
      <c r="J17" s="205"/>
      <c r="K17" s="205"/>
      <c r="L17" s="205"/>
      <c r="M17" s="206"/>
      <c r="N17" s="207"/>
      <c r="O17" s="205"/>
      <c r="P17" s="208"/>
      <c r="Q17" s="209"/>
      <c r="R17" s="208"/>
      <c r="S17" s="208"/>
      <c r="T17" s="210"/>
      <c r="U17" s="211"/>
      <c r="V17" s="140" t="str">
        <f t="shared" ref="V17:W17" si="6">IFERROR((D17-#REF!)/D17,)</f>
        <v/>
      </c>
      <c r="W17" s="140" t="str">
        <f t="shared" si="6"/>
        <v/>
      </c>
      <c r="X17" s="140" t="str">
        <f t="shared" ref="X17:Y17" si="7">IFERROR((D17-#REF!)/D17,)</f>
        <v/>
      </c>
      <c r="Y17" s="140" t="str">
        <f t="shared" si="7"/>
        <v/>
      </c>
      <c r="Z17" s="116"/>
    </row>
    <row r="18" hidden="1" outlineLevel="1">
      <c r="A18" s="101" t="str">
        <f t="shared" si="4"/>
        <v>1-2026</v>
      </c>
      <c r="B18" s="74">
        <v>46026.0</v>
      </c>
      <c r="C18" s="75" t="s">
        <v>65</v>
      </c>
      <c r="D18" s="93">
        <v>1821.45</v>
      </c>
      <c r="E18" s="150">
        <v>11.0</v>
      </c>
      <c r="F18" s="150">
        <v>11.0</v>
      </c>
      <c r="G18" s="78">
        <f t="shared" si="1"/>
        <v>1</v>
      </c>
      <c r="H18" s="79">
        <f t="shared" si="2"/>
        <v>165.5863636</v>
      </c>
      <c r="I18" s="79">
        <f t="shared" si="3"/>
        <v>165.5863636</v>
      </c>
      <c r="J18" s="195"/>
      <c r="K18" s="195"/>
      <c r="L18" s="195"/>
      <c r="M18" s="196"/>
      <c r="N18" s="197"/>
      <c r="O18" s="195"/>
      <c r="P18" s="198"/>
      <c r="Q18" s="199"/>
      <c r="R18" s="198"/>
      <c r="S18" s="198"/>
      <c r="T18" s="200"/>
      <c r="U18" s="201"/>
      <c r="V18" s="124"/>
      <c r="W18" s="124"/>
      <c r="X18" s="124"/>
      <c r="Y18" s="124"/>
      <c r="Z18" s="125"/>
    </row>
    <row r="19" hidden="1" outlineLevel="1">
      <c r="A19" s="116"/>
      <c r="B19" s="126"/>
      <c r="C19" s="75" t="s">
        <v>66</v>
      </c>
      <c r="D19" s="202">
        <v>1649.5</v>
      </c>
      <c r="E19" s="150">
        <v>11.0</v>
      </c>
      <c r="F19" s="150">
        <v>8.0</v>
      </c>
      <c r="G19" s="78">
        <f t="shared" si="1"/>
        <v>1.375</v>
      </c>
      <c r="H19" s="79">
        <f t="shared" si="2"/>
        <v>149.9545455</v>
      </c>
      <c r="I19" s="79">
        <f t="shared" si="3"/>
        <v>109.0578512</v>
      </c>
      <c r="J19" s="195"/>
      <c r="K19" s="195"/>
      <c r="L19" s="195"/>
      <c r="M19" s="196"/>
      <c r="N19" s="197"/>
      <c r="O19" s="195"/>
      <c r="P19" s="198"/>
      <c r="Q19" s="199"/>
      <c r="R19" s="198"/>
      <c r="S19" s="198"/>
      <c r="T19" s="200"/>
      <c r="U19" s="201"/>
      <c r="V19" s="124"/>
      <c r="W19" s="124"/>
      <c r="X19" s="124"/>
      <c r="Y19" s="124"/>
      <c r="Z19" s="125"/>
    </row>
    <row r="20" hidden="1" outlineLevel="1">
      <c r="A20" s="116" t="str">
        <f t="shared" ref="A20:A23" si="8">iferror(if(B20&gt;0,month(B20)&amp;"-"&amp;year(B20),B20),)</f>
        <v/>
      </c>
      <c r="B20" s="126"/>
      <c r="C20" s="75" t="s">
        <v>67</v>
      </c>
      <c r="D20" s="202">
        <v>0.0</v>
      </c>
      <c r="E20" s="150">
        <v>0.0</v>
      </c>
      <c r="F20" s="150">
        <v>0.0</v>
      </c>
      <c r="G20" s="78" t="str">
        <f t="shared" si="1"/>
        <v>#DIV/0!</v>
      </c>
      <c r="H20" s="79" t="str">
        <f t="shared" si="2"/>
        <v>#DIV/0!</v>
      </c>
      <c r="I20" s="79" t="str">
        <f t="shared" si="3"/>
        <v>#DIV/0!</v>
      </c>
      <c r="J20" s="195"/>
      <c r="K20" s="195"/>
      <c r="L20" s="195"/>
      <c r="M20" s="196"/>
      <c r="N20" s="197"/>
      <c r="O20" s="195"/>
      <c r="P20" s="198"/>
      <c r="Q20" s="199"/>
      <c r="R20" s="198"/>
      <c r="S20" s="198"/>
      <c r="T20" s="200"/>
      <c r="U20" s="201"/>
      <c r="V20" s="124"/>
      <c r="W20" s="124"/>
      <c r="X20" s="124"/>
      <c r="Y20" s="124"/>
      <c r="Z20" s="125"/>
    </row>
    <row r="21" hidden="1" outlineLevel="1">
      <c r="A21" s="101" t="str">
        <f t="shared" si="8"/>
        <v>1-2026</v>
      </c>
      <c r="B21" s="74">
        <v>46032.0</v>
      </c>
      <c r="C21" s="75" t="s">
        <v>68</v>
      </c>
      <c r="D21" s="203">
        <v>0.0</v>
      </c>
      <c r="E21" s="150">
        <v>0.0</v>
      </c>
      <c r="F21" s="150">
        <v>0.0</v>
      </c>
      <c r="G21" s="78" t="str">
        <f t="shared" si="1"/>
        <v>#DIV/0!</v>
      </c>
      <c r="H21" s="79" t="str">
        <f t="shared" si="2"/>
        <v>#DIV/0!</v>
      </c>
      <c r="I21" s="79" t="str">
        <f t="shared" si="3"/>
        <v>#DIV/0!</v>
      </c>
      <c r="J21" s="195"/>
      <c r="K21" s="195"/>
      <c r="L21" s="195"/>
      <c r="M21" s="196"/>
      <c r="N21" s="197"/>
      <c r="O21" s="195"/>
      <c r="P21" s="198"/>
      <c r="Q21" s="199"/>
      <c r="R21" s="198"/>
      <c r="S21" s="198"/>
      <c r="T21" s="200"/>
      <c r="U21" s="201"/>
      <c r="V21" s="124"/>
      <c r="W21" s="124"/>
      <c r="X21" s="124"/>
      <c r="Y21" s="124"/>
      <c r="Z21" s="125"/>
    </row>
    <row r="22" collapsed="1">
      <c r="A22" s="116" t="str">
        <f t="shared" si="8"/>
        <v/>
      </c>
      <c r="B22" s="204" t="s">
        <v>56</v>
      </c>
      <c r="C22" s="185"/>
      <c r="D22" s="104">
        <f t="shared" ref="D22:F22" si="9">SUM(D18:D21)</f>
        <v>3470.95</v>
      </c>
      <c r="E22" s="105">
        <f t="shared" si="9"/>
        <v>22</v>
      </c>
      <c r="F22" s="105">
        <f t="shared" si="9"/>
        <v>19</v>
      </c>
      <c r="G22" s="106">
        <f t="shared" si="1"/>
        <v>1.157894737</v>
      </c>
      <c r="H22" s="107">
        <f t="shared" si="2"/>
        <v>157.7704545</v>
      </c>
      <c r="I22" s="107">
        <f t="shared" si="3"/>
        <v>136.2563017</v>
      </c>
      <c r="J22" s="205"/>
      <c r="K22" s="205"/>
      <c r="L22" s="205"/>
      <c r="M22" s="206"/>
      <c r="N22" s="207"/>
      <c r="O22" s="205"/>
      <c r="P22" s="208"/>
      <c r="Q22" s="209"/>
      <c r="R22" s="208"/>
      <c r="S22" s="208"/>
      <c r="T22" s="210"/>
      <c r="U22" s="211"/>
      <c r="V22" s="140" t="str">
        <f t="shared" ref="V22:W22" si="10">IFERROR((D22-#REF!)/D22,)</f>
        <v/>
      </c>
      <c r="W22" s="140" t="str">
        <f t="shared" si="10"/>
        <v/>
      </c>
      <c r="X22" s="140" t="str">
        <f t="shared" ref="X22:Y22" si="11">IFERROR((D22-#REF!)/D22,)</f>
        <v/>
      </c>
      <c r="Y22" s="140" t="str">
        <f t="shared" si="11"/>
        <v/>
      </c>
      <c r="Z22" s="116"/>
    </row>
    <row r="23" hidden="1" outlineLevel="1">
      <c r="A23" s="101" t="str">
        <f t="shared" si="8"/>
        <v>1-2026</v>
      </c>
      <c r="B23" s="74">
        <v>46033.0</v>
      </c>
      <c r="C23" s="75" t="s">
        <v>65</v>
      </c>
      <c r="D23" s="93">
        <v>1038.69</v>
      </c>
      <c r="E23" s="150">
        <v>13.0</v>
      </c>
      <c r="F23" s="150">
        <v>12.0</v>
      </c>
      <c r="G23" s="78">
        <f t="shared" si="1"/>
        <v>1.083333333</v>
      </c>
      <c r="H23" s="79">
        <f t="shared" si="2"/>
        <v>79.89923077</v>
      </c>
      <c r="I23" s="79">
        <f t="shared" si="3"/>
        <v>73.75313609</v>
      </c>
      <c r="J23" s="195"/>
      <c r="K23" s="195"/>
      <c r="L23" s="195"/>
      <c r="M23" s="196"/>
      <c r="N23" s="197"/>
      <c r="O23" s="195"/>
      <c r="P23" s="198"/>
      <c r="Q23" s="199"/>
      <c r="R23" s="198"/>
      <c r="S23" s="198"/>
      <c r="T23" s="200"/>
      <c r="U23" s="201"/>
      <c r="V23" s="124"/>
      <c r="W23" s="124"/>
      <c r="X23" s="124"/>
      <c r="Y23" s="124"/>
      <c r="Z23" s="125"/>
    </row>
    <row r="24" hidden="1" outlineLevel="1">
      <c r="A24" s="116"/>
      <c r="B24" s="126"/>
      <c r="C24" s="75" t="s">
        <v>66</v>
      </c>
      <c r="D24" s="202">
        <v>2335.43</v>
      </c>
      <c r="E24" s="150">
        <v>9.0</v>
      </c>
      <c r="F24" s="150">
        <v>9.0</v>
      </c>
      <c r="G24" s="78">
        <f t="shared" si="1"/>
        <v>1</v>
      </c>
      <c r="H24" s="79">
        <f t="shared" si="2"/>
        <v>259.4922222</v>
      </c>
      <c r="I24" s="79">
        <f t="shared" si="3"/>
        <v>259.4922222</v>
      </c>
      <c r="J24" s="195"/>
      <c r="K24" s="195"/>
      <c r="L24" s="195"/>
      <c r="M24" s="196"/>
      <c r="N24" s="197"/>
      <c r="O24" s="195"/>
      <c r="P24" s="198"/>
      <c r="Q24" s="199"/>
      <c r="R24" s="198"/>
      <c r="S24" s="198"/>
      <c r="T24" s="200"/>
      <c r="U24" s="201"/>
      <c r="V24" s="124"/>
      <c r="W24" s="124"/>
      <c r="X24" s="124"/>
      <c r="Y24" s="124"/>
      <c r="Z24" s="125"/>
    </row>
    <row r="25" hidden="1" outlineLevel="1">
      <c r="A25" s="116" t="str">
        <f t="shared" ref="A25:A29" si="12">iferror(if(B25&gt;0,month(B25)&amp;"-"&amp;year(B25),B25),)</f>
        <v/>
      </c>
      <c r="B25" s="126"/>
      <c r="C25" s="75" t="s">
        <v>67</v>
      </c>
      <c r="D25" s="202">
        <v>310.0</v>
      </c>
      <c r="E25" s="150">
        <v>3.0</v>
      </c>
      <c r="F25" s="150">
        <v>3.0</v>
      </c>
      <c r="G25" s="78">
        <f t="shared" si="1"/>
        <v>1</v>
      </c>
      <c r="H25" s="79">
        <f t="shared" si="2"/>
        <v>103.3333333</v>
      </c>
      <c r="I25" s="79">
        <f t="shared" si="3"/>
        <v>103.3333333</v>
      </c>
      <c r="J25" s="195"/>
      <c r="K25" s="195"/>
      <c r="L25" s="195"/>
      <c r="M25" s="196"/>
      <c r="N25" s="197"/>
      <c r="O25" s="195"/>
      <c r="P25" s="198"/>
      <c r="Q25" s="199"/>
      <c r="R25" s="198"/>
      <c r="S25" s="198"/>
      <c r="T25" s="200"/>
      <c r="U25" s="201"/>
      <c r="V25" s="124"/>
      <c r="W25" s="124"/>
      <c r="X25" s="124"/>
      <c r="Y25" s="124"/>
      <c r="Z25" s="125"/>
    </row>
    <row r="26" hidden="1" outlineLevel="1">
      <c r="A26" s="101" t="str">
        <f t="shared" si="12"/>
        <v>1-2026</v>
      </c>
      <c r="B26" s="74">
        <v>46039.0</v>
      </c>
      <c r="C26" s="75" t="s">
        <v>68</v>
      </c>
      <c r="D26" s="203">
        <v>0.0</v>
      </c>
      <c r="E26" s="150">
        <v>0.0</v>
      </c>
      <c r="F26" s="150">
        <v>0.0</v>
      </c>
      <c r="G26" s="78" t="str">
        <f t="shared" si="1"/>
        <v>#DIV/0!</v>
      </c>
      <c r="H26" s="79" t="str">
        <f t="shared" si="2"/>
        <v>#DIV/0!</v>
      </c>
      <c r="I26" s="79" t="str">
        <f t="shared" si="3"/>
        <v>#DIV/0!</v>
      </c>
      <c r="J26" s="195"/>
      <c r="K26" s="195"/>
      <c r="L26" s="195"/>
      <c r="M26" s="196"/>
      <c r="N26" s="197"/>
      <c r="O26" s="195"/>
      <c r="P26" s="198"/>
      <c r="Q26" s="199"/>
      <c r="R26" s="198"/>
      <c r="S26" s="198"/>
      <c r="T26" s="200"/>
      <c r="U26" s="201"/>
      <c r="V26" s="124"/>
      <c r="W26" s="124"/>
      <c r="X26" s="124"/>
      <c r="Y26" s="124"/>
      <c r="Z26" s="125"/>
    </row>
    <row r="27" collapsed="1">
      <c r="A27" s="116" t="str">
        <f t="shared" si="12"/>
        <v/>
      </c>
      <c r="B27" s="204" t="s">
        <v>57</v>
      </c>
      <c r="C27" s="185"/>
      <c r="D27" s="104">
        <f t="shared" ref="D27:F27" si="13">SUM(D23:D26)</f>
        <v>3684.12</v>
      </c>
      <c r="E27" s="105">
        <f t="shared" si="13"/>
        <v>25</v>
      </c>
      <c r="F27" s="105">
        <f t="shared" si="13"/>
        <v>24</v>
      </c>
      <c r="G27" s="106">
        <f t="shared" si="1"/>
        <v>1.041666667</v>
      </c>
      <c r="H27" s="107">
        <f t="shared" si="2"/>
        <v>147.3648</v>
      </c>
      <c r="I27" s="107">
        <f t="shared" si="3"/>
        <v>141.470208</v>
      </c>
      <c r="J27" s="205"/>
      <c r="K27" s="205"/>
      <c r="L27" s="205"/>
      <c r="M27" s="206"/>
      <c r="N27" s="207"/>
      <c r="O27" s="205"/>
      <c r="P27" s="208"/>
      <c r="Q27" s="209"/>
      <c r="R27" s="208"/>
      <c r="S27" s="208"/>
      <c r="T27" s="210"/>
      <c r="U27" s="211"/>
      <c r="V27" s="140" t="str">
        <f t="shared" ref="V27:W27" si="14">IFERROR((D27-#REF!)/D27,)</f>
        <v/>
      </c>
      <c r="W27" s="140" t="str">
        <f t="shared" si="14"/>
        <v/>
      </c>
      <c r="X27" s="140" t="str">
        <f t="shared" ref="X27:Y27" si="15">IFERROR((D27-#REF!)/D27,)</f>
        <v/>
      </c>
      <c r="Y27" s="140" t="str">
        <f t="shared" si="15"/>
        <v/>
      </c>
      <c r="Z27" s="116"/>
    </row>
    <row r="28" hidden="1" outlineLevel="1">
      <c r="A28" s="101" t="str">
        <f t="shared" si="12"/>
        <v>1-2026</v>
      </c>
      <c r="B28" s="74">
        <v>46040.0</v>
      </c>
      <c r="C28" s="75" t="s">
        <v>65</v>
      </c>
      <c r="D28" s="93">
        <v>888.42</v>
      </c>
      <c r="E28" s="150">
        <v>7.0</v>
      </c>
      <c r="F28" s="150">
        <v>7.0</v>
      </c>
      <c r="G28" s="78">
        <f t="shared" si="1"/>
        <v>1</v>
      </c>
      <c r="H28" s="79">
        <f t="shared" si="2"/>
        <v>126.9171429</v>
      </c>
      <c r="I28" s="79">
        <f t="shared" si="3"/>
        <v>126.9171429</v>
      </c>
      <c r="J28" s="195"/>
      <c r="K28" s="195"/>
      <c r="L28" s="195"/>
      <c r="M28" s="196"/>
      <c r="N28" s="197"/>
      <c r="O28" s="195"/>
      <c r="P28" s="198"/>
      <c r="Q28" s="199"/>
      <c r="R28" s="198"/>
      <c r="S28" s="198"/>
      <c r="T28" s="200"/>
      <c r="U28" s="201"/>
      <c r="V28" s="124"/>
      <c r="W28" s="124"/>
      <c r="X28" s="124"/>
      <c r="Y28" s="124"/>
      <c r="Z28" s="125"/>
    </row>
    <row r="29" hidden="1" outlineLevel="1">
      <c r="A29" s="116" t="str">
        <f t="shared" si="12"/>
        <v/>
      </c>
      <c r="B29" s="126"/>
      <c r="C29" s="75" t="s">
        <v>66</v>
      </c>
      <c r="D29" s="202">
        <v>1550.66</v>
      </c>
      <c r="E29" s="150">
        <v>6.0</v>
      </c>
      <c r="F29" s="150">
        <v>5.0</v>
      </c>
      <c r="G29" s="78">
        <f t="shared" si="1"/>
        <v>1.2</v>
      </c>
      <c r="H29" s="79">
        <f t="shared" si="2"/>
        <v>258.4433333</v>
      </c>
      <c r="I29" s="79">
        <f t="shared" si="3"/>
        <v>215.3694444</v>
      </c>
      <c r="J29" s="195"/>
      <c r="K29" s="195"/>
      <c r="L29" s="195"/>
      <c r="M29" s="196"/>
      <c r="N29" s="197"/>
      <c r="O29" s="195"/>
      <c r="P29" s="198"/>
      <c r="Q29" s="199"/>
      <c r="R29" s="198"/>
      <c r="S29" s="198"/>
      <c r="T29" s="200"/>
      <c r="U29" s="201"/>
      <c r="V29" s="124"/>
      <c r="W29" s="124"/>
      <c r="X29" s="124"/>
      <c r="Y29" s="124"/>
      <c r="Z29" s="125"/>
    </row>
    <row r="30" hidden="1" outlineLevel="1">
      <c r="A30" s="116"/>
      <c r="B30" s="126"/>
      <c r="C30" s="75" t="s">
        <v>67</v>
      </c>
      <c r="D30" s="202">
        <v>129.0</v>
      </c>
      <c r="E30" s="150">
        <v>2.0</v>
      </c>
      <c r="F30" s="150">
        <v>2.0</v>
      </c>
      <c r="G30" s="78">
        <f t="shared" si="1"/>
        <v>1</v>
      </c>
      <c r="H30" s="79">
        <f t="shared" si="2"/>
        <v>64.5</v>
      </c>
      <c r="I30" s="79">
        <f t="shared" si="3"/>
        <v>64.5</v>
      </c>
      <c r="J30" s="195"/>
      <c r="K30" s="195"/>
      <c r="L30" s="195"/>
      <c r="M30" s="196"/>
      <c r="N30" s="197"/>
      <c r="O30" s="195"/>
      <c r="P30" s="198"/>
      <c r="Q30" s="199"/>
      <c r="R30" s="198"/>
      <c r="S30" s="198"/>
      <c r="T30" s="200"/>
      <c r="U30" s="201"/>
      <c r="V30" s="124"/>
      <c r="W30" s="124"/>
      <c r="X30" s="124"/>
      <c r="Y30" s="124"/>
      <c r="Z30" s="125"/>
    </row>
    <row r="31" hidden="1" outlineLevel="1">
      <c r="A31" s="101" t="str">
        <f t="shared" ref="A31:A33" si="16">iferror(if(B31&gt;0,month(B31)&amp;"-"&amp;year(B31),B31),)</f>
        <v>1-2026</v>
      </c>
      <c r="B31" s="74">
        <v>46046.0</v>
      </c>
      <c r="C31" s="75" t="s">
        <v>68</v>
      </c>
      <c r="D31" s="203">
        <v>0.0</v>
      </c>
      <c r="E31" s="150">
        <v>0.0</v>
      </c>
      <c r="F31" s="150">
        <v>0.0</v>
      </c>
      <c r="G31" s="78" t="str">
        <f t="shared" si="1"/>
        <v>#DIV/0!</v>
      </c>
      <c r="H31" s="79" t="str">
        <f t="shared" si="2"/>
        <v>#DIV/0!</v>
      </c>
      <c r="I31" s="79" t="str">
        <f t="shared" si="3"/>
        <v>#DIV/0!</v>
      </c>
      <c r="J31" s="195"/>
      <c r="K31" s="195"/>
      <c r="L31" s="195"/>
      <c r="M31" s="196"/>
      <c r="N31" s="197"/>
      <c r="O31" s="195"/>
      <c r="P31" s="198"/>
      <c r="Q31" s="199"/>
      <c r="R31" s="198"/>
      <c r="S31" s="198"/>
      <c r="T31" s="200"/>
      <c r="U31" s="201"/>
      <c r="V31" s="124"/>
      <c r="W31" s="124"/>
      <c r="X31" s="124"/>
      <c r="Y31" s="124"/>
      <c r="Z31" s="125"/>
    </row>
    <row r="32" collapsed="1">
      <c r="A32" s="116" t="str">
        <f t="shared" si="16"/>
        <v/>
      </c>
      <c r="B32" s="204" t="s">
        <v>58</v>
      </c>
      <c r="C32" s="185"/>
      <c r="D32" s="104">
        <f t="shared" ref="D32:F32" si="17">SUM(D28:D31)</f>
        <v>2568.08</v>
      </c>
      <c r="E32" s="105">
        <f t="shared" si="17"/>
        <v>15</v>
      </c>
      <c r="F32" s="105">
        <f t="shared" si="17"/>
        <v>14</v>
      </c>
      <c r="G32" s="106">
        <f t="shared" si="1"/>
        <v>1.071428571</v>
      </c>
      <c r="H32" s="107">
        <f t="shared" si="2"/>
        <v>171.2053333</v>
      </c>
      <c r="I32" s="107">
        <f t="shared" si="3"/>
        <v>159.7916444</v>
      </c>
      <c r="J32" s="205"/>
      <c r="K32" s="205"/>
      <c r="L32" s="205"/>
      <c r="M32" s="206"/>
      <c r="N32" s="207"/>
      <c r="O32" s="205"/>
      <c r="P32" s="208"/>
      <c r="Q32" s="209"/>
      <c r="R32" s="208"/>
      <c r="S32" s="208"/>
      <c r="T32" s="210"/>
      <c r="U32" s="211"/>
      <c r="V32" s="140" t="str">
        <f t="shared" ref="V32:W32" si="18">IFERROR((D32-#REF!)/D32,)</f>
        <v/>
      </c>
      <c r="W32" s="140" t="str">
        <f t="shared" si="18"/>
        <v/>
      </c>
      <c r="X32" s="140" t="str">
        <f t="shared" ref="X32:Y32" si="19">IFERROR((D32-#REF!)/D32,)</f>
        <v/>
      </c>
      <c r="Y32" s="140" t="str">
        <f t="shared" si="19"/>
        <v/>
      </c>
      <c r="Z32" s="116"/>
    </row>
    <row r="33" hidden="1" outlineLevel="1">
      <c r="A33" s="101" t="str">
        <f t="shared" si="16"/>
        <v>1-2026</v>
      </c>
      <c r="B33" s="74">
        <v>46047.0</v>
      </c>
      <c r="C33" s="75" t="s">
        <v>65</v>
      </c>
      <c r="D33" s="93">
        <v>1240.78</v>
      </c>
      <c r="E33" s="150">
        <v>7.0</v>
      </c>
      <c r="F33" s="150">
        <v>7.0</v>
      </c>
      <c r="G33" s="78">
        <f t="shared" si="1"/>
        <v>1</v>
      </c>
      <c r="H33" s="79">
        <f t="shared" si="2"/>
        <v>177.2542857</v>
      </c>
      <c r="I33" s="79">
        <f t="shared" si="3"/>
        <v>177.2542857</v>
      </c>
      <c r="J33" s="195"/>
      <c r="K33" s="195"/>
      <c r="L33" s="195"/>
      <c r="M33" s="196"/>
      <c r="N33" s="197"/>
      <c r="O33" s="195"/>
      <c r="P33" s="198"/>
      <c r="Q33" s="199"/>
      <c r="R33" s="198"/>
      <c r="S33" s="198"/>
      <c r="T33" s="200"/>
      <c r="U33" s="201"/>
      <c r="V33" s="124"/>
      <c r="W33" s="124"/>
      <c r="X33" s="124"/>
      <c r="Y33" s="124"/>
      <c r="Z33" s="125"/>
    </row>
    <row r="34" hidden="1" outlineLevel="1">
      <c r="A34" s="116"/>
      <c r="B34" s="126"/>
      <c r="C34" s="75" t="s">
        <v>66</v>
      </c>
      <c r="D34" s="202">
        <v>1017.0</v>
      </c>
      <c r="E34" s="150">
        <v>4.0</v>
      </c>
      <c r="F34" s="150">
        <v>4.0</v>
      </c>
      <c r="G34" s="78">
        <f t="shared" si="1"/>
        <v>1</v>
      </c>
      <c r="H34" s="79">
        <f t="shared" si="2"/>
        <v>254.25</v>
      </c>
      <c r="I34" s="79">
        <f t="shared" si="3"/>
        <v>254.25</v>
      </c>
      <c r="J34" s="195"/>
      <c r="K34" s="195"/>
      <c r="L34" s="195"/>
      <c r="M34" s="196"/>
      <c r="N34" s="197"/>
      <c r="O34" s="195"/>
      <c r="P34" s="198"/>
      <c r="Q34" s="199"/>
      <c r="R34" s="198"/>
      <c r="S34" s="198"/>
      <c r="T34" s="200"/>
      <c r="U34" s="201"/>
      <c r="V34" s="124"/>
      <c r="W34" s="124"/>
      <c r="X34" s="124"/>
      <c r="Y34" s="124"/>
      <c r="Z34" s="125"/>
    </row>
    <row r="35" hidden="1" outlineLevel="1">
      <c r="A35" s="116" t="str">
        <f t="shared" ref="A35:A38" si="20">iferror(if(B35&gt;0,month(B35)&amp;"-"&amp;year(B35),B35),)</f>
        <v/>
      </c>
      <c r="B35" s="126"/>
      <c r="C35" s="75" t="s">
        <v>67</v>
      </c>
      <c r="D35" s="202">
        <v>109.0</v>
      </c>
      <c r="E35" s="150">
        <v>2.0</v>
      </c>
      <c r="F35" s="150">
        <v>2.0</v>
      </c>
      <c r="G35" s="78">
        <f t="shared" si="1"/>
        <v>1</v>
      </c>
      <c r="H35" s="79">
        <f t="shared" si="2"/>
        <v>54.5</v>
      </c>
      <c r="I35" s="79">
        <f t="shared" si="3"/>
        <v>54.5</v>
      </c>
      <c r="J35" s="195"/>
      <c r="K35" s="195"/>
      <c r="L35" s="195"/>
      <c r="M35" s="196"/>
      <c r="N35" s="197"/>
      <c r="O35" s="195"/>
      <c r="P35" s="198"/>
      <c r="Q35" s="199"/>
      <c r="R35" s="198"/>
      <c r="S35" s="198"/>
      <c r="T35" s="200"/>
      <c r="U35" s="201"/>
      <c r="V35" s="124"/>
      <c r="W35" s="124"/>
      <c r="X35" s="124"/>
      <c r="Y35" s="124"/>
      <c r="Z35" s="125"/>
    </row>
    <row r="36" hidden="1" outlineLevel="1">
      <c r="A36" s="101" t="str">
        <f t="shared" si="20"/>
        <v>1-2026</v>
      </c>
      <c r="B36" s="74">
        <v>46053.0</v>
      </c>
      <c r="C36" s="75" t="s">
        <v>68</v>
      </c>
      <c r="D36" s="203">
        <v>0.0</v>
      </c>
      <c r="E36" s="150">
        <v>0.0</v>
      </c>
      <c r="F36" s="150">
        <v>0.0</v>
      </c>
      <c r="G36" s="78" t="str">
        <f t="shared" si="1"/>
        <v>#DIV/0!</v>
      </c>
      <c r="H36" s="79" t="str">
        <f t="shared" si="2"/>
        <v>#DIV/0!</v>
      </c>
      <c r="I36" s="79" t="str">
        <f t="shared" si="3"/>
        <v>#DIV/0!</v>
      </c>
      <c r="J36" s="195"/>
      <c r="K36" s="195"/>
      <c r="L36" s="195"/>
      <c r="M36" s="196"/>
      <c r="N36" s="197"/>
      <c r="O36" s="195"/>
      <c r="P36" s="198"/>
      <c r="Q36" s="199"/>
      <c r="R36" s="198"/>
      <c r="S36" s="198"/>
      <c r="T36" s="200"/>
      <c r="U36" s="201"/>
      <c r="V36" s="124"/>
      <c r="W36" s="124"/>
      <c r="X36" s="124"/>
      <c r="Y36" s="124"/>
      <c r="Z36" s="125"/>
    </row>
    <row r="37" collapsed="1">
      <c r="A37" s="116" t="str">
        <f t="shared" si="20"/>
        <v/>
      </c>
      <c r="B37" s="204" t="s">
        <v>59</v>
      </c>
      <c r="C37" s="185"/>
      <c r="D37" s="104">
        <f t="shared" ref="D37:F37" si="21">SUM(D33:D36)</f>
        <v>2366.78</v>
      </c>
      <c r="E37" s="105">
        <f t="shared" si="21"/>
        <v>13</v>
      </c>
      <c r="F37" s="105">
        <f t="shared" si="21"/>
        <v>13</v>
      </c>
      <c r="G37" s="106">
        <f t="shared" si="1"/>
        <v>1</v>
      </c>
      <c r="H37" s="107">
        <f t="shared" si="2"/>
        <v>182.06</v>
      </c>
      <c r="I37" s="107">
        <f t="shared" si="3"/>
        <v>182.06</v>
      </c>
      <c r="J37" s="205"/>
      <c r="K37" s="205"/>
      <c r="L37" s="205"/>
      <c r="M37" s="206"/>
      <c r="N37" s="207"/>
      <c r="O37" s="205"/>
      <c r="P37" s="208"/>
      <c r="Q37" s="209"/>
      <c r="R37" s="208"/>
      <c r="S37" s="208"/>
      <c r="T37" s="210"/>
      <c r="U37" s="211"/>
      <c r="V37" s="140" t="str">
        <f t="shared" ref="V37:W37" si="22">IFERROR((D37-#REF!)/D37,)</f>
        <v/>
      </c>
      <c r="W37" s="140" t="str">
        <f t="shared" si="22"/>
        <v/>
      </c>
      <c r="X37" s="140" t="str">
        <f t="shared" ref="X37:Y37" si="23">IFERROR((D37-#REF!)/D37,)</f>
        <v/>
      </c>
      <c r="Y37" s="140" t="str">
        <f t="shared" si="23"/>
        <v/>
      </c>
      <c r="Z37" s="116"/>
    </row>
    <row r="38" hidden="1" outlineLevel="1">
      <c r="A38" s="101" t="str">
        <f t="shared" si="20"/>
        <v>2-2026</v>
      </c>
      <c r="B38" s="74">
        <v>46054.0</v>
      </c>
      <c r="C38" s="117" t="s">
        <v>65</v>
      </c>
      <c r="D38" s="93">
        <v>1386.19</v>
      </c>
      <c r="E38" s="150">
        <v>7.0</v>
      </c>
      <c r="F38" s="150">
        <v>7.0</v>
      </c>
      <c r="G38" s="78">
        <f t="shared" si="1"/>
        <v>1</v>
      </c>
      <c r="H38" s="79">
        <f t="shared" si="2"/>
        <v>198.0271429</v>
      </c>
      <c r="I38" s="79">
        <f t="shared" si="3"/>
        <v>198.0271429</v>
      </c>
      <c r="J38" s="190"/>
      <c r="K38" s="190"/>
      <c r="L38" s="190"/>
      <c r="M38" s="212"/>
      <c r="N38" s="191"/>
      <c r="O38" s="190"/>
      <c r="P38" s="192"/>
      <c r="Q38" s="193"/>
      <c r="R38" s="192"/>
      <c r="S38" s="192"/>
      <c r="T38" s="179"/>
      <c r="U38" s="194"/>
      <c r="V38" s="124"/>
      <c r="W38" s="124"/>
      <c r="X38" s="124"/>
      <c r="Y38" s="124"/>
      <c r="Z38" s="125"/>
    </row>
    <row r="39" hidden="1" outlineLevel="1">
      <c r="A39" s="116"/>
      <c r="B39" s="126"/>
      <c r="C39" s="117" t="s">
        <v>66</v>
      </c>
      <c r="D39" s="202">
        <v>1709.43</v>
      </c>
      <c r="E39" s="150">
        <v>11.0</v>
      </c>
      <c r="F39" s="150">
        <v>8.0</v>
      </c>
      <c r="G39" s="78">
        <f t="shared" si="1"/>
        <v>1.375</v>
      </c>
      <c r="H39" s="79">
        <f t="shared" si="2"/>
        <v>155.4027273</v>
      </c>
      <c r="I39" s="79">
        <f t="shared" si="3"/>
        <v>113.0201653</v>
      </c>
      <c r="J39" s="190"/>
      <c r="K39" s="190"/>
      <c r="L39" s="190"/>
      <c r="M39" s="212"/>
      <c r="N39" s="191"/>
      <c r="O39" s="190"/>
      <c r="P39" s="192"/>
      <c r="Q39" s="193"/>
      <c r="R39" s="192"/>
      <c r="S39" s="192"/>
      <c r="T39" s="179"/>
      <c r="U39" s="194"/>
      <c r="V39" s="124"/>
      <c r="W39" s="124"/>
      <c r="X39" s="124"/>
      <c r="Y39" s="124"/>
      <c r="Z39" s="125"/>
    </row>
    <row r="40" hidden="1" outlineLevel="1">
      <c r="A40" s="116" t="str">
        <f t="shared" ref="A40:A43" si="24">iferror(if(B40&gt;0,month(B40)&amp;"-"&amp;year(B40),B40),)</f>
        <v/>
      </c>
      <c r="B40" s="126"/>
      <c r="C40" s="117" t="s">
        <v>67</v>
      </c>
      <c r="D40" s="202">
        <v>38.0</v>
      </c>
      <c r="E40" s="150">
        <v>2.0</v>
      </c>
      <c r="F40" s="150">
        <v>1.0</v>
      </c>
      <c r="G40" s="78">
        <f t="shared" si="1"/>
        <v>2</v>
      </c>
      <c r="H40" s="79">
        <f t="shared" si="2"/>
        <v>19</v>
      </c>
      <c r="I40" s="79">
        <f t="shared" si="3"/>
        <v>9.5</v>
      </c>
      <c r="J40" s="190"/>
      <c r="K40" s="190"/>
      <c r="L40" s="190"/>
      <c r="M40" s="212"/>
      <c r="N40" s="191"/>
      <c r="O40" s="190"/>
      <c r="P40" s="192"/>
      <c r="Q40" s="193"/>
      <c r="R40" s="192"/>
      <c r="S40" s="192"/>
      <c r="T40" s="179"/>
      <c r="U40" s="194"/>
      <c r="V40" s="124"/>
      <c r="W40" s="124"/>
      <c r="X40" s="124"/>
      <c r="Y40" s="124"/>
      <c r="Z40" s="125"/>
    </row>
    <row r="41" hidden="1" outlineLevel="1">
      <c r="A41" s="101" t="str">
        <f t="shared" si="24"/>
        <v>2-2026</v>
      </c>
      <c r="B41" s="74">
        <v>46060.0</v>
      </c>
      <c r="C41" s="75" t="s">
        <v>68</v>
      </c>
      <c r="D41" s="203">
        <v>0.0</v>
      </c>
      <c r="E41" s="150">
        <v>0.0</v>
      </c>
      <c r="F41" s="150">
        <v>0.0</v>
      </c>
      <c r="G41" s="78" t="str">
        <f t="shared" si="1"/>
        <v>#DIV/0!</v>
      </c>
      <c r="H41" s="79" t="str">
        <f t="shared" si="2"/>
        <v>#DIV/0!</v>
      </c>
      <c r="I41" s="79" t="str">
        <f t="shared" si="3"/>
        <v>#DIV/0!</v>
      </c>
      <c r="J41" s="190"/>
      <c r="K41" s="190"/>
      <c r="L41" s="190"/>
      <c r="M41" s="212"/>
      <c r="N41" s="191"/>
      <c r="O41" s="190"/>
      <c r="P41" s="192"/>
      <c r="Q41" s="193"/>
      <c r="R41" s="192"/>
      <c r="S41" s="192"/>
      <c r="T41" s="179"/>
      <c r="U41" s="194"/>
      <c r="V41" s="124"/>
      <c r="W41" s="124"/>
      <c r="X41" s="124"/>
      <c r="Y41" s="124"/>
      <c r="Z41" s="125"/>
    </row>
    <row r="42" collapsed="1">
      <c r="A42" s="116" t="str">
        <f t="shared" si="24"/>
        <v/>
      </c>
      <c r="B42" s="213" t="s">
        <v>60</v>
      </c>
      <c r="C42" s="138"/>
      <c r="D42" s="104">
        <f t="shared" ref="D42:F42" si="25">SUM(D38:D41)</f>
        <v>3133.62</v>
      </c>
      <c r="E42" s="139">
        <f t="shared" si="25"/>
        <v>20</v>
      </c>
      <c r="F42" s="139">
        <f t="shared" si="25"/>
        <v>16</v>
      </c>
      <c r="G42" s="106">
        <f t="shared" si="1"/>
        <v>1.25</v>
      </c>
      <c r="H42" s="107">
        <f t="shared" si="2"/>
        <v>156.681</v>
      </c>
      <c r="I42" s="107">
        <f t="shared" si="3"/>
        <v>125.3448</v>
      </c>
      <c r="J42" s="190"/>
      <c r="K42" s="190"/>
      <c r="L42" s="190"/>
      <c r="M42" s="212"/>
      <c r="N42" s="191"/>
      <c r="O42" s="190"/>
      <c r="P42" s="192"/>
      <c r="Q42" s="193"/>
      <c r="R42" s="192"/>
      <c r="S42" s="192"/>
      <c r="T42" s="179"/>
      <c r="U42" s="194"/>
      <c r="V42" s="140" t="str">
        <f t="shared" ref="V42:W42" si="26">IFERROR((D42-#REF!)/D42,)</f>
        <v/>
      </c>
      <c r="W42" s="140" t="str">
        <f t="shared" si="26"/>
        <v/>
      </c>
      <c r="X42" s="140" t="str">
        <f t="shared" ref="X42:Y42" si="27">IFERROR((D42-#REF!)/D42,)</f>
        <v/>
      </c>
      <c r="Y42" s="140" t="str">
        <f t="shared" si="27"/>
        <v/>
      </c>
      <c r="Z42" s="116"/>
    </row>
    <row r="43" outlineLevel="1">
      <c r="A43" s="101" t="str">
        <f t="shared" si="24"/>
        <v>2-2026</v>
      </c>
      <c r="B43" s="74">
        <v>46061.0</v>
      </c>
      <c r="C43" s="117" t="s">
        <v>65</v>
      </c>
      <c r="D43" s="128">
        <v>2072.58</v>
      </c>
      <c r="E43" s="146">
        <v>9.0</v>
      </c>
      <c r="F43" s="146">
        <v>9.0</v>
      </c>
      <c r="G43" s="78">
        <f t="shared" si="1"/>
        <v>1</v>
      </c>
      <c r="H43" s="79">
        <f t="shared" si="2"/>
        <v>230.2866667</v>
      </c>
      <c r="I43" s="79">
        <f t="shared" si="3"/>
        <v>230.2866667</v>
      </c>
      <c r="J43" s="190"/>
      <c r="K43" s="190"/>
      <c r="L43" s="190"/>
      <c r="M43" s="212"/>
      <c r="N43" s="191"/>
      <c r="O43" s="190"/>
      <c r="P43" s="192"/>
      <c r="Q43" s="193"/>
      <c r="R43" s="192"/>
      <c r="S43" s="192"/>
      <c r="T43" s="179"/>
      <c r="U43" s="194"/>
      <c r="V43" s="124"/>
      <c r="W43" s="124"/>
      <c r="X43" s="124"/>
      <c r="Y43" s="124"/>
      <c r="Z43" s="125"/>
    </row>
    <row r="44" outlineLevel="1">
      <c r="A44" s="116"/>
      <c r="B44" s="126"/>
      <c r="C44" s="117" t="s">
        <v>66</v>
      </c>
      <c r="D44" s="214">
        <v>1118.5</v>
      </c>
      <c r="E44" s="146">
        <v>8.0</v>
      </c>
      <c r="F44" s="146">
        <v>7.0</v>
      </c>
      <c r="G44" s="78">
        <f t="shared" si="1"/>
        <v>1.142857143</v>
      </c>
      <c r="H44" s="79">
        <f t="shared" si="2"/>
        <v>139.8125</v>
      </c>
      <c r="I44" s="79">
        <f t="shared" si="3"/>
        <v>122.3359375</v>
      </c>
      <c r="J44" s="190"/>
      <c r="K44" s="190"/>
      <c r="L44" s="190"/>
      <c r="M44" s="212"/>
      <c r="N44" s="191"/>
      <c r="O44" s="190"/>
      <c r="P44" s="192"/>
      <c r="Q44" s="193"/>
      <c r="R44" s="192"/>
      <c r="S44" s="192"/>
      <c r="T44" s="179"/>
      <c r="U44" s="194"/>
      <c r="V44" s="124"/>
      <c r="W44" s="124"/>
      <c r="X44" s="124"/>
      <c r="Y44" s="124"/>
      <c r="Z44" s="125"/>
    </row>
    <row r="45" outlineLevel="1">
      <c r="A45" s="116" t="str">
        <f t="shared" ref="A45:A48" si="28">iferror(if(B45&gt;0,month(B45)&amp;"-"&amp;year(B45),B45),)</f>
        <v/>
      </c>
      <c r="B45" s="126"/>
      <c r="C45" s="117" t="s">
        <v>67</v>
      </c>
      <c r="D45" s="214">
        <v>200.0</v>
      </c>
      <c r="E45" s="146">
        <v>2.0</v>
      </c>
      <c r="F45" s="146">
        <v>2.0</v>
      </c>
      <c r="G45" s="78">
        <f t="shared" si="1"/>
        <v>1</v>
      </c>
      <c r="H45" s="79">
        <f t="shared" si="2"/>
        <v>100</v>
      </c>
      <c r="I45" s="79">
        <f t="shared" si="3"/>
        <v>100</v>
      </c>
      <c r="J45" s="190"/>
      <c r="K45" s="190"/>
      <c r="L45" s="190"/>
      <c r="M45" s="212"/>
      <c r="N45" s="191"/>
      <c r="O45" s="190"/>
      <c r="P45" s="192"/>
      <c r="Q45" s="193"/>
      <c r="R45" s="192"/>
      <c r="S45" s="192"/>
      <c r="T45" s="179"/>
      <c r="U45" s="194"/>
      <c r="V45" s="124"/>
      <c r="W45" s="124"/>
      <c r="X45" s="124"/>
      <c r="Y45" s="124"/>
      <c r="Z45" s="125"/>
    </row>
    <row r="46" outlineLevel="1">
      <c r="A46" s="101" t="str">
        <f t="shared" si="28"/>
        <v>2-2026</v>
      </c>
      <c r="B46" s="74">
        <v>46067.0</v>
      </c>
      <c r="C46" s="117" t="s">
        <v>68</v>
      </c>
      <c r="D46" s="215">
        <v>0.0</v>
      </c>
      <c r="E46" s="146">
        <v>0.0</v>
      </c>
      <c r="F46" s="146">
        <v>0.0</v>
      </c>
      <c r="G46" s="78" t="str">
        <f t="shared" si="1"/>
        <v>#DIV/0!</v>
      </c>
      <c r="H46" s="79" t="str">
        <f t="shared" si="2"/>
        <v>#DIV/0!</v>
      </c>
      <c r="I46" s="79" t="str">
        <f t="shared" si="3"/>
        <v>#DIV/0!</v>
      </c>
      <c r="J46" s="190"/>
      <c r="K46" s="190"/>
      <c r="L46" s="190"/>
      <c r="M46" s="212"/>
      <c r="N46" s="191"/>
      <c r="O46" s="190"/>
      <c r="P46" s="192"/>
      <c r="Q46" s="193"/>
      <c r="R46" s="192"/>
      <c r="S46" s="192"/>
      <c r="T46" s="179"/>
      <c r="U46" s="194"/>
      <c r="V46" s="124"/>
      <c r="W46" s="124"/>
      <c r="X46" s="124"/>
      <c r="Y46" s="124"/>
      <c r="Z46" s="125"/>
    </row>
    <row r="47">
      <c r="A47" s="116" t="str">
        <f t="shared" si="28"/>
        <v/>
      </c>
      <c r="B47" s="213" t="s">
        <v>61</v>
      </c>
      <c r="C47" s="138"/>
      <c r="D47" s="104">
        <f t="shared" ref="D47:F47" si="29">SUM(D43:D46)</f>
        <v>3391.08</v>
      </c>
      <c r="E47" s="139">
        <f t="shared" si="29"/>
        <v>19</v>
      </c>
      <c r="F47" s="139">
        <f t="shared" si="29"/>
        <v>18</v>
      </c>
      <c r="G47" s="106">
        <f t="shared" si="1"/>
        <v>1.055555556</v>
      </c>
      <c r="H47" s="107">
        <f t="shared" si="2"/>
        <v>178.4778947</v>
      </c>
      <c r="I47" s="107">
        <f t="shared" si="3"/>
        <v>169.0843213</v>
      </c>
      <c r="J47" s="190"/>
      <c r="K47" s="190"/>
      <c r="L47" s="190"/>
      <c r="M47" s="212"/>
      <c r="N47" s="191"/>
      <c r="O47" s="190"/>
      <c r="P47" s="192"/>
      <c r="Q47" s="193"/>
      <c r="R47" s="192"/>
      <c r="S47" s="192"/>
      <c r="T47" s="179"/>
      <c r="U47" s="194"/>
      <c r="V47" s="140" t="str">
        <f t="shared" ref="V47:W47" si="30">IFERROR((D47-#REF!)/D47,)</f>
        <v/>
      </c>
      <c r="W47" s="140" t="str">
        <f t="shared" si="30"/>
        <v/>
      </c>
      <c r="X47" s="140" t="str">
        <f t="shared" ref="X47:Y47" si="31">IFERROR((D47-#REF!)/D47,)</f>
        <v/>
      </c>
      <c r="Y47" s="140" t="str">
        <f t="shared" si="31"/>
        <v/>
      </c>
      <c r="Z47" s="116"/>
    </row>
    <row r="48">
      <c r="A48" s="101" t="str">
        <f t="shared" si="28"/>
        <v>2-2026</v>
      </c>
      <c r="B48" s="143">
        <v>46068.0</v>
      </c>
      <c r="C48" s="75" t="s">
        <v>65</v>
      </c>
      <c r="D48" s="93">
        <v>486.26</v>
      </c>
      <c r="E48" s="150">
        <v>5.0</v>
      </c>
      <c r="F48" s="150">
        <v>5.0</v>
      </c>
      <c r="G48" s="78">
        <f t="shared" si="1"/>
        <v>1</v>
      </c>
      <c r="H48" s="79">
        <f t="shared" si="2"/>
        <v>97.252</v>
      </c>
      <c r="I48" s="79">
        <f t="shared" si="3"/>
        <v>97.252</v>
      </c>
      <c r="J48" s="195"/>
      <c r="K48" s="195"/>
      <c r="L48" s="195"/>
      <c r="M48" s="196"/>
      <c r="N48" s="197"/>
      <c r="O48" s="195"/>
      <c r="P48" s="198"/>
      <c r="Q48" s="199"/>
      <c r="R48" s="198"/>
      <c r="S48" s="198"/>
      <c r="T48" s="200"/>
      <c r="U48" s="201"/>
      <c r="V48" s="124"/>
      <c r="W48" s="124"/>
      <c r="X48" s="124"/>
      <c r="Y48" s="124"/>
      <c r="Z48" s="125"/>
    </row>
    <row r="49">
      <c r="A49" s="116"/>
      <c r="B49" s="126"/>
      <c r="C49" s="75" t="s">
        <v>66</v>
      </c>
      <c r="D49" s="202">
        <v>1124.68</v>
      </c>
      <c r="E49" s="150">
        <v>5.0</v>
      </c>
      <c r="F49" s="150">
        <v>5.0</v>
      </c>
      <c r="G49" s="78">
        <f t="shared" si="1"/>
        <v>1</v>
      </c>
      <c r="H49" s="79">
        <f t="shared" si="2"/>
        <v>224.936</v>
      </c>
      <c r="I49" s="79">
        <f t="shared" si="3"/>
        <v>224.936</v>
      </c>
      <c r="J49" s="195"/>
      <c r="K49" s="195"/>
      <c r="L49" s="195"/>
      <c r="M49" s="196"/>
      <c r="N49" s="197"/>
      <c r="O49" s="195"/>
      <c r="P49" s="198"/>
      <c r="Q49" s="199"/>
      <c r="R49" s="198"/>
      <c r="S49" s="198"/>
      <c r="T49" s="200"/>
      <c r="U49" s="201"/>
      <c r="V49" s="124"/>
      <c r="W49" s="124"/>
      <c r="X49" s="124"/>
      <c r="Y49" s="124"/>
      <c r="Z49" s="125"/>
    </row>
    <row r="50">
      <c r="A50" s="116" t="str">
        <f t="shared" ref="A50:A53" si="32">iferror(if(B50&gt;0,month(B50)&amp;"-"&amp;year(B50),B50),)</f>
        <v/>
      </c>
      <c r="B50" s="126"/>
      <c r="C50" s="75" t="s">
        <v>67</v>
      </c>
      <c r="D50" s="202">
        <v>0.0</v>
      </c>
      <c r="E50" s="150">
        <v>0.0</v>
      </c>
      <c r="F50" s="150">
        <v>0.0</v>
      </c>
      <c r="G50" s="78" t="str">
        <f t="shared" si="1"/>
        <v>#DIV/0!</v>
      </c>
      <c r="H50" s="79" t="str">
        <f t="shared" si="2"/>
        <v>#DIV/0!</v>
      </c>
      <c r="I50" s="79" t="str">
        <f t="shared" si="3"/>
        <v>#DIV/0!</v>
      </c>
      <c r="J50" s="195"/>
      <c r="K50" s="195"/>
      <c r="L50" s="195"/>
      <c r="M50" s="196"/>
      <c r="N50" s="197"/>
      <c r="O50" s="195"/>
      <c r="P50" s="198"/>
      <c r="Q50" s="199"/>
      <c r="R50" s="198"/>
      <c r="S50" s="198"/>
      <c r="T50" s="200"/>
      <c r="U50" s="201"/>
      <c r="V50" s="124"/>
      <c r="W50" s="124"/>
      <c r="X50" s="124"/>
      <c r="Y50" s="124"/>
      <c r="Z50" s="125"/>
    </row>
    <row r="51">
      <c r="A51" s="101" t="str">
        <f t="shared" si="32"/>
        <v>2-2026</v>
      </c>
      <c r="B51" s="143">
        <v>46074.0</v>
      </c>
      <c r="C51" s="75" t="s">
        <v>68</v>
      </c>
      <c r="D51" s="203">
        <v>0.0</v>
      </c>
      <c r="E51" s="150">
        <v>0.0</v>
      </c>
      <c r="F51" s="150">
        <v>0.0</v>
      </c>
      <c r="G51" s="78" t="str">
        <f t="shared" si="1"/>
        <v>#DIV/0!</v>
      </c>
      <c r="H51" s="79" t="str">
        <f t="shared" si="2"/>
        <v>#DIV/0!</v>
      </c>
      <c r="I51" s="79" t="str">
        <f t="shared" si="3"/>
        <v>#DIV/0!</v>
      </c>
      <c r="J51" s="195"/>
      <c r="K51" s="195"/>
      <c r="L51" s="195"/>
      <c r="M51" s="196"/>
      <c r="N51" s="197"/>
      <c r="O51" s="195"/>
      <c r="P51" s="198"/>
      <c r="Q51" s="199"/>
      <c r="R51" s="198"/>
      <c r="S51" s="198"/>
      <c r="T51" s="200"/>
      <c r="U51" s="201"/>
      <c r="V51" s="124"/>
      <c r="W51" s="124"/>
      <c r="X51" s="124"/>
      <c r="Y51" s="124"/>
      <c r="Z51" s="125"/>
    </row>
    <row r="52">
      <c r="A52" s="116" t="str">
        <f t="shared" si="32"/>
        <v/>
      </c>
      <c r="B52" s="103" t="s">
        <v>51</v>
      </c>
      <c r="C52" s="185"/>
      <c r="D52" s="104">
        <f t="shared" ref="D52:F52" si="33">SUM(D48:D51)</f>
        <v>1610.94</v>
      </c>
      <c r="E52" s="105">
        <f t="shared" si="33"/>
        <v>10</v>
      </c>
      <c r="F52" s="105">
        <f t="shared" si="33"/>
        <v>10</v>
      </c>
      <c r="G52" s="106">
        <f t="shared" si="1"/>
        <v>1</v>
      </c>
      <c r="H52" s="107">
        <f t="shared" si="2"/>
        <v>161.094</v>
      </c>
      <c r="I52" s="107">
        <f t="shared" si="3"/>
        <v>161.094</v>
      </c>
      <c r="J52" s="205"/>
      <c r="K52" s="205"/>
      <c r="L52" s="205"/>
      <c r="M52" s="206"/>
      <c r="N52" s="207"/>
      <c r="O52" s="205"/>
      <c r="P52" s="208"/>
      <c r="Q52" s="209"/>
      <c r="R52" s="208"/>
      <c r="S52" s="208"/>
      <c r="T52" s="210"/>
      <c r="U52" s="211"/>
      <c r="V52" s="140" t="str">
        <f t="shared" ref="V52:W52" si="34">IFERROR((D52-#REF!)/D52,)</f>
        <v/>
      </c>
      <c r="W52" s="140" t="str">
        <f t="shared" si="34"/>
        <v/>
      </c>
      <c r="X52" s="140" t="str">
        <f t="shared" ref="X52:Y52" si="35">IFERROR((D52-#REF!)/D52,)</f>
        <v/>
      </c>
      <c r="Y52" s="140" t="str">
        <f t="shared" si="35"/>
        <v/>
      </c>
      <c r="Z52" s="116"/>
    </row>
    <row r="53">
      <c r="A53" s="101" t="str">
        <f t="shared" si="32"/>
        <v>2-2026</v>
      </c>
      <c r="B53" s="143">
        <v>46075.0</v>
      </c>
      <c r="C53" s="75" t="s">
        <v>65</v>
      </c>
      <c r="D53" s="93">
        <v>807.12</v>
      </c>
      <c r="E53" s="150">
        <v>4.0</v>
      </c>
      <c r="F53" s="150">
        <v>4.0</v>
      </c>
      <c r="G53" s="78">
        <f t="shared" si="1"/>
        <v>1</v>
      </c>
      <c r="H53" s="79">
        <f t="shared" si="2"/>
        <v>201.78</v>
      </c>
      <c r="I53" s="79">
        <f t="shared" si="3"/>
        <v>201.78</v>
      </c>
      <c r="J53" s="195"/>
      <c r="K53" s="195"/>
      <c r="L53" s="195"/>
      <c r="M53" s="196"/>
      <c r="N53" s="197"/>
      <c r="O53" s="195"/>
      <c r="P53" s="198"/>
      <c r="Q53" s="199"/>
      <c r="R53" s="198"/>
      <c r="S53" s="198"/>
      <c r="T53" s="200"/>
      <c r="U53" s="201"/>
      <c r="V53" s="124"/>
      <c r="W53" s="124"/>
      <c r="X53" s="124"/>
      <c r="Y53" s="124"/>
      <c r="Z53" s="125"/>
    </row>
    <row r="54">
      <c r="A54" s="116"/>
      <c r="B54" s="126"/>
      <c r="C54" s="75" t="s">
        <v>66</v>
      </c>
      <c r="D54" s="202">
        <v>1376.83</v>
      </c>
      <c r="E54" s="150">
        <v>2.0</v>
      </c>
      <c r="F54" s="150">
        <v>2.0</v>
      </c>
      <c r="G54" s="78">
        <f t="shared" si="1"/>
        <v>1</v>
      </c>
      <c r="H54" s="79">
        <f t="shared" si="2"/>
        <v>688.415</v>
      </c>
      <c r="I54" s="79">
        <f t="shared" si="3"/>
        <v>688.415</v>
      </c>
      <c r="J54" s="195"/>
      <c r="K54" s="195"/>
      <c r="L54" s="195"/>
      <c r="M54" s="196"/>
      <c r="N54" s="197"/>
      <c r="O54" s="195"/>
      <c r="P54" s="198"/>
      <c r="Q54" s="199"/>
      <c r="R54" s="198"/>
      <c r="S54" s="198"/>
      <c r="T54" s="200"/>
      <c r="U54" s="201"/>
      <c r="V54" s="124"/>
      <c r="W54" s="124"/>
      <c r="X54" s="124"/>
      <c r="Y54" s="124"/>
      <c r="Z54" s="125"/>
    </row>
    <row r="55">
      <c r="A55" s="116" t="str">
        <f t="shared" ref="A55:A57" si="36">iferror(if(B55&gt;0,month(B55)&amp;"-"&amp;year(B55),B55),)</f>
        <v/>
      </c>
      <c r="B55" s="126"/>
      <c r="C55" s="75" t="s">
        <v>67</v>
      </c>
      <c r="D55" s="202">
        <v>110.0</v>
      </c>
      <c r="E55" s="150">
        <v>1.0</v>
      </c>
      <c r="F55" s="150">
        <v>1.0</v>
      </c>
      <c r="G55" s="78">
        <f t="shared" si="1"/>
        <v>1</v>
      </c>
      <c r="H55" s="79">
        <f t="shared" si="2"/>
        <v>110</v>
      </c>
      <c r="I55" s="79">
        <f t="shared" si="3"/>
        <v>110</v>
      </c>
      <c r="J55" s="195"/>
      <c r="K55" s="195"/>
      <c r="L55" s="195"/>
      <c r="M55" s="196"/>
      <c r="N55" s="197"/>
      <c r="O55" s="195"/>
      <c r="P55" s="198"/>
      <c r="Q55" s="199"/>
      <c r="R55" s="198"/>
      <c r="S55" s="198"/>
      <c r="T55" s="200"/>
      <c r="U55" s="201"/>
      <c r="V55" s="124"/>
      <c r="W55" s="124"/>
      <c r="X55" s="124"/>
      <c r="Y55" s="124"/>
      <c r="Z55" s="125"/>
    </row>
    <row r="56">
      <c r="A56" s="101" t="str">
        <f t="shared" si="36"/>
        <v>2-2026</v>
      </c>
      <c r="B56" s="143">
        <v>46081.0</v>
      </c>
      <c r="C56" s="75" t="s">
        <v>68</v>
      </c>
      <c r="D56" s="203">
        <v>0.0</v>
      </c>
      <c r="E56" s="150">
        <v>0.0</v>
      </c>
      <c r="F56" s="150">
        <v>0.0</v>
      </c>
      <c r="G56" s="78" t="str">
        <f t="shared" si="1"/>
        <v>#DIV/0!</v>
      </c>
      <c r="H56" s="79" t="str">
        <f t="shared" si="2"/>
        <v>#DIV/0!</v>
      </c>
      <c r="I56" s="79" t="str">
        <f t="shared" si="3"/>
        <v>#DIV/0!</v>
      </c>
      <c r="J56" s="195"/>
      <c r="K56" s="195"/>
      <c r="L56" s="195"/>
      <c r="M56" s="196"/>
      <c r="N56" s="197"/>
      <c r="O56" s="195"/>
      <c r="P56" s="198"/>
      <c r="Q56" s="199"/>
      <c r="R56" s="198"/>
      <c r="S56" s="198"/>
      <c r="T56" s="200"/>
      <c r="U56" s="201"/>
      <c r="V56" s="124"/>
      <c r="W56" s="124"/>
      <c r="X56" s="124"/>
      <c r="Y56" s="124"/>
      <c r="Z56" s="125"/>
    </row>
    <row r="57">
      <c r="A57" s="116" t="str">
        <f t="shared" si="36"/>
        <v/>
      </c>
      <c r="B57" s="216" t="s">
        <v>52</v>
      </c>
      <c r="C57" s="185"/>
      <c r="D57" s="104">
        <f t="shared" ref="D57:F57" si="37">SUM(D53:D56)</f>
        <v>2293.95</v>
      </c>
      <c r="E57" s="105">
        <f t="shared" si="37"/>
        <v>7</v>
      </c>
      <c r="F57" s="105">
        <f t="shared" si="37"/>
        <v>7</v>
      </c>
      <c r="G57" s="106">
        <f t="shared" si="1"/>
        <v>1</v>
      </c>
      <c r="H57" s="107">
        <f t="shared" si="2"/>
        <v>327.7071429</v>
      </c>
      <c r="I57" s="107">
        <f t="shared" si="3"/>
        <v>327.7071429</v>
      </c>
      <c r="J57" s="205"/>
      <c r="K57" s="205"/>
      <c r="L57" s="205"/>
      <c r="M57" s="206"/>
      <c r="N57" s="207"/>
      <c r="O57" s="205"/>
      <c r="P57" s="208"/>
      <c r="Q57" s="209"/>
      <c r="R57" s="208"/>
      <c r="S57" s="208"/>
      <c r="T57" s="210"/>
      <c r="U57" s="211"/>
      <c r="V57" s="217">
        <f t="shared" ref="V57:W57" si="38">IFERROR((D57-D52)/D57,)</f>
        <v>0.2977440659</v>
      </c>
      <c r="W57" s="217">
        <f t="shared" si="38"/>
        <v>-0.4285714286</v>
      </c>
      <c r="X57" s="140" t="str">
        <f t="shared" ref="X57:Y57" si="39">IFERROR((D57-#REF!)/D57,)</f>
        <v/>
      </c>
      <c r="Y57" s="140" t="str">
        <f t="shared" si="39"/>
        <v/>
      </c>
      <c r="Z57" s="116"/>
    </row>
    <row r="58">
      <c r="A58" s="116"/>
      <c r="B58" s="116"/>
      <c r="C58" s="116"/>
      <c r="D58" s="218"/>
      <c r="E58" s="116"/>
      <c r="F58" s="116"/>
      <c r="G58" s="219"/>
      <c r="H58" s="220"/>
      <c r="I58" s="220"/>
      <c r="J58" s="190"/>
      <c r="K58" s="190"/>
      <c r="L58" s="190"/>
      <c r="M58" s="191"/>
      <c r="N58" s="191"/>
      <c r="O58" s="190"/>
      <c r="P58" s="192"/>
      <c r="Q58" s="221"/>
      <c r="R58" s="192"/>
      <c r="S58" s="222"/>
      <c r="T58" s="179"/>
      <c r="U58" s="192"/>
      <c r="V58" s="223"/>
      <c r="W58" s="223"/>
      <c r="X58" s="223"/>
      <c r="Y58" s="223"/>
      <c r="Z58" s="116"/>
    </row>
    <row r="59">
      <c r="A59" s="116"/>
      <c r="B59" s="116"/>
      <c r="C59" s="116"/>
      <c r="D59" s="218"/>
      <c r="E59" s="116"/>
      <c r="F59" s="116"/>
      <c r="G59" s="219"/>
      <c r="H59" s="220"/>
      <c r="I59" s="220"/>
      <c r="J59" s="190"/>
      <c r="K59" s="190"/>
      <c r="L59" s="190"/>
      <c r="M59" s="191"/>
      <c r="N59" s="191"/>
      <c r="O59" s="190"/>
      <c r="P59" s="192"/>
      <c r="Q59" s="221"/>
      <c r="R59" s="192"/>
      <c r="S59" s="222"/>
      <c r="T59" s="179"/>
      <c r="U59" s="192"/>
      <c r="V59" s="223"/>
      <c r="W59" s="223"/>
      <c r="X59" s="223"/>
      <c r="Y59" s="223"/>
      <c r="Z59" s="116"/>
    </row>
    <row r="60">
      <c r="A60" s="116"/>
      <c r="B60" s="116"/>
      <c r="C60" s="116"/>
      <c r="D60" s="218"/>
      <c r="E60" s="116"/>
      <c r="F60" s="116"/>
      <c r="G60" s="219"/>
      <c r="H60" s="220"/>
      <c r="I60" s="220"/>
      <c r="J60" s="190"/>
      <c r="K60" s="190"/>
      <c r="L60" s="190"/>
      <c r="M60" s="191"/>
      <c r="N60" s="191"/>
      <c r="O60" s="190"/>
      <c r="P60" s="192"/>
      <c r="Q60" s="221"/>
      <c r="R60" s="192"/>
      <c r="S60" s="222"/>
      <c r="T60" s="179"/>
      <c r="U60" s="192"/>
      <c r="V60" s="223"/>
      <c r="W60" s="223"/>
      <c r="X60" s="223"/>
      <c r="Y60" s="223"/>
      <c r="Z60" s="116"/>
    </row>
    <row r="61">
      <c r="A61" s="116"/>
      <c r="B61" s="116"/>
      <c r="C61" s="116"/>
      <c r="D61" s="218"/>
      <c r="E61" s="116"/>
      <c r="F61" s="116"/>
      <c r="G61" s="219"/>
      <c r="H61" s="220"/>
      <c r="I61" s="220"/>
      <c r="J61" s="190"/>
      <c r="K61" s="190"/>
      <c r="L61" s="190"/>
      <c r="M61" s="191"/>
      <c r="N61" s="191"/>
      <c r="O61" s="190"/>
      <c r="P61" s="192"/>
      <c r="Q61" s="221"/>
      <c r="R61" s="192"/>
      <c r="S61" s="222"/>
      <c r="T61" s="179"/>
      <c r="U61" s="192"/>
      <c r="V61" s="223"/>
      <c r="W61" s="223"/>
      <c r="X61" s="223"/>
      <c r="Y61" s="223"/>
      <c r="Z61" s="116"/>
    </row>
    <row r="62">
      <c r="A62" s="116"/>
      <c r="B62" s="116"/>
      <c r="C62" s="116"/>
      <c r="D62" s="218"/>
      <c r="E62" s="116"/>
      <c r="F62" s="116"/>
      <c r="G62" s="219"/>
      <c r="H62" s="220"/>
      <c r="I62" s="220"/>
      <c r="J62" s="190"/>
      <c r="K62" s="190"/>
      <c r="L62" s="190"/>
      <c r="M62" s="191"/>
      <c r="N62" s="191"/>
      <c r="O62" s="190"/>
      <c r="P62" s="192"/>
      <c r="Q62" s="221"/>
      <c r="R62" s="192"/>
      <c r="S62" s="222"/>
      <c r="T62" s="179"/>
      <c r="U62" s="192"/>
      <c r="V62" s="223"/>
      <c r="W62" s="223"/>
      <c r="X62" s="223"/>
      <c r="Y62" s="223"/>
      <c r="Z62" s="116"/>
    </row>
    <row r="63">
      <c r="A63" s="116"/>
      <c r="B63" s="116"/>
      <c r="C63" s="116"/>
      <c r="D63" s="218"/>
      <c r="E63" s="116"/>
      <c r="F63" s="116"/>
      <c r="G63" s="219"/>
      <c r="H63" s="220"/>
      <c r="I63" s="220"/>
      <c r="J63" s="190"/>
      <c r="K63" s="190"/>
      <c r="L63" s="190"/>
      <c r="M63" s="191"/>
      <c r="N63" s="191"/>
      <c r="O63" s="190"/>
      <c r="P63" s="192"/>
      <c r="Q63" s="221"/>
      <c r="R63" s="192"/>
      <c r="S63" s="222"/>
      <c r="T63" s="179"/>
      <c r="U63" s="192"/>
      <c r="V63" s="223"/>
      <c r="W63" s="223"/>
      <c r="X63" s="223"/>
      <c r="Y63" s="223"/>
      <c r="Z63" s="116"/>
    </row>
    <row r="64">
      <c r="A64" s="116"/>
      <c r="B64" s="116"/>
      <c r="C64" s="116"/>
      <c r="D64" s="218"/>
      <c r="E64" s="116"/>
      <c r="F64" s="116"/>
      <c r="G64" s="219"/>
      <c r="H64" s="220"/>
      <c r="I64" s="220"/>
      <c r="J64" s="190"/>
      <c r="K64" s="190"/>
      <c r="L64" s="190"/>
      <c r="M64" s="191"/>
      <c r="N64" s="191"/>
      <c r="O64" s="190"/>
      <c r="P64" s="192"/>
      <c r="Q64" s="221"/>
      <c r="R64" s="192"/>
      <c r="S64" s="222"/>
      <c r="T64" s="179"/>
      <c r="U64" s="192"/>
      <c r="V64" s="223"/>
      <c r="W64" s="223"/>
      <c r="X64" s="223"/>
      <c r="Y64" s="223"/>
      <c r="Z64" s="116"/>
    </row>
    <row r="65">
      <c r="A65" s="116"/>
      <c r="B65" s="116"/>
      <c r="C65" s="116"/>
      <c r="D65" s="218"/>
      <c r="E65" s="116"/>
      <c r="F65" s="116"/>
      <c r="G65" s="219"/>
      <c r="H65" s="220"/>
      <c r="I65" s="220"/>
      <c r="J65" s="190"/>
      <c r="K65" s="190"/>
      <c r="L65" s="190"/>
      <c r="M65" s="191"/>
      <c r="N65" s="191"/>
      <c r="O65" s="190"/>
      <c r="P65" s="192"/>
      <c r="Q65" s="221"/>
      <c r="R65" s="192"/>
      <c r="S65" s="222"/>
      <c r="T65" s="179"/>
      <c r="U65" s="192"/>
      <c r="V65" s="223"/>
      <c r="W65" s="223"/>
      <c r="X65" s="223"/>
      <c r="Y65" s="223"/>
      <c r="Z65" s="116"/>
    </row>
    <row r="66">
      <c r="A66" s="116"/>
      <c r="B66" s="116"/>
      <c r="C66" s="116"/>
      <c r="D66" s="218"/>
      <c r="E66" s="116"/>
      <c r="F66" s="116"/>
      <c r="G66" s="219"/>
      <c r="H66" s="220"/>
      <c r="I66" s="220"/>
      <c r="J66" s="190"/>
      <c r="K66" s="190"/>
      <c r="L66" s="190"/>
      <c r="M66" s="191"/>
      <c r="N66" s="191"/>
      <c r="O66" s="190"/>
      <c r="P66" s="192"/>
      <c r="Q66" s="221"/>
      <c r="R66" s="192"/>
      <c r="S66" s="222"/>
      <c r="T66" s="179"/>
      <c r="U66" s="192"/>
      <c r="V66" s="223"/>
      <c r="W66" s="223"/>
      <c r="X66" s="223"/>
      <c r="Y66" s="223"/>
      <c r="Z66" s="116"/>
    </row>
    <row r="67">
      <c r="A67" s="116"/>
      <c r="B67" s="116"/>
      <c r="C67" s="116"/>
      <c r="D67" s="218"/>
      <c r="E67" s="116"/>
      <c r="F67" s="116"/>
      <c r="G67" s="219"/>
      <c r="H67" s="220"/>
      <c r="I67" s="220"/>
      <c r="J67" s="190"/>
      <c r="K67" s="190"/>
      <c r="L67" s="190"/>
      <c r="M67" s="191"/>
      <c r="N67" s="191"/>
      <c r="O67" s="190"/>
      <c r="P67" s="192"/>
      <c r="Q67" s="221"/>
      <c r="R67" s="192"/>
      <c r="S67" s="222"/>
      <c r="T67" s="179"/>
      <c r="U67" s="192"/>
      <c r="V67" s="223"/>
      <c r="W67" s="223"/>
      <c r="X67" s="223"/>
      <c r="Y67" s="223"/>
      <c r="Z67" s="116"/>
    </row>
    <row r="68">
      <c r="A68" s="116"/>
      <c r="B68" s="116"/>
      <c r="C68" s="116"/>
      <c r="D68" s="218"/>
      <c r="E68" s="116"/>
      <c r="F68" s="116"/>
      <c r="G68" s="219"/>
      <c r="H68" s="220"/>
      <c r="I68" s="220"/>
      <c r="J68" s="190"/>
      <c r="K68" s="190"/>
      <c r="L68" s="190"/>
      <c r="M68" s="191"/>
      <c r="N68" s="191"/>
      <c r="O68" s="190"/>
      <c r="P68" s="192"/>
      <c r="Q68" s="221"/>
      <c r="R68" s="192"/>
      <c r="S68" s="222"/>
      <c r="T68" s="179"/>
      <c r="U68" s="192"/>
      <c r="V68" s="223"/>
      <c r="W68" s="223"/>
      <c r="X68" s="223"/>
      <c r="Y68" s="223"/>
      <c r="Z68" s="116"/>
    </row>
    <row r="69">
      <c r="A69" s="116"/>
      <c r="B69" s="116"/>
      <c r="C69" s="116"/>
      <c r="D69" s="218"/>
      <c r="E69" s="116"/>
      <c r="F69" s="116"/>
      <c r="G69" s="219"/>
      <c r="H69" s="220"/>
      <c r="I69" s="220"/>
      <c r="J69" s="190"/>
      <c r="K69" s="190"/>
      <c r="L69" s="190"/>
      <c r="M69" s="191"/>
      <c r="N69" s="191"/>
      <c r="O69" s="190"/>
      <c r="P69" s="192"/>
      <c r="Q69" s="221"/>
      <c r="R69" s="192"/>
      <c r="S69" s="222"/>
      <c r="T69" s="179"/>
      <c r="U69" s="192"/>
      <c r="V69" s="223"/>
      <c r="W69" s="223"/>
      <c r="X69" s="223"/>
      <c r="Y69" s="223"/>
      <c r="Z69" s="116"/>
    </row>
    <row r="70">
      <c r="A70" s="116"/>
      <c r="B70" s="116"/>
      <c r="C70" s="116"/>
      <c r="D70" s="218"/>
      <c r="E70" s="116"/>
      <c r="F70" s="116"/>
      <c r="G70" s="219"/>
      <c r="H70" s="220"/>
      <c r="I70" s="220"/>
      <c r="J70" s="224"/>
      <c r="K70" s="224"/>
      <c r="L70" s="224"/>
      <c r="M70" s="225"/>
      <c r="N70" s="225"/>
      <c r="O70" s="224"/>
      <c r="P70" s="226"/>
      <c r="Q70" s="227"/>
      <c r="R70" s="226"/>
      <c r="S70" s="228"/>
      <c r="T70" s="229"/>
      <c r="U70" s="226"/>
      <c r="V70" s="223"/>
      <c r="W70" s="223"/>
      <c r="X70" s="223"/>
      <c r="Y70" s="223"/>
      <c r="Z70" s="116"/>
    </row>
    <row r="71">
      <c r="A71" s="116"/>
      <c r="B71" s="116"/>
      <c r="C71" s="116"/>
      <c r="D71" s="218"/>
      <c r="E71" s="116"/>
      <c r="F71" s="116"/>
      <c r="G71" s="219"/>
      <c r="H71" s="220"/>
      <c r="I71" s="116"/>
      <c r="J71" s="224"/>
      <c r="K71" s="224"/>
      <c r="L71" s="224"/>
      <c r="M71" s="225"/>
      <c r="N71" s="225"/>
      <c r="O71" s="224"/>
      <c r="P71" s="226"/>
      <c r="Q71" s="227"/>
      <c r="R71" s="226"/>
      <c r="S71" s="228"/>
      <c r="T71" s="229"/>
      <c r="U71" s="226"/>
      <c r="V71" s="223"/>
      <c r="W71" s="223"/>
      <c r="X71" s="223"/>
      <c r="Y71" s="223"/>
      <c r="Z71" s="116"/>
    </row>
    <row r="72">
      <c r="J72" s="230"/>
      <c r="K72" s="230"/>
      <c r="L72" s="230"/>
      <c r="M72" s="230"/>
      <c r="N72" s="230"/>
      <c r="O72" s="230"/>
      <c r="P72" s="230"/>
      <c r="Q72" s="230"/>
      <c r="R72" s="230"/>
      <c r="S72" s="230"/>
      <c r="T72" s="230"/>
      <c r="U72" s="230"/>
    </row>
    <row r="73">
      <c r="J73" s="230"/>
      <c r="K73" s="230"/>
      <c r="L73" s="230"/>
      <c r="M73" s="230"/>
      <c r="N73" s="230"/>
      <c r="O73" s="230"/>
      <c r="P73" s="230"/>
      <c r="Q73" s="230"/>
      <c r="R73" s="230"/>
      <c r="S73" s="230"/>
      <c r="T73" s="230"/>
      <c r="U73" s="230"/>
    </row>
    <row r="74"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230"/>
      <c r="U74" s="230"/>
    </row>
    <row r="75">
      <c r="J75" s="230"/>
      <c r="K75" s="230"/>
      <c r="L75" s="230"/>
      <c r="M75" s="230"/>
      <c r="N75" s="230"/>
      <c r="O75" s="230"/>
      <c r="P75" s="230"/>
      <c r="Q75" s="230"/>
      <c r="R75" s="230"/>
      <c r="S75" s="230"/>
      <c r="T75" s="230"/>
      <c r="U75" s="230"/>
    </row>
    <row r="76">
      <c r="J76" s="230"/>
      <c r="K76" s="230"/>
      <c r="L76" s="230"/>
      <c r="M76" s="230"/>
      <c r="N76" s="230"/>
      <c r="O76" s="230"/>
      <c r="P76" s="230"/>
      <c r="Q76" s="230"/>
      <c r="R76" s="230"/>
      <c r="S76" s="230"/>
      <c r="T76" s="230"/>
      <c r="U76" s="230"/>
    </row>
    <row r="77"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230"/>
      <c r="U77" s="230"/>
    </row>
    <row r="78">
      <c r="J78" s="230"/>
      <c r="K78" s="230"/>
      <c r="L78" s="230"/>
      <c r="M78" s="230"/>
      <c r="N78" s="230"/>
      <c r="O78" s="230"/>
      <c r="P78" s="230"/>
      <c r="Q78" s="230"/>
      <c r="R78" s="230"/>
      <c r="S78" s="230"/>
      <c r="T78" s="230"/>
      <c r="U78" s="230"/>
    </row>
    <row r="79">
      <c r="J79" s="230"/>
      <c r="K79" s="230"/>
      <c r="L79" s="230"/>
      <c r="M79" s="230"/>
      <c r="N79" s="230"/>
      <c r="O79" s="230"/>
      <c r="P79" s="230"/>
      <c r="Q79" s="230"/>
      <c r="R79" s="230"/>
      <c r="S79" s="230"/>
      <c r="T79" s="230"/>
      <c r="U79" s="230"/>
    </row>
    <row r="80">
      <c r="J80" s="230"/>
      <c r="K80" s="230"/>
      <c r="L80" s="230"/>
      <c r="M80" s="230"/>
      <c r="N80" s="230"/>
      <c r="O80" s="230"/>
      <c r="P80" s="230"/>
      <c r="Q80" s="230"/>
      <c r="R80" s="230"/>
      <c r="S80" s="230"/>
      <c r="T80" s="230"/>
      <c r="U80" s="230"/>
    </row>
    <row r="81">
      <c r="J81" s="230"/>
      <c r="K81" s="230"/>
      <c r="L81" s="230"/>
      <c r="M81" s="230"/>
      <c r="N81" s="230"/>
      <c r="O81" s="230"/>
      <c r="P81" s="230"/>
      <c r="Q81" s="230"/>
      <c r="R81" s="230"/>
      <c r="S81" s="230"/>
      <c r="T81" s="230"/>
      <c r="U81" s="230"/>
    </row>
    <row r="82">
      <c r="J82" s="230"/>
      <c r="K82" s="230"/>
      <c r="L82" s="230"/>
      <c r="M82" s="230"/>
      <c r="N82" s="230"/>
      <c r="O82" s="230"/>
      <c r="P82" s="230"/>
      <c r="Q82" s="230"/>
      <c r="R82" s="230"/>
      <c r="S82" s="230"/>
      <c r="T82" s="230"/>
      <c r="U82" s="230"/>
    </row>
    <row r="83">
      <c r="J83" s="230"/>
      <c r="K83" s="230"/>
      <c r="L83" s="230"/>
      <c r="M83" s="230"/>
      <c r="N83" s="230"/>
      <c r="O83" s="230"/>
      <c r="P83" s="230"/>
      <c r="Q83" s="230"/>
      <c r="R83" s="230"/>
      <c r="S83" s="230"/>
      <c r="T83" s="230"/>
      <c r="U83" s="230"/>
    </row>
    <row r="84">
      <c r="J84" s="230"/>
      <c r="K84" s="230"/>
      <c r="L84" s="230"/>
      <c r="M84" s="230"/>
      <c r="N84" s="230"/>
      <c r="O84" s="230"/>
      <c r="P84" s="230"/>
      <c r="Q84" s="230"/>
      <c r="R84" s="230"/>
      <c r="S84" s="230"/>
      <c r="T84" s="230"/>
      <c r="U84" s="230"/>
    </row>
    <row r="85">
      <c r="J85" s="230"/>
      <c r="K85" s="230"/>
      <c r="L85" s="230"/>
      <c r="M85" s="230"/>
      <c r="N85" s="230"/>
      <c r="O85" s="230"/>
      <c r="P85" s="230"/>
      <c r="Q85" s="230"/>
      <c r="R85" s="230"/>
      <c r="S85" s="230"/>
      <c r="T85" s="230"/>
      <c r="U85" s="230"/>
    </row>
    <row r="86">
      <c r="J86" s="230"/>
      <c r="K86" s="230"/>
      <c r="L86" s="230"/>
      <c r="M86" s="230"/>
      <c r="N86" s="230"/>
      <c r="O86" s="230"/>
      <c r="P86" s="230"/>
      <c r="Q86" s="230"/>
      <c r="R86" s="230"/>
      <c r="S86" s="230"/>
      <c r="T86" s="230"/>
      <c r="U86" s="230"/>
    </row>
    <row r="87">
      <c r="J87" s="230"/>
      <c r="K87" s="230"/>
      <c r="L87" s="230"/>
      <c r="M87" s="230"/>
      <c r="N87" s="230"/>
      <c r="O87" s="230"/>
      <c r="P87" s="230"/>
      <c r="Q87" s="230"/>
      <c r="R87" s="230"/>
      <c r="S87" s="230"/>
      <c r="T87" s="230"/>
      <c r="U87" s="230"/>
    </row>
    <row r="88">
      <c r="J88" s="230"/>
      <c r="K88" s="230"/>
      <c r="L88" s="230"/>
      <c r="M88" s="230"/>
      <c r="N88" s="230"/>
      <c r="O88" s="230"/>
      <c r="P88" s="230"/>
      <c r="Q88" s="230"/>
      <c r="R88" s="230"/>
      <c r="S88" s="230"/>
      <c r="T88" s="230"/>
      <c r="U88" s="230"/>
    </row>
    <row r="89">
      <c r="J89" s="230"/>
      <c r="K89" s="230"/>
      <c r="L89" s="230"/>
      <c r="M89" s="230"/>
      <c r="N89" s="230"/>
      <c r="O89" s="230"/>
      <c r="P89" s="230"/>
      <c r="Q89" s="230"/>
      <c r="R89" s="230"/>
      <c r="S89" s="230"/>
      <c r="T89" s="230"/>
      <c r="U89" s="230"/>
    </row>
    <row r="90">
      <c r="J90" s="230"/>
      <c r="K90" s="230"/>
      <c r="L90" s="230"/>
      <c r="M90" s="230"/>
      <c r="N90" s="230"/>
      <c r="O90" s="230"/>
      <c r="P90" s="230"/>
      <c r="Q90" s="230"/>
      <c r="R90" s="230"/>
      <c r="S90" s="230"/>
      <c r="T90" s="230"/>
      <c r="U90" s="230"/>
    </row>
    <row r="91"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</row>
    <row r="92"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</row>
    <row r="93">
      <c r="J93" s="230"/>
      <c r="K93" s="230"/>
      <c r="L93" s="230"/>
      <c r="M93" s="230"/>
      <c r="N93" s="230"/>
      <c r="O93" s="230"/>
      <c r="P93" s="230"/>
      <c r="Q93" s="230"/>
      <c r="R93" s="230"/>
      <c r="S93" s="230"/>
      <c r="T93" s="230"/>
      <c r="U93" s="230"/>
    </row>
    <row r="94">
      <c r="J94" s="230"/>
      <c r="K94" s="230"/>
      <c r="L94" s="230"/>
      <c r="M94" s="230"/>
      <c r="N94" s="230"/>
      <c r="O94" s="230"/>
      <c r="P94" s="230"/>
      <c r="Q94" s="230"/>
      <c r="R94" s="230"/>
      <c r="S94" s="230"/>
      <c r="T94" s="230"/>
      <c r="U94" s="230"/>
    </row>
    <row r="95">
      <c r="J95" s="230"/>
      <c r="K95" s="230"/>
      <c r="L95" s="230"/>
      <c r="M95" s="230"/>
      <c r="N95" s="230"/>
      <c r="O95" s="230"/>
      <c r="P95" s="230"/>
      <c r="Q95" s="230"/>
      <c r="R95" s="230"/>
      <c r="S95" s="230"/>
      <c r="T95" s="230"/>
      <c r="U95" s="230"/>
    </row>
    <row r="96">
      <c r="J96" s="230"/>
      <c r="K96" s="230"/>
      <c r="L96" s="230"/>
      <c r="M96" s="230"/>
      <c r="N96" s="230"/>
      <c r="O96" s="230"/>
      <c r="P96" s="230"/>
      <c r="Q96" s="230"/>
      <c r="R96" s="230"/>
      <c r="S96" s="230"/>
      <c r="T96" s="230"/>
      <c r="U96" s="230"/>
    </row>
    <row r="97">
      <c r="J97" s="230"/>
      <c r="K97" s="230"/>
      <c r="L97" s="230"/>
      <c r="M97" s="230"/>
      <c r="N97" s="230"/>
      <c r="O97" s="230"/>
      <c r="P97" s="230"/>
      <c r="Q97" s="230"/>
      <c r="R97" s="230"/>
      <c r="S97" s="230"/>
      <c r="T97" s="230"/>
      <c r="U97" s="230"/>
    </row>
    <row r="98">
      <c r="J98" s="230"/>
      <c r="K98" s="230"/>
      <c r="L98" s="230"/>
      <c r="M98" s="230"/>
      <c r="N98" s="230"/>
      <c r="O98" s="230"/>
      <c r="P98" s="230"/>
      <c r="Q98" s="230"/>
      <c r="R98" s="230"/>
      <c r="S98" s="230"/>
      <c r="T98" s="230"/>
      <c r="U98" s="230"/>
    </row>
    <row r="99">
      <c r="J99" s="230"/>
      <c r="K99" s="230"/>
      <c r="L99" s="230"/>
      <c r="M99" s="230"/>
      <c r="N99" s="230"/>
      <c r="O99" s="230"/>
      <c r="P99" s="230"/>
      <c r="Q99" s="230"/>
      <c r="R99" s="230"/>
      <c r="S99" s="230"/>
      <c r="T99" s="230"/>
      <c r="U99" s="230"/>
    </row>
    <row r="100"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</row>
    <row r="101">
      <c r="J101" s="230"/>
      <c r="K101" s="230"/>
      <c r="L101" s="230"/>
      <c r="M101" s="230"/>
      <c r="N101" s="230"/>
      <c r="O101" s="230"/>
      <c r="P101" s="230"/>
      <c r="Q101" s="230"/>
      <c r="R101" s="230"/>
      <c r="S101" s="230"/>
      <c r="T101" s="230"/>
      <c r="U101" s="230"/>
    </row>
    <row r="102">
      <c r="J102" s="230"/>
      <c r="K102" s="230"/>
      <c r="L102" s="230"/>
      <c r="M102" s="230"/>
      <c r="N102" s="230"/>
      <c r="O102" s="230"/>
      <c r="P102" s="230"/>
      <c r="Q102" s="230"/>
      <c r="R102" s="230"/>
      <c r="S102" s="230"/>
      <c r="T102" s="230"/>
      <c r="U102" s="230"/>
    </row>
    <row r="103">
      <c r="J103" s="230"/>
      <c r="K103" s="230"/>
      <c r="L103" s="230"/>
      <c r="M103" s="230"/>
      <c r="N103" s="230"/>
      <c r="O103" s="230"/>
      <c r="P103" s="230"/>
      <c r="Q103" s="230"/>
      <c r="R103" s="230"/>
      <c r="S103" s="230"/>
      <c r="T103" s="230"/>
      <c r="U103" s="230"/>
    </row>
    <row r="104">
      <c r="J104" s="230"/>
      <c r="K104" s="230"/>
      <c r="L104" s="230"/>
      <c r="M104" s="230"/>
      <c r="N104" s="230"/>
      <c r="O104" s="230"/>
      <c r="P104" s="230"/>
      <c r="Q104" s="230"/>
      <c r="R104" s="230"/>
      <c r="S104" s="230"/>
      <c r="T104" s="230"/>
      <c r="U104" s="230"/>
    </row>
    <row r="105">
      <c r="J105" s="230"/>
      <c r="K105" s="230"/>
      <c r="L105" s="230"/>
      <c r="M105" s="230"/>
      <c r="N105" s="230"/>
      <c r="O105" s="230"/>
      <c r="P105" s="230"/>
      <c r="Q105" s="230"/>
      <c r="R105" s="230"/>
      <c r="S105" s="230"/>
      <c r="T105" s="230"/>
      <c r="U105" s="230"/>
    </row>
    <row r="106">
      <c r="J106" s="230"/>
      <c r="K106" s="230"/>
      <c r="L106" s="230"/>
      <c r="M106" s="230"/>
      <c r="N106" s="230"/>
      <c r="O106" s="230"/>
      <c r="P106" s="230"/>
      <c r="Q106" s="230"/>
      <c r="R106" s="230"/>
      <c r="S106" s="230"/>
      <c r="T106" s="230"/>
      <c r="U106" s="230"/>
    </row>
    <row r="107">
      <c r="J107" s="230"/>
      <c r="K107" s="230"/>
      <c r="L107" s="230"/>
      <c r="M107" s="230"/>
      <c r="N107" s="230"/>
      <c r="O107" s="230"/>
      <c r="P107" s="230"/>
      <c r="Q107" s="230"/>
      <c r="R107" s="230"/>
      <c r="S107" s="230"/>
      <c r="T107" s="230"/>
      <c r="U107" s="230"/>
    </row>
    <row r="108">
      <c r="J108" s="230"/>
      <c r="K108" s="230"/>
      <c r="L108" s="230"/>
      <c r="M108" s="230"/>
      <c r="N108" s="230"/>
      <c r="O108" s="230"/>
      <c r="P108" s="230"/>
      <c r="Q108" s="230"/>
      <c r="R108" s="230"/>
      <c r="S108" s="230"/>
      <c r="T108" s="230"/>
      <c r="U108" s="230"/>
    </row>
    <row r="109">
      <c r="J109" s="230"/>
      <c r="K109" s="230"/>
      <c r="L109" s="230"/>
      <c r="M109" s="230"/>
      <c r="N109" s="230"/>
      <c r="O109" s="230"/>
      <c r="P109" s="230"/>
      <c r="Q109" s="230"/>
      <c r="R109" s="230"/>
      <c r="S109" s="230"/>
      <c r="T109" s="230"/>
      <c r="U109" s="230"/>
    </row>
    <row r="110">
      <c r="J110" s="230"/>
      <c r="K110" s="230"/>
      <c r="L110" s="230"/>
      <c r="M110" s="230"/>
      <c r="N110" s="230"/>
      <c r="O110" s="230"/>
      <c r="P110" s="230"/>
      <c r="Q110" s="230"/>
      <c r="R110" s="230"/>
      <c r="S110" s="230"/>
      <c r="T110" s="230"/>
      <c r="U110" s="230"/>
    </row>
    <row r="111">
      <c r="J111" s="230"/>
      <c r="K111" s="230"/>
      <c r="L111" s="230"/>
      <c r="M111" s="230"/>
      <c r="N111" s="230"/>
      <c r="O111" s="230"/>
      <c r="P111" s="230"/>
      <c r="Q111" s="230"/>
      <c r="R111" s="230"/>
      <c r="S111" s="230"/>
      <c r="T111" s="230"/>
      <c r="U111" s="230"/>
    </row>
    <row r="112">
      <c r="J112" s="230"/>
      <c r="K112" s="230"/>
      <c r="L112" s="230"/>
      <c r="M112" s="230"/>
      <c r="N112" s="230"/>
      <c r="O112" s="230"/>
      <c r="P112" s="230"/>
      <c r="Q112" s="230"/>
      <c r="R112" s="230"/>
      <c r="S112" s="230"/>
      <c r="T112" s="230"/>
      <c r="U112" s="230"/>
    </row>
    <row r="113">
      <c r="J113" s="230"/>
      <c r="K113" s="230"/>
      <c r="L113" s="230"/>
      <c r="M113" s="230"/>
      <c r="N113" s="230"/>
      <c r="O113" s="230"/>
      <c r="P113" s="230"/>
      <c r="Q113" s="230"/>
      <c r="R113" s="230"/>
      <c r="S113" s="230"/>
      <c r="T113" s="230"/>
      <c r="U113" s="230"/>
    </row>
    <row r="114">
      <c r="J114" s="230"/>
      <c r="K114" s="230"/>
      <c r="L114" s="230"/>
      <c r="M114" s="230"/>
      <c r="N114" s="230"/>
      <c r="O114" s="230"/>
      <c r="P114" s="230"/>
      <c r="Q114" s="230"/>
      <c r="R114" s="230"/>
      <c r="S114" s="230"/>
      <c r="T114" s="230"/>
      <c r="U114" s="230"/>
    </row>
    <row r="115">
      <c r="J115" s="230"/>
      <c r="K115" s="230"/>
      <c r="L115" s="230"/>
      <c r="M115" s="230"/>
      <c r="N115" s="230"/>
      <c r="O115" s="230"/>
      <c r="P115" s="230"/>
      <c r="Q115" s="230"/>
      <c r="R115" s="230"/>
      <c r="S115" s="230"/>
      <c r="T115" s="230"/>
      <c r="U115" s="230"/>
    </row>
    <row r="116">
      <c r="J116" s="230"/>
      <c r="K116" s="230"/>
      <c r="L116" s="230"/>
      <c r="M116" s="230"/>
      <c r="N116" s="230"/>
      <c r="O116" s="230"/>
      <c r="P116" s="230"/>
      <c r="Q116" s="230"/>
      <c r="R116" s="230"/>
      <c r="S116" s="230"/>
      <c r="T116" s="230"/>
      <c r="U116" s="230"/>
    </row>
    <row r="117">
      <c r="J117" s="230"/>
      <c r="K117" s="230"/>
      <c r="L117" s="230"/>
      <c r="M117" s="230"/>
      <c r="N117" s="230"/>
      <c r="O117" s="230"/>
      <c r="P117" s="230"/>
      <c r="Q117" s="230"/>
      <c r="R117" s="230"/>
      <c r="S117" s="230"/>
      <c r="T117" s="230"/>
      <c r="U117" s="230"/>
    </row>
    <row r="118">
      <c r="J118" s="230"/>
      <c r="K118" s="230"/>
      <c r="L118" s="230"/>
      <c r="M118" s="230"/>
      <c r="N118" s="230"/>
      <c r="O118" s="230"/>
      <c r="P118" s="230"/>
      <c r="Q118" s="230"/>
      <c r="R118" s="230"/>
      <c r="S118" s="230"/>
      <c r="T118" s="230"/>
      <c r="U118" s="230"/>
    </row>
    <row r="119">
      <c r="J119" s="230"/>
      <c r="K119" s="230"/>
      <c r="L119" s="230"/>
      <c r="M119" s="230"/>
      <c r="N119" s="230"/>
      <c r="O119" s="230"/>
      <c r="P119" s="230"/>
      <c r="Q119" s="230"/>
      <c r="R119" s="230"/>
      <c r="S119" s="230"/>
      <c r="T119" s="230"/>
      <c r="U119" s="230"/>
    </row>
    <row r="120">
      <c r="J120" s="230"/>
      <c r="K120" s="230"/>
      <c r="L120" s="230"/>
      <c r="M120" s="230"/>
      <c r="N120" s="230"/>
      <c r="O120" s="230"/>
      <c r="P120" s="230"/>
      <c r="Q120" s="230"/>
      <c r="R120" s="230"/>
      <c r="S120" s="230"/>
      <c r="T120" s="230"/>
      <c r="U120" s="230"/>
    </row>
    <row r="121">
      <c r="J121" s="230"/>
      <c r="K121" s="230"/>
      <c r="L121" s="230"/>
      <c r="M121" s="230"/>
      <c r="N121" s="230"/>
      <c r="O121" s="230"/>
      <c r="P121" s="230"/>
      <c r="Q121" s="230"/>
      <c r="R121" s="230"/>
      <c r="S121" s="230"/>
      <c r="T121" s="230"/>
      <c r="U121" s="230"/>
    </row>
    <row r="122">
      <c r="J122" s="230"/>
      <c r="K122" s="230"/>
      <c r="L122" s="230"/>
      <c r="M122" s="230"/>
      <c r="N122" s="230"/>
      <c r="O122" s="230"/>
      <c r="P122" s="230"/>
      <c r="Q122" s="230"/>
      <c r="R122" s="230"/>
      <c r="S122" s="230"/>
      <c r="T122" s="230"/>
      <c r="U122" s="230"/>
    </row>
    <row r="123">
      <c r="J123" s="230"/>
      <c r="K123" s="230"/>
      <c r="L123" s="230"/>
      <c r="M123" s="230"/>
      <c r="N123" s="230"/>
      <c r="O123" s="230"/>
      <c r="P123" s="230"/>
      <c r="Q123" s="230"/>
      <c r="R123" s="230"/>
      <c r="S123" s="230"/>
      <c r="T123" s="230"/>
      <c r="U123" s="230"/>
    </row>
    <row r="124">
      <c r="J124" s="230"/>
      <c r="K124" s="230"/>
      <c r="L124" s="230"/>
      <c r="M124" s="230"/>
      <c r="N124" s="230"/>
      <c r="O124" s="230"/>
      <c r="P124" s="230"/>
      <c r="Q124" s="230"/>
      <c r="R124" s="230"/>
      <c r="S124" s="230"/>
      <c r="T124" s="230"/>
      <c r="U124" s="230"/>
    </row>
    <row r="125">
      <c r="J125" s="230"/>
      <c r="K125" s="230"/>
      <c r="L125" s="230"/>
      <c r="M125" s="230"/>
      <c r="N125" s="230"/>
      <c r="O125" s="230"/>
      <c r="P125" s="230"/>
      <c r="Q125" s="230"/>
      <c r="R125" s="230"/>
      <c r="S125" s="230"/>
      <c r="T125" s="230"/>
      <c r="U125" s="230"/>
    </row>
    <row r="126">
      <c r="J126" s="230"/>
      <c r="K126" s="230"/>
      <c r="L126" s="230"/>
      <c r="M126" s="230"/>
      <c r="N126" s="230"/>
      <c r="O126" s="230"/>
      <c r="P126" s="230"/>
      <c r="Q126" s="230"/>
      <c r="R126" s="230"/>
      <c r="S126" s="230"/>
      <c r="T126" s="230"/>
      <c r="U126" s="230"/>
    </row>
    <row r="127">
      <c r="J127" s="230"/>
      <c r="K127" s="230"/>
      <c r="L127" s="230"/>
      <c r="M127" s="230"/>
      <c r="N127" s="230"/>
      <c r="O127" s="230"/>
      <c r="P127" s="230"/>
      <c r="Q127" s="230"/>
      <c r="R127" s="230"/>
      <c r="S127" s="230"/>
      <c r="T127" s="230"/>
      <c r="U127" s="230"/>
    </row>
    <row r="128">
      <c r="J128" s="230"/>
      <c r="K128" s="230"/>
      <c r="L128" s="230"/>
      <c r="M128" s="230"/>
      <c r="N128" s="230"/>
      <c r="O128" s="230"/>
      <c r="P128" s="230"/>
      <c r="Q128" s="230"/>
      <c r="R128" s="230"/>
      <c r="S128" s="230"/>
      <c r="T128" s="230"/>
      <c r="U128" s="230"/>
    </row>
    <row r="129">
      <c r="J129" s="230"/>
      <c r="K129" s="230"/>
      <c r="L129" s="230"/>
      <c r="M129" s="230"/>
      <c r="N129" s="230"/>
      <c r="O129" s="230"/>
      <c r="P129" s="230"/>
      <c r="Q129" s="230"/>
      <c r="R129" s="230"/>
      <c r="S129" s="230"/>
      <c r="T129" s="230"/>
      <c r="U129" s="230"/>
    </row>
    <row r="130">
      <c r="J130" s="230"/>
      <c r="K130" s="230"/>
      <c r="L130" s="230"/>
      <c r="M130" s="230"/>
      <c r="N130" s="230"/>
      <c r="O130" s="230"/>
      <c r="P130" s="230"/>
      <c r="Q130" s="230"/>
      <c r="R130" s="230"/>
      <c r="S130" s="230"/>
      <c r="T130" s="230"/>
      <c r="U130" s="230"/>
    </row>
    <row r="131">
      <c r="J131" s="230"/>
      <c r="K131" s="230"/>
      <c r="L131" s="230"/>
      <c r="M131" s="230"/>
      <c r="N131" s="230"/>
      <c r="O131" s="230"/>
      <c r="P131" s="230"/>
      <c r="Q131" s="230"/>
      <c r="R131" s="230"/>
      <c r="S131" s="230"/>
      <c r="T131" s="230"/>
      <c r="U131" s="230"/>
    </row>
    <row r="132">
      <c r="J132" s="230"/>
      <c r="K132" s="230"/>
      <c r="L132" s="230"/>
      <c r="M132" s="230"/>
      <c r="N132" s="230"/>
      <c r="O132" s="230"/>
      <c r="P132" s="230"/>
      <c r="Q132" s="230"/>
      <c r="R132" s="230"/>
      <c r="S132" s="230"/>
      <c r="T132" s="230"/>
      <c r="U132" s="230"/>
    </row>
    <row r="133">
      <c r="J133" s="230"/>
      <c r="K133" s="230"/>
      <c r="L133" s="230"/>
      <c r="M133" s="230"/>
      <c r="N133" s="230"/>
      <c r="O133" s="230"/>
      <c r="P133" s="230"/>
      <c r="Q133" s="230"/>
      <c r="R133" s="230"/>
      <c r="S133" s="230"/>
      <c r="T133" s="230"/>
      <c r="U133" s="230"/>
    </row>
    <row r="134">
      <c r="J134" s="230"/>
      <c r="K134" s="230"/>
      <c r="L134" s="230"/>
      <c r="M134" s="230"/>
      <c r="N134" s="230"/>
      <c r="O134" s="230"/>
      <c r="P134" s="230"/>
      <c r="Q134" s="230"/>
      <c r="R134" s="230"/>
      <c r="S134" s="230"/>
      <c r="T134" s="230"/>
      <c r="U134" s="230"/>
    </row>
    <row r="135">
      <c r="J135" s="230"/>
      <c r="K135" s="230"/>
      <c r="L135" s="230"/>
      <c r="M135" s="230"/>
      <c r="N135" s="230"/>
      <c r="O135" s="230"/>
      <c r="P135" s="230"/>
      <c r="Q135" s="230"/>
      <c r="R135" s="230"/>
      <c r="S135" s="230"/>
      <c r="T135" s="230"/>
      <c r="U135" s="230"/>
    </row>
    <row r="136">
      <c r="J136" s="230"/>
      <c r="K136" s="230"/>
      <c r="L136" s="230"/>
      <c r="M136" s="230"/>
      <c r="N136" s="230"/>
      <c r="O136" s="230"/>
      <c r="P136" s="230"/>
      <c r="Q136" s="230"/>
      <c r="R136" s="230"/>
      <c r="S136" s="230"/>
      <c r="T136" s="230"/>
      <c r="U136" s="230"/>
    </row>
    <row r="137">
      <c r="J137" s="230"/>
      <c r="K137" s="230"/>
      <c r="L137" s="230"/>
      <c r="M137" s="230"/>
      <c r="N137" s="230"/>
      <c r="O137" s="230"/>
      <c r="P137" s="230"/>
      <c r="Q137" s="230"/>
      <c r="R137" s="230"/>
      <c r="S137" s="230"/>
      <c r="T137" s="230"/>
      <c r="U137" s="230"/>
    </row>
    <row r="138">
      <c r="J138" s="230"/>
      <c r="K138" s="230"/>
      <c r="L138" s="230"/>
      <c r="M138" s="230"/>
      <c r="N138" s="230"/>
      <c r="O138" s="230"/>
      <c r="P138" s="230"/>
      <c r="Q138" s="230"/>
      <c r="R138" s="230"/>
      <c r="S138" s="230"/>
      <c r="T138" s="230"/>
      <c r="U138" s="230"/>
    </row>
    <row r="139">
      <c r="J139" s="230"/>
      <c r="K139" s="230"/>
      <c r="L139" s="230"/>
      <c r="M139" s="230"/>
      <c r="N139" s="230"/>
      <c r="O139" s="230"/>
      <c r="P139" s="230"/>
      <c r="Q139" s="230"/>
      <c r="R139" s="230"/>
      <c r="S139" s="230"/>
      <c r="T139" s="230"/>
      <c r="U139" s="230"/>
    </row>
    <row r="140">
      <c r="J140" s="230"/>
      <c r="K140" s="230"/>
      <c r="L140" s="230"/>
      <c r="M140" s="230"/>
      <c r="N140" s="230"/>
      <c r="O140" s="230"/>
      <c r="P140" s="230"/>
      <c r="Q140" s="230"/>
      <c r="R140" s="230"/>
      <c r="S140" s="230"/>
      <c r="T140" s="230"/>
      <c r="U140" s="230"/>
    </row>
    <row r="141">
      <c r="J141" s="230"/>
      <c r="K141" s="230"/>
      <c r="L141" s="230"/>
      <c r="M141" s="230"/>
      <c r="N141" s="230"/>
      <c r="O141" s="230"/>
      <c r="P141" s="230"/>
      <c r="Q141" s="230"/>
      <c r="R141" s="230"/>
      <c r="S141" s="230"/>
      <c r="T141" s="230"/>
      <c r="U141" s="230"/>
    </row>
    <row r="142">
      <c r="J142" s="230"/>
      <c r="K142" s="230"/>
      <c r="L142" s="230"/>
      <c r="M142" s="230"/>
      <c r="N142" s="230"/>
      <c r="O142" s="230"/>
      <c r="P142" s="230"/>
      <c r="Q142" s="230"/>
      <c r="R142" s="230"/>
      <c r="S142" s="230"/>
      <c r="T142" s="230"/>
      <c r="U142" s="230"/>
    </row>
    <row r="143">
      <c r="J143" s="230"/>
      <c r="K143" s="230"/>
      <c r="L143" s="230"/>
      <c r="M143" s="230"/>
      <c r="N143" s="230"/>
      <c r="O143" s="230"/>
      <c r="P143" s="230"/>
      <c r="Q143" s="230"/>
      <c r="R143" s="230"/>
      <c r="S143" s="230"/>
      <c r="T143" s="230"/>
      <c r="U143" s="230"/>
    </row>
    <row r="144">
      <c r="J144" s="230"/>
      <c r="K144" s="230"/>
      <c r="L144" s="230"/>
      <c r="M144" s="230"/>
      <c r="N144" s="230"/>
      <c r="O144" s="230"/>
      <c r="P144" s="230"/>
      <c r="Q144" s="230"/>
      <c r="R144" s="230"/>
      <c r="S144" s="230"/>
      <c r="T144" s="230"/>
      <c r="U144" s="230"/>
    </row>
    <row r="145">
      <c r="J145" s="230"/>
      <c r="K145" s="230"/>
      <c r="L145" s="230"/>
      <c r="M145" s="230"/>
      <c r="N145" s="230"/>
      <c r="O145" s="230"/>
      <c r="P145" s="230"/>
      <c r="Q145" s="230"/>
      <c r="R145" s="230"/>
      <c r="S145" s="230"/>
      <c r="T145" s="230"/>
      <c r="U145" s="230"/>
    </row>
    <row r="146">
      <c r="J146" s="230"/>
      <c r="K146" s="230"/>
      <c r="L146" s="230"/>
      <c r="M146" s="230"/>
      <c r="N146" s="230"/>
      <c r="O146" s="230"/>
      <c r="P146" s="230"/>
      <c r="Q146" s="230"/>
      <c r="R146" s="230"/>
      <c r="S146" s="230"/>
      <c r="T146" s="230"/>
      <c r="U146" s="230"/>
    </row>
    <row r="147">
      <c r="J147" s="230"/>
      <c r="K147" s="230"/>
      <c r="L147" s="230"/>
      <c r="M147" s="230"/>
      <c r="N147" s="230"/>
      <c r="O147" s="230"/>
      <c r="P147" s="230"/>
      <c r="Q147" s="230"/>
      <c r="R147" s="230"/>
      <c r="S147" s="230"/>
      <c r="T147" s="230"/>
      <c r="U147" s="230"/>
    </row>
    <row r="148">
      <c r="J148" s="230"/>
      <c r="K148" s="230"/>
      <c r="L148" s="230"/>
      <c r="M148" s="230"/>
      <c r="N148" s="230"/>
      <c r="O148" s="230"/>
      <c r="P148" s="230"/>
      <c r="Q148" s="230"/>
      <c r="R148" s="230"/>
      <c r="S148" s="230"/>
      <c r="T148" s="230"/>
      <c r="U148" s="230"/>
    </row>
    <row r="149">
      <c r="J149" s="230"/>
      <c r="K149" s="230"/>
      <c r="L149" s="230"/>
      <c r="M149" s="230"/>
      <c r="N149" s="230"/>
      <c r="O149" s="230"/>
      <c r="P149" s="230"/>
      <c r="Q149" s="230"/>
      <c r="R149" s="230"/>
      <c r="S149" s="230"/>
      <c r="T149" s="230"/>
      <c r="U149" s="230"/>
    </row>
    <row r="150">
      <c r="J150" s="230"/>
      <c r="K150" s="230"/>
      <c r="L150" s="230"/>
      <c r="M150" s="230"/>
      <c r="N150" s="230"/>
      <c r="O150" s="230"/>
      <c r="P150" s="230"/>
      <c r="Q150" s="230"/>
      <c r="R150" s="230"/>
      <c r="S150" s="230"/>
      <c r="T150" s="230"/>
      <c r="U150" s="230"/>
    </row>
    <row r="151">
      <c r="J151" s="230"/>
      <c r="K151" s="230"/>
      <c r="L151" s="230"/>
      <c r="M151" s="230"/>
      <c r="N151" s="230"/>
      <c r="O151" s="230"/>
      <c r="P151" s="230"/>
      <c r="Q151" s="230"/>
      <c r="R151" s="230"/>
      <c r="S151" s="230"/>
      <c r="T151" s="230"/>
      <c r="U151" s="230"/>
    </row>
    <row r="152">
      <c r="J152" s="230"/>
      <c r="K152" s="230"/>
      <c r="L152" s="230"/>
      <c r="M152" s="230"/>
      <c r="N152" s="230"/>
      <c r="O152" s="230"/>
      <c r="P152" s="230"/>
      <c r="Q152" s="230"/>
      <c r="R152" s="230"/>
      <c r="S152" s="230"/>
      <c r="T152" s="230"/>
      <c r="U152" s="230"/>
    </row>
    <row r="153">
      <c r="J153" s="230"/>
      <c r="K153" s="230"/>
      <c r="L153" s="230"/>
      <c r="M153" s="230"/>
      <c r="N153" s="230"/>
      <c r="O153" s="230"/>
      <c r="P153" s="230"/>
      <c r="Q153" s="230"/>
      <c r="R153" s="230"/>
      <c r="S153" s="230"/>
      <c r="T153" s="230"/>
      <c r="U153" s="230"/>
    </row>
    <row r="154">
      <c r="J154" s="230"/>
      <c r="K154" s="230"/>
      <c r="L154" s="230"/>
      <c r="M154" s="230"/>
      <c r="N154" s="230"/>
      <c r="O154" s="230"/>
      <c r="P154" s="230"/>
      <c r="Q154" s="230"/>
      <c r="R154" s="230"/>
      <c r="S154" s="230"/>
      <c r="T154" s="230"/>
      <c r="U154" s="230"/>
    </row>
    <row r="155">
      <c r="J155" s="230"/>
      <c r="K155" s="230"/>
      <c r="L155" s="230"/>
      <c r="M155" s="230"/>
      <c r="N155" s="230"/>
      <c r="O155" s="230"/>
      <c r="P155" s="230"/>
      <c r="Q155" s="230"/>
      <c r="R155" s="230"/>
      <c r="S155" s="230"/>
      <c r="T155" s="230"/>
      <c r="U155" s="230"/>
    </row>
    <row r="156">
      <c r="J156" s="230"/>
      <c r="K156" s="230"/>
      <c r="L156" s="230"/>
      <c r="M156" s="230"/>
      <c r="N156" s="230"/>
      <c r="O156" s="230"/>
      <c r="P156" s="230"/>
      <c r="Q156" s="230"/>
      <c r="R156" s="230"/>
      <c r="S156" s="230"/>
      <c r="T156" s="230"/>
      <c r="U156" s="230"/>
    </row>
    <row r="157">
      <c r="J157" s="230"/>
      <c r="K157" s="230"/>
      <c r="L157" s="230"/>
      <c r="M157" s="230"/>
      <c r="N157" s="230"/>
      <c r="O157" s="230"/>
      <c r="P157" s="230"/>
      <c r="Q157" s="230"/>
      <c r="R157" s="230"/>
      <c r="S157" s="230"/>
      <c r="T157" s="230"/>
      <c r="U157" s="230"/>
    </row>
    <row r="158">
      <c r="J158" s="230"/>
      <c r="K158" s="230"/>
      <c r="L158" s="230"/>
      <c r="M158" s="230"/>
      <c r="N158" s="230"/>
      <c r="O158" s="230"/>
      <c r="P158" s="230"/>
      <c r="Q158" s="230"/>
      <c r="R158" s="230"/>
      <c r="S158" s="230"/>
      <c r="T158" s="230"/>
      <c r="U158" s="230"/>
    </row>
    <row r="159">
      <c r="J159" s="230"/>
      <c r="K159" s="230"/>
      <c r="L159" s="230"/>
      <c r="M159" s="230"/>
      <c r="N159" s="230"/>
      <c r="O159" s="230"/>
      <c r="P159" s="230"/>
      <c r="Q159" s="230"/>
      <c r="R159" s="230"/>
      <c r="S159" s="230"/>
      <c r="T159" s="230"/>
      <c r="U159" s="230"/>
    </row>
    <row r="160">
      <c r="J160" s="230"/>
      <c r="K160" s="230"/>
      <c r="L160" s="230"/>
      <c r="M160" s="230"/>
      <c r="N160" s="230"/>
      <c r="O160" s="230"/>
      <c r="P160" s="230"/>
      <c r="Q160" s="230"/>
      <c r="R160" s="230"/>
      <c r="S160" s="230"/>
      <c r="T160" s="230"/>
      <c r="U160" s="230"/>
    </row>
    <row r="161">
      <c r="J161" s="230"/>
      <c r="K161" s="230"/>
      <c r="L161" s="230"/>
      <c r="M161" s="230"/>
      <c r="N161" s="230"/>
      <c r="O161" s="230"/>
      <c r="P161" s="230"/>
      <c r="Q161" s="230"/>
      <c r="R161" s="230"/>
      <c r="S161" s="230"/>
      <c r="T161" s="230"/>
      <c r="U161" s="230"/>
    </row>
    <row r="162">
      <c r="J162" s="230"/>
      <c r="K162" s="230"/>
      <c r="L162" s="230"/>
      <c r="M162" s="230"/>
      <c r="N162" s="230"/>
      <c r="O162" s="230"/>
      <c r="P162" s="230"/>
      <c r="Q162" s="230"/>
      <c r="R162" s="230"/>
      <c r="S162" s="230"/>
      <c r="T162" s="230"/>
      <c r="U162" s="230"/>
    </row>
    <row r="163">
      <c r="J163" s="230"/>
      <c r="K163" s="230"/>
      <c r="L163" s="230"/>
      <c r="M163" s="230"/>
      <c r="N163" s="230"/>
      <c r="O163" s="230"/>
      <c r="P163" s="230"/>
      <c r="Q163" s="230"/>
      <c r="R163" s="230"/>
      <c r="S163" s="230"/>
      <c r="T163" s="230"/>
      <c r="U163" s="230"/>
    </row>
    <row r="164">
      <c r="J164" s="230"/>
      <c r="K164" s="230"/>
      <c r="L164" s="230"/>
      <c r="M164" s="230"/>
      <c r="N164" s="230"/>
      <c r="O164" s="230"/>
      <c r="P164" s="230"/>
      <c r="Q164" s="230"/>
      <c r="R164" s="230"/>
      <c r="S164" s="230"/>
      <c r="T164" s="230"/>
      <c r="U164" s="230"/>
    </row>
    <row r="165">
      <c r="J165" s="230"/>
      <c r="K165" s="230"/>
      <c r="L165" s="230"/>
      <c r="M165" s="230"/>
      <c r="N165" s="230"/>
      <c r="O165" s="230"/>
      <c r="P165" s="230"/>
      <c r="Q165" s="230"/>
      <c r="R165" s="230"/>
      <c r="S165" s="230"/>
      <c r="T165" s="230"/>
      <c r="U165" s="230"/>
    </row>
    <row r="166">
      <c r="J166" s="230"/>
      <c r="K166" s="230"/>
      <c r="L166" s="230"/>
      <c r="M166" s="230"/>
      <c r="N166" s="230"/>
      <c r="O166" s="230"/>
      <c r="P166" s="230"/>
      <c r="Q166" s="230"/>
      <c r="R166" s="230"/>
      <c r="S166" s="230"/>
      <c r="T166" s="230"/>
      <c r="U166" s="230"/>
    </row>
    <row r="167">
      <c r="J167" s="230"/>
      <c r="K167" s="230"/>
      <c r="L167" s="230"/>
      <c r="M167" s="230"/>
      <c r="N167" s="230"/>
      <c r="O167" s="230"/>
      <c r="P167" s="230"/>
      <c r="Q167" s="230"/>
      <c r="R167" s="230"/>
      <c r="S167" s="230"/>
      <c r="T167" s="230"/>
      <c r="U167" s="230"/>
    </row>
    <row r="168">
      <c r="J168" s="230"/>
      <c r="K168" s="230"/>
      <c r="L168" s="230"/>
      <c r="M168" s="230"/>
      <c r="N168" s="230"/>
      <c r="O168" s="230"/>
      <c r="P168" s="230"/>
      <c r="Q168" s="230"/>
      <c r="R168" s="230"/>
      <c r="S168" s="230"/>
      <c r="T168" s="230"/>
      <c r="U168" s="230"/>
    </row>
    <row r="169">
      <c r="J169" s="230"/>
      <c r="K169" s="230"/>
      <c r="L169" s="230"/>
      <c r="M169" s="230"/>
      <c r="N169" s="230"/>
      <c r="O169" s="230"/>
      <c r="P169" s="230"/>
      <c r="Q169" s="230"/>
      <c r="R169" s="230"/>
      <c r="S169" s="230"/>
      <c r="T169" s="230"/>
      <c r="U169" s="230"/>
    </row>
    <row r="170">
      <c r="J170" s="230"/>
      <c r="K170" s="230"/>
      <c r="L170" s="230"/>
      <c r="M170" s="230"/>
      <c r="N170" s="230"/>
      <c r="O170" s="230"/>
      <c r="P170" s="230"/>
      <c r="Q170" s="230"/>
      <c r="R170" s="230"/>
      <c r="S170" s="230"/>
      <c r="T170" s="230"/>
      <c r="U170" s="230"/>
    </row>
    <row r="171">
      <c r="J171" s="230"/>
      <c r="K171" s="230"/>
      <c r="L171" s="230"/>
      <c r="M171" s="230"/>
      <c r="N171" s="230"/>
      <c r="O171" s="230"/>
      <c r="P171" s="230"/>
      <c r="Q171" s="230"/>
      <c r="R171" s="230"/>
      <c r="S171" s="230"/>
      <c r="T171" s="230"/>
      <c r="U171" s="230"/>
    </row>
    <row r="172">
      <c r="J172" s="230"/>
      <c r="K172" s="230"/>
      <c r="L172" s="230"/>
      <c r="M172" s="230"/>
      <c r="N172" s="230"/>
      <c r="O172" s="230"/>
      <c r="P172" s="230"/>
      <c r="Q172" s="230"/>
      <c r="R172" s="230"/>
      <c r="S172" s="230"/>
      <c r="T172" s="230"/>
      <c r="U172" s="230"/>
    </row>
    <row r="173">
      <c r="J173" s="230"/>
      <c r="K173" s="230"/>
      <c r="L173" s="230"/>
      <c r="M173" s="230"/>
      <c r="N173" s="230"/>
      <c r="O173" s="230"/>
      <c r="P173" s="230"/>
      <c r="Q173" s="230"/>
      <c r="R173" s="230"/>
      <c r="S173" s="230"/>
      <c r="T173" s="230"/>
      <c r="U173" s="230"/>
    </row>
    <row r="174">
      <c r="J174" s="230"/>
      <c r="K174" s="230"/>
      <c r="L174" s="230"/>
      <c r="M174" s="230"/>
      <c r="N174" s="230"/>
      <c r="O174" s="230"/>
      <c r="P174" s="230"/>
      <c r="Q174" s="230"/>
      <c r="R174" s="230"/>
      <c r="S174" s="230"/>
      <c r="T174" s="230"/>
      <c r="U174" s="230"/>
    </row>
    <row r="175">
      <c r="J175" s="230"/>
      <c r="K175" s="230"/>
      <c r="L175" s="230"/>
      <c r="M175" s="230"/>
      <c r="N175" s="230"/>
      <c r="O175" s="230"/>
      <c r="P175" s="230"/>
      <c r="Q175" s="230"/>
      <c r="R175" s="230"/>
      <c r="S175" s="230"/>
      <c r="T175" s="230"/>
      <c r="U175" s="230"/>
    </row>
    <row r="176">
      <c r="J176" s="230"/>
      <c r="K176" s="230"/>
      <c r="L176" s="230"/>
      <c r="M176" s="230"/>
      <c r="N176" s="230"/>
      <c r="O176" s="230"/>
      <c r="P176" s="230"/>
      <c r="Q176" s="230"/>
      <c r="R176" s="230"/>
      <c r="S176" s="230"/>
      <c r="T176" s="230"/>
      <c r="U176" s="230"/>
    </row>
    <row r="177">
      <c r="J177" s="230"/>
      <c r="K177" s="230"/>
      <c r="L177" s="230"/>
      <c r="M177" s="230"/>
      <c r="N177" s="230"/>
      <c r="O177" s="230"/>
      <c r="P177" s="230"/>
      <c r="Q177" s="230"/>
      <c r="R177" s="230"/>
      <c r="S177" s="230"/>
      <c r="T177" s="230"/>
      <c r="U177" s="230"/>
    </row>
    <row r="178">
      <c r="J178" s="230"/>
      <c r="K178" s="230"/>
      <c r="L178" s="230"/>
      <c r="M178" s="230"/>
      <c r="N178" s="230"/>
      <c r="O178" s="230"/>
      <c r="P178" s="230"/>
      <c r="Q178" s="230"/>
      <c r="R178" s="230"/>
      <c r="S178" s="230"/>
      <c r="T178" s="230"/>
      <c r="U178" s="230"/>
    </row>
    <row r="179">
      <c r="J179" s="230"/>
      <c r="K179" s="230"/>
      <c r="L179" s="230"/>
      <c r="M179" s="230"/>
      <c r="N179" s="230"/>
      <c r="O179" s="230"/>
      <c r="P179" s="230"/>
      <c r="Q179" s="230"/>
      <c r="R179" s="230"/>
      <c r="S179" s="230"/>
      <c r="T179" s="230"/>
      <c r="U179" s="230"/>
    </row>
    <row r="180">
      <c r="J180" s="230"/>
      <c r="K180" s="230"/>
      <c r="L180" s="230"/>
      <c r="M180" s="230"/>
      <c r="N180" s="230"/>
      <c r="O180" s="230"/>
      <c r="P180" s="230"/>
      <c r="Q180" s="230"/>
      <c r="R180" s="230"/>
      <c r="S180" s="230"/>
      <c r="T180" s="230"/>
      <c r="U180" s="230"/>
    </row>
    <row r="181">
      <c r="J181" s="230"/>
      <c r="K181" s="230"/>
      <c r="L181" s="230"/>
      <c r="M181" s="230"/>
      <c r="N181" s="230"/>
      <c r="O181" s="230"/>
      <c r="P181" s="230"/>
      <c r="Q181" s="230"/>
      <c r="R181" s="230"/>
      <c r="S181" s="230"/>
      <c r="T181" s="230"/>
      <c r="U181" s="230"/>
    </row>
    <row r="182">
      <c r="J182" s="230"/>
      <c r="K182" s="230"/>
      <c r="L182" s="230"/>
      <c r="M182" s="230"/>
      <c r="N182" s="230"/>
      <c r="O182" s="230"/>
      <c r="P182" s="230"/>
      <c r="Q182" s="230"/>
      <c r="R182" s="230"/>
      <c r="S182" s="230"/>
      <c r="T182" s="230"/>
      <c r="U182" s="230"/>
    </row>
    <row r="183">
      <c r="J183" s="230"/>
      <c r="K183" s="230"/>
      <c r="L183" s="230"/>
      <c r="M183" s="230"/>
      <c r="N183" s="230"/>
      <c r="O183" s="230"/>
      <c r="P183" s="230"/>
      <c r="Q183" s="230"/>
      <c r="R183" s="230"/>
      <c r="S183" s="230"/>
      <c r="T183" s="230"/>
      <c r="U183" s="230"/>
    </row>
    <row r="184">
      <c r="J184" s="230"/>
      <c r="K184" s="230"/>
      <c r="L184" s="230"/>
      <c r="M184" s="230"/>
      <c r="N184" s="230"/>
      <c r="O184" s="230"/>
      <c r="P184" s="230"/>
      <c r="Q184" s="230"/>
      <c r="R184" s="230"/>
      <c r="S184" s="230"/>
      <c r="T184" s="230"/>
      <c r="U184" s="230"/>
    </row>
    <row r="185">
      <c r="J185" s="230"/>
      <c r="K185" s="230"/>
      <c r="L185" s="230"/>
      <c r="M185" s="230"/>
      <c r="N185" s="230"/>
      <c r="O185" s="230"/>
      <c r="P185" s="230"/>
      <c r="Q185" s="230"/>
      <c r="R185" s="230"/>
      <c r="S185" s="230"/>
      <c r="T185" s="230"/>
      <c r="U185" s="230"/>
    </row>
    <row r="186">
      <c r="J186" s="230"/>
      <c r="K186" s="230"/>
      <c r="L186" s="230"/>
      <c r="M186" s="230"/>
      <c r="N186" s="230"/>
      <c r="O186" s="230"/>
      <c r="P186" s="230"/>
      <c r="Q186" s="230"/>
      <c r="R186" s="230"/>
      <c r="S186" s="230"/>
      <c r="T186" s="230"/>
      <c r="U186" s="230"/>
    </row>
    <row r="187">
      <c r="J187" s="230"/>
      <c r="K187" s="230"/>
      <c r="L187" s="230"/>
      <c r="M187" s="230"/>
      <c r="N187" s="230"/>
      <c r="O187" s="230"/>
      <c r="P187" s="230"/>
      <c r="Q187" s="230"/>
      <c r="R187" s="230"/>
      <c r="S187" s="230"/>
      <c r="T187" s="230"/>
      <c r="U187" s="230"/>
    </row>
    <row r="188">
      <c r="J188" s="230"/>
      <c r="K188" s="230"/>
      <c r="L188" s="230"/>
      <c r="M188" s="230"/>
      <c r="N188" s="230"/>
      <c r="O188" s="230"/>
      <c r="P188" s="230"/>
      <c r="Q188" s="230"/>
      <c r="R188" s="230"/>
      <c r="S188" s="230"/>
      <c r="T188" s="230"/>
      <c r="U188" s="230"/>
    </row>
    <row r="189">
      <c r="J189" s="230"/>
      <c r="K189" s="230"/>
      <c r="L189" s="230"/>
      <c r="M189" s="230"/>
      <c r="N189" s="230"/>
      <c r="O189" s="230"/>
      <c r="P189" s="230"/>
      <c r="Q189" s="230"/>
      <c r="R189" s="230"/>
      <c r="S189" s="230"/>
      <c r="T189" s="230"/>
      <c r="U189" s="230"/>
    </row>
    <row r="190">
      <c r="J190" s="230"/>
      <c r="K190" s="230"/>
      <c r="L190" s="230"/>
      <c r="M190" s="230"/>
      <c r="N190" s="230"/>
      <c r="O190" s="230"/>
      <c r="P190" s="230"/>
      <c r="Q190" s="230"/>
      <c r="R190" s="230"/>
      <c r="S190" s="230"/>
      <c r="T190" s="230"/>
      <c r="U190" s="230"/>
    </row>
    <row r="191">
      <c r="J191" s="230"/>
      <c r="K191" s="230"/>
      <c r="L191" s="230"/>
      <c r="M191" s="230"/>
      <c r="N191" s="230"/>
      <c r="O191" s="230"/>
      <c r="P191" s="230"/>
      <c r="Q191" s="230"/>
      <c r="R191" s="230"/>
      <c r="S191" s="230"/>
      <c r="T191" s="230"/>
      <c r="U191" s="230"/>
    </row>
    <row r="192">
      <c r="J192" s="230"/>
      <c r="K192" s="230"/>
      <c r="L192" s="230"/>
      <c r="M192" s="230"/>
      <c r="N192" s="230"/>
      <c r="O192" s="230"/>
      <c r="P192" s="230"/>
      <c r="Q192" s="230"/>
      <c r="R192" s="230"/>
      <c r="S192" s="230"/>
      <c r="T192" s="230"/>
      <c r="U192" s="230"/>
    </row>
    <row r="193">
      <c r="J193" s="230"/>
      <c r="K193" s="230"/>
      <c r="L193" s="230"/>
      <c r="M193" s="230"/>
      <c r="N193" s="230"/>
      <c r="O193" s="230"/>
      <c r="P193" s="230"/>
      <c r="Q193" s="230"/>
      <c r="R193" s="230"/>
      <c r="S193" s="230"/>
      <c r="T193" s="230"/>
      <c r="U193" s="230"/>
    </row>
    <row r="194">
      <c r="J194" s="230"/>
      <c r="K194" s="230"/>
      <c r="L194" s="230"/>
      <c r="M194" s="230"/>
      <c r="N194" s="230"/>
      <c r="O194" s="230"/>
      <c r="P194" s="230"/>
      <c r="Q194" s="230"/>
      <c r="R194" s="230"/>
      <c r="S194" s="230"/>
      <c r="T194" s="230"/>
      <c r="U194" s="230"/>
    </row>
    <row r="195">
      <c r="J195" s="230"/>
      <c r="K195" s="230"/>
      <c r="L195" s="230"/>
      <c r="M195" s="230"/>
      <c r="N195" s="230"/>
      <c r="O195" s="230"/>
      <c r="P195" s="230"/>
      <c r="Q195" s="230"/>
      <c r="R195" s="230"/>
      <c r="S195" s="230"/>
      <c r="T195" s="230"/>
      <c r="U195" s="230"/>
    </row>
    <row r="196">
      <c r="J196" s="230"/>
      <c r="K196" s="230"/>
      <c r="L196" s="230"/>
      <c r="M196" s="230"/>
      <c r="N196" s="230"/>
      <c r="O196" s="230"/>
      <c r="P196" s="230"/>
      <c r="Q196" s="230"/>
      <c r="R196" s="230"/>
      <c r="S196" s="230"/>
      <c r="T196" s="230"/>
      <c r="U196" s="230"/>
    </row>
    <row r="197">
      <c r="J197" s="230"/>
      <c r="K197" s="230"/>
      <c r="L197" s="230"/>
      <c r="M197" s="230"/>
      <c r="N197" s="230"/>
      <c r="O197" s="230"/>
      <c r="P197" s="230"/>
      <c r="Q197" s="230"/>
      <c r="R197" s="230"/>
      <c r="S197" s="230"/>
      <c r="T197" s="230"/>
      <c r="U197" s="230"/>
    </row>
    <row r="198">
      <c r="J198" s="230"/>
      <c r="K198" s="230"/>
      <c r="L198" s="230"/>
      <c r="M198" s="230"/>
      <c r="N198" s="230"/>
      <c r="O198" s="230"/>
      <c r="P198" s="230"/>
      <c r="Q198" s="230"/>
      <c r="R198" s="230"/>
      <c r="S198" s="230"/>
      <c r="T198" s="230"/>
      <c r="U198" s="230"/>
    </row>
    <row r="199">
      <c r="J199" s="230"/>
      <c r="K199" s="230"/>
      <c r="L199" s="230"/>
      <c r="M199" s="230"/>
      <c r="N199" s="230"/>
      <c r="O199" s="230"/>
      <c r="P199" s="230"/>
      <c r="Q199" s="230"/>
      <c r="R199" s="230"/>
      <c r="S199" s="230"/>
      <c r="T199" s="230"/>
      <c r="U199" s="230"/>
    </row>
    <row r="200">
      <c r="J200" s="230"/>
      <c r="K200" s="230"/>
      <c r="L200" s="230"/>
      <c r="M200" s="230"/>
      <c r="N200" s="230"/>
      <c r="O200" s="230"/>
      <c r="P200" s="230"/>
      <c r="Q200" s="230"/>
      <c r="R200" s="230"/>
      <c r="S200" s="230"/>
      <c r="T200" s="230"/>
      <c r="U200" s="230"/>
    </row>
    <row r="201">
      <c r="J201" s="230"/>
      <c r="K201" s="230"/>
      <c r="L201" s="230"/>
      <c r="M201" s="230"/>
      <c r="N201" s="230"/>
      <c r="O201" s="230"/>
      <c r="P201" s="230"/>
      <c r="Q201" s="230"/>
      <c r="R201" s="230"/>
      <c r="S201" s="230"/>
      <c r="T201" s="230"/>
      <c r="U201" s="230"/>
    </row>
    <row r="202">
      <c r="J202" s="230"/>
      <c r="K202" s="230"/>
      <c r="L202" s="230"/>
      <c r="M202" s="230"/>
      <c r="N202" s="230"/>
      <c r="O202" s="230"/>
      <c r="P202" s="230"/>
      <c r="Q202" s="230"/>
      <c r="R202" s="230"/>
      <c r="S202" s="230"/>
      <c r="T202" s="230"/>
      <c r="U202" s="230"/>
    </row>
    <row r="203">
      <c r="J203" s="230"/>
      <c r="K203" s="230"/>
      <c r="L203" s="230"/>
      <c r="M203" s="230"/>
      <c r="N203" s="230"/>
      <c r="O203" s="230"/>
      <c r="P203" s="230"/>
      <c r="Q203" s="230"/>
      <c r="R203" s="230"/>
      <c r="S203" s="230"/>
      <c r="T203" s="230"/>
      <c r="U203" s="230"/>
    </row>
    <row r="204">
      <c r="J204" s="230"/>
      <c r="K204" s="230"/>
      <c r="L204" s="230"/>
      <c r="M204" s="230"/>
      <c r="N204" s="230"/>
      <c r="O204" s="230"/>
      <c r="P204" s="230"/>
      <c r="Q204" s="230"/>
      <c r="R204" s="230"/>
      <c r="S204" s="230"/>
      <c r="T204" s="230"/>
      <c r="U204" s="230"/>
    </row>
    <row r="205"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</row>
    <row r="206">
      <c r="J206" s="230"/>
      <c r="K206" s="230"/>
      <c r="L206" s="230"/>
      <c r="M206" s="230"/>
      <c r="N206" s="230"/>
      <c r="O206" s="230"/>
      <c r="P206" s="230"/>
      <c r="Q206" s="230"/>
      <c r="R206" s="230"/>
      <c r="S206" s="230"/>
      <c r="T206" s="230"/>
      <c r="U206" s="230"/>
    </row>
    <row r="207">
      <c r="J207" s="230"/>
      <c r="K207" s="230"/>
      <c r="L207" s="230"/>
      <c r="M207" s="230"/>
      <c r="N207" s="230"/>
      <c r="O207" s="230"/>
      <c r="P207" s="230"/>
      <c r="Q207" s="230"/>
      <c r="R207" s="230"/>
      <c r="S207" s="230"/>
      <c r="T207" s="230"/>
      <c r="U207" s="230"/>
    </row>
    <row r="208">
      <c r="J208" s="230"/>
      <c r="K208" s="230"/>
      <c r="L208" s="230"/>
      <c r="M208" s="230"/>
      <c r="N208" s="230"/>
      <c r="O208" s="230"/>
      <c r="P208" s="230"/>
      <c r="Q208" s="230"/>
      <c r="R208" s="230"/>
      <c r="S208" s="230"/>
      <c r="T208" s="230"/>
      <c r="U208" s="230"/>
    </row>
    <row r="209">
      <c r="J209" s="230"/>
      <c r="K209" s="230"/>
      <c r="L209" s="230"/>
      <c r="M209" s="230"/>
      <c r="N209" s="230"/>
      <c r="O209" s="230"/>
      <c r="P209" s="230"/>
      <c r="Q209" s="230"/>
      <c r="R209" s="230"/>
      <c r="S209" s="230"/>
      <c r="T209" s="230"/>
      <c r="U209" s="230"/>
    </row>
    <row r="210">
      <c r="J210" s="230"/>
      <c r="K210" s="230"/>
      <c r="L210" s="230"/>
      <c r="M210" s="230"/>
      <c r="N210" s="230"/>
      <c r="O210" s="230"/>
      <c r="P210" s="230"/>
      <c r="Q210" s="230"/>
      <c r="R210" s="230"/>
      <c r="S210" s="230"/>
      <c r="T210" s="230"/>
      <c r="U210" s="230"/>
    </row>
    <row r="211">
      <c r="J211" s="230"/>
      <c r="K211" s="230"/>
      <c r="L211" s="230"/>
      <c r="M211" s="230"/>
      <c r="N211" s="230"/>
      <c r="O211" s="230"/>
      <c r="P211" s="230"/>
      <c r="Q211" s="230"/>
      <c r="R211" s="230"/>
      <c r="S211" s="230"/>
      <c r="T211" s="230"/>
      <c r="U211" s="230"/>
    </row>
    <row r="212">
      <c r="J212" s="230"/>
      <c r="K212" s="230"/>
      <c r="L212" s="230"/>
      <c r="M212" s="230"/>
      <c r="N212" s="230"/>
      <c r="O212" s="230"/>
      <c r="P212" s="230"/>
      <c r="Q212" s="230"/>
      <c r="R212" s="230"/>
      <c r="S212" s="230"/>
      <c r="T212" s="230"/>
      <c r="U212" s="230"/>
    </row>
    <row r="213">
      <c r="J213" s="230"/>
      <c r="K213" s="230"/>
      <c r="L213" s="230"/>
      <c r="M213" s="230"/>
      <c r="N213" s="230"/>
      <c r="O213" s="230"/>
      <c r="P213" s="230"/>
      <c r="Q213" s="230"/>
      <c r="R213" s="230"/>
      <c r="S213" s="230"/>
      <c r="T213" s="230"/>
      <c r="U213" s="230"/>
    </row>
    <row r="214">
      <c r="J214" s="230"/>
      <c r="K214" s="230"/>
      <c r="L214" s="230"/>
      <c r="M214" s="230"/>
      <c r="N214" s="230"/>
      <c r="O214" s="230"/>
      <c r="P214" s="230"/>
      <c r="Q214" s="230"/>
      <c r="R214" s="230"/>
      <c r="S214" s="230"/>
      <c r="T214" s="230"/>
      <c r="U214" s="230"/>
    </row>
    <row r="215">
      <c r="J215" s="230"/>
      <c r="K215" s="230"/>
      <c r="L215" s="230"/>
      <c r="M215" s="230"/>
      <c r="N215" s="230"/>
      <c r="O215" s="230"/>
      <c r="P215" s="230"/>
      <c r="Q215" s="230"/>
      <c r="R215" s="230"/>
      <c r="S215" s="230"/>
      <c r="T215" s="230"/>
      <c r="U215" s="230"/>
    </row>
    <row r="216">
      <c r="J216" s="230"/>
      <c r="K216" s="230"/>
      <c r="L216" s="230"/>
      <c r="M216" s="230"/>
      <c r="N216" s="230"/>
      <c r="O216" s="230"/>
      <c r="P216" s="230"/>
      <c r="Q216" s="230"/>
      <c r="R216" s="230"/>
      <c r="S216" s="230"/>
      <c r="T216" s="230"/>
      <c r="U216" s="230"/>
    </row>
    <row r="217">
      <c r="J217" s="230"/>
      <c r="K217" s="230"/>
      <c r="L217" s="230"/>
      <c r="M217" s="230"/>
      <c r="N217" s="230"/>
      <c r="O217" s="230"/>
      <c r="P217" s="230"/>
      <c r="Q217" s="230"/>
      <c r="R217" s="230"/>
      <c r="S217" s="230"/>
      <c r="T217" s="230"/>
      <c r="U217" s="230"/>
    </row>
    <row r="218">
      <c r="J218" s="230"/>
      <c r="K218" s="230"/>
      <c r="L218" s="230"/>
      <c r="M218" s="230"/>
      <c r="N218" s="230"/>
      <c r="O218" s="230"/>
      <c r="P218" s="230"/>
      <c r="Q218" s="230"/>
      <c r="R218" s="230"/>
      <c r="S218" s="230"/>
      <c r="T218" s="230"/>
      <c r="U218" s="230"/>
    </row>
    <row r="219">
      <c r="J219" s="230"/>
      <c r="K219" s="230"/>
      <c r="L219" s="230"/>
      <c r="M219" s="230"/>
      <c r="N219" s="230"/>
      <c r="O219" s="230"/>
      <c r="P219" s="230"/>
      <c r="Q219" s="230"/>
      <c r="R219" s="230"/>
      <c r="S219" s="230"/>
      <c r="T219" s="230"/>
      <c r="U219" s="230"/>
    </row>
    <row r="220">
      <c r="J220" s="230"/>
      <c r="K220" s="230"/>
      <c r="L220" s="230"/>
      <c r="M220" s="230"/>
      <c r="N220" s="230"/>
      <c r="O220" s="230"/>
      <c r="P220" s="230"/>
      <c r="Q220" s="230"/>
      <c r="R220" s="230"/>
      <c r="S220" s="230"/>
      <c r="T220" s="230"/>
      <c r="U220" s="230"/>
    </row>
    <row r="221">
      <c r="J221" s="230"/>
      <c r="K221" s="230"/>
      <c r="L221" s="230"/>
      <c r="M221" s="230"/>
      <c r="N221" s="230"/>
      <c r="O221" s="230"/>
      <c r="P221" s="230"/>
      <c r="Q221" s="230"/>
      <c r="R221" s="230"/>
      <c r="S221" s="230"/>
      <c r="T221" s="230"/>
      <c r="U221" s="230"/>
    </row>
    <row r="222">
      <c r="J222" s="230"/>
      <c r="K222" s="230"/>
      <c r="L222" s="230"/>
      <c r="M222" s="230"/>
      <c r="N222" s="230"/>
      <c r="O222" s="230"/>
      <c r="P222" s="230"/>
      <c r="Q222" s="230"/>
      <c r="R222" s="230"/>
      <c r="S222" s="230"/>
      <c r="T222" s="230"/>
      <c r="U222" s="230"/>
    </row>
    <row r="223">
      <c r="J223" s="230"/>
      <c r="K223" s="230"/>
      <c r="L223" s="230"/>
      <c r="M223" s="230"/>
      <c r="N223" s="230"/>
      <c r="O223" s="230"/>
      <c r="P223" s="230"/>
      <c r="Q223" s="230"/>
      <c r="R223" s="230"/>
      <c r="S223" s="230"/>
      <c r="T223" s="230"/>
      <c r="U223" s="230"/>
    </row>
    <row r="224">
      <c r="J224" s="230"/>
      <c r="K224" s="230"/>
      <c r="L224" s="230"/>
      <c r="M224" s="230"/>
      <c r="N224" s="230"/>
      <c r="O224" s="230"/>
      <c r="P224" s="230"/>
      <c r="Q224" s="230"/>
      <c r="R224" s="230"/>
      <c r="S224" s="230"/>
      <c r="T224" s="230"/>
      <c r="U224" s="230"/>
    </row>
    <row r="225">
      <c r="J225" s="230"/>
      <c r="K225" s="230"/>
      <c r="L225" s="230"/>
      <c r="M225" s="230"/>
      <c r="N225" s="230"/>
      <c r="O225" s="230"/>
      <c r="P225" s="230"/>
      <c r="Q225" s="230"/>
      <c r="R225" s="230"/>
      <c r="S225" s="230"/>
      <c r="T225" s="230"/>
      <c r="U225" s="230"/>
    </row>
    <row r="226">
      <c r="J226" s="230"/>
      <c r="K226" s="230"/>
      <c r="L226" s="230"/>
      <c r="M226" s="230"/>
      <c r="N226" s="230"/>
      <c r="O226" s="230"/>
      <c r="P226" s="230"/>
      <c r="Q226" s="230"/>
      <c r="R226" s="230"/>
      <c r="S226" s="230"/>
      <c r="T226" s="230"/>
      <c r="U226" s="230"/>
    </row>
    <row r="227">
      <c r="J227" s="230"/>
      <c r="K227" s="230"/>
      <c r="L227" s="230"/>
      <c r="M227" s="230"/>
      <c r="N227" s="230"/>
      <c r="O227" s="230"/>
      <c r="P227" s="230"/>
      <c r="Q227" s="230"/>
      <c r="R227" s="230"/>
      <c r="S227" s="230"/>
      <c r="T227" s="230"/>
      <c r="U227" s="230"/>
    </row>
    <row r="228">
      <c r="J228" s="230"/>
      <c r="K228" s="230"/>
      <c r="L228" s="230"/>
      <c r="M228" s="230"/>
      <c r="N228" s="230"/>
      <c r="O228" s="230"/>
      <c r="P228" s="230"/>
      <c r="Q228" s="230"/>
      <c r="R228" s="230"/>
      <c r="S228" s="230"/>
      <c r="T228" s="230"/>
      <c r="U228" s="230"/>
    </row>
    <row r="229">
      <c r="J229" s="230"/>
      <c r="K229" s="230"/>
      <c r="L229" s="230"/>
      <c r="M229" s="230"/>
      <c r="N229" s="230"/>
      <c r="O229" s="230"/>
      <c r="P229" s="230"/>
      <c r="Q229" s="230"/>
      <c r="R229" s="230"/>
      <c r="S229" s="230"/>
      <c r="T229" s="230"/>
      <c r="U229" s="230"/>
    </row>
    <row r="230">
      <c r="J230" s="230"/>
      <c r="K230" s="230"/>
      <c r="L230" s="230"/>
      <c r="M230" s="230"/>
      <c r="N230" s="230"/>
      <c r="O230" s="230"/>
      <c r="P230" s="230"/>
      <c r="Q230" s="230"/>
      <c r="R230" s="230"/>
      <c r="S230" s="230"/>
      <c r="T230" s="230"/>
      <c r="U230" s="230"/>
    </row>
    <row r="231">
      <c r="J231" s="230"/>
      <c r="K231" s="230"/>
      <c r="L231" s="230"/>
      <c r="M231" s="230"/>
      <c r="N231" s="230"/>
      <c r="O231" s="230"/>
      <c r="P231" s="230"/>
      <c r="Q231" s="230"/>
      <c r="R231" s="230"/>
      <c r="S231" s="230"/>
      <c r="T231" s="230"/>
      <c r="U231" s="230"/>
    </row>
    <row r="232">
      <c r="J232" s="230"/>
      <c r="K232" s="230"/>
      <c r="L232" s="230"/>
      <c r="M232" s="230"/>
      <c r="N232" s="230"/>
      <c r="O232" s="230"/>
      <c r="P232" s="230"/>
      <c r="Q232" s="230"/>
      <c r="R232" s="230"/>
      <c r="S232" s="230"/>
      <c r="T232" s="230"/>
      <c r="U232" s="230"/>
    </row>
    <row r="233">
      <c r="J233" s="230"/>
      <c r="K233" s="230"/>
      <c r="L233" s="230"/>
      <c r="M233" s="230"/>
      <c r="N233" s="230"/>
      <c r="O233" s="230"/>
      <c r="P233" s="230"/>
      <c r="Q233" s="230"/>
      <c r="R233" s="230"/>
      <c r="S233" s="230"/>
      <c r="T233" s="230"/>
      <c r="U233" s="230"/>
    </row>
    <row r="234">
      <c r="J234" s="230"/>
      <c r="K234" s="230"/>
      <c r="L234" s="230"/>
      <c r="M234" s="230"/>
      <c r="N234" s="230"/>
      <c r="O234" s="230"/>
      <c r="P234" s="230"/>
      <c r="Q234" s="230"/>
      <c r="R234" s="230"/>
      <c r="S234" s="230"/>
      <c r="T234" s="230"/>
      <c r="U234" s="230"/>
    </row>
    <row r="235">
      <c r="J235" s="230"/>
      <c r="K235" s="230"/>
      <c r="L235" s="230"/>
      <c r="M235" s="230"/>
      <c r="N235" s="230"/>
      <c r="O235" s="230"/>
      <c r="P235" s="230"/>
      <c r="Q235" s="230"/>
      <c r="R235" s="230"/>
      <c r="S235" s="230"/>
      <c r="T235" s="230"/>
      <c r="U235" s="230"/>
    </row>
    <row r="236">
      <c r="J236" s="230"/>
      <c r="K236" s="230"/>
      <c r="L236" s="230"/>
      <c r="M236" s="230"/>
      <c r="N236" s="230"/>
      <c r="O236" s="230"/>
      <c r="P236" s="230"/>
      <c r="Q236" s="230"/>
      <c r="R236" s="230"/>
      <c r="S236" s="230"/>
      <c r="T236" s="230"/>
      <c r="U236" s="230"/>
    </row>
    <row r="237">
      <c r="J237" s="230"/>
      <c r="K237" s="230"/>
      <c r="L237" s="230"/>
      <c r="M237" s="230"/>
      <c r="N237" s="230"/>
      <c r="O237" s="230"/>
      <c r="P237" s="230"/>
      <c r="Q237" s="230"/>
      <c r="R237" s="230"/>
      <c r="S237" s="230"/>
      <c r="T237" s="230"/>
      <c r="U237" s="230"/>
    </row>
    <row r="238">
      <c r="J238" s="230"/>
      <c r="K238" s="230"/>
      <c r="L238" s="230"/>
      <c r="M238" s="230"/>
      <c r="N238" s="230"/>
      <c r="O238" s="230"/>
      <c r="P238" s="230"/>
      <c r="Q238" s="230"/>
      <c r="R238" s="230"/>
      <c r="S238" s="230"/>
      <c r="T238" s="230"/>
      <c r="U238" s="230"/>
    </row>
    <row r="239">
      <c r="J239" s="230"/>
      <c r="K239" s="230"/>
      <c r="L239" s="230"/>
      <c r="M239" s="230"/>
      <c r="N239" s="230"/>
      <c r="O239" s="230"/>
      <c r="P239" s="230"/>
      <c r="Q239" s="230"/>
      <c r="R239" s="230"/>
      <c r="S239" s="230"/>
      <c r="T239" s="230"/>
      <c r="U239" s="230"/>
    </row>
    <row r="240">
      <c r="J240" s="230"/>
      <c r="K240" s="230"/>
      <c r="L240" s="230"/>
      <c r="M240" s="230"/>
      <c r="N240" s="230"/>
      <c r="O240" s="230"/>
      <c r="P240" s="230"/>
      <c r="Q240" s="230"/>
      <c r="R240" s="230"/>
      <c r="S240" s="230"/>
      <c r="T240" s="230"/>
      <c r="U240" s="230"/>
    </row>
    <row r="241">
      <c r="J241" s="230"/>
      <c r="K241" s="230"/>
      <c r="L241" s="230"/>
      <c r="M241" s="230"/>
      <c r="N241" s="230"/>
      <c r="O241" s="230"/>
      <c r="P241" s="230"/>
      <c r="Q241" s="230"/>
      <c r="R241" s="230"/>
      <c r="S241" s="230"/>
      <c r="T241" s="230"/>
      <c r="U241" s="230"/>
    </row>
    <row r="242">
      <c r="J242" s="230"/>
      <c r="K242" s="230"/>
      <c r="L242" s="230"/>
      <c r="M242" s="230"/>
      <c r="N242" s="230"/>
      <c r="O242" s="230"/>
      <c r="P242" s="230"/>
      <c r="Q242" s="230"/>
      <c r="R242" s="230"/>
      <c r="S242" s="230"/>
      <c r="T242" s="230"/>
      <c r="U242" s="230"/>
    </row>
    <row r="243">
      <c r="J243" s="230"/>
      <c r="K243" s="230"/>
      <c r="L243" s="230"/>
      <c r="M243" s="230"/>
      <c r="N243" s="230"/>
      <c r="O243" s="230"/>
      <c r="P243" s="230"/>
      <c r="Q243" s="230"/>
      <c r="R243" s="230"/>
      <c r="S243" s="230"/>
      <c r="T243" s="230"/>
      <c r="U243" s="230"/>
    </row>
    <row r="244">
      <c r="J244" s="230"/>
      <c r="K244" s="230"/>
      <c r="L244" s="230"/>
      <c r="M244" s="230"/>
      <c r="N244" s="230"/>
      <c r="O244" s="230"/>
      <c r="P244" s="230"/>
      <c r="Q244" s="230"/>
      <c r="R244" s="230"/>
      <c r="S244" s="230"/>
      <c r="T244" s="230"/>
      <c r="U244" s="230"/>
    </row>
    <row r="245">
      <c r="J245" s="230"/>
      <c r="K245" s="230"/>
      <c r="L245" s="230"/>
      <c r="M245" s="230"/>
      <c r="N245" s="230"/>
      <c r="O245" s="230"/>
      <c r="P245" s="230"/>
      <c r="Q245" s="230"/>
      <c r="R245" s="230"/>
      <c r="S245" s="230"/>
      <c r="T245" s="230"/>
      <c r="U245" s="230"/>
    </row>
    <row r="246">
      <c r="J246" s="230"/>
      <c r="K246" s="230"/>
      <c r="L246" s="230"/>
      <c r="M246" s="230"/>
      <c r="N246" s="230"/>
      <c r="O246" s="230"/>
      <c r="P246" s="230"/>
      <c r="Q246" s="230"/>
      <c r="R246" s="230"/>
      <c r="S246" s="230"/>
      <c r="T246" s="230"/>
      <c r="U246" s="230"/>
    </row>
    <row r="247">
      <c r="J247" s="230"/>
      <c r="K247" s="230"/>
      <c r="L247" s="230"/>
      <c r="M247" s="230"/>
      <c r="N247" s="230"/>
      <c r="O247" s="230"/>
      <c r="P247" s="230"/>
      <c r="Q247" s="230"/>
      <c r="R247" s="230"/>
      <c r="S247" s="230"/>
      <c r="T247" s="230"/>
      <c r="U247" s="230"/>
    </row>
    <row r="248">
      <c r="J248" s="230"/>
      <c r="K248" s="230"/>
      <c r="L248" s="230"/>
      <c r="M248" s="230"/>
      <c r="N248" s="230"/>
      <c r="O248" s="230"/>
      <c r="P248" s="230"/>
      <c r="Q248" s="230"/>
      <c r="R248" s="230"/>
      <c r="S248" s="230"/>
      <c r="T248" s="230"/>
      <c r="U248" s="230"/>
    </row>
    <row r="249">
      <c r="J249" s="230"/>
      <c r="K249" s="230"/>
      <c r="L249" s="230"/>
      <c r="M249" s="230"/>
      <c r="N249" s="230"/>
      <c r="O249" s="230"/>
      <c r="P249" s="230"/>
      <c r="Q249" s="230"/>
      <c r="R249" s="230"/>
      <c r="S249" s="230"/>
      <c r="T249" s="230"/>
      <c r="U249" s="230"/>
    </row>
    <row r="250">
      <c r="J250" s="230"/>
      <c r="K250" s="230"/>
      <c r="L250" s="230"/>
      <c r="M250" s="230"/>
      <c r="N250" s="230"/>
      <c r="O250" s="230"/>
      <c r="P250" s="230"/>
      <c r="Q250" s="230"/>
      <c r="R250" s="230"/>
      <c r="S250" s="230"/>
      <c r="T250" s="230"/>
      <c r="U250" s="230"/>
    </row>
    <row r="251">
      <c r="J251" s="230"/>
      <c r="K251" s="230"/>
      <c r="L251" s="230"/>
      <c r="M251" s="230"/>
      <c r="N251" s="230"/>
      <c r="O251" s="230"/>
      <c r="P251" s="230"/>
      <c r="Q251" s="230"/>
      <c r="R251" s="230"/>
      <c r="S251" s="230"/>
      <c r="T251" s="230"/>
      <c r="U251" s="230"/>
    </row>
    <row r="252">
      <c r="J252" s="230"/>
      <c r="K252" s="230"/>
      <c r="L252" s="230"/>
      <c r="M252" s="230"/>
      <c r="N252" s="230"/>
      <c r="O252" s="230"/>
      <c r="P252" s="230"/>
      <c r="Q252" s="230"/>
      <c r="R252" s="230"/>
      <c r="S252" s="230"/>
      <c r="T252" s="230"/>
      <c r="U252" s="230"/>
    </row>
    <row r="253">
      <c r="J253" s="230"/>
      <c r="K253" s="230"/>
      <c r="L253" s="230"/>
      <c r="M253" s="230"/>
      <c r="N253" s="230"/>
      <c r="O253" s="230"/>
      <c r="P253" s="230"/>
      <c r="Q253" s="230"/>
      <c r="R253" s="230"/>
      <c r="S253" s="230"/>
      <c r="T253" s="230"/>
      <c r="U253" s="230"/>
    </row>
    <row r="254">
      <c r="J254" s="230"/>
      <c r="K254" s="230"/>
      <c r="L254" s="230"/>
      <c r="M254" s="230"/>
      <c r="N254" s="230"/>
      <c r="O254" s="230"/>
      <c r="P254" s="230"/>
      <c r="Q254" s="230"/>
      <c r="R254" s="230"/>
      <c r="S254" s="230"/>
      <c r="T254" s="230"/>
      <c r="U254" s="230"/>
    </row>
    <row r="255">
      <c r="J255" s="230"/>
      <c r="K255" s="230"/>
      <c r="L255" s="230"/>
      <c r="M255" s="230"/>
      <c r="N255" s="230"/>
      <c r="O255" s="230"/>
      <c r="P255" s="230"/>
      <c r="Q255" s="230"/>
      <c r="R255" s="230"/>
      <c r="S255" s="230"/>
      <c r="T255" s="230"/>
      <c r="U255" s="230"/>
    </row>
    <row r="256">
      <c r="J256" s="230"/>
      <c r="K256" s="230"/>
      <c r="L256" s="230"/>
      <c r="M256" s="230"/>
      <c r="N256" s="230"/>
      <c r="O256" s="230"/>
      <c r="P256" s="230"/>
      <c r="Q256" s="230"/>
      <c r="R256" s="230"/>
      <c r="S256" s="230"/>
      <c r="T256" s="230"/>
      <c r="U256" s="230"/>
    </row>
    <row r="257">
      <c r="J257" s="230"/>
      <c r="K257" s="230"/>
      <c r="L257" s="230"/>
      <c r="M257" s="230"/>
      <c r="N257" s="230"/>
      <c r="O257" s="230"/>
      <c r="P257" s="230"/>
      <c r="Q257" s="230"/>
      <c r="R257" s="230"/>
      <c r="S257" s="230"/>
      <c r="T257" s="230"/>
      <c r="U257" s="230"/>
    </row>
    <row r="258">
      <c r="J258" s="230"/>
      <c r="K258" s="230"/>
      <c r="L258" s="230"/>
      <c r="M258" s="230"/>
      <c r="N258" s="230"/>
      <c r="O258" s="230"/>
      <c r="P258" s="230"/>
      <c r="Q258" s="230"/>
      <c r="R258" s="230"/>
      <c r="S258" s="230"/>
      <c r="T258" s="230"/>
      <c r="U258" s="230"/>
    </row>
    <row r="259">
      <c r="J259" s="230"/>
      <c r="K259" s="230"/>
      <c r="L259" s="230"/>
      <c r="M259" s="230"/>
      <c r="N259" s="230"/>
      <c r="O259" s="230"/>
      <c r="P259" s="230"/>
      <c r="Q259" s="230"/>
      <c r="R259" s="230"/>
      <c r="S259" s="230"/>
      <c r="T259" s="230"/>
      <c r="U259" s="230"/>
    </row>
    <row r="260">
      <c r="J260" s="230"/>
      <c r="K260" s="230"/>
      <c r="L260" s="230"/>
      <c r="M260" s="230"/>
      <c r="N260" s="230"/>
      <c r="O260" s="230"/>
      <c r="P260" s="230"/>
      <c r="Q260" s="230"/>
      <c r="R260" s="230"/>
      <c r="S260" s="230"/>
      <c r="T260" s="230"/>
      <c r="U260" s="230"/>
    </row>
    <row r="261">
      <c r="J261" s="230"/>
      <c r="K261" s="230"/>
      <c r="L261" s="230"/>
      <c r="M261" s="230"/>
      <c r="N261" s="230"/>
      <c r="O261" s="230"/>
      <c r="P261" s="230"/>
      <c r="Q261" s="230"/>
      <c r="R261" s="230"/>
      <c r="S261" s="230"/>
      <c r="T261" s="230"/>
      <c r="U261" s="230"/>
    </row>
    <row r="262">
      <c r="J262" s="230"/>
      <c r="K262" s="230"/>
      <c r="L262" s="230"/>
      <c r="M262" s="230"/>
      <c r="N262" s="230"/>
      <c r="O262" s="230"/>
      <c r="P262" s="230"/>
      <c r="Q262" s="230"/>
      <c r="R262" s="230"/>
      <c r="S262" s="230"/>
      <c r="T262" s="230"/>
      <c r="U262" s="230"/>
    </row>
    <row r="263">
      <c r="J263" s="230"/>
      <c r="K263" s="230"/>
      <c r="L263" s="230"/>
      <c r="M263" s="230"/>
      <c r="N263" s="230"/>
      <c r="O263" s="230"/>
      <c r="P263" s="230"/>
      <c r="Q263" s="230"/>
      <c r="R263" s="230"/>
      <c r="S263" s="230"/>
      <c r="T263" s="230"/>
      <c r="U263" s="230"/>
    </row>
    <row r="264">
      <c r="J264" s="230"/>
      <c r="K264" s="230"/>
      <c r="L264" s="230"/>
      <c r="M264" s="230"/>
      <c r="N264" s="230"/>
      <c r="O264" s="230"/>
      <c r="P264" s="230"/>
      <c r="Q264" s="230"/>
      <c r="R264" s="230"/>
      <c r="S264" s="230"/>
      <c r="T264" s="230"/>
      <c r="U264" s="230"/>
    </row>
    <row r="265">
      <c r="J265" s="230"/>
      <c r="K265" s="230"/>
      <c r="L265" s="230"/>
      <c r="M265" s="230"/>
      <c r="N265" s="230"/>
      <c r="O265" s="230"/>
      <c r="P265" s="230"/>
      <c r="Q265" s="230"/>
      <c r="R265" s="230"/>
      <c r="S265" s="230"/>
      <c r="T265" s="230"/>
      <c r="U265" s="230"/>
    </row>
    <row r="266">
      <c r="J266" s="230"/>
      <c r="K266" s="230"/>
      <c r="L266" s="230"/>
      <c r="M266" s="230"/>
      <c r="N266" s="230"/>
      <c r="O266" s="230"/>
      <c r="P266" s="230"/>
      <c r="Q266" s="230"/>
      <c r="R266" s="230"/>
      <c r="S266" s="230"/>
      <c r="T266" s="230"/>
      <c r="U266" s="230"/>
    </row>
    <row r="267">
      <c r="J267" s="230"/>
      <c r="K267" s="230"/>
      <c r="L267" s="230"/>
      <c r="M267" s="230"/>
      <c r="N267" s="230"/>
      <c r="O267" s="230"/>
      <c r="P267" s="230"/>
      <c r="Q267" s="230"/>
      <c r="R267" s="230"/>
      <c r="S267" s="230"/>
      <c r="T267" s="230"/>
      <c r="U267" s="230"/>
    </row>
    <row r="268">
      <c r="J268" s="230"/>
      <c r="K268" s="230"/>
      <c r="L268" s="230"/>
      <c r="M268" s="230"/>
      <c r="N268" s="230"/>
      <c r="O268" s="230"/>
      <c r="P268" s="230"/>
      <c r="Q268" s="230"/>
      <c r="R268" s="230"/>
      <c r="S268" s="230"/>
      <c r="T268" s="230"/>
      <c r="U268" s="230"/>
    </row>
    <row r="269">
      <c r="J269" s="230"/>
      <c r="K269" s="230"/>
      <c r="L269" s="230"/>
      <c r="M269" s="230"/>
      <c r="N269" s="230"/>
      <c r="O269" s="230"/>
      <c r="P269" s="230"/>
      <c r="Q269" s="230"/>
      <c r="R269" s="230"/>
      <c r="S269" s="230"/>
      <c r="T269" s="230"/>
      <c r="U269" s="230"/>
    </row>
    <row r="270">
      <c r="J270" s="230"/>
      <c r="K270" s="230"/>
      <c r="L270" s="230"/>
      <c r="M270" s="230"/>
      <c r="N270" s="230"/>
      <c r="O270" s="230"/>
      <c r="P270" s="230"/>
      <c r="Q270" s="230"/>
      <c r="R270" s="230"/>
      <c r="S270" s="230"/>
      <c r="T270" s="230"/>
      <c r="U270" s="230"/>
    </row>
    <row r="271">
      <c r="J271" s="230"/>
      <c r="K271" s="230"/>
      <c r="L271" s="230"/>
      <c r="M271" s="230"/>
      <c r="N271" s="230"/>
      <c r="O271" s="230"/>
      <c r="P271" s="230"/>
      <c r="Q271" s="230"/>
      <c r="R271" s="230"/>
      <c r="S271" s="230"/>
      <c r="T271" s="230"/>
      <c r="U271" s="230"/>
    </row>
    <row r="272">
      <c r="J272" s="230"/>
      <c r="K272" s="230"/>
      <c r="L272" s="230"/>
      <c r="M272" s="230"/>
      <c r="N272" s="230"/>
      <c r="O272" s="230"/>
      <c r="P272" s="230"/>
      <c r="Q272" s="230"/>
      <c r="R272" s="230"/>
      <c r="S272" s="230"/>
      <c r="T272" s="230"/>
      <c r="U272" s="230"/>
    </row>
    <row r="273">
      <c r="J273" s="230"/>
      <c r="K273" s="230"/>
      <c r="L273" s="230"/>
      <c r="M273" s="230"/>
      <c r="N273" s="230"/>
      <c r="O273" s="230"/>
      <c r="P273" s="230"/>
      <c r="Q273" s="230"/>
      <c r="R273" s="230"/>
      <c r="S273" s="230"/>
      <c r="T273" s="230"/>
      <c r="U273" s="230"/>
    </row>
    <row r="274">
      <c r="J274" s="230"/>
      <c r="K274" s="230"/>
      <c r="L274" s="230"/>
      <c r="M274" s="230"/>
      <c r="N274" s="230"/>
      <c r="O274" s="230"/>
      <c r="P274" s="230"/>
      <c r="Q274" s="230"/>
      <c r="R274" s="230"/>
      <c r="S274" s="230"/>
      <c r="T274" s="230"/>
      <c r="U274" s="230"/>
    </row>
    <row r="275">
      <c r="J275" s="230"/>
      <c r="K275" s="230"/>
      <c r="L275" s="230"/>
      <c r="M275" s="230"/>
      <c r="N275" s="230"/>
      <c r="O275" s="230"/>
      <c r="P275" s="230"/>
      <c r="Q275" s="230"/>
      <c r="R275" s="230"/>
      <c r="S275" s="230"/>
      <c r="T275" s="230"/>
      <c r="U275" s="230"/>
    </row>
    <row r="276">
      <c r="J276" s="230"/>
      <c r="K276" s="230"/>
      <c r="L276" s="230"/>
      <c r="M276" s="230"/>
      <c r="N276" s="230"/>
      <c r="O276" s="230"/>
      <c r="P276" s="230"/>
      <c r="Q276" s="230"/>
      <c r="R276" s="230"/>
      <c r="S276" s="230"/>
      <c r="T276" s="230"/>
      <c r="U276" s="230"/>
    </row>
    <row r="277">
      <c r="J277" s="230"/>
      <c r="K277" s="230"/>
      <c r="L277" s="230"/>
      <c r="M277" s="230"/>
      <c r="N277" s="230"/>
      <c r="O277" s="230"/>
      <c r="P277" s="230"/>
      <c r="Q277" s="230"/>
      <c r="R277" s="230"/>
      <c r="S277" s="230"/>
      <c r="T277" s="230"/>
      <c r="U277" s="230"/>
    </row>
    <row r="278">
      <c r="J278" s="230"/>
      <c r="K278" s="230"/>
      <c r="L278" s="230"/>
      <c r="M278" s="230"/>
      <c r="N278" s="230"/>
      <c r="O278" s="230"/>
      <c r="P278" s="230"/>
      <c r="Q278" s="230"/>
      <c r="R278" s="230"/>
      <c r="S278" s="230"/>
      <c r="T278" s="230"/>
      <c r="U278" s="230"/>
    </row>
    <row r="279">
      <c r="J279" s="230"/>
      <c r="K279" s="230"/>
      <c r="L279" s="230"/>
      <c r="M279" s="230"/>
      <c r="N279" s="230"/>
      <c r="O279" s="230"/>
      <c r="P279" s="230"/>
      <c r="Q279" s="230"/>
      <c r="R279" s="230"/>
      <c r="S279" s="230"/>
      <c r="T279" s="230"/>
      <c r="U279" s="230"/>
    </row>
    <row r="280">
      <c r="J280" s="230"/>
      <c r="K280" s="230"/>
      <c r="L280" s="230"/>
      <c r="M280" s="230"/>
      <c r="N280" s="230"/>
      <c r="O280" s="230"/>
      <c r="P280" s="230"/>
      <c r="Q280" s="230"/>
      <c r="R280" s="230"/>
      <c r="S280" s="230"/>
      <c r="T280" s="230"/>
      <c r="U280" s="230"/>
    </row>
    <row r="281">
      <c r="J281" s="230"/>
      <c r="K281" s="230"/>
      <c r="L281" s="230"/>
      <c r="M281" s="230"/>
      <c r="N281" s="230"/>
      <c r="O281" s="230"/>
      <c r="P281" s="230"/>
      <c r="Q281" s="230"/>
      <c r="R281" s="230"/>
      <c r="S281" s="230"/>
      <c r="T281" s="230"/>
      <c r="U281" s="230"/>
    </row>
    <row r="282">
      <c r="J282" s="230"/>
      <c r="K282" s="230"/>
      <c r="L282" s="230"/>
      <c r="M282" s="230"/>
      <c r="N282" s="230"/>
      <c r="O282" s="230"/>
      <c r="P282" s="230"/>
      <c r="Q282" s="230"/>
      <c r="R282" s="230"/>
      <c r="S282" s="230"/>
      <c r="T282" s="230"/>
      <c r="U282" s="230"/>
    </row>
    <row r="283">
      <c r="J283" s="230"/>
      <c r="K283" s="230"/>
      <c r="L283" s="230"/>
      <c r="M283" s="230"/>
      <c r="N283" s="230"/>
      <c r="O283" s="230"/>
      <c r="P283" s="230"/>
      <c r="Q283" s="230"/>
      <c r="R283" s="230"/>
      <c r="S283" s="230"/>
      <c r="T283" s="230"/>
      <c r="U283" s="230"/>
    </row>
    <row r="284">
      <c r="J284" s="230"/>
      <c r="K284" s="230"/>
      <c r="L284" s="230"/>
      <c r="M284" s="230"/>
      <c r="N284" s="230"/>
      <c r="O284" s="230"/>
      <c r="P284" s="230"/>
      <c r="Q284" s="230"/>
      <c r="R284" s="230"/>
      <c r="S284" s="230"/>
      <c r="T284" s="230"/>
      <c r="U284" s="230"/>
    </row>
    <row r="285">
      <c r="J285" s="230"/>
      <c r="K285" s="230"/>
      <c r="L285" s="230"/>
      <c r="M285" s="230"/>
      <c r="N285" s="230"/>
      <c r="O285" s="230"/>
      <c r="P285" s="230"/>
      <c r="Q285" s="230"/>
      <c r="R285" s="230"/>
      <c r="S285" s="230"/>
      <c r="T285" s="230"/>
      <c r="U285" s="230"/>
    </row>
    <row r="286">
      <c r="J286" s="230"/>
      <c r="K286" s="230"/>
      <c r="L286" s="230"/>
      <c r="M286" s="230"/>
      <c r="N286" s="230"/>
      <c r="O286" s="230"/>
      <c r="P286" s="230"/>
      <c r="Q286" s="230"/>
      <c r="R286" s="230"/>
      <c r="S286" s="230"/>
      <c r="T286" s="230"/>
      <c r="U286" s="230"/>
    </row>
    <row r="287">
      <c r="J287" s="230"/>
      <c r="K287" s="230"/>
      <c r="L287" s="230"/>
      <c r="M287" s="230"/>
      <c r="N287" s="230"/>
      <c r="O287" s="230"/>
      <c r="P287" s="230"/>
      <c r="Q287" s="230"/>
      <c r="R287" s="230"/>
      <c r="S287" s="230"/>
      <c r="T287" s="230"/>
      <c r="U287" s="230"/>
    </row>
    <row r="288">
      <c r="J288" s="230"/>
      <c r="K288" s="230"/>
      <c r="L288" s="230"/>
      <c r="M288" s="230"/>
      <c r="N288" s="230"/>
      <c r="O288" s="230"/>
      <c r="P288" s="230"/>
      <c r="Q288" s="230"/>
      <c r="R288" s="230"/>
      <c r="S288" s="230"/>
      <c r="T288" s="230"/>
      <c r="U288" s="230"/>
    </row>
    <row r="289">
      <c r="J289" s="230"/>
      <c r="K289" s="230"/>
      <c r="L289" s="230"/>
      <c r="M289" s="230"/>
      <c r="N289" s="230"/>
      <c r="O289" s="230"/>
      <c r="P289" s="230"/>
      <c r="Q289" s="230"/>
      <c r="R289" s="230"/>
      <c r="S289" s="230"/>
      <c r="T289" s="230"/>
      <c r="U289" s="230"/>
    </row>
    <row r="290">
      <c r="J290" s="230"/>
      <c r="K290" s="230"/>
      <c r="L290" s="230"/>
      <c r="M290" s="230"/>
      <c r="N290" s="230"/>
      <c r="O290" s="230"/>
      <c r="P290" s="230"/>
      <c r="Q290" s="230"/>
      <c r="R290" s="230"/>
      <c r="S290" s="230"/>
      <c r="T290" s="230"/>
      <c r="U290" s="230"/>
    </row>
    <row r="291">
      <c r="J291" s="230"/>
      <c r="K291" s="230"/>
      <c r="L291" s="230"/>
      <c r="M291" s="230"/>
      <c r="N291" s="230"/>
      <c r="O291" s="230"/>
      <c r="P291" s="230"/>
      <c r="Q291" s="230"/>
      <c r="R291" s="230"/>
      <c r="S291" s="230"/>
      <c r="T291" s="230"/>
      <c r="U291" s="230"/>
    </row>
    <row r="292">
      <c r="J292" s="230"/>
      <c r="K292" s="230"/>
      <c r="L292" s="230"/>
      <c r="M292" s="230"/>
      <c r="N292" s="230"/>
      <c r="O292" s="230"/>
      <c r="P292" s="230"/>
      <c r="Q292" s="230"/>
      <c r="R292" s="230"/>
      <c r="S292" s="230"/>
      <c r="T292" s="230"/>
      <c r="U292" s="230"/>
    </row>
    <row r="293">
      <c r="J293" s="230"/>
      <c r="K293" s="230"/>
      <c r="L293" s="230"/>
      <c r="M293" s="230"/>
      <c r="N293" s="230"/>
      <c r="O293" s="230"/>
      <c r="P293" s="230"/>
      <c r="Q293" s="230"/>
      <c r="R293" s="230"/>
      <c r="S293" s="230"/>
      <c r="T293" s="230"/>
      <c r="U293" s="230"/>
    </row>
    <row r="294">
      <c r="J294" s="230"/>
      <c r="K294" s="230"/>
      <c r="L294" s="230"/>
      <c r="M294" s="230"/>
      <c r="N294" s="230"/>
      <c r="O294" s="230"/>
      <c r="P294" s="230"/>
      <c r="Q294" s="230"/>
      <c r="R294" s="230"/>
      <c r="S294" s="230"/>
      <c r="T294" s="230"/>
      <c r="U294" s="230"/>
    </row>
    <row r="295">
      <c r="J295" s="230"/>
      <c r="K295" s="230"/>
      <c r="L295" s="230"/>
      <c r="M295" s="230"/>
      <c r="N295" s="230"/>
      <c r="O295" s="230"/>
      <c r="P295" s="230"/>
      <c r="Q295" s="230"/>
      <c r="R295" s="230"/>
      <c r="S295" s="230"/>
      <c r="T295" s="230"/>
      <c r="U295" s="230"/>
    </row>
    <row r="296">
      <c r="J296" s="230"/>
      <c r="K296" s="230"/>
      <c r="L296" s="230"/>
      <c r="M296" s="230"/>
      <c r="N296" s="230"/>
      <c r="O296" s="230"/>
      <c r="P296" s="230"/>
      <c r="Q296" s="230"/>
      <c r="R296" s="230"/>
      <c r="S296" s="230"/>
      <c r="T296" s="230"/>
      <c r="U296" s="230"/>
    </row>
    <row r="297">
      <c r="J297" s="230"/>
      <c r="K297" s="230"/>
      <c r="L297" s="230"/>
      <c r="M297" s="230"/>
      <c r="N297" s="230"/>
      <c r="O297" s="230"/>
      <c r="P297" s="230"/>
      <c r="Q297" s="230"/>
      <c r="R297" s="230"/>
      <c r="S297" s="230"/>
      <c r="T297" s="230"/>
      <c r="U297" s="230"/>
    </row>
    <row r="298">
      <c r="J298" s="230"/>
      <c r="K298" s="230"/>
      <c r="L298" s="230"/>
      <c r="M298" s="230"/>
      <c r="N298" s="230"/>
      <c r="O298" s="230"/>
      <c r="P298" s="230"/>
      <c r="Q298" s="230"/>
      <c r="R298" s="230"/>
      <c r="S298" s="230"/>
      <c r="T298" s="230"/>
      <c r="U298" s="230"/>
    </row>
    <row r="299">
      <c r="J299" s="230"/>
      <c r="K299" s="230"/>
      <c r="L299" s="230"/>
      <c r="M299" s="230"/>
      <c r="N299" s="230"/>
      <c r="O299" s="230"/>
      <c r="P299" s="230"/>
      <c r="Q299" s="230"/>
      <c r="R299" s="230"/>
      <c r="S299" s="230"/>
      <c r="T299" s="230"/>
      <c r="U299" s="230"/>
    </row>
    <row r="300">
      <c r="J300" s="230"/>
      <c r="K300" s="230"/>
      <c r="L300" s="230"/>
      <c r="M300" s="230"/>
      <c r="N300" s="230"/>
      <c r="O300" s="230"/>
      <c r="P300" s="230"/>
      <c r="Q300" s="230"/>
      <c r="R300" s="230"/>
      <c r="S300" s="230"/>
      <c r="T300" s="230"/>
      <c r="U300" s="230"/>
    </row>
    <row r="301">
      <c r="J301" s="230"/>
      <c r="K301" s="230"/>
      <c r="L301" s="230"/>
      <c r="M301" s="230"/>
      <c r="N301" s="230"/>
      <c r="O301" s="230"/>
      <c r="P301" s="230"/>
      <c r="Q301" s="230"/>
      <c r="R301" s="230"/>
      <c r="S301" s="230"/>
      <c r="T301" s="230"/>
      <c r="U301" s="230"/>
    </row>
    <row r="302">
      <c r="J302" s="230"/>
      <c r="K302" s="230"/>
      <c r="L302" s="230"/>
      <c r="M302" s="230"/>
      <c r="N302" s="230"/>
      <c r="O302" s="230"/>
      <c r="P302" s="230"/>
      <c r="Q302" s="230"/>
      <c r="R302" s="230"/>
      <c r="S302" s="230"/>
      <c r="T302" s="230"/>
      <c r="U302" s="230"/>
    </row>
    <row r="303">
      <c r="J303" s="230"/>
      <c r="K303" s="230"/>
      <c r="L303" s="230"/>
      <c r="M303" s="230"/>
      <c r="N303" s="230"/>
      <c r="O303" s="230"/>
      <c r="P303" s="230"/>
      <c r="Q303" s="230"/>
      <c r="R303" s="230"/>
      <c r="S303" s="230"/>
      <c r="T303" s="230"/>
      <c r="U303" s="230"/>
    </row>
    <row r="304">
      <c r="J304" s="230"/>
      <c r="K304" s="230"/>
      <c r="L304" s="230"/>
      <c r="M304" s="230"/>
      <c r="N304" s="230"/>
      <c r="O304" s="230"/>
      <c r="P304" s="230"/>
      <c r="Q304" s="230"/>
      <c r="R304" s="230"/>
      <c r="S304" s="230"/>
      <c r="T304" s="230"/>
      <c r="U304" s="230"/>
    </row>
    <row r="305">
      <c r="J305" s="230"/>
      <c r="K305" s="230"/>
      <c r="L305" s="230"/>
      <c r="M305" s="230"/>
      <c r="N305" s="230"/>
      <c r="O305" s="230"/>
      <c r="P305" s="230"/>
      <c r="Q305" s="230"/>
      <c r="R305" s="230"/>
      <c r="S305" s="230"/>
      <c r="T305" s="230"/>
      <c r="U305" s="230"/>
    </row>
    <row r="306">
      <c r="J306" s="230"/>
      <c r="K306" s="230"/>
      <c r="L306" s="230"/>
      <c r="M306" s="230"/>
      <c r="N306" s="230"/>
      <c r="O306" s="230"/>
      <c r="P306" s="230"/>
      <c r="Q306" s="230"/>
      <c r="R306" s="230"/>
      <c r="S306" s="230"/>
      <c r="T306" s="230"/>
      <c r="U306" s="230"/>
    </row>
    <row r="307">
      <c r="J307" s="230"/>
      <c r="K307" s="230"/>
      <c r="L307" s="230"/>
      <c r="M307" s="230"/>
      <c r="N307" s="230"/>
      <c r="O307" s="230"/>
      <c r="P307" s="230"/>
      <c r="Q307" s="230"/>
      <c r="R307" s="230"/>
      <c r="S307" s="230"/>
      <c r="T307" s="230"/>
      <c r="U307" s="230"/>
    </row>
    <row r="308">
      <c r="J308" s="230"/>
      <c r="K308" s="230"/>
      <c r="L308" s="230"/>
      <c r="M308" s="230"/>
      <c r="N308" s="230"/>
      <c r="O308" s="230"/>
      <c r="P308" s="230"/>
      <c r="Q308" s="230"/>
      <c r="R308" s="230"/>
      <c r="S308" s="230"/>
      <c r="T308" s="230"/>
      <c r="U308" s="230"/>
    </row>
    <row r="309">
      <c r="J309" s="230"/>
      <c r="K309" s="230"/>
      <c r="L309" s="230"/>
      <c r="M309" s="230"/>
      <c r="N309" s="230"/>
      <c r="O309" s="230"/>
      <c r="P309" s="230"/>
      <c r="Q309" s="230"/>
      <c r="R309" s="230"/>
      <c r="S309" s="230"/>
      <c r="T309" s="230"/>
      <c r="U309" s="230"/>
    </row>
    <row r="310">
      <c r="J310" s="230"/>
      <c r="K310" s="230"/>
      <c r="L310" s="230"/>
      <c r="M310" s="230"/>
      <c r="N310" s="230"/>
      <c r="O310" s="230"/>
      <c r="P310" s="230"/>
      <c r="Q310" s="230"/>
      <c r="R310" s="230"/>
      <c r="S310" s="230"/>
      <c r="T310" s="230"/>
      <c r="U310" s="230"/>
    </row>
    <row r="311">
      <c r="J311" s="230"/>
      <c r="K311" s="230"/>
      <c r="L311" s="230"/>
      <c r="M311" s="230"/>
      <c r="N311" s="230"/>
      <c r="O311" s="230"/>
      <c r="P311" s="230"/>
      <c r="Q311" s="230"/>
      <c r="R311" s="230"/>
      <c r="S311" s="230"/>
      <c r="T311" s="230"/>
      <c r="U311" s="230"/>
    </row>
    <row r="312">
      <c r="J312" s="230"/>
      <c r="K312" s="230"/>
      <c r="L312" s="230"/>
      <c r="M312" s="230"/>
      <c r="N312" s="230"/>
      <c r="O312" s="230"/>
      <c r="P312" s="230"/>
      <c r="Q312" s="230"/>
      <c r="R312" s="230"/>
      <c r="S312" s="230"/>
      <c r="T312" s="230"/>
      <c r="U312" s="230"/>
    </row>
    <row r="313">
      <c r="J313" s="230"/>
      <c r="K313" s="230"/>
      <c r="L313" s="230"/>
      <c r="M313" s="230"/>
      <c r="N313" s="230"/>
      <c r="O313" s="230"/>
      <c r="P313" s="230"/>
      <c r="Q313" s="230"/>
      <c r="R313" s="230"/>
      <c r="S313" s="230"/>
      <c r="T313" s="230"/>
      <c r="U313" s="230"/>
    </row>
    <row r="314">
      <c r="J314" s="230"/>
      <c r="K314" s="230"/>
      <c r="L314" s="230"/>
      <c r="M314" s="230"/>
      <c r="N314" s="230"/>
      <c r="O314" s="230"/>
      <c r="P314" s="230"/>
      <c r="Q314" s="230"/>
      <c r="R314" s="230"/>
      <c r="S314" s="230"/>
      <c r="T314" s="230"/>
      <c r="U314" s="230"/>
    </row>
    <row r="315">
      <c r="J315" s="230"/>
      <c r="K315" s="230"/>
      <c r="L315" s="230"/>
      <c r="M315" s="230"/>
      <c r="N315" s="230"/>
      <c r="O315" s="230"/>
      <c r="P315" s="230"/>
      <c r="Q315" s="230"/>
      <c r="R315" s="230"/>
      <c r="S315" s="230"/>
      <c r="T315" s="230"/>
      <c r="U315" s="230"/>
    </row>
    <row r="316">
      <c r="J316" s="230"/>
      <c r="K316" s="230"/>
      <c r="L316" s="230"/>
      <c r="M316" s="230"/>
      <c r="N316" s="230"/>
      <c r="O316" s="230"/>
      <c r="P316" s="230"/>
      <c r="Q316" s="230"/>
      <c r="R316" s="230"/>
      <c r="S316" s="230"/>
      <c r="T316" s="230"/>
      <c r="U316" s="230"/>
    </row>
    <row r="317">
      <c r="J317" s="230"/>
      <c r="K317" s="230"/>
      <c r="L317" s="230"/>
      <c r="M317" s="230"/>
      <c r="N317" s="230"/>
      <c r="O317" s="230"/>
      <c r="P317" s="230"/>
      <c r="Q317" s="230"/>
      <c r="R317" s="230"/>
      <c r="S317" s="230"/>
      <c r="T317" s="230"/>
      <c r="U317" s="230"/>
    </row>
    <row r="318">
      <c r="J318" s="230"/>
      <c r="K318" s="230"/>
      <c r="L318" s="230"/>
      <c r="M318" s="230"/>
      <c r="N318" s="230"/>
      <c r="O318" s="230"/>
      <c r="P318" s="230"/>
      <c r="Q318" s="230"/>
      <c r="R318" s="230"/>
      <c r="S318" s="230"/>
      <c r="T318" s="230"/>
      <c r="U318" s="230"/>
    </row>
    <row r="319">
      <c r="J319" s="230"/>
      <c r="K319" s="230"/>
      <c r="L319" s="230"/>
      <c r="M319" s="230"/>
      <c r="N319" s="230"/>
      <c r="O319" s="230"/>
      <c r="P319" s="230"/>
      <c r="Q319" s="230"/>
      <c r="R319" s="230"/>
      <c r="S319" s="230"/>
      <c r="T319" s="230"/>
      <c r="U319" s="230"/>
    </row>
    <row r="320">
      <c r="J320" s="230"/>
      <c r="K320" s="230"/>
      <c r="L320" s="230"/>
      <c r="M320" s="230"/>
      <c r="N320" s="230"/>
      <c r="O320" s="230"/>
      <c r="P320" s="230"/>
      <c r="Q320" s="230"/>
      <c r="R320" s="230"/>
      <c r="S320" s="230"/>
      <c r="T320" s="230"/>
      <c r="U320" s="230"/>
    </row>
    <row r="321">
      <c r="J321" s="230"/>
      <c r="K321" s="230"/>
      <c r="L321" s="230"/>
      <c r="M321" s="230"/>
      <c r="N321" s="230"/>
      <c r="O321" s="230"/>
      <c r="P321" s="230"/>
      <c r="Q321" s="230"/>
      <c r="R321" s="230"/>
      <c r="S321" s="230"/>
      <c r="T321" s="230"/>
      <c r="U321" s="230"/>
    </row>
    <row r="322">
      <c r="J322" s="230"/>
      <c r="K322" s="230"/>
      <c r="L322" s="230"/>
      <c r="M322" s="230"/>
      <c r="N322" s="230"/>
      <c r="O322" s="230"/>
      <c r="P322" s="230"/>
      <c r="Q322" s="230"/>
      <c r="R322" s="230"/>
      <c r="S322" s="230"/>
      <c r="T322" s="230"/>
      <c r="U322" s="230"/>
    </row>
    <row r="323">
      <c r="J323" s="230"/>
      <c r="K323" s="230"/>
      <c r="L323" s="230"/>
      <c r="M323" s="230"/>
      <c r="N323" s="230"/>
      <c r="O323" s="230"/>
      <c r="P323" s="230"/>
      <c r="Q323" s="230"/>
      <c r="R323" s="230"/>
      <c r="S323" s="230"/>
      <c r="T323" s="230"/>
      <c r="U323" s="230"/>
    </row>
    <row r="324">
      <c r="J324" s="230"/>
      <c r="K324" s="230"/>
      <c r="L324" s="230"/>
      <c r="M324" s="230"/>
      <c r="N324" s="230"/>
      <c r="O324" s="230"/>
      <c r="P324" s="230"/>
      <c r="Q324" s="230"/>
      <c r="R324" s="230"/>
      <c r="S324" s="230"/>
      <c r="T324" s="230"/>
      <c r="U324" s="230"/>
    </row>
    <row r="325">
      <c r="J325" s="230"/>
      <c r="K325" s="230"/>
      <c r="L325" s="230"/>
      <c r="M325" s="230"/>
      <c r="N325" s="230"/>
      <c r="O325" s="230"/>
      <c r="P325" s="230"/>
      <c r="Q325" s="230"/>
      <c r="R325" s="230"/>
      <c r="S325" s="230"/>
      <c r="T325" s="230"/>
      <c r="U325" s="230"/>
    </row>
    <row r="326">
      <c r="J326" s="230"/>
      <c r="K326" s="230"/>
      <c r="L326" s="230"/>
      <c r="M326" s="230"/>
      <c r="N326" s="230"/>
      <c r="O326" s="230"/>
      <c r="P326" s="230"/>
      <c r="Q326" s="230"/>
      <c r="R326" s="230"/>
      <c r="S326" s="230"/>
      <c r="T326" s="230"/>
      <c r="U326" s="230"/>
    </row>
    <row r="327">
      <c r="J327" s="230"/>
      <c r="K327" s="230"/>
      <c r="L327" s="230"/>
      <c r="M327" s="230"/>
      <c r="N327" s="230"/>
      <c r="O327" s="230"/>
      <c r="P327" s="230"/>
      <c r="Q327" s="230"/>
      <c r="R327" s="230"/>
      <c r="S327" s="230"/>
      <c r="T327" s="230"/>
      <c r="U327" s="230"/>
    </row>
    <row r="328">
      <c r="J328" s="230"/>
      <c r="K328" s="230"/>
      <c r="L328" s="230"/>
      <c r="M328" s="230"/>
      <c r="N328" s="230"/>
      <c r="O328" s="230"/>
      <c r="P328" s="230"/>
      <c r="Q328" s="230"/>
      <c r="R328" s="230"/>
      <c r="S328" s="230"/>
      <c r="T328" s="230"/>
      <c r="U328" s="230"/>
    </row>
    <row r="329">
      <c r="J329" s="230"/>
      <c r="K329" s="230"/>
      <c r="L329" s="230"/>
      <c r="M329" s="230"/>
      <c r="N329" s="230"/>
      <c r="O329" s="230"/>
      <c r="P329" s="230"/>
      <c r="Q329" s="230"/>
      <c r="R329" s="230"/>
      <c r="S329" s="230"/>
      <c r="T329" s="230"/>
      <c r="U329" s="230"/>
    </row>
    <row r="330">
      <c r="J330" s="230"/>
      <c r="K330" s="230"/>
      <c r="L330" s="230"/>
      <c r="M330" s="230"/>
      <c r="N330" s="230"/>
      <c r="O330" s="230"/>
      <c r="P330" s="230"/>
      <c r="Q330" s="230"/>
      <c r="R330" s="230"/>
      <c r="S330" s="230"/>
      <c r="T330" s="230"/>
      <c r="U330" s="230"/>
    </row>
    <row r="331">
      <c r="J331" s="230"/>
      <c r="K331" s="230"/>
      <c r="L331" s="230"/>
      <c r="M331" s="230"/>
      <c r="N331" s="230"/>
      <c r="O331" s="230"/>
      <c r="P331" s="230"/>
      <c r="Q331" s="230"/>
      <c r="R331" s="230"/>
      <c r="S331" s="230"/>
      <c r="T331" s="230"/>
      <c r="U331" s="230"/>
    </row>
    <row r="332">
      <c r="J332" s="230"/>
      <c r="K332" s="230"/>
      <c r="L332" s="230"/>
      <c r="M332" s="230"/>
      <c r="N332" s="230"/>
      <c r="O332" s="230"/>
      <c r="P332" s="230"/>
      <c r="Q332" s="230"/>
      <c r="R332" s="230"/>
      <c r="S332" s="230"/>
      <c r="T332" s="230"/>
      <c r="U332" s="230"/>
    </row>
    <row r="333">
      <c r="J333" s="230"/>
      <c r="K333" s="230"/>
      <c r="L333" s="230"/>
      <c r="M333" s="230"/>
      <c r="N333" s="230"/>
      <c r="O333" s="230"/>
      <c r="P333" s="230"/>
      <c r="Q333" s="230"/>
      <c r="R333" s="230"/>
      <c r="S333" s="230"/>
      <c r="T333" s="230"/>
      <c r="U333" s="230"/>
    </row>
    <row r="334">
      <c r="J334" s="230"/>
      <c r="K334" s="230"/>
      <c r="L334" s="230"/>
      <c r="M334" s="230"/>
      <c r="N334" s="230"/>
      <c r="O334" s="230"/>
      <c r="P334" s="230"/>
      <c r="Q334" s="230"/>
      <c r="R334" s="230"/>
      <c r="S334" s="230"/>
      <c r="T334" s="230"/>
      <c r="U334" s="230"/>
    </row>
    <row r="335">
      <c r="J335" s="230"/>
      <c r="K335" s="230"/>
      <c r="L335" s="230"/>
      <c r="M335" s="230"/>
      <c r="N335" s="230"/>
      <c r="O335" s="230"/>
      <c r="P335" s="230"/>
      <c r="Q335" s="230"/>
      <c r="R335" s="230"/>
      <c r="S335" s="230"/>
      <c r="T335" s="230"/>
      <c r="U335" s="230"/>
    </row>
    <row r="336">
      <c r="J336" s="230"/>
      <c r="K336" s="230"/>
      <c r="L336" s="230"/>
      <c r="M336" s="230"/>
      <c r="N336" s="230"/>
      <c r="O336" s="230"/>
      <c r="P336" s="230"/>
      <c r="Q336" s="230"/>
      <c r="R336" s="230"/>
      <c r="S336" s="230"/>
      <c r="T336" s="230"/>
      <c r="U336" s="230"/>
    </row>
    <row r="337">
      <c r="J337" s="230"/>
      <c r="K337" s="230"/>
      <c r="L337" s="230"/>
      <c r="M337" s="230"/>
      <c r="N337" s="230"/>
      <c r="O337" s="230"/>
      <c r="P337" s="230"/>
      <c r="Q337" s="230"/>
      <c r="R337" s="230"/>
      <c r="S337" s="230"/>
      <c r="T337" s="230"/>
      <c r="U337" s="230"/>
    </row>
    <row r="338">
      <c r="J338" s="230"/>
      <c r="K338" s="230"/>
      <c r="L338" s="230"/>
      <c r="M338" s="230"/>
      <c r="N338" s="230"/>
      <c r="O338" s="230"/>
      <c r="P338" s="230"/>
      <c r="Q338" s="230"/>
      <c r="R338" s="230"/>
      <c r="S338" s="230"/>
      <c r="T338" s="230"/>
      <c r="U338" s="230"/>
    </row>
    <row r="339">
      <c r="J339" s="230"/>
      <c r="K339" s="230"/>
      <c r="L339" s="230"/>
      <c r="M339" s="230"/>
      <c r="N339" s="230"/>
      <c r="O339" s="230"/>
      <c r="P339" s="230"/>
      <c r="Q339" s="230"/>
      <c r="R339" s="230"/>
      <c r="S339" s="230"/>
      <c r="T339" s="230"/>
      <c r="U339" s="230"/>
    </row>
    <row r="340">
      <c r="J340" s="230"/>
      <c r="K340" s="230"/>
      <c r="L340" s="230"/>
      <c r="M340" s="230"/>
      <c r="N340" s="230"/>
      <c r="O340" s="230"/>
      <c r="P340" s="230"/>
      <c r="Q340" s="230"/>
      <c r="R340" s="230"/>
      <c r="S340" s="230"/>
      <c r="T340" s="230"/>
      <c r="U340" s="230"/>
    </row>
    <row r="341">
      <c r="J341" s="230"/>
      <c r="K341" s="230"/>
      <c r="L341" s="230"/>
      <c r="M341" s="230"/>
      <c r="N341" s="230"/>
      <c r="O341" s="230"/>
      <c r="P341" s="230"/>
      <c r="Q341" s="230"/>
      <c r="R341" s="230"/>
      <c r="S341" s="230"/>
      <c r="T341" s="230"/>
      <c r="U341" s="230"/>
    </row>
    <row r="342">
      <c r="J342" s="230"/>
      <c r="K342" s="230"/>
      <c r="L342" s="230"/>
      <c r="M342" s="230"/>
      <c r="N342" s="230"/>
      <c r="O342" s="230"/>
      <c r="P342" s="230"/>
      <c r="Q342" s="230"/>
      <c r="R342" s="230"/>
      <c r="S342" s="230"/>
      <c r="T342" s="230"/>
      <c r="U342" s="230"/>
    </row>
    <row r="343">
      <c r="J343" s="230"/>
      <c r="K343" s="230"/>
      <c r="L343" s="230"/>
      <c r="M343" s="230"/>
      <c r="N343" s="230"/>
      <c r="O343" s="230"/>
      <c r="P343" s="230"/>
      <c r="Q343" s="230"/>
      <c r="R343" s="230"/>
      <c r="S343" s="230"/>
      <c r="T343" s="230"/>
      <c r="U343" s="230"/>
    </row>
    <row r="344">
      <c r="J344" s="230"/>
      <c r="K344" s="230"/>
      <c r="L344" s="230"/>
      <c r="M344" s="230"/>
      <c r="N344" s="230"/>
      <c r="O344" s="230"/>
      <c r="P344" s="230"/>
      <c r="Q344" s="230"/>
      <c r="R344" s="230"/>
      <c r="S344" s="230"/>
      <c r="T344" s="230"/>
      <c r="U344" s="230"/>
    </row>
    <row r="345">
      <c r="J345" s="230"/>
      <c r="K345" s="230"/>
      <c r="L345" s="230"/>
      <c r="M345" s="230"/>
      <c r="N345" s="230"/>
      <c r="O345" s="230"/>
      <c r="P345" s="230"/>
      <c r="Q345" s="230"/>
      <c r="R345" s="230"/>
      <c r="S345" s="230"/>
      <c r="T345" s="230"/>
      <c r="U345" s="230"/>
    </row>
    <row r="346">
      <c r="J346" s="230"/>
      <c r="K346" s="230"/>
      <c r="L346" s="230"/>
      <c r="M346" s="230"/>
      <c r="N346" s="230"/>
      <c r="O346" s="230"/>
      <c r="P346" s="230"/>
      <c r="Q346" s="230"/>
      <c r="R346" s="230"/>
      <c r="S346" s="230"/>
      <c r="T346" s="230"/>
      <c r="U346" s="230"/>
    </row>
    <row r="347">
      <c r="J347" s="230"/>
      <c r="K347" s="230"/>
      <c r="L347" s="230"/>
      <c r="M347" s="230"/>
      <c r="N347" s="230"/>
      <c r="O347" s="230"/>
      <c r="P347" s="230"/>
      <c r="Q347" s="230"/>
      <c r="R347" s="230"/>
      <c r="S347" s="230"/>
      <c r="T347" s="230"/>
      <c r="U347" s="230"/>
    </row>
    <row r="348">
      <c r="J348" s="230"/>
      <c r="K348" s="230"/>
      <c r="L348" s="230"/>
      <c r="M348" s="230"/>
      <c r="N348" s="230"/>
      <c r="O348" s="230"/>
      <c r="P348" s="230"/>
      <c r="Q348" s="230"/>
      <c r="R348" s="230"/>
      <c r="S348" s="230"/>
      <c r="T348" s="230"/>
      <c r="U348" s="230"/>
    </row>
    <row r="349">
      <c r="J349" s="230"/>
      <c r="K349" s="230"/>
      <c r="L349" s="230"/>
      <c r="M349" s="230"/>
      <c r="N349" s="230"/>
      <c r="O349" s="230"/>
      <c r="P349" s="230"/>
      <c r="Q349" s="230"/>
      <c r="R349" s="230"/>
      <c r="S349" s="230"/>
      <c r="T349" s="230"/>
      <c r="U349" s="230"/>
    </row>
    <row r="350">
      <c r="J350" s="230"/>
      <c r="K350" s="230"/>
      <c r="L350" s="230"/>
      <c r="M350" s="230"/>
      <c r="N350" s="230"/>
      <c r="O350" s="230"/>
      <c r="P350" s="230"/>
      <c r="Q350" s="230"/>
      <c r="R350" s="230"/>
      <c r="S350" s="230"/>
      <c r="T350" s="230"/>
      <c r="U350" s="230"/>
    </row>
    <row r="351">
      <c r="J351" s="230"/>
      <c r="K351" s="230"/>
      <c r="L351" s="230"/>
      <c r="M351" s="230"/>
      <c r="N351" s="230"/>
      <c r="O351" s="230"/>
      <c r="P351" s="230"/>
      <c r="Q351" s="230"/>
      <c r="R351" s="230"/>
      <c r="S351" s="230"/>
      <c r="T351" s="230"/>
      <c r="U351" s="230"/>
    </row>
    <row r="352">
      <c r="J352" s="230"/>
      <c r="K352" s="230"/>
      <c r="L352" s="230"/>
      <c r="M352" s="230"/>
      <c r="N352" s="230"/>
      <c r="O352" s="230"/>
      <c r="P352" s="230"/>
      <c r="Q352" s="230"/>
      <c r="R352" s="230"/>
      <c r="S352" s="230"/>
      <c r="T352" s="230"/>
      <c r="U352" s="230"/>
    </row>
    <row r="353">
      <c r="J353" s="230"/>
      <c r="K353" s="230"/>
      <c r="L353" s="230"/>
      <c r="M353" s="230"/>
      <c r="N353" s="230"/>
      <c r="O353" s="230"/>
      <c r="P353" s="230"/>
      <c r="Q353" s="230"/>
      <c r="R353" s="230"/>
      <c r="S353" s="230"/>
      <c r="T353" s="230"/>
      <c r="U353" s="230"/>
    </row>
    <row r="354">
      <c r="J354" s="230"/>
      <c r="K354" s="230"/>
      <c r="L354" s="230"/>
      <c r="M354" s="230"/>
      <c r="N354" s="230"/>
      <c r="O354" s="230"/>
      <c r="P354" s="230"/>
      <c r="Q354" s="230"/>
      <c r="R354" s="230"/>
      <c r="S354" s="230"/>
      <c r="T354" s="230"/>
      <c r="U354" s="230"/>
    </row>
    <row r="355">
      <c r="J355" s="230"/>
      <c r="K355" s="230"/>
      <c r="L355" s="230"/>
      <c r="M355" s="230"/>
      <c r="N355" s="230"/>
      <c r="O355" s="230"/>
      <c r="P355" s="230"/>
      <c r="Q355" s="230"/>
      <c r="R355" s="230"/>
      <c r="S355" s="230"/>
      <c r="T355" s="230"/>
      <c r="U355" s="230"/>
    </row>
    <row r="356">
      <c r="J356" s="230"/>
      <c r="K356" s="230"/>
      <c r="L356" s="230"/>
      <c r="M356" s="230"/>
      <c r="N356" s="230"/>
      <c r="O356" s="230"/>
      <c r="P356" s="230"/>
      <c r="Q356" s="230"/>
      <c r="R356" s="230"/>
      <c r="S356" s="230"/>
      <c r="T356" s="230"/>
      <c r="U356" s="230"/>
    </row>
    <row r="357">
      <c r="J357" s="230"/>
      <c r="K357" s="230"/>
      <c r="L357" s="230"/>
      <c r="M357" s="230"/>
      <c r="N357" s="230"/>
      <c r="O357" s="230"/>
      <c r="P357" s="230"/>
      <c r="Q357" s="230"/>
      <c r="R357" s="230"/>
      <c r="S357" s="230"/>
      <c r="T357" s="230"/>
      <c r="U357" s="230"/>
    </row>
    <row r="358">
      <c r="J358" s="230"/>
      <c r="K358" s="230"/>
      <c r="L358" s="230"/>
      <c r="M358" s="230"/>
      <c r="N358" s="230"/>
      <c r="O358" s="230"/>
      <c r="P358" s="230"/>
      <c r="Q358" s="230"/>
      <c r="R358" s="230"/>
      <c r="S358" s="230"/>
      <c r="T358" s="230"/>
      <c r="U358" s="230"/>
    </row>
    <row r="359">
      <c r="J359" s="230"/>
      <c r="K359" s="230"/>
      <c r="L359" s="230"/>
      <c r="M359" s="230"/>
      <c r="N359" s="230"/>
      <c r="O359" s="230"/>
      <c r="P359" s="230"/>
      <c r="Q359" s="230"/>
      <c r="R359" s="230"/>
      <c r="S359" s="230"/>
      <c r="T359" s="230"/>
      <c r="U359" s="230"/>
    </row>
    <row r="360">
      <c r="J360" s="230"/>
      <c r="K360" s="230"/>
      <c r="L360" s="230"/>
      <c r="M360" s="230"/>
      <c r="N360" s="230"/>
      <c r="O360" s="230"/>
      <c r="P360" s="230"/>
      <c r="Q360" s="230"/>
      <c r="R360" s="230"/>
      <c r="S360" s="230"/>
      <c r="T360" s="230"/>
      <c r="U360" s="230"/>
    </row>
    <row r="361">
      <c r="J361" s="230"/>
      <c r="K361" s="230"/>
      <c r="L361" s="230"/>
      <c r="M361" s="230"/>
      <c r="N361" s="230"/>
      <c r="O361" s="230"/>
      <c r="P361" s="230"/>
      <c r="Q361" s="230"/>
      <c r="R361" s="230"/>
      <c r="S361" s="230"/>
      <c r="T361" s="230"/>
      <c r="U361" s="230"/>
    </row>
    <row r="362">
      <c r="J362" s="230"/>
      <c r="K362" s="230"/>
      <c r="L362" s="230"/>
      <c r="M362" s="230"/>
      <c r="N362" s="230"/>
      <c r="O362" s="230"/>
      <c r="P362" s="230"/>
      <c r="Q362" s="230"/>
      <c r="R362" s="230"/>
      <c r="S362" s="230"/>
      <c r="T362" s="230"/>
      <c r="U362" s="230"/>
    </row>
    <row r="363">
      <c r="J363" s="230"/>
      <c r="K363" s="230"/>
      <c r="L363" s="230"/>
      <c r="M363" s="230"/>
      <c r="N363" s="230"/>
      <c r="O363" s="230"/>
      <c r="P363" s="230"/>
      <c r="Q363" s="230"/>
      <c r="R363" s="230"/>
      <c r="S363" s="230"/>
      <c r="T363" s="230"/>
      <c r="U363" s="230"/>
    </row>
    <row r="364">
      <c r="J364" s="230"/>
      <c r="K364" s="230"/>
      <c r="L364" s="230"/>
      <c r="M364" s="230"/>
      <c r="N364" s="230"/>
      <c r="O364" s="230"/>
      <c r="P364" s="230"/>
      <c r="Q364" s="230"/>
      <c r="R364" s="230"/>
      <c r="S364" s="230"/>
      <c r="T364" s="230"/>
      <c r="U364" s="230"/>
    </row>
    <row r="365">
      <c r="J365" s="230"/>
      <c r="K365" s="230"/>
      <c r="L365" s="230"/>
      <c r="M365" s="230"/>
      <c r="N365" s="230"/>
      <c r="O365" s="230"/>
      <c r="P365" s="230"/>
      <c r="Q365" s="230"/>
      <c r="R365" s="230"/>
      <c r="S365" s="230"/>
      <c r="T365" s="230"/>
      <c r="U365" s="230"/>
    </row>
    <row r="366">
      <c r="J366" s="230"/>
      <c r="K366" s="230"/>
      <c r="L366" s="230"/>
      <c r="M366" s="230"/>
      <c r="N366" s="230"/>
      <c r="O366" s="230"/>
      <c r="P366" s="230"/>
      <c r="Q366" s="230"/>
      <c r="R366" s="230"/>
      <c r="S366" s="230"/>
      <c r="T366" s="230"/>
      <c r="U366" s="230"/>
    </row>
    <row r="367">
      <c r="J367" s="230"/>
      <c r="K367" s="230"/>
      <c r="L367" s="230"/>
      <c r="M367" s="230"/>
      <c r="N367" s="230"/>
      <c r="O367" s="230"/>
      <c r="P367" s="230"/>
      <c r="Q367" s="230"/>
      <c r="R367" s="230"/>
      <c r="S367" s="230"/>
      <c r="T367" s="230"/>
      <c r="U367" s="230"/>
    </row>
    <row r="368">
      <c r="J368" s="230"/>
      <c r="K368" s="230"/>
      <c r="L368" s="230"/>
      <c r="M368" s="230"/>
      <c r="N368" s="230"/>
      <c r="O368" s="230"/>
      <c r="P368" s="230"/>
      <c r="Q368" s="230"/>
      <c r="R368" s="230"/>
      <c r="S368" s="230"/>
      <c r="T368" s="230"/>
      <c r="U368" s="230"/>
    </row>
    <row r="369">
      <c r="J369" s="230"/>
      <c r="K369" s="230"/>
      <c r="L369" s="230"/>
      <c r="M369" s="230"/>
      <c r="N369" s="230"/>
      <c r="O369" s="230"/>
      <c r="P369" s="230"/>
      <c r="Q369" s="230"/>
      <c r="R369" s="230"/>
      <c r="S369" s="230"/>
      <c r="T369" s="230"/>
      <c r="U369" s="230"/>
    </row>
    <row r="370">
      <c r="J370" s="230"/>
      <c r="K370" s="230"/>
      <c r="L370" s="230"/>
      <c r="M370" s="230"/>
      <c r="N370" s="230"/>
      <c r="O370" s="230"/>
      <c r="P370" s="230"/>
      <c r="Q370" s="230"/>
      <c r="R370" s="230"/>
      <c r="S370" s="230"/>
      <c r="T370" s="230"/>
      <c r="U370" s="230"/>
    </row>
    <row r="371">
      <c r="J371" s="230"/>
      <c r="K371" s="230"/>
      <c r="L371" s="230"/>
      <c r="M371" s="230"/>
      <c r="N371" s="230"/>
      <c r="O371" s="230"/>
      <c r="P371" s="230"/>
      <c r="Q371" s="230"/>
      <c r="R371" s="230"/>
      <c r="S371" s="230"/>
      <c r="T371" s="230"/>
      <c r="U371" s="230"/>
    </row>
    <row r="372">
      <c r="J372" s="230"/>
      <c r="K372" s="230"/>
      <c r="L372" s="230"/>
      <c r="M372" s="230"/>
      <c r="N372" s="230"/>
      <c r="O372" s="230"/>
      <c r="P372" s="230"/>
      <c r="Q372" s="230"/>
      <c r="R372" s="230"/>
      <c r="S372" s="230"/>
      <c r="T372" s="230"/>
      <c r="U372" s="230"/>
    </row>
    <row r="373">
      <c r="J373" s="230"/>
      <c r="K373" s="230"/>
      <c r="L373" s="230"/>
      <c r="M373" s="230"/>
      <c r="N373" s="230"/>
      <c r="O373" s="230"/>
      <c r="P373" s="230"/>
      <c r="Q373" s="230"/>
      <c r="R373" s="230"/>
      <c r="S373" s="230"/>
      <c r="T373" s="230"/>
      <c r="U373" s="230"/>
    </row>
    <row r="374">
      <c r="J374" s="230"/>
      <c r="K374" s="230"/>
      <c r="L374" s="230"/>
      <c r="M374" s="230"/>
      <c r="N374" s="230"/>
      <c r="O374" s="230"/>
      <c r="P374" s="230"/>
      <c r="Q374" s="230"/>
      <c r="R374" s="230"/>
      <c r="S374" s="230"/>
      <c r="T374" s="230"/>
      <c r="U374" s="230"/>
    </row>
    <row r="375">
      <c r="J375" s="230"/>
      <c r="K375" s="230"/>
      <c r="L375" s="230"/>
      <c r="M375" s="230"/>
      <c r="N375" s="230"/>
      <c r="O375" s="230"/>
      <c r="P375" s="230"/>
      <c r="Q375" s="230"/>
      <c r="R375" s="230"/>
      <c r="S375" s="230"/>
      <c r="T375" s="230"/>
      <c r="U375" s="230"/>
    </row>
    <row r="376">
      <c r="J376" s="230"/>
      <c r="K376" s="230"/>
      <c r="L376" s="230"/>
      <c r="M376" s="230"/>
      <c r="N376" s="230"/>
      <c r="O376" s="230"/>
      <c r="P376" s="230"/>
      <c r="Q376" s="230"/>
      <c r="R376" s="230"/>
      <c r="S376" s="230"/>
      <c r="T376" s="230"/>
      <c r="U376" s="230"/>
    </row>
    <row r="377">
      <c r="J377" s="230"/>
      <c r="K377" s="230"/>
      <c r="L377" s="230"/>
      <c r="M377" s="230"/>
      <c r="N377" s="230"/>
      <c r="O377" s="230"/>
      <c r="P377" s="230"/>
      <c r="Q377" s="230"/>
      <c r="R377" s="230"/>
      <c r="S377" s="230"/>
      <c r="T377" s="230"/>
      <c r="U377" s="230"/>
    </row>
    <row r="378">
      <c r="J378" s="230"/>
      <c r="K378" s="230"/>
      <c r="L378" s="230"/>
      <c r="M378" s="230"/>
      <c r="N378" s="230"/>
      <c r="O378" s="230"/>
      <c r="P378" s="230"/>
      <c r="Q378" s="230"/>
      <c r="R378" s="230"/>
      <c r="S378" s="230"/>
      <c r="T378" s="230"/>
      <c r="U378" s="230"/>
    </row>
    <row r="379">
      <c r="J379" s="230"/>
      <c r="K379" s="230"/>
      <c r="L379" s="230"/>
      <c r="M379" s="230"/>
      <c r="N379" s="230"/>
      <c r="O379" s="230"/>
      <c r="P379" s="230"/>
      <c r="Q379" s="230"/>
      <c r="R379" s="230"/>
      <c r="S379" s="230"/>
      <c r="T379" s="230"/>
      <c r="U379" s="230"/>
    </row>
    <row r="380">
      <c r="J380" s="230"/>
      <c r="K380" s="230"/>
      <c r="L380" s="230"/>
      <c r="M380" s="230"/>
      <c r="N380" s="230"/>
      <c r="O380" s="230"/>
      <c r="P380" s="230"/>
      <c r="Q380" s="230"/>
      <c r="R380" s="230"/>
      <c r="S380" s="230"/>
      <c r="T380" s="230"/>
      <c r="U380" s="230"/>
    </row>
    <row r="381">
      <c r="J381" s="230"/>
      <c r="K381" s="230"/>
      <c r="L381" s="230"/>
      <c r="M381" s="230"/>
      <c r="N381" s="230"/>
      <c r="O381" s="230"/>
      <c r="P381" s="230"/>
      <c r="Q381" s="230"/>
      <c r="R381" s="230"/>
      <c r="S381" s="230"/>
      <c r="T381" s="230"/>
      <c r="U381" s="230"/>
    </row>
    <row r="382">
      <c r="J382" s="230"/>
      <c r="K382" s="230"/>
      <c r="L382" s="230"/>
      <c r="M382" s="230"/>
      <c r="N382" s="230"/>
      <c r="O382" s="230"/>
      <c r="P382" s="230"/>
      <c r="Q382" s="230"/>
      <c r="R382" s="230"/>
      <c r="S382" s="230"/>
      <c r="T382" s="230"/>
      <c r="U382" s="230"/>
    </row>
    <row r="383">
      <c r="J383" s="230"/>
      <c r="K383" s="230"/>
      <c r="L383" s="230"/>
      <c r="M383" s="230"/>
      <c r="N383" s="230"/>
      <c r="O383" s="230"/>
      <c r="P383" s="230"/>
      <c r="Q383" s="230"/>
      <c r="R383" s="230"/>
      <c r="S383" s="230"/>
      <c r="T383" s="230"/>
      <c r="U383" s="230"/>
    </row>
    <row r="384">
      <c r="J384" s="230"/>
      <c r="K384" s="230"/>
      <c r="L384" s="230"/>
      <c r="M384" s="230"/>
      <c r="N384" s="230"/>
      <c r="O384" s="230"/>
      <c r="P384" s="230"/>
      <c r="Q384" s="230"/>
      <c r="R384" s="230"/>
      <c r="S384" s="230"/>
      <c r="T384" s="230"/>
      <c r="U384" s="230"/>
    </row>
    <row r="385">
      <c r="J385" s="230"/>
      <c r="K385" s="230"/>
      <c r="L385" s="230"/>
      <c r="M385" s="230"/>
      <c r="N385" s="230"/>
      <c r="O385" s="230"/>
      <c r="P385" s="230"/>
      <c r="Q385" s="230"/>
      <c r="R385" s="230"/>
      <c r="S385" s="230"/>
      <c r="T385" s="230"/>
      <c r="U385" s="230"/>
    </row>
    <row r="386">
      <c r="J386" s="230"/>
      <c r="K386" s="230"/>
      <c r="L386" s="230"/>
      <c r="M386" s="230"/>
      <c r="N386" s="230"/>
      <c r="O386" s="230"/>
      <c r="P386" s="230"/>
      <c r="Q386" s="230"/>
      <c r="R386" s="230"/>
      <c r="S386" s="230"/>
      <c r="T386" s="230"/>
      <c r="U386" s="230"/>
    </row>
    <row r="387">
      <c r="J387" s="230"/>
      <c r="K387" s="230"/>
      <c r="L387" s="230"/>
      <c r="M387" s="230"/>
      <c r="N387" s="230"/>
      <c r="O387" s="230"/>
      <c r="P387" s="230"/>
      <c r="Q387" s="230"/>
      <c r="R387" s="230"/>
      <c r="S387" s="230"/>
      <c r="T387" s="230"/>
      <c r="U387" s="230"/>
    </row>
    <row r="388">
      <c r="J388" s="230"/>
      <c r="K388" s="230"/>
      <c r="L388" s="230"/>
      <c r="M388" s="230"/>
      <c r="N388" s="230"/>
      <c r="O388" s="230"/>
      <c r="P388" s="230"/>
      <c r="Q388" s="230"/>
      <c r="R388" s="230"/>
      <c r="S388" s="230"/>
      <c r="T388" s="230"/>
      <c r="U388" s="230"/>
    </row>
    <row r="389">
      <c r="J389" s="230"/>
      <c r="K389" s="230"/>
      <c r="L389" s="230"/>
      <c r="M389" s="230"/>
      <c r="N389" s="230"/>
      <c r="O389" s="230"/>
      <c r="P389" s="230"/>
      <c r="Q389" s="230"/>
      <c r="R389" s="230"/>
      <c r="S389" s="230"/>
      <c r="T389" s="230"/>
      <c r="U389" s="230"/>
    </row>
    <row r="390">
      <c r="J390" s="230"/>
      <c r="K390" s="230"/>
      <c r="L390" s="230"/>
      <c r="M390" s="230"/>
      <c r="N390" s="230"/>
      <c r="O390" s="230"/>
      <c r="P390" s="230"/>
      <c r="Q390" s="230"/>
      <c r="R390" s="230"/>
      <c r="S390" s="230"/>
      <c r="T390" s="230"/>
      <c r="U390" s="230"/>
    </row>
    <row r="391">
      <c r="J391" s="230"/>
      <c r="K391" s="230"/>
      <c r="L391" s="230"/>
      <c r="M391" s="230"/>
      <c r="N391" s="230"/>
      <c r="O391" s="230"/>
      <c r="P391" s="230"/>
      <c r="Q391" s="230"/>
      <c r="R391" s="230"/>
      <c r="S391" s="230"/>
      <c r="T391" s="230"/>
      <c r="U391" s="230"/>
    </row>
    <row r="392">
      <c r="J392" s="230"/>
      <c r="K392" s="230"/>
      <c r="L392" s="230"/>
      <c r="M392" s="230"/>
      <c r="N392" s="230"/>
      <c r="O392" s="230"/>
      <c r="P392" s="230"/>
      <c r="Q392" s="230"/>
      <c r="R392" s="230"/>
      <c r="S392" s="230"/>
      <c r="T392" s="230"/>
      <c r="U392" s="230"/>
    </row>
    <row r="393">
      <c r="J393" s="230"/>
      <c r="K393" s="230"/>
      <c r="L393" s="230"/>
      <c r="M393" s="230"/>
      <c r="N393" s="230"/>
      <c r="O393" s="230"/>
      <c r="P393" s="230"/>
      <c r="Q393" s="230"/>
      <c r="R393" s="230"/>
      <c r="S393" s="230"/>
      <c r="T393" s="230"/>
      <c r="U393" s="230"/>
    </row>
    <row r="394">
      <c r="J394" s="230"/>
      <c r="K394" s="230"/>
      <c r="L394" s="230"/>
      <c r="M394" s="230"/>
      <c r="N394" s="230"/>
      <c r="O394" s="230"/>
      <c r="P394" s="230"/>
      <c r="Q394" s="230"/>
      <c r="R394" s="230"/>
      <c r="S394" s="230"/>
      <c r="T394" s="230"/>
      <c r="U394" s="230"/>
    </row>
    <row r="395">
      <c r="J395" s="230"/>
      <c r="K395" s="230"/>
      <c r="L395" s="230"/>
      <c r="M395" s="230"/>
      <c r="N395" s="230"/>
      <c r="O395" s="230"/>
      <c r="P395" s="230"/>
      <c r="Q395" s="230"/>
      <c r="R395" s="230"/>
      <c r="S395" s="230"/>
      <c r="T395" s="230"/>
      <c r="U395" s="230"/>
    </row>
    <row r="396">
      <c r="J396" s="230"/>
      <c r="K396" s="230"/>
      <c r="L396" s="230"/>
      <c r="M396" s="230"/>
      <c r="N396" s="230"/>
      <c r="O396" s="230"/>
      <c r="P396" s="230"/>
      <c r="Q396" s="230"/>
      <c r="R396" s="230"/>
      <c r="S396" s="230"/>
      <c r="T396" s="230"/>
      <c r="U396" s="230"/>
    </row>
    <row r="397">
      <c r="J397" s="230"/>
      <c r="K397" s="230"/>
      <c r="L397" s="230"/>
      <c r="M397" s="230"/>
      <c r="N397" s="230"/>
      <c r="O397" s="230"/>
      <c r="P397" s="230"/>
      <c r="Q397" s="230"/>
      <c r="R397" s="230"/>
      <c r="S397" s="230"/>
      <c r="T397" s="230"/>
      <c r="U397" s="230"/>
    </row>
    <row r="398">
      <c r="J398" s="230"/>
      <c r="K398" s="230"/>
      <c r="L398" s="230"/>
      <c r="M398" s="230"/>
      <c r="N398" s="230"/>
      <c r="O398" s="230"/>
      <c r="P398" s="230"/>
      <c r="Q398" s="230"/>
      <c r="R398" s="230"/>
      <c r="S398" s="230"/>
      <c r="T398" s="230"/>
      <c r="U398" s="230"/>
    </row>
    <row r="399">
      <c r="J399" s="230"/>
      <c r="K399" s="230"/>
      <c r="L399" s="230"/>
      <c r="M399" s="230"/>
      <c r="N399" s="230"/>
      <c r="O399" s="230"/>
      <c r="P399" s="230"/>
      <c r="Q399" s="230"/>
      <c r="R399" s="230"/>
      <c r="S399" s="230"/>
      <c r="T399" s="230"/>
      <c r="U399" s="230"/>
    </row>
    <row r="400">
      <c r="J400" s="230"/>
      <c r="K400" s="230"/>
      <c r="L400" s="230"/>
      <c r="M400" s="230"/>
      <c r="N400" s="230"/>
      <c r="O400" s="230"/>
      <c r="P400" s="230"/>
      <c r="Q400" s="230"/>
      <c r="R400" s="230"/>
      <c r="S400" s="230"/>
      <c r="T400" s="230"/>
      <c r="U400" s="230"/>
    </row>
    <row r="401">
      <c r="J401" s="230"/>
      <c r="K401" s="230"/>
      <c r="L401" s="230"/>
      <c r="M401" s="230"/>
      <c r="N401" s="230"/>
      <c r="O401" s="230"/>
      <c r="P401" s="230"/>
      <c r="Q401" s="230"/>
      <c r="R401" s="230"/>
      <c r="S401" s="230"/>
      <c r="T401" s="230"/>
      <c r="U401" s="230"/>
    </row>
    <row r="402">
      <c r="J402" s="230"/>
      <c r="K402" s="230"/>
      <c r="L402" s="230"/>
      <c r="M402" s="230"/>
      <c r="N402" s="230"/>
      <c r="O402" s="230"/>
      <c r="P402" s="230"/>
      <c r="Q402" s="230"/>
      <c r="R402" s="230"/>
      <c r="S402" s="230"/>
      <c r="T402" s="230"/>
      <c r="U402" s="230"/>
    </row>
    <row r="403">
      <c r="J403" s="230"/>
      <c r="K403" s="230"/>
      <c r="L403" s="230"/>
      <c r="M403" s="230"/>
      <c r="N403" s="230"/>
      <c r="O403" s="230"/>
      <c r="P403" s="230"/>
      <c r="Q403" s="230"/>
      <c r="R403" s="230"/>
      <c r="S403" s="230"/>
      <c r="T403" s="230"/>
      <c r="U403" s="230"/>
    </row>
    <row r="404">
      <c r="J404" s="230"/>
      <c r="K404" s="230"/>
      <c r="L404" s="230"/>
      <c r="M404" s="230"/>
      <c r="N404" s="230"/>
      <c r="O404" s="230"/>
      <c r="P404" s="230"/>
      <c r="Q404" s="230"/>
      <c r="R404" s="230"/>
      <c r="S404" s="230"/>
      <c r="T404" s="230"/>
      <c r="U404" s="230"/>
    </row>
    <row r="405">
      <c r="J405" s="230"/>
      <c r="K405" s="230"/>
      <c r="L405" s="230"/>
      <c r="M405" s="230"/>
      <c r="N405" s="230"/>
      <c r="O405" s="230"/>
      <c r="P405" s="230"/>
      <c r="Q405" s="230"/>
      <c r="R405" s="230"/>
      <c r="S405" s="230"/>
      <c r="T405" s="230"/>
      <c r="U405" s="230"/>
    </row>
    <row r="406">
      <c r="J406" s="230"/>
      <c r="K406" s="230"/>
      <c r="L406" s="230"/>
      <c r="M406" s="230"/>
      <c r="N406" s="230"/>
      <c r="O406" s="230"/>
      <c r="P406" s="230"/>
      <c r="Q406" s="230"/>
      <c r="R406" s="230"/>
      <c r="S406" s="230"/>
      <c r="T406" s="230"/>
      <c r="U406" s="230"/>
    </row>
    <row r="407">
      <c r="J407" s="230"/>
      <c r="K407" s="230"/>
      <c r="L407" s="230"/>
      <c r="M407" s="230"/>
      <c r="N407" s="230"/>
      <c r="O407" s="230"/>
      <c r="P407" s="230"/>
      <c r="Q407" s="230"/>
      <c r="R407" s="230"/>
      <c r="S407" s="230"/>
      <c r="T407" s="230"/>
      <c r="U407" s="230"/>
    </row>
    <row r="408">
      <c r="J408" s="230"/>
      <c r="K408" s="230"/>
      <c r="L408" s="230"/>
      <c r="M408" s="230"/>
      <c r="N408" s="230"/>
      <c r="O408" s="230"/>
      <c r="P408" s="230"/>
      <c r="Q408" s="230"/>
      <c r="R408" s="230"/>
      <c r="S408" s="230"/>
      <c r="T408" s="230"/>
      <c r="U408" s="230"/>
    </row>
    <row r="409">
      <c r="J409" s="230"/>
      <c r="K409" s="230"/>
      <c r="L409" s="230"/>
      <c r="M409" s="230"/>
      <c r="N409" s="230"/>
      <c r="O409" s="230"/>
      <c r="P409" s="230"/>
      <c r="Q409" s="230"/>
      <c r="R409" s="230"/>
      <c r="S409" s="230"/>
      <c r="T409" s="230"/>
      <c r="U409" s="230"/>
    </row>
    <row r="410">
      <c r="J410" s="230"/>
      <c r="K410" s="230"/>
      <c r="L410" s="230"/>
      <c r="M410" s="230"/>
      <c r="N410" s="230"/>
      <c r="O410" s="230"/>
      <c r="P410" s="230"/>
      <c r="Q410" s="230"/>
      <c r="R410" s="230"/>
      <c r="S410" s="230"/>
      <c r="T410" s="230"/>
      <c r="U410" s="230"/>
    </row>
    <row r="411">
      <c r="J411" s="230"/>
      <c r="K411" s="230"/>
      <c r="L411" s="230"/>
      <c r="M411" s="230"/>
      <c r="N411" s="230"/>
      <c r="O411" s="230"/>
      <c r="P411" s="230"/>
      <c r="Q411" s="230"/>
      <c r="R411" s="230"/>
      <c r="S411" s="230"/>
      <c r="T411" s="230"/>
      <c r="U411" s="230"/>
    </row>
    <row r="412">
      <c r="J412" s="230"/>
      <c r="K412" s="230"/>
      <c r="L412" s="230"/>
      <c r="M412" s="230"/>
      <c r="N412" s="230"/>
      <c r="O412" s="230"/>
      <c r="P412" s="230"/>
      <c r="Q412" s="230"/>
      <c r="R412" s="230"/>
      <c r="S412" s="230"/>
      <c r="T412" s="230"/>
      <c r="U412" s="230"/>
    </row>
    <row r="413">
      <c r="J413" s="230"/>
      <c r="K413" s="230"/>
      <c r="L413" s="230"/>
      <c r="M413" s="230"/>
      <c r="N413" s="230"/>
      <c r="O413" s="230"/>
      <c r="P413" s="230"/>
      <c r="Q413" s="230"/>
      <c r="R413" s="230"/>
      <c r="S413" s="230"/>
      <c r="T413" s="230"/>
      <c r="U413" s="230"/>
    </row>
    <row r="414">
      <c r="J414" s="230"/>
      <c r="K414" s="230"/>
      <c r="L414" s="230"/>
      <c r="M414" s="230"/>
      <c r="N414" s="230"/>
      <c r="O414" s="230"/>
      <c r="P414" s="230"/>
      <c r="Q414" s="230"/>
      <c r="R414" s="230"/>
      <c r="S414" s="230"/>
      <c r="T414" s="230"/>
      <c r="U414" s="230"/>
    </row>
    <row r="415">
      <c r="J415" s="230"/>
      <c r="K415" s="230"/>
      <c r="L415" s="230"/>
      <c r="M415" s="230"/>
      <c r="N415" s="230"/>
      <c r="O415" s="230"/>
      <c r="P415" s="230"/>
      <c r="Q415" s="230"/>
      <c r="R415" s="230"/>
      <c r="S415" s="230"/>
      <c r="T415" s="230"/>
      <c r="U415" s="230"/>
    </row>
    <row r="416">
      <c r="J416" s="230"/>
      <c r="K416" s="230"/>
      <c r="L416" s="230"/>
      <c r="M416" s="230"/>
      <c r="N416" s="230"/>
      <c r="O416" s="230"/>
      <c r="P416" s="230"/>
      <c r="Q416" s="230"/>
      <c r="R416" s="230"/>
      <c r="S416" s="230"/>
      <c r="T416" s="230"/>
      <c r="U416" s="230"/>
    </row>
    <row r="417">
      <c r="J417" s="230"/>
      <c r="K417" s="230"/>
      <c r="L417" s="230"/>
      <c r="M417" s="230"/>
      <c r="N417" s="230"/>
      <c r="O417" s="230"/>
      <c r="P417" s="230"/>
      <c r="Q417" s="230"/>
      <c r="R417" s="230"/>
      <c r="S417" s="230"/>
      <c r="T417" s="230"/>
      <c r="U417" s="230"/>
    </row>
    <row r="418">
      <c r="J418" s="230"/>
      <c r="K418" s="230"/>
      <c r="L418" s="230"/>
      <c r="M418" s="230"/>
      <c r="N418" s="230"/>
      <c r="O418" s="230"/>
      <c r="P418" s="230"/>
      <c r="Q418" s="230"/>
      <c r="R418" s="230"/>
      <c r="S418" s="230"/>
      <c r="T418" s="230"/>
      <c r="U418" s="230"/>
    </row>
    <row r="419">
      <c r="J419" s="230"/>
      <c r="K419" s="230"/>
      <c r="L419" s="230"/>
      <c r="M419" s="230"/>
      <c r="N419" s="230"/>
      <c r="O419" s="230"/>
      <c r="P419" s="230"/>
      <c r="Q419" s="230"/>
      <c r="R419" s="230"/>
      <c r="S419" s="230"/>
      <c r="T419" s="230"/>
      <c r="U419" s="230"/>
    </row>
    <row r="420">
      <c r="J420" s="230"/>
      <c r="K420" s="230"/>
      <c r="L420" s="230"/>
      <c r="M420" s="230"/>
      <c r="N420" s="230"/>
      <c r="O420" s="230"/>
      <c r="P420" s="230"/>
      <c r="Q420" s="230"/>
      <c r="R420" s="230"/>
      <c r="S420" s="230"/>
      <c r="T420" s="230"/>
      <c r="U420" s="230"/>
    </row>
    <row r="421">
      <c r="J421" s="230"/>
      <c r="K421" s="230"/>
      <c r="L421" s="230"/>
      <c r="M421" s="230"/>
      <c r="N421" s="230"/>
      <c r="O421" s="230"/>
      <c r="P421" s="230"/>
      <c r="Q421" s="230"/>
      <c r="R421" s="230"/>
      <c r="S421" s="230"/>
      <c r="T421" s="230"/>
      <c r="U421" s="230"/>
    </row>
    <row r="422">
      <c r="J422" s="230"/>
      <c r="K422" s="230"/>
      <c r="L422" s="230"/>
      <c r="M422" s="230"/>
      <c r="N422" s="230"/>
      <c r="O422" s="230"/>
      <c r="P422" s="230"/>
      <c r="Q422" s="230"/>
      <c r="R422" s="230"/>
      <c r="S422" s="230"/>
      <c r="T422" s="230"/>
      <c r="U422" s="230"/>
    </row>
    <row r="423">
      <c r="J423" s="230"/>
      <c r="K423" s="230"/>
      <c r="L423" s="230"/>
      <c r="M423" s="230"/>
      <c r="N423" s="230"/>
      <c r="O423" s="230"/>
      <c r="P423" s="230"/>
      <c r="Q423" s="230"/>
      <c r="R423" s="230"/>
      <c r="S423" s="230"/>
      <c r="T423" s="230"/>
      <c r="U423" s="230"/>
    </row>
    <row r="424">
      <c r="J424" s="230"/>
      <c r="K424" s="230"/>
      <c r="L424" s="230"/>
      <c r="M424" s="230"/>
      <c r="N424" s="230"/>
      <c r="O424" s="230"/>
      <c r="P424" s="230"/>
      <c r="Q424" s="230"/>
      <c r="R424" s="230"/>
      <c r="S424" s="230"/>
      <c r="T424" s="230"/>
      <c r="U424" s="230"/>
    </row>
    <row r="425">
      <c r="J425" s="230"/>
      <c r="K425" s="230"/>
      <c r="L425" s="230"/>
      <c r="M425" s="230"/>
      <c r="N425" s="230"/>
      <c r="O425" s="230"/>
      <c r="P425" s="230"/>
      <c r="Q425" s="230"/>
      <c r="R425" s="230"/>
      <c r="S425" s="230"/>
      <c r="T425" s="230"/>
      <c r="U425" s="230"/>
    </row>
    <row r="426">
      <c r="J426" s="230"/>
      <c r="K426" s="230"/>
      <c r="L426" s="230"/>
      <c r="M426" s="230"/>
      <c r="N426" s="230"/>
      <c r="O426" s="230"/>
      <c r="P426" s="230"/>
      <c r="Q426" s="230"/>
      <c r="R426" s="230"/>
      <c r="S426" s="230"/>
      <c r="T426" s="230"/>
      <c r="U426" s="230"/>
    </row>
    <row r="427">
      <c r="J427" s="230"/>
      <c r="K427" s="230"/>
      <c r="L427" s="230"/>
      <c r="M427" s="230"/>
      <c r="N427" s="230"/>
      <c r="O427" s="230"/>
      <c r="P427" s="230"/>
      <c r="Q427" s="230"/>
      <c r="R427" s="230"/>
      <c r="S427" s="230"/>
      <c r="T427" s="230"/>
      <c r="U427" s="230"/>
    </row>
    <row r="428">
      <c r="J428" s="230"/>
      <c r="K428" s="230"/>
      <c r="L428" s="230"/>
      <c r="M428" s="230"/>
      <c r="N428" s="230"/>
      <c r="O428" s="230"/>
      <c r="P428" s="230"/>
      <c r="Q428" s="230"/>
      <c r="R428" s="230"/>
      <c r="S428" s="230"/>
      <c r="T428" s="230"/>
      <c r="U428" s="230"/>
    </row>
    <row r="429">
      <c r="J429" s="230"/>
      <c r="K429" s="230"/>
      <c r="L429" s="230"/>
      <c r="M429" s="230"/>
      <c r="N429" s="230"/>
      <c r="O429" s="230"/>
      <c r="P429" s="230"/>
      <c r="Q429" s="230"/>
      <c r="R429" s="230"/>
      <c r="S429" s="230"/>
      <c r="T429" s="230"/>
      <c r="U429" s="230"/>
    </row>
    <row r="430">
      <c r="J430" s="230"/>
      <c r="K430" s="230"/>
      <c r="L430" s="230"/>
      <c r="M430" s="230"/>
      <c r="N430" s="230"/>
      <c r="O430" s="230"/>
      <c r="P430" s="230"/>
      <c r="Q430" s="230"/>
      <c r="R430" s="230"/>
      <c r="S430" s="230"/>
      <c r="T430" s="230"/>
      <c r="U430" s="230"/>
    </row>
    <row r="431">
      <c r="J431" s="230"/>
      <c r="K431" s="230"/>
      <c r="L431" s="230"/>
      <c r="M431" s="230"/>
      <c r="N431" s="230"/>
      <c r="O431" s="230"/>
      <c r="P431" s="230"/>
      <c r="Q431" s="230"/>
      <c r="R431" s="230"/>
      <c r="S431" s="230"/>
      <c r="T431" s="230"/>
      <c r="U431" s="230"/>
    </row>
    <row r="432">
      <c r="J432" s="230"/>
      <c r="K432" s="230"/>
      <c r="L432" s="230"/>
      <c r="M432" s="230"/>
      <c r="N432" s="230"/>
      <c r="O432" s="230"/>
      <c r="P432" s="230"/>
      <c r="Q432" s="230"/>
      <c r="R432" s="230"/>
      <c r="S432" s="230"/>
      <c r="T432" s="230"/>
      <c r="U432" s="230"/>
    </row>
    <row r="433">
      <c r="J433" s="230"/>
      <c r="K433" s="230"/>
      <c r="L433" s="230"/>
      <c r="M433" s="230"/>
      <c r="N433" s="230"/>
      <c r="O433" s="230"/>
      <c r="P433" s="230"/>
      <c r="Q433" s="230"/>
      <c r="R433" s="230"/>
      <c r="S433" s="230"/>
      <c r="T433" s="230"/>
      <c r="U433" s="230"/>
    </row>
    <row r="434">
      <c r="J434" s="230"/>
      <c r="K434" s="230"/>
      <c r="L434" s="230"/>
      <c r="M434" s="230"/>
      <c r="N434" s="230"/>
      <c r="O434" s="230"/>
      <c r="P434" s="230"/>
      <c r="Q434" s="230"/>
      <c r="R434" s="230"/>
      <c r="S434" s="230"/>
      <c r="T434" s="230"/>
      <c r="U434" s="230"/>
    </row>
    <row r="435">
      <c r="J435" s="230"/>
      <c r="K435" s="230"/>
      <c r="L435" s="230"/>
      <c r="M435" s="230"/>
      <c r="N435" s="230"/>
      <c r="O435" s="230"/>
      <c r="P435" s="230"/>
      <c r="Q435" s="230"/>
      <c r="R435" s="230"/>
      <c r="S435" s="230"/>
      <c r="T435" s="230"/>
      <c r="U435" s="230"/>
    </row>
    <row r="436">
      <c r="J436" s="230"/>
      <c r="K436" s="230"/>
      <c r="L436" s="230"/>
      <c r="M436" s="230"/>
      <c r="N436" s="230"/>
      <c r="O436" s="230"/>
      <c r="P436" s="230"/>
      <c r="Q436" s="230"/>
      <c r="R436" s="230"/>
      <c r="S436" s="230"/>
      <c r="T436" s="230"/>
      <c r="U436" s="230"/>
    </row>
    <row r="437">
      <c r="J437" s="230"/>
      <c r="K437" s="230"/>
      <c r="L437" s="230"/>
      <c r="M437" s="230"/>
      <c r="N437" s="230"/>
      <c r="O437" s="230"/>
      <c r="P437" s="230"/>
      <c r="Q437" s="230"/>
      <c r="R437" s="230"/>
      <c r="S437" s="230"/>
      <c r="T437" s="230"/>
      <c r="U437" s="230"/>
    </row>
    <row r="438">
      <c r="J438" s="230"/>
      <c r="K438" s="230"/>
      <c r="L438" s="230"/>
      <c r="M438" s="230"/>
      <c r="N438" s="230"/>
      <c r="O438" s="230"/>
      <c r="P438" s="230"/>
      <c r="Q438" s="230"/>
      <c r="R438" s="230"/>
      <c r="S438" s="230"/>
      <c r="T438" s="230"/>
      <c r="U438" s="230"/>
    </row>
    <row r="439">
      <c r="J439" s="230"/>
      <c r="K439" s="230"/>
      <c r="L439" s="230"/>
      <c r="M439" s="230"/>
      <c r="N439" s="230"/>
      <c r="O439" s="230"/>
      <c r="P439" s="230"/>
      <c r="Q439" s="230"/>
      <c r="R439" s="230"/>
      <c r="S439" s="230"/>
      <c r="T439" s="230"/>
      <c r="U439" s="230"/>
    </row>
    <row r="440">
      <c r="J440" s="230"/>
      <c r="K440" s="230"/>
      <c r="L440" s="230"/>
      <c r="M440" s="230"/>
      <c r="N440" s="230"/>
      <c r="O440" s="230"/>
      <c r="P440" s="230"/>
      <c r="Q440" s="230"/>
      <c r="R440" s="230"/>
      <c r="S440" s="230"/>
      <c r="T440" s="230"/>
      <c r="U440" s="230"/>
    </row>
    <row r="441">
      <c r="J441" s="230"/>
      <c r="K441" s="230"/>
      <c r="L441" s="230"/>
      <c r="M441" s="230"/>
      <c r="N441" s="230"/>
      <c r="O441" s="230"/>
      <c r="P441" s="230"/>
      <c r="Q441" s="230"/>
      <c r="R441" s="230"/>
      <c r="S441" s="230"/>
      <c r="T441" s="230"/>
      <c r="U441" s="230"/>
    </row>
    <row r="442">
      <c r="J442" s="230"/>
      <c r="K442" s="230"/>
      <c r="L442" s="230"/>
      <c r="M442" s="230"/>
      <c r="N442" s="230"/>
      <c r="O442" s="230"/>
      <c r="P442" s="230"/>
      <c r="Q442" s="230"/>
      <c r="R442" s="230"/>
      <c r="S442" s="230"/>
      <c r="T442" s="230"/>
      <c r="U442" s="230"/>
    </row>
    <row r="443">
      <c r="J443" s="230"/>
      <c r="K443" s="230"/>
      <c r="L443" s="230"/>
      <c r="M443" s="230"/>
      <c r="N443" s="230"/>
      <c r="O443" s="230"/>
      <c r="P443" s="230"/>
      <c r="Q443" s="230"/>
      <c r="R443" s="230"/>
      <c r="S443" s="230"/>
      <c r="T443" s="230"/>
      <c r="U443" s="230"/>
    </row>
    <row r="444">
      <c r="J444" s="230"/>
      <c r="K444" s="230"/>
      <c r="L444" s="230"/>
      <c r="M444" s="230"/>
      <c r="N444" s="230"/>
      <c r="O444" s="230"/>
      <c r="P444" s="230"/>
      <c r="Q444" s="230"/>
      <c r="R444" s="230"/>
      <c r="S444" s="230"/>
      <c r="T444" s="230"/>
      <c r="U444" s="230"/>
    </row>
    <row r="445">
      <c r="J445" s="230"/>
      <c r="K445" s="230"/>
      <c r="L445" s="230"/>
      <c r="M445" s="230"/>
      <c r="N445" s="230"/>
      <c r="O445" s="230"/>
      <c r="P445" s="230"/>
      <c r="Q445" s="230"/>
      <c r="R445" s="230"/>
      <c r="S445" s="230"/>
      <c r="T445" s="230"/>
      <c r="U445" s="230"/>
    </row>
    <row r="446">
      <c r="J446" s="230"/>
      <c r="K446" s="230"/>
      <c r="L446" s="230"/>
      <c r="M446" s="230"/>
      <c r="N446" s="230"/>
      <c r="O446" s="230"/>
      <c r="P446" s="230"/>
      <c r="Q446" s="230"/>
      <c r="R446" s="230"/>
      <c r="S446" s="230"/>
      <c r="T446" s="230"/>
      <c r="U446" s="230"/>
    </row>
    <row r="447">
      <c r="J447" s="230"/>
      <c r="K447" s="230"/>
      <c r="L447" s="230"/>
      <c r="M447" s="230"/>
      <c r="N447" s="230"/>
      <c r="O447" s="230"/>
      <c r="P447" s="230"/>
      <c r="Q447" s="230"/>
      <c r="R447" s="230"/>
      <c r="S447" s="230"/>
      <c r="T447" s="230"/>
      <c r="U447" s="230"/>
    </row>
    <row r="448">
      <c r="J448" s="230"/>
      <c r="K448" s="230"/>
      <c r="L448" s="230"/>
      <c r="M448" s="230"/>
      <c r="N448" s="230"/>
      <c r="O448" s="230"/>
      <c r="P448" s="230"/>
      <c r="Q448" s="230"/>
      <c r="R448" s="230"/>
      <c r="S448" s="230"/>
      <c r="T448" s="230"/>
      <c r="U448" s="230"/>
    </row>
    <row r="449">
      <c r="J449" s="230"/>
      <c r="K449" s="230"/>
      <c r="L449" s="230"/>
      <c r="M449" s="230"/>
      <c r="N449" s="230"/>
      <c r="O449" s="230"/>
      <c r="P449" s="230"/>
      <c r="Q449" s="230"/>
      <c r="R449" s="230"/>
      <c r="S449" s="230"/>
      <c r="T449" s="230"/>
      <c r="U449" s="230"/>
    </row>
    <row r="450">
      <c r="J450" s="230"/>
      <c r="K450" s="230"/>
      <c r="L450" s="230"/>
      <c r="M450" s="230"/>
      <c r="N450" s="230"/>
      <c r="O450" s="230"/>
      <c r="P450" s="230"/>
      <c r="Q450" s="230"/>
      <c r="R450" s="230"/>
      <c r="S450" s="230"/>
      <c r="T450" s="230"/>
      <c r="U450" s="230"/>
    </row>
    <row r="451">
      <c r="J451" s="230"/>
      <c r="K451" s="230"/>
      <c r="L451" s="230"/>
      <c r="M451" s="230"/>
      <c r="N451" s="230"/>
      <c r="O451" s="230"/>
      <c r="P451" s="230"/>
      <c r="Q451" s="230"/>
      <c r="R451" s="230"/>
      <c r="S451" s="230"/>
      <c r="T451" s="230"/>
      <c r="U451" s="230"/>
    </row>
    <row r="452">
      <c r="J452" s="230"/>
      <c r="K452" s="230"/>
      <c r="L452" s="230"/>
      <c r="M452" s="230"/>
      <c r="N452" s="230"/>
      <c r="O452" s="230"/>
      <c r="P452" s="230"/>
      <c r="Q452" s="230"/>
      <c r="R452" s="230"/>
      <c r="S452" s="230"/>
      <c r="T452" s="230"/>
      <c r="U452" s="230"/>
    </row>
    <row r="453">
      <c r="J453" s="230"/>
      <c r="K453" s="230"/>
      <c r="L453" s="230"/>
      <c r="M453" s="230"/>
      <c r="N453" s="230"/>
      <c r="O453" s="230"/>
      <c r="P453" s="230"/>
      <c r="Q453" s="230"/>
      <c r="R453" s="230"/>
      <c r="S453" s="230"/>
      <c r="T453" s="230"/>
      <c r="U453" s="230"/>
    </row>
    <row r="454">
      <c r="J454" s="230"/>
      <c r="K454" s="230"/>
      <c r="L454" s="230"/>
      <c r="M454" s="230"/>
      <c r="N454" s="230"/>
      <c r="O454" s="230"/>
      <c r="P454" s="230"/>
      <c r="Q454" s="230"/>
      <c r="R454" s="230"/>
      <c r="S454" s="230"/>
      <c r="T454" s="230"/>
      <c r="U454" s="230"/>
    </row>
    <row r="455">
      <c r="J455" s="230"/>
      <c r="K455" s="230"/>
      <c r="L455" s="230"/>
      <c r="M455" s="230"/>
      <c r="N455" s="230"/>
      <c r="O455" s="230"/>
      <c r="P455" s="230"/>
      <c r="Q455" s="230"/>
      <c r="R455" s="230"/>
      <c r="S455" s="230"/>
      <c r="T455" s="230"/>
      <c r="U455" s="230"/>
    </row>
    <row r="456">
      <c r="J456" s="230"/>
      <c r="K456" s="230"/>
      <c r="L456" s="230"/>
      <c r="M456" s="230"/>
      <c r="N456" s="230"/>
      <c r="O456" s="230"/>
      <c r="P456" s="230"/>
      <c r="Q456" s="230"/>
      <c r="R456" s="230"/>
      <c r="S456" s="230"/>
      <c r="T456" s="230"/>
      <c r="U456" s="230"/>
    </row>
    <row r="457">
      <c r="J457" s="230"/>
      <c r="K457" s="230"/>
      <c r="L457" s="230"/>
      <c r="M457" s="230"/>
      <c r="N457" s="230"/>
      <c r="O457" s="230"/>
      <c r="P457" s="230"/>
      <c r="Q457" s="230"/>
      <c r="R457" s="230"/>
      <c r="S457" s="230"/>
      <c r="T457" s="230"/>
      <c r="U457" s="230"/>
    </row>
    <row r="458">
      <c r="J458" s="230"/>
      <c r="K458" s="230"/>
      <c r="L458" s="230"/>
      <c r="M458" s="230"/>
      <c r="N458" s="230"/>
      <c r="O458" s="230"/>
      <c r="P458" s="230"/>
      <c r="Q458" s="230"/>
      <c r="R458" s="230"/>
      <c r="S458" s="230"/>
      <c r="T458" s="230"/>
      <c r="U458" s="230"/>
    </row>
    <row r="459">
      <c r="J459" s="230"/>
      <c r="K459" s="230"/>
      <c r="L459" s="230"/>
      <c r="M459" s="230"/>
      <c r="N459" s="230"/>
      <c r="O459" s="230"/>
      <c r="P459" s="230"/>
      <c r="Q459" s="230"/>
      <c r="R459" s="230"/>
      <c r="S459" s="230"/>
      <c r="T459" s="230"/>
      <c r="U459" s="230"/>
    </row>
    <row r="460">
      <c r="J460" s="230"/>
      <c r="K460" s="230"/>
      <c r="L460" s="230"/>
      <c r="M460" s="230"/>
      <c r="N460" s="230"/>
      <c r="O460" s="230"/>
      <c r="P460" s="230"/>
      <c r="Q460" s="230"/>
      <c r="R460" s="230"/>
      <c r="S460" s="230"/>
      <c r="T460" s="230"/>
      <c r="U460" s="230"/>
    </row>
    <row r="461">
      <c r="J461" s="230"/>
      <c r="K461" s="230"/>
      <c r="L461" s="230"/>
      <c r="M461" s="230"/>
      <c r="N461" s="230"/>
      <c r="O461" s="230"/>
      <c r="P461" s="230"/>
      <c r="Q461" s="230"/>
      <c r="R461" s="230"/>
      <c r="S461" s="230"/>
      <c r="T461" s="230"/>
      <c r="U461" s="230"/>
    </row>
    <row r="462">
      <c r="J462" s="230"/>
      <c r="K462" s="230"/>
      <c r="L462" s="230"/>
      <c r="M462" s="230"/>
      <c r="N462" s="230"/>
      <c r="O462" s="230"/>
      <c r="P462" s="230"/>
      <c r="Q462" s="230"/>
      <c r="R462" s="230"/>
      <c r="S462" s="230"/>
      <c r="T462" s="230"/>
      <c r="U462" s="230"/>
    </row>
    <row r="463">
      <c r="J463" s="230"/>
      <c r="K463" s="230"/>
      <c r="L463" s="230"/>
      <c r="M463" s="230"/>
      <c r="N463" s="230"/>
      <c r="O463" s="230"/>
      <c r="P463" s="230"/>
      <c r="Q463" s="230"/>
      <c r="R463" s="230"/>
      <c r="S463" s="230"/>
      <c r="T463" s="230"/>
      <c r="U463" s="230"/>
    </row>
    <row r="464">
      <c r="J464" s="230"/>
      <c r="K464" s="230"/>
      <c r="L464" s="230"/>
      <c r="M464" s="230"/>
      <c r="N464" s="230"/>
      <c r="O464" s="230"/>
      <c r="P464" s="230"/>
      <c r="Q464" s="230"/>
      <c r="R464" s="230"/>
      <c r="S464" s="230"/>
      <c r="T464" s="230"/>
      <c r="U464" s="230"/>
    </row>
    <row r="465">
      <c r="J465" s="230"/>
      <c r="K465" s="230"/>
      <c r="L465" s="230"/>
      <c r="M465" s="230"/>
      <c r="N465" s="230"/>
      <c r="O465" s="230"/>
      <c r="P465" s="230"/>
      <c r="Q465" s="230"/>
      <c r="R465" s="230"/>
      <c r="S465" s="230"/>
      <c r="T465" s="230"/>
      <c r="U465" s="230"/>
    </row>
    <row r="466">
      <c r="J466" s="230"/>
      <c r="K466" s="230"/>
      <c r="L466" s="230"/>
      <c r="M466" s="230"/>
      <c r="N466" s="230"/>
      <c r="O466" s="230"/>
      <c r="P466" s="230"/>
      <c r="Q466" s="230"/>
      <c r="R466" s="230"/>
      <c r="S466" s="230"/>
      <c r="T466" s="230"/>
      <c r="U466" s="230"/>
    </row>
    <row r="467">
      <c r="J467" s="230"/>
      <c r="K467" s="230"/>
      <c r="L467" s="230"/>
      <c r="M467" s="230"/>
      <c r="N467" s="230"/>
      <c r="O467" s="230"/>
      <c r="P467" s="230"/>
      <c r="Q467" s="230"/>
      <c r="R467" s="230"/>
      <c r="S467" s="230"/>
      <c r="T467" s="230"/>
      <c r="U467" s="230"/>
    </row>
    <row r="468">
      <c r="J468" s="230"/>
      <c r="K468" s="230"/>
      <c r="L468" s="230"/>
      <c r="M468" s="230"/>
      <c r="N468" s="230"/>
      <c r="O468" s="230"/>
      <c r="P468" s="230"/>
      <c r="Q468" s="230"/>
      <c r="R468" s="230"/>
      <c r="S468" s="230"/>
      <c r="T468" s="230"/>
      <c r="U468" s="230"/>
    </row>
    <row r="469">
      <c r="J469" s="230"/>
      <c r="K469" s="230"/>
      <c r="L469" s="230"/>
      <c r="M469" s="230"/>
      <c r="N469" s="230"/>
      <c r="O469" s="230"/>
      <c r="P469" s="230"/>
      <c r="Q469" s="230"/>
      <c r="R469" s="230"/>
      <c r="S469" s="230"/>
      <c r="T469" s="230"/>
      <c r="U469" s="230"/>
    </row>
    <row r="470">
      <c r="J470" s="230"/>
      <c r="K470" s="230"/>
      <c r="L470" s="230"/>
      <c r="M470" s="230"/>
      <c r="N470" s="230"/>
      <c r="O470" s="230"/>
      <c r="P470" s="230"/>
      <c r="Q470" s="230"/>
      <c r="R470" s="230"/>
      <c r="S470" s="230"/>
      <c r="T470" s="230"/>
      <c r="U470" s="230"/>
    </row>
    <row r="471">
      <c r="J471" s="230"/>
      <c r="K471" s="230"/>
      <c r="L471" s="230"/>
      <c r="M471" s="230"/>
      <c r="N471" s="230"/>
      <c r="O471" s="230"/>
      <c r="P471" s="230"/>
      <c r="Q471" s="230"/>
      <c r="R471" s="230"/>
      <c r="S471" s="230"/>
      <c r="T471" s="230"/>
      <c r="U471" s="230"/>
    </row>
    <row r="472">
      <c r="J472" s="230"/>
      <c r="K472" s="230"/>
      <c r="L472" s="230"/>
      <c r="M472" s="230"/>
      <c r="N472" s="230"/>
      <c r="O472" s="230"/>
      <c r="P472" s="230"/>
      <c r="Q472" s="230"/>
      <c r="R472" s="230"/>
      <c r="S472" s="230"/>
      <c r="T472" s="230"/>
      <c r="U472" s="230"/>
    </row>
    <row r="473">
      <c r="J473" s="230"/>
      <c r="K473" s="230"/>
      <c r="L473" s="230"/>
      <c r="M473" s="230"/>
      <c r="N473" s="230"/>
      <c r="O473" s="230"/>
      <c r="P473" s="230"/>
      <c r="Q473" s="230"/>
      <c r="R473" s="230"/>
      <c r="S473" s="230"/>
      <c r="T473" s="230"/>
      <c r="U473" s="230"/>
    </row>
    <row r="474">
      <c r="J474" s="230"/>
      <c r="K474" s="230"/>
      <c r="L474" s="230"/>
      <c r="M474" s="230"/>
      <c r="N474" s="230"/>
      <c r="O474" s="230"/>
      <c r="P474" s="230"/>
      <c r="Q474" s="230"/>
      <c r="R474" s="230"/>
      <c r="S474" s="230"/>
      <c r="T474" s="230"/>
      <c r="U474" s="230"/>
    </row>
    <row r="475">
      <c r="J475" s="230"/>
      <c r="K475" s="230"/>
      <c r="L475" s="230"/>
      <c r="M475" s="230"/>
      <c r="N475" s="230"/>
      <c r="O475" s="230"/>
      <c r="P475" s="230"/>
      <c r="Q475" s="230"/>
      <c r="R475" s="230"/>
      <c r="S475" s="230"/>
      <c r="T475" s="230"/>
      <c r="U475" s="230"/>
    </row>
    <row r="476">
      <c r="J476" s="230"/>
      <c r="K476" s="230"/>
      <c r="L476" s="230"/>
      <c r="M476" s="230"/>
      <c r="N476" s="230"/>
      <c r="O476" s="230"/>
      <c r="P476" s="230"/>
      <c r="Q476" s="230"/>
      <c r="R476" s="230"/>
      <c r="S476" s="230"/>
      <c r="T476" s="230"/>
      <c r="U476" s="230"/>
    </row>
    <row r="477">
      <c r="J477" s="230"/>
      <c r="K477" s="230"/>
      <c r="L477" s="230"/>
      <c r="M477" s="230"/>
      <c r="N477" s="230"/>
      <c r="O477" s="230"/>
      <c r="P477" s="230"/>
      <c r="Q477" s="230"/>
      <c r="R477" s="230"/>
      <c r="S477" s="230"/>
      <c r="T477" s="230"/>
      <c r="U477" s="230"/>
    </row>
    <row r="478">
      <c r="J478" s="230"/>
      <c r="K478" s="230"/>
      <c r="L478" s="230"/>
      <c r="M478" s="230"/>
      <c r="N478" s="230"/>
      <c r="O478" s="230"/>
      <c r="P478" s="230"/>
      <c r="Q478" s="230"/>
      <c r="R478" s="230"/>
      <c r="S478" s="230"/>
      <c r="T478" s="230"/>
      <c r="U478" s="230"/>
    </row>
    <row r="479">
      <c r="J479" s="230"/>
      <c r="K479" s="230"/>
      <c r="L479" s="230"/>
      <c r="M479" s="230"/>
      <c r="N479" s="230"/>
      <c r="O479" s="230"/>
      <c r="P479" s="230"/>
      <c r="Q479" s="230"/>
      <c r="R479" s="230"/>
      <c r="S479" s="230"/>
      <c r="T479" s="230"/>
      <c r="U479" s="230"/>
    </row>
    <row r="480">
      <c r="J480" s="230"/>
      <c r="K480" s="230"/>
      <c r="L480" s="230"/>
      <c r="M480" s="230"/>
      <c r="N480" s="230"/>
      <c r="O480" s="230"/>
      <c r="P480" s="230"/>
      <c r="Q480" s="230"/>
      <c r="R480" s="230"/>
      <c r="S480" s="230"/>
      <c r="T480" s="230"/>
      <c r="U480" s="230"/>
    </row>
    <row r="481">
      <c r="J481" s="230"/>
      <c r="K481" s="230"/>
      <c r="L481" s="230"/>
      <c r="M481" s="230"/>
      <c r="N481" s="230"/>
      <c r="O481" s="230"/>
      <c r="P481" s="230"/>
      <c r="Q481" s="230"/>
      <c r="R481" s="230"/>
      <c r="S481" s="230"/>
      <c r="T481" s="230"/>
      <c r="U481" s="230"/>
    </row>
    <row r="482">
      <c r="J482" s="230"/>
      <c r="K482" s="230"/>
      <c r="L482" s="230"/>
      <c r="M482" s="230"/>
      <c r="N482" s="230"/>
      <c r="O482" s="230"/>
      <c r="P482" s="230"/>
      <c r="Q482" s="230"/>
      <c r="R482" s="230"/>
      <c r="S482" s="230"/>
      <c r="T482" s="230"/>
      <c r="U482" s="230"/>
    </row>
    <row r="483">
      <c r="J483" s="230"/>
      <c r="K483" s="230"/>
      <c r="L483" s="230"/>
      <c r="M483" s="230"/>
      <c r="N483" s="230"/>
      <c r="O483" s="230"/>
      <c r="P483" s="230"/>
      <c r="Q483" s="230"/>
      <c r="R483" s="230"/>
      <c r="S483" s="230"/>
      <c r="T483" s="230"/>
      <c r="U483" s="230"/>
    </row>
    <row r="484">
      <c r="J484" s="230"/>
      <c r="K484" s="230"/>
      <c r="L484" s="230"/>
      <c r="M484" s="230"/>
      <c r="N484" s="230"/>
      <c r="O484" s="230"/>
      <c r="P484" s="230"/>
      <c r="Q484" s="230"/>
      <c r="R484" s="230"/>
      <c r="S484" s="230"/>
      <c r="T484" s="230"/>
      <c r="U484" s="230"/>
    </row>
    <row r="485">
      <c r="J485" s="230"/>
      <c r="K485" s="230"/>
      <c r="L485" s="230"/>
      <c r="M485" s="230"/>
      <c r="N485" s="230"/>
      <c r="O485" s="230"/>
      <c r="P485" s="230"/>
      <c r="Q485" s="230"/>
      <c r="R485" s="230"/>
      <c r="S485" s="230"/>
      <c r="T485" s="230"/>
      <c r="U485" s="230"/>
    </row>
    <row r="486">
      <c r="J486" s="230"/>
      <c r="K486" s="230"/>
      <c r="L486" s="230"/>
      <c r="M486" s="230"/>
      <c r="N486" s="230"/>
      <c r="O486" s="230"/>
      <c r="P486" s="230"/>
      <c r="Q486" s="230"/>
      <c r="R486" s="230"/>
      <c r="S486" s="230"/>
      <c r="T486" s="230"/>
      <c r="U486" s="230"/>
    </row>
    <row r="487">
      <c r="J487" s="230"/>
      <c r="K487" s="230"/>
      <c r="L487" s="230"/>
      <c r="M487" s="230"/>
      <c r="N487" s="230"/>
      <c r="O487" s="230"/>
      <c r="P487" s="230"/>
      <c r="Q487" s="230"/>
      <c r="R487" s="230"/>
      <c r="S487" s="230"/>
      <c r="T487" s="230"/>
      <c r="U487" s="230"/>
    </row>
    <row r="488">
      <c r="J488" s="230"/>
      <c r="K488" s="230"/>
      <c r="L488" s="230"/>
      <c r="M488" s="230"/>
      <c r="N488" s="230"/>
      <c r="O488" s="230"/>
      <c r="P488" s="230"/>
      <c r="Q488" s="230"/>
      <c r="R488" s="230"/>
      <c r="S488" s="230"/>
      <c r="T488" s="230"/>
      <c r="U488" s="230"/>
    </row>
    <row r="489">
      <c r="J489" s="230"/>
      <c r="K489" s="230"/>
      <c r="L489" s="230"/>
      <c r="M489" s="230"/>
      <c r="N489" s="230"/>
      <c r="O489" s="230"/>
      <c r="P489" s="230"/>
      <c r="Q489" s="230"/>
      <c r="R489" s="230"/>
      <c r="S489" s="230"/>
      <c r="T489" s="230"/>
      <c r="U489" s="230"/>
    </row>
    <row r="490">
      <c r="J490" s="230"/>
      <c r="K490" s="230"/>
      <c r="L490" s="230"/>
      <c r="M490" s="230"/>
      <c r="N490" s="230"/>
      <c r="O490" s="230"/>
      <c r="P490" s="230"/>
      <c r="Q490" s="230"/>
      <c r="R490" s="230"/>
      <c r="S490" s="230"/>
      <c r="T490" s="230"/>
      <c r="U490" s="230"/>
    </row>
    <row r="491">
      <c r="J491" s="230"/>
      <c r="K491" s="230"/>
      <c r="L491" s="230"/>
      <c r="M491" s="230"/>
      <c r="N491" s="230"/>
      <c r="O491" s="230"/>
      <c r="P491" s="230"/>
      <c r="Q491" s="230"/>
      <c r="R491" s="230"/>
      <c r="S491" s="230"/>
      <c r="T491" s="230"/>
      <c r="U491" s="230"/>
    </row>
    <row r="492">
      <c r="J492" s="230"/>
      <c r="K492" s="230"/>
      <c r="L492" s="230"/>
      <c r="M492" s="230"/>
      <c r="N492" s="230"/>
      <c r="O492" s="230"/>
      <c r="P492" s="230"/>
      <c r="Q492" s="230"/>
      <c r="R492" s="230"/>
      <c r="S492" s="230"/>
      <c r="T492" s="230"/>
      <c r="U492" s="230"/>
    </row>
    <row r="493">
      <c r="J493" s="230"/>
      <c r="K493" s="230"/>
      <c r="L493" s="230"/>
      <c r="M493" s="230"/>
      <c r="N493" s="230"/>
      <c r="O493" s="230"/>
      <c r="P493" s="230"/>
      <c r="Q493" s="230"/>
      <c r="R493" s="230"/>
      <c r="S493" s="230"/>
      <c r="T493" s="230"/>
      <c r="U493" s="230"/>
    </row>
    <row r="494">
      <c r="J494" s="230"/>
      <c r="K494" s="230"/>
      <c r="L494" s="230"/>
      <c r="M494" s="230"/>
      <c r="N494" s="230"/>
      <c r="O494" s="230"/>
      <c r="P494" s="230"/>
      <c r="Q494" s="230"/>
      <c r="R494" s="230"/>
      <c r="S494" s="230"/>
      <c r="T494" s="230"/>
      <c r="U494" s="230"/>
    </row>
    <row r="495">
      <c r="J495" s="230"/>
      <c r="K495" s="230"/>
      <c r="L495" s="230"/>
      <c r="M495" s="230"/>
      <c r="N495" s="230"/>
      <c r="O495" s="230"/>
      <c r="P495" s="230"/>
      <c r="Q495" s="230"/>
      <c r="R495" s="230"/>
      <c r="S495" s="230"/>
      <c r="T495" s="230"/>
      <c r="U495" s="230"/>
    </row>
    <row r="496">
      <c r="J496" s="230"/>
      <c r="K496" s="230"/>
      <c r="L496" s="230"/>
      <c r="M496" s="230"/>
      <c r="N496" s="230"/>
      <c r="O496" s="230"/>
      <c r="P496" s="230"/>
      <c r="Q496" s="230"/>
      <c r="R496" s="230"/>
      <c r="S496" s="230"/>
      <c r="T496" s="230"/>
      <c r="U496" s="230"/>
    </row>
    <row r="497">
      <c r="J497" s="230"/>
      <c r="K497" s="230"/>
      <c r="L497" s="230"/>
      <c r="M497" s="230"/>
      <c r="N497" s="230"/>
      <c r="O497" s="230"/>
      <c r="P497" s="230"/>
      <c r="Q497" s="230"/>
      <c r="R497" s="230"/>
      <c r="S497" s="230"/>
      <c r="T497" s="230"/>
      <c r="U497" s="230"/>
    </row>
    <row r="498">
      <c r="J498" s="230"/>
      <c r="K498" s="230"/>
      <c r="L498" s="230"/>
      <c r="M498" s="230"/>
      <c r="N498" s="230"/>
      <c r="O498" s="230"/>
      <c r="P498" s="230"/>
      <c r="Q498" s="230"/>
      <c r="R498" s="230"/>
      <c r="S498" s="230"/>
      <c r="T498" s="230"/>
      <c r="U498" s="230"/>
    </row>
    <row r="499">
      <c r="J499" s="230"/>
      <c r="K499" s="230"/>
      <c r="L499" s="230"/>
      <c r="M499" s="230"/>
      <c r="N499" s="230"/>
      <c r="O499" s="230"/>
      <c r="P499" s="230"/>
      <c r="Q499" s="230"/>
      <c r="R499" s="230"/>
      <c r="S499" s="230"/>
      <c r="T499" s="230"/>
      <c r="U499" s="230"/>
    </row>
    <row r="500">
      <c r="J500" s="230"/>
      <c r="K500" s="230"/>
      <c r="L500" s="230"/>
      <c r="M500" s="230"/>
      <c r="N500" s="230"/>
      <c r="O500" s="230"/>
      <c r="P500" s="230"/>
      <c r="Q500" s="230"/>
      <c r="R500" s="230"/>
      <c r="S500" s="230"/>
      <c r="T500" s="230"/>
      <c r="U500" s="230"/>
    </row>
    <row r="501">
      <c r="J501" s="230"/>
      <c r="K501" s="230"/>
      <c r="L501" s="230"/>
      <c r="M501" s="230"/>
      <c r="N501" s="230"/>
      <c r="O501" s="230"/>
      <c r="P501" s="230"/>
      <c r="Q501" s="230"/>
      <c r="R501" s="230"/>
      <c r="S501" s="230"/>
      <c r="T501" s="230"/>
      <c r="U501" s="230"/>
    </row>
    <row r="502">
      <c r="J502" s="230"/>
      <c r="K502" s="230"/>
      <c r="L502" s="230"/>
      <c r="M502" s="230"/>
      <c r="N502" s="230"/>
      <c r="O502" s="230"/>
      <c r="P502" s="230"/>
      <c r="Q502" s="230"/>
      <c r="R502" s="230"/>
      <c r="S502" s="230"/>
      <c r="T502" s="230"/>
      <c r="U502" s="230"/>
    </row>
    <row r="503">
      <c r="J503" s="230"/>
      <c r="K503" s="230"/>
      <c r="L503" s="230"/>
      <c r="M503" s="230"/>
      <c r="N503" s="230"/>
      <c r="O503" s="230"/>
      <c r="P503" s="230"/>
      <c r="Q503" s="230"/>
      <c r="R503" s="230"/>
      <c r="S503" s="230"/>
      <c r="T503" s="230"/>
      <c r="U503" s="230"/>
    </row>
    <row r="504">
      <c r="J504" s="230"/>
      <c r="K504" s="230"/>
      <c r="L504" s="230"/>
      <c r="M504" s="230"/>
      <c r="N504" s="230"/>
      <c r="O504" s="230"/>
      <c r="P504" s="230"/>
      <c r="Q504" s="230"/>
      <c r="R504" s="230"/>
      <c r="S504" s="230"/>
      <c r="T504" s="230"/>
      <c r="U504" s="230"/>
    </row>
    <row r="505">
      <c r="J505" s="230"/>
      <c r="K505" s="230"/>
      <c r="L505" s="230"/>
      <c r="M505" s="230"/>
      <c r="N505" s="230"/>
      <c r="O505" s="230"/>
      <c r="P505" s="230"/>
      <c r="Q505" s="230"/>
      <c r="R505" s="230"/>
      <c r="S505" s="230"/>
      <c r="T505" s="230"/>
      <c r="U505" s="230"/>
    </row>
    <row r="506">
      <c r="J506" s="230"/>
      <c r="K506" s="230"/>
      <c r="L506" s="230"/>
      <c r="M506" s="230"/>
      <c r="N506" s="230"/>
      <c r="O506" s="230"/>
      <c r="P506" s="230"/>
      <c r="Q506" s="230"/>
      <c r="R506" s="230"/>
      <c r="S506" s="230"/>
      <c r="T506" s="230"/>
      <c r="U506" s="230"/>
    </row>
    <row r="507">
      <c r="J507" s="230"/>
      <c r="K507" s="230"/>
      <c r="L507" s="230"/>
      <c r="M507" s="230"/>
      <c r="N507" s="230"/>
      <c r="O507" s="230"/>
      <c r="P507" s="230"/>
      <c r="Q507" s="230"/>
      <c r="R507" s="230"/>
      <c r="S507" s="230"/>
      <c r="T507" s="230"/>
      <c r="U507" s="230"/>
    </row>
    <row r="508">
      <c r="J508" s="230"/>
      <c r="K508" s="230"/>
      <c r="L508" s="230"/>
      <c r="M508" s="230"/>
      <c r="N508" s="230"/>
      <c r="O508" s="230"/>
      <c r="P508" s="230"/>
      <c r="Q508" s="230"/>
      <c r="R508" s="230"/>
      <c r="S508" s="230"/>
      <c r="T508" s="230"/>
      <c r="U508" s="230"/>
    </row>
    <row r="509">
      <c r="J509" s="230"/>
      <c r="K509" s="230"/>
      <c r="L509" s="230"/>
      <c r="M509" s="230"/>
      <c r="N509" s="230"/>
      <c r="O509" s="230"/>
      <c r="P509" s="230"/>
      <c r="Q509" s="230"/>
      <c r="R509" s="230"/>
      <c r="S509" s="230"/>
      <c r="T509" s="230"/>
      <c r="U509" s="230"/>
    </row>
    <row r="510">
      <c r="J510" s="230"/>
      <c r="K510" s="230"/>
      <c r="L510" s="230"/>
      <c r="M510" s="230"/>
      <c r="N510" s="230"/>
      <c r="O510" s="230"/>
      <c r="P510" s="230"/>
      <c r="Q510" s="230"/>
      <c r="R510" s="230"/>
      <c r="S510" s="230"/>
      <c r="T510" s="230"/>
      <c r="U510" s="230"/>
    </row>
    <row r="511">
      <c r="J511" s="230"/>
      <c r="K511" s="230"/>
      <c r="L511" s="230"/>
      <c r="M511" s="230"/>
      <c r="N511" s="230"/>
      <c r="O511" s="230"/>
      <c r="P511" s="230"/>
      <c r="Q511" s="230"/>
      <c r="R511" s="230"/>
      <c r="S511" s="230"/>
      <c r="T511" s="230"/>
      <c r="U511" s="230"/>
    </row>
    <row r="512">
      <c r="J512" s="230"/>
      <c r="K512" s="230"/>
      <c r="L512" s="230"/>
      <c r="M512" s="230"/>
      <c r="N512" s="230"/>
      <c r="O512" s="230"/>
      <c r="P512" s="230"/>
      <c r="Q512" s="230"/>
      <c r="R512" s="230"/>
      <c r="S512" s="230"/>
      <c r="T512" s="230"/>
      <c r="U512" s="230"/>
    </row>
    <row r="513">
      <c r="J513" s="230"/>
      <c r="K513" s="230"/>
      <c r="L513" s="230"/>
      <c r="M513" s="230"/>
      <c r="N513" s="230"/>
      <c r="O513" s="230"/>
      <c r="P513" s="230"/>
      <c r="Q513" s="230"/>
      <c r="R513" s="230"/>
      <c r="S513" s="230"/>
      <c r="T513" s="230"/>
      <c r="U513" s="230"/>
    </row>
    <row r="514">
      <c r="J514" s="230"/>
      <c r="K514" s="230"/>
      <c r="L514" s="230"/>
      <c r="M514" s="230"/>
      <c r="N514" s="230"/>
      <c r="O514" s="230"/>
      <c r="P514" s="230"/>
      <c r="Q514" s="230"/>
      <c r="R514" s="230"/>
      <c r="S514" s="230"/>
      <c r="T514" s="230"/>
      <c r="U514" s="230"/>
    </row>
    <row r="515">
      <c r="J515" s="230"/>
      <c r="K515" s="230"/>
      <c r="L515" s="230"/>
      <c r="M515" s="230"/>
      <c r="N515" s="230"/>
      <c r="O515" s="230"/>
      <c r="P515" s="230"/>
      <c r="Q515" s="230"/>
      <c r="R515" s="230"/>
      <c r="S515" s="230"/>
      <c r="T515" s="230"/>
      <c r="U515" s="230"/>
    </row>
    <row r="516">
      <c r="J516" s="230"/>
      <c r="K516" s="230"/>
      <c r="L516" s="230"/>
      <c r="M516" s="230"/>
      <c r="N516" s="230"/>
      <c r="O516" s="230"/>
      <c r="P516" s="230"/>
      <c r="Q516" s="230"/>
      <c r="R516" s="230"/>
      <c r="S516" s="230"/>
      <c r="T516" s="230"/>
      <c r="U516" s="230"/>
    </row>
    <row r="517">
      <c r="J517" s="230"/>
      <c r="K517" s="230"/>
      <c r="L517" s="230"/>
      <c r="M517" s="230"/>
      <c r="N517" s="230"/>
      <c r="O517" s="230"/>
      <c r="P517" s="230"/>
      <c r="Q517" s="230"/>
      <c r="R517" s="230"/>
      <c r="S517" s="230"/>
      <c r="T517" s="230"/>
      <c r="U517" s="230"/>
    </row>
    <row r="518">
      <c r="J518" s="230"/>
      <c r="K518" s="230"/>
      <c r="L518" s="230"/>
      <c r="M518" s="230"/>
      <c r="N518" s="230"/>
      <c r="O518" s="230"/>
      <c r="P518" s="230"/>
      <c r="Q518" s="230"/>
      <c r="R518" s="230"/>
      <c r="S518" s="230"/>
      <c r="T518" s="230"/>
      <c r="U518" s="230"/>
    </row>
    <row r="519">
      <c r="J519" s="230"/>
      <c r="K519" s="230"/>
      <c r="L519" s="230"/>
      <c r="M519" s="230"/>
      <c r="N519" s="230"/>
      <c r="O519" s="230"/>
      <c r="P519" s="230"/>
      <c r="Q519" s="230"/>
      <c r="R519" s="230"/>
      <c r="S519" s="230"/>
      <c r="T519" s="230"/>
      <c r="U519" s="230"/>
    </row>
    <row r="520">
      <c r="J520" s="230"/>
      <c r="K520" s="230"/>
      <c r="L520" s="230"/>
      <c r="M520" s="230"/>
      <c r="N520" s="230"/>
      <c r="O520" s="230"/>
      <c r="P520" s="230"/>
      <c r="Q520" s="230"/>
      <c r="R520" s="230"/>
      <c r="S520" s="230"/>
      <c r="T520" s="230"/>
      <c r="U520" s="230"/>
    </row>
    <row r="521">
      <c r="J521" s="230"/>
      <c r="K521" s="230"/>
      <c r="L521" s="230"/>
      <c r="M521" s="230"/>
      <c r="N521" s="230"/>
      <c r="O521" s="230"/>
      <c r="P521" s="230"/>
      <c r="Q521" s="230"/>
      <c r="R521" s="230"/>
      <c r="S521" s="230"/>
      <c r="T521" s="230"/>
      <c r="U521" s="230"/>
    </row>
    <row r="522">
      <c r="J522" s="230"/>
      <c r="K522" s="230"/>
      <c r="L522" s="230"/>
      <c r="M522" s="230"/>
      <c r="N522" s="230"/>
      <c r="O522" s="230"/>
      <c r="P522" s="230"/>
      <c r="Q522" s="230"/>
      <c r="R522" s="230"/>
      <c r="S522" s="230"/>
      <c r="T522" s="230"/>
      <c r="U522" s="230"/>
    </row>
    <row r="523">
      <c r="J523" s="230"/>
      <c r="K523" s="230"/>
      <c r="L523" s="230"/>
      <c r="M523" s="230"/>
      <c r="N523" s="230"/>
      <c r="O523" s="230"/>
      <c r="P523" s="230"/>
      <c r="Q523" s="230"/>
      <c r="R523" s="230"/>
      <c r="S523" s="230"/>
      <c r="T523" s="230"/>
      <c r="U523" s="230"/>
    </row>
    <row r="524">
      <c r="J524" s="230"/>
      <c r="K524" s="230"/>
      <c r="L524" s="230"/>
      <c r="M524" s="230"/>
      <c r="N524" s="230"/>
      <c r="O524" s="230"/>
      <c r="P524" s="230"/>
      <c r="Q524" s="230"/>
      <c r="R524" s="230"/>
      <c r="S524" s="230"/>
      <c r="T524" s="230"/>
      <c r="U524" s="230"/>
    </row>
    <row r="525">
      <c r="J525" s="230"/>
      <c r="K525" s="230"/>
      <c r="L525" s="230"/>
      <c r="M525" s="230"/>
      <c r="N525" s="230"/>
      <c r="O525" s="230"/>
      <c r="P525" s="230"/>
      <c r="Q525" s="230"/>
      <c r="R525" s="230"/>
      <c r="S525" s="230"/>
      <c r="T525" s="230"/>
      <c r="U525" s="230"/>
    </row>
    <row r="526">
      <c r="J526" s="230"/>
      <c r="K526" s="230"/>
      <c r="L526" s="230"/>
      <c r="M526" s="230"/>
      <c r="N526" s="230"/>
      <c r="O526" s="230"/>
      <c r="P526" s="230"/>
      <c r="Q526" s="230"/>
      <c r="R526" s="230"/>
      <c r="S526" s="230"/>
      <c r="T526" s="230"/>
      <c r="U526" s="230"/>
    </row>
    <row r="527">
      <c r="J527" s="230"/>
      <c r="K527" s="230"/>
      <c r="L527" s="230"/>
      <c r="M527" s="230"/>
      <c r="N527" s="230"/>
      <c r="O527" s="230"/>
      <c r="P527" s="230"/>
      <c r="Q527" s="230"/>
      <c r="R527" s="230"/>
      <c r="S527" s="230"/>
      <c r="T527" s="230"/>
      <c r="U527" s="230"/>
    </row>
    <row r="528">
      <c r="J528" s="230"/>
      <c r="K528" s="230"/>
      <c r="L528" s="230"/>
      <c r="M528" s="230"/>
      <c r="N528" s="230"/>
      <c r="O528" s="230"/>
      <c r="P528" s="230"/>
      <c r="Q528" s="230"/>
      <c r="R528" s="230"/>
      <c r="S528" s="230"/>
      <c r="T528" s="230"/>
      <c r="U528" s="230"/>
    </row>
    <row r="529">
      <c r="J529" s="230"/>
      <c r="K529" s="230"/>
      <c r="L529" s="230"/>
      <c r="M529" s="230"/>
      <c r="N529" s="230"/>
      <c r="O529" s="230"/>
      <c r="P529" s="230"/>
      <c r="Q529" s="230"/>
      <c r="R529" s="230"/>
      <c r="S529" s="230"/>
      <c r="T529" s="230"/>
      <c r="U529" s="230"/>
    </row>
    <row r="530">
      <c r="J530" s="230"/>
      <c r="K530" s="230"/>
      <c r="L530" s="230"/>
      <c r="M530" s="230"/>
      <c r="N530" s="230"/>
      <c r="O530" s="230"/>
      <c r="P530" s="230"/>
      <c r="Q530" s="230"/>
      <c r="R530" s="230"/>
      <c r="S530" s="230"/>
      <c r="T530" s="230"/>
      <c r="U530" s="230"/>
    </row>
    <row r="531">
      <c r="J531" s="230"/>
      <c r="K531" s="230"/>
      <c r="L531" s="230"/>
      <c r="M531" s="230"/>
      <c r="N531" s="230"/>
      <c r="O531" s="230"/>
      <c r="P531" s="230"/>
      <c r="Q531" s="230"/>
      <c r="R531" s="230"/>
      <c r="S531" s="230"/>
      <c r="T531" s="230"/>
      <c r="U531" s="230"/>
    </row>
    <row r="532">
      <c r="J532" s="230"/>
      <c r="K532" s="230"/>
      <c r="L532" s="230"/>
      <c r="M532" s="230"/>
      <c r="N532" s="230"/>
      <c r="O532" s="230"/>
      <c r="P532" s="230"/>
      <c r="Q532" s="230"/>
      <c r="R532" s="230"/>
      <c r="S532" s="230"/>
      <c r="T532" s="230"/>
      <c r="U532" s="230"/>
    </row>
    <row r="533">
      <c r="J533" s="230"/>
      <c r="K533" s="230"/>
      <c r="L533" s="230"/>
      <c r="M533" s="230"/>
      <c r="N533" s="230"/>
      <c r="O533" s="230"/>
      <c r="P533" s="230"/>
      <c r="Q533" s="230"/>
      <c r="R533" s="230"/>
      <c r="S533" s="230"/>
      <c r="T533" s="230"/>
      <c r="U533" s="230"/>
    </row>
    <row r="534">
      <c r="J534" s="230"/>
      <c r="K534" s="230"/>
      <c r="L534" s="230"/>
      <c r="M534" s="230"/>
      <c r="N534" s="230"/>
      <c r="O534" s="230"/>
      <c r="P534" s="230"/>
      <c r="Q534" s="230"/>
      <c r="R534" s="230"/>
      <c r="S534" s="230"/>
      <c r="T534" s="230"/>
      <c r="U534" s="230"/>
    </row>
    <row r="535">
      <c r="J535" s="230"/>
      <c r="K535" s="230"/>
      <c r="L535" s="230"/>
      <c r="M535" s="230"/>
      <c r="N535" s="230"/>
      <c r="O535" s="230"/>
      <c r="P535" s="230"/>
      <c r="Q535" s="230"/>
      <c r="R535" s="230"/>
      <c r="S535" s="230"/>
      <c r="T535" s="230"/>
      <c r="U535" s="230"/>
    </row>
    <row r="536">
      <c r="J536" s="230"/>
      <c r="K536" s="230"/>
      <c r="L536" s="230"/>
      <c r="M536" s="230"/>
      <c r="N536" s="230"/>
      <c r="O536" s="230"/>
      <c r="P536" s="230"/>
      <c r="Q536" s="230"/>
      <c r="R536" s="230"/>
      <c r="S536" s="230"/>
      <c r="T536" s="230"/>
      <c r="U536" s="230"/>
    </row>
    <row r="537">
      <c r="J537" s="230"/>
      <c r="K537" s="230"/>
      <c r="L537" s="230"/>
      <c r="M537" s="230"/>
      <c r="N537" s="230"/>
      <c r="O537" s="230"/>
      <c r="P537" s="230"/>
      <c r="Q537" s="230"/>
      <c r="R537" s="230"/>
      <c r="S537" s="230"/>
      <c r="T537" s="230"/>
      <c r="U537" s="230"/>
    </row>
    <row r="538">
      <c r="J538" s="230"/>
      <c r="K538" s="230"/>
      <c r="L538" s="230"/>
      <c r="M538" s="230"/>
      <c r="N538" s="230"/>
      <c r="O538" s="230"/>
      <c r="P538" s="230"/>
      <c r="Q538" s="230"/>
      <c r="R538" s="230"/>
      <c r="S538" s="230"/>
      <c r="T538" s="230"/>
      <c r="U538" s="230"/>
    </row>
    <row r="539">
      <c r="J539" s="230"/>
      <c r="K539" s="230"/>
      <c r="L539" s="230"/>
      <c r="M539" s="230"/>
      <c r="N539" s="230"/>
      <c r="O539" s="230"/>
      <c r="P539" s="230"/>
      <c r="Q539" s="230"/>
      <c r="R539" s="230"/>
      <c r="S539" s="230"/>
      <c r="T539" s="230"/>
      <c r="U539" s="230"/>
    </row>
    <row r="540">
      <c r="J540" s="230"/>
      <c r="K540" s="230"/>
      <c r="L540" s="230"/>
      <c r="M540" s="230"/>
      <c r="N540" s="230"/>
      <c r="O540" s="230"/>
      <c r="P540" s="230"/>
      <c r="Q540" s="230"/>
      <c r="R540" s="230"/>
      <c r="S540" s="230"/>
      <c r="T540" s="230"/>
      <c r="U540" s="230"/>
    </row>
    <row r="541">
      <c r="J541" s="230"/>
      <c r="K541" s="230"/>
      <c r="L541" s="230"/>
      <c r="M541" s="230"/>
      <c r="N541" s="230"/>
      <c r="O541" s="230"/>
      <c r="P541" s="230"/>
      <c r="Q541" s="230"/>
      <c r="R541" s="230"/>
      <c r="S541" s="230"/>
      <c r="T541" s="230"/>
      <c r="U541" s="230"/>
    </row>
    <row r="542">
      <c r="J542" s="230"/>
      <c r="K542" s="230"/>
      <c r="L542" s="230"/>
      <c r="M542" s="230"/>
      <c r="N542" s="230"/>
      <c r="O542" s="230"/>
      <c r="P542" s="230"/>
      <c r="Q542" s="230"/>
      <c r="R542" s="230"/>
      <c r="S542" s="230"/>
      <c r="T542" s="230"/>
      <c r="U542" s="230"/>
    </row>
    <row r="543">
      <c r="J543" s="230"/>
      <c r="K543" s="230"/>
      <c r="L543" s="230"/>
      <c r="M543" s="230"/>
      <c r="N543" s="230"/>
      <c r="O543" s="230"/>
      <c r="P543" s="230"/>
      <c r="Q543" s="230"/>
      <c r="R543" s="230"/>
      <c r="S543" s="230"/>
      <c r="T543" s="230"/>
      <c r="U543" s="230"/>
    </row>
    <row r="544">
      <c r="J544" s="230"/>
      <c r="K544" s="230"/>
      <c r="L544" s="230"/>
      <c r="M544" s="230"/>
      <c r="N544" s="230"/>
      <c r="O544" s="230"/>
      <c r="P544" s="230"/>
      <c r="Q544" s="230"/>
      <c r="R544" s="230"/>
      <c r="S544" s="230"/>
      <c r="T544" s="230"/>
      <c r="U544" s="230"/>
    </row>
    <row r="545">
      <c r="J545" s="230"/>
      <c r="K545" s="230"/>
      <c r="L545" s="230"/>
      <c r="M545" s="230"/>
      <c r="N545" s="230"/>
      <c r="O545" s="230"/>
      <c r="P545" s="230"/>
      <c r="Q545" s="230"/>
      <c r="R545" s="230"/>
      <c r="S545" s="230"/>
      <c r="T545" s="230"/>
      <c r="U545" s="230"/>
    </row>
    <row r="546">
      <c r="J546" s="230"/>
      <c r="K546" s="230"/>
      <c r="L546" s="230"/>
      <c r="M546" s="230"/>
      <c r="N546" s="230"/>
      <c r="O546" s="230"/>
      <c r="P546" s="230"/>
      <c r="Q546" s="230"/>
      <c r="R546" s="230"/>
      <c r="S546" s="230"/>
      <c r="T546" s="230"/>
      <c r="U546" s="230"/>
    </row>
    <row r="547">
      <c r="J547" s="230"/>
      <c r="K547" s="230"/>
      <c r="L547" s="230"/>
      <c r="M547" s="230"/>
      <c r="N547" s="230"/>
      <c r="O547" s="230"/>
      <c r="P547" s="230"/>
      <c r="Q547" s="230"/>
      <c r="R547" s="230"/>
      <c r="S547" s="230"/>
      <c r="T547" s="230"/>
      <c r="U547" s="230"/>
    </row>
    <row r="548">
      <c r="J548" s="230"/>
      <c r="K548" s="230"/>
      <c r="L548" s="230"/>
      <c r="M548" s="230"/>
      <c r="N548" s="230"/>
      <c r="O548" s="230"/>
      <c r="P548" s="230"/>
      <c r="Q548" s="230"/>
      <c r="R548" s="230"/>
      <c r="S548" s="230"/>
      <c r="T548" s="230"/>
      <c r="U548" s="230"/>
    </row>
    <row r="549">
      <c r="J549" s="230"/>
      <c r="K549" s="230"/>
      <c r="L549" s="230"/>
      <c r="M549" s="230"/>
      <c r="N549" s="230"/>
      <c r="O549" s="230"/>
      <c r="P549" s="230"/>
      <c r="Q549" s="230"/>
      <c r="R549" s="230"/>
      <c r="S549" s="230"/>
      <c r="T549" s="230"/>
      <c r="U549" s="230"/>
    </row>
    <row r="550">
      <c r="J550" s="230"/>
      <c r="K550" s="230"/>
      <c r="L550" s="230"/>
      <c r="M550" s="230"/>
      <c r="N550" s="230"/>
      <c r="O550" s="230"/>
      <c r="P550" s="230"/>
      <c r="Q550" s="230"/>
      <c r="R550" s="230"/>
      <c r="S550" s="230"/>
      <c r="T550" s="230"/>
      <c r="U550" s="230"/>
    </row>
    <row r="551">
      <c r="J551" s="230"/>
      <c r="K551" s="230"/>
      <c r="L551" s="230"/>
      <c r="M551" s="230"/>
      <c r="N551" s="230"/>
      <c r="O551" s="230"/>
      <c r="P551" s="230"/>
      <c r="Q551" s="230"/>
      <c r="R551" s="230"/>
      <c r="S551" s="230"/>
      <c r="T551" s="230"/>
      <c r="U551" s="230"/>
    </row>
    <row r="552">
      <c r="J552" s="230"/>
      <c r="K552" s="230"/>
      <c r="L552" s="230"/>
      <c r="M552" s="230"/>
      <c r="N552" s="230"/>
      <c r="O552" s="230"/>
      <c r="P552" s="230"/>
      <c r="Q552" s="230"/>
      <c r="R552" s="230"/>
      <c r="S552" s="230"/>
      <c r="T552" s="230"/>
      <c r="U552" s="230"/>
    </row>
    <row r="553">
      <c r="J553" s="230"/>
      <c r="K553" s="230"/>
      <c r="L553" s="230"/>
      <c r="M553" s="230"/>
      <c r="N553" s="230"/>
      <c r="O553" s="230"/>
      <c r="P553" s="230"/>
      <c r="Q553" s="230"/>
      <c r="R553" s="230"/>
      <c r="S553" s="230"/>
      <c r="T553" s="230"/>
      <c r="U553" s="230"/>
    </row>
    <row r="554">
      <c r="J554" s="230"/>
      <c r="K554" s="230"/>
      <c r="L554" s="230"/>
      <c r="M554" s="230"/>
      <c r="N554" s="230"/>
      <c r="O554" s="230"/>
      <c r="P554" s="230"/>
      <c r="Q554" s="230"/>
      <c r="R554" s="230"/>
      <c r="S554" s="230"/>
      <c r="T554" s="230"/>
      <c r="U554" s="230"/>
    </row>
    <row r="555">
      <c r="J555" s="230"/>
      <c r="K555" s="230"/>
      <c r="L555" s="230"/>
      <c r="M555" s="230"/>
      <c r="N555" s="230"/>
      <c r="O555" s="230"/>
      <c r="P555" s="230"/>
      <c r="Q555" s="230"/>
      <c r="R555" s="230"/>
      <c r="S555" s="230"/>
      <c r="T555" s="230"/>
      <c r="U555" s="230"/>
    </row>
    <row r="556">
      <c r="J556" s="230"/>
      <c r="K556" s="230"/>
      <c r="L556" s="230"/>
      <c r="M556" s="230"/>
      <c r="N556" s="230"/>
      <c r="O556" s="230"/>
      <c r="P556" s="230"/>
      <c r="Q556" s="230"/>
      <c r="R556" s="230"/>
      <c r="S556" s="230"/>
      <c r="T556" s="230"/>
      <c r="U556" s="230"/>
    </row>
    <row r="557">
      <c r="J557" s="230"/>
      <c r="K557" s="230"/>
      <c r="L557" s="230"/>
      <c r="M557" s="230"/>
      <c r="N557" s="230"/>
      <c r="O557" s="230"/>
      <c r="P557" s="230"/>
      <c r="Q557" s="230"/>
      <c r="R557" s="230"/>
      <c r="S557" s="230"/>
      <c r="T557" s="230"/>
      <c r="U557" s="230"/>
    </row>
    <row r="558">
      <c r="J558" s="230"/>
      <c r="K558" s="230"/>
      <c r="L558" s="230"/>
      <c r="M558" s="230"/>
      <c r="N558" s="230"/>
      <c r="O558" s="230"/>
      <c r="P558" s="230"/>
      <c r="Q558" s="230"/>
      <c r="R558" s="230"/>
      <c r="S558" s="230"/>
      <c r="T558" s="230"/>
      <c r="U558" s="230"/>
    </row>
    <row r="559">
      <c r="J559" s="230"/>
      <c r="K559" s="230"/>
      <c r="L559" s="230"/>
      <c r="M559" s="230"/>
      <c r="N559" s="230"/>
      <c r="O559" s="230"/>
      <c r="P559" s="230"/>
      <c r="Q559" s="230"/>
      <c r="R559" s="230"/>
      <c r="S559" s="230"/>
      <c r="T559" s="230"/>
      <c r="U559" s="230"/>
    </row>
    <row r="560">
      <c r="J560" s="230"/>
      <c r="K560" s="230"/>
      <c r="L560" s="230"/>
      <c r="M560" s="230"/>
      <c r="N560" s="230"/>
      <c r="O560" s="230"/>
      <c r="P560" s="230"/>
      <c r="Q560" s="230"/>
      <c r="R560" s="230"/>
      <c r="S560" s="230"/>
      <c r="T560" s="230"/>
      <c r="U560" s="230"/>
    </row>
    <row r="561">
      <c r="J561" s="230"/>
      <c r="K561" s="230"/>
      <c r="L561" s="230"/>
      <c r="M561" s="230"/>
      <c r="N561" s="230"/>
      <c r="O561" s="230"/>
      <c r="P561" s="230"/>
      <c r="Q561" s="230"/>
      <c r="R561" s="230"/>
      <c r="S561" s="230"/>
      <c r="T561" s="230"/>
      <c r="U561" s="230"/>
    </row>
    <row r="562">
      <c r="J562" s="230"/>
      <c r="K562" s="230"/>
      <c r="L562" s="230"/>
      <c r="M562" s="230"/>
      <c r="N562" s="230"/>
      <c r="O562" s="230"/>
      <c r="P562" s="230"/>
      <c r="Q562" s="230"/>
      <c r="R562" s="230"/>
      <c r="S562" s="230"/>
      <c r="T562" s="230"/>
      <c r="U562" s="230"/>
    </row>
    <row r="563">
      <c r="J563" s="230"/>
      <c r="K563" s="230"/>
      <c r="L563" s="230"/>
      <c r="M563" s="230"/>
      <c r="N563" s="230"/>
      <c r="O563" s="230"/>
      <c r="P563" s="230"/>
      <c r="Q563" s="230"/>
      <c r="R563" s="230"/>
      <c r="S563" s="230"/>
      <c r="T563" s="230"/>
      <c r="U563" s="230"/>
    </row>
    <row r="564">
      <c r="J564" s="230"/>
      <c r="K564" s="230"/>
      <c r="L564" s="230"/>
      <c r="M564" s="230"/>
      <c r="N564" s="230"/>
      <c r="O564" s="230"/>
      <c r="P564" s="230"/>
      <c r="Q564" s="230"/>
      <c r="R564" s="230"/>
      <c r="S564" s="230"/>
      <c r="T564" s="230"/>
      <c r="U564" s="230"/>
    </row>
    <row r="565">
      <c r="J565" s="230"/>
      <c r="K565" s="230"/>
      <c r="L565" s="230"/>
      <c r="M565" s="230"/>
      <c r="N565" s="230"/>
      <c r="O565" s="230"/>
      <c r="P565" s="230"/>
      <c r="Q565" s="230"/>
      <c r="R565" s="230"/>
      <c r="S565" s="230"/>
      <c r="T565" s="230"/>
      <c r="U565" s="230"/>
    </row>
    <row r="566">
      <c r="J566" s="230"/>
      <c r="K566" s="230"/>
      <c r="L566" s="230"/>
      <c r="M566" s="230"/>
      <c r="N566" s="230"/>
      <c r="O566" s="230"/>
      <c r="P566" s="230"/>
      <c r="Q566" s="230"/>
      <c r="R566" s="230"/>
      <c r="S566" s="230"/>
      <c r="T566" s="230"/>
      <c r="U566" s="230"/>
    </row>
    <row r="567">
      <c r="J567" s="230"/>
      <c r="K567" s="230"/>
      <c r="L567" s="230"/>
      <c r="M567" s="230"/>
      <c r="N567" s="230"/>
      <c r="O567" s="230"/>
      <c r="P567" s="230"/>
      <c r="Q567" s="230"/>
      <c r="R567" s="230"/>
      <c r="S567" s="230"/>
      <c r="T567" s="230"/>
      <c r="U567" s="230"/>
    </row>
    <row r="568">
      <c r="J568" s="230"/>
      <c r="K568" s="230"/>
      <c r="L568" s="230"/>
      <c r="M568" s="230"/>
      <c r="N568" s="230"/>
      <c r="O568" s="230"/>
      <c r="P568" s="230"/>
      <c r="Q568" s="230"/>
      <c r="R568" s="230"/>
      <c r="S568" s="230"/>
      <c r="T568" s="230"/>
      <c r="U568" s="230"/>
    </row>
    <row r="569">
      <c r="J569" s="230"/>
      <c r="K569" s="230"/>
      <c r="L569" s="230"/>
      <c r="M569" s="230"/>
      <c r="N569" s="230"/>
      <c r="O569" s="230"/>
      <c r="P569" s="230"/>
      <c r="Q569" s="230"/>
      <c r="R569" s="230"/>
      <c r="S569" s="230"/>
      <c r="T569" s="230"/>
      <c r="U569" s="230"/>
    </row>
    <row r="570">
      <c r="J570" s="230"/>
      <c r="K570" s="230"/>
      <c r="L570" s="230"/>
      <c r="M570" s="230"/>
      <c r="N570" s="230"/>
      <c r="O570" s="230"/>
      <c r="P570" s="230"/>
      <c r="Q570" s="230"/>
      <c r="R570" s="230"/>
      <c r="S570" s="230"/>
      <c r="T570" s="230"/>
      <c r="U570" s="230"/>
    </row>
    <row r="571">
      <c r="J571" s="230"/>
      <c r="K571" s="230"/>
      <c r="L571" s="230"/>
      <c r="M571" s="230"/>
      <c r="N571" s="230"/>
      <c r="O571" s="230"/>
      <c r="P571" s="230"/>
      <c r="Q571" s="230"/>
      <c r="R571" s="230"/>
      <c r="S571" s="230"/>
      <c r="T571" s="230"/>
      <c r="U571" s="230"/>
    </row>
    <row r="572">
      <c r="J572" s="230"/>
      <c r="K572" s="230"/>
      <c r="L572" s="230"/>
      <c r="M572" s="230"/>
      <c r="N572" s="230"/>
      <c r="O572" s="230"/>
      <c r="P572" s="230"/>
      <c r="Q572" s="230"/>
      <c r="R572" s="230"/>
      <c r="S572" s="230"/>
      <c r="T572" s="230"/>
      <c r="U572" s="230"/>
    </row>
    <row r="573">
      <c r="J573" s="230"/>
      <c r="K573" s="230"/>
      <c r="L573" s="230"/>
      <c r="M573" s="230"/>
      <c r="N573" s="230"/>
      <c r="O573" s="230"/>
      <c r="P573" s="230"/>
      <c r="Q573" s="230"/>
      <c r="R573" s="230"/>
      <c r="S573" s="230"/>
      <c r="T573" s="230"/>
      <c r="U573" s="230"/>
    </row>
    <row r="574">
      <c r="J574" s="230"/>
      <c r="K574" s="230"/>
      <c r="L574" s="230"/>
      <c r="M574" s="230"/>
      <c r="N574" s="230"/>
      <c r="O574" s="230"/>
      <c r="P574" s="230"/>
      <c r="Q574" s="230"/>
      <c r="R574" s="230"/>
      <c r="S574" s="230"/>
      <c r="T574" s="230"/>
      <c r="U574" s="230"/>
    </row>
    <row r="575">
      <c r="J575" s="230"/>
      <c r="K575" s="230"/>
      <c r="L575" s="230"/>
      <c r="M575" s="230"/>
      <c r="N575" s="230"/>
      <c r="O575" s="230"/>
      <c r="P575" s="230"/>
      <c r="Q575" s="230"/>
      <c r="R575" s="230"/>
      <c r="S575" s="230"/>
      <c r="T575" s="230"/>
      <c r="U575" s="230"/>
    </row>
    <row r="576">
      <c r="J576" s="230"/>
      <c r="K576" s="230"/>
      <c r="L576" s="230"/>
      <c r="M576" s="230"/>
      <c r="N576" s="230"/>
      <c r="O576" s="230"/>
      <c r="P576" s="230"/>
      <c r="Q576" s="230"/>
      <c r="R576" s="230"/>
      <c r="S576" s="230"/>
      <c r="T576" s="230"/>
      <c r="U576" s="230"/>
    </row>
    <row r="577">
      <c r="J577" s="230"/>
      <c r="K577" s="230"/>
      <c r="L577" s="230"/>
      <c r="M577" s="230"/>
      <c r="N577" s="230"/>
      <c r="O577" s="230"/>
      <c r="P577" s="230"/>
      <c r="Q577" s="230"/>
      <c r="R577" s="230"/>
      <c r="S577" s="230"/>
      <c r="T577" s="230"/>
      <c r="U577" s="230"/>
    </row>
    <row r="578">
      <c r="J578" s="230"/>
      <c r="K578" s="230"/>
      <c r="L578" s="230"/>
      <c r="M578" s="230"/>
      <c r="N578" s="230"/>
      <c r="O578" s="230"/>
      <c r="P578" s="230"/>
      <c r="Q578" s="230"/>
      <c r="R578" s="230"/>
      <c r="S578" s="230"/>
      <c r="T578" s="230"/>
      <c r="U578" s="230"/>
    </row>
    <row r="579">
      <c r="J579" s="230"/>
      <c r="K579" s="230"/>
      <c r="L579" s="230"/>
      <c r="M579" s="230"/>
      <c r="N579" s="230"/>
      <c r="O579" s="230"/>
      <c r="P579" s="230"/>
      <c r="Q579" s="230"/>
      <c r="R579" s="230"/>
      <c r="S579" s="230"/>
      <c r="T579" s="230"/>
      <c r="U579" s="230"/>
    </row>
    <row r="580">
      <c r="J580" s="230"/>
      <c r="K580" s="230"/>
      <c r="L580" s="230"/>
      <c r="M580" s="230"/>
      <c r="N580" s="230"/>
      <c r="O580" s="230"/>
      <c r="P580" s="230"/>
      <c r="Q580" s="230"/>
      <c r="R580" s="230"/>
      <c r="S580" s="230"/>
      <c r="T580" s="230"/>
      <c r="U580" s="230"/>
    </row>
    <row r="581">
      <c r="J581" s="230"/>
      <c r="K581" s="230"/>
      <c r="L581" s="230"/>
      <c r="M581" s="230"/>
      <c r="N581" s="230"/>
      <c r="O581" s="230"/>
      <c r="P581" s="230"/>
      <c r="Q581" s="230"/>
      <c r="R581" s="230"/>
      <c r="S581" s="230"/>
      <c r="T581" s="230"/>
      <c r="U581" s="230"/>
    </row>
    <row r="582">
      <c r="J582" s="230"/>
      <c r="K582" s="230"/>
      <c r="L582" s="230"/>
      <c r="M582" s="230"/>
      <c r="N582" s="230"/>
      <c r="O582" s="230"/>
      <c r="P582" s="230"/>
      <c r="Q582" s="230"/>
      <c r="R582" s="230"/>
      <c r="S582" s="230"/>
      <c r="T582" s="230"/>
      <c r="U582" s="230"/>
    </row>
    <row r="583">
      <c r="J583" s="230"/>
      <c r="K583" s="230"/>
      <c r="L583" s="230"/>
      <c r="M583" s="230"/>
      <c r="N583" s="230"/>
      <c r="O583" s="230"/>
      <c r="P583" s="230"/>
      <c r="Q583" s="230"/>
      <c r="R583" s="230"/>
      <c r="S583" s="230"/>
      <c r="T583" s="230"/>
      <c r="U583" s="230"/>
    </row>
    <row r="584">
      <c r="J584" s="230"/>
      <c r="K584" s="230"/>
      <c r="L584" s="230"/>
      <c r="M584" s="230"/>
      <c r="N584" s="230"/>
      <c r="O584" s="230"/>
      <c r="P584" s="230"/>
      <c r="Q584" s="230"/>
      <c r="R584" s="230"/>
      <c r="S584" s="230"/>
      <c r="T584" s="230"/>
      <c r="U584" s="230"/>
    </row>
    <row r="585">
      <c r="J585" s="230"/>
      <c r="K585" s="230"/>
      <c r="L585" s="230"/>
      <c r="M585" s="230"/>
      <c r="N585" s="230"/>
      <c r="O585" s="230"/>
      <c r="P585" s="230"/>
      <c r="Q585" s="230"/>
      <c r="R585" s="230"/>
      <c r="S585" s="230"/>
      <c r="T585" s="230"/>
      <c r="U585" s="230"/>
    </row>
    <row r="586">
      <c r="J586" s="230"/>
      <c r="K586" s="230"/>
      <c r="L586" s="230"/>
      <c r="M586" s="230"/>
      <c r="N586" s="230"/>
      <c r="O586" s="230"/>
      <c r="P586" s="230"/>
      <c r="Q586" s="230"/>
      <c r="R586" s="230"/>
      <c r="S586" s="230"/>
      <c r="T586" s="230"/>
      <c r="U586" s="230"/>
    </row>
    <row r="587">
      <c r="J587" s="230"/>
      <c r="K587" s="230"/>
      <c r="L587" s="230"/>
      <c r="M587" s="230"/>
      <c r="N587" s="230"/>
      <c r="O587" s="230"/>
      <c r="P587" s="230"/>
      <c r="Q587" s="230"/>
      <c r="R587" s="230"/>
      <c r="S587" s="230"/>
      <c r="T587" s="230"/>
      <c r="U587" s="230"/>
    </row>
    <row r="588">
      <c r="J588" s="230"/>
      <c r="K588" s="230"/>
      <c r="L588" s="230"/>
      <c r="M588" s="230"/>
      <c r="N588" s="230"/>
      <c r="O588" s="230"/>
      <c r="P588" s="230"/>
      <c r="Q588" s="230"/>
      <c r="R588" s="230"/>
      <c r="S588" s="230"/>
      <c r="T588" s="230"/>
      <c r="U588" s="230"/>
    </row>
    <row r="589">
      <c r="J589" s="230"/>
      <c r="K589" s="230"/>
      <c r="L589" s="230"/>
      <c r="M589" s="230"/>
      <c r="N589" s="230"/>
      <c r="O589" s="230"/>
      <c r="P589" s="230"/>
      <c r="Q589" s="230"/>
      <c r="R589" s="230"/>
      <c r="S589" s="230"/>
      <c r="T589" s="230"/>
      <c r="U589" s="230"/>
    </row>
    <row r="590">
      <c r="J590" s="230"/>
      <c r="K590" s="230"/>
      <c r="L590" s="230"/>
      <c r="M590" s="230"/>
      <c r="N590" s="230"/>
      <c r="O590" s="230"/>
      <c r="P590" s="230"/>
      <c r="Q590" s="230"/>
      <c r="R590" s="230"/>
      <c r="S590" s="230"/>
      <c r="T590" s="230"/>
      <c r="U590" s="230"/>
    </row>
    <row r="591">
      <c r="J591" s="230"/>
      <c r="K591" s="230"/>
      <c r="L591" s="230"/>
      <c r="M591" s="230"/>
      <c r="N591" s="230"/>
      <c r="O591" s="230"/>
      <c r="P591" s="230"/>
      <c r="Q591" s="230"/>
      <c r="R591" s="230"/>
      <c r="S591" s="230"/>
      <c r="T591" s="230"/>
      <c r="U591" s="230"/>
    </row>
    <row r="592">
      <c r="J592" s="230"/>
      <c r="K592" s="230"/>
      <c r="L592" s="230"/>
      <c r="M592" s="230"/>
      <c r="N592" s="230"/>
      <c r="O592" s="230"/>
      <c r="P592" s="230"/>
      <c r="Q592" s="230"/>
      <c r="R592" s="230"/>
      <c r="S592" s="230"/>
      <c r="T592" s="230"/>
      <c r="U592" s="230"/>
    </row>
    <row r="593">
      <c r="J593" s="230"/>
      <c r="K593" s="230"/>
      <c r="L593" s="230"/>
      <c r="M593" s="230"/>
      <c r="N593" s="230"/>
      <c r="O593" s="230"/>
      <c r="P593" s="230"/>
      <c r="Q593" s="230"/>
      <c r="R593" s="230"/>
      <c r="S593" s="230"/>
      <c r="T593" s="230"/>
      <c r="U593" s="230"/>
    </row>
    <row r="594">
      <c r="J594" s="230"/>
      <c r="K594" s="230"/>
      <c r="L594" s="230"/>
      <c r="M594" s="230"/>
      <c r="N594" s="230"/>
      <c r="O594" s="230"/>
      <c r="P594" s="230"/>
      <c r="Q594" s="230"/>
      <c r="R594" s="230"/>
      <c r="S594" s="230"/>
      <c r="T594" s="230"/>
      <c r="U594" s="230"/>
    </row>
    <row r="595">
      <c r="J595" s="230"/>
      <c r="K595" s="230"/>
      <c r="L595" s="230"/>
      <c r="M595" s="230"/>
      <c r="N595" s="230"/>
      <c r="O595" s="230"/>
      <c r="P595" s="230"/>
      <c r="Q595" s="230"/>
      <c r="R595" s="230"/>
      <c r="S595" s="230"/>
      <c r="T595" s="230"/>
      <c r="U595" s="230"/>
    </row>
    <row r="596">
      <c r="J596" s="230"/>
      <c r="K596" s="230"/>
      <c r="L596" s="230"/>
      <c r="M596" s="230"/>
      <c r="N596" s="230"/>
      <c r="O596" s="230"/>
      <c r="P596" s="230"/>
      <c r="Q596" s="230"/>
      <c r="R596" s="230"/>
      <c r="S596" s="230"/>
      <c r="T596" s="230"/>
      <c r="U596" s="230"/>
    </row>
    <row r="597">
      <c r="J597" s="230"/>
      <c r="K597" s="230"/>
      <c r="L597" s="230"/>
      <c r="M597" s="230"/>
      <c r="N597" s="230"/>
      <c r="O597" s="230"/>
      <c r="P597" s="230"/>
      <c r="Q597" s="230"/>
      <c r="R597" s="230"/>
      <c r="S597" s="230"/>
      <c r="T597" s="230"/>
      <c r="U597" s="230"/>
    </row>
    <row r="598">
      <c r="J598" s="230"/>
      <c r="K598" s="230"/>
      <c r="L598" s="230"/>
      <c r="M598" s="230"/>
      <c r="N598" s="230"/>
      <c r="O598" s="230"/>
      <c r="P598" s="230"/>
      <c r="Q598" s="230"/>
      <c r="R598" s="230"/>
      <c r="S598" s="230"/>
      <c r="T598" s="230"/>
      <c r="U598" s="230"/>
    </row>
    <row r="599">
      <c r="J599" s="230"/>
      <c r="K599" s="230"/>
      <c r="L599" s="230"/>
      <c r="M599" s="230"/>
      <c r="N599" s="230"/>
      <c r="O599" s="230"/>
      <c r="P599" s="230"/>
      <c r="Q599" s="230"/>
      <c r="R599" s="230"/>
      <c r="S599" s="230"/>
      <c r="T599" s="230"/>
      <c r="U599" s="230"/>
    </row>
    <row r="600">
      <c r="J600" s="230"/>
      <c r="K600" s="230"/>
      <c r="L600" s="230"/>
      <c r="M600" s="230"/>
      <c r="N600" s="230"/>
      <c r="O600" s="230"/>
      <c r="P600" s="230"/>
      <c r="Q600" s="230"/>
      <c r="R600" s="230"/>
      <c r="S600" s="230"/>
      <c r="T600" s="230"/>
      <c r="U600" s="230"/>
    </row>
    <row r="601">
      <c r="J601" s="230"/>
      <c r="K601" s="230"/>
      <c r="L601" s="230"/>
      <c r="M601" s="230"/>
      <c r="N601" s="230"/>
      <c r="O601" s="230"/>
      <c r="P601" s="230"/>
      <c r="Q601" s="230"/>
      <c r="R601" s="230"/>
      <c r="S601" s="230"/>
      <c r="T601" s="230"/>
      <c r="U601" s="230"/>
    </row>
    <row r="602">
      <c r="J602" s="230"/>
      <c r="K602" s="230"/>
      <c r="L602" s="230"/>
      <c r="M602" s="230"/>
      <c r="N602" s="230"/>
      <c r="O602" s="230"/>
      <c r="P602" s="230"/>
      <c r="Q602" s="230"/>
      <c r="R602" s="230"/>
      <c r="S602" s="230"/>
      <c r="T602" s="230"/>
      <c r="U602" s="230"/>
    </row>
    <row r="603">
      <c r="J603" s="230"/>
      <c r="K603" s="230"/>
      <c r="L603" s="230"/>
      <c r="M603" s="230"/>
      <c r="N603" s="230"/>
      <c r="O603" s="230"/>
      <c r="P603" s="230"/>
      <c r="Q603" s="230"/>
      <c r="R603" s="230"/>
      <c r="S603" s="230"/>
      <c r="T603" s="230"/>
      <c r="U603" s="230"/>
    </row>
    <row r="604">
      <c r="J604" s="230"/>
      <c r="K604" s="230"/>
      <c r="L604" s="230"/>
      <c r="M604" s="230"/>
      <c r="N604" s="230"/>
      <c r="O604" s="230"/>
      <c r="P604" s="230"/>
      <c r="Q604" s="230"/>
      <c r="R604" s="230"/>
      <c r="S604" s="230"/>
      <c r="T604" s="230"/>
      <c r="U604" s="230"/>
    </row>
    <row r="605">
      <c r="J605" s="230"/>
      <c r="K605" s="230"/>
      <c r="L605" s="230"/>
      <c r="M605" s="230"/>
      <c r="N605" s="230"/>
      <c r="O605" s="230"/>
      <c r="P605" s="230"/>
      <c r="Q605" s="230"/>
      <c r="R605" s="230"/>
      <c r="S605" s="230"/>
      <c r="T605" s="230"/>
      <c r="U605" s="230"/>
    </row>
    <row r="606">
      <c r="J606" s="230"/>
      <c r="K606" s="230"/>
      <c r="L606" s="230"/>
      <c r="M606" s="230"/>
      <c r="N606" s="230"/>
      <c r="O606" s="230"/>
      <c r="P606" s="230"/>
      <c r="Q606" s="230"/>
      <c r="R606" s="230"/>
      <c r="S606" s="230"/>
      <c r="T606" s="230"/>
      <c r="U606" s="230"/>
    </row>
    <row r="607">
      <c r="J607" s="230"/>
      <c r="K607" s="230"/>
      <c r="L607" s="230"/>
      <c r="M607" s="230"/>
      <c r="N607" s="230"/>
      <c r="O607" s="230"/>
      <c r="P607" s="230"/>
      <c r="Q607" s="230"/>
      <c r="R607" s="230"/>
      <c r="S607" s="230"/>
      <c r="T607" s="230"/>
      <c r="U607" s="230"/>
    </row>
    <row r="608">
      <c r="J608" s="230"/>
      <c r="K608" s="230"/>
      <c r="L608" s="230"/>
      <c r="M608" s="230"/>
      <c r="N608" s="230"/>
      <c r="O608" s="230"/>
      <c r="P608" s="230"/>
      <c r="Q608" s="230"/>
      <c r="R608" s="230"/>
      <c r="S608" s="230"/>
      <c r="T608" s="230"/>
      <c r="U608" s="230"/>
    </row>
    <row r="609">
      <c r="J609" s="230"/>
      <c r="K609" s="230"/>
      <c r="L609" s="230"/>
      <c r="M609" s="230"/>
      <c r="N609" s="230"/>
      <c r="O609" s="230"/>
      <c r="P609" s="230"/>
      <c r="Q609" s="230"/>
      <c r="R609" s="230"/>
      <c r="S609" s="230"/>
      <c r="T609" s="230"/>
      <c r="U609" s="230"/>
    </row>
    <row r="610">
      <c r="J610" s="230"/>
      <c r="K610" s="230"/>
      <c r="L610" s="230"/>
      <c r="M610" s="230"/>
      <c r="N610" s="230"/>
      <c r="O610" s="230"/>
      <c r="P610" s="230"/>
      <c r="Q610" s="230"/>
      <c r="R610" s="230"/>
      <c r="S610" s="230"/>
      <c r="T610" s="230"/>
      <c r="U610" s="230"/>
    </row>
    <row r="611">
      <c r="J611" s="230"/>
      <c r="K611" s="230"/>
      <c r="L611" s="230"/>
      <c r="M611" s="230"/>
      <c r="N611" s="230"/>
      <c r="O611" s="230"/>
      <c r="P611" s="230"/>
      <c r="Q611" s="230"/>
      <c r="R611" s="230"/>
      <c r="S611" s="230"/>
      <c r="T611" s="230"/>
      <c r="U611" s="230"/>
    </row>
    <row r="612">
      <c r="J612" s="230"/>
      <c r="K612" s="230"/>
      <c r="L612" s="230"/>
      <c r="M612" s="230"/>
      <c r="N612" s="230"/>
      <c r="O612" s="230"/>
      <c r="P612" s="230"/>
      <c r="Q612" s="230"/>
      <c r="R612" s="230"/>
      <c r="S612" s="230"/>
      <c r="T612" s="230"/>
      <c r="U612" s="230"/>
    </row>
    <row r="613">
      <c r="J613" s="230"/>
      <c r="K613" s="230"/>
      <c r="L613" s="230"/>
      <c r="M613" s="230"/>
      <c r="N613" s="230"/>
      <c r="O613" s="230"/>
      <c r="P613" s="230"/>
      <c r="Q613" s="230"/>
      <c r="R613" s="230"/>
      <c r="S613" s="230"/>
      <c r="T613" s="230"/>
      <c r="U613" s="230"/>
    </row>
    <row r="614">
      <c r="J614" s="230"/>
      <c r="K614" s="230"/>
      <c r="L614" s="230"/>
      <c r="M614" s="230"/>
      <c r="N614" s="230"/>
      <c r="O614" s="230"/>
      <c r="P614" s="230"/>
      <c r="Q614" s="230"/>
      <c r="R614" s="230"/>
      <c r="S614" s="230"/>
      <c r="T614" s="230"/>
      <c r="U614" s="230"/>
    </row>
    <row r="615">
      <c r="J615" s="230"/>
      <c r="K615" s="230"/>
      <c r="L615" s="230"/>
      <c r="M615" s="230"/>
      <c r="N615" s="230"/>
      <c r="O615" s="230"/>
      <c r="P615" s="230"/>
      <c r="Q615" s="230"/>
      <c r="R615" s="230"/>
      <c r="S615" s="230"/>
      <c r="T615" s="230"/>
      <c r="U615" s="230"/>
    </row>
    <row r="616">
      <c r="J616" s="230"/>
      <c r="K616" s="230"/>
      <c r="L616" s="230"/>
      <c r="M616" s="230"/>
      <c r="N616" s="230"/>
      <c r="O616" s="230"/>
      <c r="P616" s="230"/>
      <c r="Q616" s="230"/>
      <c r="R616" s="230"/>
      <c r="S616" s="230"/>
      <c r="T616" s="230"/>
      <c r="U616" s="230"/>
    </row>
    <row r="617">
      <c r="J617" s="230"/>
      <c r="K617" s="230"/>
      <c r="L617" s="230"/>
      <c r="M617" s="230"/>
      <c r="N617" s="230"/>
      <c r="O617" s="230"/>
      <c r="P617" s="230"/>
      <c r="Q617" s="230"/>
      <c r="R617" s="230"/>
      <c r="S617" s="230"/>
      <c r="T617" s="230"/>
      <c r="U617" s="230"/>
    </row>
    <row r="618">
      <c r="J618" s="230"/>
      <c r="K618" s="230"/>
      <c r="L618" s="230"/>
      <c r="M618" s="230"/>
      <c r="N618" s="230"/>
      <c r="O618" s="230"/>
      <c r="P618" s="230"/>
      <c r="Q618" s="230"/>
      <c r="R618" s="230"/>
      <c r="S618" s="230"/>
      <c r="T618" s="230"/>
      <c r="U618" s="230"/>
    </row>
    <row r="619">
      <c r="J619" s="230"/>
      <c r="K619" s="230"/>
      <c r="L619" s="230"/>
      <c r="M619" s="230"/>
      <c r="N619" s="230"/>
      <c r="O619" s="230"/>
      <c r="P619" s="230"/>
      <c r="Q619" s="230"/>
      <c r="R619" s="230"/>
      <c r="S619" s="230"/>
      <c r="T619" s="230"/>
      <c r="U619" s="230"/>
    </row>
    <row r="620">
      <c r="J620" s="230"/>
      <c r="K620" s="230"/>
      <c r="L620" s="230"/>
      <c r="M620" s="230"/>
      <c r="N620" s="230"/>
      <c r="O620" s="230"/>
      <c r="P620" s="230"/>
      <c r="Q620" s="230"/>
      <c r="R620" s="230"/>
      <c r="S620" s="230"/>
      <c r="T620" s="230"/>
      <c r="U620" s="230"/>
    </row>
    <row r="621">
      <c r="J621" s="230"/>
      <c r="K621" s="230"/>
      <c r="L621" s="230"/>
      <c r="M621" s="230"/>
      <c r="N621" s="230"/>
      <c r="O621" s="230"/>
      <c r="P621" s="230"/>
      <c r="Q621" s="230"/>
      <c r="R621" s="230"/>
      <c r="S621" s="230"/>
      <c r="T621" s="230"/>
      <c r="U621" s="230"/>
    </row>
    <row r="622">
      <c r="J622" s="230"/>
      <c r="K622" s="230"/>
      <c r="L622" s="230"/>
      <c r="M622" s="230"/>
      <c r="N622" s="230"/>
      <c r="O622" s="230"/>
      <c r="P622" s="230"/>
      <c r="Q622" s="230"/>
      <c r="R622" s="230"/>
      <c r="S622" s="230"/>
      <c r="T622" s="230"/>
      <c r="U622" s="230"/>
    </row>
    <row r="623">
      <c r="J623" s="230"/>
      <c r="K623" s="230"/>
      <c r="L623" s="230"/>
      <c r="M623" s="230"/>
      <c r="N623" s="230"/>
      <c r="O623" s="230"/>
      <c r="P623" s="230"/>
      <c r="Q623" s="230"/>
      <c r="R623" s="230"/>
      <c r="S623" s="230"/>
      <c r="T623" s="230"/>
      <c r="U623" s="230"/>
    </row>
    <row r="624">
      <c r="J624" s="230"/>
      <c r="K624" s="230"/>
      <c r="L624" s="230"/>
      <c r="M624" s="230"/>
      <c r="N624" s="230"/>
      <c r="O624" s="230"/>
      <c r="P624" s="230"/>
      <c r="Q624" s="230"/>
      <c r="R624" s="230"/>
      <c r="S624" s="230"/>
      <c r="T624" s="230"/>
      <c r="U624" s="230"/>
    </row>
    <row r="625">
      <c r="J625" s="230"/>
      <c r="K625" s="230"/>
      <c r="L625" s="230"/>
      <c r="M625" s="230"/>
      <c r="N625" s="230"/>
      <c r="O625" s="230"/>
      <c r="P625" s="230"/>
      <c r="Q625" s="230"/>
      <c r="R625" s="230"/>
      <c r="S625" s="230"/>
      <c r="T625" s="230"/>
      <c r="U625" s="230"/>
    </row>
    <row r="626">
      <c r="J626" s="230"/>
      <c r="K626" s="230"/>
      <c r="L626" s="230"/>
      <c r="M626" s="230"/>
      <c r="N626" s="230"/>
      <c r="O626" s="230"/>
      <c r="P626" s="230"/>
      <c r="Q626" s="230"/>
      <c r="R626" s="230"/>
      <c r="S626" s="230"/>
      <c r="T626" s="230"/>
      <c r="U626" s="230"/>
    </row>
    <row r="627">
      <c r="J627" s="230"/>
      <c r="K627" s="230"/>
      <c r="L627" s="230"/>
      <c r="M627" s="230"/>
      <c r="N627" s="230"/>
      <c r="O627" s="230"/>
      <c r="P627" s="230"/>
      <c r="Q627" s="230"/>
      <c r="R627" s="230"/>
      <c r="S627" s="230"/>
      <c r="T627" s="230"/>
      <c r="U627" s="230"/>
    </row>
    <row r="628">
      <c r="J628" s="230"/>
      <c r="K628" s="230"/>
      <c r="L628" s="230"/>
      <c r="M628" s="230"/>
      <c r="N628" s="230"/>
      <c r="O628" s="230"/>
      <c r="P628" s="230"/>
      <c r="Q628" s="230"/>
      <c r="R628" s="230"/>
      <c r="S628" s="230"/>
      <c r="T628" s="230"/>
      <c r="U628" s="230"/>
    </row>
    <row r="629">
      <c r="J629" s="230"/>
      <c r="K629" s="230"/>
      <c r="L629" s="230"/>
      <c r="M629" s="230"/>
      <c r="N629" s="230"/>
      <c r="O629" s="230"/>
      <c r="P629" s="230"/>
      <c r="Q629" s="230"/>
      <c r="R629" s="230"/>
      <c r="S629" s="230"/>
      <c r="T629" s="230"/>
      <c r="U629" s="230"/>
    </row>
    <row r="630">
      <c r="J630" s="230"/>
      <c r="K630" s="230"/>
      <c r="L630" s="230"/>
      <c r="M630" s="230"/>
      <c r="N630" s="230"/>
      <c r="O630" s="230"/>
      <c r="P630" s="230"/>
      <c r="Q630" s="230"/>
      <c r="R630" s="230"/>
      <c r="S630" s="230"/>
      <c r="T630" s="230"/>
      <c r="U630" s="230"/>
    </row>
    <row r="631">
      <c r="J631" s="230"/>
      <c r="K631" s="230"/>
      <c r="L631" s="230"/>
      <c r="M631" s="230"/>
      <c r="N631" s="230"/>
      <c r="O631" s="230"/>
      <c r="P631" s="230"/>
      <c r="Q631" s="230"/>
      <c r="R631" s="230"/>
      <c r="S631" s="230"/>
      <c r="T631" s="230"/>
      <c r="U631" s="230"/>
    </row>
    <row r="632">
      <c r="J632" s="230"/>
      <c r="K632" s="230"/>
      <c r="L632" s="230"/>
      <c r="M632" s="230"/>
      <c r="N632" s="230"/>
      <c r="O632" s="230"/>
      <c r="P632" s="230"/>
      <c r="Q632" s="230"/>
      <c r="R632" s="230"/>
      <c r="S632" s="230"/>
      <c r="T632" s="230"/>
      <c r="U632" s="230"/>
    </row>
    <row r="633">
      <c r="J633" s="230"/>
      <c r="K633" s="230"/>
      <c r="L633" s="230"/>
      <c r="M633" s="230"/>
      <c r="N633" s="230"/>
      <c r="O633" s="230"/>
      <c r="P633" s="230"/>
      <c r="Q633" s="230"/>
      <c r="R633" s="230"/>
      <c r="S633" s="230"/>
      <c r="T633" s="230"/>
      <c r="U633" s="230"/>
    </row>
    <row r="634">
      <c r="J634" s="230"/>
      <c r="K634" s="230"/>
      <c r="L634" s="230"/>
      <c r="M634" s="230"/>
      <c r="N634" s="230"/>
      <c r="O634" s="230"/>
      <c r="P634" s="230"/>
      <c r="Q634" s="230"/>
      <c r="R634" s="230"/>
      <c r="S634" s="230"/>
      <c r="T634" s="230"/>
      <c r="U634" s="230"/>
    </row>
    <row r="635">
      <c r="J635" s="230"/>
      <c r="K635" s="230"/>
      <c r="L635" s="230"/>
      <c r="M635" s="230"/>
      <c r="N635" s="230"/>
      <c r="O635" s="230"/>
      <c r="P635" s="230"/>
      <c r="Q635" s="230"/>
      <c r="R635" s="230"/>
      <c r="S635" s="230"/>
      <c r="T635" s="230"/>
      <c r="U635" s="230"/>
    </row>
    <row r="636">
      <c r="J636" s="230"/>
      <c r="K636" s="230"/>
      <c r="L636" s="230"/>
      <c r="M636" s="230"/>
      <c r="N636" s="230"/>
      <c r="O636" s="230"/>
      <c r="P636" s="230"/>
      <c r="Q636" s="230"/>
      <c r="R636" s="230"/>
      <c r="S636" s="230"/>
      <c r="T636" s="230"/>
      <c r="U636" s="230"/>
    </row>
    <row r="637">
      <c r="J637" s="230"/>
      <c r="K637" s="230"/>
      <c r="L637" s="230"/>
      <c r="M637" s="230"/>
      <c r="N637" s="230"/>
      <c r="O637" s="230"/>
      <c r="P637" s="230"/>
      <c r="Q637" s="230"/>
      <c r="R637" s="230"/>
      <c r="S637" s="230"/>
      <c r="T637" s="230"/>
      <c r="U637" s="230"/>
    </row>
    <row r="638">
      <c r="J638" s="230"/>
      <c r="K638" s="230"/>
      <c r="L638" s="230"/>
      <c r="M638" s="230"/>
      <c r="N638" s="230"/>
      <c r="O638" s="230"/>
      <c r="P638" s="230"/>
      <c r="Q638" s="230"/>
      <c r="R638" s="230"/>
      <c r="S638" s="230"/>
      <c r="T638" s="230"/>
      <c r="U638" s="230"/>
    </row>
    <row r="639">
      <c r="J639" s="230"/>
      <c r="K639" s="230"/>
      <c r="L639" s="230"/>
      <c r="M639" s="230"/>
      <c r="N639" s="230"/>
      <c r="O639" s="230"/>
      <c r="P639" s="230"/>
      <c r="Q639" s="230"/>
      <c r="R639" s="230"/>
      <c r="S639" s="230"/>
      <c r="T639" s="230"/>
      <c r="U639" s="230"/>
    </row>
    <row r="640">
      <c r="J640" s="230"/>
      <c r="K640" s="230"/>
      <c r="L640" s="230"/>
      <c r="M640" s="230"/>
      <c r="N640" s="230"/>
      <c r="O640" s="230"/>
      <c r="P640" s="230"/>
      <c r="Q640" s="230"/>
      <c r="R640" s="230"/>
      <c r="S640" s="230"/>
      <c r="T640" s="230"/>
      <c r="U640" s="230"/>
    </row>
    <row r="641">
      <c r="J641" s="230"/>
      <c r="K641" s="230"/>
      <c r="L641" s="230"/>
      <c r="M641" s="230"/>
      <c r="N641" s="230"/>
      <c r="O641" s="230"/>
      <c r="P641" s="230"/>
      <c r="Q641" s="230"/>
      <c r="R641" s="230"/>
      <c r="S641" s="230"/>
      <c r="T641" s="230"/>
      <c r="U641" s="230"/>
    </row>
    <row r="642">
      <c r="J642" s="230"/>
      <c r="K642" s="230"/>
      <c r="L642" s="230"/>
      <c r="M642" s="230"/>
      <c r="N642" s="230"/>
      <c r="O642" s="230"/>
      <c r="P642" s="230"/>
      <c r="Q642" s="230"/>
      <c r="R642" s="230"/>
      <c r="S642" s="230"/>
      <c r="T642" s="230"/>
      <c r="U642" s="230"/>
    </row>
    <row r="643">
      <c r="J643" s="230"/>
      <c r="K643" s="230"/>
      <c r="L643" s="230"/>
      <c r="M643" s="230"/>
      <c r="N643" s="230"/>
      <c r="O643" s="230"/>
      <c r="P643" s="230"/>
      <c r="Q643" s="230"/>
      <c r="R643" s="230"/>
      <c r="S643" s="230"/>
      <c r="T643" s="230"/>
      <c r="U643" s="230"/>
    </row>
    <row r="644">
      <c r="J644" s="230"/>
      <c r="K644" s="230"/>
      <c r="L644" s="230"/>
      <c r="M644" s="230"/>
      <c r="N644" s="230"/>
      <c r="O644" s="230"/>
      <c r="P644" s="230"/>
      <c r="Q644" s="230"/>
      <c r="R644" s="230"/>
      <c r="S644" s="230"/>
      <c r="T644" s="230"/>
      <c r="U644" s="230"/>
    </row>
    <row r="645">
      <c r="J645" s="230"/>
      <c r="K645" s="230"/>
      <c r="L645" s="230"/>
      <c r="M645" s="230"/>
      <c r="N645" s="230"/>
      <c r="O645" s="230"/>
      <c r="P645" s="230"/>
      <c r="Q645" s="230"/>
      <c r="R645" s="230"/>
      <c r="S645" s="230"/>
      <c r="T645" s="230"/>
      <c r="U645" s="230"/>
    </row>
    <row r="646">
      <c r="J646" s="230"/>
      <c r="K646" s="230"/>
      <c r="L646" s="230"/>
      <c r="M646" s="230"/>
      <c r="N646" s="230"/>
      <c r="O646" s="230"/>
      <c r="P646" s="230"/>
      <c r="Q646" s="230"/>
      <c r="R646" s="230"/>
      <c r="S646" s="230"/>
      <c r="T646" s="230"/>
      <c r="U646" s="230"/>
    </row>
    <row r="647">
      <c r="J647" s="230"/>
      <c r="K647" s="230"/>
      <c r="L647" s="230"/>
      <c r="M647" s="230"/>
      <c r="N647" s="230"/>
      <c r="O647" s="230"/>
      <c r="P647" s="230"/>
      <c r="Q647" s="230"/>
      <c r="R647" s="230"/>
      <c r="S647" s="230"/>
      <c r="T647" s="230"/>
      <c r="U647" s="230"/>
    </row>
    <row r="648">
      <c r="J648" s="230"/>
      <c r="K648" s="230"/>
      <c r="L648" s="230"/>
      <c r="M648" s="230"/>
      <c r="N648" s="230"/>
      <c r="O648" s="230"/>
      <c r="P648" s="230"/>
      <c r="Q648" s="230"/>
      <c r="R648" s="230"/>
      <c r="S648" s="230"/>
      <c r="T648" s="230"/>
      <c r="U648" s="230"/>
    </row>
    <row r="649">
      <c r="J649" s="230"/>
      <c r="K649" s="230"/>
      <c r="L649" s="230"/>
      <c r="M649" s="230"/>
      <c r="N649" s="230"/>
      <c r="O649" s="230"/>
      <c r="P649" s="230"/>
      <c r="Q649" s="230"/>
      <c r="R649" s="230"/>
      <c r="S649" s="230"/>
      <c r="T649" s="230"/>
      <c r="U649" s="230"/>
    </row>
    <row r="650">
      <c r="J650" s="230"/>
      <c r="K650" s="230"/>
      <c r="L650" s="230"/>
      <c r="M650" s="230"/>
      <c r="N650" s="230"/>
      <c r="O650" s="230"/>
      <c r="P650" s="230"/>
      <c r="Q650" s="230"/>
      <c r="R650" s="230"/>
      <c r="S650" s="230"/>
      <c r="T650" s="230"/>
      <c r="U650" s="230"/>
    </row>
    <row r="651">
      <c r="J651" s="230"/>
      <c r="K651" s="230"/>
      <c r="L651" s="230"/>
      <c r="M651" s="230"/>
      <c r="N651" s="230"/>
      <c r="O651" s="230"/>
      <c r="P651" s="230"/>
      <c r="Q651" s="230"/>
      <c r="R651" s="230"/>
      <c r="S651" s="230"/>
      <c r="T651" s="230"/>
      <c r="U651" s="230"/>
    </row>
    <row r="652">
      <c r="J652" s="230"/>
      <c r="K652" s="230"/>
      <c r="L652" s="230"/>
      <c r="M652" s="230"/>
      <c r="N652" s="230"/>
      <c r="O652" s="230"/>
      <c r="P652" s="230"/>
      <c r="Q652" s="230"/>
      <c r="R652" s="230"/>
      <c r="S652" s="230"/>
      <c r="T652" s="230"/>
      <c r="U652" s="230"/>
    </row>
    <row r="653">
      <c r="J653" s="230"/>
      <c r="K653" s="230"/>
      <c r="L653" s="230"/>
      <c r="M653" s="230"/>
      <c r="N653" s="230"/>
      <c r="O653" s="230"/>
      <c r="P653" s="230"/>
      <c r="Q653" s="230"/>
      <c r="R653" s="230"/>
      <c r="S653" s="230"/>
      <c r="T653" s="230"/>
      <c r="U653" s="230"/>
    </row>
    <row r="654">
      <c r="J654" s="230"/>
      <c r="K654" s="230"/>
      <c r="L654" s="230"/>
      <c r="M654" s="230"/>
      <c r="N654" s="230"/>
      <c r="O654" s="230"/>
      <c r="P654" s="230"/>
      <c r="Q654" s="230"/>
      <c r="R654" s="230"/>
      <c r="S654" s="230"/>
      <c r="T654" s="230"/>
      <c r="U654" s="230"/>
    </row>
    <row r="655">
      <c r="J655" s="230"/>
      <c r="K655" s="230"/>
      <c r="L655" s="230"/>
      <c r="M655" s="230"/>
      <c r="N655" s="230"/>
      <c r="O655" s="230"/>
      <c r="P655" s="230"/>
      <c r="Q655" s="230"/>
      <c r="R655" s="230"/>
      <c r="S655" s="230"/>
      <c r="T655" s="230"/>
      <c r="U655" s="230"/>
    </row>
    <row r="656">
      <c r="J656" s="230"/>
      <c r="K656" s="230"/>
      <c r="L656" s="230"/>
      <c r="M656" s="230"/>
      <c r="N656" s="230"/>
      <c r="O656" s="230"/>
      <c r="P656" s="230"/>
      <c r="Q656" s="230"/>
      <c r="R656" s="230"/>
      <c r="S656" s="230"/>
      <c r="T656" s="230"/>
      <c r="U656" s="230"/>
    </row>
    <row r="657">
      <c r="J657" s="230"/>
      <c r="K657" s="230"/>
      <c r="L657" s="230"/>
      <c r="M657" s="230"/>
      <c r="N657" s="230"/>
      <c r="O657" s="230"/>
      <c r="P657" s="230"/>
      <c r="Q657" s="230"/>
      <c r="R657" s="230"/>
      <c r="S657" s="230"/>
      <c r="T657" s="230"/>
      <c r="U657" s="230"/>
    </row>
    <row r="658">
      <c r="J658" s="230"/>
      <c r="K658" s="230"/>
      <c r="L658" s="230"/>
      <c r="M658" s="230"/>
      <c r="N658" s="230"/>
      <c r="O658" s="230"/>
      <c r="P658" s="230"/>
      <c r="Q658" s="230"/>
      <c r="R658" s="230"/>
      <c r="S658" s="230"/>
      <c r="T658" s="230"/>
      <c r="U658" s="230"/>
    </row>
    <row r="659">
      <c r="J659" s="230"/>
      <c r="K659" s="230"/>
      <c r="L659" s="230"/>
      <c r="M659" s="230"/>
      <c r="N659" s="230"/>
      <c r="O659" s="230"/>
      <c r="P659" s="230"/>
      <c r="Q659" s="230"/>
      <c r="R659" s="230"/>
      <c r="S659" s="230"/>
      <c r="T659" s="230"/>
      <c r="U659" s="230"/>
    </row>
    <row r="660">
      <c r="J660" s="230"/>
      <c r="K660" s="230"/>
      <c r="L660" s="230"/>
      <c r="M660" s="230"/>
      <c r="N660" s="230"/>
      <c r="O660" s="230"/>
      <c r="P660" s="230"/>
      <c r="Q660" s="230"/>
      <c r="R660" s="230"/>
      <c r="S660" s="230"/>
      <c r="T660" s="230"/>
      <c r="U660" s="230"/>
    </row>
    <row r="661">
      <c r="J661" s="230"/>
      <c r="K661" s="230"/>
      <c r="L661" s="230"/>
      <c r="M661" s="230"/>
      <c r="N661" s="230"/>
      <c r="O661" s="230"/>
      <c r="P661" s="230"/>
      <c r="Q661" s="230"/>
      <c r="R661" s="230"/>
      <c r="S661" s="230"/>
      <c r="T661" s="230"/>
      <c r="U661" s="230"/>
    </row>
    <row r="662">
      <c r="J662" s="230"/>
      <c r="K662" s="230"/>
      <c r="L662" s="230"/>
      <c r="M662" s="230"/>
      <c r="N662" s="230"/>
      <c r="O662" s="230"/>
      <c r="P662" s="230"/>
      <c r="Q662" s="230"/>
      <c r="R662" s="230"/>
      <c r="S662" s="230"/>
      <c r="T662" s="230"/>
      <c r="U662" s="230"/>
    </row>
    <row r="663">
      <c r="J663" s="230"/>
      <c r="K663" s="230"/>
      <c r="L663" s="230"/>
      <c r="M663" s="230"/>
      <c r="N663" s="230"/>
      <c r="O663" s="230"/>
      <c r="P663" s="230"/>
      <c r="Q663" s="230"/>
      <c r="R663" s="230"/>
      <c r="S663" s="230"/>
      <c r="T663" s="230"/>
      <c r="U663" s="230"/>
    </row>
    <row r="664">
      <c r="J664" s="230"/>
      <c r="K664" s="230"/>
      <c r="L664" s="230"/>
      <c r="M664" s="230"/>
      <c r="N664" s="230"/>
      <c r="O664" s="230"/>
      <c r="P664" s="230"/>
      <c r="Q664" s="230"/>
      <c r="R664" s="230"/>
      <c r="S664" s="230"/>
      <c r="T664" s="230"/>
      <c r="U664" s="230"/>
    </row>
    <row r="665">
      <c r="J665" s="230"/>
      <c r="K665" s="230"/>
      <c r="L665" s="230"/>
      <c r="M665" s="230"/>
      <c r="N665" s="230"/>
      <c r="O665" s="230"/>
      <c r="P665" s="230"/>
      <c r="Q665" s="230"/>
      <c r="R665" s="230"/>
      <c r="S665" s="230"/>
      <c r="T665" s="230"/>
      <c r="U665" s="230"/>
    </row>
    <row r="666">
      <c r="J666" s="230"/>
      <c r="K666" s="230"/>
      <c r="L666" s="230"/>
      <c r="M666" s="230"/>
      <c r="N666" s="230"/>
      <c r="O666" s="230"/>
      <c r="P666" s="230"/>
      <c r="Q666" s="230"/>
      <c r="R666" s="230"/>
      <c r="S666" s="230"/>
      <c r="T666" s="230"/>
      <c r="U666" s="230"/>
    </row>
    <row r="667">
      <c r="J667" s="230"/>
      <c r="K667" s="230"/>
      <c r="L667" s="230"/>
      <c r="M667" s="230"/>
      <c r="N667" s="230"/>
      <c r="O667" s="230"/>
      <c r="P667" s="230"/>
      <c r="Q667" s="230"/>
      <c r="R667" s="230"/>
      <c r="S667" s="230"/>
      <c r="T667" s="230"/>
      <c r="U667" s="230"/>
    </row>
    <row r="668">
      <c r="J668" s="230"/>
      <c r="K668" s="230"/>
      <c r="L668" s="230"/>
      <c r="M668" s="230"/>
      <c r="N668" s="230"/>
      <c r="O668" s="230"/>
      <c r="P668" s="230"/>
      <c r="Q668" s="230"/>
      <c r="R668" s="230"/>
      <c r="S668" s="230"/>
      <c r="T668" s="230"/>
      <c r="U668" s="230"/>
    </row>
    <row r="669">
      <c r="J669" s="230"/>
      <c r="K669" s="230"/>
      <c r="L669" s="230"/>
      <c r="M669" s="230"/>
      <c r="N669" s="230"/>
      <c r="O669" s="230"/>
      <c r="P669" s="230"/>
      <c r="Q669" s="230"/>
      <c r="R669" s="230"/>
      <c r="S669" s="230"/>
      <c r="T669" s="230"/>
      <c r="U669" s="230"/>
    </row>
    <row r="670">
      <c r="J670" s="230"/>
      <c r="K670" s="230"/>
      <c r="L670" s="230"/>
      <c r="M670" s="230"/>
      <c r="N670" s="230"/>
      <c r="O670" s="230"/>
      <c r="P670" s="230"/>
      <c r="Q670" s="230"/>
      <c r="R670" s="230"/>
      <c r="S670" s="230"/>
      <c r="T670" s="230"/>
      <c r="U670" s="230"/>
    </row>
    <row r="671">
      <c r="J671" s="230"/>
      <c r="K671" s="230"/>
      <c r="L671" s="230"/>
      <c r="M671" s="230"/>
      <c r="N671" s="230"/>
      <c r="O671" s="230"/>
      <c r="P671" s="230"/>
      <c r="Q671" s="230"/>
      <c r="R671" s="230"/>
      <c r="S671" s="230"/>
      <c r="T671" s="230"/>
      <c r="U671" s="230"/>
    </row>
    <row r="672">
      <c r="J672" s="230"/>
      <c r="K672" s="230"/>
      <c r="L672" s="230"/>
      <c r="M672" s="230"/>
      <c r="N672" s="230"/>
      <c r="O672" s="230"/>
      <c r="P672" s="230"/>
      <c r="Q672" s="230"/>
      <c r="R672" s="230"/>
      <c r="S672" s="230"/>
      <c r="T672" s="230"/>
      <c r="U672" s="230"/>
    </row>
    <row r="673">
      <c r="J673" s="230"/>
      <c r="K673" s="230"/>
      <c r="L673" s="230"/>
      <c r="M673" s="230"/>
      <c r="N673" s="230"/>
      <c r="O673" s="230"/>
      <c r="P673" s="230"/>
      <c r="Q673" s="230"/>
      <c r="R673" s="230"/>
      <c r="S673" s="230"/>
      <c r="T673" s="230"/>
      <c r="U673" s="230"/>
    </row>
    <row r="674">
      <c r="J674" s="230"/>
      <c r="K674" s="230"/>
      <c r="L674" s="230"/>
      <c r="M674" s="230"/>
      <c r="N674" s="230"/>
      <c r="O674" s="230"/>
      <c r="P674" s="230"/>
      <c r="Q674" s="230"/>
      <c r="R674" s="230"/>
      <c r="S674" s="230"/>
      <c r="T674" s="230"/>
      <c r="U674" s="230"/>
    </row>
    <row r="675">
      <c r="J675" s="230"/>
      <c r="K675" s="230"/>
      <c r="L675" s="230"/>
      <c r="M675" s="230"/>
      <c r="N675" s="230"/>
      <c r="O675" s="230"/>
      <c r="P675" s="230"/>
      <c r="Q675" s="230"/>
      <c r="R675" s="230"/>
      <c r="S675" s="230"/>
      <c r="T675" s="230"/>
      <c r="U675" s="230"/>
    </row>
    <row r="676">
      <c r="J676" s="230"/>
      <c r="K676" s="230"/>
      <c r="L676" s="230"/>
      <c r="M676" s="230"/>
      <c r="N676" s="230"/>
      <c r="O676" s="230"/>
      <c r="P676" s="230"/>
      <c r="Q676" s="230"/>
      <c r="R676" s="230"/>
      <c r="S676" s="230"/>
      <c r="T676" s="230"/>
      <c r="U676" s="230"/>
    </row>
    <row r="677">
      <c r="J677" s="230"/>
      <c r="K677" s="230"/>
      <c r="L677" s="230"/>
      <c r="M677" s="230"/>
      <c r="N677" s="230"/>
      <c r="O677" s="230"/>
      <c r="P677" s="230"/>
      <c r="Q677" s="230"/>
      <c r="R677" s="230"/>
      <c r="S677" s="230"/>
      <c r="T677" s="230"/>
      <c r="U677" s="230"/>
    </row>
    <row r="678">
      <c r="J678" s="230"/>
      <c r="K678" s="230"/>
      <c r="L678" s="230"/>
      <c r="M678" s="230"/>
      <c r="N678" s="230"/>
      <c r="O678" s="230"/>
      <c r="P678" s="230"/>
      <c r="Q678" s="230"/>
      <c r="R678" s="230"/>
      <c r="S678" s="230"/>
      <c r="T678" s="230"/>
      <c r="U678" s="230"/>
    </row>
    <row r="679">
      <c r="J679" s="230"/>
      <c r="K679" s="230"/>
      <c r="L679" s="230"/>
      <c r="M679" s="230"/>
      <c r="N679" s="230"/>
      <c r="O679" s="230"/>
      <c r="P679" s="230"/>
      <c r="Q679" s="230"/>
      <c r="R679" s="230"/>
      <c r="S679" s="230"/>
      <c r="T679" s="230"/>
      <c r="U679" s="230"/>
    </row>
    <row r="680">
      <c r="J680" s="230"/>
      <c r="K680" s="230"/>
      <c r="L680" s="230"/>
      <c r="M680" s="230"/>
      <c r="N680" s="230"/>
      <c r="O680" s="230"/>
      <c r="P680" s="230"/>
      <c r="Q680" s="230"/>
      <c r="R680" s="230"/>
      <c r="S680" s="230"/>
      <c r="T680" s="230"/>
      <c r="U680" s="230"/>
    </row>
    <row r="681">
      <c r="J681" s="230"/>
      <c r="K681" s="230"/>
      <c r="L681" s="230"/>
      <c r="M681" s="230"/>
      <c r="N681" s="230"/>
      <c r="O681" s="230"/>
      <c r="P681" s="230"/>
      <c r="Q681" s="230"/>
      <c r="R681" s="230"/>
      <c r="S681" s="230"/>
      <c r="T681" s="230"/>
      <c r="U681" s="230"/>
    </row>
    <row r="682">
      <c r="J682" s="230"/>
      <c r="K682" s="230"/>
      <c r="L682" s="230"/>
      <c r="M682" s="230"/>
      <c r="N682" s="230"/>
      <c r="O682" s="230"/>
      <c r="P682" s="230"/>
      <c r="Q682" s="230"/>
      <c r="R682" s="230"/>
      <c r="S682" s="230"/>
      <c r="T682" s="230"/>
      <c r="U682" s="230"/>
    </row>
    <row r="683">
      <c r="J683" s="230"/>
      <c r="K683" s="230"/>
      <c r="L683" s="230"/>
      <c r="M683" s="230"/>
      <c r="N683" s="230"/>
      <c r="O683" s="230"/>
      <c r="P683" s="230"/>
      <c r="Q683" s="230"/>
      <c r="R683" s="230"/>
      <c r="S683" s="230"/>
      <c r="T683" s="230"/>
      <c r="U683" s="230"/>
    </row>
    <row r="684">
      <c r="J684" s="230"/>
      <c r="K684" s="230"/>
      <c r="L684" s="230"/>
      <c r="M684" s="230"/>
      <c r="N684" s="230"/>
      <c r="O684" s="230"/>
      <c r="P684" s="230"/>
      <c r="Q684" s="230"/>
      <c r="R684" s="230"/>
      <c r="S684" s="230"/>
      <c r="T684" s="230"/>
      <c r="U684" s="230"/>
    </row>
    <row r="685">
      <c r="J685" s="230"/>
      <c r="K685" s="230"/>
      <c r="L685" s="230"/>
      <c r="M685" s="230"/>
      <c r="N685" s="230"/>
      <c r="O685" s="230"/>
      <c r="P685" s="230"/>
      <c r="Q685" s="230"/>
      <c r="R685" s="230"/>
      <c r="S685" s="230"/>
      <c r="T685" s="230"/>
      <c r="U685" s="230"/>
    </row>
    <row r="686">
      <c r="J686" s="230"/>
      <c r="K686" s="230"/>
      <c r="L686" s="230"/>
      <c r="M686" s="230"/>
      <c r="N686" s="230"/>
      <c r="O686" s="230"/>
      <c r="P686" s="230"/>
      <c r="Q686" s="230"/>
      <c r="R686" s="230"/>
      <c r="S686" s="230"/>
      <c r="T686" s="230"/>
      <c r="U686" s="230"/>
    </row>
    <row r="687">
      <c r="J687" s="230"/>
      <c r="K687" s="230"/>
      <c r="L687" s="230"/>
      <c r="M687" s="230"/>
      <c r="N687" s="230"/>
      <c r="O687" s="230"/>
      <c r="P687" s="230"/>
      <c r="Q687" s="230"/>
      <c r="R687" s="230"/>
      <c r="S687" s="230"/>
      <c r="T687" s="230"/>
      <c r="U687" s="230"/>
    </row>
    <row r="688">
      <c r="J688" s="230"/>
      <c r="K688" s="230"/>
      <c r="L688" s="230"/>
      <c r="M688" s="230"/>
      <c r="N688" s="230"/>
      <c r="O688" s="230"/>
      <c r="P688" s="230"/>
      <c r="Q688" s="230"/>
      <c r="R688" s="230"/>
      <c r="S688" s="230"/>
      <c r="T688" s="230"/>
      <c r="U688" s="230"/>
    </row>
    <row r="689">
      <c r="J689" s="230"/>
      <c r="K689" s="230"/>
      <c r="L689" s="230"/>
      <c r="M689" s="230"/>
      <c r="N689" s="230"/>
      <c r="O689" s="230"/>
      <c r="P689" s="230"/>
      <c r="Q689" s="230"/>
      <c r="R689" s="230"/>
      <c r="S689" s="230"/>
      <c r="T689" s="230"/>
      <c r="U689" s="230"/>
    </row>
    <row r="690">
      <c r="J690" s="230"/>
      <c r="K690" s="230"/>
      <c r="L690" s="230"/>
      <c r="M690" s="230"/>
      <c r="N690" s="230"/>
      <c r="O690" s="230"/>
      <c r="P690" s="230"/>
      <c r="Q690" s="230"/>
      <c r="R690" s="230"/>
      <c r="S690" s="230"/>
      <c r="T690" s="230"/>
      <c r="U690" s="230"/>
    </row>
    <row r="691">
      <c r="J691" s="230"/>
      <c r="K691" s="230"/>
      <c r="L691" s="230"/>
      <c r="M691" s="230"/>
      <c r="N691" s="230"/>
      <c r="O691" s="230"/>
      <c r="P691" s="230"/>
      <c r="Q691" s="230"/>
      <c r="R691" s="230"/>
      <c r="S691" s="230"/>
      <c r="T691" s="230"/>
      <c r="U691" s="230"/>
    </row>
    <row r="692">
      <c r="J692" s="230"/>
      <c r="K692" s="230"/>
      <c r="L692" s="230"/>
      <c r="M692" s="230"/>
      <c r="N692" s="230"/>
      <c r="O692" s="230"/>
      <c r="P692" s="230"/>
      <c r="Q692" s="230"/>
      <c r="R692" s="230"/>
      <c r="S692" s="230"/>
      <c r="T692" s="230"/>
      <c r="U692" s="230"/>
    </row>
    <row r="693">
      <c r="J693" s="230"/>
      <c r="K693" s="230"/>
      <c r="L693" s="230"/>
      <c r="M693" s="230"/>
      <c r="N693" s="230"/>
      <c r="O693" s="230"/>
      <c r="P693" s="230"/>
      <c r="Q693" s="230"/>
      <c r="R693" s="230"/>
      <c r="S693" s="230"/>
      <c r="T693" s="230"/>
      <c r="U693" s="230"/>
    </row>
    <row r="694">
      <c r="J694" s="230"/>
      <c r="K694" s="230"/>
      <c r="L694" s="230"/>
      <c r="M694" s="230"/>
      <c r="N694" s="230"/>
      <c r="O694" s="230"/>
      <c r="P694" s="230"/>
      <c r="Q694" s="230"/>
      <c r="R694" s="230"/>
      <c r="S694" s="230"/>
      <c r="T694" s="230"/>
      <c r="U694" s="230"/>
    </row>
    <row r="695">
      <c r="J695" s="230"/>
      <c r="K695" s="230"/>
      <c r="L695" s="230"/>
      <c r="M695" s="230"/>
      <c r="N695" s="230"/>
      <c r="O695" s="230"/>
      <c r="P695" s="230"/>
      <c r="Q695" s="230"/>
      <c r="R695" s="230"/>
      <c r="S695" s="230"/>
      <c r="T695" s="230"/>
      <c r="U695" s="230"/>
    </row>
    <row r="696">
      <c r="J696" s="230"/>
      <c r="K696" s="230"/>
      <c r="L696" s="230"/>
      <c r="M696" s="230"/>
      <c r="N696" s="230"/>
      <c r="O696" s="230"/>
      <c r="P696" s="230"/>
      <c r="Q696" s="230"/>
      <c r="R696" s="230"/>
      <c r="S696" s="230"/>
      <c r="T696" s="230"/>
      <c r="U696" s="230"/>
    </row>
    <row r="697">
      <c r="J697" s="230"/>
      <c r="K697" s="230"/>
      <c r="L697" s="230"/>
      <c r="M697" s="230"/>
      <c r="N697" s="230"/>
      <c r="O697" s="230"/>
      <c r="P697" s="230"/>
      <c r="Q697" s="230"/>
      <c r="R697" s="230"/>
      <c r="S697" s="230"/>
      <c r="T697" s="230"/>
      <c r="U697" s="230"/>
    </row>
    <row r="698">
      <c r="J698" s="230"/>
      <c r="K698" s="230"/>
      <c r="L698" s="230"/>
      <c r="M698" s="230"/>
      <c r="N698" s="230"/>
      <c r="O698" s="230"/>
      <c r="P698" s="230"/>
      <c r="Q698" s="230"/>
      <c r="R698" s="230"/>
      <c r="S698" s="230"/>
      <c r="T698" s="230"/>
      <c r="U698" s="230"/>
    </row>
    <row r="699">
      <c r="J699" s="230"/>
      <c r="K699" s="230"/>
      <c r="L699" s="230"/>
      <c r="M699" s="230"/>
      <c r="N699" s="230"/>
      <c r="O699" s="230"/>
      <c r="P699" s="230"/>
      <c r="Q699" s="230"/>
      <c r="R699" s="230"/>
      <c r="S699" s="230"/>
      <c r="T699" s="230"/>
      <c r="U699" s="230"/>
    </row>
    <row r="700">
      <c r="J700" s="230"/>
      <c r="K700" s="230"/>
      <c r="L700" s="230"/>
      <c r="M700" s="230"/>
      <c r="N700" s="230"/>
      <c r="O700" s="230"/>
      <c r="P700" s="230"/>
      <c r="Q700" s="230"/>
      <c r="R700" s="230"/>
      <c r="S700" s="230"/>
      <c r="T700" s="230"/>
      <c r="U700" s="230"/>
    </row>
    <row r="701">
      <c r="J701" s="230"/>
      <c r="K701" s="230"/>
      <c r="L701" s="230"/>
      <c r="M701" s="230"/>
      <c r="N701" s="230"/>
      <c r="O701" s="230"/>
      <c r="P701" s="230"/>
      <c r="Q701" s="230"/>
      <c r="R701" s="230"/>
      <c r="S701" s="230"/>
      <c r="T701" s="230"/>
      <c r="U701" s="230"/>
    </row>
    <row r="702">
      <c r="J702" s="230"/>
      <c r="K702" s="230"/>
      <c r="L702" s="230"/>
      <c r="M702" s="230"/>
      <c r="N702" s="230"/>
      <c r="O702" s="230"/>
      <c r="P702" s="230"/>
      <c r="Q702" s="230"/>
      <c r="R702" s="230"/>
      <c r="S702" s="230"/>
      <c r="T702" s="230"/>
      <c r="U702" s="230"/>
    </row>
    <row r="703">
      <c r="J703" s="230"/>
      <c r="K703" s="230"/>
      <c r="L703" s="230"/>
      <c r="M703" s="230"/>
      <c r="N703" s="230"/>
      <c r="O703" s="230"/>
      <c r="P703" s="230"/>
      <c r="Q703" s="230"/>
      <c r="R703" s="230"/>
      <c r="S703" s="230"/>
      <c r="T703" s="230"/>
      <c r="U703" s="230"/>
    </row>
    <row r="704">
      <c r="J704" s="230"/>
      <c r="K704" s="230"/>
      <c r="L704" s="230"/>
      <c r="M704" s="230"/>
      <c r="N704" s="230"/>
      <c r="O704" s="230"/>
      <c r="P704" s="230"/>
      <c r="Q704" s="230"/>
      <c r="R704" s="230"/>
      <c r="S704" s="230"/>
      <c r="T704" s="230"/>
      <c r="U704" s="230"/>
    </row>
    <row r="705">
      <c r="J705" s="230"/>
      <c r="K705" s="230"/>
      <c r="L705" s="230"/>
      <c r="M705" s="230"/>
      <c r="N705" s="230"/>
      <c r="O705" s="230"/>
      <c r="P705" s="230"/>
      <c r="Q705" s="230"/>
      <c r="R705" s="230"/>
      <c r="S705" s="230"/>
      <c r="T705" s="230"/>
      <c r="U705" s="230"/>
    </row>
    <row r="706">
      <c r="J706" s="230"/>
      <c r="K706" s="230"/>
      <c r="L706" s="230"/>
      <c r="M706" s="230"/>
      <c r="N706" s="230"/>
      <c r="O706" s="230"/>
      <c r="P706" s="230"/>
      <c r="Q706" s="230"/>
      <c r="R706" s="230"/>
      <c r="S706" s="230"/>
      <c r="T706" s="230"/>
      <c r="U706" s="230"/>
    </row>
    <row r="707">
      <c r="J707" s="230"/>
      <c r="K707" s="230"/>
      <c r="L707" s="230"/>
      <c r="M707" s="230"/>
      <c r="N707" s="230"/>
      <c r="O707" s="230"/>
      <c r="P707" s="230"/>
      <c r="Q707" s="230"/>
      <c r="R707" s="230"/>
      <c r="S707" s="230"/>
      <c r="T707" s="230"/>
      <c r="U707" s="230"/>
    </row>
    <row r="708">
      <c r="J708" s="230"/>
      <c r="K708" s="230"/>
      <c r="L708" s="230"/>
      <c r="M708" s="230"/>
      <c r="N708" s="230"/>
      <c r="O708" s="230"/>
      <c r="P708" s="230"/>
      <c r="Q708" s="230"/>
      <c r="R708" s="230"/>
      <c r="S708" s="230"/>
      <c r="T708" s="230"/>
      <c r="U708" s="230"/>
    </row>
    <row r="709">
      <c r="J709" s="230"/>
      <c r="K709" s="230"/>
      <c r="L709" s="230"/>
      <c r="M709" s="230"/>
      <c r="N709" s="230"/>
      <c r="O709" s="230"/>
      <c r="P709" s="230"/>
      <c r="Q709" s="230"/>
      <c r="R709" s="230"/>
      <c r="S709" s="230"/>
      <c r="T709" s="230"/>
      <c r="U709" s="230"/>
    </row>
    <row r="710">
      <c r="J710" s="230"/>
      <c r="K710" s="230"/>
      <c r="L710" s="230"/>
      <c r="M710" s="230"/>
      <c r="N710" s="230"/>
      <c r="O710" s="230"/>
      <c r="P710" s="230"/>
      <c r="Q710" s="230"/>
      <c r="R710" s="230"/>
      <c r="S710" s="230"/>
      <c r="T710" s="230"/>
      <c r="U710" s="230"/>
    </row>
    <row r="711">
      <c r="J711" s="230"/>
      <c r="K711" s="230"/>
      <c r="L711" s="230"/>
      <c r="M711" s="230"/>
      <c r="N711" s="230"/>
      <c r="O711" s="230"/>
      <c r="P711" s="230"/>
      <c r="Q711" s="230"/>
      <c r="R711" s="230"/>
      <c r="S711" s="230"/>
      <c r="T711" s="230"/>
      <c r="U711" s="230"/>
    </row>
    <row r="712">
      <c r="J712" s="230"/>
      <c r="K712" s="230"/>
      <c r="L712" s="230"/>
      <c r="M712" s="230"/>
      <c r="N712" s="230"/>
      <c r="O712" s="230"/>
      <c r="P712" s="230"/>
      <c r="Q712" s="230"/>
      <c r="R712" s="230"/>
      <c r="S712" s="230"/>
      <c r="T712" s="230"/>
      <c r="U712" s="230"/>
    </row>
    <row r="713">
      <c r="J713" s="230"/>
      <c r="K713" s="230"/>
      <c r="L713" s="230"/>
      <c r="M713" s="230"/>
      <c r="N713" s="230"/>
      <c r="O713" s="230"/>
      <c r="P713" s="230"/>
      <c r="Q713" s="230"/>
      <c r="R713" s="230"/>
      <c r="S713" s="230"/>
      <c r="T713" s="230"/>
      <c r="U713" s="230"/>
    </row>
    <row r="714">
      <c r="J714" s="230"/>
      <c r="K714" s="230"/>
      <c r="L714" s="230"/>
      <c r="M714" s="230"/>
      <c r="N714" s="230"/>
      <c r="O714" s="230"/>
      <c r="P714" s="230"/>
      <c r="Q714" s="230"/>
      <c r="R714" s="230"/>
      <c r="S714" s="230"/>
      <c r="T714" s="230"/>
      <c r="U714" s="230"/>
    </row>
    <row r="715">
      <c r="J715" s="230"/>
      <c r="K715" s="230"/>
      <c r="L715" s="230"/>
      <c r="M715" s="230"/>
      <c r="N715" s="230"/>
      <c r="O715" s="230"/>
      <c r="P715" s="230"/>
      <c r="Q715" s="230"/>
      <c r="R715" s="230"/>
      <c r="S715" s="230"/>
      <c r="T715" s="230"/>
      <c r="U715" s="230"/>
    </row>
    <row r="716">
      <c r="J716" s="230"/>
      <c r="K716" s="230"/>
      <c r="L716" s="230"/>
      <c r="M716" s="230"/>
      <c r="N716" s="230"/>
      <c r="O716" s="230"/>
      <c r="P716" s="230"/>
      <c r="Q716" s="230"/>
      <c r="R716" s="230"/>
      <c r="S716" s="230"/>
      <c r="T716" s="230"/>
      <c r="U716" s="230"/>
    </row>
    <row r="717">
      <c r="J717" s="230"/>
      <c r="K717" s="230"/>
      <c r="L717" s="230"/>
      <c r="M717" s="230"/>
      <c r="N717" s="230"/>
      <c r="O717" s="230"/>
      <c r="P717" s="230"/>
      <c r="Q717" s="230"/>
      <c r="R717" s="230"/>
      <c r="S717" s="230"/>
      <c r="T717" s="230"/>
      <c r="U717" s="230"/>
    </row>
    <row r="718">
      <c r="J718" s="230"/>
      <c r="K718" s="230"/>
      <c r="L718" s="230"/>
      <c r="M718" s="230"/>
      <c r="N718" s="230"/>
      <c r="O718" s="230"/>
      <c r="P718" s="230"/>
      <c r="Q718" s="230"/>
      <c r="R718" s="230"/>
      <c r="S718" s="230"/>
      <c r="T718" s="230"/>
      <c r="U718" s="230"/>
    </row>
    <row r="719">
      <c r="J719" s="230"/>
      <c r="K719" s="230"/>
      <c r="L719" s="230"/>
      <c r="M719" s="230"/>
      <c r="N719" s="230"/>
      <c r="O719" s="230"/>
      <c r="P719" s="230"/>
      <c r="Q719" s="230"/>
      <c r="R719" s="230"/>
      <c r="S719" s="230"/>
      <c r="T719" s="230"/>
      <c r="U719" s="230"/>
    </row>
    <row r="720">
      <c r="J720" s="230"/>
      <c r="K720" s="230"/>
      <c r="L720" s="230"/>
      <c r="M720" s="230"/>
      <c r="N720" s="230"/>
      <c r="O720" s="230"/>
      <c r="P720" s="230"/>
      <c r="Q720" s="230"/>
      <c r="R720" s="230"/>
      <c r="S720" s="230"/>
      <c r="T720" s="230"/>
      <c r="U720" s="230"/>
    </row>
    <row r="721">
      <c r="J721" s="230"/>
      <c r="K721" s="230"/>
      <c r="L721" s="230"/>
      <c r="M721" s="230"/>
      <c r="N721" s="230"/>
      <c r="O721" s="230"/>
      <c r="P721" s="230"/>
      <c r="Q721" s="230"/>
      <c r="R721" s="230"/>
      <c r="S721" s="230"/>
      <c r="T721" s="230"/>
      <c r="U721" s="230"/>
    </row>
    <row r="722">
      <c r="J722" s="230"/>
      <c r="K722" s="230"/>
      <c r="L722" s="230"/>
      <c r="M722" s="230"/>
      <c r="N722" s="230"/>
      <c r="O722" s="230"/>
      <c r="P722" s="230"/>
      <c r="Q722" s="230"/>
      <c r="R722" s="230"/>
      <c r="S722" s="230"/>
      <c r="T722" s="230"/>
      <c r="U722" s="230"/>
    </row>
    <row r="723">
      <c r="J723" s="230"/>
      <c r="K723" s="230"/>
      <c r="L723" s="230"/>
      <c r="M723" s="230"/>
      <c r="N723" s="230"/>
      <c r="O723" s="230"/>
      <c r="P723" s="230"/>
      <c r="Q723" s="230"/>
      <c r="R723" s="230"/>
      <c r="S723" s="230"/>
      <c r="T723" s="230"/>
      <c r="U723" s="230"/>
    </row>
    <row r="724">
      <c r="J724" s="230"/>
      <c r="K724" s="230"/>
      <c r="L724" s="230"/>
      <c r="M724" s="230"/>
      <c r="N724" s="230"/>
      <c r="O724" s="230"/>
      <c r="P724" s="230"/>
      <c r="Q724" s="230"/>
      <c r="R724" s="230"/>
      <c r="S724" s="230"/>
      <c r="T724" s="230"/>
      <c r="U724" s="230"/>
    </row>
    <row r="725">
      <c r="J725" s="230"/>
      <c r="K725" s="230"/>
      <c r="L725" s="230"/>
      <c r="M725" s="230"/>
      <c r="N725" s="230"/>
      <c r="O725" s="230"/>
      <c r="P725" s="230"/>
      <c r="Q725" s="230"/>
      <c r="R725" s="230"/>
      <c r="S725" s="230"/>
      <c r="T725" s="230"/>
      <c r="U725" s="230"/>
    </row>
    <row r="726">
      <c r="J726" s="230"/>
      <c r="K726" s="230"/>
      <c r="L726" s="230"/>
      <c r="M726" s="230"/>
      <c r="N726" s="230"/>
      <c r="O726" s="230"/>
      <c r="P726" s="230"/>
      <c r="Q726" s="230"/>
      <c r="R726" s="230"/>
      <c r="S726" s="230"/>
      <c r="T726" s="230"/>
      <c r="U726" s="230"/>
    </row>
    <row r="727">
      <c r="J727" s="230"/>
      <c r="K727" s="230"/>
      <c r="L727" s="230"/>
      <c r="M727" s="230"/>
      <c r="N727" s="230"/>
      <c r="O727" s="230"/>
      <c r="P727" s="230"/>
      <c r="Q727" s="230"/>
      <c r="R727" s="230"/>
      <c r="S727" s="230"/>
      <c r="T727" s="230"/>
      <c r="U727" s="230"/>
    </row>
    <row r="728">
      <c r="J728" s="230"/>
      <c r="K728" s="230"/>
      <c r="L728" s="230"/>
      <c r="M728" s="230"/>
      <c r="N728" s="230"/>
      <c r="O728" s="230"/>
      <c r="P728" s="230"/>
      <c r="Q728" s="230"/>
      <c r="R728" s="230"/>
      <c r="S728" s="230"/>
      <c r="T728" s="230"/>
      <c r="U728" s="230"/>
    </row>
    <row r="729">
      <c r="J729" s="230"/>
      <c r="K729" s="230"/>
      <c r="L729" s="230"/>
      <c r="M729" s="230"/>
      <c r="N729" s="230"/>
      <c r="O729" s="230"/>
      <c r="P729" s="230"/>
      <c r="Q729" s="230"/>
      <c r="R729" s="230"/>
      <c r="S729" s="230"/>
      <c r="T729" s="230"/>
      <c r="U729" s="230"/>
    </row>
    <row r="730">
      <c r="J730" s="230"/>
      <c r="K730" s="230"/>
      <c r="L730" s="230"/>
      <c r="M730" s="230"/>
      <c r="N730" s="230"/>
      <c r="O730" s="230"/>
      <c r="P730" s="230"/>
      <c r="Q730" s="230"/>
      <c r="R730" s="230"/>
      <c r="S730" s="230"/>
      <c r="T730" s="230"/>
      <c r="U730" s="230"/>
    </row>
    <row r="731">
      <c r="J731" s="230"/>
      <c r="K731" s="230"/>
      <c r="L731" s="230"/>
      <c r="M731" s="230"/>
      <c r="N731" s="230"/>
      <c r="O731" s="230"/>
      <c r="P731" s="230"/>
      <c r="Q731" s="230"/>
      <c r="R731" s="230"/>
      <c r="S731" s="230"/>
      <c r="T731" s="230"/>
      <c r="U731" s="230"/>
    </row>
    <row r="732">
      <c r="J732" s="230"/>
      <c r="K732" s="230"/>
      <c r="L732" s="230"/>
      <c r="M732" s="230"/>
      <c r="N732" s="230"/>
      <c r="O732" s="230"/>
      <c r="P732" s="230"/>
      <c r="Q732" s="230"/>
      <c r="R732" s="230"/>
      <c r="S732" s="230"/>
      <c r="T732" s="230"/>
      <c r="U732" s="230"/>
    </row>
    <row r="733">
      <c r="J733" s="230"/>
      <c r="K733" s="230"/>
      <c r="L733" s="230"/>
      <c r="M733" s="230"/>
      <c r="N733" s="230"/>
      <c r="O733" s="230"/>
      <c r="P733" s="230"/>
      <c r="Q733" s="230"/>
      <c r="R733" s="230"/>
      <c r="S733" s="230"/>
      <c r="T733" s="230"/>
      <c r="U733" s="230"/>
    </row>
    <row r="734">
      <c r="J734" s="230"/>
      <c r="K734" s="230"/>
      <c r="L734" s="230"/>
      <c r="M734" s="230"/>
      <c r="N734" s="230"/>
      <c r="O734" s="230"/>
      <c r="P734" s="230"/>
      <c r="Q734" s="230"/>
      <c r="R734" s="230"/>
      <c r="S734" s="230"/>
      <c r="T734" s="230"/>
      <c r="U734" s="230"/>
    </row>
    <row r="735">
      <c r="J735" s="230"/>
      <c r="K735" s="230"/>
      <c r="L735" s="230"/>
      <c r="M735" s="230"/>
      <c r="N735" s="230"/>
      <c r="O735" s="230"/>
      <c r="P735" s="230"/>
      <c r="Q735" s="230"/>
      <c r="R735" s="230"/>
      <c r="S735" s="230"/>
      <c r="T735" s="230"/>
      <c r="U735" s="230"/>
    </row>
    <row r="736">
      <c r="J736" s="230"/>
      <c r="K736" s="230"/>
      <c r="L736" s="230"/>
      <c r="M736" s="230"/>
      <c r="N736" s="230"/>
      <c r="O736" s="230"/>
      <c r="P736" s="230"/>
      <c r="Q736" s="230"/>
      <c r="R736" s="230"/>
      <c r="S736" s="230"/>
      <c r="T736" s="230"/>
      <c r="U736" s="230"/>
    </row>
    <row r="737">
      <c r="J737" s="230"/>
      <c r="K737" s="230"/>
      <c r="L737" s="230"/>
      <c r="M737" s="230"/>
      <c r="N737" s="230"/>
      <c r="O737" s="230"/>
      <c r="P737" s="230"/>
      <c r="Q737" s="230"/>
      <c r="R737" s="230"/>
      <c r="S737" s="230"/>
      <c r="T737" s="230"/>
      <c r="U737" s="230"/>
    </row>
    <row r="738">
      <c r="J738" s="230"/>
      <c r="K738" s="230"/>
      <c r="L738" s="230"/>
      <c r="M738" s="230"/>
      <c r="N738" s="230"/>
      <c r="O738" s="230"/>
      <c r="P738" s="230"/>
      <c r="Q738" s="230"/>
      <c r="R738" s="230"/>
      <c r="S738" s="230"/>
      <c r="T738" s="230"/>
      <c r="U738" s="230"/>
    </row>
    <row r="739">
      <c r="J739" s="230"/>
      <c r="K739" s="230"/>
      <c r="L739" s="230"/>
      <c r="M739" s="230"/>
      <c r="N739" s="230"/>
      <c r="O739" s="230"/>
      <c r="P739" s="230"/>
      <c r="Q739" s="230"/>
      <c r="R739" s="230"/>
      <c r="S739" s="230"/>
      <c r="T739" s="230"/>
      <c r="U739" s="230"/>
    </row>
    <row r="740">
      <c r="J740" s="230"/>
      <c r="K740" s="230"/>
      <c r="L740" s="230"/>
      <c r="M740" s="230"/>
      <c r="N740" s="230"/>
      <c r="O740" s="230"/>
      <c r="P740" s="230"/>
      <c r="Q740" s="230"/>
      <c r="R740" s="230"/>
      <c r="S740" s="230"/>
      <c r="T740" s="230"/>
      <c r="U740" s="230"/>
    </row>
    <row r="741">
      <c r="J741" s="230"/>
      <c r="K741" s="230"/>
      <c r="L741" s="230"/>
      <c r="M741" s="230"/>
      <c r="N741" s="230"/>
      <c r="O741" s="230"/>
      <c r="P741" s="230"/>
      <c r="Q741" s="230"/>
      <c r="R741" s="230"/>
      <c r="S741" s="230"/>
      <c r="T741" s="230"/>
      <c r="U741" s="230"/>
    </row>
    <row r="742">
      <c r="J742" s="230"/>
      <c r="K742" s="230"/>
      <c r="L742" s="230"/>
      <c r="M742" s="230"/>
      <c r="N742" s="230"/>
      <c r="O742" s="230"/>
      <c r="P742" s="230"/>
      <c r="Q742" s="230"/>
      <c r="R742" s="230"/>
      <c r="S742" s="230"/>
      <c r="T742" s="230"/>
      <c r="U742" s="230"/>
    </row>
    <row r="743">
      <c r="J743" s="230"/>
      <c r="K743" s="230"/>
      <c r="L743" s="230"/>
      <c r="M743" s="230"/>
      <c r="N743" s="230"/>
      <c r="O743" s="230"/>
      <c r="P743" s="230"/>
      <c r="Q743" s="230"/>
      <c r="R743" s="230"/>
      <c r="S743" s="230"/>
      <c r="T743" s="230"/>
      <c r="U743" s="230"/>
    </row>
    <row r="744">
      <c r="J744" s="230"/>
      <c r="K744" s="230"/>
      <c r="L744" s="230"/>
      <c r="M744" s="230"/>
      <c r="N744" s="230"/>
      <c r="O744" s="230"/>
      <c r="P744" s="230"/>
      <c r="Q744" s="230"/>
      <c r="R744" s="230"/>
      <c r="S744" s="230"/>
      <c r="T744" s="230"/>
      <c r="U744" s="230"/>
    </row>
    <row r="745">
      <c r="J745" s="230"/>
      <c r="K745" s="230"/>
      <c r="L745" s="230"/>
      <c r="M745" s="230"/>
      <c r="N745" s="230"/>
      <c r="O745" s="230"/>
      <c r="P745" s="230"/>
      <c r="Q745" s="230"/>
      <c r="R745" s="230"/>
      <c r="S745" s="230"/>
      <c r="T745" s="230"/>
      <c r="U745" s="230"/>
    </row>
    <row r="746">
      <c r="J746" s="230"/>
      <c r="K746" s="230"/>
      <c r="L746" s="230"/>
      <c r="M746" s="230"/>
      <c r="N746" s="230"/>
      <c r="O746" s="230"/>
      <c r="P746" s="230"/>
      <c r="Q746" s="230"/>
      <c r="R746" s="230"/>
      <c r="S746" s="230"/>
      <c r="T746" s="230"/>
      <c r="U746" s="230"/>
    </row>
    <row r="747">
      <c r="J747" s="230"/>
      <c r="K747" s="230"/>
      <c r="L747" s="230"/>
      <c r="M747" s="230"/>
      <c r="N747" s="230"/>
      <c r="O747" s="230"/>
      <c r="P747" s="230"/>
      <c r="Q747" s="230"/>
      <c r="R747" s="230"/>
      <c r="S747" s="230"/>
      <c r="T747" s="230"/>
      <c r="U747" s="230"/>
    </row>
    <row r="748">
      <c r="J748" s="230"/>
      <c r="K748" s="230"/>
      <c r="L748" s="230"/>
      <c r="M748" s="230"/>
      <c r="N748" s="230"/>
      <c r="O748" s="230"/>
      <c r="P748" s="230"/>
      <c r="Q748" s="230"/>
      <c r="R748" s="230"/>
      <c r="S748" s="230"/>
      <c r="T748" s="230"/>
      <c r="U748" s="230"/>
    </row>
    <row r="749">
      <c r="J749" s="230"/>
      <c r="K749" s="230"/>
      <c r="L749" s="230"/>
      <c r="M749" s="230"/>
      <c r="N749" s="230"/>
      <c r="O749" s="230"/>
      <c r="P749" s="230"/>
      <c r="Q749" s="230"/>
      <c r="R749" s="230"/>
      <c r="S749" s="230"/>
      <c r="T749" s="230"/>
      <c r="U749" s="230"/>
    </row>
    <row r="750">
      <c r="J750" s="230"/>
      <c r="K750" s="230"/>
      <c r="L750" s="230"/>
      <c r="M750" s="230"/>
      <c r="N750" s="230"/>
      <c r="O750" s="230"/>
      <c r="P750" s="230"/>
      <c r="Q750" s="230"/>
      <c r="R750" s="230"/>
      <c r="S750" s="230"/>
      <c r="T750" s="230"/>
      <c r="U750" s="230"/>
    </row>
    <row r="751">
      <c r="J751" s="230"/>
      <c r="K751" s="230"/>
      <c r="L751" s="230"/>
      <c r="M751" s="230"/>
      <c r="N751" s="230"/>
      <c r="O751" s="230"/>
      <c r="P751" s="230"/>
      <c r="Q751" s="230"/>
      <c r="R751" s="230"/>
      <c r="S751" s="230"/>
      <c r="T751" s="230"/>
      <c r="U751" s="230"/>
    </row>
    <row r="752">
      <c r="J752" s="230"/>
      <c r="K752" s="230"/>
      <c r="L752" s="230"/>
      <c r="M752" s="230"/>
      <c r="N752" s="230"/>
      <c r="O752" s="230"/>
      <c r="P752" s="230"/>
      <c r="Q752" s="230"/>
      <c r="R752" s="230"/>
      <c r="S752" s="230"/>
      <c r="T752" s="230"/>
      <c r="U752" s="230"/>
    </row>
    <row r="753">
      <c r="J753" s="230"/>
      <c r="K753" s="230"/>
      <c r="L753" s="230"/>
      <c r="M753" s="230"/>
      <c r="N753" s="230"/>
      <c r="O753" s="230"/>
      <c r="P753" s="230"/>
      <c r="Q753" s="230"/>
      <c r="R753" s="230"/>
      <c r="S753" s="230"/>
      <c r="T753" s="230"/>
      <c r="U753" s="230"/>
    </row>
    <row r="754">
      <c r="J754" s="230"/>
      <c r="K754" s="230"/>
      <c r="L754" s="230"/>
      <c r="M754" s="230"/>
      <c r="N754" s="230"/>
      <c r="O754" s="230"/>
      <c r="P754" s="230"/>
      <c r="Q754" s="230"/>
      <c r="R754" s="230"/>
      <c r="S754" s="230"/>
      <c r="T754" s="230"/>
      <c r="U754" s="230"/>
    </row>
    <row r="755">
      <c r="J755" s="230"/>
      <c r="K755" s="230"/>
      <c r="L755" s="230"/>
      <c r="M755" s="230"/>
      <c r="N755" s="230"/>
      <c r="O755" s="230"/>
      <c r="P755" s="230"/>
      <c r="Q755" s="230"/>
      <c r="R755" s="230"/>
      <c r="S755" s="230"/>
      <c r="T755" s="230"/>
      <c r="U755" s="230"/>
    </row>
    <row r="756">
      <c r="J756" s="230"/>
      <c r="K756" s="230"/>
      <c r="L756" s="230"/>
      <c r="M756" s="230"/>
      <c r="N756" s="230"/>
      <c r="O756" s="230"/>
      <c r="P756" s="230"/>
      <c r="Q756" s="230"/>
      <c r="R756" s="230"/>
      <c r="S756" s="230"/>
      <c r="T756" s="230"/>
      <c r="U756" s="230"/>
    </row>
    <row r="757">
      <c r="J757" s="230"/>
      <c r="K757" s="230"/>
      <c r="L757" s="230"/>
      <c r="M757" s="230"/>
      <c r="N757" s="230"/>
      <c r="O757" s="230"/>
      <c r="P757" s="230"/>
      <c r="Q757" s="230"/>
      <c r="R757" s="230"/>
      <c r="S757" s="230"/>
      <c r="T757" s="230"/>
      <c r="U757" s="230"/>
    </row>
    <row r="758">
      <c r="J758" s="230"/>
      <c r="K758" s="230"/>
      <c r="L758" s="230"/>
      <c r="M758" s="230"/>
      <c r="N758" s="230"/>
      <c r="O758" s="230"/>
      <c r="P758" s="230"/>
      <c r="Q758" s="230"/>
      <c r="R758" s="230"/>
      <c r="S758" s="230"/>
      <c r="T758" s="230"/>
      <c r="U758" s="230"/>
    </row>
    <row r="759">
      <c r="J759" s="230"/>
      <c r="K759" s="230"/>
      <c r="L759" s="230"/>
      <c r="M759" s="230"/>
      <c r="N759" s="230"/>
      <c r="O759" s="230"/>
      <c r="P759" s="230"/>
      <c r="Q759" s="230"/>
      <c r="R759" s="230"/>
      <c r="S759" s="230"/>
      <c r="T759" s="230"/>
      <c r="U759" s="230"/>
    </row>
    <row r="760">
      <c r="J760" s="230"/>
      <c r="K760" s="230"/>
      <c r="L760" s="230"/>
      <c r="M760" s="230"/>
      <c r="N760" s="230"/>
      <c r="O760" s="230"/>
      <c r="P760" s="230"/>
      <c r="Q760" s="230"/>
      <c r="R760" s="230"/>
      <c r="S760" s="230"/>
      <c r="T760" s="230"/>
      <c r="U760" s="230"/>
    </row>
    <row r="761">
      <c r="J761" s="230"/>
      <c r="K761" s="230"/>
      <c r="L761" s="230"/>
      <c r="M761" s="230"/>
      <c r="N761" s="230"/>
      <c r="O761" s="230"/>
      <c r="P761" s="230"/>
      <c r="Q761" s="230"/>
      <c r="R761" s="230"/>
      <c r="S761" s="230"/>
      <c r="T761" s="230"/>
      <c r="U761" s="230"/>
    </row>
    <row r="762">
      <c r="J762" s="230"/>
      <c r="K762" s="230"/>
      <c r="L762" s="230"/>
      <c r="M762" s="230"/>
      <c r="N762" s="230"/>
      <c r="O762" s="230"/>
      <c r="P762" s="230"/>
      <c r="Q762" s="230"/>
      <c r="R762" s="230"/>
      <c r="S762" s="230"/>
      <c r="T762" s="230"/>
      <c r="U762" s="230"/>
    </row>
    <row r="763">
      <c r="J763" s="230"/>
      <c r="K763" s="230"/>
      <c r="L763" s="230"/>
      <c r="M763" s="230"/>
      <c r="N763" s="230"/>
      <c r="O763" s="230"/>
      <c r="P763" s="230"/>
      <c r="Q763" s="230"/>
      <c r="R763" s="230"/>
      <c r="S763" s="230"/>
      <c r="T763" s="230"/>
      <c r="U763" s="230"/>
    </row>
    <row r="764">
      <c r="J764" s="230"/>
      <c r="K764" s="230"/>
      <c r="L764" s="230"/>
      <c r="M764" s="230"/>
      <c r="N764" s="230"/>
      <c r="O764" s="230"/>
      <c r="P764" s="230"/>
      <c r="Q764" s="230"/>
      <c r="R764" s="230"/>
      <c r="S764" s="230"/>
      <c r="T764" s="230"/>
      <c r="U764" s="230"/>
    </row>
    <row r="765">
      <c r="J765" s="230"/>
      <c r="K765" s="230"/>
      <c r="L765" s="230"/>
      <c r="M765" s="230"/>
      <c r="N765" s="230"/>
      <c r="O765" s="230"/>
      <c r="P765" s="230"/>
      <c r="Q765" s="230"/>
      <c r="R765" s="230"/>
      <c r="S765" s="230"/>
      <c r="T765" s="230"/>
      <c r="U765" s="230"/>
    </row>
    <row r="766">
      <c r="J766" s="230"/>
      <c r="K766" s="230"/>
      <c r="L766" s="230"/>
      <c r="M766" s="230"/>
      <c r="N766" s="230"/>
      <c r="O766" s="230"/>
      <c r="P766" s="230"/>
      <c r="Q766" s="230"/>
      <c r="R766" s="230"/>
      <c r="S766" s="230"/>
      <c r="T766" s="230"/>
      <c r="U766" s="230"/>
    </row>
    <row r="767">
      <c r="J767" s="230"/>
      <c r="K767" s="230"/>
      <c r="L767" s="230"/>
      <c r="M767" s="230"/>
      <c r="N767" s="230"/>
      <c r="O767" s="230"/>
      <c r="P767" s="230"/>
      <c r="Q767" s="230"/>
      <c r="R767" s="230"/>
      <c r="S767" s="230"/>
      <c r="T767" s="230"/>
      <c r="U767" s="230"/>
    </row>
    <row r="768">
      <c r="J768" s="230"/>
      <c r="K768" s="230"/>
      <c r="L768" s="230"/>
      <c r="M768" s="230"/>
      <c r="N768" s="230"/>
      <c r="O768" s="230"/>
      <c r="P768" s="230"/>
      <c r="Q768" s="230"/>
      <c r="R768" s="230"/>
      <c r="S768" s="230"/>
      <c r="T768" s="230"/>
      <c r="U768" s="230"/>
    </row>
    <row r="769">
      <c r="J769" s="230"/>
      <c r="K769" s="230"/>
      <c r="L769" s="230"/>
      <c r="M769" s="230"/>
      <c r="N769" s="230"/>
      <c r="O769" s="230"/>
      <c r="P769" s="230"/>
      <c r="Q769" s="230"/>
      <c r="R769" s="230"/>
      <c r="S769" s="230"/>
      <c r="T769" s="230"/>
      <c r="U769" s="230"/>
    </row>
    <row r="770">
      <c r="J770" s="230"/>
      <c r="K770" s="230"/>
      <c r="L770" s="230"/>
      <c r="M770" s="230"/>
      <c r="N770" s="230"/>
      <c r="O770" s="230"/>
      <c r="P770" s="230"/>
      <c r="Q770" s="230"/>
      <c r="R770" s="230"/>
      <c r="S770" s="230"/>
      <c r="T770" s="230"/>
      <c r="U770" s="230"/>
    </row>
    <row r="771">
      <c r="J771" s="230"/>
      <c r="K771" s="230"/>
      <c r="L771" s="230"/>
      <c r="M771" s="230"/>
      <c r="N771" s="230"/>
      <c r="O771" s="230"/>
      <c r="P771" s="230"/>
      <c r="Q771" s="230"/>
      <c r="R771" s="230"/>
      <c r="S771" s="230"/>
      <c r="T771" s="230"/>
      <c r="U771" s="230"/>
    </row>
    <row r="772">
      <c r="J772" s="230"/>
      <c r="K772" s="230"/>
      <c r="L772" s="230"/>
      <c r="M772" s="230"/>
      <c r="N772" s="230"/>
      <c r="O772" s="230"/>
      <c r="P772" s="230"/>
      <c r="Q772" s="230"/>
      <c r="R772" s="230"/>
      <c r="S772" s="230"/>
      <c r="T772" s="230"/>
      <c r="U772" s="230"/>
    </row>
    <row r="773">
      <c r="J773" s="230"/>
      <c r="K773" s="230"/>
      <c r="L773" s="230"/>
      <c r="M773" s="230"/>
      <c r="N773" s="230"/>
      <c r="O773" s="230"/>
      <c r="P773" s="230"/>
      <c r="Q773" s="230"/>
      <c r="R773" s="230"/>
      <c r="S773" s="230"/>
      <c r="T773" s="230"/>
      <c r="U773" s="230"/>
    </row>
    <row r="774">
      <c r="J774" s="230"/>
      <c r="K774" s="230"/>
      <c r="L774" s="230"/>
      <c r="M774" s="230"/>
      <c r="N774" s="230"/>
      <c r="O774" s="230"/>
      <c r="P774" s="230"/>
      <c r="Q774" s="230"/>
      <c r="R774" s="230"/>
      <c r="S774" s="230"/>
      <c r="T774" s="230"/>
      <c r="U774" s="230"/>
    </row>
    <row r="775">
      <c r="J775" s="230"/>
      <c r="K775" s="230"/>
      <c r="L775" s="230"/>
      <c r="M775" s="230"/>
      <c r="N775" s="230"/>
      <c r="O775" s="230"/>
      <c r="P775" s="230"/>
      <c r="Q775" s="230"/>
      <c r="R775" s="230"/>
      <c r="S775" s="230"/>
      <c r="T775" s="230"/>
      <c r="U775" s="230"/>
    </row>
    <row r="776">
      <c r="J776" s="230"/>
      <c r="K776" s="230"/>
      <c r="L776" s="230"/>
      <c r="M776" s="230"/>
      <c r="N776" s="230"/>
      <c r="O776" s="230"/>
      <c r="P776" s="230"/>
      <c r="Q776" s="230"/>
      <c r="R776" s="230"/>
      <c r="S776" s="230"/>
      <c r="T776" s="230"/>
      <c r="U776" s="230"/>
    </row>
    <row r="777">
      <c r="J777" s="230"/>
      <c r="K777" s="230"/>
      <c r="L777" s="230"/>
      <c r="M777" s="230"/>
      <c r="N777" s="230"/>
      <c r="O777" s="230"/>
      <c r="P777" s="230"/>
      <c r="Q777" s="230"/>
      <c r="R777" s="230"/>
      <c r="S777" s="230"/>
      <c r="T777" s="230"/>
      <c r="U777" s="230"/>
    </row>
    <row r="778">
      <c r="J778" s="230"/>
      <c r="K778" s="230"/>
      <c r="L778" s="230"/>
      <c r="M778" s="230"/>
      <c r="N778" s="230"/>
      <c r="O778" s="230"/>
      <c r="P778" s="230"/>
      <c r="Q778" s="230"/>
      <c r="R778" s="230"/>
      <c r="S778" s="230"/>
      <c r="T778" s="230"/>
      <c r="U778" s="230"/>
    </row>
    <row r="779">
      <c r="J779" s="230"/>
      <c r="K779" s="230"/>
      <c r="L779" s="230"/>
      <c r="M779" s="230"/>
      <c r="N779" s="230"/>
      <c r="O779" s="230"/>
      <c r="P779" s="230"/>
      <c r="Q779" s="230"/>
      <c r="R779" s="230"/>
      <c r="S779" s="230"/>
      <c r="T779" s="230"/>
      <c r="U779" s="230"/>
    </row>
    <row r="780">
      <c r="J780" s="230"/>
      <c r="K780" s="230"/>
      <c r="L780" s="230"/>
      <c r="M780" s="230"/>
      <c r="N780" s="230"/>
      <c r="O780" s="230"/>
      <c r="P780" s="230"/>
      <c r="Q780" s="230"/>
      <c r="R780" s="230"/>
      <c r="S780" s="230"/>
      <c r="T780" s="230"/>
      <c r="U780" s="230"/>
    </row>
    <row r="781">
      <c r="J781" s="230"/>
      <c r="K781" s="230"/>
      <c r="L781" s="230"/>
      <c r="M781" s="230"/>
      <c r="N781" s="230"/>
      <c r="O781" s="230"/>
      <c r="P781" s="230"/>
      <c r="Q781" s="230"/>
      <c r="R781" s="230"/>
      <c r="S781" s="230"/>
      <c r="T781" s="230"/>
      <c r="U781" s="230"/>
    </row>
    <row r="782">
      <c r="J782" s="230"/>
      <c r="K782" s="230"/>
      <c r="L782" s="230"/>
      <c r="M782" s="230"/>
      <c r="N782" s="230"/>
      <c r="O782" s="230"/>
      <c r="P782" s="230"/>
      <c r="Q782" s="230"/>
      <c r="R782" s="230"/>
      <c r="S782" s="230"/>
      <c r="T782" s="230"/>
      <c r="U782" s="230"/>
    </row>
    <row r="783">
      <c r="J783" s="230"/>
      <c r="K783" s="230"/>
      <c r="L783" s="230"/>
      <c r="M783" s="230"/>
      <c r="N783" s="230"/>
      <c r="O783" s="230"/>
      <c r="P783" s="230"/>
      <c r="Q783" s="230"/>
      <c r="R783" s="230"/>
      <c r="S783" s="230"/>
      <c r="T783" s="230"/>
      <c r="U783" s="230"/>
    </row>
    <row r="784">
      <c r="J784" s="230"/>
      <c r="K784" s="230"/>
      <c r="L784" s="230"/>
      <c r="M784" s="230"/>
      <c r="N784" s="230"/>
      <c r="O784" s="230"/>
      <c r="P784" s="230"/>
      <c r="Q784" s="230"/>
      <c r="R784" s="230"/>
      <c r="S784" s="230"/>
      <c r="T784" s="230"/>
      <c r="U784" s="230"/>
    </row>
    <row r="785">
      <c r="J785" s="230"/>
      <c r="K785" s="230"/>
      <c r="L785" s="230"/>
      <c r="M785" s="230"/>
      <c r="N785" s="230"/>
      <c r="O785" s="230"/>
      <c r="P785" s="230"/>
      <c r="Q785" s="230"/>
      <c r="R785" s="230"/>
      <c r="S785" s="230"/>
      <c r="T785" s="230"/>
      <c r="U785" s="230"/>
    </row>
    <row r="786">
      <c r="J786" s="230"/>
      <c r="K786" s="230"/>
      <c r="L786" s="230"/>
      <c r="M786" s="230"/>
      <c r="N786" s="230"/>
      <c r="O786" s="230"/>
      <c r="P786" s="230"/>
      <c r="Q786" s="230"/>
      <c r="R786" s="230"/>
      <c r="S786" s="230"/>
      <c r="T786" s="230"/>
      <c r="U786" s="230"/>
    </row>
    <row r="787">
      <c r="J787" s="230"/>
      <c r="K787" s="230"/>
      <c r="L787" s="230"/>
      <c r="M787" s="230"/>
      <c r="N787" s="230"/>
      <c r="O787" s="230"/>
      <c r="P787" s="230"/>
      <c r="Q787" s="230"/>
      <c r="R787" s="230"/>
      <c r="S787" s="230"/>
      <c r="T787" s="230"/>
      <c r="U787" s="230"/>
    </row>
    <row r="788">
      <c r="J788" s="230"/>
      <c r="K788" s="230"/>
      <c r="L788" s="230"/>
      <c r="M788" s="230"/>
      <c r="N788" s="230"/>
      <c r="O788" s="230"/>
      <c r="P788" s="230"/>
      <c r="Q788" s="230"/>
      <c r="R788" s="230"/>
      <c r="S788" s="230"/>
      <c r="T788" s="230"/>
      <c r="U788" s="230"/>
    </row>
    <row r="789">
      <c r="J789" s="230"/>
      <c r="K789" s="230"/>
      <c r="L789" s="230"/>
      <c r="M789" s="230"/>
      <c r="N789" s="230"/>
      <c r="O789" s="230"/>
      <c r="P789" s="230"/>
      <c r="Q789" s="230"/>
      <c r="R789" s="230"/>
      <c r="S789" s="230"/>
      <c r="T789" s="230"/>
      <c r="U789" s="230"/>
    </row>
    <row r="790">
      <c r="J790" s="230"/>
      <c r="K790" s="230"/>
      <c r="L790" s="230"/>
      <c r="M790" s="230"/>
      <c r="N790" s="230"/>
      <c r="O790" s="230"/>
      <c r="P790" s="230"/>
      <c r="Q790" s="230"/>
      <c r="R790" s="230"/>
      <c r="S790" s="230"/>
      <c r="T790" s="230"/>
      <c r="U790" s="230"/>
    </row>
    <row r="791">
      <c r="J791" s="230"/>
      <c r="K791" s="230"/>
      <c r="L791" s="230"/>
      <c r="M791" s="230"/>
      <c r="N791" s="230"/>
      <c r="O791" s="230"/>
      <c r="P791" s="230"/>
      <c r="Q791" s="230"/>
      <c r="R791" s="230"/>
      <c r="S791" s="230"/>
      <c r="T791" s="230"/>
      <c r="U791" s="230"/>
    </row>
    <row r="792">
      <c r="J792" s="230"/>
      <c r="K792" s="230"/>
      <c r="L792" s="230"/>
      <c r="M792" s="230"/>
      <c r="N792" s="230"/>
      <c r="O792" s="230"/>
      <c r="P792" s="230"/>
      <c r="Q792" s="230"/>
      <c r="R792" s="230"/>
      <c r="S792" s="230"/>
      <c r="T792" s="230"/>
      <c r="U792" s="230"/>
    </row>
    <row r="793">
      <c r="J793" s="230"/>
      <c r="K793" s="230"/>
      <c r="L793" s="230"/>
      <c r="M793" s="230"/>
      <c r="N793" s="230"/>
      <c r="O793" s="230"/>
      <c r="P793" s="230"/>
      <c r="Q793" s="230"/>
      <c r="R793" s="230"/>
      <c r="S793" s="230"/>
      <c r="T793" s="230"/>
      <c r="U793" s="230"/>
    </row>
    <row r="794">
      <c r="J794" s="230"/>
      <c r="K794" s="230"/>
      <c r="L794" s="230"/>
      <c r="M794" s="230"/>
      <c r="N794" s="230"/>
      <c r="O794" s="230"/>
      <c r="P794" s="230"/>
      <c r="Q794" s="230"/>
      <c r="R794" s="230"/>
      <c r="S794" s="230"/>
      <c r="T794" s="230"/>
      <c r="U794" s="230"/>
    </row>
    <row r="795">
      <c r="J795" s="230"/>
      <c r="K795" s="230"/>
      <c r="L795" s="230"/>
      <c r="M795" s="230"/>
      <c r="N795" s="230"/>
      <c r="O795" s="230"/>
      <c r="P795" s="230"/>
      <c r="Q795" s="230"/>
      <c r="R795" s="230"/>
      <c r="S795" s="230"/>
      <c r="T795" s="230"/>
      <c r="U795" s="230"/>
    </row>
    <row r="796">
      <c r="J796" s="230"/>
      <c r="K796" s="230"/>
      <c r="L796" s="230"/>
      <c r="M796" s="230"/>
      <c r="N796" s="230"/>
      <c r="O796" s="230"/>
      <c r="P796" s="230"/>
      <c r="Q796" s="230"/>
      <c r="R796" s="230"/>
      <c r="S796" s="230"/>
      <c r="T796" s="230"/>
      <c r="U796" s="230"/>
    </row>
    <row r="797">
      <c r="J797" s="230"/>
      <c r="K797" s="230"/>
      <c r="L797" s="230"/>
      <c r="M797" s="230"/>
      <c r="N797" s="230"/>
      <c r="O797" s="230"/>
      <c r="P797" s="230"/>
      <c r="Q797" s="230"/>
      <c r="R797" s="230"/>
      <c r="S797" s="230"/>
      <c r="T797" s="230"/>
      <c r="U797" s="230"/>
    </row>
    <row r="798">
      <c r="J798" s="230"/>
      <c r="K798" s="230"/>
      <c r="L798" s="230"/>
      <c r="M798" s="230"/>
      <c r="N798" s="230"/>
      <c r="O798" s="230"/>
      <c r="P798" s="230"/>
      <c r="Q798" s="230"/>
      <c r="R798" s="230"/>
      <c r="S798" s="230"/>
      <c r="T798" s="230"/>
      <c r="U798" s="230"/>
    </row>
    <row r="799">
      <c r="J799" s="230"/>
      <c r="K799" s="230"/>
      <c r="L799" s="230"/>
      <c r="M799" s="230"/>
      <c r="N799" s="230"/>
      <c r="O799" s="230"/>
      <c r="P799" s="230"/>
      <c r="Q799" s="230"/>
      <c r="R799" s="230"/>
      <c r="S799" s="230"/>
      <c r="T799" s="230"/>
      <c r="U799" s="230"/>
    </row>
    <row r="800">
      <c r="J800" s="230"/>
      <c r="K800" s="230"/>
      <c r="L800" s="230"/>
      <c r="M800" s="230"/>
      <c r="N800" s="230"/>
      <c r="O800" s="230"/>
      <c r="P800" s="230"/>
      <c r="Q800" s="230"/>
      <c r="R800" s="230"/>
      <c r="S800" s="230"/>
      <c r="T800" s="230"/>
      <c r="U800" s="230"/>
    </row>
    <row r="801">
      <c r="J801" s="230"/>
      <c r="K801" s="230"/>
      <c r="L801" s="230"/>
      <c r="M801" s="230"/>
      <c r="N801" s="230"/>
      <c r="O801" s="230"/>
      <c r="P801" s="230"/>
      <c r="Q801" s="230"/>
      <c r="R801" s="230"/>
      <c r="S801" s="230"/>
      <c r="T801" s="230"/>
      <c r="U801" s="230"/>
    </row>
    <row r="802">
      <c r="J802" s="230"/>
      <c r="K802" s="230"/>
      <c r="L802" s="230"/>
      <c r="M802" s="230"/>
      <c r="N802" s="230"/>
      <c r="O802" s="230"/>
      <c r="P802" s="230"/>
      <c r="Q802" s="230"/>
      <c r="R802" s="230"/>
      <c r="S802" s="230"/>
      <c r="T802" s="230"/>
      <c r="U802" s="230"/>
    </row>
    <row r="803">
      <c r="J803" s="230"/>
      <c r="K803" s="230"/>
      <c r="L803" s="230"/>
      <c r="M803" s="230"/>
      <c r="N803" s="230"/>
      <c r="O803" s="230"/>
      <c r="P803" s="230"/>
      <c r="Q803" s="230"/>
      <c r="R803" s="230"/>
      <c r="S803" s="230"/>
      <c r="T803" s="230"/>
      <c r="U803" s="230"/>
    </row>
    <row r="804">
      <c r="J804" s="230"/>
      <c r="K804" s="230"/>
      <c r="L804" s="230"/>
      <c r="M804" s="230"/>
      <c r="N804" s="230"/>
      <c r="O804" s="230"/>
      <c r="P804" s="230"/>
      <c r="Q804" s="230"/>
      <c r="R804" s="230"/>
      <c r="S804" s="230"/>
      <c r="T804" s="230"/>
      <c r="U804" s="230"/>
    </row>
    <row r="805">
      <c r="J805" s="230"/>
      <c r="K805" s="230"/>
      <c r="L805" s="230"/>
      <c r="M805" s="230"/>
      <c r="N805" s="230"/>
      <c r="O805" s="230"/>
      <c r="P805" s="230"/>
      <c r="Q805" s="230"/>
      <c r="R805" s="230"/>
      <c r="S805" s="230"/>
      <c r="T805" s="230"/>
      <c r="U805" s="230"/>
    </row>
    <row r="806">
      <c r="J806" s="230"/>
      <c r="K806" s="230"/>
      <c r="L806" s="230"/>
      <c r="M806" s="230"/>
      <c r="N806" s="230"/>
      <c r="O806" s="230"/>
      <c r="P806" s="230"/>
      <c r="Q806" s="230"/>
      <c r="R806" s="230"/>
      <c r="S806" s="230"/>
      <c r="T806" s="230"/>
      <c r="U806" s="230"/>
    </row>
    <row r="807">
      <c r="J807" s="230"/>
      <c r="K807" s="230"/>
      <c r="L807" s="230"/>
      <c r="M807" s="230"/>
      <c r="N807" s="230"/>
      <c r="O807" s="230"/>
      <c r="P807" s="230"/>
      <c r="Q807" s="230"/>
      <c r="R807" s="230"/>
      <c r="S807" s="230"/>
      <c r="T807" s="230"/>
      <c r="U807" s="230"/>
    </row>
    <row r="808">
      <c r="J808" s="230"/>
      <c r="K808" s="230"/>
      <c r="L808" s="230"/>
      <c r="M808" s="230"/>
      <c r="N808" s="230"/>
      <c r="O808" s="230"/>
      <c r="P808" s="230"/>
      <c r="Q808" s="230"/>
      <c r="R808" s="230"/>
      <c r="S808" s="230"/>
      <c r="T808" s="230"/>
      <c r="U808" s="230"/>
    </row>
    <row r="809">
      <c r="J809" s="230"/>
      <c r="K809" s="230"/>
      <c r="L809" s="230"/>
      <c r="M809" s="230"/>
      <c r="N809" s="230"/>
      <c r="O809" s="230"/>
      <c r="P809" s="230"/>
      <c r="Q809" s="230"/>
      <c r="R809" s="230"/>
      <c r="S809" s="230"/>
      <c r="T809" s="230"/>
      <c r="U809" s="230"/>
    </row>
    <row r="810">
      <c r="J810" s="230"/>
      <c r="K810" s="230"/>
      <c r="L810" s="230"/>
      <c r="M810" s="230"/>
      <c r="N810" s="230"/>
      <c r="O810" s="230"/>
      <c r="P810" s="230"/>
      <c r="Q810" s="230"/>
      <c r="R810" s="230"/>
      <c r="S810" s="230"/>
      <c r="T810" s="230"/>
      <c r="U810" s="230"/>
    </row>
    <row r="811">
      <c r="J811" s="230"/>
      <c r="K811" s="230"/>
      <c r="L811" s="230"/>
      <c r="M811" s="230"/>
      <c r="N811" s="230"/>
      <c r="O811" s="230"/>
      <c r="P811" s="230"/>
      <c r="Q811" s="230"/>
      <c r="R811" s="230"/>
      <c r="S811" s="230"/>
      <c r="T811" s="230"/>
      <c r="U811" s="230"/>
    </row>
    <row r="812">
      <c r="J812" s="230"/>
      <c r="K812" s="230"/>
      <c r="L812" s="230"/>
      <c r="M812" s="230"/>
      <c r="N812" s="230"/>
      <c r="O812" s="230"/>
      <c r="P812" s="230"/>
      <c r="Q812" s="230"/>
      <c r="R812" s="230"/>
      <c r="S812" s="230"/>
      <c r="T812" s="230"/>
      <c r="U812" s="230"/>
    </row>
    <row r="813">
      <c r="J813" s="230"/>
      <c r="K813" s="230"/>
      <c r="L813" s="230"/>
      <c r="M813" s="230"/>
      <c r="N813" s="230"/>
      <c r="O813" s="230"/>
      <c r="P813" s="230"/>
      <c r="Q813" s="230"/>
      <c r="R813" s="230"/>
      <c r="S813" s="230"/>
      <c r="T813" s="230"/>
      <c r="U813" s="230"/>
    </row>
    <row r="814">
      <c r="J814" s="230"/>
      <c r="K814" s="230"/>
      <c r="L814" s="230"/>
      <c r="M814" s="230"/>
      <c r="N814" s="230"/>
      <c r="O814" s="230"/>
      <c r="P814" s="230"/>
      <c r="Q814" s="230"/>
      <c r="R814" s="230"/>
      <c r="S814" s="230"/>
      <c r="T814" s="230"/>
      <c r="U814" s="230"/>
    </row>
    <row r="815">
      <c r="J815" s="230"/>
      <c r="K815" s="230"/>
      <c r="L815" s="230"/>
      <c r="M815" s="230"/>
      <c r="N815" s="230"/>
      <c r="O815" s="230"/>
      <c r="P815" s="230"/>
      <c r="Q815" s="230"/>
      <c r="R815" s="230"/>
      <c r="S815" s="230"/>
      <c r="T815" s="230"/>
      <c r="U815" s="230"/>
    </row>
    <row r="816">
      <c r="J816" s="230"/>
      <c r="K816" s="230"/>
      <c r="L816" s="230"/>
      <c r="M816" s="230"/>
      <c r="N816" s="230"/>
      <c r="O816" s="230"/>
      <c r="P816" s="230"/>
      <c r="Q816" s="230"/>
      <c r="R816" s="230"/>
      <c r="S816" s="230"/>
      <c r="T816" s="230"/>
      <c r="U816" s="230"/>
    </row>
    <row r="817">
      <c r="J817" s="230"/>
      <c r="K817" s="230"/>
      <c r="L817" s="230"/>
      <c r="M817" s="230"/>
      <c r="N817" s="230"/>
      <c r="O817" s="230"/>
      <c r="P817" s="230"/>
      <c r="Q817" s="230"/>
      <c r="R817" s="230"/>
      <c r="S817" s="230"/>
      <c r="T817" s="230"/>
      <c r="U817" s="230"/>
    </row>
    <row r="818">
      <c r="J818" s="230"/>
      <c r="K818" s="230"/>
      <c r="L818" s="230"/>
      <c r="M818" s="230"/>
      <c r="N818" s="230"/>
      <c r="O818" s="230"/>
      <c r="P818" s="230"/>
      <c r="Q818" s="230"/>
      <c r="R818" s="230"/>
      <c r="S818" s="230"/>
      <c r="T818" s="230"/>
      <c r="U818" s="230"/>
    </row>
    <row r="819">
      <c r="J819" s="230"/>
      <c r="K819" s="230"/>
      <c r="L819" s="230"/>
      <c r="M819" s="230"/>
      <c r="N819" s="230"/>
      <c r="O819" s="230"/>
      <c r="P819" s="230"/>
      <c r="Q819" s="230"/>
      <c r="R819" s="230"/>
      <c r="S819" s="230"/>
      <c r="T819" s="230"/>
      <c r="U819" s="230"/>
    </row>
    <row r="820">
      <c r="J820" s="230"/>
      <c r="K820" s="230"/>
      <c r="L820" s="230"/>
      <c r="M820" s="230"/>
      <c r="N820" s="230"/>
      <c r="O820" s="230"/>
      <c r="P820" s="230"/>
      <c r="Q820" s="230"/>
      <c r="R820" s="230"/>
      <c r="S820" s="230"/>
      <c r="T820" s="230"/>
      <c r="U820" s="230"/>
    </row>
    <row r="821">
      <c r="J821" s="230"/>
      <c r="K821" s="230"/>
      <c r="L821" s="230"/>
      <c r="M821" s="230"/>
      <c r="N821" s="230"/>
      <c r="O821" s="230"/>
      <c r="P821" s="230"/>
      <c r="Q821" s="230"/>
      <c r="R821" s="230"/>
      <c r="S821" s="230"/>
      <c r="T821" s="230"/>
      <c r="U821" s="230"/>
    </row>
    <row r="822">
      <c r="J822" s="230"/>
      <c r="K822" s="230"/>
      <c r="L822" s="230"/>
      <c r="M822" s="230"/>
      <c r="N822" s="230"/>
      <c r="O822" s="230"/>
      <c r="P822" s="230"/>
      <c r="Q822" s="230"/>
      <c r="R822" s="230"/>
      <c r="S822" s="230"/>
      <c r="T822" s="230"/>
      <c r="U822" s="230"/>
    </row>
    <row r="823">
      <c r="J823" s="230"/>
      <c r="K823" s="230"/>
      <c r="L823" s="230"/>
      <c r="M823" s="230"/>
      <c r="N823" s="230"/>
      <c r="O823" s="230"/>
      <c r="P823" s="230"/>
      <c r="Q823" s="230"/>
      <c r="R823" s="230"/>
      <c r="S823" s="230"/>
      <c r="T823" s="230"/>
      <c r="U823" s="230"/>
    </row>
    <row r="824">
      <c r="J824" s="230"/>
      <c r="K824" s="230"/>
      <c r="L824" s="230"/>
      <c r="M824" s="230"/>
      <c r="N824" s="230"/>
      <c r="O824" s="230"/>
      <c r="P824" s="230"/>
      <c r="Q824" s="230"/>
      <c r="R824" s="230"/>
      <c r="S824" s="230"/>
      <c r="T824" s="230"/>
      <c r="U824" s="230"/>
    </row>
    <row r="825">
      <c r="J825" s="230"/>
      <c r="K825" s="230"/>
      <c r="L825" s="230"/>
      <c r="M825" s="230"/>
      <c r="N825" s="230"/>
      <c r="O825" s="230"/>
      <c r="P825" s="230"/>
      <c r="Q825" s="230"/>
      <c r="R825" s="230"/>
      <c r="S825" s="230"/>
      <c r="T825" s="230"/>
      <c r="U825" s="230"/>
    </row>
    <row r="826">
      <c r="J826" s="230"/>
      <c r="K826" s="230"/>
      <c r="L826" s="230"/>
      <c r="M826" s="230"/>
      <c r="N826" s="230"/>
      <c r="O826" s="230"/>
      <c r="P826" s="230"/>
      <c r="Q826" s="230"/>
      <c r="R826" s="230"/>
      <c r="S826" s="230"/>
      <c r="T826" s="230"/>
      <c r="U826" s="230"/>
    </row>
    <row r="827">
      <c r="J827" s="230"/>
      <c r="K827" s="230"/>
      <c r="L827" s="230"/>
      <c r="M827" s="230"/>
      <c r="N827" s="230"/>
      <c r="O827" s="230"/>
      <c r="P827" s="230"/>
      <c r="Q827" s="230"/>
      <c r="R827" s="230"/>
      <c r="S827" s="230"/>
      <c r="T827" s="230"/>
      <c r="U827" s="230"/>
    </row>
    <row r="828">
      <c r="J828" s="230"/>
      <c r="K828" s="230"/>
      <c r="L828" s="230"/>
      <c r="M828" s="230"/>
      <c r="N828" s="230"/>
      <c r="O828" s="230"/>
      <c r="P828" s="230"/>
      <c r="Q828" s="230"/>
      <c r="R828" s="230"/>
      <c r="S828" s="230"/>
      <c r="T828" s="230"/>
      <c r="U828" s="230"/>
    </row>
    <row r="829">
      <c r="J829" s="230"/>
      <c r="K829" s="230"/>
      <c r="L829" s="230"/>
      <c r="M829" s="230"/>
      <c r="N829" s="230"/>
      <c r="O829" s="230"/>
      <c r="P829" s="230"/>
      <c r="Q829" s="230"/>
      <c r="R829" s="230"/>
      <c r="S829" s="230"/>
      <c r="T829" s="230"/>
      <c r="U829" s="230"/>
    </row>
    <row r="830">
      <c r="J830" s="230"/>
      <c r="K830" s="230"/>
      <c r="L830" s="230"/>
      <c r="M830" s="230"/>
      <c r="N830" s="230"/>
      <c r="O830" s="230"/>
      <c r="P830" s="230"/>
      <c r="Q830" s="230"/>
      <c r="R830" s="230"/>
      <c r="S830" s="230"/>
      <c r="T830" s="230"/>
      <c r="U830" s="230"/>
    </row>
    <row r="831">
      <c r="J831" s="230"/>
      <c r="K831" s="230"/>
      <c r="L831" s="230"/>
      <c r="M831" s="230"/>
      <c r="N831" s="230"/>
      <c r="O831" s="230"/>
      <c r="P831" s="230"/>
      <c r="Q831" s="230"/>
      <c r="R831" s="230"/>
      <c r="S831" s="230"/>
      <c r="T831" s="230"/>
      <c r="U831" s="230"/>
    </row>
    <row r="832">
      <c r="J832" s="230"/>
      <c r="K832" s="230"/>
      <c r="L832" s="230"/>
      <c r="M832" s="230"/>
      <c r="N832" s="230"/>
      <c r="O832" s="230"/>
      <c r="P832" s="230"/>
      <c r="Q832" s="230"/>
      <c r="R832" s="230"/>
      <c r="S832" s="230"/>
      <c r="T832" s="230"/>
      <c r="U832" s="230"/>
    </row>
    <row r="833">
      <c r="J833" s="230"/>
      <c r="K833" s="230"/>
      <c r="L833" s="230"/>
      <c r="M833" s="230"/>
      <c r="N833" s="230"/>
      <c r="O833" s="230"/>
      <c r="P833" s="230"/>
      <c r="Q833" s="230"/>
      <c r="R833" s="230"/>
      <c r="S833" s="230"/>
      <c r="T833" s="230"/>
      <c r="U833" s="230"/>
    </row>
    <row r="834">
      <c r="J834" s="230"/>
      <c r="K834" s="230"/>
      <c r="L834" s="230"/>
      <c r="M834" s="230"/>
      <c r="N834" s="230"/>
      <c r="O834" s="230"/>
      <c r="P834" s="230"/>
      <c r="Q834" s="230"/>
      <c r="R834" s="230"/>
      <c r="S834" s="230"/>
      <c r="T834" s="230"/>
      <c r="U834" s="230"/>
    </row>
    <row r="835">
      <c r="J835" s="230"/>
      <c r="K835" s="230"/>
      <c r="L835" s="230"/>
      <c r="M835" s="230"/>
      <c r="N835" s="230"/>
      <c r="O835" s="230"/>
      <c r="P835" s="230"/>
      <c r="Q835" s="230"/>
      <c r="R835" s="230"/>
      <c r="S835" s="230"/>
      <c r="T835" s="230"/>
      <c r="U835" s="230"/>
    </row>
    <row r="836">
      <c r="J836" s="230"/>
      <c r="K836" s="230"/>
      <c r="L836" s="230"/>
      <c r="M836" s="230"/>
      <c r="N836" s="230"/>
      <c r="O836" s="230"/>
      <c r="P836" s="230"/>
      <c r="Q836" s="230"/>
      <c r="R836" s="230"/>
      <c r="S836" s="230"/>
      <c r="T836" s="230"/>
      <c r="U836" s="230"/>
    </row>
    <row r="837">
      <c r="J837" s="230"/>
      <c r="K837" s="230"/>
      <c r="L837" s="230"/>
      <c r="M837" s="230"/>
      <c r="N837" s="230"/>
      <c r="O837" s="230"/>
      <c r="P837" s="230"/>
      <c r="Q837" s="230"/>
      <c r="R837" s="230"/>
      <c r="S837" s="230"/>
      <c r="T837" s="230"/>
      <c r="U837" s="230"/>
    </row>
    <row r="838">
      <c r="J838" s="230"/>
      <c r="K838" s="230"/>
      <c r="L838" s="230"/>
      <c r="M838" s="230"/>
      <c r="N838" s="230"/>
      <c r="O838" s="230"/>
      <c r="P838" s="230"/>
      <c r="Q838" s="230"/>
      <c r="R838" s="230"/>
      <c r="S838" s="230"/>
      <c r="T838" s="230"/>
      <c r="U838" s="230"/>
    </row>
    <row r="839">
      <c r="J839" s="230"/>
      <c r="K839" s="230"/>
      <c r="L839" s="230"/>
      <c r="M839" s="230"/>
      <c r="N839" s="230"/>
      <c r="O839" s="230"/>
      <c r="P839" s="230"/>
      <c r="Q839" s="230"/>
      <c r="R839" s="230"/>
      <c r="S839" s="230"/>
      <c r="T839" s="230"/>
      <c r="U839" s="230"/>
    </row>
    <row r="840">
      <c r="J840" s="230"/>
      <c r="K840" s="230"/>
      <c r="L840" s="230"/>
      <c r="M840" s="230"/>
      <c r="N840" s="230"/>
      <c r="O840" s="230"/>
      <c r="P840" s="230"/>
      <c r="Q840" s="230"/>
      <c r="R840" s="230"/>
      <c r="S840" s="230"/>
      <c r="T840" s="230"/>
      <c r="U840" s="230"/>
    </row>
    <row r="841">
      <c r="J841" s="230"/>
      <c r="K841" s="230"/>
      <c r="L841" s="230"/>
      <c r="M841" s="230"/>
      <c r="N841" s="230"/>
      <c r="O841" s="230"/>
      <c r="P841" s="230"/>
      <c r="Q841" s="230"/>
      <c r="R841" s="230"/>
      <c r="S841" s="230"/>
      <c r="T841" s="230"/>
      <c r="U841" s="230"/>
    </row>
    <row r="842">
      <c r="J842" s="230"/>
      <c r="K842" s="230"/>
      <c r="L842" s="230"/>
      <c r="M842" s="230"/>
      <c r="N842" s="230"/>
      <c r="O842" s="230"/>
      <c r="P842" s="230"/>
      <c r="Q842" s="230"/>
      <c r="R842" s="230"/>
      <c r="S842" s="230"/>
      <c r="T842" s="230"/>
      <c r="U842" s="230"/>
    </row>
    <row r="843">
      <c r="J843" s="230"/>
      <c r="K843" s="230"/>
      <c r="L843" s="230"/>
      <c r="M843" s="230"/>
      <c r="N843" s="230"/>
      <c r="O843" s="230"/>
      <c r="P843" s="230"/>
      <c r="Q843" s="230"/>
      <c r="R843" s="230"/>
      <c r="S843" s="230"/>
      <c r="T843" s="230"/>
      <c r="U843" s="230"/>
    </row>
    <row r="844">
      <c r="J844" s="230"/>
      <c r="K844" s="230"/>
      <c r="L844" s="230"/>
      <c r="M844" s="230"/>
      <c r="N844" s="230"/>
      <c r="O844" s="230"/>
      <c r="P844" s="230"/>
      <c r="Q844" s="230"/>
      <c r="R844" s="230"/>
      <c r="S844" s="230"/>
      <c r="T844" s="230"/>
      <c r="U844" s="230"/>
    </row>
    <row r="845">
      <c r="J845" s="230"/>
      <c r="K845" s="230"/>
      <c r="L845" s="230"/>
      <c r="M845" s="230"/>
      <c r="N845" s="230"/>
      <c r="O845" s="230"/>
      <c r="P845" s="230"/>
      <c r="Q845" s="230"/>
      <c r="R845" s="230"/>
      <c r="S845" s="230"/>
      <c r="T845" s="230"/>
      <c r="U845" s="230"/>
    </row>
    <row r="846">
      <c r="J846" s="230"/>
      <c r="K846" s="230"/>
      <c r="L846" s="230"/>
      <c r="M846" s="230"/>
      <c r="N846" s="230"/>
      <c r="O846" s="230"/>
      <c r="P846" s="230"/>
      <c r="Q846" s="230"/>
      <c r="R846" s="230"/>
      <c r="S846" s="230"/>
      <c r="T846" s="230"/>
      <c r="U846" s="230"/>
    </row>
    <row r="847">
      <c r="J847" s="230"/>
      <c r="K847" s="230"/>
      <c r="L847" s="230"/>
      <c r="M847" s="230"/>
      <c r="N847" s="230"/>
      <c r="O847" s="230"/>
      <c r="P847" s="230"/>
      <c r="Q847" s="230"/>
      <c r="R847" s="230"/>
      <c r="S847" s="230"/>
      <c r="T847" s="230"/>
      <c r="U847" s="230"/>
    </row>
    <row r="848">
      <c r="J848" s="230"/>
      <c r="K848" s="230"/>
      <c r="L848" s="230"/>
      <c r="M848" s="230"/>
      <c r="N848" s="230"/>
      <c r="O848" s="230"/>
      <c r="P848" s="230"/>
      <c r="Q848" s="230"/>
      <c r="R848" s="230"/>
      <c r="S848" s="230"/>
      <c r="T848" s="230"/>
      <c r="U848" s="230"/>
    </row>
    <row r="849">
      <c r="J849" s="230"/>
      <c r="K849" s="230"/>
      <c r="L849" s="230"/>
      <c r="M849" s="230"/>
      <c r="N849" s="230"/>
      <c r="O849" s="230"/>
      <c r="P849" s="230"/>
      <c r="Q849" s="230"/>
      <c r="R849" s="230"/>
      <c r="S849" s="230"/>
      <c r="T849" s="230"/>
      <c r="U849" s="230"/>
    </row>
    <row r="850">
      <c r="J850" s="230"/>
      <c r="K850" s="230"/>
      <c r="L850" s="230"/>
      <c r="M850" s="230"/>
      <c r="N850" s="230"/>
      <c r="O850" s="230"/>
      <c r="P850" s="230"/>
      <c r="Q850" s="230"/>
      <c r="R850" s="230"/>
      <c r="S850" s="230"/>
      <c r="T850" s="230"/>
      <c r="U850" s="230"/>
    </row>
    <row r="851">
      <c r="J851" s="230"/>
      <c r="K851" s="230"/>
      <c r="L851" s="230"/>
      <c r="M851" s="230"/>
      <c r="N851" s="230"/>
      <c r="O851" s="230"/>
      <c r="P851" s="230"/>
      <c r="Q851" s="230"/>
      <c r="R851" s="230"/>
      <c r="S851" s="230"/>
      <c r="T851" s="230"/>
      <c r="U851" s="230"/>
    </row>
    <row r="852">
      <c r="J852" s="230"/>
      <c r="K852" s="230"/>
      <c r="L852" s="230"/>
      <c r="M852" s="230"/>
      <c r="N852" s="230"/>
      <c r="O852" s="230"/>
      <c r="P852" s="230"/>
      <c r="Q852" s="230"/>
      <c r="R852" s="230"/>
      <c r="S852" s="230"/>
      <c r="T852" s="230"/>
      <c r="U852" s="230"/>
    </row>
    <row r="853">
      <c r="J853" s="230"/>
      <c r="K853" s="230"/>
      <c r="L853" s="230"/>
      <c r="M853" s="230"/>
      <c r="N853" s="230"/>
      <c r="O853" s="230"/>
      <c r="P853" s="230"/>
      <c r="Q853" s="230"/>
      <c r="R853" s="230"/>
      <c r="S853" s="230"/>
      <c r="T853" s="230"/>
      <c r="U853" s="230"/>
    </row>
    <row r="854">
      <c r="J854" s="230"/>
      <c r="K854" s="230"/>
      <c r="L854" s="230"/>
      <c r="M854" s="230"/>
      <c r="N854" s="230"/>
      <c r="O854" s="230"/>
      <c r="P854" s="230"/>
      <c r="Q854" s="230"/>
      <c r="R854" s="230"/>
      <c r="S854" s="230"/>
      <c r="T854" s="230"/>
      <c r="U854" s="230"/>
    </row>
    <row r="855">
      <c r="J855" s="230"/>
      <c r="K855" s="230"/>
      <c r="L855" s="230"/>
      <c r="M855" s="230"/>
      <c r="N855" s="230"/>
      <c r="O855" s="230"/>
      <c r="P855" s="230"/>
      <c r="Q855" s="230"/>
      <c r="R855" s="230"/>
      <c r="S855" s="230"/>
      <c r="T855" s="230"/>
      <c r="U855" s="230"/>
    </row>
    <row r="856">
      <c r="J856" s="230"/>
      <c r="K856" s="230"/>
      <c r="L856" s="230"/>
      <c r="M856" s="230"/>
      <c r="N856" s="230"/>
      <c r="O856" s="230"/>
      <c r="P856" s="230"/>
      <c r="Q856" s="230"/>
      <c r="R856" s="230"/>
      <c r="S856" s="230"/>
      <c r="T856" s="230"/>
      <c r="U856" s="230"/>
    </row>
    <row r="857">
      <c r="J857" s="230"/>
      <c r="K857" s="230"/>
      <c r="L857" s="230"/>
      <c r="M857" s="230"/>
      <c r="N857" s="230"/>
      <c r="O857" s="230"/>
      <c r="P857" s="230"/>
      <c r="Q857" s="230"/>
      <c r="R857" s="230"/>
      <c r="S857" s="230"/>
      <c r="T857" s="230"/>
      <c r="U857" s="230"/>
    </row>
    <row r="858">
      <c r="J858" s="230"/>
      <c r="K858" s="230"/>
      <c r="L858" s="230"/>
      <c r="M858" s="230"/>
      <c r="N858" s="230"/>
      <c r="O858" s="230"/>
      <c r="P858" s="230"/>
      <c r="Q858" s="230"/>
      <c r="R858" s="230"/>
      <c r="S858" s="230"/>
      <c r="T858" s="230"/>
      <c r="U858" s="230"/>
    </row>
    <row r="859">
      <c r="J859" s="230"/>
      <c r="K859" s="230"/>
      <c r="L859" s="230"/>
      <c r="M859" s="230"/>
      <c r="N859" s="230"/>
      <c r="O859" s="230"/>
      <c r="P859" s="230"/>
      <c r="Q859" s="230"/>
      <c r="R859" s="230"/>
      <c r="S859" s="230"/>
      <c r="T859" s="230"/>
      <c r="U859" s="230"/>
    </row>
    <row r="860">
      <c r="J860" s="230"/>
      <c r="K860" s="230"/>
      <c r="L860" s="230"/>
      <c r="M860" s="230"/>
      <c r="N860" s="230"/>
      <c r="O860" s="230"/>
      <c r="P860" s="230"/>
      <c r="Q860" s="230"/>
      <c r="R860" s="230"/>
      <c r="S860" s="230"/>
      <c r="T860" s="230"/>
      <c r="U860" s="230"/>
    </row>
    <row r="861">
      <c r="J861" s="230"/>
      <c r="K861" s="230"/>
      <c r="L861" s="230"/>
      <c r="M861" s="230"/>
      <c r="N861" s="230"/>
      <c r="O861" s="230"/>
      <c r="P861" s="230"/>
      <c r="Q861" s="230"/>
      <c r="R861" s="230"/>
      <c r="S861" s="230"/>
      <c r="T861" s="230"/>
      <c r="U861" s="230"/>
    </row>
    <row r="862">
      <c r="J862" s="230"/>
      <c r="K862" s="230"/>
      <c r="L862" s="230"/>
      <c r="M862" s="230"/>
      <c r="N862" s="230"/>
      <c r="O862" s="230"/>
      <c r="P862" s="230"/>
      <c r="Q862" s="230"/>
      <c r="R862" s="230"/>
      <c r="S862" s="230"/>
      <c r="T862" s="230"/>
      <c r="U862" s="230"/>
    </row>
    <row r="863">
      <c r="J863" s="230"/>
      <c r="K863" s="230"/>
      <c r="L863" s="230"/>
      <c r="M863" s="230"/>
      <c r="N863" s="230"/>
      <c r="O863" s="230"/>
      <c r="P863" s="230"/>
      <c r="Q863" s="230"/>
      <c r="R863" s="230"/>
      <c r="S863" s="230"/>
      <c r="T863" s="230"/>
      <c r="U863" s="230"/>
    </row>
    <row r="864">
      <c r="J864" s="230"/>
      <c r="K864" s="230"/>
      <c r="L864" s="230"/>
      <c r="M864" s="230"/>
      <c r="N864" s="230"/>
      <c r="O864" s="230"/>
      <c r="P864" s="230"/>
      <c r="Q864" s="230"/>
      <c r="R864" s="230"/>
      <c r="S864" s="230"/>
      <c r="T864" s="230"/>
      <c r="U864" s="230"/>
    </row>
    <row r="865">
      <c r="J865" s="230"/>
      <c r="K865" s="230"/>
      <c r="L865" s="230"/>
      <c r="M865" s="230"/>
      <c r="N865" s="230"/>
      <c r="O865" s="230"/>
      <c r="P865" s="230"/>
      <c r="Q865" s="230"/>
      <c r="R865" s="230"/>
      <c r="S865" s="230"/>
      <c r="T865" s="230"/>
      <c r="U865" s="230"/>
    </row>
    <row r="866">
      <c r="J866" s="230"/>
      <c r="K866" s="230"/>
      <c r="L866" s="230"/>
      <c r="M866" s="230"/>
      <c r="N866" s="230"/>
      <c r="O866" s="230"/>
      <c r="P866" s="230"/>
      <c r="Q866" s="230"/>
      <c r="R866" s="230"/>
      <c r="S866" s="230"/>
      <c r="T866" s="230"/>
      <c r="U866" s="230"/>
    </row>
    <row r="867">
      <c r="J867" s="230"/>
      <c r="K867" s="230"/>
      <c r="L867" s="230"/>
      <c r="M867" s="230"/>
      <c r="N867" s="230"/>
      <c r="O867" s="230"/>
      <c r="P867" s="230"/>
      <c r="Q867" s="230"/>
      <c r="R867" s="230"/>
      <c r="S867" s="230"/>
      <c r="T867" s="230"/>
      <c r="U867" s="230"/>
    </row>
    <row r="868">
      <c r="J868" s="230"/>
      <c r="K868" s="230"/>
      <c r="L868" s="230"/>
      <c r="M868" s="230"/>
      <c r="N868" s="230"/>
      <c r="O868" s="230"/>
      <c r="P868" s="230"/>
      <c r="Q868" s="230"/>
      <c r="R868" s="230"/>
      <c r="S868" s="230"/>
      <c r="T868" s="230"/>
      <c r="U868" s="230"/>
    </row>
    <row r="869">
      <c r="J869" s="230"/>
      <c r="K869" s="230"/>
      <c r="L869" s="230"/>
      <c r="M869" s="230"/>
      <c r="N869" s="230"/>
      <c r="O869" s="230"/>
      <c r="P869" s="230"/>
      <c r="Q869" s="230"/>
      <c r="R869" s="230"/>
      <c r="S869" s="230"/>
      <c r="T869" s="230"/>
      <c r="U869" s="230"/>
    </row>
    <row r="870">
      <c r="J870" s="230"/>
      <c r="K870" s="230"/>
      <c r="L870" s="230"/>
      <c r="M870" s="230"/>
      <c r="N870" s="230"/>
      <c r="O870" s="230"/>
      <c r="P870" s="230"/>
      <c r="Q870" s="230"/>
      <c r="R870" s="230"/>
      <c r="S870" s="230"/>
      <c r="T870" s="230"/>
      <c r="U870" s="230"/>
    </row>
    <row r="871">
      <c r="J871" s="230"/>
      <c r="K871" s="230"/>
      <c r="L871" s="230"/>
      <c r="M871" s="230"/>
      <c r="N871" s="230"/>
      <c r="O871" s="230"/>
      <c r="P871" s="230"/>
      <c r="Q871" s="230"/>
      <c r="R871" s="230"/>
      <c r="S871" s="230"/>
      <c r="T871" s="230"/>
      <c r="U871" s="230"/>
    </row>
    <row r="872">
      <c r="J872" s="230"/>
      <c r="K872" s="230"/>
      <c r="L872" s="230"/>
      <c r="M872" s="230"/>
      <c r="N872" s="230"/>
      <c r="O872" s="230"/>
      <c r="P872" s="230"/>
      <c r="Q872" s="230"/>
      <c r="R872" s="230"/>
      <c r="S872" s="230"/>
      <c r="T872" s="230"/>
      <c r="U872" s="230"/>
    </row>
    <row r="873">
      <c r="J873" s="230"/>
      <c r="K873" s="230"/>
      <c r="L873" s="230"/>
      <c r="M873" s="230"/>
      <c r="N873" s="230"/>
      <c r="O873" s="230"/>
      <c r="P873" s="230"/>
      <c r="Q873" s="230"/>
      <c r="R873" s="230"/>
      <c r="S873" s="230"/>
      <c r="T873" s="230"/>
      <c r="U873" s="230"/>
    </row>
    <row r="874">
      <c r="J874" s="230"/>
      <c r="K874" s="230"/>
      <c r="L874" s="230"/>
      <c r="M874" s="230"/>
      <c r="N874" s="230"/>
      <c r="O874" s="230"/>
      <c r="P874" s="230"/>
      <c r="Q874" s="230"/>
      <c r="R874" s="230"/>
      <c r="S874" s="230"/>
      <c r="T874" s="230"/>
      <c r="U874" s="230"/>
    </row>
    <row r="875">
      <c r="J875" s="230"/>
      <c r="K875" s="230"/>
      <c r="L875" s="230"/>
      <c r="M875" s="230"/>
      <c r="N875" s="230"/>
      <c r="O875" s="230"/>
      <c r="P875" s="230"/>
      <c r="Q875" s="230"/>
      <c r="R875" s="230"/>
      <c r="S875" s="230"/>
      <c r="T875" s="230"/>
      <c r="U875" s="230"/>
    </row>
    <row r="876">
      <c r="J876" s="230"/>
      <c r="K876" s="230"/>
      <c r="L876" s="230"/>
      <c r="M876" s="230"/>
      <c r="N876" s="230"/>
      <c r="O876" s="230"/>
      <c r="P876" s="230"/>
      <c r="Q876" s="230"/>
      <c r="R876" s="230"/>
      <c r="S876" s="230"/>
      <c r="T876" s="230"/>
      <c r="U876" s="230"/>
    </row>
    <row r="877">
      <c r="J877" s="230"/>
      <c r="K877" s="230"/>
      <c r="L877" s="230"/>
      <c r="M877" s="230"/>
      <c r="N877" s="230"/>
      <c r="O877" s="230"/>
      <c r="P877" s="230"/>
      <c r="Q877" s="230"/>
      <c r="R877" s="230"/>
      <c r="S877" s="230"/>
      <c r="T877" s="230"/>
      <c r="U877" s="230"/>
    </row>
    <row r="878">
      <c r="J878" s="230"/>
      <c r="K878" s="230"/>
      <c r="L878" s="230"/>
      <c r="M878" s="230"/>
      <c r="N878" s="230"/>
      <c r="O878" s="230"/>
      <c r="P878" s="230"/>
      <c r="Q878" s="230"/>
      <c r="R878" s="230"/>
      <c r="S878" s="230"/>
      <c r="T878" s="230"/>
      <c r="U878" s="230"/>
    </row>
    <row r="879">
      <c r="J879" s="230"/>
      <c r="K879" s="230"/>
      <c r="L879" s="230"/>
      <c r="M879" s="230"/>
      <c r="N879" s="230"/>
      <c r="O879" s="230"/>
      <c r="P879" s="230"/>
      <c r="Q879" s="230"/>
      <c r="R879" s="230"/>
      <c r="S879" s="230"/>
      <c r="T879" s="230"/>
      <c r="U879" s="230"/>
    </row>
    <row r="880">
      <c r="J880" s="230"/>
      <c r="K880" s="230"/>
      <c r="L880" s="230"/>
      <c r="M880" s="230"/>
      <c r="N880" s="230"/>
      <c r="O880" s="230"/>
      <c r="P880" s="230"/>
      <c r="Q880" s="230"/>
      <c r="R880" s="230"/>
      <c r="S880" s="230"/>
      <c r="T880" s="230"/>
      <c r="U880" s="230"/>
    </row>
    <row r="881">
      <c r="J881" s="230"/>
      <c r="K881" s="230"/>
      <c r="L881" s="230"/>
      <c r="M881" s="230"/>
      <c r="N881" s="230"/>
      <c r="O881" s="230"/>
      <c r="P881" s="230"/>
      <c r="Q881" s="230"/>
      <c r="R881" s="230"/>
      <c r="S881" s="230"/>
      <c r="T881" s="230"/>
      <c r="U881" s="230"/>
    </row>
    <row r="882">
      <c r="J882" s="230"/>
      <c r="K882" s="230"/>
      <c r="L882" s="230"/>
      <c r="M882" s="230"/>
      <c r="N882" s="230"/>
      <c r="O882" s="230"/>
      <c r="P882" s="230"/>
      <c r="Q882" s="230"/>
      <c r="R882" s="230"/>
      <c r="S882" s="230"/>
      <c r="T882" s="230"/>
      <c r="U882" s="230"/>
    </row>
    <row r="883">
      <c r="J883" s="230"/>
      <c r="K883" s="230"/>
      <c r="L883" s="230"/>
      <c r="M883" s="230"/>
      <c r="N883" s="230"/>
      <c r="O883" s="230"/>
      <c r="P883" s="230"/>
      <c r="Q883" s="230"/>
      <c r="R883" s="230"/>
      <c r="S883" s="230"/>
      <c r="T883" s="230"/>
      <c r="U883" s="230"/>
    </row>
    <row r="884">
      <c r="J884" s="230"/>
      <c r="K884" s="230"/>
      <c r="L884" s="230"/>
      <c r="M884" s="230"/>
      <c r="N884" s="230"/>
      <c r="O884" s="230"/>
      <c r="P884" s="230"/>
      <c r="Q884" s="230"/>
      <c r="R884" s="230"/>
      <c r="S884" s="230"/>
      <c r="T884" s="230"/>
      <c r="U884" s="230"/>
    </row>
    <row r="885">
      <c r="J885" s="230"/>
      <c r="K885" s="230"/>
      <c r="L885" s="230"/>
      <c r="M885" s="230"/>
      <c r="N885" s="230"/>
      <c r="O885" s="230"/>
      <c r="P885" s="230"/>
      <c r="Q885" s="230"/>
      <c r="R885" s="230"/>
      <c r="S885" s="230"/>
      <c r="T885" s="230"/>
      <c r="U885" s="230"/>
    </row>
    <row r="886">
      <c r="J886" s="230"/>
      <c r="K886" s="230"/>
      <c r="L886" s="230"/>
      <c r="M886" s="230"/>
      <c r="N886" s="230"/>
      <c r="O886" s="230"/>
      <c r="P886" s="230"/>
      <c r="Q886" s="230"/>
      <c r="R886" s="230"/>
      <c r="S886" s="230"/>
      <c r="T886" s="230"/>
      <c r="U886" s="230"/>
    </row>
    <row r="887">
      <c r="J887" s="230"/>
      <c r="K887" s="230"/>
      <c r="L887" s="230"/>
      <c r="M887" s="230"/>
      <c r="N887" s="230"/>
      <c r="O887" s="230"/>
      <c r="P887" s="230"/>
      <c r="Q887" s="230"/>
      <c r="R887" s="230"/>
      <c r="S887" s="230"/>
      <c r="T887" s="230"/>
      <c r="U887" s="230"/>
    </row>
    <row r="888">
      <c r="J888" s="230"/>
      <c r="K888" s="230"/>
      <c r="L888" s="230"/>
      <c r="M888" s="230"/>
      <c r="N888" s="230"/>
      <c r="O888" s="230"/>
      <c r="P888" s="230"/>
      <c r="Q888" s="230"/>
      <c r="R888" s="230"/>
      <c r="S888" s="230"/>
      <c r="T888" s="230"/>
      <c r="U888" s="230"/>
    </row>
    <row r="889">
      <c r="J889" s="230"/>
      <c r="K889" s="230"/>
      <c r="L889" s="230"/>
      <c r="M889" s="230"/>
      <c r="N889" s="230"/>
      <c r="O889" s="230"/>
      <c r="P889" s="230"/>
      <c r="Q889" s="230"/>
      <c r="R889" s="230"/>
      <c r="S889" s="230"/>
      <c r="T889" s="230"/>
      <c r="U889" s="230"/>
    </row>
    <row r="890">
      <c r="J890" s="230"/>
      <c r="K890" s="230"/>
      <c r="L890" s="230"/>
      <c r="M890" s="230"/>
      <c r="N890" s="230"/>
      <c r="O890" s="230"/>
      <c r="P890" s="230"/>
      <c r="Q890" s="230"/>
      <c r="R890" s="230"/>
      <c r="S890" s="230"/>
      <c r="T890" s="230"/>
      <c r="U890" s="230"/>
    </row>
    <row r="891">
      <c r="J891" s="230"/>
      <c r="K891" s="230"/>
      <c r="L891" s="230"/>
      <c r="M891" s="230"/>
      <c r="N891" s="230"/>
      <c r="O891" s="230"/>
      <c r="P891" s="230"/>
      <c r="Q891" s="230"/>
      <c r="R891" s="230"/>
      <c r="S891" s="230"/>
      <c r="T891" s="230"/>
      <c r="U891" s="230"/>
    </row>
    <row r="892">
      <c r="J892" s="230"/>
      <c r="K892" s="230"/>
      <c r="L892" s="230"/>
      <c r="M892" s="230"/>
      <c r="N892" s="230"/>
      <c r="O892" s="230"/>
      <c r="P892" s="230"/>
      <c r="Q892" s="230"/>
      <c r="R892" s="230"/>
      <c r="S892" s="230"/>
      <c r="T892" s="230"/>
      <c r="U892" s="230"/>
    </row>
    <row r="893">
      <c r="J893" s="230"/>
      <c r="K893" s="230"/>
      <c r="L893" s="230"/>
      <c r="M893" s="230"/>
      <c r="N893" s="230"/>
      <c r="O893" s="230"/>
      <c r="P893" s="230"/>
      <c r="Q893" s="230"/>
      <c r="R893" s="230"/>
      <c r="S893" s="230"/>
      <c r="T893" s="230"/>
      <c r="U893" s="230"/>
    </row>
    <row r="894">
      <c r="J894" s="230"/>
      <c r="K894" s="230"/>
      <c r="L894" s="230"/>
      <c r="M894" s="230"/>
      <c r="N894" s="230"/>
      <c r="O894" s="230"/>
      <c r="P894" s="230"/>
      <c r="Q894" s="230"/>
      <c r="R894" s="230"/>
      <c r="S894" s="230"/>
      <c r="T894" s="230"/>
      <c r="U894" s="230"/>
    </row>
    <row r="895">
      <c r="J895" s="230"/>
      <c r="K895" s="230"/>
      <c r="L895" s="230"/>
      <c r="M895" s="230"/>
      <c r="N895" s="230"/>
      <c r="O895" s="230"/>
      <c r="P895" s="230"/>
      <c r="Q895" s="230"/>
      <c r="R895" s="230"/>
      <c r="S895" s="230"/>
      <c r="T895" s="230"/>
      <c r="U895" s="230"/>
    </row>
    <row r="896">
      <c r="J896" s="230"/>
      <c r="K896" s="230"/>
      <c r="L896" s="230"/>
      <c r="M896" s="230"/>
      <c r="N896" s="230"/>
      <c r="O896" s="230"/>
      <c r="P896" s="230"/>
      <c r="Q896" s="230"/>
      <c r="R896" s="230"/>
      <c r="S896" s="230"/>
      <c r="T896" s="230"/>
      <c r="U896" s="230"/>
    </row>
    <row r="897">
      <c r="J897" s="230"/>
      <c r="K897" s="230"/>
      <c r="L897" s="230"/>
      <c r="M897" s="230"/>
      <c r="N897" s="230"/>
      <c r="O897" s="230"/>
      <c r="P897" s="230"/>
      <c r="Q897" s="230"/>
      <c r="R897" s="230"/>
      <c r="S897" s="230"/>
      <c r="T897" s="230"/>
      <c r="U897" s="230"/>
    </row>
    <row r="898">
      <c r="J898" s="230"/>
      <c r="K898" s="230"/>
      <c r="L898" s="230"/>
      <c r="M898" s="230"/>
      <c r="N898" s="230"/>
      <c r="O898" s="230"/>
      <c r="P898" s="230"/>
      <c r="Q898" s="230"/>
      <c r="R898" s="230"/>
      <c r="S898" s="230"/>
      <c r="T898" s="230"/>
      <c r="U898" s="230"/>
    </row>
    <row r="899">
      <c r="J899" s="230"/>
      <c r="K899" s="230"/>
      <c r="L899" s="230"/>
      <c r="M899" s="230"/>
      <c r="N899" s="230"/>
      <c r="O899" s="230"/>
      <c r="P899" s="230"/>
      <c r="Q899" s="230"/>
      <c r="R899" s="230"/>
      <c r="S899" s="230"/>
      <c r="T899" s="230"/>
      <c r="U899" s="230"/>
    </row>
    <row r="900">
      <c r="J900" s="230"/>
      <c r="K900" s="230"/>
      <c r="L900" s="230"/>
      <c r="M900" s="230"/>
      <c r="N900" s="230"/>
      <c r="O900" s="230"/>
      <c r="P900" s="230"/>
      <c r="Q900" s="230"/>
      <c r="R900" s="230"/>
      <c r="S900" s="230"/>
      <c r="T900" s="230"/>
      <c r="U900" s="230"/>
    </row>
    <row r="901">
      <c r="J901" s="230"/>
      <c r="K901" s="230"/>
      <c r="L901" s="230"/>
      <c r="M901" s="230"/>
      <c r="N901" s="230"/>
      <c r="O901" s="230"/>
      <c r="P901" s="230"/>
      <c r="Q901" s="230"/>
      <c r="R901" s="230"/>
      <c r="S901" s="230"/>
      <c r="T901" s="230"/>
      <c r="U901" s="230"/>
    </row>
    <row r="902">
      <c r="J902" s="230"/>
      <c r="K902" s="230"/>
      <c r="L902" s="230"/>
      <c r="M902" s="230"/>
      <c r="N902" s="230"/>
      <c r="O902" s="230"/>
      <c r="P902" s="230"/>
      <c r="Q902" s="230"/>
      <c r="R902" s="230"/>
      <c r="S902" s="230"/>
      <c r="T902" s="230"/>
      <c r="U902" s="230"/>
    </row>
    <row r="903">
      <c r="J903" s="230"/>
      <c r="K903" s="230"/>
      <c r="L903" s="230"/>
      <c r="M903" s="230"/>
      <c r="N903" s="230"/>
      <c r="O903" s="230"/>
      <c r="P903" s="230"/>
      <c r="Q903" s="230"/>
      <c r="R903" s="230"/>
      <c r="S903" s="230"/>
      <c r="T903" s="230"/>
      <c r="U903" s="230"/>
    </row>
    <row r="904">
      <c r="J904" s="230"/>
      <c r="K904" s="230"/>
      <c r="L904" s="230"/>
      <c r="M904" s="230"/>
      <c r="N904" s="230"/>
      <c r="O904" s="230"/>
      <c r="P904" s="230"/>
      <c r="Q904" s="230"/>
      <c r="R904" s="230"/>
      <c r="S904" s="230"/>
      <c r="T904" s="230"/>
      <c r="U904" s="230"/>
    </row>
    <row r="905">
      <c r="J905" s="230"/>
      <c r="K905" s="230"/>
      <c r="L905" s="230"/>
      <c r="M905" s="230"/>
      <c r="N905" s="230"/>
      <c r="O905" s="230"/>
      <c r="P905" s="230"/>
      <c r="Q905" s="230"/>
      <c r="R905" s="230"/>
      <c r="S905" s="230"/>
      <c r="T905" s="230"/>
      <c r="U905" s="230"/>
    </row>
    <row r="906">
      <c r="J906" s="230"/>
      <c r="K906" s="230"/>
      <c r="L906" s="230"/>
      <c r="M906" s="230"/>
      <c r="N906" s="230"/>
      <c r="O906" s="230"/>
      <c r="P906" s="230"/>
      <c r="Q906" s="230"/>
      <c r="R906" s="230"/>
      <c r="S906" s="230"/>
      <c r="T906" s="230"/>
      <c r="U906" s="230"/>
    </row>
    <row r="907">
      <c r="J907" s="230"/>
      <c r="K907" s="230"/>
      <c r="L907" s="230"/>
      <c r="M907" s="230"/>
      <c r="N907" s="230"/>
      <c r="O907" s="230"/>
      <c r="P907" s="230"/>
      <c r="Q907" s="230"/>
      <c r="R907" s="230"/>
      <c r="S907" s="230"/>
      <c r="T907" s="230"/>
      <c r="U907" s="230"/>
    </row>
    <row r="908">
      <c r="J908" s="230"/>
      <c r="K908" s="230"/>
      <c r="L908" s="230"/>
      <c r="M908" s="230"/>
      <c r="N908" s="230"/>
      <c r="O908" s="230"/>
      <c r="P908" s="230"/>
      <c r="Q908" s="230"/>
      <c r="R908" s="230"/>
      <c r="S908" s="230"/>
      <c r="T908" s="230"/>
      <c r="U908" s="230"/>
    </row>
    <row r="909">
      <c r="J909" s="230"/>
      <c r="K909" s="230"/>
      <c r="L909" s="230"/>
      <c r="M909" s="230"/>
      <c r="N909" s="230"/>
      <c r="O909" s="230"/>
      <c r="P909" s="230"/>
      <c r="Q909" s="230"/>
      <c r="R909" s="230"/>
      <c r="S909" s="230"/>
      <c r="T909" s="230"/>
      <c r="U909" s="230"/>
    </row>
    <row r="910">
      <c r="J910" s="230"/>
      <c r="K910" s="230"/>
      <c r="L910" s="230"/>
      <c r="M910" s="230"/>
      <c r="N910" s="230"/>
      <c r="O910" s="230"/>
      <c r="P910" s="230"/>
      <c r="Q910" s="230"/>
      <c r="R910" s="230"/>
      <c r="S910" s="230"/>
      <c r="T910" s="230"/>
      <c r="U910" s="230"/>
    </row>
    <row r="911">
      <c r="J911" s="230"/>
      <c r="K911" s="230"/>
      <c r="L911" s="230"/>
      <c r="M911" s="230"/>
      <c r="N911" s="230"/>
      <c r="O911" s="230"/>
      <c r="P911" s="230"/>
      <c r="Q911" s="230"/>
      <c r="R911" s="230"/>
      <c r="S911" s="230"/>
      <c r="T911" s="230"/>
      <c r="U911" s="230"/>
    </row>
    <row r="912">
      <c r="J912" s="230"/>
      <c r="K912" s="230"/>
      <c r="L912" s="230"/>
      <c r="M912" s="230"/>
      <c r="N912" s="230"/>
      <c r="O912" s="230"/>
      <c r="P912" s="230"/>
      <c r="Q912" s="230"/>
      <c r="R912" s="230"/>
      <c r="S912" s="230"/>
      <c r="T912" s="230"/>
      <c r="U912" s="230"/>
    </row>
    <row r="913">
      <c r="J913" s="230"/>
      <c r="K913" s="230"/>
      <c r="L913" s="230"/>
      <c r="M913" s="230"/>
      <c r="N913" s="230"/>
      <c r="O913" s="230"/>
      <c r="P913" s="230"/>
      <c r="Q913" s="230"/>
      <c r="R913" s="230"/>
      <c r="S913" s="230"/>
      <c r="T913" s="230"/>
      <c r="U913" s="230"/>
    </row>
    <row r="914">
      <c r="J914" s="230"/>
      <c r="K914" s="230"/>
      <c r="L914" s="230"/>
      <c r="M914" s="230"/>
      <c r="N914" s="230"/>
      <c r="O914" s="230"/>
      <c r="P914" s="230"/>
      <c r="Q914" s="230"/>
      <c r="R914" s="230"/>
      <c r="S914" s="230"/>
      <c r="T914" s="230"/>
      <c r="U914" s="230"/>
    </row>
    <row r="915">
      <c r="J915" s="230"/>
      <c r="K915" s="230"/>
      <c r="L915" s="230"/>
      <c r="M915" s="230"/>
      <c r="N915" s="230"/>
      <c r="O915" s="230"/>
      <c r="P915" s="230"/>
      <c r="Q915" s="230"/>
      <c r="R915" s="230"/>
      <c r="S915" s="230"/>
      <c r="T915" s="230"/>
      <c r="U915" s="230"/>
    </row>
    <row r="916">
      <c r="J916" s="230"/>
      <c r="K916" s="230"/>
      <c r="L916" s="230"/>
      <c r="M916" s="230"/>
      <c r="N916" s="230"/>
      <c r="O916" s="230"/>
      <c r="P916" s="230"/>
      <c r="Q916" s="230"/>
      <c r="R916" s="230"/>
      <c r="S916" s="230"/>
      <c r="T916" s="230"/>
      <c r="U916" s="230"/>
    </row>
    <row r="917">
      <c r="J917" s="230"/>
      <c r="K917" s="230"/>
      <c r="L917" s="230"/>
      <c r="M917" s="230"/>
      <c r="N917" s="230"/>
      <c r="O917" s="230"/>
      <c r="P917" s="230"/>
      <c r="Q917" s="230"/>
      <c r="R917" s="230"/>
      <c r="S917" s="230"/>
      <c r="T917" s="230"/>
      <c r="U917" s="230"/>
    </row>
    <row r="918">
      <c r="J918" s="230"/>
      <c r="K918" s="230"/>
      <c r="L918" s="230"/>
      <c r="M918" s="230"/>
      <c r="N918" s="230"/>
      <c r="O918" s="230"/>
      <c r="P918" s="230"/>
      <c r="Q918" s="230"/>
      <c r="R918" s="230"/>
      <c r="S918" s="230"/>
      <c r="T918" s="230"/>
      <c r="U918" s="230"/>
    </row>
    <row r="919">
      <c r="J919" s="230"/>
      <c r="K919" s="230"/>
      <c r="L919" s="230"/>
      <c r="M919" s="230"/>
      <c r="N919" s="230"/>
      <c r="O919" s="230"/>
      <c r="P919" s="230"/>
      <c r="Q919" s="230"/>
      <c r="R919" s="230"/>
      <c r="S919" s="230"/>
      <c r="T919" s="230"/>
      <c r="U919" s="230"/>
    </row>
    <row r="920">
      <c r="J920" s="230"/>
      <c r="K920" s="230"/>
      <c r="L920" s="230"/>
      <c r="M920" s="230"/>
      <c r="N920" s="230"/>
      <c r="O920" s="230"/>
      <c r="P920" s="230"/>
      <c r="Q920" s="230"/>
      <c r="R920" s="230"/>
      <c r="S920" s="230"/>
      <c r="T920" s="230"/>
      <c r="U920" s="230"/>
    </row>
    <row r="921">
      <c r="J921" s="230"/>
      <c r="K921" s="230"/>
      <c r="L921" s="230"/>
      <c r="M921" s="230"/>
      <c r="N921" s="230"/>
      <c r="O921" s="230"/>
      <c r="P921" s="230"/>
      <c r="Q921" s="230"/>
      <c r="R921" s="230"/>
      <c r="S921" s="230"/>
      <c r="T921" s="230"/>
      <c r="U921" s="230"/>
    </row>
    <row r="922">
      <c r="J922" s="230"/>
      <c r="K922" s="230"/>
      <c r="L922" s="230"/>
      <c r="M922" s="230"/>
      <c r="N922" s="230"/>
      <c r="O922" s="230"/>
      <c r="P922" s="230"/>
      <c r="Q922" s="230"/>
      <c r="R922" s="230"/>
      <c r="S922" s="230"/>
      <c r="T922" s="230"/>
      <c r="U922" s="230"/>
    </row>
    <row r="923">
      <c r="J923" s="230"/>
      <c r="K923" s="230"/>
      <c r="L923" s="230"/>
      <c r="M923" s="230"/>
      <c r="N923" s="230"/>
      <c r="O923" s="230"/>
      <c r="P923" s="230"/>
      <c r="Q923" s="230"/>
      <c r="R923" s="230"/>
      <c r="S923" s="230"/>
      <c r="T923" s="230"/>
      <c r="U923" s="230"/>
    </row>
    <row r="924">
      <c r="J924" s="230"/>
      <c r="K924" s="230"/>
      <c r="L924" s="230"/>
      <c r="M924" s="230"/>
      <c r="N924" s="230"/>
      <c r="O924" s="230"/>
      <c r="P924" s="230"/>
      <c r="Q924" s="230"/>
      <c r="R924" s="230"/>
      <c r="S924" s="230"/>
      <c r="T924" s="230"/>
      <c r="U924" s="230"/>
    </row>
    <row r="925">
      <c r="J925" s="230"/>
      <c r="K925" s="230"/>
      <c r="L925" s="230"/>
      <c r="M925" s="230"/>
      <c r="N925" s="230"/>
      <c r="O925" s="230"/>
      <c r="P925" s="230"/>
      <c r="Q925" s="230"/>
      <c r="R925" s="230"/>
      <c r="S925" s="230"/>
      <c r="T925" s="230"/>
      <c r="U925" s="230"/>
    </row>
    <row r="926">
      <c r="J926" s="230"/>
      <c r="K926" s="230"/>
      <c r="L926" s="230"/>
      <c r="M926" s="230"/>
      <c r="N926" s="230"/>
      <c r="O926" s="230"/>
      <c r="P926" s="230"/>
      <c r="Q926" s="230"/>
      <c r="R926" s="230"/>
      <c r="S926" s="230"/>
      <c r="T926" s="230"/>
      <c r="U926" s="230"/>
    </row>
    <row r="927">
      <c r="J927" s="230"/>
      <c r="K927" s="230"/>
      <c r="L927" s="230"/>
      <c r="M927" s="230"/>
      <c r="N927" s="230"/>
      <c r="O927" s="230"/>
      <c r="P927" s="230"/>
      <c r="Q927" s="230"/>
      <c r="R927" s="230"/>
      <c r="S927" s="230"/>
      <c r="T927" s="230"/>
      <c r="U927" s="230"/>
    </row>
    <row r="928">
      <c r="J928" s="230"/>
      <c r="K928" s="230"/>
      <c r="L928" s="230"/>
      <c r="M928" s="230"/>
      <c r="N928" s="230"/>
      <c r="O928" s="230"/>
      <c r="P928" s="230"/>
      <c r="Q928" s="230"/>
      <c r="R928" s="230"/>
      <c r="S928" s="230"/>
      <c r="T928" s="230"/>
      <c r="U928" s="230"/>
    </row>
    <row r="929">
      <c r="J929" s="230"/>
      <c r="K929" s="230"/>
      <c r="L929" s="230"/>
      <c r="M929" s="230"/>
      <c r="N929" s="230"/>
      <c r="O929" s="230"/>
      <c r="P929" s="230"/>
      <c r="Q929" s="230"/>
      <c r="R929" s="230"/>
      <c r="S929" s="230"/>
      <c r="T929" s="230"/>
      <c r="U929" s="230"/>
    </row>
    <row r="930">
      <c r="J930" s="230"/>
      <c r="K930" s="230"/>
      <c r="L930" s="230"/>
      <c r="M930" s="230"/>
      <c r="N930" s="230"/>
      <c r="O930" s="230"/>
      <c r="P930" s="230"/>
      <c r="Q930" s="230"/>
      <c r="R930" s="230"/>
      <c r="S930" s="230"/>
      <c r="T930" s="230"/>
      <c r="U930" s="230"/>
    </row>
    <row r="931">
      <c r="J931" s="230"/>
      <c r="K931" s="230"/>
      <c r="L931" s="230"/>
      <c r="M931" s="230"/>
      <c r="N931" s="230"/>
      <c r="O931" s="230"/>
      <c r="P931" s="230"/>
      <c r="Q931" s="230"/>
      <c r="R931" s="230"/>
      <c r="S931" s="230"/>
      <c r="T931" s="230"/>
      <c r="U931" s="230"/>
    </row>
    <row r="932">
      <c r="J932" s="230"/>
      <c r="K932" s="230"/>
      <c r="L932" s="230"/>
      <c r="M932" s="230"/>
      <c r="N932" s="230"/>
      <c r="O932" s="230"/>
      <c r="P932" s="230"/>
      <c r="Q932" s="230"/>
      <c r="R932" s="230"/>
      <c r="S932" s="230"/>
      <c r="T932" s="230"/>
      <c r="U932" s="230"/>
    </row>
    <row r="933">
      <c r="J933" s="230"/>
      <c r="K933" s="230"/>
      <c r="L933" s="230"/>
      <c r="M933" s="230"/>
      <c r="N933" s="230"/>
      <c r="O933" s="230"/>
      <c r="P933" s="230"/>
      <c r="Q933" s="230"/>
      <c r="R933" s="230"/>
      <c r="S933" s="230"/>
      <c r="T933" s="230"/>
      <c r="U933" s="230"/>
    </row>
    <row r="934">
      <c r="J934" s="230"/>
      <c r="K934" s="230"/>
      <c r="L934" s="230"/>
      <c r="M934" s="230"/>
      <c r="N934" s="230"/>
      <c r="O934" s="230"/>
      <c r="P934" s="230"/>
      <c r="Q934" s="230"/>
      <c r="R934" s="230"/>
      <c r="S934" s="230"/>
      <c r="T934" s="230"/>
      <c r="U934" s="230"/>
    </row>
    <row r="935">
      <c r="J935" s="230"/>
      <c r="K935" s="230"/>
      <c r="L935" s="230"/>
      <c r="M935" s="230"/>
      <c r="N935" s="230"/>
      <c r="O935" s="230"/>
      <c r="P935" s="230"/>
      <c r="Q935" s="230"/>
      <c r="R935" s="230"/>
      <c r="S935" s="230"/>
      <c r="T935" s="230"/>
      <c r="U935" s="230"/>
    </row>
    <row r="936">
      <c r="J936" s="230"/>
      <c r="K936" s="230"/>
      <c r="L936" s="230"/>
      <c r="M936" s="230"/>
      <c r="N936" s="230"/>
      <c r="O936" s="230"/>
      <c r="P936" s="230"/>
      <c r="Q936" s="230"/>
      <c r="R936" s="230"/>
      <c r="S936" s="230"/>
      <c r="T936" s="230"/>
      <c r="U936" s="230"/>
    </row>
    <row r="937">
      <c r="J937" s="230"/>
      <c r="K937" s="230"/>
      <c r="L937" s="230"/>
      <c r="M937" s="230"/>
      <c r="N937" s="230"/>
      <c r="O937" s="230"/>
      <c r="P937" s="230"/>
      <c r="Q937" s="230"/>
      <c r="R937" s="230"/>
      <c r="S937" s="230"/>
      <c r="T937" s="230"/>
      <c r="U937" s="230"/>
    </row>
    <row r="938">
      <c r="J938" s="230"/>
      <c r="K938" s="230"/>
      <c r="L938" s="230"/>
      <c r="M938" s="230"/>
      <c r="N938" s="230"/>
      <c r="O938" s="230"/>
      <c r="P938" s="230"/>
      <c r="Q938" s="230"/>
      <c r="R938" s="230"/>
      <c r="S938" s="230"/>
      <c r="T938" s="230"/>
      <c r="U938" s="230"/>
    </row>
    <row r="939">
      <c r="J939" s="230"/>
      <c r="K939" s="230"/>
      <c r="L939" s="230"/>
      <c r="M939" s="230"/>
      <c r="N939" s="230"/>
      <c r="O939" s="230"/>
      <c r="P939" s="230"/>
      <c r="Q939" s="230"/>
      <c r="R939" s="230"/>
      <c r="S939" s="230"/>
      <c r="T939" s="230"/>
      <c r="U939" s="230"/>
    </row>
    <row r="940">
      <c r="J940" s="230"/>
      <c r="K940" s="230"/>
      <c r="L940" s="230"/>
      <c r="M940" s="230"/>
      <c r="N940" s="230"/>
      <c r="O940" s="230"/>
      <c r="P940" s="230"/>
      <c r="Q940" s="230"/>
      <c r="R940" s="230"/>
      <c r="S940" s="230"/>
      <c r="T940" s="230"/>
      <c r="U940" s="230"/>
    </row>
    <row r="941">
      <c r="J941" s="230"/>
      <c r="K941" s="230"/>
      <c r="L941" s="230"/>
      <c r="M941" s="230"/>
      <c r="N941" s="230"/>
      <c r="O941" s="230"/>
      <c r="P941" s="230"/>
      <c r="Q941" s="230"/>
      <c r="R941" s="230"/>
      <c r="S941" s="230"/>
      <c r="T941" s="230"/>
      <c r="U941" s="230"/>
    </row>
    <row r="942">
      <c r="J942" s="230"/>
      <c r="K942" s="230"/>
      <c r="L942" s="230"/>
      <c r="M942" s="230"/>
      <c r="N942" s="230"/>
      <c r="O942" s="230"/>
      <c r="P942" s="230"/>
      <c r="Q942" s="230"/>
      <c r="R942" s="230"/>
      <c r="S942" s="230"/>
      <c r="T942" s="230"/>
      <c r="U942" s="230"/>
    </row>
    <row r="943">
      <c r="J943" s="230"/>
      <c r="K943" s="230"/>
      <c r="L943" s="230"/>
      <c r="M943" s="230"/>
      <c r="N943" s="230"/>
      <c r="O943" s="230"/>
      <c r="P943" s="230"/>
      <c r="Q943" s="230"/>
      <c r="R943" s="230"/>
      <c r="S943" s="230"/>
      <c r="T943" s="230"/>
      <c r="U943" s="230"/>
    </row>
    <row r="944">
      <c r="J944" s="230"/>
      <c r="K944" s="230"/>
      <c r="L944" s="230"/>
      <c r="M944" s="230"/>
      <c r="N944" s="230"/>
      <c r="O944" s="230"/>
      <c r="P944" s="230"/>
      <c r="Q944" s="230"/>
      <c r="R944" s="230"/>
      <c r="S944" s="230"/>
      <c r="T944" s="230"/>
      <c r="U944" s="230"/>
    </row>
    <row r="945">
      <c r="J945" s="230"/>
      <c r="K945" s="230"/>
      <c r="L945" s="230"/>
      <c r="M945" s="230"/>
      <c r="N945" s="230"/>
      <c r="O945" s="230"/>
      <c r="P945" s="230"/>
      <c r="Q945" s="230"/>
      <c r="R945" s="230"/>
      <c r="S945" s="230"/>
      <c r="T945" s="230"/>
      <c r="U945" s="230"/>
    </row>
    <row r="946">
      <c r="J946" s="230"/>
      <c r="K946" s="230"/>
      <c r="L946" s="230"/>
      <c r="M946" s="230"/>
      <c r="N946" s="230"/>
      <c r="O946" s="230"/>
      <c r="P946" s="230"/>
      <c r="Q946" s="230"/>
      <c r="R946" s="230"/>
      <c r="S946" s="230"/>
      <c r="T946" s="230"/>
      <c r="U946" s="230"/>
    </row>
    <row r="947">
      <c r="J947" s="230"/>
      <c r="K947" s="230"/>
      <c r="L947" s="230"/>
      <c r="M947" s="230"/>
      <c r="N947" s="230"/>
      <c r="O947" s="230"/>
      <c r="P947" s="230"/>
      <c r="Q947" s="230"/>
      <c r="R947" s="230"/>
      <c r="S947" s="230"/>
      <c r="T947" s="230"/>
      <c r="U947" s="230"/>
    </row>
    <row r="948">
      <c r="J948" s="230"/>
      <c r="K948" s="230"/>
      <c r="L948" s="230"/>
      <c r="M948" s="230"/>
      <c r="N948" s="230"/>
      <c r="O948" s="230"/>
      <c r="P948" s="230"/>
      <c r="Q948" s="230"/>
      <c r="R948" s="230"/>
      <c r="S948" s="230"/>
      <c r="T948" s="230"/>
      <c r="U948" s="230"/>
    </row>
    <row r="949">
      <c r="J949" s="230"/>
      <c r="K949" s="230"/>
      <c r="L949" s="230"/>
      <c r="M949" s="230"/>
      <c r="N949" s="230"/>
      <c r="O949" s="230"/>
      <c r="P949" s="230"/>
      <c r="Q949" s="230"/>
      <c r="R949" s="230"/>
      <c r="S949" s="230"/>
      <c r="T949" s="230"/>
      <c r="U949" s="230"/>
    </row>
    <row r="950">
      <c r="J950" s="230"/>
      <c r="K950" s="230"/>
      <c r="L950" s="230"/>
      <c r="M950" s="230"/>
      <c r="N950" s="230"/>
      <c r="O950" s="230"/>
      <c r="P950" s="230"/>
      <c r="Q950" s="230"/>
      <c r="R950" s="230"/>
      <c r="S950" s="230"/>
      <c r="T950" s="230"/>
      <c r="U950" s="230"/>
    </row>
    <row r="951">
      <c r="J951" s="230"/>
      <c r="K951" s="230"/>
      <c r="L951" s="230"/>
      <c r="M951" s="230"/>
      <c r="N951" s="230"/>
      <c r="O951" s="230"/>
      <c r="P951" s="230"/>
      <c r="Q951" s="230"/>
      <c r="R951" s="230"/>
      <c r="S951" s="230"/>
      <c r="T951" s="230"/>
      <c r="U951" s="230"/>
    </row>
    <row r="952">
      <c r="J952" s="230"/>
      <c r="K952" s="230"/>
      <c r="L952" s="230"/>
      <c r="M952" s="230"/>
      <c r="N952" s="230"/>
      <c r="O952" s="230"/>
      <c r="P952" s="230"/>
      <c r="Q952" s="230"/>
      <c r="R952" s="230"/>
      <c r="S952" s="230"/>
      <c r="T952" s="230"/>
      <c r="U952" s="230"/>
    </row>
    <row r="953">
      <c r="J953" s="230"/>
      <c r="K953" s="230"/>
      <c r="L953" s="230"/>
      <c r="M953" s="230"/>
      <c r="N953" s="230"/>
      <c r="O953" s="230"/>
      <c r="P953" s="230"/>
      <c r="Q953" s="230"/>
      <c r="R953" s="230"/>
      <c r="S953" s="230"/>
      <c r="T953" s="230"/>
      <c r="U953" s="230"/>
    </row>
    <row r="954">
      <c r="J954" s="230"/>
      <c r="K954" s="230"/>
      <c r="L954" s="230"/>
      <c r="M954" s="230"/>
      <c r="N954" s="230"/>
      <c r="O954" s="230"/>
      <c r="P954" s="230"/>
      <c r="Q954" s="230"/>
      <c r="R954" s="230"/>
      <c r="S954" s="230"/>
      <c r="T954" s="230"/>
      <c r="U954" s="230"/>
    </row>
    <row r="955">
      <c r="J955" s="230"/>
      <c r="K955" s="230"/>
      <c r="L955" s="230"/>
      <c r="M955" s="230"/>
      <c r="N955" s="230"/>
      <c r="O955" s="230"/>
      <c r="P955" s="230"/>
      <c r="Q955" s="230"/>
      <c r="R955" s="230"/>
      <c r="S955" s="230"/>
      <c r="T955" s="230"/>
      <c r="U955" s="230"/>
    </row>
    <row r="956">
      <c r="J956" s="230"/>
      <c r="K956" s="230"/>
      <c r="L956" s="230"/>
      <c r="M956" s="230"/>
      <c r="N956" s="230"/>
      <c r="O956" s="230"/>
      <c r="P956" s="230"/>
      <c r="Q956" s="230"/>
      <c r="R956" s="230"/>
      <c r="S956" s="230"/>
      <c r="T956" s="230"/>
      <c r="U956" s="230"/>
    </row>
    <row r="957">
      <c r="J957" s="230"/>
      <c r="K957" s="230"/>
      <c r="L957" s="230"/>
      <c r="M957" s="230"/>
      <c r="N957" s="230"/>
      <c r="O957" s="230"/>
      <c r="P957" s="230"/>
      <c r="Q957" s="230"/>
      <c r="R957" s="230"/>
      <c r="S957" s="230"/>
      <c r="T957" s="230"/>
      <c r="U957" s="230"/>
    </row>
    <row r="958">
      <c r="J958" s="230"/>
      <c r="K958" s="230"/>
      <c r="L958" s="230"/>
      <c r="M958" s="230"/>
      <c r="N958" s="230"/>
      <c r="O958" s="230"/>
      <c r="P958" s="230"/>
      <c r="Q958" s="230"/>
      <c r="R958" s="230"/>
      <c r="S958" s="230"/>
      <c r="T958" s="230"/>
      <c r="U958" s="230"/>
    </row>
    <row r="959">
      <c r="J959" s="230"/>
      <c r="K959" s="230"/>
      <c r="L959" s="230"/>
      <c r="M959" s="230"/>
      <c r="N959" s="230"/>
      <c r="O959" s="230"/>
      <c r="P959" s="230"/>
      <c r="Q959" s="230"/>
      <c r="R959" s="230"/>
      <c r="S959" s="230"/>
      <c r="T959" s="230"/>
      <c r="U959" s="230"/>
    </row>
    <row r="960">
      <c r="J960" s="230"/>
      <c r="K960" s="230"/>
      <c r="L960" s="230"/>
      <c r="M960" s="230"/>
      <c r="N960" s="230"/>
      <c r="O960" s="230"/>
      <c r="P960" s="230"/>
      <c r="Q960" s="230"/>
      <c r="R960" s="230"/>
      <c r="S960" s="230"/>
      <c r="T960" s="230"/>
      <c r="U960" s="230"/>
    </row>
    <row r="961">
      <c r="J961" s="230"/>
      <c r="K961" s="230"/>
      <c r="L961" s="230"/>
      <c r="M961" s="230"/>
      <c r="N961" s="230"/>
      <c r="O961" s="230"/>
      <c r="P961" s="230"/>
      <c r="Q961" s="230"/>
      <c r="R961" s="230"/>
      <c r="S961" s="230"/>
      <c r="T961" s="230"/>
      <c r="U961" s="230"/>
    </row>
    <row r="962">
      <c r="J962" s="230"/>
      <c r="K962" s="230"/>
      <c r="L962" s="230"/>
      <c r="M962" s="230"/>
      <c r="N962" s="230"/>
      <c r="O962" s="230"/>
      <c r="P962" s="230"/>
      <c r="Q962" s="230"/>
      <c r="R962" s="230"/>
      <c r="S962" s="230"/>
      <c r="T962" s="230"/>
      <c r="U962" s="230"/>
    </row>
    <row r="963">
      <c r="J963" s="230"/>
      <c r="K963" s="230"/>
      <c r="L963" s="230"/>
      <c r="M963" s="230"/>
      <c r="N963" s="230"/>
      <c r="O963" s="230"/>
      <c r="P963" s="230"/>
      <c r="Q963" s="230"/>
      <c r="R963" s="230"/>
      <c r="S963" s="230"/>
      <c r="T963" s="230"/>
      <c r="U963" s="230"/>
    </row>
    <row r="964">
      <c r="J964" s="230"/>
      <c r="K964" s="230"/>
      <c r="L964" s="230"/>
      <c r="M964" s="230"/>
      <c r="N964" s="230"/>
      <c r="O964" s="230"/>
      <c r="P964" s="230"/>
      <c r="Q964" s="230"/>
      <c r="R964" s="230"/>
      <c r="S964" s="230"/>
      <c r="T964" s="230"/>
      <c r="U964" s="230"/>
    </row>
    <row r="965">
      <c r="J965" s="230"/>
      <c r="K965" s="230"/>
      <c r="L965" s="230"/>
      <c r="M965" s="230"/>
      <c r="N965" s="230"/>
      <c r="O965" s="230"/>
      <c r="P965" s="230"/>
      <c r="Q965" s="230"/>
      <c r="R965" s="230"/>
      <c r="S965" s="230"/>
      <c r="T965" s="230"/>
      <c r="U965" s="230"/>
    </row>
    <row r="966">
      <c r="J966" s="230"/>
      <c r="K966" s="230"/>
      <c r="L966" s="230"/>
      <c r="M966" s="230"/>
      <c r="N966" s="230"/>
      <c r="O966" s="230"/>
      <c r="P966" s="230"/>
      <c r="Q966" s="230"/>
      <c r="R966" s="230"/>
      <c r="S966" s="230"/>
      <c r="T966" s="230"/>
      <c r="U966" s="230"/>
    </row>
    <row r="967">
      <c r="J967" s="230"/>
      <c r="K967" s="230"/>
      <c r="L967" s="230"/>
      <c r="M967" s="230"/>
      <c r="N967" s="230"/>
      <c r="O967" s="230"/>
      <c r="P967" s="230"/>
      <c r="Q967" s="230"/>
      <c r="R967" s="230"/>
      <c r="S967" s="230"/>
      <c r="T967" s="230"/>
      <c r="U967" s="230"/>
    </row>
    <row r="968">
      <c r="J968" s="230"/>
      <c r="K968" s="230"/>
      <c r="L968" s="230"/>
      <c r="M968" s="230"/>
      <c r="N968" s="230"/>
      <c r="O968" s="230"/>
      <c r="P968" s="230"/>
      <c r="Q968" s="230"/>
      <c r="R968" s="230"/>
      <c r="S968" s="230"/>
      <c r="T968" s="230"/>
      <c r="U968" s="230"/>
    </row>
    <row r="969">
      <c r="J969" s="230"/>
      <c r="K969" s="230"/>
      <c r="L969" s="230"/>
      <c r="M969" s="230"/>
      <c r="N969" s="230"/>
      <c r="O969" s="230"/>
      <c r="P969" s="230"/>
      <c r="Q969" s="230"/>
      <c r="R969" s="230"/>
      <c r="S969" s="230"/>
      <c r="T969" s="230"/>
      <c r="U969" s="230"/>
    </row>
    <row r="970">
      <c r="J970" s="230"/>
      <c r="K970" s="230"/>
      <c r="L970" s="230"/>
      <c r="M970" s="230"/>
      <c r="N970" s="230"/>
      <c r="O970" s="230"/>
      <c r="P970" s="230"/>
      <c r="Q970" s="230"/>
      <c r="R970" s="230"/>
      <c r="S970" s="230"/>
      <c r="T970" s="230"/>
      <c r="U970" s="230"/>
    </row>
    <row r="971">
      <c r="J971" s="230"/>
      <c r="K971" s="230"/>
      <c r="L971" s="230"/>
      <c r="M971" s="230"/>
      <c r="N971" s="230"/>
      <c r="O971" s="230"/>
      <c r="P971" s="230"/>
      <c r="Q971" s="230"/>
      <c r="R971" s="230"/>
      <c r="S971" s="230"/>
      <c r="T971" s="230"/>
      <c r="U971" s="230"/>
    </row>
    <row r="972">
      <c r="J972" s="230"/>
      <c r="K972" s="230"/>
      <c r="L972" s="230"/>
      <c r="M972" s="230"/>
      <c r="N972" s="230"/>
      <c r="O972" s="230"/>
      <c r="P972" s="230"/>
      <c r="Q972" s="230"/>
      <c r="R972" s="230"/>
      <c r="S972" s="230"/>
      <c r="T972" s="230"/>
      <c r="U972" s="230"/>
    </row>
    <row r="973">
      <c r="J973" s="230"/>
      <c r="K973" s="230"/>
      <c r="L973" s="230"/>
      <c r="M973" s="230"/>
      <c r="N973" s="230"/>
      <c r="O973" s="230"/>
      <c r="P973" s="230"/>
      <c r="Q973" s="230"/>
      <c r="R973" s="230"/>
      <c r="S973" s="230"/>
      <c r="T973" s="230"/>
      <c r="U973" s="230"/>
    </row>
    <row r="974">
      <c r="J974" s="230"/>
      <c r="K974" s="230"/>
      <c r="L974" s="230"/>
      <c r="M974" s="230"/>
      <c r="N974" s="230"/>
      <c r="O974" s="230"/>
      <c r="P974" s="230"/>
      <c r="Q974" s="230"/>
      <c r="R974" s="230"/>
      <c r="S974" s="230"/>
      <c r="T974" s="230"/>
      <c r="U974" s="230"/>
    </row>
    <row r="975">
      <c r="J975" s="230"/>
      <c r="K975" s="230"/>
      <c r="L975" s="230"/>
      <c r="M975" s="230"/>
      <c r="N975" s="230"/>
      <c r="O975" s="230"/>
      <c r="P975" s="230"/>
      <c r="Q975" s="230"/>
      <c r="R975" s="230"/>
      <c r="S975" s="230"/>
      <c r="T975" s="230"/>
      <c r="U975" s="230"/>
    </row>
  </sheetData>
  <mergeCells count="19">
    <mergeCell ref="A1:B1"/>
    <mergeCell ref="A2:B2"/>
    <mergeCell ref="C2:W2"/>
    <mergeCell ref="F3:I3"/>
    <mergeCell ref="J3:N3"/>
    <mergeCell ref="F4:H4"/>
    <mergeCell ref="J4:M4"/>
    <mergeCell ref="F9:I9"/>
    <mergeCell ref="D10:J10"/>
    <mergeCell ref="L10:S10"/>
    <mergeCell ref="V10:W10"/>
    <mergeCell ref="X10:Y10"/>
    <mergeCell ref="F5:I5"/>
    <mergeCell ref="J5:N5"/>
    <mergeCell ref="F7:I7"/>
    <mergeCell ref="J7:N7"/>
    <mergeCell ref="F8:H8"/>
    <mergeCell ref="J8:M8"/>
    <mergeCell ref="J9:N9"/>
  </mergeCells>
  <dataValidations>
    <dataValidation type="list" allowBlank="1" sqref="B12 B17 B22 B27 B32 B37 B42 B47 B52 B57">
      <formula1>"Previous Week,Current Week"</formula1>
    </dataValidation>
  </dataValidations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3" width="37.13"/>
    <col hidden="1" min="4" max="9" width="12.63"/>
  </cols>
  <sheetData>
    <row r="1">
      <c r="A1" s="1" t="s">
        <v>71</v>
      </c>
      <c r="B1" s="2"/>
      <c r="C1" s="3"/>
      <c r="D1" s="4"/>
      <c r="E1" s="4"/>
      <c r="F1" s="4"/>
      <c r="G1" s="4"/>
      <c r="H1" s="4"/>
      <c r="I1" s="4"/>
      <c r="J1" s="4"/>
      <c r="K1" s="4"/>
      <c r="L1" s="5"/>
      <c r="M1" s="4"/>
      <c r="N1" s="4"/>
      <c r="O1" s="4"/>
      <c r="P1" s="4"/>
      <c r="Q1" s="4"/>
      <c r="R1" s="4"/>
      <c r="S1" s="4"/>
      <c r="T1" s="6"/>
      <c r="U1" s="6"/>
      <c r="V1" s="4"/>
      <c r="W1" s="4"/>
      <c r="X1" s="4"/>
      <c r="Y1" s="4"/>
      <c r="Z1" s="4"/>
    </row>
    <row r="2">
      <c r="A2" s="7"/>
      <c r="B2" s="8"/>
      <c r="C2" s="9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8"/>
      <c r="X2" s="11" t="str">
        <f>(#REF!+#REF!+#REF!+#REF!)-(monthly_reporting_2021!D17+monthly_reporting_2021!D23+monthly_reporting_2021!D29+monthly_reporting_2021!D35)</f>
        <v>#REF!</v>
      </c>
      <c r="Y2" s="12" t="str">
        <f>((#REF!+#REF!+#REF!+#REF!)-(monthly_reporting_2021!E17+monthly_reporting_2021!E23+monthly_reporting_2021!E29+monthly_reporting_2021!E35))/(#REF!+#REF!+#REF!+#REF!)</f>
        <v>#REF!</v>
      </c>
      <c r="Z2" s="3"/>
    </row>
    <row r="3">
      <c r="A3" s="13"/>
      <c r="B3" s="14"/>
      <c r="C3" s="3"/>
      <c r="D3" s="13"/>
      <c r="E3" s="13"/>
      <c r="F3" s="15"/>
      <c r="G3" s="10"/>
      <c r="H3" s="10"/>
      <c r="I3" s="8"/>
      <c r="J3" s="13"/>
      <c r="K3" s="16" t="s">
        <v>2</v>
      </c>
      <c r="L3" s="13"/>
      <c r="M3" s="13"/>
      <c r="N3" s="17" t="s">
        <v>3</v>
      </c>
      <c r="O3" s="10"/>
      <c r="P3" s="10"/>
      <c r="Q3" s="8"/>
      <c r="R3" s="13"/>
      <c r="S3" s="18" t="s">
        <v>4</v>
      </c>
      <c r="T3" s="10"/>
      <c r="U3" s="10"/>
      <c r="V3" s="8"/>
      <c r="W3" s="3"/>
      <c r="X3" s="3"/>
      <c r="Y3" s="3"/>
      <c r="Z3" s="3"/>
    </row>
    <row r="4">
      <c r="A4" s="13"/>
      <c r="B4" s="14"/>
      <c r="C4" s="19"/>
      <c r="D4" s="13"/>
      <c r="E4" s="13"/>
      <c r="F4" s="20"/>
      <c r="G4" s="10"/>
      <c r="H4" s="8"/>
      <c r="I4" s="3"/>
      <c r="J4" s="13"/>
      <c r="K4" s="21">
        <f>VLOOKUP("Current Week",$B$11:$X$96,match("SALES",$B$11:$X$11,0),FALSE)</f>
        <v>0</v>
      </c>
      <c r="L4" s="13"/>
      <c r="M4" s="13"/>
      <c r="N4" s="22">
        <f>VLOOKUP("Current Week",$B$11:$X$96,match("Units Sold",$B$11:$X$11,0),FALSE)</f>
        <v>0</v>
      </c>
      <c r="O4" s="10"/>
      <c r="P4" s="8"/>
      <c r="Q4" s="3"/>
      <c r="R4" s="13"/>
      <c r="S4" s="22">
        <f>VLOOKUP("Current Week",$B$11:$X$96,match("Ordered Items",$B$11:$X$11,0),FALSE)</f>
        <v>0</v>
      </c>
      <c r="T4" s="10"/>
      <c r="U4" s="8"/>
      <c r="V4" s="3"/>
      <c r="W4" s="3"/>
      <c r="X4" s="3"/>
      <c r="Y4" s="3"/>
      <c r="Z4" s="3"/>
    </row>
    <row r="5">
      <c r="A5" s="23"/>
      <c r="B5" s="24"/>
      <c r="C5" s="25"/>
      <c r="D5" s="13"/>
      <c r="E5" s="13"/>
      <c r="F5" s="15"/>
      <c r="G5" s="10"/>
      <c r="H5" s="10"/>
      <c r="I5" s="8"/>
      <c r="J5" s="13"/>
      <c r="K5" s="26" t="str">
        <f>(K4-(VLOOKUP("Previous Week",$B$11:$X$101,match("SALES",$B$11:$X$11,0),FALSE)))/K4</f>
        <v>#DIV/0!</v>
      </c>
      <c r="L5" s="13"/>
      <c r="M5" s="13"/>
      <c r="N5" s="27" t="str">
        <f>(N4-(VLOOKUP("Previous Week",$B$11:$X$101,match("Units Sold",$B$11:$X$11,0),FALSE)))/N4</f>
        <v>#DIV/0!</v>
      </c>
      <c r="O5" s="10"/>
      <c r="P5" s="10"/>
      <c r="Q5" s="8"/>
      <c r="R5" s="13"/>
      <c r="S5" s="27" t="str">
        <f>(S4-(VLOOKUP("Previous Week",$B$11:$X$101,match("Ordered Items",$B$11:$X$11,0),FALSE)))/S4</f>
        <v>#DIV/0!</v>
      </c>
      <c r="T5" s="10"/>
      <c r="U5" s="10"/>
      <c r="V5" s="8"/>
      <c r="W5" s="28"/>
      <c r="X5" s="28"/>
      <c r="Y5" s="28"/>
      <c r="Z5" s="28"/>
    </row>
    <row r="6">
      <c r="A6" s="13"/>
      <c r="B6" s="14"/>
      <c r="C6" s="3"/>
      <c r="D6" s="13"/>
      <c r="E6" s="13"/>
      <c r="F6" s="3"/>
      <c r="G6" s="3"/>
      <c r="H6" s="3"/>
      <c r="I6" s="3"/>
      <c r="J6" s="13"/>
      <c r="K6" s="3"/>
      <c r="L6" s="13"/>
      <c r="M6" s="13"/>
      <c r="N6" s="3"/>
      <c r="O6" s="3"/>
      <c r="P6" s="3"/>
      <c r="Q6" s="3"/>
      <c r="R6" s="13"/>
      <c r="S6" s="3"/>
      <c r="T6" s="3"/>
      <c r="U6" s="3"/>
      <c r="V6" s="3"/>
      <c r="W6" s="3"/>
      <c r="X6" s="3"/>
      <c r="Y6" s="3"/>
      <c r="Z6" s="3"/>
    </row>
    <row r="7">
      <c r="A7" s="13"/>
      <c r="B7" s="14"/>
      <c r="C7" s="3"/>
      <c r="D7" s="13"/>
      <c r="E7" s="13"/>
      <c r="F7" s="29"/>
      <c r="G7" s="10"/>
      <c r="H7" s="10"/>
      <c r="I7" s="8"/>
      <c r="J7" s="13"/>
      <c r="K7" s="16" t="s">
        <v>5</v>
      </c>
      <c r="L7" s="13"/>
      <c r="M7" s="13"/>
      <c r="N7" s="18" t="s">
        <v>6</v>
      </c>
      <c r="O7" s="10"/>
      <c r="P7" s="10"/>
      <c r="Q7" s="8"/>
      <c r="R7" s="13"/>
      <c r="S7" s="18" t="s">
        <v>7</v>
      </c>
      <c r="T7" s="10"/>
      <c r="U7" s="10"/>
      <c r="V7" s="8"/>
      <c r="W7" s="3"/>
      <c r="X7" s="3"/>
      <c r="Y7" s="3"/>
      <c r="Z7" s="3"/>
    </row>
    <row r="8">
      <c r="A8" s="13"/>
      <c r="B8" s="14"/>
      <c r="C8" s="19"/>
      <c r="D8" s="13"/>
      <c r="E8" s="13"/>
      <c r="F8" s="30"/>
      <c r="G8" s="10"/>
      <c r="H8" s="8"/>
      <c r="I8" s="3"/>
      <c r="J8" s="13"/>
      <c r="K8" s="21">
        <f>VLOOKUP("Current Week",$B$11:$X$96,match("AD SALES",$B$11:$X$11,0),FALSE)</f>
        <v>571</v>
      </c>
      <c r="L8" s="13"/>
      <c r="M8" s="13"/>
      <c r="N8" s="31">
        <f>VLOOKUP("Current Week",$B$11:$X$96,match("SP AD SPEND",$B$11:$X$11,0),FALSE)</f>
        <v>486.92</v>
      </c>
      <c r="O8" s="10"/>
      <c r="P8" s="8"/>
      <c r="Q8" s="3"/>
      <c r="R8" s="13"/>
      <c r="S8" s="32">
        <f>N8/K8</f>
        <v>0.8527495622</v>
      </c>
      <c r="T8" s="10"/>
      <c r="U8" s="8"/>
      <c r="V8" s="3"/>
      <c r="W8" s="3"/>
      <c r="X8" s="3"/>
      <c r="Y8" s="3"/>
      <c r="Z8" s="3"/>
    </row>
    <row r="9">
      <c r="A9" s="13"/>
      <c r="B9" s="14"/>
      <c r="C9" s="33"/>
      <c r="D9" s="13"/>
      <c r="E9" s="13"/>
      <c r="F9" s="34"/>
      <c r="I9" s="35"/>
      <c r="J9" s="13"/>
      <c r="K9" s="36">
        <f>(K8-(VLOOKUP("Previous Week",$B$11:$X$101,match("AD SALES",$B$11:$X$11,0),FALSE)))/K8</f>
        <v>-0.9369527145</v>
      </c>
      <c r="L9" s="13"/>
      <c r="M9" s="13"/>
      <c r="N9" s="37">
        <f>(N8-(VLOOKUP("Previous Week",$B$11:$X$101,match("SP AD SPEND",$B$11:$X$11,0),FALSE)))/N8</f>
        <v>-0.05456748542</v>
      </c>
      <c r="Q9" s="35"/>
      <c r="R9" s="13"/>
      <c r="S9" s="37">
        <f>(S8-(VLOOKUP("Previous Week",$B$11:$X$101,match("ACOS",$B$11:$X$11,0),FALSE)))/S8</f>
        <v>0.4555533145</v>
      </c>
      <c r="V9" s="35"/>
      <c r="W9" s="38"/>
      <c r="X9" s="38"/>
      <c r="Y9" s="38"/>
      <c r="Z9" s="3"/>
    </row>
    <row r="10">
      <c r="A10" s="13"/>
      <c r="B10" s="39"/>
      <c r="C10" s="40"/>
      <c r="D10" s="41" t="s">
        <v>8</v>
      </c>
      <c r="E10" s="42"/>
      <c r="F10" s="42"/>
      <c r="G10" s="42"/>
      <c r="H10" s="42"/>
      <c r="I10" s="43"/>
      <c r="J10" s="44"/>
      <c r="K10" s="45"/>
      <c r="L10" s="46" t="s">
        <v>9</v>
      </c>
      <c r="M10" s="42"/>
      <c r="N10" s="42"/>
      <c r="O10" s="42"/>
      <c r="P10" s="42"/>
      <c r="Q10" s="42"/>
      <c r="R10" s="42"/>
      <c r="S10" s="43"/>
      <c r="T10" s="47"/>
      <c r="U10" s="48"/>
      <c r="V10" s="49" t="s">
        <v>10</v>
      </c>
      <c r="W10" s="43"/>
      <c r="X10" s="41" t="s">
        <v>11</v>
      </c>
      <c r="Y10" s="43"/>
      <c r="Z10" s="3"/>
    </row>
    <row r="11">
      <c r="A11" s="50" t="s">
        <v>12</v>
      </c>
      <c r="B11" s="51" t="s">
        <v>13</v>
      </c>
      <c r="C11" s="52" t="s">
        <v>14</v>
      </c>
      <c r="D11" s="53" t="s">
        <v>15</v>
      </c>
      <c r="E11" s="54" t="s">
        <v>16</v>
      </c>
      <c r="F11" s="54" t="s">
        <v>17</v>
      </c>
      <c r="G11" s="54" t="s">
        <v>18</v>
      </c>
      <c r="H11" s="54" t="s">
        <v>19</v>
      </c>
      <c r="I11" s="50" t="s">
        <v>20</v>
      </c>
      <c r="J11" s="55" t="s">
        <v>21</v>
      </c>
      <c r="K11" s="54" t="s">
        <v>22</v>
      </c>
      <c r="L11" s="54" t="s">
        <v>23</v>
      </c>
      <c r="M11" s="54" t="s">
        <v>24</v>
      </c>
      <c r="N11" s="54" t="s">
        <v>7</v>
      </c>
      <c r="O11" s="54" t="s">
        <v>25</v>
      </c>
      <c r="P11" s="50" t="s">
        <v>26</v>
      </c>
      <c r="Q11" s="56" t="s">
        <v>27</v>
      </c>
      <c r="R11" s="57" t="s">
        <v>28</v>
      </c>
      <c r="S11" s="50" t="s">
        <v>29</v>
      </c>
      <c r="T11" s="58" t="s">
        <v>15</v>
      </c>
      <c r="U11" s="56" t="s">
        <v>30</v>
      </c>
      <c r="V11" s="58" t="s">
        <v>15</v>
      </c>
      <c r="W11" s="56" t="s">
        <v>30</v>
      </c>
      <c r="X11" s="38"/>
      <c r="Y11" s="13"/>
      <c r="Z11" s="13"/>
    </row>
    <row r="12">
      <c r="A12" s="59"/>
      <c r="B12" s="60"/>
      <c r="C12" s="61"/>
      <c r="D12" s="62"/>
      <c r="E12" s="63"/>
      <c r="F12" s="63"/>
      <c r="G12" s="64"/>
      <c r="H12" s="65"/>
      <c r="I12" s="66"/>
      <c r="J12" s="62"/>
      <c r="K12" s="63"/>
      <c r="L12" s="63"/>
      <c r="M12" s="67"/>
      <c r="N12" s="68"/>
      <c r="O12" s="69"/>
      <c r="P12" s="68"/>
      <c r="Q12" s="70"/>
      <c r="R12" s="71"/>
      <c r="S12" s="72"/>
      <c r="T12" s="73"/>
      <c r="U12" s="73"/>
      <c r="V12" s="73"/>
      <c r="W12" s="73"/>
      <c r="X12" s="13"/>
      <c r="Y12" s="13"/>
      <c r="Z12" s="13"/>
    </row>
    <row r="13" hidden="1" outlineLevel="1">
      <c r="A13" s="13"/>
      <c r="B13" s="74">
        <v>45921.0</v>
      </c>
      <c r="C13" s="75" t="s">
        <v>31</v>
      </c>
      <c r="D13" s="76"/>
      <c r="E13" s="77"/>
      <c r="F13" s="77"/>
      <c r="G13" s="78" t="str">
        <f t="shared" ref="G13:G87" si="1">E13/F13</f>
        <v>#DIV/0!</v>
      </c>
      <c r="H13" s="79" t="str">
        <f t="shared" ref="H13:H87" si="2">D13/E13</f>
        <v>#DIV/0!</v>
      </c>
      <c r="I13" s="80" t="str">
        <f t="shared" ref="I13:I87" si="3">H13/G13</f>
        <v>#DIV/0!</v>
      </c>
      <c r="J13" s="81">
        <v>0.0</v>
      </c>
      <c r="K13" s="82">
        <v>0.0</v>
      </c>
      <c r="L13" s="83">
        <v>0.0</v>
      </c>
      <c r="M13" s="84">
        <v>0.0</v>
      </c>
      <c r="N13" s="85" t="str">
        <f t="shared" ref="N13:N14" si="4">J13/M13</f>
        <v>#DIV/0!</v>
      </c>
      <c r="O13" s="86" t="str">
        <f t="shared" ref="O13:O87" si="5">M13/J13</f>
        <v>#DIV/0!</v>
      </c>
      <c r="P13" s="85" t="str">
        <f t="shared" ref="P13:P87" si="6">J13/D13</f>
        <v>#DIV/0!</v>
      </c>
      <c r="Q13" s="87" t="str">
        <f t="shared" ref="Q13:Q87" si="7">M13/D13</f>
        <v>#DIV/0!</v>
      </c>
      <c r="R13" s="88">
        <f t="shared" ref="R13:R16" si="8">D13-M13</f>
        <v>0</v>
      </c>
      <c r="S13" s="89" t="str">
        <f t="shared" ref="S13:S87" si="9">J13/L13</f>
        <v>#DIV/0!</v>
      </c>
      <c r="T13" s="90"/>
      <c r="U13" s="90"/>
      <c r="V13" s="90"/>
      <c r="W13" s="90"/>
      <c r="X13" s="3"/>
      <c r="Y13" s="13"/>
      <c r="Z13" s="13"/>
    </row>
    <row r="14" hidden="1" outlineLevel="1">
      <c r="A14" s="13"/>
      <c r="B14" s="91"/>
      <c r="C14" s="75" t="s">
        <v>32</v>
      </c>
      <c r="D14" s="92"/>
      <c r="E14" s="77"/>
      <c r="F14" s="77"/>
      <c r="G14" s="78" t="str">
        <f t="shared" si="1"/>
        <v>#DIV/0!</v>
      </c>
      <c r="H14" s="79" t="str">
        <f t="shared" si="2"/>
        <v>#DIV/0!</v>
      </c>
      <c r="I14" s="80" t="str">
        <f t="shared" si="3"/>
        <v>#DIV/0!</v>
      </c>
      <c r="J14" s="93">
        <v>0.0</v>
      </c>
      <c r="K14" s="82">
        <v>0.0</v>
      </c>
      <c r="L14" s="83">
        <v>0.0</v>
      </c>
      <c r="M14" s="94">
        <v>0.0</v>
      </c>
      <c r="N14" s="85" t="str">
        <f t="shared" si="4"/>
        <v>#DIV/0!</v>
      </c>
      <c r="O14" s="86" t="str">
        <f t="shared" si="5"/>
        <v>#DIV/0!</v>
      </c>
      <c r="P14" s="85" t="str">
        <f t="shared" si="6"/>
        <v>#DIV/0!</v>
      </c>
      <c r="Q14" s="87" t="str">
        <f t="shared" si="7"/>
        <v>#DIV/0!</v>
      </c>
      <c r="R14" s="95">
        <f t="shared" si="8"/>
        <v>0</v>
      </c>
      <c r="S14" s="89" t="str">
        <f t="shared" si="9"/>
        <v>#DIV/0!</v>
      </c>
      <c r="T14" s="90"/>
      <c r="U14" s="90"/>
      <c r="V14" s="90"/>
      <c r="W14" s="90"/>
      <c r="X14" s="3"/>
      <c r="Y14" s="13"/>
      <c r="Z14" s="13"/>
    </row>
    <row r="15" hidden="1" outlineLevel="1">
      <c r="A15" s="13"/>
      <c r="B15" s="96" t="s">
        <v>33</v>
      </c>
      <c r="C15" s="75" t="s">
        <v>34</v>
      </c>
      <c r="D15" s="97"/>
      <c r="E15" s="77"/>
      <c r="F15" s="77"/>
      <c r="G15" s="78" t="str">
        <f t="shared" si="1"/>
        <v>#DIV/0!</v>
      </c>
      <c r="H15" s="79" t="str">
        <f t="shared" si="2"/>
        <v>#DIV/0!</v>
      </c>
      <c r="I15" s="80" t="str">
        <f t="shared" si="3"/>
        <v>#DIV/0!</v>
      </c>
      <c r="J15" s="98">
        <v>0.0</v>
      </c>
      <c r="K15" s="82">
        <v>0.0</v>
      </c>
      <c r="L15" s="83">
        <v>0.0</v>
      </c>
      <c r="M15" s="99">
        <v>0.0</v>
      </c>
      <c r="N15" s="85" t="str">
        <f>(J15/M15)</f>
        <v>#DIV/0!</v>
      </c>
      <c r="O15" s="86" t="str">
        <f t="shared" si="5"/>
        <v>#DIV/0!</v>
      </c>
      <c r="P15" s="85" t="str">
        <f t="shared" si="6"/>
        <v>#DIV/0!</v>
      </c>
      <c r="Q15" s="87" t="str">
        <f t="shared" si="7"/>
        <v>#DIV/0!</v>
      </c>
      <c r="R15" s="100">
        <f t="shared" si="8"/>
        <v>0</v>
      </c>
      <c r="S15" s="89" t="str">
        <f t="shared" si="9"/>
        <v>#DIV/0!</v>
      </c>
      <c r="T15" s="90"/>
      <c r="U15" s="90"/>
      <c r="V15" s="90"/>
      <c r="W15" s="90"/>
      <c r="X15" s="3"/>
      <c r="Y15" s="13"/>
      <c r="Z15" s="13"/>
    </row>
    <row r="16" hidden="1" outlineLevel="1">
      <c r="A16" s="101" t="str">
        <f t="shared" ref="A16:A17" si="10">iferror(if(B16&gt;0,month(B16)&amp;"-"&amp;year(B16),B16),)</f>
        <v>9-2025</v>
      </c>
      <c r="B16" s="74">
        <v>45927.0</v>
      </c>
      <c r="C16" s="75" t="s">
        <v>35</v>
      </c>
      <c r="D16" s="102"/>
      <c r="E16" s="77"/>
      <c r="F16" s="77"/>
      <c r="G16" s="78" t="str">
        <f t="shared" si="1"/>
        <v>#DIV/0!</v>
      </c>
      <c r="H16" s="79" t="str">
        <f t="shared" si="2"/>
        <v>#DIV/0!</v>
      </c>
      <c r="I16" s="80" t="str">
        <f t="shared" si="3"/>
        <v>#DIV/0!</v>
      </c>
      <c r="J16" s="93">
        <v>0.0</v>
      </c>
      <c r="K16" s="82">
        <v>0.0</v>
      </c>
      <c r="L16" s="83">
        <v>0.0</v>
      </c>
      <c r="M16" s="94">
        <v>0.0</v>
      </c>
      <c r="N16" s="85" t="str">
        <f t="shared" ref="N16:N19" si="13">J16/M16</f>
        <v>#DIV/0!</v>
      </c>
      <c r="O16" s="86" t="str">
        <f t="shared" si="5"/>
        <v>#DIV/0!</v>
      </c>
      <c r="P16" s="85" t="str">
        <f t="shared" si="6"/>
        <v>#DIV/0!</v>
      </c>
      <c r="Q16" s="87" t="str">
        <f t="shared" si="7"/>
        <v>#DIV/0!</v>
      </c>
      <c r="R16" s="88">
        <f t="shared" si="8"/>
        <v>0</v>
      </c>
      <c r="S16" s="89" t="str">
        <f t="shared" si="9"/>
        <v>#DIV/0!</v>
      </c>
      <c r="T16" s="90"/>
      <c r="U16" s="90"/>
      <c r="V16" s="90"/>
      <c r="W16" s="90"/>
      <c r="X16" s="3"/>
      <c r="Y16" s="13"/>
      <c r="Z16" s="13"/>
    </row>
    <row r="17" collapsed="1">
      <c r="A17" s="13" t="str">
        <f t="shared" si="10"/>
        <v/>
      </c>
      <c r="B17" s="103" t="s">
        <v>36</v>
      </c>
      <c r="C17" s="61"/>
      <c r="D17" s="104">
        <f t="shared" ref="D17:F17" si="11">SUM(D13:D16)</f>
        <v>0</v>
      </c>
      <c r="E17" s="105">
        <f t="shared" si="11"/>
        <v>0</v>
      </c>
      <c r="F17" s="105">
        <f t="shared" si="11"/>
        <v>0</v>
      </c>
      <c r="G17" s="106" t="str">
        <f t="shared" si="1"/>
        <v>#DIV/0!</v>
      </c>
      <c r="H17" s="107" t="str">
        <f t="shared" si="2"/>
        <v>#DIV/0!</v>
      </c>
      <c r="I17" s="108" t="str">
        <f t="shared" si="3"/>
        <v>#DIV/0!</v>
      </c>
      <c r="J17" s="104">
        <f t="shared" ref="J17:M17" si="12">SUM(J13:J16)</f>
        <v>0</v>
      </c>
      <c r="K17" s="109">
        <f t="shared" si="12"/>
        <v>0</v>
      </c>
      <c r="L17" s="105">
        <f t="shared" si="12"/>
        <v>0</v>
      </c>
      <c r="M17" s="110">
        <f t="shared" si="12"/>
        <v>0</v>
      </c>
      <c r="N17" s="111" t="str">
        <f t="shared" si="13"/>
        <v>#DIV/0!</v>
      </c>
      <c r="O17" s="112" t="str">
        <f t="shared" si="5"/>
        <v>#DIV/0!</v>
      </c>
      <c r="P17" s="111" t="str">
        <f t="shared" si="6"/>
        <v>#DIV/0!</v>
      </c>
      <c r="Q17" s="113" t="str">
        <f t="shared" si="7"/>
        <v>#DIV/0!</v>
      </c>
      <c r="R17" s="114">
        <f>SUM(R13:R16)</f>
        <v>0</v>
      </c>
      <c r="S17" s="115" t="str">
        <f t="shared" si="9"/>
        <v>#DIV/0!</v>
      </c>
      <c r="T17" s="73" t="str">
        <f t="shared" ref="T17:U17" si="14">IFERROR((D17-#REF!)/D17,)</f>
        <v/>
      </c>
      <c r="U17" s="73" t="str">
        <f t="shared" si="14"/>
        <v/>
      </c>
      <c r="V17" s="73" t="str">
        <f t="shared" ref="V17:W17" si="15">IFERROR((D17-#REF!)/D17, )</f>
        <v/>
      </c>
      <c r="W17" s="73" t="str">
        <f t="shared" si="15"/>
        <v/>
      </c>
      <c r="X17" s="13"/>
      <c r="Y17" s="13"/>
      <c r="Z17" s="13"/>
    </row>
    <row r="18" hidden="1" outlineLevel="1">
      <c r="A18" s="13"/>
      <c r="B18" s="74">
        <v>45928.0</v>
      </c>
      <c r="C18" s="75" t="s">
        <v>31</v>
      </c>
      <c r="D18" s="76"/>
      <c r="E18" s="77"/>
      <c r="F18" s="77"/>
      <c r="G18" s="78" t="str">
        <f t="shared" si="1"/>
        <v>#DIV/0!</v>
      </c>
      <c r="H18" s="79" t="str">
        <f t="shared" si="2"/>
        <v>#DIV/0!</v>
      </c>
      <c r="I18" s="80" t="str">
        <f t="shared" si="3"/>
        <v>#DIV/0!</v>
      </c>
      <c r="J18" s="81">
        <v>0.0</v>
      </c>
      <c r="K18" s="82">
        <v>0.0</v>
      </c>
      <c r="L18" s="83">
        <v>0.0</v>
      </c>
      <c r="M18" s="84">
        <v>0.0</v>
      </c>
      <c r="N18" s="85" t="str">
        <f t="shared" si="13"/>
        <v>#DIV/0!</v>
      </c>
      <c r="O18" s="86" t="str">
        <f t="shared" si="5"/>
        <v>#DIV/0!</v>
      </c>
      <c r="P18" s="85" t="str">
        <f t="shared" si="6"/>
        <v>#DIV/0!</v>
      </c>
      <c r="Q18" s="87" t="str">
        <f t="shared" si="7"/>
        <v>#DIV/0!</v>
      </c>
      <c r="R18" s="88">
        <f t="shared" ref="R18:R21" si="16">D18-M18</f>
        <v>0</v>
      </c>
      <c r="S18" s="89" t="str">
        <f t="shared" si="9"/>
        <v>#DIV/0!</v>
      </c>
      <c r="T18" s="90"/>
      <c r="U18" s="90"/>
      <c r="V18" s="90"/>
      <c r="W18" s="90"/>
      <c r="X18" s="3"/>
      <c r="Y18" s="13"/>
      <c r="Z18" s="13"/>
    </row>
    <row r="19" hidden="1" outlineLevel="1">
      <c r="A19" s="13"/>
      <c r="B19" s="91"/>
      <c r="C19" s="75" t="s">
        <v>32</v>
      </c>
      <c r="D19" s="92"/>
      <c r="E19" s="77"/>
      <c r="F19" s="77"/>
      <c r="G19" s="78" t="str">
        <f t="shared" si="1"/>
        <v>#DIV/0!</v>
      </c>
      <c r="H19" s="79" t="str">
        <f t="shared" si="2"/>
        <v>#DIV/0!</v>
      </c>
      <c r="I19" s="80" t="str">
        <f t="shared" si="3"/>
        <v>#DIV/0!</v>
      </c>
      <c r="J19" s="93">
        <v>0.0</v>
      </c>
      <c r="K19" s="82">
        <v>0.0</v>
      </c>
      <c r="L19" s="83">
        <v>0.0</v>
      </c>
      <c r="M19" s="94">
        <v>0.0</v>
      </c>
      <c r="N19" s="85" t="str">
        <f t="shared" si="13"/>
        <v>#DIV/0!</v>
      </c>
      <c r="O19" s="86" t="str">
        <f t="shared" si="5"/>
        <v>#DIV/0!</v>
      </c>
      <c r="P19" s="85" t="str">
        <f t="shared" si="6"/>
        <v>#DIV/0!</v>
      </c>
      <c r="Q19" s="87" t="str">
        <f t="shared" si="7"/>
        <v>#DIV/0!</v>
      </c>
      <c r="R19" s="95">
        <f t="shared" si="16"/>
        <v>0</v>
      </c>
      <c r="S19" s="89" t="str">
        <f t="shared" si="9"/>
        <v>#DIV/0!</v>
      </c>
      <c r="T19" s="90"/>
      <c r="U19" s="90"/>
      <c r="V19" s="90"/>
      <c r="W19" s="90"/>
      <c r="X19" s="3"/>
      <c r="Y19" s="13"/>
      <c r="Z19" s="13"/>
    </row>
    <row r="20" hidden="1" outlineLevel="1">
      <c r="A20" s="13"/>
      <c r="B20" s="96" t="s">
        <v>33</v>
      </c>
      <c r="C20" s="75" t="s">
        <v>34</v>
      </c>
      <c r="D20" s="97"/>
      <c r="E20" s="77"/>
      <c r="F20" s="77"/>
      <c r="G20" s="78" t="str">
        <f t="shared" si="1"/>
        <v>#DIV/0!</v>
      </c>
      <c r="H20" s="79" t="str">
        <f t="shared" si="2"/>
        <v>#DIV/0!</v>
      </c>
      <c r="I20" s="80" t="str">
        <f t="shared" si="3"/>
        <v>#DIV/0!</v>
      </c>
      <c r="J20" s="98">
        <v>0.0</v>
      </c>
      <c r="K20" s="82">
        <v>0.0</v>
      </c>
      <c r="L20" s="83">
        <v>0.0</v>
      </c>
      <c r="M20" s="99">
        <v>0.0</v>
      </c>
      <c r="N20" s="85" t="str">
        <f>(J20/M20)</f>
        <v>#DIV/0!</v>
      </c>
      <c r="O20" s="86" t="str">
        <f t="shared" si="5"/>
        <v>#DIV/0!</v>
      </c>
      <c r="P20" s="85" t="str">
        <f t="shared" si="6"/>
        <v>#DIV/0!</v>
      </c>
      <c r="Q20" s="87" t="str">
        <f t="shared" si="7"/>
        <v>#DIV/0!</v>
      </c>
      <c r="R20" s="100">
        <f t="shared" si="16"/>
        <v>0</v>
      </c>
      <c r="S20" s="89" t="str">
        <f t="shared" si="9"/>
        <v>#DIV/0!</v>
      </c>
      <c r="T20" s="90"/>
      <c r="U20" s="90"/>
      <c r="V20" s="90"/>
      <c r="W20" s="90"/>
      <c r="X20" s="3"/>
      <c r="Y20" s="13"/>
      <c r="Z20" s="13"/>
    </row>
    <row r="21" hidden="1" outlineLevel="1">
      <c r="A21" s="101" t="str">
        <f t="shared" ref="A21:A22" si="17">iferror(if(B21&gt;0,month(B21)&amp;"-"&amp;year(B21),B21),)</f>
        <v>10-2025</v>
      </c>
      <c r="B21" s="74">
        <v>45934.0</v>
      </c>
      <c r="C21" s="75" t="s">
        <v>35</v>
      </c>
      <c r="D21" s="102"/>
      <c r="E21" s="77"/>
      <c r="F21" s="77"/>
      <c r="G21" s="78" t="str">
        <f t="shared" si="1"/>
        <v>#DIV/0!</v>
      </c>
      <c r="H21" s="79" t="str">
        <f t="shared" si="2"/>
        <v>#DIV/0!</v>
      </c>
      <c r="I21" s="80" t="str">
        <f t="shared" si="3"/>
        <v>#DIV/0!</v>
      </c>
      <c r="J21" s="93">
        <v>0.0</v>
      </c>
      <c r="K21" s="82">
        <v>0.0</v>
      </c>
      <c r="L21" s="83">
        <v>0.0</v>
      </c>
      <c r="M21" s="94">
        <v>0.0</v>
      </c>
      <c r="N21" s="85" t="str">
        <f t="shared" ref="N21:N24" si="20">J21/M21</f>
        <v>#DIV/0!</v>
      </c>
      <c r="O21" s="86" t="str">
        <f t="shared" si="5"/>
        <v>#DIV/0!</v>
      </c>
      <c r="P21" s="85" t="str">
        <f t="shared" si="6"/>
        <v>#DIV/0!</v>
      </c>
      <c r="Q21" s="87" t="str">
        <f t="shared" si="7"/>
        <v>#DIV/0!</v>
      </c>
      <c r="R21" s="88">
        <f t="shared" si="16"/>
        <v>0</v>
      </c>
      <c r="S21" s="89" t="str">
        <f t="shared" si="9"/>
        <v>#DIV/0!</v>
      </c>
      <c r="T21" s="90"/>
      <c r="U21" s="90"/>
      <c r="V21" s="90"/>
      <c r="W21" s="90"/>
      <c r="X21" s="3"/>
      <c r="Y21" s="13"/>
      <c r="Z21" s="13"/>
    </row>
    <row r="22" collapsed="1">
      <c r="A22" s="13" t="str">
        <f t="shared" si="17"/>
        <v/>
      </c>
      <c r="B22" s="103" t="s">
        <v>37</v>
      </c>
      <c r="C22" s="61"/>
      <c r="D22" s="104">
        <f t="shared" ref="D22:F22" si="18">SUM(D18:D21)</f>
        <v>0</v>
      </c>
      <c r="E22" s="105">
        <f t="shared" si="18"/>
        <v>0</v>
      </c>
      <c r="F22" s="105">
        <f t="shared" si="18"/>
        <v>0</v>
      </c>
      <c r="G22" s="106" t="str">
        <f t="shared" si="1"/>
        <v>#DIV/0!</v>
      </c>
      <c r="H22" s="107" t="str">
        <f t="shared" si="2"/>
        <v>#DIV/0!</v>
      </c>
      <c r="I22" s="108" t="str">
        <f t="shared" si="3"/>
        <v>#DIV/0!</v>
      </c>
      <c r="J22" s="104">
        <f t="shared" ref="J22:M22" si="19">SUM(J18:J21)</f>
        <v>0</v>
      </c>
      <c r="K22" s="109">
        <f t="shared" si="19"/>
        <v>0</v>
      </c>
      <c r="L22" s="105">
        <f t="shared" si="19"/>
        <v>0</v>
      </c>
      <c r="M22" s="110">
        <f t="shared" si="19"/>
        <v>0</v>
      </c>
      <c r="N22" s="111" t="str">
        <f t="shared" si="20"/>
        <v>#DIV/0!</v>
      </c>
      <c r="O22" s="112" t="str">
        <f t="shared" si="5"/>
        <v>#DIV/0!</v>
      </c>
      <c r="P22" s="111" t="str">
        <f t="shared" si="6"/>
        <v>#DIV/0!</v>
      </c>
      <c r="Q22" s="113" t="str">
        <f t="shared" si="7"/>
        <v>#DIV/0!</v>
      </c>
      <c r="R22" s="114">
        <f>SUM(R18:R21)</f>
        <v>0</v>
      </c>
      <c r="S22" s="115" t="str">
        <f t="shared" si="9"/>
        <v>#DIV/0!</v>
      </c>
      <c r="T22" s="73" t="str">
        <f t="shared" ref="T22:U22" si="21">IFERROR((D22-#REF!)/D22,)</f>
        <v/>
      </c>
      <c r="U22" s="73" t="str">
        <f t="shared" si="21"/>
        <v/>
      </c>
      <c r="V22" s="73" t="str">
        <f t="shared" ref="V22:W22" si="22">IFERROR((D22-#REF!)/D22, )</f>
        <v/>
      </c>
      <c r="W22" s="73" t="str">
        <f t="shared" si="22"/>
        <v/>
      </c>
      <c r="X22" s="13"/>
      <c r="Y22" s="13"/>
      <c r="Z22" s="13"/>
    </row>
    <row r="23" hidden="1" outlineLevel="1">
      <c r="A23" s="13"/>
      <c r="B23" s="74">
        <v>45935.0</v>
      </c>
      <c r="C23" s="75" t="s">
        <v>31</v>
      </c>
      <c r="D23" s="76"/>
      <c r="E23" s="77"/>
      <c r="F23" s="77"/>
      <c r="G23" s="78" t="str">
        <f t="shared" si="1"/>
        <v>#DIV/0!</v>
      </c>
      <c r="H23" s="79" t="str">
        <f t="shared" si="2"/>
        <v>#DIV/0!</v>
      </c>
      <c r="I23" s="80" t="str">
        <f t="shared" si="3"/>
        <v>#DIV/0!</v>
      </c>
      <c r="J23" s="81">
        <v>0.0</v>
      </c>
      <c r="K23" s="82">
        <v>0.0</v>
      </c>
      <c r="L23" s="83">
        <v>0.0</v>
      </c>
      <c r="M23" s="84">
        <v>0.0</v>
      </c>
      <c r="N23" s="85" t="str">
        <f t="shared" si="20"/>
        <v>#DIV/0!</v>
      </c>
      <c r="O23" s="86" t="str">
        <f t="shared" si="5"/>
        <v>#DIV/0!</v>
      </c>
      <c r="P23" s="85" t="str">
        <f t="shared" si="6"/>
        <v>#DIV/0!</v>
      </c>
      <c r="Q23" s="87" t="str">
        <f t="shared" si="7"/>
        <v>#DIV/0!</v>
      </c>
      <c r="R23" s="88">
        <f t="shared" ref="R23:R26" si="23">D23-M23</f>
        <v>0</v>
      </c>
      <c r="S23" s="89" t="str">
        <f t="shared" si="9"/>
        <v>#DIV/0!</v>
      </c>
      <c r="T23" s="90"/>
      <c r="U23" s="90"/>
      <c r="V23" s="90"/>
      <c r="W23" s="90"/>
      <c r="X23" s="3"/>
      <c r="Y23" s="13"/>
      <c r="Z23" s="13"/>
    </row>
    <row r="24" hidden="1" outlineLevel="1">
      <c r="A24" s="13"/>
      <c r="B24" s="91"/>
      <c r="C24" s="75" t="s">
        <v>32</v>
      </c>
      <c r="D24" s="92"/>
      <c r="E24" s="77"/>
      <c r="F24" s="77"/>
      <c r="G24" s="78" t="str">
        <f t="shared" si="1"/>
        <v>#DIV/0!</v>
      </c>
      <c r="H24" s="79" t="str">
        <f t="shared" si="2"/>
        <v>#DIV/0!</v>
      </c>
      <c r="I24" s="80" t="str">
        <f t="shared" si="3"/>
        <v>#DIV/0!</v>
      </c>
      <c r="J24" s="93">
        <v>0.0</v>
      </c>
      <c r="K24" s="82">
        <v>0.0</v>
      </c>
      <c r="L24" s="83">
        <v>0.0</v>
      </c>
      <c r="M24" s="94">
        <v>0.0</v>
      </c>
      <c r="N24" s="85" t="str">
        <f t="shared" si="20"/>
        <v>#DIV/0!</v>
      </c>
      <c r="O24" s="86" t="str">
        <f t="shared" si="5"/>
        <v>#DIV/0!</v>
      </c>
      <c r="P24" s="85" t="str">
        <f t="shared" si="6"/>
        <v>#DIV/0!</v>
      </c>
      <c r="Q24" s="87" t="str">
        <f t="shared" si="7"/>
        <v>#DIV/0!</v>
      </c>
      <c r="R24" s="95">
        <f t="shared" si="23"/>
        <v>0</v>
      </c>
      <c r="S24" s="89" t="str">
        <f t="shared" si="9"/>
        <v>#DIV/0!</v>
      </c>
      <c r="T24" s="90"/>
      <c r="U24" s="90"/>
      <c r="V24" s="90"/>
      <c r="W24" s="90"/>
      <c r="X24" s="3"/>
      <c r="Y24" s="13"/>
      <c r="Z24" s="13"/>
    </row>
    <row r="25" hidden="1" outlineLevel="1">
      <c r="A25" s="13"/>
      <c r="B25" s="74" t="s">
        <v>33</v>
      </c>
      <c r="C25" s="75" t="s">
        <v>34</v>
      </c>
      <c r="D25" s="97"/>
      <c r="E25" s="77"/>
      <c r="F25" s="77"/>
      <c r="G25" s="78" t="str">
        <f t="shared" si="1"/>
        <v>#DIV/0!</v>
      </c>
      <c r="H25" s="79" t="str">
        <f t="shared" si="2"/>
        <v>#DIV/0!</v>
      </c>
      <c r="I25" s="80" t="str">
        <f t="shared" si="3"/>
        <v>#DIV/0!</v>
      </c>
      <c r="J25" s="98">
        <v>0.0</v>
      </c>
      <c r="K25" s="82">
        <v>0.0</v>
      </c>
      <c r="L25" s="83">
        <v>0.0</v>
      </c>
      <c r="M25" s="99">
        <v>0.0</v>
      </c>
      <c r="N25" s="85" t="str">
        <f>(J25/M25)</f>
        <v>#DIV/0!</v>
      </c>
      <c r="O25" s="86" t="str">
        <f t="shared" si="5"/>
        <v>#DIV/0!</v>
      </c>
      <c r="P25" s="85" t="str">
        <f t="shared" si="6"/>
        <v>#DIV/0!</v>
      </c>
      <c r="Q25" s="87" t="str">
        <f t="shared" si="7"/>
        <v>#DIV/0!</v>
      </c>
      <c r="R25" s="100">
        <f t="shared" si="23"/>
        <v>0</v>
      </c>
      <c r="S25" s="89" t="str">
        <f t="shared" si="9"/>
        <v>#DIV/0!</v>
      </c>
      <c r="T25" s="90"/>
      <c r="U25" s="90"/>
      <c r="V25" s="90"/>
      <c r="W25" s="90"/>
      <c r="X25" s="3"/>
      <c r="Y25" s="13"/>
      <c r="Z25" s="13"/>
    </row>
    <row r="26" hidden="1" outlineLevel="1">
      <c r="A26" s="101" t="str">
        <f t="shared" ref="A26:A27" si="24">iferror(if(B26&gt;0,month(B26)&amp;"-"&amp;year(B26),B26),)</f>
        <v>10-2025</v>
      </c>
      <c r="B26" s="74">
        <v>45941.0</v>
      </c>
      <c r="C26" s="75" t="s">
        <v>35</v>
      </c>
      <c r="D26" s="102"/>
      <c r="E26" s="77"/>
      <c r="F26" s="77"/>
      <c r="G26" s="78" t="str">
        <f t="shared" si="1"/>
        <v>#DIV/0!</v>
      </c>
      <c r="H26" s="79" t="str">
        <f t="shared" si="2"/>
        <v>#DIV/0!</v>
      </c>
      <c r="I26" s="80" t="str">
        <f t="shared" si="3"/>
        <v>#DIV/0!</v>
      </c>
      <c r="J26" s="93">
        <v>0.0</v>
      </c>
      <c r="K26" s="82">
        <v>0.0</v>
      </c>
      <c r="L26" s="83">
        <v>0.0</v>
      </c>
      <c r="M26" s="94">
        <v>0.0</v>
      </c>
      <c r="N26" s="85" t="str">
        <f t="shared" ref="N26:N29" si="27">J26/M26</f>
        <v>#DIV/0!</v>
      </c>
      <c r="O26" s="86" t="str">
        <f t="shared" si="5"/>
        <v>#DIV/0!</v>
      </c>
      <c r="P26" s="85" t="str">
        <f t="shared" si="6"/>
        <v>#DIV/0!</v>
      </c>
      <c r="Q26" s="87" t="str">
        <f t="shared" si="7"/>
        <v>#DIV/0!</v>
      </c>
      <c r="R26" s="88">
        <f t="shared" si="23"/>
        <v>0</v>
      </c>
      <c r="S26" s="89" t="str">
        <f t="shared" si="9"/>
        <v>#DIV/0!</v>
      </c>
      <c r="T26" s="90"/>
      <c r="U26" s="90"/>
      <c r="V26" s="90"/>
      <c r="W26" s="90"/>
      <c r="X26" s="3"/>
      <c r="Y26" s="13"/>
      <c r="Z26" s="13"/>
    </row>
    <row r="27" collapsed="1">
      <c r="A27" s="13" t="str">
        <f t="shared" si="24"/>
        <v/>
      </c>
      <c r="B27" s="103" t="s">
        <v>38</v>
      </c>
      <c r="C27" s="61"/>
      <c r="D27" s="104">
        <f t="shared" ref="D27:F27" si="25">SUM(D23:D26)</f>
        <v>0</v>
      </c>
      <c r="E27" s="105">
        <f t="shared" si="25"/>
        <v>0</v>
      </c>
      <c r="F27" s="105">
        <f t="shared" si="25"/>
        <v>0</v>
      </c>
      <c r="G27" s="106" t="str">
        <f t="shared" si="1"/>
        <v>#DIV/0!</v>
      </c>
      <c r="H27" s="107" t="str">
        <f t="shared" si="2"/>
        <v>#DIV/0!</v>
      </c>
      <c r="I27" s="108" t="str">
        <f t="shared" si="3"/>
        <v>#DIV/0!</v>
      </c>
      <c r="J27" s="104">
        <f t="shared" ref="J27:M27" si="26">SUM(J23:J26)</f>
        <v>0</v>
      </c>
      <c r="K27" s="109">
        <f t="shared" si="26"/>
        <v>0</v>
      </c>
      <c r="L27" s="105">
        <f t="shared" si="26"/>
        <v>0</v>
      </c>
      <c r="M27" s="110">
        <f t="shared" si="26"/>
        <v>0</v>
      </c>
      <c r="N27" s="111" t="str">
        <f t="shared" si="27"/>
        <v>#DIV/0!</v>
      </c>
      <c r="O27" s="112" t="str">
        <f t="shared" si="5"/>
        <v>#DIV/0!</v>
      </c>
      <c r="P27" s="111" t="str">
        <f t="shared" si="6"/>
        <v>#DIV/0!</v>
      </c>
      <c r="Q27" s="113" t="str">
        <f t="shared" si="7"/>
        <v>#DIV/0!</v>
      </c>
      <c r="R27" s="114">
        <f>SUM(R23:R26)</f>
        <v>0</v>
      </c>
      <c r="S27" s="115" t="str">
        <f t="shared" si="9"/>
        <v>#DIV/0!</v>
      </c>
      <c r="T27" s="73" t="str">
        <f t="shared" ref="T27:U27" si="28">IFERROR((D27-#REF!)/D27,)</f>
        <v/>
      </c>
      <c r="U27" s="73" t="str">
        <f t="shared" si="28"/>
        <v/>
      </c>
      <c r="V27" s="73" t="str">
        <f t="shared" ref="V27:W27" si="29">IFERROR((D27-#REF!)/D27, )</f>
        <v/>
      </c>
      <c r="W27" s="73" t="str">
        <f t="shared" si="29"/>
        <v/>
      </c>
      <c r="X27" s="13"/>
      <c r="Y27" s="13"/>
      <c r="Z27" s="13"/>
    </row>
    <row r="28" hidden="1" outlineLevel="1">
      <c r="A28" s="13"/>
      <c r="B28" s="74">
        <v>45942.0</v>
      </c>
      <c r="C28" s="75" t="s">
        <v>31</v>
      </c>
      <c r="D28" s="76"/>
      <c r="E28" s="77"/>
      <c r="F28" s="77"/>
      <c r="G28" s="78" t="str">
        <f t="shared" si="1"/>
        <v>#DIV/0!</v>
      </c>
      <c r="H28" s="79" t="str">
        <f t="shared" si="2"/>
        <v>#DIV/0!</v>
      </c>
      <c r="I28" s="80" t="str">
        <f t="shared" si="3"/>
        <v>#DIV/0!</v>
      </c>
      <c r="J28" s="81">
        <v>0.0</v>
      </c>
      <c r="K28" s="82">
        <v>0.0</v>
      </c>
      <c r="L28" s="83">
        <v>0.0</v>
      </c>
      <c r="M28" s="84">
        <v>0.0</v>
      </c>
      <c r="N28" s="85" t="str">
        <f t="shared" si="27"/>
        <v>#DIV/0!</v>
      </c>
      <c r="O28" s="86" t="str">
        <f t="shared" si="5"/>
        <v>#DIV/0!</v>
      </c>
      <c r="P28" s="85" t="str">
        <f t="shared" si="6"/>
        <v>#DIV/0!</v>
      </c>
      <c r="Q28" s="87" t="str">
        <f t="shared" si="7"/>
        <v>#DIV/0!</v>
      </c>
      <c r="R28" s="88">
        <f t="shared" ref="R28:R31" si="30">D28-M28</f>
        <v>0</v>
      </c>
      <c r="S28" s="89" t="str">
        <f t="shared" si="9"/>
        <v>#DIV/0!</v>
      </c>
      <c r="T28" s="90"/>
      <c r="U28" s="90"/>
      <c r="V28" s="90"/>
      <c r="W28" s="90"/>
      <c r="X28" s="3"/>
      <c r="Y28" s="13"/>
      <c r="Z28" s="13"/>
    </row>
    <row r="29" hidden="1" outlineLevel="1">
      <c r="A29" s="13"/>
      <c r="B29" s="91"/>
      <c r="C29" s="75" t="s">
        <v>32</v>
      </c>
      <c r="D29" s="92"/>
      <c r="E29" s="77"/>
      <c r="F29" s="77"/>
      <c r="G29" s="78" t="str">
        <f t="shared" si="1"/>
        <v>#DIV/0!</v>
      </c>
      <c r="H29" s="79" t="str">
        <f t="shared" si="2"/>
        <v>#DIV/0!</v>
      </c>
      <c r="I29" s="80" t="str">
        <f t="shared" si="3"/>
        <v>#DIV/0!</v>
      </c>
      <c r="J29" s="93">
        <v>0.0</v>
      </c>
      <c r="K29" s="82">
        <v>0.0</v>
      </c>
      <c r="L29" s="83">
        <v>0.0</v>
      </c>
      <c r="M29" s="94">
        <v>0.0</v>
      </c>
      <c r="N29" s="85" t="str">
        <f t="shared" si="27"/>
        <v>#DIV/0!</v>
      </c>
      <c r="O29" s="86" t="str">
        <f t="shared" si="5"/>
        <v>#DIV/0!</v>
      </c>
      <c r="P29" s="85" t="str">
        <f t="shared" si="6"/>
        <v>#DIV/0!</v>
      </c>
      <c r="Q29" s="87" t="str">
        <f t="shared" si="7"/>
        <v>#DIV/0!</v>
      </c>
      <c r="R29" s="95">
        <f t="shared" si="30"/>
        <v>0</v>
      </c>
      <c r="S29" s="89" t="str">
        <f t="shared" si="9"/>
        <v>#DIV/0!</v>
      </c>
      <c r="T29" s="90"/>
      <c r="U29" s="90"/>
      <c r="V29" s="90"/>
      <c r="W29" s="90"/>
      <c r="X29" s="3"/>
      <c r="Y29" s="13"/>
      <c r="Z29" s="13"/>
    </row>
    <row r="30" hidden="1" outlineLevel="1">
      <c r="A30" s="13"/>
      <c r="B30" s="74" t="s">
        <v>33</v>
      </c>
      <c r="C30" s="75" t="s">
        <v>34</v>
      </c>
      <c r="D30" s="97"/>
      <c r="E30" s="77"/>
      <c r="F30" s="77"/>
      <c r="G30" s="78" t="str">
        <f t="shared" si="1"/>
        <v>#DIV/0!</v>
      </c>
      <c r="H30" s="79" t="str">
        <f t="shared" si="2"/>
        <v>#DIV/0!</v>
      </c>
      <c r="I30" s="80" t="str">
        <f t="shared" si="3"/>
        <v>#DIV/0!</v>
      </c>
      <c r="J30" s="98">
        <v>0.0</v>
      </c>
      <c r="K30" s="82">
        <v>0.0</v>
      </c>
      <c r="L30" s="83">
        <v>0.0</v>
      </c>
      <c r="M30" s="99">
        <v>0.0</v>
      </c>
      <c r="N30" s="85" t="str">
        <f>(J30/M30)</f>
        <v>#DIV/0!</v>
      </c>
      <c r="O30" s="86" t="str">
        <f t="shared" si="5"/>
        <v>#DIV/0!</v>
      </c>
      <c r="P30" s="85" t="str">
        <f t="shared" si="6"/>
        <v>#DIV/0!</v>
      </c>
      <c r="Q30" s="87" t="str">
        <f t="shared" si="7"/>
        <v>#DIV/0!</v>
      </c>
      <c r="R30" s="100">
        <f t="shared" si="30"/>
        <v>0</v>
      </c>
      <c r="S30" s="89" t="str">
        <f t="shared" si="9"/>
        <v>#DIV/0!</v>
      </c>
      <c r="T30" s="90"/>
      <c r="U30" s="90"/>
      <c r="V30" s="90"/>
      <c r="W30" s="90"/>
      <c r="X30" s="3"/>
      <c r="Y30" s="13"/>
      <c r="Z30" s="13"/>
    </row>
    <row r="31" hidden="1" outlineLevel="1">
      <c r="A31" s="101" t="str">
        <f t="shared" ref="A31:A32" si="31">iferror(if(B31&gt;0,month(B31)&amp;"-"&amp;year(B31),B31),)</f>
        <v>10-2025</v>
      </c>
      <c r="B31" s="74">
        <v>45948.0</v>
      </c>
      <c r="C31" s="75" t="s">
        <v>35</v>
      </c>
      <c r="D31" s="102"/>
      <c r="E31" s="77"/>
      <c r="F31" s="77"/>
      <c r="G31" s="78" t="str">
        <f t="shared" si="1"/>
        <v>#DIV/0!</v>
      </c>
      <c r="H31" s="79" t="str">
        <f t="shared" si="2"/>
        <v>#DIV/0!</v>
      </c>
      <c r="I31" s="80" t="str">
        <f t="shared" si="3"/>
        <v>#DIV/0!</v>
      </c>
      <c r="J31" s="93">
        <v>0.0</v>
      </c>
      <c r="K31" s="82">
        <v>0.0</v>
      </c>
      <c r="L31" s="83">
        <v>0.0</v>
      </c>
      <c r="M31" s="94">
        <v>0.0</v>
      </c>
      <c r="N31" s="85" t="str">
        <f t="shared" ref="N31:N34" si="34">J31/M31</f>
        <v>#DIV/0!</v>
      </c>
      <c r="O31" s="86" t="str">
        <f t="shared" si="5"/>
        <v>#DIV/0!</v>
      </c>
      <c r="P31" s="85" t="str">
        <f t="shared" si="6"/>
        <v>#DIV/0!</v>
      </c>
      <c r="Q31" s="87" t="str">
        <f t="shared" si="7"/>
        <v>#DIV/0!</v>
      </c>
      <c r="R31" s="88">
        <f t="shared" si="30"/>
        <v>0</v>
      </c>
      <c r="S31" s="89" t="str">
        <f t="shared" si="9"/>
        <v>#DIV/0!</v>
      </c>
      <c r="T31" s="90"/>
      <c r="U31" s="90"/>
      <c r="V31" s="90"/>
      <c r="W31" s="90"/>
      <c r="X31" s="3"/>
      <c r="Y31" s="13"/>
      <c r="Z31" s="13"/>
    </row>
    <row r="32" collapsed="1">
      <c r="A32" s="13" t="str">
        <f t="shared" si="31"/>
        <v/>
      </c>
      <c r="B32" s="103" t="s">
        <v>39</v>
      </c>
      <c r="C32" s="61"/>
      <c r="D32" s="104">
        <f t="shared" ref="D32:F32" si="32">SUM(D28:D31)</f>
        <v>0</v>
      </c>
      <c r="E32" s="105">
        <f t="shared" si="32"/>
        <v>0</v>
      </c>
      <c r="F32" s="105">
        <f t="shared" si="32"/>
        <v>0</v>
      </c>
      <c r="G32" s="106" t="str">
        <f t="shared" si="1"/>
        <v>#DIV/0!</v>
      </c>
      <c r="H32" s="107" t="str">
        <f t="shared" si="2"/>
        <v>#DIV/0!</v>
      </c>
      <c r="I32" s="108" t="str">
        <f t="shared" si="3"/>
        <v>#DIV/0!</v>
      </c>
      <c r="J32" s="104">
        <f t="shared" ref="J32:M32" si="33">SUM(J28:J31)</f>
        <v>0</v>
      </c>
      <c r="K32" s="109">
        <f t="shared" si="33"/>
        <v>0</v>
      </c>
      <c r="L32" s="105">
        <f t="shared" si="33"/>
        <v>0</v>
      </c>
      <c r="M32" s="110">
        <f t="shared" si="33"/>
        <v>0</v>
      </c>
      <c r="N32" s="111" t="str">
        <f t="shared" si="34"/>
        <v>#DIV/0!</v>
      </c>
      <c r="O32" s="112" t="str">
        <f t="shared" si="5"/>
        <v>#DIV/0!</v>
      </c>
      <c r="P32" s="111" t="str">
        <f t="shared" si="6"/>
        <v>#DIV/0!</v>
      </c>
      <c r="Q32" s="113" t="str">
        <f t="shared" si="7"/>
        <v>#DIV/0!</v>
      </c>
      <c r="R32" s="114">
        <f>SUM(R28:R31)</f>
        <v>0</v>
      </c>
      <c r="S32" s="115" t="str">
        <f t="shared" si="9"/>
        <v>#DIV/0!</v>
      </c>
      <c r="T32" s="73" t="str">
        <f t="shared" ref="T32:U32" si="35">IFERROR((D32-#REF!)/D32,)</f>
        <v/>
      </c>
      <c r="U32" s="73" t="str">
        <f t="shared" si="35"/>
        <v/>
      </c>
      <c r="V32" s="73" t="str">
        <f t="shared" ref="V32:W32" si="36">IFERROR((D32-#REF!)/D32, )</f>
        <v/>
      </c>
      <c r="W32" s="73" t="str">
        <f t="shared" si="36"/>
        <v/>
      </c>
      <c r="X32" s="13"/>
      <c r="Y32" s="13"/>
      <c r="Z32" s="13"/>
    </row>
    <row r="33" hidden="1" outlineLevel="1">
      <c r="A33" s="116"/>
      <c r="B33" s="74">
        <v>45949.0</v>
      </c>
      <c r="C33" s="117" t="s">
        <v>31</v>
      </c>
      <c r="D33" s="118"/>
      <c r="E33" s="119"/>
      <c r="F33" s="119"/>
      <c r="G33" s="78" t="str">
        <f t="shared" si="1"/>
        <v>#DIV/0!</v>
      </c>
      <c r="H33" s="79" t="str">
        <f t="shared" si="2"/>
        <v>#DIV/0!</v>
      </c>
      <c r="I33" s="80" t="str">
        <f t="shared" si="3"/>
        <v>#DIV/0!</v>
      </c>
      <c r="J33" s="120">
        <v>107.11</v>
      </c>
      <c r="K33" s="121">
        <v>4721.0</v>
      </c>
      <c r="L33" s="122">
        <v>0.0</v>
      </c>
      <c r="M33" s="123">
        <v>0.0</v>
      </c>
      <c r="N33" s="85" t="str">
        <f t="shared" si="34"/>
        <v>#DIV/0!</v>
      </c>
      <c r="O33" s="86">
        <f t="shared" si="5"/>
        <v>0</v>
      </c>
      <c r="P33" s="85" t="str">
        <f t="shared" si="6"/>
        <v>#DIV/0!</v>
      </c>
      <c r="Q33" s="87" t="str">
        <f t="shared" si="7"/>
        <v>#DIV/0!</v>
      </c>
      <c r="R33" s="88">
        <f t="shared" ref="R33:R36" si="37">D33-M33</f>
        <v>0</v>
      </c>
      <c r="S33" s="89" t="str">
        <f t="shared" si="9"/>
        <v>#DIV/0!</v>
      </c>
      <c r="T33" s="124"/>
      <c r="U33" s="124"/>
      <c r="V33" s="124"/>
      <c r="W33" s="124"/>
      <c r="X33" s="125"/>
      <c r="Y33" s="116"/>
      <c r="Z33" s="116"/>
    </row>
    <row r="34" hidden="1" outlineLevel="1">
      <c r="A34" s="116"/>
      <c r="B34" s="126"/>
      <c r="C34" s="117" t="s">
        <v>32</v>
      </c>
      <c r="D34" s="127"/>
      <c r="E34" s="119"/>
      <c r="F34" s="119"/>
      <c r="G34" s="78" t="str">
        <f t="shared" si="1"/>
        <v>#DIV/0!</v>
      </c>
      <c r="H34" s="79" t="str">
        <f t="shared" si="2"/>
        <v>#DIV/0!</v>
      </c>
      <c r="I34" s="80" t="str">
        <f t="shared" si="3"/>
        <v>#DIV/0!</v>
      </c>
      <c r="J34" s="128">
        <v>122.23</v>
      </c>
      <c r="K34" s="121">
        <v>19317.0</v>
      </c>
      <c r="L34" s="122">
        <v>0.0</v>
      </c>
      <c r="M34" s="129">
        <v>0.0</v>
      </c>
      <c r="N34" s="85" t="str">
        <f t="shared" si="34"/>
        <v>#DIV/0!</v>
      </c>
      <c r="O34" s="86">
        <f t="shared" si="5"/>
        <v>0</v>
      </c>
      <c r="P34" s="85" t="str">
        <f t="shared" si="6"/>
        <v>#DIV/0!</v>
      </c>
      <c r="Q34" s="87" t="str">
        <f t="shared" si="7"/>
        <v>#DIV/0!</v>
      </c>
      <c r="R34" s="95">
        <f t="shared" si="37"/>
        <v>0</v>
      </c>
      <c r="S34" s="89" t="str">
        <f t="shared" si="9"/>
        <v>#DIV/0!</v>
      </c>
      <c r="T34" s="124"/>
      <c r="U34" s="124"/>
      <c r="V34" s="124"/>
      <c r="W34" s="124"/>
      <c r="X34" s="125"/>
      <c r="Y34" s="116"/>
      <c r="Z34" s="116"/>
    </row>
    <row r="35" hidden="1" outlineLevel="1">
      <c r="A35" s="116"/>
      <c r="B35" s="74" t="s">
        <v>33</v>
      </c>
      <c r="C35" s="117" t="s">
        <v>34</v>
      </c>
      <c r="D35" s="130"/>
      <c r="E35" s="119"/>
      <c r="F35" s="119"/>
      <c r="G35" s="78" t="str">
        <f t="shared" si="1"/>
        <v>#DIV/0!</v>
      </c>
      <c r="H35" s="79" t="str">
        <f t="shared" si="2"/>
        <v>#DIV/0!</v>
      </c>
      <c r="I35" s="80" t="str">
        <f t="shared" si="3"/>
        <v>#DIV/0!</v>
      </c>
      <c r="J35" s="131">
        <v>0.0</v>
      </c>
      <c r="K35" s="121">
        <v>0.0</v>
      </c>
      <c r="L35" s="122">
        <v>0.0</v>
      </c>
      <c r="M35" s="132">
        <v>0.0</v>
      </c>
      <c r="N35" s="85" t="str">
        <f>(J35/M35)</f>
        <v>#DIV/0!</v>
      </c>
      <c r="O35" s="86" t="str">
        <f t="shared" si="5"/>
        <v>#DIV/0!</v>
      </c>
      <c r="P35" s="85" t="str">
        <f t="shared" si="6"/>
        <v>#DIV/0!</v>
      </c>
      <c r="Q35" s="87" t="str">
        <f t="shared" si="7"/>
        <v>#DIV/0!</v>
      </c>
      <c r="R35" s="100">
        <f t="shared" si="37"/>
        <v>0</v>
      </c>
      <c r="S35" s="89" t="str">
        <f t="shared" si="9"/>
        <v>#DIV/0!</v>
      </c>
      <c r="T35" s="124"/>
      <c r="U35" s="124"/>
      <c r="V35" s="124"/>
      <c r="W35" s="124"/>
      <c r="X35" s="125"/>
      <c r="Y35" s="116"/>
      <c r="Z35" s="116"/>
    </row>
    <row r="36" hidden="1" outlineLevel="1">
      <c r="A36" s="101" t="str">
        <f t="shared" ref="A36:A37" si="38">iferror(if(B36&gt;0,month(B36)&amp;"-"&amp;year(B36),B36),)</f>
        <v>10-2025</v>
      </c>
      <c r="B36" s="74">
        <v>45955.0</v>
      </c>
      <c r="C36" s="117" t="s">
        <v>35</v>
      </c>
      <c r="D36" s="133"/>
      <c r="E36" s="119"/>
      <c r="F36" s="119"/>
      <c r="G36" s="78" t="str">
        <f t="shared" si="1"/>
        <v>#DIV/0!</v>
      </c>
      <c r="H36" s="79" t="str">
        <f t="shared" si="2"/>
        <v>#DIV/0!</v>
      </c>
      <c r="I36" s="80" t="str">
        <f t="shared" si="3"/>
        <v>#DIV/0!</v>
      </c>
      <c r="J36" s="127"/>
      <c r="K36" s="134"/>
      <c r="L36" s="135"/>
      <c r="M36" s="136"/>
      <c r="N36" s="85" t="str">
        <f t="shared" ref="N36:N39" si="41">J36/M36</f>
        <v>#DIV/0!</v>
      </c>
      <c r="O36" s="86" t="str">
        <f t="shared" si="5"/>
        <v>#DIV/0!</v>
      </c>
      <c r="P36" s="85" t="str">
        <f t="shared" si="6"/>
        <v>#DIV/0!</v>
      </c>
      <c r="Q36" s="87" t="str">
        <f t="shared" si="7"/>
        <v>#DIV/0!</v>
      </c>
      <c r="R36" s="88">
        <f t="shared" si="37"/>
        <v>0</v>
      </c>
      <c r="S36" s="89" t="str">
        <f t="shared" si="9"/>
        <v>#DIV/0!</v>
      </c>
      <c r="T36" s="124"/>
      <c r="U36" s="124"/>
      <c r="V36" s="124"/>
      <c r="W36" s="124"/>
      <c r="X36" s="125"/>
      <c r="Y36" s="116"/>
      <c r="Z36" s="116"/>
    </row>
    <row r="37" collapsed="1">
      <c r="A37" s="116" t="str">
        <f t="shared" si="38"/>
        <v/>
      </c>
      <c r="B37" s="137" t="s">
        <v>40</v>
      </c>
      <c r="C37" s="138"/>
      <c r="D37" s="104">
        <f t="shared" ref="D37:F37" si="39">SUM(D33:D36)</f>
        <v>0</v>
      </c>
      <c r="E37" s="105">
        <f t="shared" si="39"/>
        <v>0</v>
      </c>
      <c r="F37" s="105">
        <f t="shared" si="39"/>
        <v>0</v>
      </c>
      <c r="G37" s="106" t="str">
        <f t="shared" si="1"/>
        <v>#DIV/0!</v>
      </c>
      <c r="H37" s="107" t="str">
        <f t="shared" si="2"/>
        <v>#DIV/0!</v>
      </c>
      <c r="I37" s="108" t="str">
        <f t="shared" si="3"/>
        <v>#DIV/0!</v>
      </c>
      <c r="J37" s="104">
        <f t="shared" ref="J37:M37" si="40">SUM(J33:J36)</f>
        <v>229.34</v>
      </c>
      <c r="K37" s="109">
        <f t="shared" si="40"/>
        <v>24038</v>
      </c>
      <c r="L37" s="139">
        <f t="shared" si="40"/>
        <v>0</v>
      </c>
      <c r="M37" s="110">
        <f t="shared" si="40"/>
        <v>0</v>
      </c>
      <c r="N37" s="111" t="str">
        <f t="shared" si="41"/>
        <v>#DIV/0!</v>
      </c>
      <c r="O37" s="112">
        <f t="shared" si="5"/>
        <v>0</v>
      </c>
      <c r="P37" s="111" t="str">
        <f t="shared" si="6"/>
        <v>#DIV/0!</v>
      </c>
      <c r="Q37" s="113" t="str">
        <f t="shared" si="7"/>
        <v>#DIV/0!</v>
      </c>
      <c r="R37" s="114">
        <f>SUM(R33:R36)</f>
        <v>0</v>
      </c>
      <c r="S37" s="115" t="str">
        <f t="shared" si="9"/>
        <v>#DIV/0!</v>
      </c>
      <c r="T37" s="140" t="str">
        <f t="shared" ref="T37:U37" si="42">IFERROR((D37-#REF!)/D37,)</f>
        <v/>
      </c>
      <c r="U37" s="140" t="str">
        <f t="shared" si="42"/>
        <v/>
      </c>
      <c r="V37" s="140" t="str">
        <f t="shared" ref="V37:W37" si="43">IFERROR((D37-#REF!)/D37, )</f>
        <v/>
      </c>
      <c r="W37" s="140" t="str">
        <f t="shared" si="43"/>
        <v/>
      </c>
      <c r="X37" s="116"/>
      <c r="Y37" s="116"/>
      <c r="Z37" s="116"/>
    </row>
    <row r="38" hidden="1" outlineLevel="1">
      <c r="A38" s="116"/>
      <c r="B38" s="74">
        <v>45956.0</v>
      </c>
      <c r="C38" s="117" t="s">
        <v>31</v>
      </c>
      <c r="D38" s="118"/>
      <c r="E38" s="119"/>
      <c r="F38" s="119"/>
      <c r="G38" s="78" t="str">
        <f t="shared" si="1"/>
        <v>#DIV/0!</v>
      </c>
      <c r="H38" s="79" t="str">
        <f t="shared" si="2"/>
        <v>#DIV/0!</v>
      </c>
      <c r="I38" s="80" t="str">
        <f t="shared" si="3"/>
        <v>#DIV/0!</v>
      </c>
      <c r="J38" s="120">
        <v>186.03</v>
      </c>
      <c r="K38" s="121">
        <v>8308.0</v>
      </c>
      <c r="L38" s="122">
        <v>0.0</v>
      </c>
      <c r="M38" s="123">
        <v>0.0</v>
      </c>
      <c r="N38" s="85" t="str">
        <f t="shared" si="41"/>
        <v>#DIV/0!</v>
      </c>
      <c r="O38" s="86">
        <f t="shared" si="5"/>
        <v>0</v>
      </c>
      <c r="P38" s="85" t="str">
        <f t="shared" si="6"/>
        <v>#DIV/0!</v>
      </c>
      <c r="Q38" s="87" t="str">
        <f t="shared" si="7"/>
        <v>#DIV/0!</v>
      </c>
      <c r="R38" s="88">
        <f t="shared" ref="R38:R41" si="44">D38-M38</f>
        <v>0</v>
      </c>
      <c r="S38" s="89" t="str">
        <f t="shared" si="9"/>
        <v>#DIV/0!</v>
      </c>
      <c r="T38" s="124"/>
      <c r="U38" s="124"/>
      <c r="V38" s="124"/>
      <c r="W38" s="124"/>
      <c r="X38" s="125"/>
      <c r="Y38" s="116"/>
      <c r="Z38" s="116"/>
    </row>
    <row r="39" hidden="1" outlineLevel="1">
      <c r="A39" s="116"/>
      <c r="B39" s="126"/>
      <c r="C39" s="117" t="s">
        <v>32</v>
      </c>
      <c r="D39" s="127"/>
      <c r="E39" s="119"/>
      <c r="F39" s="119"/>
      <c r="G39" s="78" t="str">
        <f t="shared" si="1"/>
        <v>#DIV/0!</v>
      </c>
      <c r="H39" s="79" t="str">
        <f t="shared" si="2"/>
        <v>#DIV/0!</v>
      </c>
      <c r="I39" s="80" t="str">
        <f t="shared" si="3"/>
        <v>#DIV/0!</v>
      </c>
      <c r="J39" s="128">
        <v>306.48</v>
      </c>
      <c r="K39" s="121">
        <v>36970.0</v>
      </c>
      <c r="L39" s="122">
        <v>0.0</v>
      </c>
      <c r="M39" s="129">
        <v>0.0</v>
      </c>
      <c r="N39" s="85" t="str">
        <f t="shared" si="41"/>
        <v>#DIV/0!</v>
      </c>
      <c r="O39" s="86">
        <f t="shared" si="5"/>
        <v>0</v>
      </c>
      <c r="P39" s="85" t="str">
        <f t="shared" si="6"/>
        <v>#DIV/0!</v>
      </c>
      <c r="Q39" s="87" t="str">
        <f t="shared" si="7"/>
        <v>#DIV/0!</v>
      </c>
      <c r="R39" s="95">
        <f t="shared" si="44"/>
        <v>0</v>
      </c>
      <c r="S39" s="89" t="str">
        <f t="shared" si="9"/>
        <v>#DIV/0!</v>
      </c>
      <c r="T39" s="124"/>
      <c r="U39" s="124"/>
      <c r="V39" s="124"/>
      <c r="W39" s="124"/>
      <c r="X39" s="125"/>
      <c r="Y39" s="116"/>
      <c r="Z39" s="116"/>
    </row>
    <row r="40" hidden="1" outlineLevel="1">
      <c r="A40" s="116"/>
      <c r="B40" s="74" t="s">
        <v>33</v>
      </c>
      <c r="C40" s="117" t="s">
        <v>34</v>
      </c>
      <c r="D40" s="130"/>
      <c r="E40" s="119"/>
      <c r="F40" s="119"/>
      <c r="G40" s="78" t="str">
        <f t="shared" si="1"/>
        <v>#DIV/0!</v>
      </c>
      <c r="H40" s="79" t="str">
        <f t="shared" si="2"/>
        <v>#DIV/0!</v>
      </c>
      <c r="I40" s="80" t="str">
        <f t="shared" si="3"/>
        <v>#DIV/0!</v>
      </c>
      <c r="J40" s="131">
        <v>0.0</v>
      </c>
      <c r="K40" s="121">
        <v>0.0</v>
      </c>
      <c r="L40" s="122">
        <v>0.0</v>
      </c>
      <c r="M40" s="132">
        <v>0.0</v>
      </c>
      <c r="N40" s="85" t="str">
        <f>(J40/M40)</f>
        <v>#DIV/0!</v>
      </c>
      <c r="O40" s="86" t="str">
        <f t="shared" si="5"/>
        <v>#DIV/0!</v>
      </c>
      <c r="P40" s="85" t="str">
        <f t="shared" si="6"/>
        <v>#DIV/0!</v>
      </c>
      <c r="Q40" s="87" t="str">
        <f t="shared" si="7"/>
        <v>#DIV/0!</v>
      </c>
      <c r="R40" s="100">
        <f t="shared" si="44"/>
        <v>0</v>
      </c>
      <c r="S40" s="89" t="str">
        <f t="shared" si="9"/>
        <v>#DIV/0!</v>
      </c>
      <c r="T40" s="124"/>
      <c r="U40" s="124"/>
      <c r="V40" s="124"/>
      <c r="W40" s="124"/>
      <c r="X40" s="125"/>
      <c r="Y40" s="116"/>
      <c r="Z40" s="116"/>
    </row>
    <row r="41" hidden="1" outlineLevel="1">
      <c r="A41" s="101" t="str">
        <f t="shared" ref="A41:A42" si="45">iferror(if(B41&gt;0,month(B41)&amp;"-"&amp;year(B41),B41),)</f>
        <v>11-2025</v>
      </c>
      <c r="B41" s="74">
        <v>45962.0</v>
      </c>
      <c r="C41" s="117" t="s">
        <v>35</v>
      </c>
      <c r="D41" s="133"/>
      <c r="E41" s="119"/>
      <c r="F41" s="119"/>
      <c r="G41" s="78" t="str">
        <f t="shared" si="1"/>
        <v>#DIV/0!</v>
      </c>
      <c r="H41" s="79" t="str">
        <f t="shared" si="2"/>
        <v>#DIV/0!</v>
      </c>
      <c r="I41" s="80" t="str">
        <f t="shared" si="3"/>
        <v>#DIV/0!</v>
      </c>
      <c r="J41" s="128">
        <v>109.38</v>
      </c>
      <c r="K41" s="121">
        <v>15992.0</v>
      </c>
      <c r="L41" s="122">
        <v>0.0</v>
      </c>
      <c r="M41" s="129">
        <v>0.0</v>
      </c>
      <c r="N41" s="85" t="str">
        <f t="shared" ref="N41:N44" si="48">J41/M41</f>
        <v>#DIV/0!</v>
      </c>
      <c r="O41" s="86">
        <f t="shared" si="5"/>
        <v>0</v>
      </c>
      <c r="P41" s="85" t="str">
        <f t="shared" si="6"/>
        <v>#DIV/0!</v>
      </c>
      <c r="Q41" s="87" t="str">
        <f t="shared" si="7"/>
        <v>#DIV/0!</v>
      </c>
      <c r="R41" s="88">
        <f t="shared" si="44"/>
        <v>0</v>
      </c>
      <c r="S41" s="89" t="str">
        <f t="shared" si="9"/>
        <v>#DIV/0!</v>
      </c>
      <c r="T41" s="124"/>
      <c r="U41" s="124"/>
      <c r="V41" s="124"/>
      <c r="W41" s="124"/>
      <c r="X41" s="125"/>
      <c r="Y41" s="116"/>
      <c r="Z41" s="116"/>
    </row>
    <row r="42" collapsed="1">
      <c r="A42" s="116" t="str">
        <f t="shared" si="45"/>
        <v/>
      </c>
      <c r="B42" s="137" t="s">
        <v>41</v>
      </c>
      <c r="C42" s="138"/>
      <c r="D42" s="104">
        <f t="shared" ref="D42:F42" si="46">SUM(D38:D41)</f>
        <v>0</v>
      </c>
      <c r="E42" s="105">
        <f t="shared" si="46"/>
        <v>0</v>
      </c>
      <c r="F42" s="105">
        <f t="shared" si="46"/>
        <v>0</v>
      </c>
      <c r="G42" s="106" t="str">
        <f t="shared" si="1"/>
        <v>#DIV/0!</v>
      </c>
      <c r="H42" s="107" t="str">
        <f t="shared" si="2"/>
        <v>#DIV/0!</v>
      </c>
      <c r="I42" s="108" t="str">
        <f t="shared" si="3"/>
        <v>#DIV/0!</v>
      </c>
      <c r="J42" s="104">
        <f t="shared" ref="J42:M42" si="47">SUM(J38:J41)</f>
        <v>601.89</v>
      </c>
      <c r="K42" s="109">
        <f t="shared" si="47"/>
        <v>61270</v>
      </c>
      <c r="L42" s="139">
        <f t="shared" si="47"/>
        <v>0</v>
      </c>
      <c r="M42" s="110">
        <f t="shared" si="47"/>
        <v>0</v>
      </c>
      <c r="N42" s="111" t="str">
        <f t="shared" si="48"/>
        <v>#DIV/0!</v>
      </c>
      <c r="O42" s="112">
        <f t="shared" si="5"/>
        <v>0</v>
      </c>
      <c r="P42" s="111" t="str">
        <f t="shared" si="6"/>
        <v>#DIV/0!</v>
      </c>
      <c r="Q42" s="113" t="str">
        <f t="shared" si="7"/>
        <v>#DIV/0!</v>
      </c>
      <c r="R42" s="114">
        <f>SUM(R38:R41)</f>
        <v>0</v>
      </c>
      <c r="S42" s="115" t="str">
        <f t="shared" si="9"/>
        <v>#DIV/0!</v>
      </c>
      <c r="T42" s="140" t="str">
        <f t="shared" ref="T42:U42" si="49">IFERROR((D42-#REF!)/D42,)</f>
        <v/>
      </c>
      <c r="U42" s="140" t="str">
        <f t="shared" si="49"/>
        <v/>
      </c>
      <c r="V42" s="140" t="str">
        <f t="shared" ref="V42:W42" si="50">IFERROR((D42-#REF!)/D42, )</f>
        <v/>
      </c>
      <c r="W42" s="140" t="str">
        <f t="shared" si="50"/>
        <v/>
      </c>
      <c r="X42" s="116"/>
      <c r="Y42" s="116"/>
      <c r="Z42" s="116"/>
    </row>
    <row r="43" hidden="1" outlineLevel="1">
      <c r="A43" s="116"/>
      <c r="B43" s="74">
        <v>45963.0</v>
      </c>
      <c r="C43" s="117" t="s">
        <v>31</v>
      </c>
      <c r="D43" s="118"/>
      <c r="E43" s="119"/>
      <c r="F43" s="119"/>
      <c r="G43" s="78" t="str">
        <f t="shared" si="1"/>
        <v>#DIV/0!</v>
      </c>
      <c r="H43" s="79" t="str">
        <f t="shared" si="2"/>
        <v>#DIV/0!</v>
      </c>
      <c r="I43" s="80" t="str">
        <f t="shared" si="3"/>
        <v>#DIV/0!</v>
      </c>
      <c r="J43" s="120">
        <v>189.5</v>
      </c>
      <c r="K43" s="121">
        <v>13718.0</v>
      </c>
      <c r="L43" s="135"/>
      <c r="M43" s="123">
        <v>113.0</v>
      </c>
      <c r="N43" s="85">
        <f t="shared" si="48"/>
        <v>1.67699115</v>
      </c>
      <c r="O43" s="86">
        <f t="shared" si="5"/>
        <v>0.5963060686</v>
      </c>
      <c r="P43" s="85" t="str">
        <f t="shared" si="6"/>
        <v>#DIV/0!</v>
      </c>
      <c r="Q43" s="87" t="str">
        <f t="shared" si="7"/>
        <v>#DIV/0!</v>
      </c>
      <c r="R43" s="88">
        <f t="shared" ref="R43:R46" si="51">D43-M43</f>
        <v>-113</v>
      </c>
      <c r="S43" s="89" t="str">
        <f t="shared" si="9"/>
        <v>#DIV/0!</v>
      </c>
      <c r="T43" s="124"/>
      <c r="U43" s="124"/>
      <c r="V43" s="124"/>
      <c r="W43" s="124"/>
      <c r="X43" s="125"/>
      <c r="Y43" s="116"/>
      <c r="Z43" s="116"/>
    </row>
    <row r="44" hidden="1" outlineLevel="1">
      <c r="A44" s="116"/>
      <c r="B44" s="126"/>
      <c r="C44" s="117" t="s">
        <v>32</v>
      </c>
      <c r="D44" s="127"/>
      <c r="E44" s="119"/>
      <c r="F44" s="119"/>
      <c r="G44" s="78" t="str">
        <f t="shared" si="1"/>
        <v>#DIV/0!</v>
      </c>
      <c r="H44" s="79" t="str">
        <f t="shared" si="2"/>
        <v>#DIV/0!</v>
      </c>
      <c r="I44" s="80" t="str">
        <f t="shared" si="3"/>
        <v>#DIV/0!</v>
      </c>
      <c r="J44" s="128">
        <v>199.08</v>
      </c>
      <c r="K44" s="121">
        <v>9470.0</v>
      </c>
      <c r="L44" s="135"/>
      <c r="M44" s="129">
        <v>126.0</v>
      </c>
      <c r="N44" s="85">
        <f t="shared" si="48"/>
        <v>1.58</v>
      </c>
      <c r="O44" s="86">
        <f t="shared" si="5"/>
        <v>0.6329113924</v>
      </c>
      <c r="P44" s="85" t="str">
        <f t="shared" si="6"/>
        <v>#DIV/0!</v>
      </c>
      <c r="Q44" s="87" t="str">
        <f t="shared" si="7"/>
        <v>#DIV/0!</v>
      </c>
      <c r="R44" s="95">
        <f t="shared" si="51"/>
        <v>-126</v>
      </c>
      <c r="S44" s="89" t="str">
        <f t="shared" si="9"/>
        <v>#DIV/0!</v>
      </c>
      <c r="T44" s="124"/>
      <c r="U44" s="124"/>
      <c r="V44" s="124"/>
      <c r="W44" s="124"/>
      <c r="X44" s="125"/>
      <c r="Y44" s="116"/>
      <c r="Z44" s="116"/>
    </row>
    <row r="45" hidden="1" outlineLevel="1">
      <c r="A45" s="116"/>
      <c r="B45" s="74" t="s">
        <v>33</v>
      </c>
      <c r="C45" s="117" t="s">
        <v>34</v>
      </c>
      <c r="D45" s="130"/>
      <c r="E45" s="119"/>
      <c r="F45" s="119"/>
      <c r="G45" s="78" t="str">
        <f t="shared" si="1"/>
        <v>#DIV/0!</v>
      </c>
      <c r="H45" s="79" t="str">
        <f t="shared" si="2"/>
        <v>#DIV/0!</v>
      </c>
      <c r="I45" s="80" t="str">
        <f t="shared" si="3"/>
        <v>#DIV/0!</v>
      </c>
      <c r="J45" s="131">
        <v>0.0</v>
      </c>
      <c r="K45" s="121">
        <v>0.0</v>
      </c>
      <c r="L45" s="135"/>
      <c r="M45" s="132">
        <v>0.0</v>
      </c>
      <c r="N45" s="85" t="str">
        <f>(J45/M45)</f>
        <v>#DIV/0!</v>
      </c>
      <c r="O45" s="86" t="str">
        <f t="shared" si="5"/>
        <v>#DIV/0!</v>
      </c>
      <c r="P45" s="85" t="str">
        <f t="shared" si="6"/>
        <v>#DIV/0!</v>
      </c>
      <c r="Q45" s="87" t="str">
        <f t="shared" si="7"/>
        <v>#DIV/0!</v>
      </c>
      <c r="R45" s="100">
        <f t="shared" si="51"/>
        <v>0</v>
      </c>
      <c r="S45" s="89" t="str">
        <f t="shared" si="9"/>
        <v>#DIV/0!</v>
      </c>
      <c r="T45" s="124"/>
      <c r="U45" s="124"/>
      <c r="V45" s="124"/>
      <c r="W45" s="124"/>
      <c r="X45" s="125"/>
      <c r="Y45" s="116"/>
      <c r="Z45" s="116"/>
    </row>
    <row r="46" hidden="1" outlineLevel="1">
      <c r="A46" s="101" t="str">
        <f t="shared" ref="A46:A47" si="52">iferror(if(B46&gt;0,month(B46)&amp;"-"&amp;year(B46),B46),)</f>
        <v>11-2025</v>
      </c>
      <c r="B46" s="74">
        <v>45969.0</v>
      </c>
      <c r="C46" s="117" t="s">
        <v>35</v>
      </c>
      <c r="D46" s="133"/>
      <c r="E46" s="119"/>
      <c r="F46" s="119"/>
      <c r="G46" s="78" t="str">
        <f t="shared" si="1"/>
        <v>#DIV/0!</v>
      </c>
      <c r="H46" s="79" t="str">
        <f t="shared" si="2"/>
        <v>#DIV/0!</v>
      </c>
      <c r="I46" s="80" t="str">
        <f t="shared" si="3"/>
        <v>#DIV/0!</v>
      </c>
      <c r="J46" s="128">
        <v>187.8</v>
      </c>
      <c r="K46" s="121">
        <v>7955.0</v>
      </c>
      <c r="L46" s="135"/>
      <c r="M46" s="129">
        <v>0.0</v>
      </c>
      <c r="N46" s="85" t="str">
        <f t="shared" ref="N46:N49" si="55">J46/M46</f>
        <v>#DIV/0!</v>
      </c>
      <c r="O46" s="86">
        <f t="shared" si="5"/>
        <v>0</v>
      </c>
      <c r="P46" s="85" t="str">
        <f t="shared" si="6"/>
        <v>#DIV/0!</v>
      </c>
      <c r="Q46" s="87" t="str">
        <f t="shared" si="7"/>
        <v>#DIV/0!</v>
      </c>
      <c r="R46" s="88">
        <f t="shared" si="51"/>
        <v>0</v>
      </c>
      <c r="S46" s="89" t="str">
        <f t="shared" si="9"/>
        <v>#DIV/0!</v>
      </c>
      <c r="T46" s="124"/>
      <c r="U46" s="124"/>
      <c r="V46" s="124"/>
      <c r="W46" s="124"/>
      <c r="X46" s="125"/>
      <c r="Y46" s="116"/>
      <c r="Z46" s="116"/>
    </row>
    <row r="47" collapsed="1">
      <c r="A47" s="116" t="str">
        <f t="shared" si="52"/>
        <v/>
      </c>
      <c r="B47" s="137" t="s">
        <v>42</v>
      </c>
      <c r="C47" s="138"/>
      <c r="D47" s="104">
        <f t="shared" ref="D47:F47" si="53">SUM(D43:D46)</f>
        <v>0</v>
      </c>
      <c r="E47" s="105">
        <f t="shared" si="53"/>
        <v>0</v>
      </c>
      <c r="F47" s="105">
        <f t="shared" si="53"/>
        <v>0</v>
      </c>
      <c r="G47" s="106" t="str">
        <f t="shared" si="1"/>
        <v>#DIV/0!</v>
      </c>
      <c r="H47" s="107" t="str">
        <f t="shared" si="2"/>
        <v>#DIV/0!</v>
      </c>
      <c r="I47" s="108" t="str">
        <f t="shared" si="3"/>
        <v>#DIV/0!</v>
      </c>
      <c r="J47" s="104">
        <f t="shared" ref="J47:M47" si="54">SUM(J43:J46)</f>
        <v>576.38</v>
      </c>
      <c r="K47" s="109">
        <f t="shared" si="54"/>
        <v>31143</v>
      </c>
      <c r="L47" s="139">
        <f t="shared" si="54"/>
        <v>0</v>
      </c>
      <c r="M47" s="110">
        <f t="shared" si="54"/>
        <v>239</v>
      </c>
      <c r="N47" s="111">
        <f t="shared" si="55"/>
        <v>2.411631799</v>
      </c>
      <c r="O47" s="112">
        <f t="shared" si="5"/>
        <v>0.4146569971</v>
      </c>
      <c r="P47" s="111" t="str">
        <f t="shared" si="6"/>
        <v>#DIV/0!</v>
      </c>
      <c r="Q47" s="113" t="str">
        <f t="shared" si="7"/>
        <v>#DIV/0!</v>
      </c>
      <c r="R47" s="114">
        <f>SUM(R43:R46)</f>
        <v>-239</v>
      </c>
      <c r="S47" s="115" t="str">
        <f t="shared" si="9"/>
        <v>#DIV/0!</v>
      </c>
      <c r="T47" s="140" t="str">
        <f t="shared" ref="T47:U47" si="56">IFERROR((D47-#REF!)/D47,)</f>
        <v/>
      </c>
      <c r="U47" s="140" t="str">
        <f t="shared" si="56"/>
        <v/>
      </c>
      <c r="V47" s="140" t="str">
        <f t="shared" ref="V47:W47" si="57">IFERROR((D47-#REF!)/D47, )</f>
        <v/>
      </c>
      <c r="W47" s="140" t="str">
        <f t="shared" si="57"/>
        <v/>
      </c>
      <c r="X47" s="116"/>
      <c r="Y47" s="116"/>
      <c r="Z47" s="116"/>
    </row>
    <row r="48" hidden="1" outlineLevel="1">
      <c r="A48" s="116"/>
      <c r="B48" s="74">
        <v>45970.0</v>
      </c>
      <c r="C48" s="117" t="s">
        <v>31</v>
      </c>
      <c r="D48" s="118"/>
      <c r="E48" s="119"/>
      <c r="F48" s="119"/>
      <c r="G48" s="78" t="str">
        <f t="shared" si="1"/>
        <v>#DIV/0!</v>
      </c>
      <c r="H48" s="79" t="str">
        <f t="shared" si="2"/>
        <v>#DIV/0!</v>
      </c>
      <c r="I48" s="80" t="str">
        <f t="shared" si="3"/>
        <v>#DIV/0!</v>
      </c>
      <c r="J48" s="120">
        <v>183.78</v>
      </c>
      <c r="K48" s="121">
        <v>6450.0</v>
      </c>
      <c r="L48" s="135"/>
      <c r="M48" s="123">
        <v>1396.4</v>
      </c>
      <c r="N48" s="85">
        <f t="shared" si="55"/>
        <v>0.1316098539</v>
      </c>
      <c r="O48" s="86">
        <f t="shared" si="5"/>
        <v>7.598215257</v>
      </c>
      <c r="P48" s="85" t="str">
        <f t="shared" si="6"/>
        <v>#DIV/0!</v>
      </c>
      <c r="Q48" s="87" t="str">
        <f t="shared" si="7"/>
        <v>#DIV/0!</v>
      </c>
      <c r="R48" s="88">
        <f t="shared" ref="R48:R51" si="58">D48-M48</f>
        <v>-1396.4</v>
      </c>
      <c r="S48" s="89" t="str">
        <f t="shared" si="9"/>
        <v>#DIV/0!</v>
      </c>
      <c r="T48" s="124"/>
      <c r="U48" s="124"/>
      <c r="V48" s="124"/>
      <c r="W48" s="124"/>
      <c r="X48" s="125"/>
      <c r="Y48" s="116"/>
      <c r="Z48" s="116"/>
    </row>
    <row r="49" hidden="1" outlineLevel="1">
      <c r="A49" s="116"/>
      <c r="B49" s="126"/>
      <c r="C49" s="117" t="s">
        <v>32</v>
      </c>
      <c r="D49" s="127"/>
      <c r="E49" s="119"/>
      <c r="F49" s="119"/>
      <c r="G49" s="78" t="str">
        <f t="shared" si="1"/>
        <v>#DIV/0!</v>
      </c>
      <c r="H49" s="79" t="str">
        <f t="shared" si="2"/>
        <v>#DIV/0!</v>
      </c>
      <c r="I49" s="80" t="str">
        <f t="shared" si="3"/>
        <v>#DIV/0!</v>
      </c>
      <c r="J49" s="128">
        <v>173.08</v>
      </c>
      <c r="K49" s="121">
        <v>10341.0</v>
      </c>
      <c r="L49" s="135"/>
      <c r="M49" s="129">
        <v>460.0</v>
      </c>
      <c r="N49" s="85">
        <f t="shared" si="55"/>
        <v>0.3762608696</v>
      </c>
      <c r="O49" s="86">
        <f t="shared" si="5"/>
        <v>2.657730529</v>
      </c>
      <c r="P49" s="85" t="str">
        <f t="shared" si="6"/>
        <v>#DIV/0!</v>
      </c>
      <c r="Q49" s="87" t="str">
        <f t="shared" si="7"/>
        <v>#DIV/0!</v>
      </c>
      <c r="R49" s="95">
        <f t="shared" si="58"/>
        <v>-460</v>
      </c>
      <c r="S49" s="89" t="str">
        <f t="shared" si="9"/>
        <v>#DIV/0!</v>
      </c>
      <c r="T49" s="124"/>
      <c r="U49" s="124"/>
      <c r="V49" s="124"/>
      <c r="W49" s="124"/>
      <c r="X49" s="125"/>
      <c r="Y49" s="116"/>
      <c r="Z49" s="116"/>
    </row>
    <row r="50" hidden="1" outlineLevel="1">
      <c r="A50" s="116"/>
      <c r="B50" s="74" t="s">
        <v>33</v>
      </c>
      <c r="C50" s="117" t="s">
        <v>34</v>
      </c>
      <c r="D50" s="130"/>
      <c r="E50" s="119"/>
      <c r="F50" s="119"/>
      <c r="G50" s="78" t="str">
        <f t="shared" si="1"/>
        <v>#DIV/0!</v>
      </c>
      <c r="H50" s="79" t="str">
        <f t="shared" si="2"/>
        <v>#DIV/0!</v>
      </c>
      <c r="I50" s="80" t="str">
        <f t="shared" si="3"/>
        <v>#DIV/0!</v>
      </c>
      <c r="J50" s="131">
        <v>0.0</v>
      </c>
      <c r="K50" s="121">
        <v>0.0</v>
      </c>
      <c r="L50" s="135"/>
      <c r="M50" s="132">
        <v>0.0</v>
      </c>
      <c r="N50" s="85" t="str">
        <f>(J50/M50)</f>
        <v>#DIV/0!</v>
      </c>
      <c r="O50" s="86" t="str">
        <f t="shared" si="5"/>
        <v>#DIV/0!</v>
      </c>
      <c r="P50" s="85" t="str">
        <f t="shared" si="6"/>
        <v>#DIV/0!</v>
      </c>
      <c r="Q50" s="87" t="str">
        <f t="shared" si="7"/>
        <v>#DIV/0!</v>
      </c>
      <c r="R50" s="100">
        <f t="shared" si="58"/>
        <v>0</v>
      </c>
      <c r="S50" s="89" t="str">
        <f t="shared" si="9"/>
        <v>#DIV/0!</v>
      </c>
      <c r="T50" s="124"/>
      <c r="U50" s="124"/>
      <c r="V50" s="124"/>
      <c r="W50" s="124"/>
      <c r="X50" s="125"/>
      <c r="Y50" s="116"/>
      <c r="Z50" s="116"/>
    </row>
    <row r="51" hidden="1" outlineLevel="1">
      <c r="A51" s="101" t="str">
        <f t="shared" ref="A51:A52" si="59">iferror(if(B51&gt;0,month(B51)&amp;"-"&amp;year(B51),B51),)</f>
        <v>11-2025</v>
      </c>
      <c r="B51" s="74">
        <v>45976.0</v>
      </c>
      <c r="C51" s="117" t="s">
        <v>35</v>
      </c>
      <c r="D51" s="133"/>
      <c r="E51" s="119"/>
      <c r="F51" s="119"/>
      <c r="G51" s="78" t="str">
        <f t="shared" si="1"/>
        <v>#DIV/0!</v>
      </c>
      <c r="H51" s="79" t="str">
        <f t="shared" si="2"/>
        <v>#DIV/0!</v>
      </c>
      <c r="I51" s="80" t="str">
        <f t="shared" si="3"/>
        <v>#DIV/0!</v>
      </c>
      <c r="J51" s="128">
        <v>180.61</v>
      </c>
      <c r="K51" s="121">
        <v>7992.0</v>
      </c>
      <c r="L51" s="135"/>
      <c r="M51" s="129">
        <v>206.0</v>
      </c>
      <c r="N51" s="85">
        <f t="shared" ref="N51:N54" si="62">J51/M51</f>
        <v>0.8767475728</v>
      </c>
      <c r="O51" s="86">
        <f t="shared" si="5"/>
        <v>1.140579148</v>
      </c>
      <c r="P51" s="85" t="str">
        <f t="shared" si="6"/>
        <v>#DIV/0!</v>
      </c>
      <c r="Q51" s="87" t="str">
        <f t="shared" si="7"/>
        <v>#DIV/0!</v>
      </c>
      <c r="R51" s="88">
        <f t="shared" si="58"/>
        <v>-206</v>
      </c>
      <c r="S51" s="89" t="str">
        <f t="shared" si="9"/>
        <v>#DIV/0!</v>
      </c>
      <c r="T51" s="124"/>
      <c r="U51" s="124"/>
      <c r="V51" s="124"/>
      <c r="W51" s="124"/>
      <c r="X51" s="125"/>
      <c r="Y51" s="116"/>
      <c r="Z51" s="116"/>
    </row>
    <row r="52" collapsed="1">
      <c r="A52" s="116" t="str">
        <f t="shared" si="59"/>
        <v/>
      </c>
      <c r="B52" s="137" t="s">
        <v>43</v>
      </c>
      <c r="C52" s="138"/>
      <c r="D52" s="104">
        <f t="shared" ref="D52:F52" si="60">SUM(D48:D51)</f>
        <v>0</v>
      </c>
      <c r="E52" s="105">
        <f t="shared" si="60"/>
        <v>0</v>
      </c>
      <c r="F52" s="105">
        <f t="shared" si="60"/>
        <v>0</v>
      </c>
      <c r="G52" s="106" t="str">
        <f t="shared" si="1"/>
        <v>#DIV/0!</v>
      </c>
      <c r="H52" s="107" t="str">
        <f t="shared" si="2"/>
        <v>#DIV/0!</v>
      </c>
      <c r="I52" s="108" t="str">
        <f t="shared" si="3"/>
        <v>#DIV/0!</v>
      </c>
      <c r="J52" s="104">
        <f t="shared" ref="J52:M52" si="61">SUM(J48:J51)</f>
        <v>537.47</v>
      </c>
      <c r="K52" s="109">
        <f t="shared" si="61"/>
        <v>24783</v>
      </c>
      <c r="L52" s="139">
        <f t="shared" si="61"/>
        <v>0</v>
      </c>
      <c r="M52" s="110">
        <f t="shared" si="61"/>
        <v>2062.4</v>
      </c>
      <c r="N52" s="111">
        <f t="shared" si="62"/>
        <v>0.2606041505</v>
      </c>
      <c r="O52" s="112">
        <f t="shared" si="5"/>
        <v>3.837237427</v>
      </c>
      <c r="P52" s="111" t="str">
        <f t="shared" si="6"/>
        <v>#DIV/0!</v>
      </c>
      <c r="Q52" s="113" t="str">
        <f t="shared" si="7"/>
        <v>#DIV/0!</v>
      </c>
      <c r="R52" s="114">
        <f>SUM(R48:R51)</f>
        <v>-2062.4</v>
      </c>
      <c r="S52" s="115" t="str">
        <f t="shared" si="9"/>
        <v>#DIV/0!</v>
      </c>
      <c r="T52" s="140" t="str">
        <f t="shared" ref="T52:U52" si="63">IFERROR((D52-#REF!)/D52,)</f>
        <v/>
      </c>
      <c r="U52" s="140" t="str">
        <f t="shared" si="63"/>
        <v/>
      </c>
      <c r="V52" s="140" t="str">
        <f t="shared" ref="V52:W52" si="64">IFERROR((D52-#REF!)/D52, )</f>
        <v/>
      </c>
      <c r="W52" s="140" t="str">
        <f t="shared" si="64"/>
        <v/>
      </c>
      <c r="X52" s="116"/>
      <c r="Y52" s="116"/>
      <c r="Z52" s="116"/>
    </row>
    <row r="53" hidden="1" outlineLevel="1">
      <c r="A53" s="116"/>
      <c r="B53" s="74">
        <v>45977.0</v>
      </c>
      <c r="C53" s="117" t="s">
        <v>31</v>
      </c>
      <c r="D53" s="118"/>
      <c r="E53" s="119"/>
      <c r="F53" s="119"/>
      <c r="G53" s="78" t="str">
        <f t="shared" si="1"/>
        <v>#DIV/0!</v>
      </c>
      <c r="H53" s="79" t="str">
        <f t="shared" si="2"/>
        <v>#DIV/0!</v>
      </c>
      <c r="I53" s="80" t="str">
        <f t="shared" si="3"/>
        <v>#DIV/0!</v>
      </c>
      <c r="J53" s="120">
        <v>179.32</v>
      </c>
      <c r="K53" s="121">
        <v>12324.0</v>
      </c>
      <c r="L53" s="135"/>
      <c r="M53" s="123">
        <v>1291.0</v>
      </c>
      <c r="N53" s="85">
        <f t="shared" si="62"/>
        <v>0.1389000775</v>
      </c>
      <c r="O53" s="86">
        <f t="shared" si="5"/>
        <v>7.199420031</v>
      </c>
      <c r="P53" s="85" t="str">
        <f t="shared" si="6"/>
        <v>#DIV/0!</v>
      </c>
      <c r="Q53" s="87" t="str">
        <f t="shared" si="7"/>
        <v>#DIV/0!</v>
      </c>
      <c r="R53" s="88">
        <f t="shared" ref="R53:R56" si="65">D53-M53</f>
        <v>-1291</v>
      </c>
      <c r="S53" s="89" t="str">
        <f t="shared" si="9"/>
        <v>#DIV/0!</v>
      </c>
      <c r="T53" s="124"/>
      <c r="U53" s="124"/>
      <c r="V53" s="124"/>
      <c r="W53" s="124"/>
      <c r="X53" s="125"/>
      <c r="Y53" s="116"/>
      <c r="Z53" s="116"/>
    </row>
    <row r="54" hidden="1" outlineLevel="1">
      <c r="A54" s="116"/>
      <c r="B54" s="126"/>
      <c r="C54" s="117" t="s">
        <v>32</v>
      </c>
      <c r="D54" s="127"/>
      <c r="E54" s="119"/>
      <c r="F54" s="119"/>
      <c r="G54" s="78" t="str">
        <f t="shared" si="1"/>
        <v>#DIV/0!</v>
      </c>
      <c r="H54" s="79" t="str">
        <f t="shared" si="2"/>
        <v>#DIV/0!</v>
      </c>
      <c r="I54" s="80" t="str">
        <f t="shared" si="3"/>
        <v>#DIV/0!</v>
      </c>
      <c r="J54" s="128">
        <v>192.29</v>
      </c>
      <c r="K54" s="121">
        <v>17470.0</v>
      </c>
      <c r="L54" s="135"/>
      <c r="M54" s="129">
        <v>0.0</v>
      </c>
      <c r="N54" s="85" t="str">
        <f t="shared" si="62"/>
        <v>#DIV/0!</v>
      </c>
      <c r="O54" s="86">
        <f t="shared" si="5"/>
        <v>0</v>
      </c>
      <c r="P54" s="85" t="str">
        <f t="shared" si="6"/>
        <v>#DIV/0!</v>
      </c>
      <c r="Q54" s="87" t="str">
        <f t="shared" si="7"/>
        <v>#DIV/0!</v>
      </c>
      <c r="R54" s="95">
        <f t="shared" si="65"/>
        <v>0</v>
      </c>
      <c r="S54" s="89" t="str">
        <f t="shared" si="9"/>
        <v>#DIV/0!</v>
      </c>
      <c r="T54" s="124"/>
      <c r="U54" s="124"/>
      <c r="V54" s="124"/>
      <c r="W54" s="124"/>
      <c r="X54" s="125"/>
      <c r="Y54" s="116"/>
      <c r="Z54" s="116"/>
    </row>
    <row r="55" hidden="1" outlineLevel="1">
      <c r="A55" s="116"/>
      <c r="B55" s="74" t="s">
        <v>33</v>
      </c>
      <c r="C55" s="117" t="s">
        <v>34</v>
      </c>
      <c r="D55" s="130"/>
      <c r="E55" s="119"/>
      <c r="F55" s="119"/>
      <c r="G55" s="78" t="str">
        <f t="shared" si="1"/>
        <v>#DIV/0!</v>
      </c>
      <c r="H55" s="79" t="str">
        <f t="shared" si="2"/>
        <v>#DIV/0!</v>
      </c>
      <c r="I55" s="80" t="str">
        <f t="shared" si="3"/>
        <v>#DIV/0!</v>
      </c>
      <c r="J55" s="131">
        <v>0.0</v>
      </c>
      <c r="K55" s="121">
        <v>0.0</v>
      </c>
      <c r="L55" s="135"/>
      <c r="M55" s="132">
        <v>0.0</v>
      </c>
      <c r="N55" s="85" t="str">
        <f>(J55/M55)</f>
        <v>#DIV/0!</v>
      </c>
      <c r="O55" s="86" t="str">
        <f t="shared" si="5"/>
        <v>#DIV/0!</v>
      </c>
      <c r="P55" s="85" t="str">
        <f t="shared" si="6"/>
        <v>#DIV/0!</v>
      </c>
      <c r="Q55" s="87" t="str">
        <f t="shared" si="7"/>
        <v>#DIV/0!</v>
      </c>
      <c r="R55" s="100">
        <f t="shared" si="65"/>
        <v>0</v>
      </c>
      <c r="S55" s="89" t="str">
        <f t="shared" si="9"/>
        <v>#DIV/0!</v>
      </c>
      <c r="T55" s="124"/>
      <c r="U55" s="124"/>
      <c r="V55" s="124"/>
      <c r="W55" s="124"/>
      <c r="X55" s="125"/>
      <c r="Y55" s="116"/>
      <c r="Z55" s="116"/>
    </row>
    <row r="56" hidden="1" outlineLevel="1">
      <c r="A56" s="101" t="str">
        <f t="shared" ref="A56:A57" si="66">iferror(if(B56&gt;0,month(B56)&amp;"-"&amp;year(B56),B56),)</f>
        <v>11-2025</v>
      </c>
      <c r="B56" s="74">
        <v>45983.0</v>
      </c>
      <c r="C56" s="117" t="s">
        <v>35</v>
      </c>
      <c r="D56" s="133"/>
      <c r="E56" s="119"/>
      <c r="F56" s="119"/>
      <c r="G56" s="78" t="str">
        <f t="shared" si="1"/>
        <v>#DIV/0!</v>
      </c>
      <c r="H56" s="79" t="str">
        <f t="shared" si="2"/>
        <v>#DIV/0!</v>
      </c>
      <c r="I56" s="80" t="str">
        <f t="shared" si="3"/>
        <v>#DIV/0!</v>
      </c>
      <c r="J56" s="128">
        <v>183.1</v>
      </c>
      <c r="K56" s="121">
        <v>11049.0</v>
      </c>
      <c r="L56" s="135"/>
      <c r="M56" s="129">
        <v>0.0</v>
      </c>
      <c r="N56" s="85" t="str">
        <f t="shared" ref="N56:N59" si="69">J56/M56</f>
        <v>#DIV/0!</v>
      </c>
      <c r="O56" s="86">
        <f t="shared" si="5"/>
        <v>0</v>
      </c>
      <c r="P56" s="85" t="str">
        <f t="shared" si="6"/>
        <v>#DIV/0!</v>
      </c>
      <c r="Q56" s="87" t="str">
        <f t="shared" si="7"/>
        <v>#DIV/0!</v>
      </c>
      <c r="R56" s="88">
        <f t="shared" si="65"/>
        <v>0</v>
      </c>
      <c r="S56" s="89" t="str">
        <f t="shared" si="9"/>
        <v>#DIV/0!</v>
      </c>
      <c r="T56" s="124"/>
      <c r="U56" s="124"/>
      <c r="V56" s="124"/>
      <c r="W56" s="124"/>
      <c r="X56" s="125"/>
      <c r="Y56" s="116"/>
      <c r="Z56" s="116"/>
    </row>
    <row r="57" collapsed="1">
      <c r="A57" s="116" t="str">
        <f t="shared" si="66"/>
        <v/>
      </c>
      <c r="B57" s="137" t="s">
        <v>44</v>
      </c>
      <c r="C57" s="138"/>
      <c r="D57" s="104">
        <f t="shared" ref="D57:F57" si="67">SUM(D53:D56)</f>
        <v>0</v>
      </c>
      <c r="E57" s="105">
        <f t="shared" si="67"/>
        <v>0</v>
      </c>
      <c r="F57" s="105">
        <f t="shared" si="67"/>
        <v>0</v>
      </c>
      <c r="G57" s="106" t="str">
        <f t="shared" si="1"/>
        <v>#DIV/0!</v>
      </c>
      <c r="H57" s="107" t="str">
        <f t="shared" si="2"/>
        <v>#DIV/0!</v>
      </c>
      <c r="I57" s="108" t="str">
        <f t="shared" si="3"/>
        <v>#DIV/0!</v>
      </c>
      <c r="J57" s="104">
        <f t="shared" ref="J57:M57" si="68">SUM(J53:J56)</f>
        <v>554.71</v>
      </c>
      <c r="K57" s="109">
        <f t="shared" si="68"/>
        <v>40843</v>
      </c>
      <c r="L57" s="139">
        <f t="shared" si="68"/>
        <v>0</v>
      </c>
      <c r="M57" s="110">
        <f t="shared" si="68"/>
        <v>1291</v>
      </c>
      <c r="N57" s="111">
        <f t="shared" si="69"/>
        <v>0.4296746708</v>
      </c>
      <c r="O57" s="112">
        <f t="shared" si="5"/>
        <v>2.327342215</v>
      </c>
      <c r="P57" s="111" t="str">
        <f t="shared" si="6"/>
        <v>#DIV/0!</v>
      </c>
      <c r="Q57" s="113" t="str">
        <f t="shared" si="7"/>
        <v>#DIV/0!</v>
      </c>
      <c r="R57" s="114">
        <f>SUM(R53:R56)</f>
        <v>-1291</v>
      </c>
      <c r="S57" s="115" t="str">
        <f t="shared" si="9"/>
        <v>#DIV/0!</v>
      </c>
      <c r="T57" s="140" t="str">
        <f t="shared" ref="T57:U57" si="70">IFERROR((D57-#REF!)/D57,)</f>
        <v/>
      </c>
      <c r="U57" s="140" t="str">
        <f t="shared" si="70"/>
        <v/>
      </c>
      <c r="V57" s="140" t="str">
        <f t="shared" ref="V57:W57" si="71">IFERROR((D57-#REF!)/D57, )</f>
        <v/>
      </c>
      <c r="W57" s="140" t="str">
        <f t="shared" si="71"/>
        <v/>
      </c>
      <c r="X57" s="116"/>
      <c r="Y57" s="116"/>
      <c r="Z57" s="116"/>
    </row>
    <row r="58" hidden="1" outlineLevel="1">
      <c r="A58" s="116"/>
      <c r="B58" s="74">
        <v>45984.0</v>
      </c>
      <c r="C58" s="117" t="s">
        <v>31</v>
      </c>
      <c r="D58" s="118"/>
      <c r="E58" s="119"/>
      <c r="F58" s="119"/>
      <c r="G58" s="78" t="str">
        <f t="shared" si="1"/>
        <v>#DIV/0!</v>
      </c>
      <c r="H58" s="79" t="str">
        <f t="shared" si="2"/>
        <v>#DIV/0!</v>
      </c>
      <c r="I58" s="80" t="str">
        <f t="shared" si="3"/>
        <v>#DIV/0!</v>
      </c>
      <c r="J58" s="120">
        <v>176.77</v>
      </c>
      <c r="K58" s="121">
        <v>11702.0</v>
      </c>
      <c r="L58" s="135"/>
      <c r="M58" s="123">
        <v>148.0</v>
      </c>
      <c r="N58" s="85">
        <f t="shared" si="69"/>
        <v>1.194391892</v>
      </c>
      <c r="O58" s="86">
        <f t="shared" si="5"/>
        <v>0.8372461391</v>
      </c>
      <c r="P58" s="85" t="str">
        <f t="shared" si="6"/>
        <v>#DIV/0!</v>
      </c>
      <c r="Q58" s="87" t="str">
        <f t="shared" si="7"/>
        <v>#DIV/0!</v>
      </c>
      <c r="R58" s="88">
        <f t="shared" ref="R58:R61" si="72">D58-M58</f>
        <v>-148</v>
      </c>
      <c r="S58" s="89" t="str">
        <f t="shared" si="9"/>
        <v>#DIV/0!</v>
      </c>
      <c r="T58" s="124"/>
      <c r="U58" s="124"/>
      <c r="V58" s="124"/>
      <c r="W58" s="124"/>
      <c r="X58" s="125"/>
      <c r="Y58" s="116"/>
      <c r="Z58" s="116"/>
    </row>
    <row r="59" hidden="1" outlineLevel="1">
      <c r="A59" s="116"/>
      <c r="B59" s="126"/>
      <c r="C59" s="117" t="s">
        <v>32</v>
      </c>
      <c r="D59" s="127"/>
      <c r="E59" s="119"/>
      <c r="F59" s="119"/>
      <c r="G59" s="78" t="str">
        <f t="shared" si="1"/>
        <v>#DIV/0!</v>
      </c>
      <c r="H59" s="79" t="str">
        <f t="shared" si="2"/>
        <v>#DIV/0!</v>
      </c>
      <c r="I59" s="80" t="str">
        <f t="shared" si="3"/>
        <v>#DIV/0!</v>
      </c>
      <c r="J59" s="128">
        <v>166.63</v>
      </c>
      <c r="K59" s="121">
        <v>11450.0</v>
      </c>
      <c r="L59" s="135"/>
      <c r="M59" s="129">
        <v>0.0</v>
      </c>
      <c r="N59" s="85" t="str">
        <f t="shared" si="69"/>
        <v>#DIV/0!</v>
      </c>
      <c r="O59" s="86">
        <f t="shared" si="5"/>
        <v>0</v>
      </c>
      <c r="P59" s="85" t="str">
        <f t="shared" si="6"/>
        <v>#DIV/0!</v>
      </c>
      <c r="Q59" s="87" t="str">
        <f t="shared" si="7"/>
        <v>#DIV/0!</v>
      </c>
      <c r="R59" s="95">
        <f t="shared" si="72"/>
        <v>0</v>
      </c>
      <c r="S59" s="89" t="str">
        <f t="shared" si="9"/>
        <v>#DIV/0!</v>
      </c>
      <c r="T59" s="124"/>
      <c r="U59" s="124"/>
      <c r="V59" s="124"/>
      <c r="W59" s="124"/>
      <c r="X59" s="125"/>
      <c r="Y59" s="116"/>
      <c r="Z59" s="116"/>
    </row>
    <row r="60" hidden="1" outlineLevel="1">
      <c r="A60" s="116"/>
      <c r="B60" s="74" t="s">
        <v>33</v>
      </c>
      <c r="C60" s="117" t="s">
        <v>34</v>
      </c>
      <c r="D60" s="130"/>
      <c r="E60" s="119"/>
      <c r="F60" s="119"/>
      <c r="G60" s="78" t="str">
        <f t="shared" si="1"/>
        <v>#DIV/0!</v>
      </c>
      <c r="H60" s="79" t="str">
        <f t="shared" si="2"/>
        <v>#DIV/0!</v>
      </c>
      <c r="I60" s="80" t="str">
        <f t="shared" si="3"/>
        <v>#DIV/0!</v>
      </c>
      <c r="J60" s="131">
        <v>0.0</v>
      </c>
      <c r="K60" s="121">
        <v>0.0</v>
      </c>
      <c r="L60" s="135"/>
      <c r="M60" s="132">
        <v>0.0</v>
      </c>
      <c r="N60" s="85" t="str">
        <f>(J60/M60)</f>
        <v>#DIV/0!</v>
      </c>
      <c r="O60" s="86" t="str">
        <f t="shared" si="5"/>
        <v>#DIV/0!</v>
      </c>
      <c r="P60" s="85" t="str">
        <f t="shared" si="6"/>
        <v>#DIV/0!</v>
      </c>
      <c r="Q60" s="87" t="str">
        <f t="shared" si="7"/>
        <v>#DIV/0!</v>
      </c>
      <c r="R60" s="100">
        <f t="shared" si="72"/>
        <v>0</v>
      </c>
      <c r="S60" s="89" t="str">
        <f t="shared" si="9"/>
        <v>#DIV/0!</v>
      </c>
      <c r="T60" s="124"/>
      <c r="U60" s="124"/>
      <c r="V60" s="124"/>
      <c r="W60" s="124"/>
      <c r="X60" s="125"/>
      <c r="Y60" s="116"/>
      <c r="Z60" s="116"/>
    </row>
    <row r="61" hidden="1" outlineLevel="1">
      <c r="A61" s="101" t="str">
        <f t="shared" ref="A61:A62" si="73">iferror(if(B61&gt;0,month(B61)&amp;"-"&amp;year(B61),B61),)</f>
        <v>11-2025</v>
      </c>
      <c r="B61" s="74">
        <v>45990.0</v>
      </c>
      <c r="C61" s="117" t="s">
        <v>35</v>
      </c>
      <c r="D61" s="133"/>
      <c r="E61" s="119"/>
      <c r="F61" s="119"/>
      <c r="G61" s="78" t="str">
        <f t="shared" si="1"/>
        <v>#DIV/0!</v>
      </c>
      <c r="H61" s="79" t="str">
        <f t="shared" si="2"/>
        <v>#DIV/0!</v>
      </c>
      <c r="I61" s="80" t="str">
        <f t="shared" si="3"/>
        <v>#DIV/0!</v>
      </c>
      <c r="J61" s="128">
        <v>174.6</v>
      </c>
      <c r="K61" s="121">
        <v>9852.0</v>
      </c>
      <c r="L61" s="135"/>
      <c r="M61" s="129">
        <v>185.0</v>
      </c>
      <c r="N61" s="85">
        <f t="shared" ref="N61:N64" si="76">J61/M61</f>
        <v>0.9437837838</v>
      </c>
      <c r="O61" s="86">
        <f t="shared" si="5"/>
        <v>1.059564719</v>
      </c>
      <c r="P61" s="85" t="str">
        <f t="shared" si="6"/>
        <v>#DIV/0!</v>
      </c>
      <c r="Q61" s="87" t="str">
        <f t="shared" si="7"/>
        <v>#DIV/0!</v>
      </c>
      <c r="R61" s="88">
        <f t="shared" si="72"/>
        <v>-185</v>
      </c>
      <c r="S61" s="89" t="str">
        <f t="shared" si="9"/>
        <v>#DIV/0!</v>
      </c>
      <c r="T61" s="124"/>
      <c r="U61" s="124"/>
      <c r="V61" s="124"/>
      <c r="W61" s="124"/>
      <c r="X61" s="125"/>
      <c r="Y61" s="116"/>
      <c r="Z61" s="116"/>
    </row>
    <row r="62" collapsed="1">
      <c r="A62" s="116" t="str">
        <f t="shared" si="73"/>
        <v/>
      </c>
      <c r="B62" s="137" t="s">
        <v>45</v>
      </c>
      <c r="C62" s="138"/>
      <c r="D62" s="104">
        <f t="shared" ref="D62:F62" si="74">SUM(D58:D61)</f>
        <v>0</v>
      </c>
      <c r="E62" s="105">
        <f t="shared" si="74"/>
        <v>0</v>
      </c>
      <c r="F62" s="105">
        <f t="shared" si="74"/>
        <v>0</v>
      </c>
      <c r="G62" s="106" t="str">
        <f t="shared" si="1"/>
        <v>#DIV/0!</v>
      </c>
      <c r="H62" s="107" t="str">
        <f t="shared" si="2"/>
        <v>#DIV/0!</v>
      </c>
      <c r="I62" s="108" t="str">
        <f t="shared" si="3"/>
        <v>#DIV/0!</v>
      </c>
      <c r="J62" s="104">
        <f t="shared" ref="J62:M62" si="75">SUM(J58:J61)</f>
        <v>518</v>
      </c>
      <c r="K62" s="109">
        <f t="shared" si="75"/>
        <v>33004</v>
      </c>
      <c r="L62" s="139">
        <f t="shared" si="75"/>
        <v>0</v>
      </c>
      <c r="M62" s="110">
        <f t="shared" si="75"/>
        <v>333</v>
      </c>
      <c r="N62" s="111">
        <f t="shared" si="76"/>
        <v>1.555555556</v>
      </c>
      <c r="O62" s="112">
        <f t="shared" si="5"/>
        <v>0.6428571429</v>
      </c>
      <c r="P62" s="111" t="str">
        <f t="shared" si="6"/>
        <v>#DIV/0!</v>
      </c>
      <c r="Q62" s="113" t="str">
        <f t="shared" si="7"/>
        <v>#DIV/0!</v>
      </c>
      <c r="R62" s="114">
        <f>SUM(R58:R61)</f>
        <v>-333</v>
      </c>
      <c r="S62" s="115" t="str">
        <f t="shared" si="9"/>
        <v>#DIV/0!</v>
      </c>
      <c r="T62" s="140" t="str">
        <f t="shared" ref="T62:U62" si="77">IFERROR((D62-#REF!)/D62,)</f>
        <v/>
      </c>
      <c r="U62" s="140" t="str">
        <f t="shared" si="77"/>
        <v/>
      </c>
      <c r="V62" s="140" t="str">
        <f t="shared" ref="V62:W62" si="78">IFERROR((D62-#REF!)/D62, )</f>
        <v/>
      </c>
      <c r="W62" s="140" t="str">
        <f t="shared" si="78"/>
        <v/>
      </c>
      <c r="X62" s="116"/>
      <c r="Y62" s="116"/>
      <c r="Z62" s="116"/>
    </row>
    <row r="63" hidden="1" outlineLevel="1">
      <c r="A63" s="116"/>
      <c r="B63" s="74">
        <v>45991.0</v>
      </c>
      <c r="C63" s="117" t="s">
        <v>31</v>
      </c>
      <c r="D63" s="118"/>
      <c r="E63" s="119"/>
      <c r="F63" s="119"/>
      <c r="G63" s="78" t="str">
        <f t="shared" si="1"/>
        <v>#DIV/0!</v>
      </c>
      <c r="H63" s="79" t="str">
        <f t="shared" si="2"/>
        <v>#DIV/0!</v>
      </c>
      <c r="I63" s="80" t="str">
        <f t="shared" si="3"/>
        <v>#DIV/0!</v>
      </c>
      <c r="J63" s="120">
        <v>178.91</v>
      </c>
      <c r="K63" s="121">
        <v>7098.0</v>
      </c>
      <c r="L63" s="135"/>
      <c r="M63" s="123">
        <v>335.0</v>
      </c>
      <c r="N63" s="85">
        <f t="shared" si="76"/>
        <v>0.5340597015</v>
      </c>
      <c r="O63" s="86">
        <f t="shared" si="5"/>
        <v>1.872449835</v>
      </c>
      <c r="P63" s="85" t="str">
        <f t="shared" si="6"/>
        <v>#DIV/0!</v>
      </c>
      <c r="Q63" s="87" t="str">
        <f t="shared" si="7"/>
        <v>#DIV/0!</v>
      </c>
      <c r="R63" s="88">
        <f t="shared" ref="R63:R66" si="79">D63-M63</f>
        <v>-335</v>
      </c>
      <c r="S63" s="89" t="str">
        <f t="shared" si="9"/>
        <v>#DIV/0!</v>
      </c>
      <c r="T63" s="124"/>
      <c r="U63" s="124"/>
      <c r="V63" s="124"/>
      <c r="W63" s="124"/>
      <c r="X63" s="125"/>
      <c r="Y63" s="116"/>
      <c r="Z63" s="116"/>
    </row>
    <row r="64" hidden="1" outlineLevel="1">
      <c r="A64" s="116"/>
      <c r="B64" s="126"/>
      <c r="C64" s="117" t="s">
        <v>32</v>
      </c>
      <c r="D64" s="127"/>
      <c r="E64" s="119"/>
      <c r="F64" s="119"/>
      <c r="G64" s="78" t="str">
        <f t="shared" si="1"/>
        <v>#DIV/0!</v>
      </c>
      <c r="H64" s="79" t="str">
        <f t="shared" si="2"/>
        <v>#DIV/0!</v>
      </c>
      <c r="I64" s="80" t="str">
        <f t="shared" si="3"/>
        <v>#DIV/0!</v>
      </c>
      <c r="J64" s="128">
        <v>1226.56</v>
      </c>
      <c r="K64" s="121">
        <v>98052.0</v>
      </c>
      <c r="L64" s="135"/>
      <c r="M64" s="129">
        <v>609.0</v>
      </c>
      <c r="N64" s="85">
        <f t="shared" si="76"/>
        <v>2.014055829</v>
      </c>
      <c r="O64" s="86">
        <f t="shared" si="5"/>
        <v>0.4965105661</v>
      </c>
      <c r="P64" s="85" t="str">
        <f t="shared" si="6"/>
        <v>#DIV/0!</v>
      </c>
      <c r="Q64" s="87" t="str">
        <f t="shared" si="7"/>
        <v>#DIV/0!</v>
      </c>
      <c r="R64" s="95">
        <f t="shared" si="79"/>
        <v>-609</v>
      </c>
      <c r="S64" s="89" t="str">
        <f t="shared" si="9"/>
        <v>#DIV/0!</v>
      </c>
      <c r="T64" s="124"/>
      <c r="U64" s="124"/>
      <c r="V64" s="124"/>
      <c r="W64" s="124"/>
      <c r="X64" s="125"/>
      <c r="Y64" s="116"/>
      <c r="Z64" s="116"/>
    </row>
    <row r="65" hidden="1" outlineLevel="1">
      <c r="A65" s="116"/>
      <c r="B65" s="74" t="s">
        <v>33</v>
      </c>
      <c r="C65" s="117" t="s">
        <v>34</v>
      </c>
      <c r="D65" s="130"/>
      <c r="E65" s="119"/>
      <c r="F65" s="119"/>
      <c r="G65" s="78" t="str">
        <f t="shared" si="1"/>
        <v>#DIV/0!</v>
      </c>
      <c r="H65" s="79" t="str">
        <f t="shared" si="2"/>
        <v>#DIV/0!</v>
      </c>
      <c r="I65" s="80" t="str">
        <f t="shared" si="3"/>
        <v>#DIV/0!</v>
      </c>
      <c r="J65" s="131">
        <v>0.0</v>
      </c>
      <c r="K65" s="121">
        <v>0.0</v>
      </c>
      <c r="L65" s="135"/>
      <c r="M65" s="132">
        <v>0.0</v>
      </c>
      <c r="N65" s="85" t="str">
        <f>(J65/M65)</f>
        <v>#DIV/0!</v>
      </c>
      <c r="O65" s="86" t="str">
        <f t="shared" si="5"/>
        <v>#DIV/0!</v>
      </c>
      <c r="P65" s="85" t="str">
        <f t="shared" si="6"/>
        <v>#DIV/0!</v>
      </c>
      <c r="Q65" s="87" t="str">
        <f t="shared" si="7"/>
        <v>#DIV/0!</v>
      </c>
      <c r="R65" s="100">
        <f t="shared" si="79"/>
        <v>0</v>
      </c>
      <c r="S65" s="89" t="str">
        <f t="shared" si="9"/>
        <v>#DIV/0!</v>
      </c>
      <c r="T65" s="124"/>
      <c r="U65" s="124"/>
      <c r="V65" s="124"/>
      <c r="W65" s="124"/>
      <c r="X65" s="125"/>
      <c r="Y65" s="116"/>
      <c r="Z65" s="116"/>
    </row>
    <row r="66" hidden="1" outlineLevel="1">
      <c r="A66" s="101" t="str">
        <f t="shared" ref="A66:A67" si="80">iferror(if(B66&gt;0,month(B66)&amp;"-"&amp;year(B66),B66),)</f>
        <v>12-2025</v>
      </c>
      <c r="B66" s="74">
        <v>45997.0</v>
      </c>
      <c r="C66" s="117" t="s">
        <v>35</v>
      </c>
      <c r="D66" s="133"/>
      <c r="E66" s="119"/>
      <c r="F66" s="119"/>
      <c r="G66" s="78" t="str">
        <f t="shared" si="1"/>
        <v>#DIV/0!</v>
      </c>
      <c r="H66" s="79" t="str">
        <f t="shared" si="2"/>
        <v>#DIV/0!</v>
      </c>
      <c r="I66" s="80" t="str">
        <f t="shared" si="3"/>
        <v>#DIV/0!</v>
      </c>
      <c r="J66" s="128">
        <v>1220.18</v>
      </c>
      <c r="K66" s="121">
        <v>75696.0</v>
      </c>
      <c r="L66" s="135"/>
      <c r="M66" s="129">
        <v>391.0</v>
      </c>
      <c r="N66" s="85">
        <f t="shared" ref="N66:N69" si="83">J66/M66</f>
        <v>3.120664962</v>
      </c>
      <c r="O66" s="86">
        <f t="shared" si="5"/>
        <v>0.3204445246</v>
      </c>
      <c r="P66" s="85" t="str">
        <f t="shared" si="6"/>
        <v>#DIV/0!</v>
      </c>
      <c r="Q66" s="87" t="str">
        <f t="shared" si="7"/>
        <v>#DIV/0!</v>
      </c>
      <c r="R66" s="88">
        <f t="shared" si="79"/>
        <v>-391</v>
      </c>
      <c r="S66" s="89" t="str">
        <f t="shared" si="9"/>
        <v>#DIV/0!</v>
      </c>
      <c r="T66" s="124"/>
      <c r="U66" s="124"/>
      <c r="V66" s="124"/>
      <c r="W66" s="124"/>
      <c r="X66" s="125"/>
      <c r="Y66" s="116"/>
      <c r="Z66" s="116"/>
    </row>
    <row r="67" collapsed="1">
      <c r="A67" s="116" t="str">
        <f t="shared" si="80"/>
        <v/>
      </c>
      <c r="B67" s="137" t="s">
        <v>47</v>
      </c>
      <c r="C67" s="138"/>
      <c r="D67" s="104">
        <f t="shared" ref="D67:F67" si="81">SUM(D63:D66)</f>
        <v>0</v>
      </c>
      <c r="E67" s="105">
        <f t="shared" si="81"/>
        <v>0</v>
      </c>
      <c r="F67" s="105">
        <f t="shared" si="81"/>
        <v>0</v>
      </c>
      <c r="G67" s="106" t="str">
        <f t="shared" si="1"/>
        <v>#DIV/0!</v>
      </c>
      <c r="H67" s="107" t="str">
        <f t="shared" si="2"/>
        <v>#DIV/0!</v>
      </c>
      <c r="I67" s="108" t="str">
        <f t="shared" si="3"/>
        <v>#DIV/0!</v>
      </c>
      <c r="J67" s="104">
        <f t="shared" ref="J67:M67" si="82">SUM(J63:J66)</f>
        <v>2625.65</v>
      </c>
      <c r="K67" s="109">
        <f t="shared" si="82"/>
        <v>180846</v>
      </c>
      <c r="L67" s="139">
        <f t="shared" si="82"/>
        <v>0</v>
      </c>
      <c r="M67" s="110">
        <f t="shared" si="82"/>
        <v>1335</v>
      </c>
      <c r="N67" s="111">
        <f t="shared" si="83"/>
        <v>1.966779026</v>
      </c>
      <c r="O67" s="112">
        <f t="shared" si="5"/>
        <v>0.5084455278</v>
      </c>
      <c r="P67" s="111" t="str">
        <f t="shared" si="6"/>
        <v>#DIV/0!</v>
      </c>
      <c r="Q67" s="113" t="str">
        <f t="shared" si="7"/>
        <v>#DIV/0!</v>
      </c>
      <c r="R67" s="114">
        <f>SUM(R63:R66)</f>
        <v>-1335</v>
      </c>
      <c r="S67" s="115" t="str">
        <f t="shared" si="9"/>
        <v>#DIV/0!</v>
      </c>
      <c r="T67" s="140" t="str">
        <f t="shared" ref="T67:U67" si="84">IFERROR((D67-#REF!)/D67,)</f>
        <v/>
      </c>
      <c r="U67" s="140" t="str">
        <f t="shared" si="84"/>
        <v/>
      </c>
      <c r="V67" s="140" t="str">
        <f t="shared" ref="V67:W67" si="85">IFERROR((D67-#REF!)/D67, )</f>
        <v/>
      </c>
      <c r="W67" s="140" t="str">
        <f t="shared" si="85"/>
        <v/>
      </c>
      <c r="X67" s="116"/>
      <c r="Y67" s="116"/>
      <c r="Z67" s="116"/>
    </row>
    <row r="68" hidden="1" outlineLevel="1">
      <c r="A68" s="116"/>
      <c r="B68" s="74">
        <v>45998.0</v>
      </c>
      <c r="C68" s="117" t="s">
        <v>31</v>
      </c>
      <c r="D68" s="118"/>
      <c r="E68" s="119"/>
      <c r="F68" s="119"/>
      <c r="G68" s="78" t="str">
        <f t="shared" si="1"/>
        <v>#DIV/0!</v>
      </c>
      <c r="H68" s="79" t="str">
        <f t="shared" si="2"/>
        <v>#DIV/0!</v>
      </c>
      <c r="I68" s="80" t="str">
        <f t="shared" si="3"/>
        <v>#DIV/0!</v>
      </c>
      <c r="J68" s="120">
        <v>167.6</v>
      </c>
      <c r="K68" s="121">
        <v>9254.0</v>
      </c>
      <c r="L68" s="135"/>
      <c r="M68" s="123">
        <v>559.0</v>
      </c>
      <c r="N68" s="85">
        <f t="shared" si="83"/>
        <v>0.2998211091</v>
      </c>
      <c r="O68" s="86">
        <f t="shared" si="5"/>
        <v>3.335322196</v>
      </c>
      <c r="P68" s="85" t="str">
        <f t="shared" si="6"/>
        <v>#DIV/0!</v>
      </c>
      <c r="Q68" s="87" t="str">
        <f t="shared" si="7"/>
        <v>#DIV/0!</v>
      </c>
      <c r="R68" s="88">
        <f t="shared" ref="R68:R71" si="86">D68-M68</f>
        <v>-559</v>
      </c>
      <c r="S68" s="89" t="str">
        <f t="shared" si="9"/>
        <v>#DIV/0!</v>
      </c>
      <c r="T68" s="124"/>
      <c r="U68" s="124"/>
      <c r="V68" s="124"/>
      <c r="W68" s="124"/>
      <c r="X68" s="125"/>
      <c r="Y68" s="116"/>
      <c r="Z68" s="116"/>
    </row>
    <row r="69" hidden="1" outlineLevel="1">
      <c r="A69" s="116"/>
      <c r="B69" s="126"/>
      <c r="C69" s="117" t="s">
        <v>32</v>
      </c>
      <c r="D69" s="127"/>
      <c r="E69" s="119"/>
      <c r="F69" s="119"/>
      <c r="G69" s="78" t="str">
        <f t="shared" si="1"/>
        <v>#DIV/0!</v>
      </c>
      <c r="H69" s="79" t="str">
        <f t="shared" si="2"/>
        <v>#DIV/0!</v>
      </c>
      <c r="I69" s="80" t="str">
        <f t="shared" si="3"/>
        <v>#DIV/0!</v>
      </c>
      <c r="J69" s="128">
        <v>186.66</v>
      </c>
      <c r="K69" s="121">
        <v>18782.0</v>
      </c>
      <c r="L69" s="135"/>
      <c r="M69" s="129">
        <v>0.0</v>
      </c>
      <c r="N69" s="85" t="str">
        <f t="shared" si="83"/>
        <v>#DIV/0!</v>
      </c>
      <c r="O69" s="86">
        <f t="shared" si="5"/>
        <v>0</v>
      </c>
      <c r="P69" s="85" t="str">
        <f t="shared" si="6"/>
        <v>#DIV/0!</v>
      </c>
      <c r="Q69" s="87" t="str">
        <f t="shared" si="7"/>
        <v>#DIV/0!</v>
      </c>
      <c r="R69" s="95">
        <f t="shared" si="86"/>
        <v>0</v>
      </c>
      <c r="S69" s="89" t="str">
        <f t="shared" si="9"/>
        <v>#DIV/0!</v>
      </c>
      <c r="T69" s="124"/>
      <c r="U69" s="124"/>
      <c r="V69" s="124"/>
      <c r="W69" s="124"/>
      <c r="X69" s="125"/>
      <c r="Y69" s="116"/>
      <c r="Z69" s="116"/>
    </row>
    <row r="70" hidden="1" outlineLevel="1">
      <c r="A70" s="116"/>
      <c r="B70" s="74" t="s">
        <v>33</v>
      </c>
      <c r="C70" s="117" t="s">
        <v>34</v>
      </c>
      <c r="D70" s="130"/>
      <c r="E70" s="119"/>
      <c r="F70" s="119"/>
      <c r="G70" s="78" t="str">
        <f t="shared" si="1"/>
        <v>#DIV/0!</v>
      </c>
      <c r="H70" s="79" t="str">
        <f t="shared" si="2"/>
        <v>#DIV/0!</v>
      </c>
      <c r="I70" s="80" t="str">
        <f t="shared" si="3"/>
        <v>#DIV/0!</v>
      </c>
      <c r="J70" s="131">
        <v>0.0</v>
      </c>
      <c r="K70" s="121">
        <v>0.0</v>
      </c>
      <c r="L70" s="135"/>
      <c r="M70" s="132">
        <v>0.0</v>
      </c>
      <c r="N70" s="85" t="str">
        <f>(J70/M70)</f>
        <v>#DIV/0!</v>
      </c>
      <c r="O70" s="86" t="str">
        <f t="shared" si="5"/>
        <v>#DIV/0!</v>
      </c>
      <c r="P70" s="85" t="str">
        <f t="shared" si="6"/>
        <v>#DIV/0!</v>
      </c>
      <c r="Q70" s="87" t="str">
        <f t="shared" si="7"/>
        <v>#DIV/0!</v>
      </c>
      <c r="R70" s="100">
        <f t="shared" si="86"/>
        <v>0</v>
      </c>
      <c r="S70" s="89" t="str">
        <f t="shared" si="9"/>
        <v>#DIV/0!</v>
      </c>
      <c r="T70" s="124"/>
      <c r="U70" s="124"/>
      <c r="V70" s="124"/>
      <c r="W70" s="124"/>
      <c r="X70" s="125"/>
      <c r="Y70" s="116"/>
      <c r="Z70" s="116"/>
    </row>
    <row r="71" hidden="1" outlineLevel="1">
      <c r="A71" s="101" t="str">
        <f t="shared" ref="A71:A72" si="87">iferror(if(B71&gt;0,month(B71)&amp;"-"&amp;year(B71),B71),)</f>
        <v>12-2025</v>
      </c>
      <c r="B71" s="74">
        <v>46004.0</v>
      </c>
      <c r="C71" s="117" t="s">
        <v>35</v>
      </c>
      <c r="D71" s="133"/>
      <c r="E71" s="119"/>
      <c r="F71" s="119"/>
      <c r="G71" s="78" t="str">
        <f t="shared" si="1"/>
        <v>#DIV/0!</v>
      </c>
      <c r="H71" s="79" t="str">
        <f t="shared" si="2"/>
        <v>#DIV/0!</v>
      </c>
      <c r="I71" s="80" t="str">
        <f t="shared" si="3"/>
        <v>#DIV/0!</v>
      </c>
      <c r="J71" s="128">
        <v>176.02</v>
      </c>
      <c r="K71" s="121">
        <v>9377.0</v>
      </c>
      <c r="L71" s="135"/>
      <c r="M71" s="129">
        <v>0.0</v>
      </c>
      <c r="N71" s="85" t="str">
        <f t="shared" ref="N71:N74" si="90">J71/M71</f>
        <v>#DIV/0!</v>
      </c>
      <c r="O71" s="86">
        <f t="shared" si="5"/>
        <v>0</v>
      </c>
      <c r="P71" s="85" t="str">
        <f t="shared" si="6"/>
        <v>#DIV/0!</v>
      </c>
      <c r="Q71" s="87" t="str">
        <f t="shared" si="7"/>
        <v>#DIV/0!</v>
      </c>
      <c r="R71" s="88">
        <f t="shared" si="86"/>
        <v>0</v>
      </c>
      <c r="S71" s="89" t="str">
        <f t="shared" si="9"/>
        <v>#DIV/0!</v>
      </c>
      <c r="T71" s="124"/>
      <c r="U71" s="124"/>
      <c r="V71" s="124"/>
      <c r="W71" s="124"/>
      <c r="X71" s="125"/>
      <c r="Y71" s="116"/>
      <c r="Z71" s="116"/>
    </row>
    <row r="72">
      <c r="A72" s="116" t="str">
        <f t="shared" si="87"/>
        <v/>
      </c>
      <c r="B72" s="137" t="s">
        <v>49</v>
      </c>
      <c r="C72" s="138"/>
      <c r="D72" s="104">
        <f t="shared" ref="D72:F72" si="88">SUM(D68:D71)</f>
        <v>0</v>
      </c>
      <c r="E72" s="105">
        <f t="shared" si="88"/>
        <v>0</v>
      </c>
      <c r="F72" s="105">
        <f t="shared" si="88"/>
        <v>0</v>
      </c>
      <c r="G72" s="106" t="str">
        <f t="shared" si="1"/>
        <v>#DIV/0!</v>
      </c>
      <c r="H72" s="107" t="str">
        <f t="shared" si="2"/>
        <v>#DIV/0!</v>
      </c>
      <c r="I72" s="108" t="str">
        <f t="shared" si="3"/>
        <v>#DIV/0!</v>
      </c>
      <c r="J72" s="104">
        <f t="shared" ref="J72:M72" si="89">SUM(J68:J71)</f>
        <v>530.28</v>
      </c>
      <c r="K72" s="109">
        <f t="shared" si="89"/>
        <v>37413</v>
      </c>
      <c r="L72" s="139">
        <f t="shared" si="89"/>
        <v>0</v>
      </c>
      <c r="M72" s="110">
        <f t="shared" si="89"/>
        <v>559</v>
      </c>
      <c r="N72" s="111">
        <f t="shared" si="90"/>
        <v>0.9486225403</v>
      </c>
      <c r="O72" s="112">
        <f t="shared" si="5"/>
        <v>1.054160066</v>
      </c>
      <c r="P72" s="111" t="str">
        <f t="shared" si="6"/>
        <v>#DIV/0!</v>
      </c>
      <c r="Q72" s="113" t="str">
        <f t="shared" si="7"/>
        <v>#DIV/0!</v>
      </c>
      <c r="R72" s="114">
        <f>SUM(R68:R71)</f>
        <v>-559</v>
      </c>
      <c r="S72" s="115" t="str">
        <f t="shared" si="9"/>
        <v>#DIV/0!</v>
      </c>
      <c r="T72" s="140" t="str">
        <f t="shared" ref="T72:U72" si="91">IFERROR((D72-#REF!)/D72,)</f>
        <v/>
      </c>
      <c r="U72" s="140" t="str">
        <f t="shared" si="91"/>
        <v/>
      </c>
      <c r="V72" s="140" t="str">
        <f t="shared" ref="V72:W72" si="92">IFERROR((D72-#REF!)/D72, )</f>
        <v/>
      </c>
      <c r="W72" s="140" t="str">
        <f t="shared" si="92"/>
        <v/>
      </c>
      <c r="X72" s="116"/>
      <c r="Y72" s="116"/>
      <c r="Z72" s="116"/>
    </row>
    <row r="73">
      <c r="A73" s="116"/>
      <c r="B73" s="74">
        <v>46005.0</v>
      </c>
      <c r="C73" s="117" t="s">
        <v>31</v>
      </c>
      <c r="D73" s="118"/>
      <c r="E73" s="119"/>
      <c r="F73" s="119"/>
      <c r="G73" s="78" t="str">
        <f t="shared" si="1"/>
        <v>#DIV/0!</v>
      </c>
      <c r="H73" s="79" t="str">
        <f t="shared" si="2"/>
        <v>#DIV/0!</v>
      </c>
      <c r="I73" s="80" t="str">
        <f t="shared" si="3"/>
        <v>#DIV/0!</v>
      </c>
      <c r="J73" s="120">
        <v>184.7</v>
      </c>
      <c r="K73" s="121">
        <v>9908.0</v>
      </c>
      <c r="L73" s="135"/>
      <c r="M73" s="123">
        <v>0.0</v>
      </c>
      <c r="N73" s="85" t="str">
        <f t="shared" si="90"/>
        <v>#DIV/0!</v>
      </c>
      <c r="O73" s="86">
        <f t="shared" si="5"/>
        <v>0</v>
      </c>
      <c r="P73" s="85" t="str">
        <f t="shared" si="6"/>
        <v>#DIV/0!</v>
      </c>
      <c r="Q73" s="87" t="str">
        <f t="shared" si="7"/>
        <v>#DIV/0!</v>
      </c>
      <c r="R73" s="88">
        <f t="shared" ref="R73:R76" si="93">D73-M73</f>
        <v>0</v>
      </c>
      <c r="S73" s="89" t="str">
        <f t="shared" si="9"/>
        <v>#DIV/0!</v>
      </c>
      <c r="T73" s="124"/>
      <c r="U73" s="124"/>
      <c r="V73" s="124"/>
      <c r="W73" s="124"/>
      <c r="X73" s="125"/>
      <c r="Y73" s="116"/>
      <c r="Z73" s="116"/>
    </row>
    <row r="74">
      <c r="A74" s="116"/>
      <c r="B74" s="126"/>
      <c r="C74" s="117" t="s">
        <v>32</v>
      </c>
      <c r="D74" s="127"/>
      <c r="E74" s="119"/>
      <c r="F74" s="119"/>
      <c r="G74" s="78" t="str">
        <f t="shared" si="1"/>
        <v>#DIV/0!</v>
      </c>
      <c r="H74" s="79" t="str">
        <f t="shared" si="2"/>
        <v>#DIV/0!</v>
      </c>
      <c r="I74" s="80" t="str">
        <f t="shared" si="3"/>
        <v>#DIV/0!</v>
      </c>
      <c r="J74" s="128">
        <v>161.84</v>
      </c>
      <c r="K74" s="121">
        <v>13094.0</v>
      </c>
      <c r="L74" s="135"/>
      <c r="M74" s="129">
        <v>1106.0</v>
      </c>
      <c r="N74" s="85">
        <f t="shared" si="90"/>
        <v>0.1463291139</v>
      </c>
      <c r="O74" s="86">
        <f t="shared" si="5"/>
        <v>6.833910035</v>
      </c>
      <c r="P74" s="85" t="str">
        <f t="shared" si="6"/>
        <v>#DIV/0!</v>
      </c>
      <c r="Q74" s="87" t="str">
        <f t="shared" si="7"/>
        <v>#DIV/0!</v>
      </c>
      <c r="R74" s="95">
        <f t="shared" si="93"/>
        <v>-1106</v>
      </c>
      <c r="S74" s="89" t="str">
        <f t="shared" si="9"/>
        <v>#DIV/0!</v>
      </c>
      <c r="T74" s="124"/>
      <c r="U74" s="124"/>
      <c r="V74" s="124"/>
      <c r="W74" s="124"/>
      <c r="X74" s="125"/>
      <c r="Y74" s="116"/>
      <c r="Z74" s="116"/>
    </row>
    <row r="75">
      <c r="A75" s="116"/>
      <c r="B75" s="74" t="s">
        <v>33</v>
      </c>
      <c r="C75" s="117" t="s">
        <v>34</v>
      </c>
      <c r="D75" s="130"/>
      <c r="E75" s="119"/>
      <c r="F75" s="119"/>
      <c r="G75" s="78" t="str">
        <f t="shared" si="1"/>
        <v>#DIV/0!</v>
      </c>
      <c r="H75" s="79" t="str">
        <f t="shared" si="2"/>
        <v>#DIV/0!</v>
      </c>
      <c r="I75" s="80" t="str">
        <f t="shared" si="3"/>
        <v>#DIV/0!</v>
      </c>
      <c r="J75" s="131">
        <v>0.0</v>
      </c>
      <c r="K75" s="121">
        <v>0.0</v>
      </c>
      <c r="L75" s="135"/>
      <c r="M75" s="132">
        <v>0.0</v>
      </c>
      <c r="N75" s="85" t="str">
        <f>(J75/M75)</f>
        <v>#DIV/0!</v>
      </c>
      <c r="O75" s="86" t="str">
        <f t="shared" si="5"/>
        <v>#DIV/0!</v>
      </c>
      <c r="P75" s="85" t="str">
        <f t="shared" si="6"/>
        <v>#DIV/0!</v>
      </c>
      <c r="Q75" s="87" t="str">
        <f t="shared" si="7"/>
        <v>#DIV/0!</v>
      </c>
      <c r="R75" s="100">
        <f t="shared" si="93"/>
        <v>0</v>
      </c>
      <c r="S75" s="89" t="str">
        <f t="shared" si="9"/>
        <v>#DIV/0!</v>
      </c>
      <c r="T75" s="124"/>
      <c r="U75" s="124"/>
      <c r="V75" s="124"/>
      <c r="W75" s="124"/>
      <c r="X75" s="125"/>
      <c r="Y75" s="116"/>
      <c r="Z75" s="116"/>
    </row>
    <row r="76">
      <c r="A76" s="101" t="str">
        <f t="shared" ref="A76:A77" si="94">iferror(if(B76&gt;0,month(B76)&amp;"-"&amp;year(B76),B76),)</f>
        <v>12-2025</v>
      </c>
      <c r="B76" s="74">
        <v>46011.0</v>
      </c>
      <c r="C76" s="117" t="s">
        <v>35</v>
      </c>
      <c r="D76" s="133"/>
      <c r="E76" s="119"/>
      <c r="F76" s="119"/>
      <c r="G76" s="78" t="str">
        <f t="shared" si="1"/>
        <v>#DIV/0!</v>
      </c>
      <c r="H76" s="79" t="str">
        <f t="shared" si="2"/>
        <v>#DIV/0!</v>
      </c>
      <c r="I76" s="80" t="str">
        <f t="shared" si="3"/>
        <v>#DIV/0!</v>
      </c>
      <c r="J76" s="128">
        <v>166.95</v>
      </c>
      <c r="K76" s="121">
        <v>5380.0</v>
      </c>
      <c r="L76" s="135"/>
      <c r="M76" s="129">
        <v>0.0</v>
      </c>
      <c r="N76" s="85" t="str">
        <f t="shared" ref="N76:N79" si="97">J76/M76</f>
        <v>#DIV/0!</v>
      </c>
      <c r="O76" s="86">
        <f t="shared" si="5"/>
        <v>0</v>
      </c>
      <c r="P76" s="85" t="str">
        <f t="shared" si="6"/>
        <v>#DIV/0!</v>
      </c>
      <c r="Q76" s="87" t="str">
        <f t="shared" si="7"/>
        <v>#DIV/0!</v>
      </c>
      <c r="R76" s="88">
        <f t="shared" si="93"/>
        <v>0</v>
      </c>
      <c r="S76" s="89" t="str">
        <f t="shared" si="9"/>
        <v>#DIV/0!</v>
      </c>
      <c r="T76" s="124"/>
      <c r="U76" s="124"/>
      <c r="V76" s="124"/>
      <c r="W76" s="124"/>
      <c r="X76" s="125"/>
      <c r="Y76" s="116"/>
      <c r="Z76" s="116"/>
    </row>
    <row r="77">
      <c r="A77" s="116" t="str">
        <f t="shared" si="94"/>
        <v/>
      </c>
      <c r="B77" s="216" t="s">
        <v>51</v>
      </c>
      <c r="C77" s="138"/>
      <c r="D77" s="104">
        <f t="shared" ref="D77:F77" si="95">SUM(D73:D76)</f>
        <v>0</v>
      </c>
      <c r="E77" s="105">
        <f t="shared" si="95"/>
        <v>0</v>
      </c>
      <c r="F77" s="105">
        <f t="shared" si="95"/>
        <v>0</v>
      </c>
      <c r="G77" s="106" t="str">
        <f t="shared" si="1"/>
        <v>#DIV/0!</v>
      </c>
      <c r="H77" s="107" t="str">
        <f t="shared" si="2"/>
        <v>#DIV/0!</v>
      </c>
      <c r="I77" s="108" t="str">
        <f t="shared" si="3"/>
        <v>#DIV/0!</v>
      </c>
      <c r="J77" s="104">
        <f t="shared" ref="J77:M77" si="96">SUM(J73:J76)</f>
        <v>513.49</v>
      </c>
      <c r="K77" s="109">
        <f t="shared" si="96"/>
        <v>28382</v>
      </c>
      <c r="L77" s="139">
        <f t="shared" si="96"/>
        <v>0</v>
      </c>
      <c r="M77" s="110">
        <f t="shared" si="96"/>
        <v>1106</v>
      </c>
      <c r="N77" s="111">
        <f t="shared" si="97"/>
        <v>0.4642766727</v>
      </c>
      <c r="O77" s="112">
        <f t="shared" si="5"/>
        <v>2.153888099</v>
      </c>
      <c r="P77" s="111" t="str">
        <f t="shared" si="6"/>
        <v>#DIV/0!</v>
      </c>
      <c r="Q77" s="113" t="str">
        <f t="shared" si="7"/>
        <v>#DIV/0!</v>
      </c>
      <c r="R77" s="114">
        <f>SUM(R73:R76)</f>
        <v>-1106</v>
      </c>
      <c r="S77" s="115" t="str">
        <f t="shared" si="9"/>
        <v>#DIV/0!</v>
      </c>
      <c r="T77" s="140" t="str">
        <f t="shared" ref="T77:U77" si="98">IFERROR((D77-#REF!)/D77,)</f>
        <v/>
      </c>
      <c r="U77" s="140" t="str">
        <f t="shared" si="98"/>
        <v/>
      </c>
      <c r="V77" s="140" t="str">
        <f t="shared" ref="V77:W77" si="99">IFERROR((D77-#REF!)/D77, )</f>
        <v/>
      </c>
      <c r="W77" s="140" t="str">
        <f t="shared" si="99"/>
        <v/>
      </c>
      <c r="X77" s="116"/>
      <c r="Y77" s="116"/>
      <c r="Z77" s="116"/>
    </row>
    <row r="78">
      <c r="A78" s="13"/>
      <c r="B78" s="143">
        <v>46012.0</v>
      </c>
      <c r="C78" s="75" t="s">
        <v>31</v>
      </c>
      <c r="D78" s="76"/>
      <c r="E78" s="77"/>
      <c r="F78" s="77"/>
      <c r="G78" s="78" t="str">
        <f t="shared" si="1"/>
        <v>#DIV/0!</v>
      </c>
      <c r="H78" s="79" t="str">
        <f t="shared" si="2"/>
        <v>#DIV/0!</v>
      </c>
      <c r="I78" s="80" t="str">
        <f t="shared" si="3"/>
        <v>#DIV/0!</v>
      </c>
      <c r="J78" s="81">
        <v>176.83</v>
      </c>
      <c r="K78" s="82">
        <v>10330.0</v>
      </c>
      <c r="L78" s="83"/>
      <c r="M78" s="84">
        <v>839.0</v>
      </c>
      <c r="N78" s="85">
        <f t="shared" si="97"/>
        <v>0.2107628129</v>
      </c>
      <c r="O78" s="86">
        <f t="shared" si="5"/>
        <v>4.744670022</v>
      </c>
      <c r="P78" s="85" t="str">
        <f t="shared" si="6"/>
        <v>#DIV/0!</v>
      </c>
      <c r="Q78" s="87" t="str">
        <f t="shared" si="7"/>
        <v>#DIV/0!</v>
      </c>
      <c r="R78" s="88">
        <f t="shared" ref="R78:R81" si="100">D78-M78</f>
        <v>-839</v>
      </c>
      <c r="S78" s="89" t="str">
        <f t="shared" si="9"/>
        <v>#DIV/0!</v>
      </c>
      <c r="T78" s="90"/>
      <c r="U78" s="90"/>
      <c r="V78" s="90"/>
      <c r="W78" s="90"/>
      <c r="X78" s="3"/>
      <c r="Y78" s="13"/>
      <c r="Z78" s="13"/>
    </row>
    <row r="79">
      <c r="A79" s="13"/>
      <c r="B79" s="91"/>
      <c r="C79" s="75" t="s">
        <v>32</v>
      </c>
      <c r="D79" s="92"/>
      <c r="E79" s="77"/>
      <c r="F79" s="77"/>
      <c r="G79" s="78" t="str">
        <f t="shared" si="1"/>
        <v>#DIV/0!</v>
      </c>
      <c r="H79" s="79" t="str">
        <f t="shared" si="2"/>
        <v>#DIV/0!</v>
      </c>
      <c r="I79" s="80" t="str">
        <f t="shared" si="3"/>
        <v>#DIV/0!</v>
      </c>
      <c r="J79" s="93">
        <v>169.03</v>
      </c>
      <c r="K79" s="82">
        <v>10693.0</v>
      </c>
      <c r="L79" s="83"/>
      <c r="M79" s="94">
        <v>177.0</v>
      </c>
      <c r="N79" s="85">
        <f t="shared" si="97"/>
        <v>0.9549717514</v>
      </c>
      <c r="O79" s="86">
        <f t="shared" si="5"/>
        <v>1.047151393</v>
      </c>
      <c r="P79" s="85" t="str">
        <f t="shared" si="6"/>
        <v>#DIV/0!</v>
      </c>
      <c r="Q79" s="87" t="str">
        <f t="shared" si="7"/>
        <v>#DIV/0!</v>
      </c>
      <c r="R79" s="95">
        <f t="shared" si="100"/>
        <v>-177</v>
      </c>
      <c r="S79" s="89" t="str">
        <f t="shared" si="9"/>
        <v>#DIV/0!</v>
      </c>
      <c r="T79" s="90"/>
      <c r="U79" s="90"/>
      <c r="V79" s="90"/>
      <c r="W79" s="90"/>
      <c r="X79" s="3"/>
      <c r="Y79" s="13"/>
      <c r="Z79" s="13"/>
    </row>
    <row r="80">
      <c r="A80" s="13"/>
      <c r="B80" s="148" t="s">
        <v>33</v>
      </c>
      <c r="C80" s="75" t="s">
        <v>34</v>
      </c>
      <c r="D80" s="97"/>
      <c r="E80" s="77"/>
      <c r="F80" s="77"/>
      <c r="G80" s="78" t="str">
        <f t="shared" si="1"/>
        <v>#DIV/0!</v>
      </c>
      <c r="H80" s="79" t="str">
        <f t="shared" si="2"/>
        <v>#DIV/0!</v>
      </c>
      <c r="I80" s="80" t="str">
        <f t="shared" si="3"/>
        <v>#DIV/0!</v>
      </c>
      <c r="J80" s="98">
        <v>0.0</v>
      </c>
      <c r="K80" s="82">
        <v>0.0</v>
      </c>
      <c r="L80" s="83"/>
      <c r="M80" s="99">
        <v>0.0</v>
      </c>
      <c r="N80" s="85" t="str">
        <f>(J80/M80)</f>
        <v>#DIV/0!</v>
      </c>
      <c r="O80" s="86" t="str">
        <f t="shared" si="5"/>
        <v>#DIV/0!</v>
      </c>
      <c r="P80" s="85" t="str">
        <f t="shared" si="6"/>
        <v>#DIV/0!</v>
      </c>
      <c r="Q80" s="87" t="str">
        <f t="shared" si="7"/>
        <v>#DIV/0!</v>
      </c>
      <c r="R80" s="100">
        <f t="shared" si="100"/>
        <v>0</v>
      </c>
      <c r="S80" s="89" t="str">
        <f t="shared" si="9"/>
        <v>#DIV/0!</v>
      </c>
      <c r="T80" s="90"/>
      <c r="U80" s="90"/>
      <c r="V80" s="90"/>
      <c r="W80" s="90"/>
      <c r="X80" s="3"/>
      <c r="Y80" s="13"/>
      <c r="Z80" s="13"/>
    </row>
    <row r="81">
      <c r="A81" s="101" t="str">
        <f t="shared" ref="A81:A82" si="101">iferror(if(B81&gt;0,month(B81)&amp;"-"&amp;year(B81),B81),)</f>
        <v>12-2025</v>
      </c>
      <c r="B81" s="143">
        <v>46018.0</v>
      </c>
      <c r="C81" s="75" t="s">
        <v>35</v>
      </c>
      <c r="D81" s="102"/>
      <c r="E81" s="77"/>
      <c r="F81" s="77"/>
      <c r="G81" s="78" t="str">
        <f t="shared" si="1"/>
        <v>#DIV/0!</v>
      </c>
      <c r="H81" s="79" t="str">
        <f t="shared" si="2"/>
        <v>#DIV/0!</v>
      </c>
      <c r="I81" s="80" t="str">
        <f t="shared" si="3"/>
        <v>#DIV/0!</v>
      </c>
      <c r="J81" s="93">
        <v>174.74</v>
      </c>
      <c r="K81" s="82">
        <v>5497.0</v>
      </c>
      <c r="L81" s="83"/>
      <c r="M81" s="94">
        <v>0.0</v>
      </c>
      <c r="N81" s="85" t="str">
        <f t="shared" ref="N81:N84" si="104">J81/M81</f>
        <v>#DIV/0!</v>
      </c>
      <c r="O81" s="86">
        <f t="shared" si="5"/>
        <v>0</v>
      </c>
      <c r="P81" s="85" t="str">
        <f t="shared" si="6"/>
        <v>#DIV/0!</v>
      </c>
      <c r="Q81" s="87" t="str">
        <f t="shared" si="7"/>
        <v>#DIV/0!</v>
      </c>
      <c r="R81" s="88">
        <f t="shared" si="100"/>
        <v>0</v>
      </c>
      <c r="S81" s="89" t="str">
        <f t="shared" si="9"/>
        <v>#DIV/0!</v>
      </c>
      <c r="T81" s="90"/>
      <c r="U81" s="90"/>
      <c r="V81" s="90"/>
      <c r="W81" s="90"/>
      <c r="X81" s="3"/>
      <c r="Y81" s="13"/>
      <c r="Z81" s="13"/>
    </row>
    <row r="82">
      <c r="A82" s="13" t="str">
        <f t="shared" si="101"/>
        <v/>
      </c>
      <c r="B82" s="103" t="s">
        <v>51</v>
      </c>
      <c r="C82" s="61"/>
      <c r="D82" s="104">
        <f t="shared" ref="D82:F82" si="102">SUM(D78:D81)</f>
        <v>0</v>
      </c>
      <c r="E82" s="105">
        <f t="shared" si="102"/>
        <v>0</v>
      </c>
      <c r="F82" s="105">
        <f t="shared" si="102"/>
        <v>0</v>
      </c>
      <c r="G82" s="106" t="str">
        <f t="shared" si="1"/>
        <v>#DIV/0!</v>
      </c>
      <c r="H82" s="107" t="str">
        <f t="shared" si="2"/>
        <v>#DIV/0!</v>
      </c>
      <c r="I82" s="108" t="str">
        <f t="shared" si="3"/>
        <v>#DIV/0!</v>
      </c>
      <c r="J82" s="104">
        <f t="shared" ref="J82:M82" si="103">SUM(J78:J81)</f>
        <v>520.6</v>
      </c>
      <c r="K82" s="109">
        <f t="shared" si="103"/>
        <v>26520</v>
      </c>
      <c r="L82" s="105">
        <f t="shared" si="103"/>
        <v>0</v>
      </c>
      <c r="M82" s="110">
        <f t="shared" si="103"/>
        <v>1016</v>
      </c>
      <c r="N82" s="111">
        <f t="shared" si="104"/>
        <v>0.5124015748</v>
      </c>
      <c r="O82" s="112">
        <f t="shared" si="5"/>
        <v>1.951594314</v>
      </c>
      <c r="P82" s="111" t="str">
        <f t="shared" si="6"/>
        <v>#DIV/0!</v>
      </c>
      <c r="Q82" s="113" t="str">
        <f t="shared" si="7"/>
        <v>#DIV/0!</v>
      </c>
      <c r="R82" s="114">
        <f>SUM(R78:R81)</f>
        <v>-1016</v>
      </c>
      <c r="S82" s="115" t="str">
        <f t="shared" si="9"/>
        <v>#DIV/0!</v>
      </c>
      <c r="T82" s="73" t="str">
        <f t="shared" ref="T82:U82" si="105">IFERROR((D82-#REF!)/D82,)</f>
        <v/>
      </c>
      <c r="U82" s="73" t="str">
        <f t="shared" si="105"/>
        <v/>
      </c>
      <c r="V82" s="73" t="str">
        <f t="shared" ref="V82:W82" si="106">IFERROR((D82-#REF!)/D82, )</f>
        <v/>
      </c>
      <c r="W82" s="73" t="str">
        <f t="shared" si="106"/>
        <v/>
      </c>
      <c r="X82" s="13"/>
      <c r="Y82" s="13"/>
      <c r="Z82" s="13"/>
    </row>
    <row r="83">
      <c r="A83" s="13"/>
      <c r="B83" s="143">
        <v>46019.0</v>
      </c>
      <c r="C83" s="75" t="s">
        <v>31</v>
      </c>
      <c r="D83" s="76"/>
      <c r="E83" s="77"/>
      <c r="F83" s="77"/>
      <c r="G83" s="78" t="str">
        <f t="shared" si="1"/>
        <v>#DIV/0!</v>
      </c>
      <c r="H83" s="79" t="str">
        <f t="shared" si="2"/>
        <v>#DIV/0!</v>
      </c>
      <c r="I83" s="80" t="str">
        <f t="shared" si="3"/>
        <v>#DIV/0!</v>
      </c>
      <c r="J83" s="81">
        <v>163.31</v>
      </c>
      <c r="K83" s="82">
        <v>11820.0</v>
      </c>
      <c r="L83" s="83"/>
      <c r="M83" s="84">
        <v>58.0</v>
      </c>
      <c r="N83" s="85">
        <f t="shared" si="104"/>
        <v>2.815689655</v>
      </c>
      <c r="O83" s="86">
        <f t="shared" si="5"/>
        <v>0.3551527769</v>
      </c>
      <c r="P83" s="85" t="str">
        <f t="shared" si="6"/>
        <v>#DIV/0!</v>
      </c>
      <c r="Q83" s="87" t="str">
        <f t="shared" si="7"/>
        <v>#DIV/0!</v>
      </c>
      <c r="R83" s="88">
        <f t="shared" ref="R83:R86" si="107">D83-M83</f>
        <v>-58</v>
      </c>
      <c r="S83" s="89" t="str">
        <f t="shared" si="9"/>
        <v>#DIV/0!</v>
      </c>
      <c r="T83" s="90"/>
      <c r="U83" s="90"/>
      <c r="V83" s="90"/>
      <c r="W83" s="90"/>
      <c r="X83" s="3"/>
      <c r="Y83" s="13"/>
      <c r="Z83" s="13"/>
    </row>
    <row r="84">
      <c r="A84" s="13"/>
      <c r="B84" s="91"/>
      <c r="C84" s="75" t="s">
        <v>32</v>
      </c>
      <c r="D84" s="92"/>
      <c r="E84" s="77"/>
      <c r="F84" s="77"/>
      <c r="G84" s="78" t="str">
        <f t="shared" si="1"/>
        <v>#DIV/0!</v>
      </c>
      <c r="H84" s="79" t="str">
        <f t="shared" si="2"/>
        <v>#DIV/0!</v>
      </c>
      <c r="I84" s="80" t="str">
        <f t="shared" si="3"/>
        <v>#DIV/0!</v>
      </c>
      <c r="J84" s="93">
        <v>157.13</v>
      </c>
      <c r="K84" s="82">
        <v>10589.0</v>
      </c>
      <c r="L84" s="83"/>
      <c r="M84" s="94">
        <v>359.0</v>
      </c>
      <c r="N84" s="85">
        <f t="shared" si="104"/>
        <v>0.4376880223</v>
      </c>
      <c r="O84" s="86">
        <f t="shared" si="5"/>
        <v>2.284732387</v>
      </c>
      <c r="P84" s="85" t="str">
        <f t="shared" si="6"/>
        <v>#DIV/0!</v>
      </c>
      <c r="Q84" s="87" t="str">
        <f t="shared" si="7"/>
        <v>#DIV/0!</v>
      </c>
      <c r="R84" s="95">
        <f t="shared" si="107"/>
        <v>-359</v>
      </c>
      <c r="S84" s="89" t="str">
        <f t="shared" si="9"/>
        <v>#DIV/0!</v>
      </c>
      <c r="T84" s="90"/>
      <c r="U84" s="90"/>
      <c r="V84" s="90"/>
      <c r="W84" s="90"/>
      <c r="X84" s="3"/>
      <c r="Y84" s="13"/>
      <c r="Z84" s="13"/>
    </row>
    <row r="85">
      <c r="A85" s="13"/>
      <c r="B85" s="148" t="s">
        <v>33</v>
      </c>
      <c r="C85" s="75" t="s">
        <v>34</v>
      </c>
      <c r="D85" s="97"/>
      <c r="E85" s="77"/>
      <c r="F85" s="77"/>
      <c r="G85" s="78" t="str">
        <f t="shared" si="1"/>
        <v>#DIV/0!</v>
      </c>
      <c r="H85" s="79" t="str">
        <f t="shared" si="2"/>
        <v>#DIV/0!</v>
      </c>
      <c r="I85" s="80" t="str">
        <f t="shared" si="3"/>
        <v>#DIV/0!</v>
      </c>
      <c r="J85" s="98">
        <v>0.0</v>
      </c>
      <c r="K85" s="82">
        <v>0.0</v>
      </c>
      <c r="L85" s="83"/>
      <c r="M85" s="99">
        <v>0.0</v>
      </c>
      <c r="N85" s="85" t="str">
        <f>(J85/M85)</f>
        <v>#DIV/0!</v>
      </c>
      <c r="O85" s="86" t="str">
        <f t="shared" si="5"/>
        <v>#DIV/0!</v>
      </c>
      <c r="P85" s="85" t="str">
        <f t="shared" si="6"/>
        <v>#DIV/0!</v>
      </c>
      <c r="Q85" s="87" t="str">
        <f t="shared" si="7"/>
        <v>#DIV/0!</v>
      </c>
      <c r="R85" s="100">
        <f t="shared" si="107"/>
        <v>0</v>
      </c>
      <c r="S85" s="89" t="str">
        <f t="shared" si="9"/>
        <v>#DIV/0!</v>
      </c>
      <c r="T85" s="90"/>
      <c r="U85" s="90"/>
      <c r="V85" s="90"/>
      <c r="W85" s="90"/>
      <c r="X85" s="3"/>
      <c r="Y85" s="13"/>
      <c r="Z85" s="13"/>
    </row>
    <row r="86">
      <c r="A86" s="101" t="str">
        <f t="shared" ref="A86:A87" si="108">iferror(if(B86&gt;0,month(B86)&amp;"-"&amp;year(B86),B86),)</f>
        <v>1-2026</v>
      </c>
      <c r="B86" s="143">
        <v>46025.0</v>
      </c>
      <c r="C86" s="75" t="s">
        <v>35</v>
      </c>
      <c r="D86" s="102"/>
      <c r="E86" s="77"/>
      <c r="F86" s="77"/>
      <c r="G86" s="78" t="str">
        <f t="shared" si="1"/>
        <v>#DIV/0!</v>
      </c>
      <c r="H86" s="79" t="str">
        <f t="shared" si="2"/>
        <v>#DIV/0!</v>
      </c>
      <c r="I86" s="80" t="str">
        <f t="shared" si="3"/>
        <v>#DIV/0!</v>
      </c>
      <c r="J86" s="93">
        <v>166.48</v>
      </c>
      <c r="K86" s="82">
        <v>5772.0</v>
      </c>
      <c r="L86" s="83"/>
      <c r="M86" s="94">
        <v>154.0</v>
      </c>
      <c r="N86" s="85">
        <f t="shared" ref="N86:N87" si="111">J86/M86</f>
        <v>1.081038961</v>
      </c>
      <c r="O86" s="86">
        <f t="shared" si="5"/>
        <v>0.9250360404</v>
      </c>
      <c r="P86" s="85" t="str">
        <f t="shared" si="6"/>
        <v>#DIV/0!</v>
      </c>
      <c r="Q86" s="87" t="str">
        <f t="shared" si="7"/>
        <v>#DIV/0!</v>
      </c>
      <c r="R86" s="88">
        <f t="shared" si="107"/>
        <v>-154</v>
      </c>
      <c r="S86" s="89" t="str">
        <f t="shared" si="9"/>
        <v>#DIV/0!</v>
      </c>
      <c r="T86" s="90"/>
      <c r="U86" s="90"/>
      <c r="V86" s="90"/>
      <c r="W86" s="90"/>
      <c r="X86" s="3"/>
      <c r="Y86" s="13"/>
      <c r="Z86" s="13"/>
    </row>
    <row r="87">
      <c r="A87" s="13" t="str">
        <f t="shared" si="108"/>
        <v/>
      </c>
      <c r="B87" s="103" t="s">
        <v>52</v>
      </c>
      <c r="C87" s="61"/>
      <c r="D87" s="104">
        <f t="shared" ref="D87:F87" si="109">SUM(D83:D86)</f>
        <v>0</v>
      </c>
      <c r="E87" s="105">
        <f t="shared" si="109"/>
        <v>0</v>
      </c>
      <c r="F87" s="105">
        <f t="shared" si="109"/>
        <v>0</v>
      </c>
      <c r="G87" s="106" t="str">
        <f t="shared" si="1"/>
        <v>#DIV/0!</v>
      </c>
      <c r="H87" s="107" t="str">
        <f t="shared" si="2"/>
        <v>#DIV/0!</v>
      </c>
      <c r="I87" s="108" t="str">
        <f t="shared" si="3"/>
        <v>#DIV/0!</v>
      </c>
      <c r="J87" s="104">
        <f t="shared" ref="J87:M87" si="110">SUM(J83:J86)</f>
        <v>486.92</v>
      </c>
      <c r="K87" s="109">
        <f t="shared" si="110"/>
        <v>28181</v>
      </c>
      <c r="L87" s="105">
        <f t="shared" si="110"/>
        <v>0</v>
      </c>
      <c r="M87" s="110">
        <f t="shared" si="110"/>
        <v>571</v>
      </c>
      <c r="N87" s="111">
        <f t="shared" si="111"/>
        <v>0.8527495622</v>
      </c>
      <c r="O87" s="112">
        <f t="shared" si="5"/>
        <v>1.172677237</v>
      </c>
      <c r="P87" s="111" t="str">
        <f t="shared" si="6"/>
        <v>#DIV/0!</v>
      </c>
      <c r="Q87" s="113" t="str">
        <f t="shared" si="7"/>
        <v>#DIV/0!</v>
      </c>
      <c r="R87" s="114">
        <f>SUM(R83:R86)</f>
        <v>-571</v>
      </c>
      <c r="S87" s="115" t="str">
        <f t="shared" si="9"/>
        <v>#DIV/0!</v>
      </c>
      <c r="T87" s="73" t="str">
        <f t="shared" ref="T87:U87" si="112">IFERROR((D87-D82)/D87,)</f>
        <v/>
      </c>
      <c r="U87" s="73" t="str">
        <f t="shared" si="112"/>
        <v/>
      </c>
      <c r="V87" s="73" t="str">
        <f t="shared" ref="V87:W87" si="113">IFERROR((D87-#REF!)/D87, )</f>
        <v/>
      </c>
      <c r="W87" s="73" t="str">
        <f t="shared" si="113"/>
        <v/>
      </c>
      <c r="X87" s="13"/>
      <c r="Y87" s="13"/>
      <c r="Z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</sheetData>
  <mergeCells count="25">
    <mergeCell ref="S3:V3"/>
    <mergeCell ref="S4:U4"/>
    <mergeCell ref="S7:V7"/>
    <mergeCell ref="S8:U8"/>
    <mergeCell ref="S9:V9"/>
    <mergeCell ref="A1:B1"/>
    <mergeCell ref="A2:B2"/>
    <mergeCell ref="C2:W2"/>
    <mergeCell ref="F3:I3"/>
    <mergeCell ref="N3:Q3"/>
    <mergeCell ref="F4:H4"/>
    <mergeCell ref="F5:I5"/>
    <mergeCell ref="S5:V5"/>
    <mergeCell ref="F9:I9"/>
    <mergeCell ref="D10:I10"/>
    <mergeCell ref="L10:S10"/>
    <mergeCell ref="V10:W10"/>
    <mergeCell ref="X10:Y10"/>
    <mergeCell ref="N4:P4"/>
    <mergeCell ref="N5:Q5"/>
    <mergeCell ref="F7:I7"/>
    <mergeCell ref="N7:Q7"/>
    <mergeCell ref="F8:H8"/>
    <mergeCell ref="N8:P8"/>
    <mergeCell ref="N9:Q9"/>
  </mergeCells>
  <dataValidations>
    <dataValidation type="list" allowBlank="1" sqref="B12 B17 B22 B27 B32 B37 B42 B47 B52 B57 B62 B67 B72 B77 B82 B87">
      <formula1>"Previous Week,Current Week"</formula1>
    </dataValidation>
  </dataValidations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3" max="4" width="37.13"/>
    <col hidden="1" min="5" max="10" width="12.63"/>
  </cols>
  <sheetData>
    <row r="1">
      <c r="A1" s="1" t="s">
        <v>72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6"/>
      <c r="V1" s="6"/>
      <c r="W1" s="4"/>
      <c r="X1" s="4"/>
      <c r="Y1" s="4"/>
      <c r="Z1" s="4"/>
      <c r="AA1" s="4"/>
    </row>
    <row r="2">
      <c r="A2" s="7"/>
      <c r="B2" s="8"/>
      <c r="C2" s="231"/>
      <c r="D2" s="9" t="s">
        <v>1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8"/>
      <c r="Y2" s="11" t="str">
        <f>(#REF!+#REF!+#REF!+#REF!)-(monthly_reporting_2021!E17+monthly_reporting_2021!E23+monthly_reporting_2021!E29+monthly_reporting_2021!E35)</f>
        <v>#REF!</v>
      </c>
      <c r="Z2" s="12" t="str">
        <f>((#REF!+#REF!+#REF!+#REF!)-(monthly_reporting_2021!F17+monthly_reporting_2021!F23+monthly_reporting_2021!F29+monthly_reporting_2021!F35))/(#REF!+#REF!+#REF!+#REF!)</f>
        <v>#REF!</v>
      </c>
      <c r="AA2" s="3"/>
    </row>
    <row r="3">
      <c r="A3" s="13"/>
      <c r="B3" s="14"/>
      <c r="C3" s="3"/>
      <c r="D3" s="3"/>
      <c r="E3" s="13"/>
      <c r="F3" s="13"/>
      <c r="G3" s="15"/>
      <c r="H3" s="10"/>
      <c r="I3" s="10"/>
      <c r="J3" s="8"/>
      <c r="K3" s="13"/>
      <c r="L3" s="16" t="s">
        <v>2</v>
      </c>
      <c r="M3" s="13"/>
      <c r="N3" s="13"/>
      <c r="O3" s="17" t="s">
        <v>3</v>
      </c>
      <c r="P3" s="10"/>
      <c r="Q3" s="10"/>
      <c r="R3" s="8"/>
      <c r="S3" s="13"/>
      <c r="T3" s="18" t="s">
        <v>4</v>
      </c>
      <c r="U3" s="10"/>
      <c r="V3" s="10"/>
      <c r="W3" s="8"/>
      <c r="X3" s="3"/>
      <c r="Y3" s="3"/>
      <c r="Z3" s="3"/>
      <c r="AA3" s="3"/>
    </row>
    <row r="4">
      <c r="A4" s="13"/>
      <c r="B4" s="14"/>
      <c r="C4" s="19"/>
      <c r="D4" s="19"/>
      <c r="E4" s="13"/>
      <c r="F4" s="13"/>
      <c r="G4" s="20"/>
      <c r="H4" s="10"/>
      <c r="I4" s="8"/>
      <c r="J4" s="3"/>
      <c r="K4" s="13"/>
      <c r="L4" s="21">
        <f>VLOOKUP("Current Week",$B$11:$Y$61,match("SALES",$B$11:$Y$11,0),FALSE)</f>
        <v>0</v>
      </c>
      <c r="M4" s="13"/>
      <c r="N4" s="13"/>
      <c r="O4" s="22">
        <f>VLOOKUP("Current Week",$B$11:$Y$61,match("Units Sold",$B$11:$Y$11,0),FALSE)</f>
        <v>0</v>
      </c>
      <c r="P4" s="10"/>
      <c r="Q4" s="8"/>
      <c r="R4" s="3"/>
      <c r="S4" s="13"/>
      <c r="T4" s="22">
        <f>VLOOKUP("Current Week",$B$11:$Y$61,match("Ordered Items",$B$11:$Y$11,0),FALSE)</f>
        <v>0</v>
      </c>
      <c r="U4" s="10"/>
      <c r="V4" s="8"/>
      <c r="W4" s="3"/>
      <c r="X4" s="3"/>
      <c r="Y4" s="3"/>
      <c r="Z4" s="3"/>
      <c r="AA4" s="3"/>
    </row>
    <row r="5">
      <c r="A5" s="23"/>
      <c r="B5" s="24"/>
      <c r="C5" s="25"/>
      <c r="D5" s="25"/>
      <c r="E5" s="13"/>
      <c r="F5" s="13"/>
      <c r="G5" s="15"/>
      <c r="H5" s="10"/>
      <c r="I5" s="10"/>
      <c r="J5" s="8"/>
      <c r="K5" s="13"/>
      <c r="L5" s="26" t="str">
        <f>(L4-(VLOOKUP("Previous Week",$B$11:$Y$66,match("SALES",$B$11:$Y$11,0),FALSE)))/L4</f>
        <v>#DIV/0!</v>
      </c>
      <c r="M5" s="13"/>
      <c r="N5" s="13"/>
      <c r="O5" s="27" t="str">
        <f>(O4-(VLOOKUP("Previous Week",$B$11:$Y$66,match("Units Sold",$B$11:$Y$11,0),FALSE)))/O4</f>
        <v>#DIV/0!</v>
      </c>
      <c r="P5" s="10"/>
      <c r="Q5" s="10"/>
      <c r="R5" s="8"/>
      <c r="S5" s="13"/>
      <c r="T5" s="27" t="str">
        <f>(T4-(VLOOKUP("Previous Week",$B$11:$Y$66,match("Ordered Items",$B$11:$Y$11,0),FALSE)))/T4</f>
        <v>#DIV/0!</v>
      </c>
      <c r="U5" s="10"/>
      <c r="V5" s="10"/>
      <c r="W5" s="8"/>
      <c r="X5" s="28"/>
      <c r="Y5" s="28"/>
      <c r="Z5" s="28"/>
      <c r="AA5" s="28"/>
    </row>
    <row r="6">
      <c r="A6" s="13"/>
      <c r="B6" s="14"/>
      <c r="C6" s="3"/>
      <c r="D6" s="3"/>
      <c r="E6" s="13"/>
      <c r="F6" s="13"/>
      <c r="G6" s="3"/>
      <c r="H6" s="3"/>
      <c r="I6" s="3"/>
      <c r="J6" s="3"/>
      <c r="K6" s="13"/>
      <c r="L6" s="3"/>
      <c r="M6" s="13"/>
      <c r="N6" s="13"/>
      <c r="O6" s="3"/>
      <c r="P6" s="3"/>
      <c r="Q6" s="3"/>
      <c r="R6" s="3"/>
      <c r="S6" s="13"/>
      <c r="T6" s="3"/>
      <c r="U6" s="3"/>
      <c r="V6" s="3"/>
      <c r="W6" s="3"/>
      <c r="X6" s="3"/>
      <c r="Y6" s="3"/>
      <c r="Z6" s="3"/>
      <c r="AA6" s="3"/>
    </row>
    <row r="7">
      <c r="A7" s="13"/>
      <c r="B7" s="14"/>
      <c r="C7" s="3"/>
      <c r="D7" s="3"/>
      <c r="E7" s="13"/>
      <c r="F7" s="13"/>
      <c r="G7" s="29"/>
      <c r="H7" s="10"/>
      <c r="I7" s="10"/>
      <c r="J7" s="8"/>
      <c r="K7" s="13"/>
      <c r="L7" s="16" t="s">
        <v>5</v>
      </c>
      <c r="M7" s="13"/>
      <c r="N7" s="13"/>
      <c r="O7" s="18" t="s">
        <v>6</v>
      </c>
      <c r="P7" s="10"/>
      <c r="Q7" s="10"/>
      <c r="R7" s="8"/>
      <c r="S7" s="13"/>
      <c r="T7" s="18" t="s">
        <v>7</v>
      </c>
      <c r="U7" s="10"/>
      <c r="V7" s="10"/>
      <c r="W7" s="8"/>
      <c r="X7" s="3"/>
      <c r="Y7" s="3"/>
      <c r="Z7" s="3"/>
      <c r="AA7" s="3"/>
    </row>
    <row r="8">
      <c r="A8" s="13"/>
      <c r="B8" s="14"/>
      <c r="C8" s="19"/>
      <c r="D8" s="19"/>
      <c r="E8" s="13"/>
      <c r="F8" s="13"/>
      <c r="G8" s="30"/>
      <c r="H8" s="10"/>
      <c r="I8" s="8"/>
      <c r="J8" s="3"/>
      <c r="K8" s="13"/>
      <c r="L8" s="21">
        <f>VLOOKUP("Current Week",$B$11:$Y$61,match("AD SALES",$B$11:$Y$11,0),FALSE)</f>
        <v>0</v>
      </c>
      <c r="M8" s="13"/>
      <c r="N8" s="13"/>
      <c r="O8" s="31">
        <f>VLOOKUP("Current Week",$B$11:$Y$61,match("SP AD SPEND",$B$11:$Y$11,0),FALSE)</f>
        <v>106.4</v>
      </c>
      <c r="P8" s="10"/>
      <c r="Q8" s="8"/>
      <c r="R8" s="3"/>
      <c r="S8" s="13"/>
      <c r="T8" s="32" t="str">
        <f>O8/L8</f>
        <v>#DIV/0!</v>
      </c>
      <c r="U8" s="10"/>
      <c r="V8" s="8"/>
      <c r="W8" s="3"/>
      <c r="X8" s="3"/>
      <c r="Y8" s="3"/>
      <c r="Z8" s="3"/>
      <c r="AA8" s="3"/>
    </row>
    <row r="9">
      <c r="A9" s="13"/>
      <c r="B9" s="14"/>
      <c r="C9" s="33"/>
      <c r="D9" s="33"/>
      <c r="E9" s="13"/>
      <c r="F9" s="13"/>
      <c r="G9" s="34"/>
      <c r="J9" s="35"/>
      <c r="K9" s="13"/>
      <c r="L9" s="36" t="str">
        <f>(L8-(VLOOKUP("Previous Week",$B$11:$Y$66,match("AD SALES",$B$11:$Y$11,0),FALSE)))/L8</f>
        <v>#DIV/0!</v>
      </c>
      <c r="M9" s="13"/>
      <c r="N9" s="13"/>
      <c r="O9" s="37">
        <f>(O8-(VLOOKUP("Previous Week",$B$11:$Y$66,match("SP AD SPEND",$B$11:$Y$11,0),FALSE)))/O8</f>
        <v>1</v>
      </c>
      <c r="R9" s="35"/>
      <c r="S9" s="13"/>
      <c r="T9" s="37" t="str">
        <f>(T8-(VLOOKUP("Previous Week",$B$11:$Y$66,match("ACOS",$B$11:$Y$11,0),FALSE)))/T8</f>
        <v>#DIV/0!</v>
      </c>
      <c r="W9" s="35"/>
      <c r="X9" s="38"/>
      <c r="Y9" s="38"/>
      <c r="Z9" s="38"/>
      <c r="AA9" s="3"/>
    </row>
    <row r="10">
      <c r="A10" s="13"/>
      <c r="B10" s="39"/>
      <c r="C10" s="29"/>
      <c r="D10" s="40"/>
      <c r="E10" s="41" t="s">
        <v>8</v>
      </c>
      <c r="F10" s="42"/>
      <c r="G10" s="42"/>
      <c r="H10" s="42"/>
      <c r="I10" s="42"/>
      <c r="J10" s="43"/>
      <c r="K10" s="44"/>
      <c r="L10" s="45"/>
      <c r="M10" s="46" t="s">
        <v>9</v>
      </c>
      <c r="N10" s="42"/>
      <c r="O10" s="42"/>
      <c r="P10" s="42"/>
      <c r="Q10" s="42"/>
      <c r="R10" s="42"/>
      <c r="S10" s="42"/>
      <c r="T10" s="43"/>
      <c r="U10" s="47"/>
      <c r="V10" s="48"/>
      <c r="W10" s="49" t="s">
        <v>10</v>
      </c>
      <c r="X10" s="43"/>
      <c r="Y10" s="41" t="s">
        <v>11</v>
      </c>
      <c r="Z10" s="43"/>
      <c r="AA10" s="3"/>
    </row>
    <row r="11">
      <c r="A11" s="50" t="s">
        <v>12</v>
      </c>
      <c r="B11" s="51" t="s">
        <v>13</v>
      </c>
      <c r="C11" s="232" t="s">
        <v>14</v>
      </c>
      <c r="D11" s="53" t="s">
        <v>73</v>
      </c>
      <c r="E11" s="53" t="s">
        <v>15</v>
      </c>
      <c r="F11" s="54" t="s">
        <v>16</v>
      </c>
      <c r="G11" s="54" t="s">
        <v>17</v>
      </c>
      <c r="H11" s="54" t="s">
        <v>18</v>
      </c>
      <c r="I11" s="54" t="s">
        <v>19</v>
      </c>
      <c r="J11" s="50" t="s">
        <v>20</v>
      </c>
      <c r="K11" s="55" t="s">
        <v>21</v>
      </c>
      <c r="L11" s="54" t="s">
        <v>22</v>
      </c>
      <c r="M11" s="54" t="s">
        <v>23</v>
      </c>
      <c r="N11" s="54" t="s">
        <v>24</v>
      </c>
      <c r="O11" s="54" t="s">
        <v>7</v>
      </c>
      <c r="P11" s="54" t="s">
        <v>25</v>
      </c>
      <c r="Q11" s="50" t="s">
        <v>26</v>
      </c>
      <c r="R11" s="56" t="s">
        <v>27</v>
      </c>
      <c r="S11" s="57" t="s">
        <v>28</v>
      </c>
      <c r="T11" s="50" t="s">
        <v>29</v>
      </c>
      <c r="U11" s="58" t="s">
        <v>15</v>
      </c>
      <c r="V11" s="56" t="s">
        <v>30</v>
      </c>
      <c r="W11" s="58" t="s">
        <v>15</v>
      </c>
      <c r="X11" s="56" t="s">
        <v>30</v>
      </c>
      <c r="Y11" s="38"/>
      <c r="Z11" s="13"/>
      <c r="AA11" s="13"/>
    </row>
    <row r="12" collapsed="1">
      <c r="A12" s="59"/>
      <c r="B12" s="60"/>
      <c r="C12" s="233"/>
      <c r="D12" s="61"/>
      <c r="E12" s="62"/>
      <c r="F12" s="63"/>
      <c r="G12" s="63"/>
      <c r="H12" s="64"/>
      <c r="I12" s="65"/>
      <c r="J12" s="66"/>
      <c r="K12" s="62"/>
      <c r="L12" s="63"/>
      <c r="M12" s="63"/>
      <c r="N12" s="67"/>
      <c r="O12" s="68"/>
      <c r="P12" s="69"/>
      <c r="Q12" s="68"/>
      <c r="R12" s="70"/>
      <c r="S12" s="71"/>
      <c r="T12" s="72"/>
      <c r="U12" s="73"/>
      <c r="V12" s="73"/>
      <c r="W12" s="73"/>
      <c r="X12" s="73"/>
      <c r="Y12" s="13"/>
      <c r="Z12" s="13"/>
      <c r="AA12" s="13"/>
    </row>
    <row r="13" hidden="1" outlineLevel="1">
      <c r="A13" s="13"/>
      <c r="B13" s="74">
        <v>45921.0</v>
      </c>
      <c r="C13" s="234"/>
      <c r="D13" s="75" t="s">
        <v>31</v>
      </c>
      <c r="E13" s="76"/>
      <c r="F13" s="77"/>
      <c r="G13" s="77"/>
      <c r="H13" s="78" t="str">
        <f t="shared" ref="H13:H52" si="1">F13/G13</f>
        <v>#DIV/0!</v>
      </c>
      <c r="I13" s="79" t="str">
        <f t="shared" ref="I13:I52" si="2">E13/F13</f>
        <v>#DIV/0!</v>
      </c>
      <c r="J13" s="80" t="str">
        <f t="shared" ref="J13:J52" si="3">I13/H13</f>
        <v>#DIV/0!</v>
      </c>
      <c r="K13" s="81">
        <v>0.0</v>
      </c>
      <c r="L13" s="82">
        <v>0.0</v>
      </c>
      <c r="M13" s="83">
        <v>0.0</v>
      </c>
      <c r="N13" s="84">
        <v>0.0</v>
      </c>
      <c r="O13" s="85" t="str">
        <f t="shared" ref="O13:O14" si="4">K13/N13</f>
        <v>#DIV/0!</v>
      </c>
      <c r="P13" s="86" t="str">
        <f t="shared" ref="P13:P52" si="5">N13/K13</f>
        <v>#DIV/0!</v>
      </c>
      <c r="Q13" s="85" t="str">
        <f t="shared" ref="Q13:Q52" si="6">K13/E13</f>
        <v>#DIV/0!</v>
      </c>
      <c r="R13" s="87" t="str">
        <f t="shared" ref="R13:R52" si="7">N13/E13</f>
        <v>#DIV/0!</v>
      </c>
      <c r="S13" s="88">
        <f t="shared" ref="S13:S24" si="8">E13-N13</f>
        <v>0</v>
      </c>
      <c r="T13" s="89" t="str">
        <f t="shared" ref="T13:T52" si="9">K13/M13</f>
        <v>#DIV/0!</v>
      </c>
      <c r="U13" s="90"/>
      <c r="V13" s="90"/>
      <c r="W13" s="90"/>
      <c r="X13" s="90"/>
      <c r="Y13" s="3"/>
      <c r="Z13" s="13"/>
      <c r="AA13" s="13"/>
    </row>
    <row r="14" hidden="1" outlineLevel="1">
      <c r="A14" s="13"/>
      <c r="B14" s="91"/>
      <c r="C14" s="234"/>
      <c r="D14" s="75" t="s">
        <v>32</v>
      </c>
      <c r="E14" s="92"/>
      <c r="F14" s="77"/>
      <c r="G14" s="77"/>
      <c r="H14" s="78" t="str">
        <f t="shared" si="1"/>
        <v>#DIV/0!</v>
      </c>
      <c r="I14" s="79" t="str">
        <f t="shared" si="2"/>
        <v>#DIV/0!</v>
      </c>
      <c r="J14" s="80" t="str">
        <f t="shared" si="3"/>
        <v>#DIV/0!</v>
      </c>
      <c r="K14" s="93">
        <v>0.0</v>
      </c>
      <c r="L14" s="82">
        <v>0.0</v>
      </c>
      <c r="M14" s="83">
        <v>0.0</v>
      </c>
      <c r="N14" s="94">
        <v>0.0</v>
      </c>
      <c r="O14" s="85" t="str">
        <f t="shared" si="4"/>
        <v>#DIV/0!</v>
      </c>
      <c r="P14" s="86" t="str">
        <f t="shared" si="5"/>
        <v>#DIV/0!</v>
      </c>
      <c r="Q14" s="85" t="str">
        <f t="shared" si="6"/>
        <v>#DIV/0!</v>
      </c>
      <c r="R14" s="87" t="str">
        <f t="shared" si="7"/>
        <v>#DIV/0!</v>
      </c>
      <c r="S14" s="95">
        <f t="shared" si="8"/>
        <v>0</v>
      </c>
      <c r="T14" s="89" t="str">
        <f t="shared" si="9"/>
        <v>#DIV/0!</v>
      </c>
      <c r="U14" s="90"/>
      <c r="V14" s="90"/>
      <c r="W14" s="90"/>
      <c r="X14" s="90"/>
      <c r="Y14" s="3"/>
      <c r="Z14" s="13"/>
      <c r="AA14" s="13"/>
    </row>
    <row r="15" hidden="1" outlineLevel="1">
      <c r="A15" s="13"/>
      <c r="B15" s="96" t="s">
        <v>33</v>
      </c>
      <c r="C15" s="234"/>
      <c r="D15" s="75" t="s">
        <v>34</v>
      </c>
      <c r="E15" s="97"/>
      <c r="F15" s="77"/>
      <c r="G15" s="77"/>
      <c r="H15" s="78" t="str">
        <f t="shared" si="1"/>
        <v>#DIV/0!</v>
      </c>
      <c r="I15" s="79" t="str">
        <f t="shared" si="2"/>
        <v>#DIV/0!</v>
      </c>
      <c r="J15" s="80" t="str">
        <f t="shared" si="3"/>
        <v>#DIV/0!</v>
      </c>
      <c r="K15" s="98">
        <v>0.0</v>
      </c>
      <c r="L15" s="82">
        <v>0.0</v>
      </c>
      <c r="M15" s="83">
        <v>0.0</v>
      </c>
      <c r="N15" s="99">
        <v>0.0</v>
      </c>
      <c r="O15" s="85" t="str">
        <f>(K15/N15)</f>
        <v>#DIV/0!</v>
      </c>
      <c r="P15" s="86" t="str">
        <f t="shared" si="5"/>
        <v>#DIV/0!</v>
      </c>
      <c r="Q15" s="85" t="str">
        <f t="shared" si="6"/>
        <v>#DIV/0!</v>
      </c>
      <c r="R15" s="87" t="str">
        <f t="shared" si="7"/>
        <v>#DIV/0!</v>
      </c>
      <c r="S15" s="100">
        <f t="shared" si="8"/>
        <v>0</v>
      </c>
      <c r="T15" s="89" t="str">
        <f t="shared" si="9"/>
        <v>#DIV/0!</v>
      </c>
      <c r="U15" s="90"/>
      <c r="V15" s="90"/>
      <c r="W15" s="90"/>
      <c r="X15" s="90"/>
      <c r="Y15" s="3"/>
      <c r="Z15" s="13"/>
      <c r="AA15" s="13"/>
    </row>
    <row r="16" hidden="1" outlineLevel="1">
      <c r="A16" s="101" t="str">
        <f>iferror(if(B16&gt;0,month(B16)&amp;"-"&amp;year(B16),B16),)</f>
        <v>9-2025</v>
      </c>
      <c r="B16" s="74">
        <v>45927.0</v>
      </c>
      <c r="C16" s="234"/>
      <c r="D16" s="75" t="s">
        <v>35</v>
      </c>
      <c r="E16" s="102"/>
      <c r="F16" s="77"/>
      <c r="G16" s="77"/>
      <c r="H16" s="78" t="str">
        <f t="shared" si="1"/>
        <v>#DIV/0!</v>
      </c>
      <c r="I16" s="79" t="str">
        <f t="shared" si="2"/>
        <v>#DIV/0!</v>
      </c>
      <c r="J16" s="80" t="str">
        <f t="shared" si="3"/>
        <v>#DIV/0!</v>
      </c>
      <c r="K16" s="93">
        <v>0.0</v>
      </c>
      <c r="L16" s="82">
        <v>0.0</v>
      </c>
      <c r="M16" s="83">
        <v>0.0</v>
      </c>
      <c r="N16" s="94">
        <v>0.0</v>
      </c>
      <c r="O16" s="85" t="str">
        <f t="shared" ref="O16:O22" si="10">K16/N16</f>
        <v>#DIV/0!</v>
      </c>
      <c r="P16" s="86" t="str">
        <f t="shared" si="5"/>
        <v>#DIV/0!</v>
      </c>
      <c r="Q16" s="85" t="str">
        <f t="shared" si="6"/>
        <v>#DIV/0!</v>
      </c>
      <c r="R16" s="87" t="str">
        <f t="shared" si="7"/>
        <v>#DIV/0!</v>
      </c>
      <c r="S16" s="88">
        <f t="shared" si="8"/>
        <v>0</v>
      </c>
      <c r="T16" s="89" t="str">
        <f t="shared" si="9"/>
        <v>#DIV/0!</v>
      </c>
      <c r="U16" s="90"/>
      <c r="V16" s="90"/>
      <c r="W16" s="90"/>
      <c r="X16" s="90"/>
      <c r="Y16" s="3"/>
      <c r="Z16" s="13"/>
      <c r="AA16" s="13"/>
    </row>
    <row r="17" hidden="1" outlineLevel="1">
      <c r="A17" s="13"/>
      <c r="B17" s="143">
        <v>46005.0</v>
      </c>
      <c r="C17" s="235" t="s">
        <v>48</v>
      </c>
      <c r="D17" s="236" t="s">
        <v>74</v>
      </c>
      <c r="E17" s="76"/>
      <c r="F17" s="77"/>
      <c r="G17" s="77"/>
      <c r="H17" s="78" t="str">
        <f t="shared" si="1"/>
        <v>#DIV/0!</v>
      </c>
      <c r="I17" s="79" t="str">
        <f t="shared" si="2"/>
        <v>#DIV/0!</v>
      </c>
      <c r="J17" s="80" t="str">
        <f t="shared" si="3"/>
        <v>#DIV/0!</v>
      </c>
      <c r="K17" s="93">
        <v>0.0</v>
      </c>
      <c r="L17" s="82">
        <v>0.0</v>
      </c>
      <c r="M17" s="83"/>
      <c r="N17" s="93">
        <v>0.0</v>
      </c>
      <c r="O17" s="85" t="str">
        <f t="shared" si="10"/>
        <v>#DIV/0!</v>
      </c>
      <c r="P17" s="86" t="str">
        <f t="shared" si="5"/>
        <v>#DIV/0!</v>
      </c>
      <c r="Q17" s="85" t="str">
        <f t="shared" si="6"/>
        <v>#DIV/0!</v>
      </c>
      <c r="R17" s="87" t="str">
        <f t="shared" si="7"/>
        <v>#DIV/0!</v>
      </c>
      <c r="S17" s="95">
        <f t="shared" si="8"/>
        <v>0</v>
      </c>
      <c r="T17" s="89" t="str">
        <f t="shared" si="9"/>
        <v>#DIV/0!</v>
      </c>
      <c r="U17" s="90"/>
      <c r="V17" s="90"/>
      <c r="W17" s="90"/>
      <c r="X17" s="90"/>
      <c r="Y17" s="3"/>
      <c r="Z17" s="13"/>
      <c r="AA17" s="13"/>
    </row>
    <row r="18" hidden="1" outlineLevel="1">
      <c r="A18" s="13"/>
      <c r="B18" s="91"/>
      <c r="C18" s="237"/>
      <c r="D18" s="236" t="s">
        <v>75</v>
      </c>
      <c r="E18" s="92"/>
      <c r="F18" s="77"/>
      <c r="G18" s="77"/>
      <c r="H18" s="78" t="str">
        <f t="shared" si="1"/>
        <v>#DIV/0!</v>
      </c>
      <c r="I18" s="79" t="str">
        <f t="shared" si="2"/>
        <v>#DIV/0!</v>
      </c>
      <c r="J18" s="80" t="str">
        <f t="shared" si="3"/>
        <v>#DIV/0!</v>
      </c>
      <c r="K18" s="93">
        <v>0.0</v>
      </c>
      <c r="L18" s="82">
        <v>0.0</v>
      </c>
      <c r="M18" s="146"/>
      <c r="N18" s="93">
        <v>0.0</v>
      </c>
      <c r="O18" s="85" t="str">
        <f t="shared" si="10"/>
        <v>#DIV/0!</v>
      </c>
      <c r="P18" s="86" t="str">
        <f t="shared" si="5"/>
        <v>#DIV/0!</v>
      </c>
      <c r="Q18" s="85" t="str">
        <f t="shared" si="6"/>
        <v>#DIV/0!</v>
      </c>
      <c r="R18" s="87" t="str">
        <f t="shared" si="7"/>
        <v>#DIV/0!</v>
      </c>
      <c r="S18" s="95">
        <f t="shared" si="8"/>
        <v>0</v>
      </c>
      <c r="T18" s="89" t="str">
        <f t="shared" si="9"/>
        <v>#DIV/0!</v>
      </c>
      <c r="U18" s="90"/>
      <c r="V18" s="90"/>
      <c r="W18" s="90"/>
      <c r="X18" s="90"/>
      <c r="Y18" s="3"/>
      <c r="Z18" s="13"/>
      <c r="AA18" s="13"/>
    </row>
    <row r="19" hidden="1" outlineLevel="1">
      <c r="A19" s="13"/>
      <c r="B19" s="91"/>
      <c r="C19" s="238"/>
      <c r="D19" s="236" t="s">
        <v>76</v>
      </c>
      <c r="E19" s="92"/>
      <c r="F19" s="77"/>
      <c r="G19" s="77"/>
      <c r="H19" s="78" t="str">
        <f t="shared" si="1"/>
        <v>#DIV/0!</v>
      </c>
      <c r="I19" s="79" t="str">
        <f t="shared" si="2"/>
        <v>#DIV/0!</v>
      </c>
      <c r="J19" s="80" t="str">
        <f t="shared" si="3"/>
        <v>#DIV/0!</v>
      </c>
      <c r="K19" s="93">
        <v>0.0</v>
      </c>
      <c r="L19" s="82">
        <v>0.0</v>
      </c>
      <c r="M19" s="83"/>
      <c r="N19" s="93">
        <v>0.0</v>
      </c>
      <c r="O19" s="85" t="str">
        <f t="shared" si="10"/>
        <v>#DIV/0!</v>
      </c>
      <c r="P19" s="86" t="str">
        <f t="shared" si="5"/>
        <v>#DIV/0!</v>
      </c>
      <c r="Q19" s="85" t="str">
        <f t="shared" si="6"/>
        <v>#DIV/0!</v>
      </c>
      <c r="R19" s="87" t="str">
        <f t="shared" si="7"/>
        <v>#DIV/0!</v>
      </c>
      <c r="S19" s="95">
        <f t="shared" si="8"/>
        <v>0</v>
      </c>
      <c r="T19" s="89" t="str">
        <f t="shared" si="9"/>
        <v>#DIV/0!</v>
      </c>
      <c r="U19" s="90"/>
      <c r="V19" s="90"/>
      <c r="W19" s="90"/>
      <c r="X19" s="90"/>
      <c r="Y19" s="3"/>
      <c r="Z19" s="13"/>
      <c r="AA19" s="13"/>
    </row>
    <row r="20" hidden="1" outlineLevel="1">
      <c r="A20" s="13"/>
      <c r="B20" s="91"/>
      <c r="C20" s="239" t="s">
        <v>46</v>
      </c>
      <c r="D20" s="236" t="s">
        <v>77</v>
      </c>
      <c r="E20" s="92"/>
      <c r="F20" s="77"/>
      <c r="G20" s="77"/>
      <c r="H20" s="78" t="str">
        <f t="shared" si="1"/>
        <v>#DIV/0!</v>
      </c>
      <c r="I20" s="79" t="str">
        <f t="shared" si="2"/>
        <v>#DIV/0!</v>
      </c>
      <c r="J20" s="80" t="str">
        <f t="shared" si="3"/>
        <v>#DIV/0!</v>
      </c>
      <c r="K20" s="98">
        <v>0.0</v>
      </c>
      <c r="L20" s="82">
        <v>0.0</v>
      </c>
      <c r="M20" s="83"/>
      <c r="N20" s="98">
        <v>0.0</v>
      </c>
      <c r="O20" s="85" t="str">
        <f t="shared" si="10"/>
        <v>#DIV/0!</v>
      </c>
      <c r="P20" s="86" t="str">
        <f t="shared" si="5"/>
        <v>#DIV/0!</v>
      </c>
      <c r="Q20" s="85" t="str">
        <f t="shared" si="6"/>
        <v>#DIV/0!</v>
      </c>
      <c r="R20" s="87" t="str">
        <f t="shared" si="7"/>
        <v>#DIV/0!</v>
      </c>
      <c r="S20" s="100">
        <f t="shared" si="8"/>
        <v>0</v>
      </c>
      <c r="T20" s="89" t="str">
        <f t="shared" si="9"/>
        <v>#DIV/0!</v>
      </c>
      <c r="U20" s="90"/>
      <c r="V20" s="90"/>
      <c r="W20" s="90"/>
      <c r="X20" s="90"/>
      <c r="Y20" s="3"/>
      <c r="Z20" s="13"/>
      <c r="AA20" s="13"/>
    </row>
    <row r="21" hidden="1" outlineLevel="1">
      <c r="A21" s="13"/>
      <c r="B21" s="91"/>
      <c r="C21" s="237"/>
      <c r="D21" s="236" t="s">
        <v>78</v>
      </c>
      <c r="E21" s="92"/>
      <c r="F21" s="77"/>
      <c r="G21" s="77"/>
      <c r="H21" s="78" t="str">
        <f t="shared" si="1"/>
        <v>#DIV/0!</v>
      </c>
      <c r="I21" s="79" t="str">
        <f t="shared" si="2"/>
        <v>#DIV/0!</v>
      </c>
      <c r="J21" s="80" t="str">
        <f t="shared" si="3"/>
        <v>#DIV/0!</v>
      </c>
      <c r="K21" s="98">
        <v>0.0</v>
      </c>
      <c r="L21" s="82">
        <v>0.0</v>
      </c>
      <c r="M21" s="83"/>
      <c r="N21" s="99">
        <v>0.0</v>
      </c>
      <c r="O21" s="85" t="str">
        <f t="shared" si="10"/>
        <v>#DIV/0!</v>
      </c>
      <c r="P21" s="86" t="str">
        <f t="shared" si="5"/>
        <v>#DIV/0!</v>
      </c>
      <c r="Q21" s="85" t="str">
        <f t="shared" si="6"/>
        <v>#DIV/0!</v>
      </c>
      <c r="R21" s="87" t="str">
        <f t="shared" si="7"/>
        <v>#DIV/0!</v>
      </c>
      <c r="S21" s="100">
        <f t="shared" si="8"/>
        <v>0</v>
      </c>
      <c r="T21" s="89" t="str">
        <f t="shared" si="9"/>
        <v>#DIV/0!</v>
      </c>
      <c r="U21" s="90"/>
      <c r="V21" s="90"/>
      <c r="W21" s="90"/>
      <c r="X21" s="90"/>
      <c r="Y21" s="3"/>
      <c r="Z21" s="13"/>
      <c r="AA21" s="13"/>
    </row>
    <row r="22" hidden="1" outlineLevel="1">
      <c r="A22" s="13"/>
      <c r="B22" s="91"/>
      <c r="C22" s="237"/>
      <c r="D22" s="236" t="s">
        <v>79</v>
      </c>
      <c r="E22" s="92"/>
      <c r="F22" s="77"/>
      <c r="G22" s="77"/>
      <c r="H22" s="78" t="str">
        <f t="shared" si="1"/>
        <v>#DIV/0!</v>
      </c>
      <c r="I22" s="79" t="str">
        <f t="shared" si="2"/>
        <v>#DIV/0!</v>
      </c>
      <c r="J22" s="80" t="str">
        <f t="shared" si="3"/>
        <v>#DIV/0!</v>
      </c>
      <c r="K22" s="98">
        <v>0.0</v>
      </c>
      <c r="L22" s="82">
        <v>0.0</v>
      </c>
      <c r="M22" s="83"/>
      <c r="N22" s="99">
        <v>0.0</v>
      </c>
      <c r="O22" s="85" t="str">
        <f t="shared" si="10"/>
        <v>#DIV/0!</v>
      </c>
      <c r="P22" s="86" t="str">
        <f t="shared" si="5"/>
        <v>#DIV/0!</v>
      </c>
      <c r="Q22" s="85" t="str">
        <f t="shared" si="6"/>
        <v>#DIV/0!</v>
      </c>
      <c r="R22" s="87" t="str">
        <f t="shared" si="7"/>
        <v>#DIV/0!</v>
      </c>
      <c r="S22" s="100">
        <f t="shared" si="8"/>
        <v>0</v>
      </c>
      <c r="T22" s="89" t="str">
        <f t="shared" si="9"/>
        <v>#DIV/0!</v>
      </c>
      <c r="U22" s="90"/>
      <c r="V22" s="90"/>
      <c r="W22" s="90"/>
      <c r="X22" s="90"/>
      <c r="Y22" s="3"/>
      <c r="Z22" s="13"/>
      <c r="AA22" s="13"/>
    </row>
    <row r="23" hidden="1" outlineLevel="1">
      <c r="A23" s="13"/>
      <c r="B23" s="148" t="s">
        <v>33</v>
      </c>
      <c r="C23" s="237"/>
      <c r="D23" s="236" t="s">
        <v>80</v>
      </c>
      <c r="E23" s="97"/>
      <c r="F23" s="77"/>
      <c r="G23" s="77"/>
      <c r="H23" s="78" t="str">
        <f t="shared" si="1"/>
        <v>#DIV/0!</v>
      </c>
      <c r="I23" s="79" t="str">
        <f t="shared" si="2"/>
        <v>#DIV/0!</v>
      </c>
      <c r="J23" s="80" t="str">
        <f t="shared" si="3"/>
        <v>#DIV/0!</v>
      </c>
      <c r="K23" s="98">
        <v>0.0</v>
      </c>
      <c r="L23" s="82">
        <v>0.0</v>
      </c>
      <c r="M23" s="83"/>
      <c r="N23" s="99">
        <v>0.0</v>
      </c>
      <c r="O23" s="85" t="str">
        <f>(K23/N23)</f>
        <v>#DIV/0!</v>
      </c>
      <c r="P23" s="86" t="str">
        <f t="shared" si="5"/>
        <v>#DIV/0!</v>
      </c>
      <c r="Q23" s="85" t="str">
        <f t="shared" si="6"/>
        <v>#DIV/0!</v>
      </c>
      <c r="R23" s="87" t="str">
        <f t="shared" si="7"/>
        <v>#DIV/0!</v>
      </c>
      <c r="S23" s="100">
        <f t="shared" si="8"/>
        <v>0</v>
      </c>
      <c r="T23" s="89" t="str">
        <f t="shared" si="9"/>
        <v>#DIV/0!</v>
      </c>
      <c r="U23" s="90"/>
      <c r="V23" s="90"/>
      <c r="W23" s="90"/>
      <c r="X23" s="90"/>
      <c r="Y23" s="3"/>
      <c r="Z23" s="13"/>
      <c r="AA23" s="13"/>
    </row>
    <row r="24" hidden="1" outlineLevel="1">
      <c r="A24" s="101" t="str">
        <f t="shared" ref="A24:A25" si="11">iferror(if(B24&gt;0,month(B24)&amp;"-"&amp;year(B24),B24),)</f>
        <v>12-2025</v>
      </c>
      <c r="B24" s="143">
        <v>46011.0</v>
      </c>
      <c r="C24" s="238"/>
      <c r="D24" s="236" t="s">
        <v>81</v>
      </c>
      <c r="E24" s="102"/>
      <c r="F24" s="77"/>
      <c r="G24" s="77"/>
      <c r="H24" s="78" t="str">
        <f t="shared" si="1"/>
        <v>#DIV/0!</v>
      </c>
      <c r="I24" s="79" t="str">
        <f t="shared" si="2"/>
        <v>#DIV/0!</v>
      </c>
      <c r="J24" s="80" t="str">
        <f t="shared" si="3"/>
        <v>#DIV/0!</v>
      </c>
      <c r="K24" s="98">
        <v>0.0</v>
      </c>
      <c r="L24" s="82">
        <v>0.0</v>
      </c>
      <c r="M24" s="83"/>
      <c r="N24" s="99">
        <v>0.0</v>
      </c>
      <c r="O24" s="85" t="str">
        <f t="shared" ref="O24:O31" si="14">K24/N24</f>
        <v>#DIV/0!</v>
      </c>
      <c r="P24" s="86" t="str">
        <f t="shared" si="5"/>
        <v>#DIV/0!</v>
      </c>
      <c r="Q24" s="85" t="str">
        <f t="shared" si="6"/>
        <v>#DIV/0!</v>
      </c>
      <c r="R24" s="87" t="str">
        <f t="shared" si="7"/>
        <v>#DIV/0!</v>
      </c>
      <c r="S24" s="100">
        <f t="shared" si="8"/>
        <v>0</v>
      </c>
      <c r="T24" s="89" t="str">
        <f t="shared" si="9"/>
        <v>#DIV/0!</v>
      </c>
      <c r="U24" s="90"/>
      <c r="V24" s="90"/>
      <c r="W24" s="90"/>
      <c r="X24" s="90"/>
      <c r="Y24" s="3"/>
      <c r="Z24" s="13"/>
      <c r="AA24" s="13"/>
    </row>
    <row r="25" collapsed="1">
      <c r="A25" s="116" t="str">
        <f t="shared" si="11"/>
        <v/>
      </c>
      <c r="B25" s="137" t="s">
        <v>49</v>
      </c>
      <c r="C25" s="240"/>
      <c r="D25" s="138"/>
      <c r="E25" s="104">
        <f t="shared" ref="E25:G25" si="12">SUM(E17:E24)</f>
        <v>0</v>
      </c>
      <c r="F25" s="105">
        <f t="shared" si="12"/>
        <v>0</v>
      </c>
      <c r="G25" s="105">
        <f t="shared" si="12"/>
        <v>0</v>
      </c>
      <c r="H25" s="106" t="str">
        <f t="shared" si="1"/>
        <v>#DIV/0!</v>
      </c>
      <c r="I25" s="107" t="str">
        <f t="shared" si="2"/>
        <v>#DIV/0!</v>
      </c>
      <c r="J25" s="108" t="str">
        <f t="shared" si="3"/>
        <v>#DIV/0!</v>
      </c>
      <c r="K25" s="104">
        <f t="shared" ref="K25:N25" si="13">SUM(K17:K24)</f>
        <v>0</v>
      </c>
      <c r="L25" s="109">
        <f t="shared" si="13"/>
        <v>0</v>
      </c>
      <c r="M25" s="139">
        <f t="shared" si="13"/>
        <v>0</v>
      </c>
      <c r="N25" s="110">
        <f t="shared" si="13"/>
        <v>0</v>
      </c>
      <c r="O25" s="111" t="str">
        <f t="shared" si="14"/>
        <v>#DIV/0!</v>
      </c>
      <c r="P25" s="112" t="str">
        <f t="shared" si="5"/>
        <v>#DIV/0!</v>
      </c>
      <c r="Q25" s="111" t="str">
        <f t="shared" si="6"/>
        <v>#DIV/0!</v>
      </c>
      <c r="R25" s="113" t="str">
        <f t="shared" si="7"/>
        <v>#DIV/0!</v>
      </c>
      <c r="S25" s="114">
        <f>SUM(S17:S24)</f>
        <v>0</v>
      </c>
      <c r="T25" s="115" t="str">
        <f t="shared" si="9"/>
        <v>#DIV/0!</v>
      </c>
      <c r="U25" s="140" t="str">
        <f t="shared" ref="U25:V25" si="15">IFERROR((E25-#REF!)/E25,)</f>
        <v/>
      </c>
      <c r="V25" s="140" t="str">
        <f t="shared" si="15"/>
        <v/>
      </c>
      <c r="W25" s="140" t="str">
        <f t="shared" ref="W25:X25" si="16">IFERROR((E25-#REF!)/E25, )</f>
        <v/>
      </c>
      <c r="X25" s="140" t="str">
        <f t="shared" si="16"/>
        <v/>
      </c>
      <c r="Y25" s="116"/>
      <c r="Z25" s="116"/>
      <c r="AA25" s="116"/>
    </row>
    <row r="26" hidden="1" outlineLevel="1">
      <c r="A26" s="116"/>
      <c r="B26" s="74">
        <v>46005.0</v>
      </c>
      <c r="C26" s="241" t="s">
        <v>48</v>
      </c>
      <c r="D26" s="242" t="s">
        <v>74</v>
      </c>
      <c r="E26" s="118"/>
      <c r="F26" s="119"/>
      <c r="G26" s="119"/>
      <c r="H26" s="78" t="str">
        <f t="shared" si="1"/>
        <v>#DIV/0!</v>
      </c>
      <c r="I26" s="79" t="str">
        <f t="shared" si="2"/>
        <v>#DIV/0!</v>
      </c>
      <c r="J26" s="80" t="str">
        <f t="shared" si="3"/>
        <v>#DIV/0!</v>
      </c>
      <c r="K26" s="128">
        <v>0.0</v>
      </c>
      <c r="L26" s="121">
        <v>0.0</v>
      </c>
      <c r="M26" s="135"/>
      <c r="N26" s="128">
        <v>0.0</v>
      </c>
      <c r="O26" s="85" t="str">
        <f t="shared" si="14"/>
        <v>#DIV/0!</v>
      </c>
      <c r="P26" s="86" t="str">
        <f t="shared" si="5"/>
        <v>#DIV/0!</v>
      </c>
      <c r="Q26" s="85" t="str">
        <f t="shared" si="6"/>
        <v>#DIV/0!</v>
      </c>
      <c r="R26" s="87" t="str">
        <f t="shared" si="7"/>
        <v>#DIV/0!</v>
      </c>
      <c r="S26" s="95">
        <f t="shared" ref="S26:S33" si="17">E26-N26</f>
        <v>0</v>
      </c>
      <c r="T26" s="89" t="str">
        <f t="shared" si="9"/>
        <v>#DIV/0!</v>
      </c>
      <c r="U26" s="124"/>
      <c r="V26" s="124"/>
      <c r="W26" s="124"/>
      <c r="X26" s="124"/>
      <c r="Y26" s="125"/>
      <c r="Z26" s="116"/>
      <c r="AA26" s="116"/>
    </row>
    <row r="27" hidden="1" outlineLevel="1">
      <c r="A27" s="116"/>
      <c r="B27" s="126"/>
      <c r="C27" s="237"/>
      <c r="D27" s="242" t="s">
        <v>75</v>
      </c>
      <c r="E27" s="127"/>
      <c r="F27" s="119"/>
      <c r="G27" s="119"/>
      <c r="H27" s="78" t="str">
        <f t="shared" si="1"/>
        <v>#DIV/0!</v>
      </c>
      <c r="I27" s="79" t="str">
        <f t="shared" si="2"/>
        <v>#DIV/0!</v>
      </c>
      <c r="J27" s="80" t="str">
        <f t="shared" si="3"/>
        <v>#DIV/0!</v>
      </c>
      <c r="K27" s="128">
        <v>0.0</v>
      </c>
      <c r="L27" s="121">
        <v>0.0</v>
      </c>
      <c r="M27" s="135"/>
      <c r="N27" s="128">
        <v>0.0</v>
      </c>
      <c r="O27" s="85" t="str">
        <f t="shared" si="14"/>
        <v>#DIV/0!</v>
      </c>
      <c r="P27" s="86" t="str">
        <f t="shared" si="5"/>
        <v>#DIV/0!</v>
      </c>
      <c r="Q27" s="85" t="str">
        <f t="shared" si="6"/>
        <v>#DIV/0!</v>
      </c>
      <c r="R27" s="87" t="str">
        <f t="shared" si="7"/>
        <v>#DIV/0!</v>
      </c>
      <c r="S27" s="95">
        <f t="shared" si="17"/>
        <v>0</v>
      </c>
      <c r="T27" s="89" t="str">
        <f t="shared" si="9"/>
        <v>#DIV/0!</v>
      </c>
      <c r="U27" s="124"/>
      <c r="V27" s="124"/>
      <c r="W27" s="124"/>
      <c r="X27" s="124"/>
      <c r="Y27" s="125"/>
      <c r="Z27" s="116"/>
      <c r="AA27" s="116"/>
    </row>
    <row r="28" hidden="1" outlineLevel="1">
      <c r="A28" s="116"/>
      <c r="B28" s="126"/>
      <c r="C28" s="238"/>
      <c r="D28" s="242" t="s">
        <v>76</v>
      </c>
      <c r="E28" s="127"/>
      <c r="F28" s="119"/>
      <c r="G28" s="119"/>
      <c r="H28" s="78" t="str">
        <f t="shared" si="1"/>
        <v>#DIV/0!</v>
      </c>
      <c r="I28" s="79" t="str">
        <f t="shared" si="2"/>
        <v>#DIV/0!</v>
      </c>
      <c r="J28" s="80" t="str">
        <f t="shared" si="3"/>
        <v>#DIV/0!</v>
      </c>
      <c r="K28" s="128">
        <v>0.0</v>
      </c>
      <c r="L28" s="121">
        <v>0.0</v>
      </c>
      <c r="M28" s="135"/>
      <c r="N28" s="128">
        <v>0.0</v>
      </c>
      <c r="O28" s="85" t="str">
        <f t="shared" si="14"/>
        <v>#DIV/0!</v>
      </c>
      <c r="P28" s="86" t="str">
        <f t="shared" si="5"/>
        <v>#DIV/0!</v>
      </c>
      <c r="Q28" s="85" t="str">
        <f t="shared" si="6"/>
        <v>#DIV/0!</v>
      </c>
      <c r="R28" s="87" t="str">
        <f t="shared" si="7"/>
        <v>#DIV/0!</v>
      </c>
      <c r="S28" s="95">
        <f t="shared" si="17"/>
        <v>0</v>
      </c>
      <c r="T28" s="89" t="str">
        <f t="shared" si="9"/>
        <v>#DIV/0!</v>
      </c>
      <c r="U28" s="124"/>
      <c r="V28" s="124"/>
      <c r="W28" s="124"/>
      <c r="X28" s="124"/>
      <c r="Y28" s="125"/>
      <c r="Z28" s="116"/>
      <c r="AA28" s="116"/>
    </row>
    <row r="29" hidden="1" outlineLevel="1">
      <c r="A29" s="116"/>
      <c r="B29" s="126"/>
      <c r="C29" s="243" t="s">
        <v>46</v>
      </c>
      <c r="D29" s="242" t="s">
        <v>77</v>
      </c>
      <c r="E29" s="127"/>
      <c r="F29" s="119"/>
      <c r="G29" s="119"/>
      <c r="H29" s="78" t="str">
        <f t="shared" si="1"/>
        <v>#DIV/0!</v>
      </c>
      <c r="I29" s="79" t="str">
        <f t="shared" si="2"/>
        <v>#DIV/0!</v>
      </c>
      <c r="J29" s="80" t="str">
        <f t="shared" si="3"/>
        <v>#DIV/0!</v>
      </c>
      <c r="K29" s="131">
        <v>0.0</v>
      </c>
      <c r="L29" s="121">
        <v>0.0</v>
      </c>
      <c r="M29" s="135"/>
      <c r="N29" s="131">
        <v>0.0</v>
      </c>
      <c r="O29" s="85" t="str">
        <f t="shared" si="14"/>
        <v>#DIV/0!</v>
      </c>
      <c r="P29" s="86" t="str">
        <f t="shared" si="5"/>
        <v>#DIV/0!</v>
      </c>
      <c r="Q29" s="85" t="str">
        <f t="shared" si="6"/>
        <v>#DIV/0!</v>
      </c>
      <c r="R29" s="87" t="str">
        <f t="shared" si="7"/>
        <v>#DIV/0!</v>
      </c>
      <c r="S29" s="100">
        <f t="shared" si="17"/>
        <v>0</v>
      </c>
      <c r="T29" s="89" t="str">
        <f t="shared" si="9"/>
        <v>#DIV/0!</v>
      </c>
      <c r="U29" s="124"/>
      <c r="V29" s="124"/>
      <c r="W29" s="124"/>
      <c r="X29" s="124"/>
      <c r="Y29" s="125"/>
      <c r="Z29" s="116"/>
      <c r="AA29" s="116"/>
    </row>
    <row r="30" hidden="1" outlineLevel="1">
      <c r="A30" s="116"/>
      <c r="B30" s="126"/>
      <c r="C30" s="237"/>
      <c r="D30" s="242" t="s">
        <v>78</v>
      </c>
      <c r="E30" s="127"/>
      <c r="F30" s="119"/>
      <c r="G30" s="119"/>
      <c r="H30" s="78" t="str">
        <f t="shared" si="1"/>
        <v>#DIV/0!</v>
      </c>
      <c r="I30" s="79" t="str">
        <f t="shared" si="2"/>
        <v>#DIV/0!</v>
      </c>
      <c r="J30" s="80" t="str">
        <f t="shared" si="3"/>
        <v>#DIV/0!</v>
      </c>
      <c r="K30" s="131">
        <v>0.0</v>
      </c>
      <c r="L30" s="121">
        <v>0.0</v>
      </c>
      <c r="M30" s="135"/>
      <c r="N30" s="132">
        <v>0.0</v>
      </c>
      <c r="O30" s="85" t="str">
        <f t="shared" si="14"/>
        <v>#DIV/0!</v>
      </c>
      <c r="P30" s="86" t="str">
        <f t="shared" si="5"/>
        <v>#DIV/0!</v>
      </c>
      <c r="Q30" s="85" t="str">
        <f t="shared" si="6"/>
        <v>#DIV/0!</v>
      </c>
      <c r="R30" s="87" t="str">
        <f t="shared" si="7"/>
        <v>#DIV/0!</v>
      </c>
      <c r="S30" s="100">
        <f t="shared" si="17"/>
        <v>0</v>
      </c>
      <c r="T30" s="89" t="str">
        <f t="shared" si="9"/>
        <v>#DIV/0!</v>
      </c>
      <c r="U30" s="124"/>
      <c r="V30" s="124"/>
      <c r="W30" s="124"/>
      <c r="X30" s="124"/>
      <c r="Y30" s="125"/>
      <c r="Z30" s="116"/>
      <c r="AA30" s="116"/>
    </row>
    <row r="31" hidden="1" outlineLevel="1">
      <c r="A31" s="116"/>
      <c r="B31" s="126"/>
      <c r="C31" s="237"/>
      <c r="D31" s="242" t="s">
        <v>79</v>
      </c>
      <c r="E31" s="127"/>
      <c r="F31" s="119"/>
      <c r="G31" s="119"/>
      <c r="H31" s="78" t="str">
        <f t="shared" si="1"/>
        <v>#DIV/0!</v>
      </c>
      <c r="I31" s="79" t="str">
        <f t="shared" si="2"/>
        <v>#DIV/0!</v>
      </c>
      <c r="J31" s="80" t="str">
        <f t="shared" si="3"/>
        <v>#DIV/0!</v>
      </c>
      <c r="K31" s="131">
        <v>0.0</v>
      </c>
      <c r="L31" s="121">
        <v>0.0</v>
      </c>
      <c r="M31" s="135"/>
      <c r="N31" s="132">
        <v>0.0</v>
      </c>
      <c r="O31" s="85" t="str">
        <f t="shared" si="14"/>
        <v>#DIV/0!</v>
      </c>
      <c r="P31" s="86" t="str">
        <f t="shared" si="5"/>
        <v>#DIV/0!</v>
      </c>
      <c r="Q31" s="85" t="str">
        <f t="shared" si="6"/>
        <v>#DIV/0!</v>
      </c>
      <c r="R31" s="87" t="str">
        <f t="shared" si="7"/>
        <v>#DIV/0!</v>
      </c>
      <c r="S31" s="100">
        <f t="shared" si="17"/>
        <v>0</v>
      </c>
      <c r="T31" s="89" t="str">
        <f t="shared" si="9"/>
        <v>#DIV/0!</v>
      </c>
      <c r="U31" s="124"/>
      <c r="V31" s="124"/>
      <c r="W31" s="124"/>
      <c r="X31" s="124"/>
      <c r="Y31" s="125"/>
      <c r="Z31" s="116"/>
      <c r="AA31" s="116"/>
    </row>
    <row r="32" hidden="1" outlineLevel="1">
      <c r="A32" s="116"/>
      <c r="B32" s="74" t="s">
        <v>33</v>
      </c>
      <c r="C32" s="237"/>
      <c r="D32" s="242" t="s">
        <v>80</v>
      </c>
      <c r="E32" s="130"/>
      <c r="F32" s="119"/>
      <c r="G32" s="119"/>
      <c r="H32" s="78" t="str">
        <f t="shared" si="1"/>
        <v>#DIV/0!</v>
      </c>
      <c r="I32" s="79" t="str">
        <f t="shared" si="2"/>
        <v>#DIV/0!</v>
      </c>
      <c r="J32" s="80" t="str">
        <f t="shared" si="3"/>
        <v>#DIV/0!</v>
      </c>
      <c r="K32" s="131">
        <v>0.0</v>
      </c>
      <c r="L32" s="121">
        <v>0.0</v>
      </c>
      <c r="M32" s="135"/>
      <c r="N32" s="132">
        <v>0.0</v>
      </c>
      <c r="O32" s="85" t="str">
        <f>(K32/N32)</f>
        <v>#DIV/0!</v>
      </c>
      <c r="P32" s="86" t="str">
        <f t="shared" si="5"/>
        <v>#DIV/0!</v>
      </c>
      <c r="Q32" s="85" t="str">
        <f t="shared" si="6"/>
        <v>#DIV/0!</v>
      </c>
      <c r="R32" s="87" t="str">
        <f t="shared" si="7"/>
        <v>#DIV/0!</v>
      </c>
      <c r="S32" s="100">
        <f t="shared" si="17"/>
        <v>0</v>
      </c>
      <c r="T32" s="89" t="str">
        <f t="shared" si="9"/>
        <v>#DIV/0!</v>
      </c>
      <c r="U32" s="124"/>
      <c r="V32" s="124"/>
      <c r="W32" s="124"/>
      <c r="X32" s="124"/>
      <c r="Y32" s="125"/>
      <c r="Z32" s="116"/>
      <c r="AA32" s="116"/>
    </row>
    <row r="33" hidden="1" outlineLevel="1">
      <c r="A33" s="101" t="str">
        <f t="shared" ref="A33:A34" si="18">iferror(if(B33&gt;0,month(B33)&amp;"-"&amp;year(B33),B33),)</f>
        <v>12-2025</v>
      </c>
      <c r="B33" s="74">
        <v>46011.0</v>
      </c>
      <c r="C33" s="238"/>
      <c r="D33" s="242" t="s">
        <v>81</v>
      </c>
      <c r="E33" s="133"/>
      <c r="F33" s="119"/>
      <c r="G33" s="119"/>
      <c r="H33" s="78" t="str">
        <f t="shared" si="1"/>
        <v>#DIV/0!</v>
      </c>
      <c r="I33" s="79" t="str">
        <f t="shared" si="2"/>
        <v>#DIV/0!</v>
      </c>
      <c r="J33" s="80" t="str">
        <f t="shared" si="3"/>
        <v>#DIV/0!</v>
      </c>
      <c r="K33" s="131">
        <v>0.0</v>
      </c>
      <c r="L33" s="121">
        <v>0.0</v>
      </c>
      <c r="M33" s="135"/>
      <c r="N33" s="132">
        <v>0.0</v>
      </c>
      <c r="O33" s="85" t="str">
        <f t="shared" ref="O33:O38" si="21">K33/N33</f>
        <v>#DIV/0!</v>
      </c>
      <c r="P33" s="86" t="str">
        <f t="shared" si="5"/>
        <v>#DIV/0!</v>
      </c>
      <c r="Q33" s="85" t="str">
        <f t="shared" si="6"/>
        <v>#DIV/0!</v>
      </c>
      <c r="R33" s="87" t="str">
        <f t="shared" si="7"/>
        <v>#DIV/0!</v>
      </c>
      <c r="S33" s="100">
        <f t="shared" si="17"/>
        <v>0</v>
      </c>
      <c r="T33" s="89" t="str">
        <f t="shared" si="9"/>
        <v>#DIV/0!</v>
      </c>
      <c r="U33" s="124"/>
      <c r="V33" s="124"/>
      <c r="W33" s="124"/>
      <c r="X33" s="124"/>
      <c r="Y33" s="125"/>
      <c r="Z33" s="116"/>
      <c r="AA33" s="116"/>
    </row>
    <row r="34">
      <c r="A34" s="116" t="str">
        <f t="shared" si="18"/>
        <v/>
      </c>
      <c r="B34" s="137" t="s">
        <v>50</v>
      </c>
      <c r="C34" s="240"/>
      <c r="D34" s="138"/>
      <c r="E34" s="104">
        <f t="shared" ref="E34:G34" si="19">SUM(E26:E33)</f>
        <v>0</v>
      </c>
      <c r="F34" s="105">
        <f t="shared" si="19"/>
        <v>0</v>
      </c>
      <c r="G34" s="105">
        <f t="shared" si="19"/>
        <v>0</v>
      </c>
      <c r="H34" s="106" t="str">
        <f t="shared" si="1"/>
        <v>#DIV/0!</v>
      </c>
      <c r="I34" s="107" t="str">
        <f t="shared" si="2"/>
        <v>#DIV/0!</v>
      </c>
      <c r="J34" s="108" t="str">
        <f t="shared" si="3"/>
        <v>#DIV/0!</v>
      </c>
      <c r="K34" s="104">
        <f t="shared" ref="K34:N34" si="20">SUM(K26:K33)</f>
        <v>0</v>
      </c>
      <c r="L34" s="109">
        <f t="shared" si="20"/>
        <v>0</v>
      </c>
      <c r="M34" s="139">
        <f t="shared" si="20"/>
        <v>0</v>
      </c>
      <c r="N34" s="110">
        <f t="shared" si="20"/>
        <v>0</v>
      </c>
      <c r="O34" s="111" t="str">
        <f t="shared" si="21"/>
        <v>#DIV/0!</v>
      </c>
      <c r="P34" s="112" t="str">
        <f t="shared" si="5"/>
        <v>#DIV/0!</v>
      </c>
      <c r="Q34" s="111" t="str">
        <f t="shared" si="6"/>
        <v>#DIV/0!</v>
      </c>
      <c r="R34" s="113" t="str">
        <f t="shared" si="7"/>
        <v>#DIV/0!</v>
      </c>
      <c r="S34" s="114">
        <f>SUM(S26:S33)</f>
        <v>0</v>
      </c>
      <c r="T34" s="115" t="str">
        <f t="shared" si="9"/>
        <v>#DIV/0!</v>
      </c>
      <c r="U34" s="140" t="str">
        <f t="shared" ref="U34:V34" si="22">IFERROR((E34-#REF!)/E34,)</f>
        <v/>
      </c>
      <c r="V34" s="140" t="str">
        <f t="shared" si="22"/>
        <v/>
      </c>
      <c r="W34" s="140" t="str">
        <f t="shared" ref="W34:X34" si="23">IFERROR((E34-#REF!)/E34, )</f>
        <v/>
      </c>
      <c r="X34" s="140" t="str">
        <f t="shared" si="23"/>
        <v/>
      </c>
      <c r="Y34" s="116"/>
      <c r="Z34" s="116"/>
      <c r="AA34" s="116"/>
    </row>
    <row r="35">
      <c r="A35" s="13"/>
      <c r="B35" s="143">
        <v>46012.0</v>
      </c>
      <c r="C35" s="235" t="s">
        <v>48</v>
      </c>
      <c r="D35" s="236" t="s">
        <v>74</v>
      </c>
      <c r="E35" s="76"/>
      <c r="F35" s="77"/>
      <c r="G35" s="77"/>
      <c r="H35" s="78" t="str">
        <f t="shared" si="1"/>
        <v>#DIV/0!</v>
      </c>
      <c r="I35" s="79" t="str">
        <f t="shared" si="2"/>
        <v>#DIV/0!</v>
      </c>
      <c r="J35" s="80" t="str">
        <f t="shared" si="3"/>
        <v>#DIV/0!</v>
      </c>
      <c r="K35" s="93">
        <v>0.0</v>
      </c>
      <c r="L35" s="82">
        <v>0.0</v>
      </c>
      <c r="M35" s="83"/>
      <c r="N35" s="93">
        <v>0.0</v>
      </c>
      <c r="O35" s="85" t="str">
        <f t="shared" si="21"/>
        <v>#DIV/0!</v>
      </c>
      <c r="P35" s="86" t="str">
        <f t="shared" si="5"/>
        <v>#DIV/0!</v>
      </c>
      <c r="Q35" s="85" t="str">
        <f t="shared" si="6"/>
        <v>#DIV/0!</v>
      </c>
      <c r="R35" s="87" t="str">
        <f t="shared" si="7"/>
        <v>#DIV/0!</v>
      </c>
      <c r="S35" s="95">
        <f t="shared" ref="S35:S42" si="24">E35-N35</f>
        <v>0</v>
      </c>
      <c r="T35" s="89" t="str">
        <f t="shared" si="9"/>
        <v>#DIV/0!</v>
      </c>
      <c r="U35" s="90"/>
      <c r="V35" s="90"/>
      <c r="W35" s="90"/>
      <c r="X35" s="90"/>
      <c r="Y35" s="3"/>
      <c r="Z35" s="13"/>
      <c r="AA35" s="13"/>
    </row>
    <row r="36">
      <c r="A36" s="13"/>
      <c r="B36" s="91"/>
      <c r="C36" s="237"/>
      <c r="D36" s="236" t="s">
        <v>75</v>
      </c>
      <c r="E36" s="92"/>
      <c r="F36" s="77"/>
      <c r="G36" s="77"/>
      <c r="H36" s="78" t="str">
        <f t="shared" si="1"/>
        <v>#DIV/0!</v>
      </c>
      <c r="I36" s="79" t="str">
        <f t="shared" si="2"/>
        <v>#DIV/0!</v>
      </c>
      <c r="J36" s="80" t="str">
        <f t="shared" si="3"/>
        <v>#DIV/0!</v>
      </c>
      <c r="K36" s="93">
        <v>0.0</v>
      </c>
      <c r="L36" s="82">
        <v>0.0</v>
      </c>
      <c r="M36" s="146"/>
      <c r="N36" s="93">
        <v>0.0</v>
      </c>
      <c r="O36" s="85" t="str">
        <f t="shared" si="21"/>
        <v>#DIV/0!</v>
      </c>
      <c r="P36" s="86" t="str">
        <f t="shared" si="5"/>
        <v>#DIV/0!</v>
      </c>
      <c r="Q36" s="85" t="str">
        <f t="shared" si="6"/>
        <v>#DIV/0!</v>
      </c>
      <c r="R36" s="87" t="str">
        <f t="shared" si="7"/>
        <v>#DIV/0!</v>
      </c>
      <c r="S36" s="95">
        <f t="shared" si="24"/>
        <v>0</v>
      </c>
      <c r="T36" s="89" t="str">
        <f t="shared" si="9"/>
        <v>#DIV/0!</v>
      </c>
      <c r="U36" s="90"/>
      <c r="V36" s="90"/>
      <c r="W36" s="90"/>
      <c r="X36" s="90"/>
      <c r="Y36" s="3"/>
      <c r="Z36" s="13"/>
      <c r="AA36" s="13"/>
    </row>
    <row r="37">
      <c r="A37" s="13"/>
      <c r="B37" s="91"/>
      <c r="C37" s="238"/>
      <c r="D37" s="236" t="s">
        <v>76</v>
      </c>
      <c r="E37" s="92"/>
      <c r="F37" s="77"/>
      <c r="G37" s="77"/>
      <c r="H37" s="78" t="str">
        <f t="shared" si="1"/>
        <v>#DIV/0!</v>
      </c>
      <c r="I37" s="79" t="str">
        <f t="shared" si="2"/>
        <v>#DIV/0!</v>
      </c>
      <c r="J37" s="80" t="str">
        <f t="shared" si="3"/>
        <v>#DIV/0!</v>
      </c>
      <c r="K37" s="93">
        <v>0.0</v>
      </c>
      <c r="L37" s="82">
        <v>0.0</v>
      </c>
      <c r="M37" s="83"/>
      <c r="N37" s="93">
        <v>0.0</v>
      </c>
      <c r="O37" s="85" t="str">
        <f t="shared" si="21"/>
        <v>#DIV/0!</v>
      </c>
      <c r="P37" s="86" t="str">
        <f t="shared" si="5"/>
        <v>#DIV/0!</v>
      </c>
      <c r="Q37" s="85" t="str">
        <f t="shared" si="6"/>
        <v>#DIV/0!</v>
      </c>
      <c r="R37" s="87" t="str">
        <f t="shared" si="7"/>
        <v>#DIV/0!</v>
      </c>
      <c r="S37" s="95">
        <f t="shared" si="24"/>
        <v>0</v>
      </c>
      <c r="T37" s="89" t="str">
        <f t="shared" si="9"/>
        <v>#DIV/0!</v>
      </c>
      <c r="U37" s="90"/>
      <c r="V37" s="90"/>
      <c r="W37" s="90"/>
      <c r="X37" s="90"/>
      <c r="Y37" s="3"/>
      <c r="Z37" s="13"/>
      <c r="AA37" s="13"/>
    </row>
    <row r="38">
      <c r="A38" s="13"/>
      <c r="B38" s="91"/>
      <c r="C38" s="239" t="s">
        <v>46</v>
      </c>
      <c r="D38" s="236" t="s">
        <v>77</v>
      </c>
      <c r="E38" s="92"/>
      <c r="F38" s="77"/>
      <c r="G38" s="77"/>
      <c r="H38" s="78" t="str">
        <f t="shared" si="1"/>
        <v>#DIV/0!</v>
      </c>
      <c r="I38" s="79" t="str">
        <f t="shared" si="2"/>
        <v>#DIV/0!</v>
      </c>
      <c r="J38" s="80" t="str">
        <f t="shared" si="3"/>
        <v>#DIV/0!</v>
      </c>
      <c r="K38" s="98">
        <v>0.0</v>
      </c>
      <c r="L38" s="82">
        <v>0.0</v>
      </c>
      <c r="M38" s="83"/>
      <c r="N38" s="98">
        <v>0.0</v>
      </c>
      <c r="O38" s="85" t="str">
        <f t="shared" si="21"/>
        <v>#DIV/0!</v>
      </c>
      <c r="P38" s="86" t="str">
        <f t="shared" si="5"/>
        <v>#DIV/0!</v>
      </c>
      <c r="Q38" s="85" t="str">
        <f t="shared" si="6"/>
        <v>#DIV/0!</v>
      </c>
      <c r="R38" s="87" t="str">
        <f t="shared" si="7"/>
        <v>#DIV/0!</v>
      </c>
      <c r="S38" s="100">
        <f t="shared" si="24"/>
        <v>0</v>
      </c>
      <c r="T38" s="89" t="str">
        <f t="shared" si="9"/>
        <v>#DIV/0!</v>
      </c>
      <c r="U38" s="90"/>
      <c r="V38" s="90"/>
      <c r="W38" s="90"/>
      <c r="X38" s="90"/>
      <c r="Y38" s="3"/>
      <c r="Z38" s="13"/>
      <c r="AA38" s="13"/>
    </row>
    <row r="39">
      <c r="A39" s="13"/>
      <c r="B39" s="148" t="s">
        <v>33</v>
      </c>
      <c r="C39" s="237"/>
      <c r="D39" s="236" t="s">
        <v>78</v>
      </c>
      <c r="E39" s="97"/>
      <c r="F39" s="77"/>
      <c r="G39" s="77"/>
      <c r="H39" s="78" t="str">
        <f t="shared" si="1"/>
        <v>#DIV/0!</v>
      </c>
      <c r="I39" s="79" t="str">
        <f t="shared" si="2"/>
        <v>#DIV/0!</v>
      </c>
      <c r="J39" s="80" t="str">
        <f t="shared" si="3"/>
        <v>#DIV/0!</v>
      </c>
      <c r="K39" s="98">
        <v>0.0</v>
      </c>
      <c r="L39" s="82">
        <v>0.0</v>
      </c>
      <c r="M39" s="83"/>
      <c r="N39" s="99">
        <v>0.0</v>
      </c>
      <c r="O39" s="85" t="str">
        <f t="shared" ref="O39:O41" si="25">(K39/N39)</f>
        <v>#DIV/0!</v>
      </c>
      <c r="P39" s="86" t="str">
        <f t="shared" si="5"/>
        <v>#DIV/0!</v>
      </c>
      <c r="Q39" s="85" t="str">
        <f t="shared" si="6"/>
        <v>#DIV/0!</v>
      </c>
      <c r="R39" s="87" t="str">
        <f t="shared" si="7"/>
        <v>#DIV/0!</v>
      </c>
      <c r="S39" s="100">
        <f t="shared" si="24"/>
        <v>0</v>
      </c>
      <c r="T39" s="89" t="str">
        <f t="shared" si="9"/>
        <v>#DIV/0!</v>
      </c>
      <c r="U39" s="90"/>
      <c r="V39" s="90"/>
      <c r="W39" s="90"/>
      <c r="X39" s="90"/>
      <c r="Y39" s="3"/>
      <c r="Z39" s="13"/>
      <c r="AA39" s="13"/>
    </row>
    <row r="40">
      <c r="A40" s="13"/>
      <c r="B40" s="148"/>
      <c r="C40" s="237"/>
      <c r="D40" s="236" t="s">
        <v>79</v>
      </c>
      <c r="E40" s="97"/>
      <c r="F40" s="77"/>
      <c r="G40" s="77"/>
      <c r="H40" s="78" t="str">
        <f t="shared" si="1"/>
        <v>#DIV/0!</v>
      </c>
      <c r="I40" s="79" t="str">
        <f t="shared" si="2"/>
        <v>#DIV/0!</v>
      </c>
      <c r="J40" s="80" t="str">
        <f t="shared" si="3"/>
        <v>#DIV/0!</v>
      </c>
      <c r="K40" s="98">
        <v>0.0</v>
      </c>
      <c r="L40" s="82">
        <v>0.0</v>
      </c>
      <c r="M40" s="83"/>
      <c r="N40" s="99">
        <v>0.0</v>
      </c>
      <c r="O40" s="85" t="str">
        <f t="shared" si="25"/>
        <v>#DIV/0!</v>
      </c>
      <c r="P40" s="86" t="str">
        <f t="shared" si="5"/>
        <v>#DIV/0!</v>
      </c>
      <c r="Q40" s="85" t="str">
        <f t="shared" si="6"/>
        <v>#DIV/0!</v>
      </c>
      <c r="R40" s="87" t="str">
        <f t="shared" si="7"/>
        <v>#DIV/0!</v>
      </c>
      <c r="S40" s="100">
        <f t="shared" si="24"/>
        <v>0</v>
      </c>
      <c r="T40" s="89" t="str">
        <f t="shared" si="9"/>
        <v>#DIV/0!</v>
      </c>
      <c r="U40" s="90"/>
      <c r="V40" s="90"/>
      <c r="W40" s="90"/>
      <c r="X40" s="90"/>
      <c r="Y40" s="3"/>
      <c r="Z40" s="13"/>
      <c r="AA40" s="13"/>
    </row>
    <row r="41">
      <c r="A41" s="13"/>
      <c r="B41" s="148"/>
      <c r="C41" s="237"/>
      <c r="D41" s="236" t="s">
        <v>80</v>
      </c>
      <c r="E41" s="97"/>
      <c r="F41" s="77"/>
      <c r="G41" s="77"/>
      <c r="H41" s="78" t="str">
        <f t="shared" si="1"/>
        <v>#DIV/0!</v>
      </c>
      <c r="I41" s="79" t="str">
        <f t="shared" si="2"/>
        <v>#DIV/0!</v>
      </c>
      <c r="J41" s="80" t="str">
        <f t="shared" si="3"/>
        <v>#DIV/0!</v>
      </c>
      <c r="K41" s="98">
        <v>0.0</v>
      </c>
      <c r="L41" s="82">
        <v>0.0</v>
      </c>
      <c r="M41" s="83"/>
      <c r="N41" s="99">
        <v>0.0</v>
      </c>
      <c r="O41" s="85" t="str">
        <f t="shared" si="25"/>
        <v>#DIV/0!</v>
      </c>
      <c r="P41" s="86" t="str">
        <f t="shared" si="5"/>
        <v>#DIV/0!</v>
      </c>
      <c r="Q41" s="85" t="str">
        <f t="shared" si="6"/>
        <v>#DIV/0!</v>
      </c>
      <c r="R41" s="87" t="str">
        <f t="shared" si="7"/>
        <v>#DIV/0!</v>
      </c>
      <c r="S41" s="100">
        <f t="shared" si="24"/>
        <v>0</v>
      </c>
      <c r="T41" s="89" t="str">
        <f t="shared" si="9"/>
        <v>#DIV/0!</v>
      </c>
      <c r="U41" s="90"/>
      <c r="V41" s="90"/>
      <c r="W41" s="90"/>
      <c r="X41" s="90"/>
      <c r="Y41" s="3"/>
      <c r="Z41" s="13"/>
      <c r="AA41" s="13"/>
    </row>
    <row r="42">
      <c r="A42" s="101" t="str">
        <f t="shared" ref="A42:A43" si="26">iferror(if(B42&gt;0,month(B42)&amp;"-"&amp;year(B42),B42),)</f>
        <v>12-2025</v>
      </c>
      <c r="B42" s="143">
        <v>46018.0</v>
      </c>
      <c r="C42" s="238"/>
      <c r="D42" s="236" t="s">
        <v>81</v>
      </c>
      <c r="E42" s="102"/>
      <c r="F42" s="77"/>
      <c r="G42" s="77"/>
      <c r="H42" s="78" t="str">
        <f t="shared" si="1"/>
        <v>#DIV/0!</v>
      </c>
      <c r="I42" s="79" t="str">
        <f t="shared" si="2"/>
        <v>#DIV/0!</v>
      </c>
      <c r="J42" s="80" t="str">
        <f t="shared" si="3"/>
        <v>#DIV/0!</v>
      </c>
      <c r="K42" s="98">
        <v>0.0</v>
      </c>
      <c r="L42" s="82">
        <v>0.0</v>
      </c>
      <c r="M42" s="83"/>
      <c r="N42" s="99">
        <v>0.0</v>
      </c>
      <c r="O42" s="85" t="str">
        <f t="shared" ref="O42:O47" si="29">K42/N42</f>
        <v>#DIV/0!</v>
      </c>
      <c r="P42" s="86" t="str">
        <f t="shared" si="5"/>
        <v>#DIV/0!</v>
      </c>
      <c r="Q42" s="85" t="str">
        <f t="shared" si="6"/>
        <v>#DIV/0!</v>
      </c>
      <c r="R42" s="87" t="str">
        <f t="shared" si="7"/>
        <v>#DIV/0!</v>
      </c>
      <c r="S42" s="100">
        <f t="shared" si="24"/>
        <v>0</v>
      </c>
      <c r="T42" s="89" t="str">
        <f t="shared" si="9"/>
        <v>#DIV/0!</v>
      </c>
      <c r="U42" s="90"/>
      <c r="V42" s="90"/>
      <c r="W42" s="90"/>
      <c r="X42" s="90"/>
      <c r="Y42" s="3"/>
      <c r="Z42" s="13"/>
      <c r="AA42" s="13"/>
    </row>
    <row r="43">
      <c r="A43" s="13" t="str">
        <f t="shared" si="26"/>
        <v/>
      </c>
      <c r="B43" s="103" t="s">
        <v>51</v>
      </c>
      <c r="C43" s="233"/>
      <c r="D43" s="61"/>
      <c r="E43" s="104">
        <f t="shared" ref="E43:G43" si="27">SUM(E35:E42)</f>
        <v>0</v>
      </c>
      <c r="F43" s="105">
        <f t="shared" si="27"/>
        <v>0</v>
      </c>
      <c r="G43" s="105">
        <f t="shared" si="27"/>
        <v>0</v>
      </c>
      <c r="H43" s="106" t="str">
        <f t="shared" si="1"/>
        <v>#DIV/0!</v>
      </c>
      <c r="I43" s="107" t="str">
        <f t="shared" si="2"/>
        <v>#DIV/0!</v>
      </c>
      <c r="J43" s="108" t="str">
        <f t="shared" si="3"/>
        <v>#DIV/0!</v>
      </c>
      <c r="K43" s="104">
        <f t="shared" ref="K43:N43" si="28">SUM(K35:K42)</f>
        <v>0</v>
      </c>
      <c r="L43" s="109">
        <f t="shared" si="28"/>
        <v>0</v>
      </c>
      <c r="M43" s="105">
        <f t="shared" si="28"/>
        <v>0</v>
      </c>
      <c r="N43" s="110">
        <f t="shared" si="28"/>
        <v>0</v>
      </c>
      <c r="O43" s="111" t="str">
        <f t="shared" si="29"/>
        <v>#DIV/0!</v>
      </c>
      <c r="P43" s="112" t="str">
        <f t="shared" si="5"/>
        <v>#DIV/0!</v>
      </c>
      <c r="Q43" s="111" t="str">
        <f t="shared" si="6"/>
        <v>#DIV/0!</v>
      </c>
      <c r="R43" s="113" t="str">
        <f t="shared" si="7"/>
        <v>#DIV/0!</v>
      </c>
      <c r="S43" s="114">
        <f>SUM(S35:S42)</f>
        <v>0</v>
      </c>
      <c r="T43" s="115" t="str">
        <f t="shared" si="9"/>
        <v>#DIV/0!</v>
      </c>
      <c r="U43" s="73" t="str">
        <f t="shared" ref="U43:V43" si="30">IFERROR((E43-#REF!)/E43,)</f>
        <v/>
      </c>
      <c r="V43" s="73" t="str">
        <f t="shared" si="30"/>
        <v/>
      </c>
      <c r="W43" s="73" t="str">
        <f t="shared" ref="W43:X43" si="31">IFERROR((E43-#REF!)/E43, )</f>
        <v/>
      </c>
      <c r="X43" s="73" t="str">
        <f t="shared" si="31"/>
        <v/>
      </c>
      <c r="Y43" s="13"/>
      <c r="Z43" s="13"/>
      <c r="AA43" s="13"/>
    </row>
    <row r="44">
      <c r="A44" s="13"/>
      <c r="B44" s="143">
        <v>46019.0</v>
      </c>
      <c r="C44" s="235" t="s">
        <v>48</v>
      </c>
      <c r="D44" s="236" t="s">
        <v>74</v>
      </c>
      <c r="E44" s="76"/>
      <c r="F44" s="77"/>
      <c r="G44" s="77"/>
      <c r="H44" s="78" t="str">
        <f t="shared" si="1"/>
        <v>#DIV/0!</v>
      </c>
      <c r="I44" s="79" t="str">
        <f t="shared" si="2"/>
        <v>#DIV/0!</v>
      </c>
      <c r="J44" s="80" t="str">
        <f t="shared" si="3"/>
        <v>#DIV/0!</v>
      </c>
      <c r="K44" s="93">
        <v>106.4</v>
      </c>
      <c r="L44" s="82">
        <v>6630.0</v>
      </c>
      <c r="M44" s="83"/>
      <c r="N44" s="93">
        <v>0.0</v>
      </c>
      <c r="O44" s="85" t="str">
        <f t="shared" si="29"/>
        <v>#DIV/0!</v>
      </c>
      <c r="P44" s="86">
        <f t="shared" si="5"/>
        <v>0</v>
      </c>
      <c r="Q44" s="85" t="str">
        <f t="shared" si="6"/>
        <v>#DIV/0!</v>
      </c>
      <c r="R44" s="87" t="str">
        <f t="shared" si="7"/>
        <v>#DIV/0!</v>
      </c>
      <c r="S44" s="95">
        <f t="shared" ref="S44:S51" si="32">E44-N44</f>
        <v>0</v>
      </c>
      <c r="T44" s="89" t="str">
        <f t="shared" si="9"/>
        <v>#DIV/0!</v>
      </c>
      <c r="U44" s="90"/>
      <c r="V44" s="90"/>
      <c r="W44" s="90"/>
      <c r="X44" s="90"/>
      <c r="Y44" s="3"/>
      <c r="Z44" s="13"/>
      <c r="AA44" s="13"/>
    </row>
    <row r="45">
      <c r="A45" s="13"/>
      <c r="B45" s="91"/>
      <c r="C45" s="237"/>
      <c r="D45" s="236" t="s">
        <v>75</v>
      </c>
      <c r="E45" s="92"/>
      <c r="F45" s="77"/>
      <c r="G45" s="77"/>
      <c r="H45" s="78" t="str">
        <f t="shared" si="1"/>
        <v>#DIV/0!</v>
      </c>
      <c r="I45" s="79" t="str">
        <f t="shared" si="2"/>
        <v>#DIV/0!</v>
      </c>
      <c r="J45" s="80" t="str">
        <f t="shared" si="3"/>
        <v>#DIV/0!</v>
      </c>
      <c r="K45" s="93">
        <v>0.0</v>
      </c>
      <c r="L45" s="82">
        <v>0.0</v>
      </c>
      <c r="M45" s="146"/>
      <c r="N45" s="93">
        <v>0.0</v>
      </c>
      <c r="O45" s="85" t="str">
        <f t="shared" si="29"/>
        <v>#DIV/0!</v>
      </c>
      <c r="P45" s="86" t="str">
        <f t="shared" si="5"/>
        <v>#DIV/0!</v>
      </c>
      <c r="Q45" s="85" t="str">
        <f t="shared" si="6"/>
        <v>#DIV/0!</v>
      </c>
      <c r="R45" s="87" t="str">
        <f t="shared" si="7"/>
        <v>#DIV/0!</v>
      </c>
      <c r="S45" s="95">
        <f t="shared" si="32"/>
        <v>0</v>
      </c>
      <c r="T45" s="89" t="str">
        <f t="shared" si="9"/>
        <v>#DIV/0!</v>
      </c>
      <c r="U45" s="90"/>
      <c r="V45" s="90"/>
      <c r="W45" s="90"/>
      <c r="X45" s="90"/>
      <c r="Y45" s="3"/>
      <c r="Z45" s="13"/>
      <c r="AA45" s="13"/>
    </row>
    <row r="46">
      <c r="A46" s="13"/>
      <c r="B46" s="91"/>
      <c r="C46" s="238"/>
      <c r="D46" s="236" t="s">
        <v>76</v>
      </c>
      <c r="E46" s="92"/>
      <c r="F46" s="77"/>
      <c r="G46" s="77"/>
      <c r="H46" s="78" t="str">
        <f t="shared" si="1"/>
        <v>#DIV/0!</v>
      </c>
      <c r="I46" s="79" t="str">
        <f t="shared" si="2"/>
        <v>#DIV/0!</v>
      </c>
      <c r="J46" s="80" t="str">
        <f t="shared" si="3"/>
        <v>#DIV/0!</v>
      </c>
      <c r="K46" s="93">
        <v>0.0</v>
      </c>
      <c r="L46" s="82">
        <v>0.0</v>
      </c>
      <c r="M46" s="83"/>
      <c r="N46" s="93">
        <v>0.0</v>
      </c>
      <c r="O46" s="85" t="str">
        <f t="shared" si="29"/>
        <v>#DIV/0!</v>
      </c>
      <c r="P46" s="86" t="str">
        <f t="shared" si="5"/>
        <v>#DIV/0!</v>
      </c>
      <c r="Q46" s="85" t="str">
        <f t="shared" si="6"/>
        <v>#DIV/0!</v>
      </c>
      <c r="R46" s="87" t="str">
        <f t="shared" si="7"/>
        <v>#DIV/0!</v>
      </c>
      <c r="S46" s="95">
        <f t="shared" si="32"/>
        <v>0</v>
      </c>
      <c r="T46" s="89" t="str">
        <f t="shared" si="9"/>
        <v>#DIV/0!</v>
      </c>
      <c r="U46" s="90"/>
      <c r="V46" s="90"/>
      <c r="W46" s="90"/>
      <c r="X46" s="90"/>
      <c r="Y46" s="3"/>
      <c r="Z46" s="13"/>
      <c r="AA46" s="13"/>
    </row>
    <row r="47">
      <c r="A47" s="13"/>
      <c r="B47" s="91"/>
      <c r="C47" s="239" t="s">
        <v>46</v>
      </c>
      <c r="D47" s="236" t="s">
        <v>77</v>
      </c>
      <c r="E47" s="92"/>
      <c r="F47" s="77"/>
      <c r="G47" s="77"/>
      <c r="H47" s="78" t="str">
        <f t="shared" si="1"/>
        <v>#DIV/0!</v>
      </c>
      <c r="I47" s="79" t="str">
        <f t="shared" si="2"/>
        <v>#DIV/0!</v>
      </c>
      <c r="J47" s="80" t="str">
        <f t="shared" si="3"/>
        <v>#DIV/0!</v>
      </c>
      <c r="K47" s="98">
        <v>0.0</v>
      </c>
      <c r="L47" s="82">
        <v>0.0</v>
      </c>
      <c r="M47" s="83"/>
      <c r="N47" s="98">
        <v>0.0</v>
      </c>
      <c r="O47" s="85" t="str">
        <f t="shared" si="29"/>
        <v>#DIV/0!</v>
      </c>
      <c r="P47" s="86" t="str">
        <f t="shared" si="5"/>
        <v>#DIV/0!</v>
      </c>
      <c r="Q47" s="85" t="str">
        <f t="shared" si="6"/>
        <v>#DIV/0!</v>
      </c>
      <c r="R47" s="87" t="str">
        <f t="shared" si="7"/>
        <v>#DIV/0!</v>
      </c>
      <c r="S47" s="100">
        <f t="shared" si="32"/>
        <v>0</v>
      </c>
      <c r="T47" s="89" t="str">
        <f t="shared" si="9"/>
        <v>#DIV/0!</v>
      </c>
      <c r="U47" s="90"/>
      <c r="V47" s="90"/>
      <c r="W47" s="90"/>
      <c r="X47" s="90"/>
      <c r="Y47" s="3"/>
      <c r="Z47" s="13"/>
      <c r="AA47" s="13"/>
    </row>
    <row r="48">
      <c r="A48" s="13"/>
      <c r="B48" s="148" t="s">
        <v>33</v>
      </c>
      <c r="C48" s="237"/>
      <c r="D48" s="236" t="s">
        <v>78</v>
      </c>
      <c r="E48" s="97"/>
      <c r="F48" s="77"/>
      <c r="G48" s="77"/>
      <c r="H48" s="78" t="str">
        <f t="shared" si="1"/>
        <v>#DIV/0!</v>
      </c>
      <c r="I48" s="79" t="str">
        <f t="shared" si="2"/>
        <v>#DIV/0!</v>
      </c>
      <c r="J48" s="80" t="str">
        <f t="shared" si="3"/>
        <v>#DIV/0!</v>
      </c>
      <c r="K48" s="98">
        <v>0.0</v>
      </c>
      <c r="L48" s="82">
        <v>0.0</v>
      </c>
      <c r="M48" s="83"/>
      <c r="N48" s="99">
        <v>0.0</v>
      </c>
      <c r="O48" s="85" t="str">
        <f t="shared" ref="O48:O50" si="33">(K48/N48)</f>
        <v>#DIV/0!</v>
      </c>
      <c r="P48" s="86" t="str">
        <f t="shared" si="5"/>
        <v>#DIV/0!</v>
      </c>
      <c r="Q48" s="85" t="str">
        <f t="shared" si="6"/>
        <v>#DIV/0!</v>
      </c>
      <c r="R48" s="87" t="str">
        <f t="shared" si="7"/>
        <v>#DIV/0!</v>
      </c>
      <c r="S48" s="100">
        <f t="shared" si="32"/>
        <v>0</v>
      </c>
      <c r="T48" s="89" t="str">
        <f t="shared" si="9"/>
        <v>#DIV/0!</v>
      </c>
      <c r="U48" s="90"/>
      <c r="V48" s="90"/>
      <c r="W48" s="90"/>
      <c r="X48" s="90"/>
      <c r="Y48" s="3"/>
      <c r="Z48" s="13"/>
      <c r="AA48" s="13"/>
    </row>
    <row r="49">
      <c r="A49" s="13"/>
      <c r="B49" s="148"/>
      <c r="C49" s="237"/>
      <c r="D49" s="236" t="s">
        <v>79</v>
      </c>
      <c r="E49" s="97"/>
      <c r="F49" s="77"/>
      <c r="G49" s="77"/>
      <c r="H49" s="78" t="str">
        <f t="shared" si="1"/>
        <v>#DIV/0!</v>
      </c>
      <c r="I49" s="79" t="str">
        <f t="shared" si="2"/>
        <v>#DIV/0!</v>
      </c>
      <c r="J49" s="80" t="str">
        <f t="shared" si="3"/>
        <v>#DIV/0!</v>
      </c>
      <c r="K49" s="98">
        <v>0.0</v>
      </c>
      <c r="L49" s="82">
        <v>0.0</v>
      </c>
      <c r="M49" s="83"/>
      <c r="N49" s="99">
        <v>0.0</v>
      </c>
      <c r="O49" s="85" t="str">
        <f t="shared" si="33"/>
        <v>#DIV/0!</v>
      </c>
      <c r="P49" s="86" t="str">
        <f t="shared" si="5"/>
        <v>#DIV/0!</v>
      </c>
      <c r="Q49" s="85" t="str">
        <f t="shared" si="6"/>
        <v>#DIV/0!</v>
      </c>
      <c r="R49" s="87" t="str">
        <f t="shared" si="7"/>
        <v>#DIV/0!</v>
      </c>
      <c r="S49" s="100">
        <f t="shared" si="32"/>
        <v>0</v>
      </c>
      <c r="T49" s="89" t="str">
        <f t="shared" si="9"/>
        <v>#DIV/0!</v>
      </c>
      <c r="U49" s="90"/>
      <c r="V49" s="90"/>
      <c r="W49" s="90"/>
      <c r="X49" s="90"/>
      <c r="Y49" s="3"/>
      <c r="Z49" s="13"/>
      <c r="AA49" s="13"/>
    </row>
    <row r="50">
      <c r="A50" s="13"/>
      <c r="B50" s="148"/>
      <c r="C50" s="237"/>
      <c r="D50" s="236" t="s">
        <v>80</v>
      </c>
      <c r="E50" s="97"/>
      <c r="F50" s="77"/>
      <c r="G50" s="77"/>
      <c r="H50" s="78" t="str">
        <f t="shared" si="1"/>
        <v>#DIV/0!</v>
      </c>
      <c r="I50" s="79" t="str">
        <f t="shared" si="2"/>
        <v>#DIV/0!</v>
      </c>
      <c r="J50" s="80" t="str">
        <f t="shared" si="3"/>
        <v>#DIV/0!</v>
      </c>
      <c r="K50" s="98">
        <v>0.0</v>
      </c>
      <c r="L50" s="82">
        <v>0.0</v>
      </c>
      <c r="M50" s="83"/>
      <c r="N50" s="99">
        <v>0.0</v>
      </c>
      <c r="O50" s="85" t="str">
        <f t="shared" si="33"/>
        <v>#DIV/0!</v>
      </c>
      <c r="P50" s="86" t="str">
        <f t="shared" si="5"/>
        <v>#DIV/0!</v>
      </c>
      <c r="Q50" s="85" t="str">
        <f t="shared" si="6"/>
        <v>#DIV/0!</v>
      </c>
      <c r="R50" s="87" t="str">
        <f t="shared" si="7"/>
        <v>#DIV/0!</v>
      </c>
      <c r="S50" s="100">
        <f t="shared" si="32"/>
        <v>0</v>
      </c>
      <c r="T50" s="89" t="str">
        <f t="shared" si="9"/>
        <v>#DIV/0!</v>
      </c>
      <c r="U50" s="90"/>
      <c r="V50" s="90"/>
      <c r="W50" s="90"/>
      <c r="X50" s="90"/>
      <c r="Y50" s="3"/>
      <c r="Z50" s="13"/>
      <c r="AA50" s="13"/>
    </row>
    <row r="51">
      <c r="A51" s="101" t="str">
        <f t="shared" ref="A51:A52" si="34">iferror(if(B51&gt;0,month(B51)&amp;"-"&amp;year(B51),B51),)</f>
        <v>1-2026</v>
      </c>
      <c r="B51" s="143">
        <v>46025.0</v>
      </c>
      <c r="C51" s="238"/>
      <c r="D51" s="236" t="s">
        <v>81</v>
      </c>
      <c r="E51" s="102"/>
      <c r="F51" s="77"/>
      <c r="G51" s="77"/>
      <c r="H51" s="78" t="str">
        <f t="shared" si="1"/>
        <v>#DIV/0!</v>
      </c>
      <c r="I51" s="79" t="str">
        <f t="shared" si="2"/>
        <v>#DIV/0!</v>
      </c>
      <c r="J51" s="80" t="str">
        <f t="shared" si="3"/>
        <v>#DIV/0!</v>
      </c>
      <c r="K51" s="98">
        <v>0.0</v>
      </c>
      <c r="L51" s="82">
        <v>0.0</v>
      </c>
      <c r="M51" s="83"/>
      <c r="N51" s="99">
        <v>0.0</v>
      </c>
      <c r="O51" s="85" t="str">
        <f t="shared" ref="O51:O52" si="37">K51/N51</f>
        <v>#DIV/0!</v>
      </c>
      <c r="P51" s="86" t="str">
        <f t="shared" si="5"/>
        <v>#DIV/0!</v>
      </c>
      <c r="Q51" s="85" t="str">
        <f t="shared" si="6"/>
        <v>#DIV/0!</v>
      </c>
      <c r="R51" s="87" t="str">
        <f t="shared" si="7"/>
        <v>#DIV/0!</v>
      </c>
      <c r="S51" s="100">
        <f t="shared" si="32"/>
        <v>0</v>
      </c>
      <c r="T51" s="89" t="str">
        <f t="shared" si="9"/>
        <v>#DIV/0!</v>
      </c>
      <c r="U51" s="90"/>
      <c r="V51" s="90"/>
      <c r="W51" s="90"/>
      <c r="X51" s="90"/>
      <c r="Y51" s="3"/>
      <c r="Z51" s="13"/>
      <c r="AA51" s="13"/>
    </row>
    <row r="52">
      <c r="A52" s="13" t="str">
        <f t="shared" si="34"/>
        <v/>
      </c>
      <c r="B52" s="103" t="s">
        <v>52</v>
      </c>
      <c r="C52" s="233"/>
      <c r="D52" s="61"/>
      <c r="E52" s="104">
        <f t="shared" ref="E52:G52" si="35">SUM(E44:E51)</f>
        <v>0</v>
      </c>
      <c r="F52" s="105">
        <f t="shared" si="35"/>
        <v>0</v>
      </c>
      <c r="G52" s="105">
        <f t="shared" si="35"/>
        <v>0</v>
      </c>
      <c r="H52" s="106" t="str">
        <f t="shared" si="1"/>
        <v>#DIV/0!</v>
      </c>
      <c r="I52" s="107" t="str">
        <f t="shared" si="2"/>
        <v>#DIV/0!</v>
      </c>
      <c r="J52" s="108" t="str">
        <f t="shared" si="3"/>
        <v>#DIV/0!</v>
      </c>
      <c r="K52" s="104">
        <f t="shared" ref="K52:N52" si="36">SUM(K44:K51)</f>
        <v>106.4</v>
      </c>
      <c r="L52" s="109">
        <f t="shared" si="36"/>
        <v>6630</v>
      </c>
      <c r="M52" s="105">
        <f t="shared" si="36"/>
        <v>0</v>
      </c>
      <c r="N52" s="110">
        <f t="shared" si="36"/>
        <v>0</v>
      </c>
      <c r="O52" s="111" t="str">
        <f t="shared" si="37"/>
        <v>#DIV/0!</v>
      </c>
      <c r="P52" s="112">
        <f t="shared" si="5"/>
        <v>0</v>
      </c>
      <c r="Q52" s="111" t="str">
        <f t="shared" si="6"/>
        <v>#DIV/0!</v>
      </c>
      <c r="R52" s="113" t="str">
        <f t="shared" si="7"/>
        <v>#DIV/0!</v>
      </c>
      <c r="S52" s="114">
        <f>SUM(S44:S51)</f>
        <v>0</v>
      </c>
      <c r="T52" s="115" t="str">
        <f t="shared" si="9"/>
        <v>#DIV/0!</v>
      </c>
      <c r="U52" s="73" t="str">
        <f t="shared" ref="U52:V52" si="38">IFERROR((E52-E43)/E52,)</f>
        <v/>
      </c>
      <c r="V52" s="73" t="str">
        <f t="shared" si="38"/>
        <v/>
      </c>
      <c r="W52" s="73" t="str">
        <f t="shared" ref="W52:X52" si="39">IFERROR((E52-#REF!)/E52, )</f>
        <v/>
      </c>
      <c r="X52" s="73" t="str">
        <f t="shared" si="39"/>
        <v/>
      </c>
      <c r="Y52" s="13"/>
      <c r="Z52" s="13"/>
      <c r="AA52" s="13"/>
    </row>
    <row r="5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</row>
  </sheetData>
  <mergeCells count="33">
    <mergeCell ref="T3:W3"/>
    <mergeCell ref="T4:V4"/>
    <mergeCell ref="T7:W7"/>
    <mergeCell ref="T8:V8"/>
    <mergeCell ref="T9:W9"/>
    <mergeCell ref="A1:B1"/>
    <mergeCell ref="A2:B2"/>
    <mergeCell ref="D2:X2"/>
    <mergeCell ref="G3:J3"/>
    <mergeCell ref="O3:R3"/>
    <mergeCell ref="G4:I4"/>
    <mergeCell ref="G5:J5"/>
    <mergeCell ref="T5:W5"/>
    <mergeCell ref="G9:J9"/>
    <mergeCell ref="E10:J10"/>
    <mergeCell ref="M10:T10"/>
    <mergeCell ref="W10:X10"/>
    <mergeCell ref="Y10:Z10"/>
    <mergeCell ref="C17:C19"/>
    <mergeCell ref="C20:C24"/>
    <mergeCell ref="C26:C28"/>
    <mergeCell ref="C29:C33"/>
    <mergeCell ref="C35:C37"/>
    <mergeCell ref="C38:C42"/>
    <mergeCell ref="C44:C46"/>
    <mergeCell ref="C47:C51"/>
    <mergeCell ref="O4:Q4"/>
    <mergeCell ref="O5:R5"/>
    <mergeCell ref="G7:J7"/>
    <mergeCell ref="O7:R7"/>
    <mergeCell ref="G8:I8"/>
    <mergeCell ref="O8:Q8"/>
    <mergeCell ref="O9:R9"/>
  </mergeCells>
  <dataValidations>
    <dataValidation type="list" allowBlank="1" sqref="B12 B25 B34 B43 B52">
      <formula1>"Previous Week,Current Week"</formula1>
    </dataValidation>
  </dataValidations>
  <hyperlinks>
    <hyperlink r:id="rId1" ref="A1"/>
  </hyperlinks>
  <drawing r:id="rId2"/>
</worksheet>
</file>