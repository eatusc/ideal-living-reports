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- 2025" sheetId="1" r:id="rId5"/>
    <sheet state="visible" name="ALL - 2026 - Orange Access" sheetId="2" r:id="rId6"/>
    <sheet state="visible" name="Home Depot - 2026" sheetId="3" r:id="rId7"/>
    <sheet state="visible" name="Home Depot Canada - 2026" sheetId="4" r:id="rId8"/>
    <sheet state="visible" name="Lowes - 2026" sheetId="5" r:id="rId9"/>
    <sheet state="hidden" name="US" sheetId="6" r:id="rId10"/>
    <sheet state="hidden" name="CANADA" sheetId="7" r:id="rId11"/>
  </sheets>
  <definedNames/>
  <calcPr/>
</workbook>
</file>

<file path=xl/sharedStrings.xml><?xml version="1.0" encoding="utf-8"?>
<sst xmlns="http://schemas.openxmlformats.org/spreadsheetml/2006/main" count="644" uniqueCount="81">
  <si>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</si>
  <si>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 xml:space="preserve"> WEEKLY PERFORMANCE</t>
  </si>
  <si>
    <t>Total Sales</t>
  </si>
  <si>
    <t>Total Orders</t>
  </si>
  <si>
    <t>Total Units Sold</t>
  </si>
  <si>
    <t>Advertising Sales</t>
  </si>
  <si>
    <t>Advertising Spend</t>
  </si>
  <si>
    <t>ACoS</t>
  </si>
  <si>
    <t>SALES METRICS</t>
  </si>
  <si>
    <t xml:space="preserve">ADVERTISING PERFORMANCE </t>
  </si>
  <si>
    <t>MoM</t>
  </si>
  <si>
    <t>YoY</t>
  </si>
  <si>
    <t>Month-Code</t>
  </si>
  <si>
    <t>DATE</t>
  </si>
  <si>
    <t>Campaign Group per Brand</t>
  </si>
  <si>
    <t>SALES</t>
  </si>
  <si>
    <t>UNITS SOLD</t>
  </si>
  <si>
    <t>ORDERED ITEMS</t>
  </si>
  <si>
    <t>UNITS PER ORDER</t>
  </si>
  <si>
    <t>SALES PER ORDER</t>
  </si>
  <si>
    <t>ASP</t>
  </si>
  <si>
    <t>SP AD SPEND</t>
  </si>
  <si>
    <t>IMPRESSIONS</t>
  </si>
  <si>
    <t>UNIT SALES</t>
  </si>
  <si>
    <t>AD SALES</t>
  </si>
  <si>
    <t>ROAS (return on ad send)</t>
  </si>
  <si>
    <t>TACoS (Total Advertsing Cost of Sales)</t>
  </si>
  <si>
    <t>REVENUE PERCENTAGE OF AD SALES</t>
  </si>
  <si>
    <t>ORGANIC SALES</t>
  </si>
  <si>
    <t>CPO</t>
  </si>
  <si>
    <t>UNITS</t>
  </si>
  <si>
    <t>AIRDOCTOR - Home Depot US</t>
  </si>
  <si>
    <t>AQUA TRU - Home Depot US</t>
  </si>
  <si>
    <t>to</t>
  </si>
  <si>
    <t>PAINT ZOOM - Home Depot US</t>
  </si>
  <si>
    <t>ROTORAZER SAW - Home Depot US /
ROTORAZERSAW - Home Depot US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</si>
  <si>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</si>
  <si>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</si>
  <si>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</si>
  <si>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</si>
  <si>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</si>
  <si>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</si>
  <si>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</si>
  <si>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</si>
  <si>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</si>
  <si>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</si>
  <si>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AquaTru - Home Depot CA</t>
  </si>
  <si>
    <t>Week 49</t>
  </si>
  <si>
    <t>AirDoctor - Home Depot CA</t>
  </si>
  <si>
    <t>Week 50</t>
  </si>
  <si>
    <t>Week 51</t>
  </si>
  <si>
    <t>Previous Week</t>
  </si>
  <si>
    <t>Current Week</t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</si>
  <si>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</si>
  <si>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>Week 52</t>
  </si>
  <si>
    <t>2026 - Week 1</t>
  </si>
  <si>
    <t>2026 - Week 2</t>
  </si>
  <si>
    <t>2026 - Week 3</t>
  </si>
  <si>
    <t>2026 - Week 4</t>
  </si>
  <si>
    <t>2026 - Week 5</t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</si>
  <si>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</si>
  <si>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t>BRAND</t>
  </si>
  <si>
    <t>GWV</t>
  </si>
  <si>
    <t>AquaTru</t>
  </si>
  <si>
    <t>AirDoctor</t>
  </si>
  <si>
    <t>Rotorazer</t>
  </si>
  <si>
    <t>Uncategorized</t>
  </si>
  <si>
    <t>2026 - Week 6</t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</si>
  <si>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</si>
  <si>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</si>
  <si>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</si>
  <si>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</si>
  <si>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>Campaign Name</t>
  </si>
  <si>
    <t>AirDoctor - Onsite - Sponsored Grid</t>
  </si>
  <si>
    <t>AirDoctor - Offsite</t>
  </si>
  <si>
    <t>AirDoctor - Onsite - Sponsored Banners</t>
  </si>
  <si>
    <t>AquaTru - Onsite - Systems - Sponsored Grid</t>
  </si>
  <si>
    <t>AquaTru - Onsite - Replacements - Sponsored Grid</t>
  </si>
  <si>
    <t>AquaTru - Onsite - - Systems - Sponsored Banners</t>
  </si>
  <si>
    <t>AquaTru - Onsite - Replacements - Sponsored Banners</t>
  </si>
  <si>
    <t>AquaTru - Offsite
WebsiteVisitorsAudience &gt;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</si>
</sst>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/yyyy"/>
  </numFmts>
  <fonts count="14">
    <font>
      <sz val="10.0"/>
      <color rgb="FF000000"/>
      <name val="Arial"/>
      <scheme val="minor"/>
    </font>
    <font>
      <u/>
      <color rgb="FF1155CC"/>
      <name val="Calibri"/>
    </font>
    <font/>
    <font>
      <color theme="1"/>
      <name val="Arial"/>
    </font>
    <font>
      <color theme="1"/>
      <name val="Calibri"/>
    </font>
    <font>
      <sz val="15.0"/>
      <color rgb="FF757171"/>
      <name val="Calibri"/>
    </font>
    <font>
      <sz val="13.0"/>
      <color theme="1"/>
      <name val="Calibri"/>
    </font>
    <font>
      <b/>
      <sz val="13.0"/>
      <color rgb="FF008000"/>
      <name val="Calibri"/>
    </font>
    <font>
      <b/>
      <sz val="13.0"/>
      <color rgb="FF34A853"/>
      <name val="Calibri"/>
    </font>
    <font>
      <b/>
      <color theme="1"/>
      <name val="Calibri"/>
    </font>
    <font>
      <color rgb="FF757171"/>
      <name val="Calibri"/>
    </font>
    <font>
      <b/>
      <color rgb="FF34A853"/>
      <name val="Calibri"/>
    </font>
    <font>
      <b/>
      <color rgb="FFFF0000"/>
      <name val="Calibri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30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</border>
    <border>
      <left style="thin">
        <color rgb="FF000000"/>
      </left>
      <right style="thin">
        <color rgb="FFFFFFFF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2" numFmtId="0" xfId="0" applyBorder="1" applyFont="1"/>
    <xf borderId="3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4" fillId="2" fontId="3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2" fontId="4" numFmtId="0" xfId="0" applyAlignment="1" applyBorder="1" applyFont="1">
      <alignment horizontal="center" vertical="bottom"/>
    </xf>
    <xf borderId="4" fillId="0" fontId="2" numFmtId="0" xfId="0" applyBorder="1" applyFont="1"/>
    <xf borderId="3" fillId="2" fontId="4" numFmtId="0" xfId="0" applyAlignment="1" applyBorder="1" applyFont="1">
      <alignment horizontal="center"/>
    </xf>
    <xf borderId="3" fillId="2" fontId="4" numFmtId="10" xfId="0" applyAlignment="1" applyBorder="1" applyFont="1" applyNumberFormat="1">
      <alignment horizontal="center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3" numFmtId="10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0" fontId="5" numFmtId="10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3" fillId="0" fontId="3" numFmtId="165" xfId="0" applyAlignment="1" applyBorder="1" applyFont="1" applyNumberFormat="1">
      <alignment horizontal="center" vertical="bottom"/>
    </xf>
    <xf borderId="4" fillId="0" fontId="3" numFmtId="1" xfId="0" applyAlignment="1" applyBorder="1" applyFont="1" applyNumberFormat="1">
      <alignment horizontal="center" vertical="bottom"/>
    </xf>
    <xf borderId="3" fillId="0" fontId="6" numFmtId="165" xfId="0" applyAlignment="1" applyBorder="1" applyFont="1" applyNumberFormat="1">
      <alignment horizontal="center" vertical="bottom"/>
    </xf>
    <xf borderId="4" fillId="0" fontId="6" numFmtId="1" xfId="0" applyAlignment="1" applyBorder="1" applyFont="1" applyNumberForma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5" fillId="0" fontId="3" numFmtId="9" xfId="0" applyAlignment="1" applyBorder="1" applyFont="1" applyNumberFormat="1">
      <alignment horizontal="center" vertical="bottom"/>
    </xf>
    <xf borderId="3" fillId="0" fontId="3" numFmtId="10" xfId="0" applyAlignment="1" applyBorder="1" applyFont="1" applyNumberFormat="1">
      <alignment horizontal="center" vertical="bottom"/>
    </xf>
    <xf borderId="3" fillId="0" fontId="7" numFmtId="10" xfId="0" applyAlignment="1" applyBorder="1" applyFont="1" applyNumberFormat="1">
      <alignment horizontal="center" vertical="bottom"/>
    </xf>
    <xf borderId="4" fillId="0" fontId="7" numFmtId="10" xfId="0" applyAlignment="1" applyBorder="1" applyFont="1" applyNumberFormat="1">
      <alignment horizontal="center" vertical="bottom"/>
    </xf>
    <xf borderId="3" fillId="0" fontId="3" numFmtId="9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0" fontId="6" numFmtId="165" xfId="0" applyAlignment="1" applyBorder="1" applyFont="1" applyNumberFormat="1">
      <alignment horizontal="center" vertical="bottom"/>
    </xf>
    <xf borderId="4" fillId="0" fontId="6" numFmtId="10" xfId="0" applyAlignment="1" applyBorder="1" applyFont="1" applyNumberFormat="1">
      <alignment horizontal="center" vertical="bottom"/>
    </xf>
    <xf borderId="6" fillId="0" fontId="3" numFmtId="10" xfId="0" applyAlignment="1" applyBorder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6" fillId="0" fontId="2" numFmtId="0" xfId="0" applyBorder="1" applyFont="1"/>
    <xf borderId="6" fillId="0" fontId="8" numFmtId="10" xfId="0" applyAlignment="1" applyBorder="1" applyFont="1" applyNumberForma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10" fillId="0" fontId="4" numFmtId="164" xfId="0" applyAlignment="1" applyBorder="1" applyFont="1" applyNumberFormat="1">
      <alignment horizontal="center" shrinkToFit="0" vertical="bottom" wrapText="1"/>
    </xf>
    <xf borderId="13" fillId="0" fontId="3" numFmtId="165" xfId="0" applyAlignment="1" applyBorder="1" applyFont="1" applyNumberFormat="1">
      <alignment horizontal="center" vertical="bottom"/>
    </xf>
    <xf borderId="14" fillId="0" fontId="3" numFmtId="165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shrinkToFit="0" vertical="bottom" wrapText="1"/>
    </xf>
    <xf borderId="15" fillId="0" fontId="9" numFmtId="0" xfId="0" applyAlignment="1" applyBorder="1" applyFont="1">
      <alignment horizontal="center" shrinkToFit="0" vertical="bottom" wrapText="1"/>
    </xf>
    <xf borderId="16" fillId="0" fontId="9" numFmtId="0" xfId="0" applyAlignment="1" applyBorder="1" applyFont="1">
      <alignment horizontal="center" readingOrder="0" shrinkToFit="0" vertical="bottom" wrapText="1"/>
    </xf>
    <xf borderId="16" fillId="0" fontId="9" numFmtId="0" xfId="0" applyAlignment="1" applyBorder="1" applyFont="1">
      <alignment horizontal="center" shrinkToFit="0" vertical="bottom" wrapText="1"/>
    </xf>
    <xf borderId="6" fillId="0" fontId="9" numFmtId="0" xfId="0" applyAlignment="1" applyBorder="1" applyFont="1">
      <alignment horizontal="center" shrinkToFit="0" vertical="bottom" wrapText="1"/>
    </xf>
    <xf borderId="16" fillId="0" fontId="9" numFmtId="164" xfId="0" applyAlignment="1" applyBorder="1" applyFont="1" applyNumberFormat="1">
      <alignment horizontal="center" shrinkToFit="0" vertical="bottom" wrapText="1"/>
    </xf>
    <xf borderId="17" fillId="0" fontId="9" numFmtId="0" xfId="0" applyAlignment="1" applyBorder="1" applyFont="1">
      <alignment horizontal="center" shrinkToFit="0" vertical="bottom" wrapText="1"/>
    </xf>
    <xf borderId="0" fillId="0" fontId="9" numFmtId="165" xfId="0" applyAlignment="1" applyFont="1" applyNumberFormat="1">
      <alignment horizontal="center" shrinkToFit="0" vertical="bottom" wrapText="1"/>
    </xf>
    <xf borderId="18" fillId="0" fontId="9" numFmtId="0" xfId="0" applyAlignment="1" applyBorder="1" applyFont="1">
      <alignment horizontal="center" shrinkToFit="0" vertical="bottom" wrapText="1"/>
    </xf>
    <xf borderId="0" fillId="2" fontId="3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9" fillId="2" fontId="3" numFmtId="0" xfId="0" applyAlignment="1" applyBorder="1" applyFont="1">
      <alignment horizontal="center" vertical="bottom"/>
    </xf>
    <xf borderId="19" fillId="2" fontId="3" numFmtId="165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horizontal="center" vertical="bottom"/>
    </xf>
    <xf borderId="2" fillId="2" fontId="3" numFmtId="2" xfId="0" applyAlignment="1" applyBorder="1" applyFont="1" applyNumberForma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20" fillId="2" fontId="3" numFmtId="164" xfId="0" applyAlignment="1" applyBorder="1" applyFont="1" applyNumberFormat="1">
      <alignment horizontal="center" vertical="bottom"/>
    </xf>
    <xf borderId="2" fillId="2" fontId="3" numFmtId="165" xfId="0" applyAlignment="1" applyBorder="1" applyFont="1" applyNumberFormat="1">
      <alignment horizontal="center" vertical="bottom"/>
    </xf>
    <xf borderId="2" fillId="2" fontId="3" numFmtId="10" xfId="0" applyAlignment="1" applyBorder="1" applyFont="1" applyNumberFormat="1">
      <alignment horizontal="center" vertical="bottom"/>
    </xf>
    <xf borderId="2" fillId="2" fontId="3" numFmtId="4" xfId="0" applyAlignment="1" applyBorder="1" applyFont="1" applyNumberFormat="1">
      <alignment horizontal="center" vertical="bottom"/>
    </xf>
    <xf borderId="21" fillId="2" fontId="3" numFmtId="10" xfId="0" applyAlignment="1" applyBorder="1" applyFont="1" applyNumberFormat="1">
      <alignment horizontal="center" vertical="bottom"/>
    </xf>
    <xf borderId="20" fillId="2" fontId="3" numFmtId="165" xfId="0" applyAlignment="1" applyBorder="1" applyFont="1" applyNumberFormat="1">
      <alignment horizontal="center" vertical="bottom"/>
    </xf>
    <xf borderId="21" fillId="2" fontId="3" numFmtId="164" xfId="0" applyAlignment="1" applyBorder="1" applyFont="1" applyNumberFormat="1">
      <alignment horizontal="center" vertical="bottom"/>
    </xf>
    <xf borderId="19" fillId="2" fontId="3" numFmtId="10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vertical="bottom"/>
    </xf>
    <xf borderId="19" fillId="0" fontId="4" numFmtId="0" xfId="0" applyAlignment="1" applyBorder="1" applyFont="1">
      <alignment horizontal="center" readingOrder="0" vertical="bottom"/>
    </xf>
    <xf borderId="19" fillId="3" fontId="3" numFmtId="165" xfId="0" applyAlignment="1" applyBorder="1" applyFill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" fillId="0" fontId="4" numFmtId="2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20" fillId="0" fontId="4" numFmtId="164" xfId="0" applyAlignment="1" applyBorder="1" applyFont="1" applyNumberFormat="1">
      <alignment horizontal="center" vertical="bottom"/>
    </xf>
    <xf borderId="19" fillId="3" fontId="4" numFmtId="165" xfId="0" applyAlignment="1" applyBorder="1" applyFont="1" applyNumberFormat="1">
      <alignment horizontal="center" readingOrder="0" shrinkToFit="0" vertical="bottom" wrapText="1"/>
    </xf>
    <xf borderId="22" fillId="0" fontId="4" numFmtId="3" xfId="0" applyAlignment="1" applyBorder="1" applyFont="1" applyNumberFormat="1">
      <alignment horizontal="center" readingOrder="0" vertical="bottom"/>
    </xf>
    <xf borderId="22" fillId="0" fontId="3" numFmtId="0" xfId="0" applyAlignment="1" applyBorder="1" applyFont="1">
      <alignment horizontal="center" readingOrder="0" vertical="bottom"/>
    </xf>
    <xf borderId="22" fillId="3" fontId="4" numFmtId="165" xfId="0" applyAlignment="1" applyBorder="1" applyFont="1" applyNumberFormat="1">
      <alignment horizontal="center" readingOrder="0" vertical="bottom"/>
    </xf>
    <xf borderId="2" fillId="0" fontId="4" numFmtId="10" xfId="0" applyAlignment="1" applyBorder="1" applyFont="1" applyNumberForma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21" fillId="0" fontId="4" numFmtId="10" xfId="0" applyAlignment="1" applyBorder="1" applyFont="1" applyNumberFormat="1">
      <alignment horizontal="center" vertical="bottom"/>
    </xf>
    <xf borderId="20" fillId="3" fontId="4" numFmtId="165" xfId="0" applyAlignment="1" applyBorder="1" applyFont="1" applyNumberFormat="1">
      <alignment horizontal="center" vertical="bottom"/>
    </xf>
    <xf borderId="21" fillId="0" fontId="4" numFmtId="164" xfId="0" applyAlignment="1" applyBorder="1" applyFont="1" applyNumberFormat="1">
      <alignment horizontal="center" vertical="bottom"/>
    </xf>
    <xf borderId="19" fillId="0" fontId="3" numFmtId="10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9" fillId="4" fontId="3" numFmtId="165" xfId="0" applyAlignment="1" applyBorder="1" applyFill="1" applyFont="1" applyNumberFormat="1">
      <alignment horizontal="center" vertical="bottom"/>
    </xf>
    <xf borderId="19" fillId="4" fontId="4" numFmtId="165" xfId="0" applyAlignment="1" applyBorder="1" applyFont="1" applyNumberFormat="1">
      <alignment horizontal="center" readingOrder="0" vertical="bottom"/>
    </xf>
    <xf borderId="22" fillId="4" fontId="4" numFmtId="165" xfId="0" applyAlignment="1" applyBorder="1" applyFont="1" applyNumberFormat="1">
      <alignment horizontal="center" readingOrder="0" vertical="bottom"/>
    </xf>
    <xf borderId="20" fillId="4" fontId="4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9" fillId="5" fontId="3" numFmtId="165" xfId="0" applyAlignment="1" applyBorder="1" applyFill="1" applyFont="1" applyNumberFormat="1">
      <alignment horizontal="center" vertical="bottom"/>
    </xf>
    <xf borderId="19" fillId="5" fontId="4" numFmtId="165" xfId="0" applyAlignment="1" applyBorder="1" applyFont="1" applyNumberFormat="1">
      <alignment horizontal="center" readingOrder="0" vertical="bottom"/>
    </xf>
    <xf borderId="22" fillId="5" fontId="4" numFmtId="165" xfId="0" applyAlignment="1" applyBorder="1" applyFont="1" applyNumberFormat="1">
      <alignment horizontal="center" readingOrder="0" vertical="bottom"/>
    </xf>
    <xf borderId="20" fillId="5" fontId="4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9" fillId="6" fontId="3" numFmtId="165" xfId="0" applyAlignment="1" applyBorder="1" applyFill="1" applyFont="1" applyNumberFormat="1">
      <alignment horizontal="center" vertical="bottom"/>
    </xf>
    <xf borderId="1" fillId="2" fontId="9" numFmtId="0" xfId="0" applyAlignment="1" applyBorder="1" applyFont="1">
      <alignment horizontal="center" vertical="bottom"/>
    </xf>
    <xf borderId="19" fillId="2" fontId="9" numFmtId="165" xfId="0" applyAlignment="1" applyBorder="1" applyFont="1" applyNumberFormat="1">
      <alignment horizontal="center" vertical="bottom"/>
    </xf>
    <xf borderId="2" fillId="2" fontId="9" numFmtId="0" xfId="0" applyAlignment="1" applyBorder="1" applyFont="1">
      <alignment horizontal="center" vertical="bottom"/>
    </xf>
    <xf borderId="2" fillId="2" fontId="9" numFmtId="2" xfId="0" applyAlignment="1" applyBorder="1" applyFont="1" applyNumberFormat="1">
      <alignment horizontal="center" vertical="bottom"/>
    </xf>
    <xf borderId="2" fillId="2" fontId="9" numFmtId="164" xfId="0" applyAlignment="1" applyBorder="1" applyFont="1" applyNumberFormat="1">
      <alignment horizontal="center" vertical="bottom"/>
    </xf>
    <xf borderId="20" fillId="2" fontId="9" numFmtId="164" xfId="0" applyAlignment="1" applyBorder="1" applyFont="1" applyNumberFormat="1">
      <alignment horizontal="center" vertical="bottom"/>
    </xf>
    <xf borderId="2" fillId="2" fontId="9" numFmtId="3" xfId="0" applyAlignment="1" applyBorder="1" applyFont="1" applyNumberFormat="1">
      <alignment horizontal="center" vertical="bottom"/>
    </xf>
    <xf borderId="2" fillId="2" fontId="9" numFmtId="165" xfId="0" applyAlignment="1" applyBorder="1" applyFont="1" applyNumberFormat="1">
      <alignment horizontal="center" vertical="bottom"/>
    </xf>
    <xf borderId="2" fillId="2" fontId="9" numFmtId="10" xfId="0" applyAlignment="1" applyBorder="1" applyFont="1" applyNumberFormat="1">
      <alignment horizontal="center" vertical="bottom"/>
    </xf>
    <xf borderId="2" fillId="2" fontId="9" numFmtId="4" xfId="0" applyAlignment="1" applyBorder="1" applyFont="1" applyNumberFormat="1">
      <alignment horizontal="center" vertical="bottom"/>
    </xf>
    <xf borderId="21" fillId="2" fontId="9" numFmtId="10" xfId="0" applyAlignment="1" applyBorder="1" applyFont="1" applyNumberFormat="1">
      <alignment horizontal="center" vertical="bottom"/>
    </xf>
    <xf borderId="20" fillId="2" fontId="9" numFmtId="165" xfId="0" applyAlignment="1" applyBorder="1" applyFont="1" applyNumberFormat="1">
      <alignment horizontal="center" vertical="bottom"/>
    </xf>
    <xf borderId="21" fillId="2" fontId="9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19" fillId="0" fontId="4" numFmtId="0" xfId="0" applyAlignment="1" applyBorder="1" applyFont="1">
      <alignment horizontal="center" vertical="bottom"/>
    </xf>
    <xf borderId="19" fillId="3" fontId="3" numFmtId="165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19" fillId="3" fontId="4" numFmtId="165" xfId="0" applyAlignment="1" applyBorder="1" applyFont="1" applyNumberFormat="1">
      <alignment horizontal="center" shrinkToFit="0" vertical="bottom" wrapText="1"/>
    </xf>
    <xf borderId="22" fillId="0" fontId="4" numFmtId="3" xfId="0" applyAlignment="1" applyBorder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2" fillId="3" fontId="4" numFmtId="165" xfId="0" applyAlignment="1" applyBorder="1" applyFont="1" applyNumberFormat="1">
      <alignment horizontal="center" vertical="bottom"/>
    </xf>
    <xf borderId="19" fillId="0" fontId="3" numFmtId="10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  <xf borderId="1" fillId="0" fontId="3" numFmtId="166" xfId="0" applyAlignment="1" applyBorder="1" applyFont="1" applyNumberFormat="1">
      <alignment vertical="bottom"/>
    </xf>
    <xf borderId="19" fillId="4" fontId="3" numFmtId="165" xfId="0" applyAlignment="1" applyBorder="1" applyFont="1" applyNumberFormat="1">
      <alignment vertical="bottom"/>
    </xf>
    <xf borderId="19" fillId="4" fontId="4" numFmtId="165" xfId="0" applyAlignment="1" applyBorder="1" applyFont="1" applyNumberFormat="1">
      <alignment horizontal="center" vertical="bottom"/>
    </xf>
    <xf borderId="22" fillId="4" fontId="4" numFmtId="165" xfId="0" applyAlignment="1" applyBorder="1" applyFont="1" applyNumberFormat="1">
      <alignment horizontal="center" vertical="bottom"/>
    </xf>
    <xf borderId="19" fillId="5" fontId="3" numFmtId="165" xfId="0" applyAlignment="1" applyBorder="1" applyFont="1" applyNumberFormat="1">
      <alignment vertical="bottom"/>
    </xf>
    <xf borderId="19" fillId="5" fontId="4" numFmtId="165" xfId="0" applyAlignment="1" applyBorder="1" applyFont="1" applyNumberFormat="1">
      <alignment horizontal="center" vertical="bottom"/>
    </xf>
    <xf borderId="22" fillId="5" fontId="4" numFmtId="165" xfId="0" applyAlignment="1" applyBorder="1" applyFont="1" applyNumberFormat="1">
      <alignment horizontal="center" vertical="bottom"/>
    </xf>
    <xf borderId="19" fillId="6" fontId="3" numFmtId="165" xfId="0" applyAlignment="1" applyBorder="1" applyFont="1" applyNumberFormat="1">
      <alignment vertical="bottom"/>
    </xf>
    <xf borderId="22" fillId="0" fontId="3" numFmtId="3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22" fillId="4" fontId="3" numFmtId="165" xfId="0" applyAlignment="1" applyBorder="1" applyFont="1" applyNumberFormat="1">
      <alignment vertical="bottom"/>
    </xf>
    <xf borderId="1" fillId="2" fontId="9" numFmtId="0" xfId="0" applyAlignment="1" applyBorder="1" applyFont="1">
      <alignment horizontal="center" readingOrder="0" vertical="bottom"/>
    </xf>
    <xf borderId="19" fillId="2" fontId="3" numFmtId="0" xfId="0" applyAlignment="1" applyBorder="1" applyFont="1">
      <alignment vertical="bottom"/>
    </xf>
    <xf borderId="2" fillId="2" fontId="9" numFmtId="0" xfId="0" applyAlignment="1" applyBorder="1" applyFont="1">
      <alignment horizontal="center" vertical="bottom"/>
    </xf>
    <xf borderId="19" fillId="2" fontId="3" numFmtId="10" xfId="0" applyAlignment="1" applyBorder="1" applyFont="1" applyNumberFormat="1">
      <alignment vertical="bottom"/>
    </xf>
    <xf borderId="19" fillId="6" fontId="4" numFmtId="165" xfId="0" applyAlignment="1" applyBorder="1" applyFont="1" applyNumberFormat="1">
      <alignment horizontal="center" vertical="bottom"/>
    </xf>
    <xf borderId="22" fillId="6" fontId="4" numFmtId="165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readingOrder="0" vertical="bottom"/>
    </xf>
    <xf borderId="19" fillId="7" fontId="4" numFmtId="0" xfId="0" applyAlignment="1" applyBorder="1" applyFill="1" applyFont="1">
      <alignment horizontal="center" readingOrder="0" vertical="bottom"/>
    </xf>
    <xf borderId="19" fillId="6" fontId="4" numFmtId="165" xfId="0" applyAlignment="1" applyBorder="1" applyFont="1" applyNumberFormat="1">
      <alignment horizontal="center" readingOrder="0" vertical="bottom"/>
    </xf>
    <xf borderId="22" fillId="0" fontId="4" numFmtId="0" xfId="0" applyAlignment="1" applyBorder="1" applyFont="1">
      <alignment horizontal="center" vertical="bottom"/>
    </xf>
    <xf borderId="22" fillId="6" fontId="4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9" fillId="7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vertical="bottom"/>
    </xf>
    <xf borderId="2" fillId="0" fontId="3" numFmtId="164" xfId="0" applyAlignment="1" applyBorder="1" applyFont="1" applyNumberFormat="1">
      <alignment vertical="bottom"/>
    </xf>
    <xf borderId="2" fillId="0" fontId="3" numFmtId="165" xfId="0" applyAlignment="1" applyBorder="1" applyFont="1" applyNumberFormat="1">
      <alignment vertical="bottom"/>
    </xf>
    <xf borderId="4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10" numFmtId="10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3" fillId="0" fontId="3" numFmtId="165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vertical="bottom"/>
    </xf>
    <xf borderId="4" fillId="0" fontId="4" numFmtId="1" xfId="0" applyAlignment="1" applyBorder="1" applyFont="1" applyNumberFormat="1">
      <alignment vertical="bottom"/>
    </xf>
    <xf borderId="0" fillId="0" fontId="3" numFmtId="9" xfId="0" applyAlignment="1" applyFont="1" applyNumberFormat="1">
      <alignment vertical="bottom"/>
    </xf>
    <xf borderId="5" fillId="0" fontId="3" numFmtId="9" xfId="0" applyAlignment="1" applyBorder="1" applyFont="1" applyNumberFormat="1">
      <alignment vertical="bottom"/>
    </xf>
    <xf borderId="3" fillId="0" fontId="11" numFmtId="10" xfId="0" applyAlignment="1" applyBorder="1" applyFont="1" applyNumberFormat="1">
      <alignment vertical="bottom"/>
    </xf>
    <xf borderId="4" fillId="0" fontId="11" numFmtId="10" xfId="0" applyAlignment="1" applyBorder="1" applyFont="1" applyNumberFormat="1">
      <alignment vertical="bottom"/>
    </xf>
    <xf borderId="3" fillId="0" fontId="3" numFmtId="9" xfId="0" applyAlignment="1" applyBorder="1" applyFont="1" applyNumberFormat="1">
      <alignment vertical="bottom"/>
    </xf>
    <xf borderId="4" fillId="0" fontId="4" numFmtId="165" xfId="0" applyAlignment="1" applyBorder="1" applyFont="1" applyNumberFormat="1">
      <alignment vertical="bottom"/>
    </xf>
    <xf borderId="4" fillId="0" fontId="4" numFmtId="10" xfId="0" applyAlignment="1" applyBorder="1" applyFont="1" applyNumberFormat="1">
      <alignment vertical="bottom"/>
    </xf>
    <xf borderId="6" fillId="0" fontId="12" numFmtId="10" xfId="0" applyAlignment="1" applyBorder="1" applyFont="1" applyNumberFormat="1">
      <alignment vertical="bottom"/>
    </xf>
    <xf borderId="0" fillId="0" fontId="11" numFmtId="10" xfId="0" applyAlignment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3" numFmtId="165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23" fillId="8" fontId="4" numFmtId="164" xfId="0" applyAlignment="1" applyBorder="1" applyFill="1" applyFont="1" applyNumberFormat="1">
      <alignment horizontal="center" shrinkToFit="0" vertical="bottom" wrapText="1"/>
    </xf>
    <xf borderId="24" fillId="8" fontId="4" numFmtId="164" xfId="0" applyAlignment="1" applyBorder="1" applyFont="1" applyNumberFormat="1">
      <alignment horizontal="center" shrinkToFit="0" vertical="bottom" wrapText="1"/>
    </xf>
    <xf borderId="25" fillId="0" fontId="2" numFmtId="0" xfId="0" applyBorder="1" applyFont="1"/>
    <xf borderId="26" fillId="0" fontId="2" numFmtId="0" xfId="0" applyBorder="1" applyFont="1"/>
    <xf borderId="23" fillId="8" fontId="3" numFmtId="165" xfId="0" applyAlignment="1" applyBorder="1" applyFont="1" applyNumberFormat="1">
      <alignment vertical="bottom"/>
    </xf>
    <xf borderId="23" fillId="8" fontId="9" numFmtId="164" xfId="0" applyAlignment="1" applyBorder="1" applyFont="1" applyNumberFormat="1">
      <alignment horizontal="center" shrinkToFit="0" vertical="bottom" wrapText="1"/>
    </xf>
    <xf borderId="23" fillId="8" fontId="9" numFmtId="0" xfId="0" applyAlignment="1" applyBorder="1" applyFont="1">
      <alignment horizontal="center" shrinkToFit="0" vertical="bottom" wrapText="1"/>
    </xf>
    <xf borderId="23" fillId="8" fontId="9" numFmtId="165" xfId="0" applyAlignment="1" applyBorder="1" applyFont="1" applyNumberFormat="1">
      <alignment horizontal="center" shrinkToFit="0" vertical="bottom" wrapText="1"/>
    </xf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9" fillId="2" fontId="3" numFmtId="0" xfId="0" applyAlignment="1" applyBorder="1" applyFont="1">
      <alignment vertical="bottom"/>
    </xf>
    <xf borderId="19" fillId="2" fontId="3" numFmtId="165" xfId="0" applyAlignment="1" applyBorder="1" applyFont="1" applyNumberFormat="1">
      <alignment vertical="bottom"/>
    </xf>
    <xf borderId="2" fillId="2" fontId="3" numFmtId="0" xfId="0" applyAlignment="1" applyBorder="1" applyFont="1">
      <alignment vertical="bottom"/>
    </xf>
    <xf borderId="2" fillId="2" fontId="3" numFmtId="2" xfId="0" applyAlignment="1" applyBorder="1" applyFont="1" applyNumberFormat="1">
      <alignment vertical="bottom"/>
    </xf>
    <xf borderId="2" fillId="2" fontId="3" numFmtId="164" xfId="0" applyAlignment="1" applyBorder="1" applyFont="1" applyNumberFormat="1">
      <alignment vertical="bottom"/>
    </xf>
    <xf borderId="23" fillId="8" fontId="3" numFmtId="165" xfId="0" applyAlignment="1" applyBorder="1" applyFont="1" applyNumberFormat="1">
      <alignment vertical="bottom"/>
    </xf>
    <xf borderId="23" fillId="8" fontId="3" numFmtId="0" xfId="0" applyAlignment="1" applyBorder="1" applyFont="1">
      <alignment vertical="bottom"/>
    </xf>
    <xf borderId="23" fillId="8" fontId="3" numFmtId="10" xfId="0" applyAlignment="1" applyBorder="1" applyFont="1" applyNumberFormat="1">
      <alignment vertical="bottom"/>
    </xf>
    <xf borderId="23" fillId="8" fontId="3" numFmtId="4" xfId="0" applyAlignment="1" applyBorder="1" applyFont="1" applyNumberFormat="1">
      <alignment vertical="bottom"/>
    </xf>
    <xf borderId="23" fillId="8" fontId="3" numFmtId="164" xfId="0" applyAlignment="1" applyBorder="1" applyFont="1" applyNumberFormat="1">
      <alignment vertical="bottom"/>
    </xf>
    <xf borderId="23" fillId="8" fontId="4" numFmtId="165" xfId="0" applyAlignment="1" applyBorder="1" applyFont="1" applyNumberFormat="1">
      <alignment horizontal="center" vertical="bottom"/>
    </xf>
    <xf borderId="23" fillId="8" fontId="4" numFmtId="3" xfId="0" applyAlignment="1" applyBorder="1" applyFont="1" applyNumberFormat="1">
      <alignment horizontal="center" vertical="bottom"/>
    </xf>
    <xf borderId="23" fillId="8" fontId="4" numFmtId="0" xfId="0" applyAlignment="1" applyBorder="1" applyFont="1">
      <alignment horizontal="center" vertical="bottom"/>
    </xf>
    <xf borderId="23" fillId="8" fontId="4" numFmtId="10" xfId="0" applyAlignment="1" applyBorder="1" applyFont="1" applyNumberFormat="1">
      <alignment horizontal="center" vertical="bottom"/>
    </xf>
    <xf borderId="23" fillId="8" fontId="4" numFmtId="4" xfId="0" applyAlignment="1" applyBorder="1" applyFont="1" applyNumberFormat="1">
      <alignment horizontal="center" vertical="bottom"/>
    </xf>
    <xf borderId="23" fillId="8" fontId="4" numFmtId="165" xfId="0" applyAlignment="1" applyBorder="1" applyFont="1" applyNumberFormat="1">
      <alignment horizontal="center" vertical="bottom"/>
    </xf>
    <xf borderId="23" fillId="8" fontId="4" numFmtId="164" xfId="0" applyAlignment="1" applyBorder="1" applyFont="1" applyNumberFormat="1">
      <alignment horizontal="center" vertical="bottom"/>
    </xf>
    <xf borderId="19" fillId="9" fontId="4" numFmtId="165" xfId="0" applyAlignment="1" applyBorder="1" applyFill="1" applyFont="1" applyNumberFormat="1">
      <alignment horizontal="center" readingOrder="0" vertical="bottom"/>
    </xf>
    <xf borderId="19" fillId="10" fontId="4" numFmtId="165" xfId="0" applyAlignment="1" applyBorder="1" applyFill="1" applyFont="1" applyNumberFormat="1">
      <alignment horizontal="center" readingOrder="0" vertical="bottom"/>
    </xf>
    <xf borderId="27" fillId="2" fontId="9" numFmtId="0" xfId="0" applyAlignment="1" applyBorder="1" applyFont="1">
      <alignment horizontal="center" vertical="bottom"/>
    </xf>
    <xf borderId="23" fillId="8" fontId="9" numFmtId="165" xfId="0" applyAlignment="1" applyBorder="1" applyFont="1" applyNumberFormat="1">
      <alignment horizontal="center" vertical="bottom"/>
    </xf>
    <xf borderId="23" fillId="8" fontId="9" numFmtId="3" xfId="0" applyAlignment="1" applyBorder="1" applyFont="1" applyNumberFormat="1">
      <alignment horizontal="center" vertical="bottom"/>
    </xf>
    <xf borderId="23" fillId="8" fontId="9" numFmtId="0" xfId="0" applyAlignment="1" applyBorder="1" applyFont="1">
      <alignment horizontal="center" vertical="bottom"/>
    </xf>
    <xf borderId="23" fillId="8" fontId="9" numFmtId="10" xfId="0" applyAlignment="1" applyBorder="1" applyFont="1" applyNumberFormat="1">
      <alignment horizontal="center" vertical="bottom"/>
    </xf>
    <xf borderId="23" fillId="8" fontId="9" numFmtId="4" xfId="0" applyAlignment="1" applyBorder="1" applyFont="1" applyNumberFormat="1">
      <alignment horizontal="center" vertical="bottom"/>
    </xf>
    <xf borderId="23" fillId="8" fontId="9" numFmtId="165" xfId="0" applyAlignment="1" applyBorder="1" applyFont="1" applyNumberFormat="1">
      <alignment horizontal="center" vertical="bottom"/>
    </xf>
    <xf borderId="23" fillId="8" fontId="9" numFmtId="164" xfId="0" applyAlignment="1" applyBorder="1" applyFont="1" applyNumberFormat="1">
      <alignment horizontal="center" vertical="bottom"/>
    </xf>
    <xf borderId="23" fillId="8" fontId="3" numFmtId="3" xfId="0" applyAlignment="1" applyBorder="1" applyFont="1" applyNumberFormat="1">
      <alignment vertical="bottom"/>
    </xf>
    <xf borderId="19" fillId="9" fontId="4" numFmtId="165" xfId="0" applyAlignment="1" applyBorder="1" applyFont="1" applyNumberFormat="1">
      <alignment horizontal="center" vertical="bottom"/>
    </xf>
    <xf borderId="19" fillId="10" fontId="4" numFmtId="165" xfId="0" applyAlignment="1" applyBorder="1" applyFont="1" applyNumberFormat="1">
      <alignment horizontal="center" vertical="bottom"/>
    </xf>
    <xf borderId="27" fillId="2" fontId="9" numFmtId="0" xfId="0" applyAlignment="1" applyBorder="1" applyFont="1">
      <alignment horizontal="center" readingOrder="0" vertical="bottom"/>
    </xf>
    <xf borderId="1" fillId="2" fontId="9" numFmtId="166" xfId="0" applyAlignment="1" applyBorder="1" applyFont="1" applyNumberFormat="1">
      <alignment horizontal="center" vertical="bottom"/>
    </xf>
    <xf borderId="19" fillId="2" fontId="11" numFmtId="10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23" fillId="8" fontId="3" numFmtId="2" xfId="0" applyAlignment="1" applyBorder="1" applyFont="1" applyNumberFormat="1">
      <alignment vertical="bottom"/>
    </xf>
    <xf borderId="23" fillId="8" fontId="3" numFmtId="9" xfId="0" applyAlignment="1" applyBorder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3" numFmtId="0" xfId="0" applyAlignment="1" applyFont="1">
      <alignment vertical="bottom"/>
    </xf>
    <xf borderId="0" fillId="8" fontId="3" numFmtId="10" xfId="0" applyAlignment="1" applyFont="1" applyNumberFormat="1">
      <alignment vertical="bottom"/>
    </xf>
    <xf borderId="0" fillId="8" fontId="3" numFmtId="2" xfId="0" applyAlignment="1" applyFont="1" applyNumberFormat="1">
      <alignment vertical="bottom"/>
    </xf>
    <xf borderId="0" fillId="8" fontId="3" numFmtId="9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13" numFmtId="0" xfId="0" applyFont="1"/>
    <xf borderId="3" fillId="2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shrinkToFit="0" vertical="bottom" wrapText="1"/>
    </xf>
    <xf borderId="20" fillId="2" fontId="3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readingOrder="0" vertical="bottom"/>
    </xf>
    <xf borderId="28" fillId="7" fontId="4" numFmtId="0" xfId="0" applyAlignment="1" applyBorder="1" applyFont="1">
      <alignment horizontal="center" readingOrder="0" vertical="bottom"/>
    </xf>
    <xf borderId="19" fillId="8" fontId="4" numFmtId="0" xfId="0" applyAlignment="1" applyBorder="1" applyFont="1">
      <alignment horizontal="center" readingOrder="0" vertical="bottom"/>
    </xf>
    <xf borderId="16" fillId="0" fontId="2" numFmtId="0" xfId="0" applyBorder="1" applyFont="1"/>
    <xf borderId="29" fillId="0" fontId="2" numFmtId="0" xfId="0" applyBorder="1" applyFont="1"/>
    <xf borderId="28" fillId="5" fontId="4" numFmtId="0" xfId="0" applyAlignment="1" applyBorder="1" applyFont="1">
      <alignment horizontal="center" readingOrder="0" vertical="bottom"/>
    </xf>
    <xf borderId="20" fillId="2" fontId="3" numFmtId="0" xfId="0" applyAlignment="1" applyBorder="1" applyFont="1">
      <alignment vertical="bottom"/>
    </xf>
    <xf borderId="28" fillId="7" fontId="4" numFmtId="0" xfId="0" applyAlignment="1" applyBorder="1" applyFont="1">
      <alignment horizontal="center" vertical="bottom"/>
    </xf>
    <xf borderId="19" fillId="8" fontId="4" numFmtId="0" xfId="0" applyAlignment="1" applyBorder="1" applyFont="1">
      <alignment horizontal="center" vertical="bottom"/>
    </xf>
    <xf borderId="28" fillId="5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Week",$B$11:$X$105,match("SALES",$B$11:$X$11,0),FALSE)</f>
        <v>0</v>
      </c>
      <c r="L4" s="13"/>
      <c r="M4" s="13"/>
      <c r="N4" s="22">
        <f>VLOOKUP("Current Week",$B$11:$X$105,match("Units Sold",$B$11:$X$11,0),FALSE)</f>
        <v>0</v>
      </c>
      <c r="O4" s="10"/>
      <c r="P4" s="8"/>
      <c r="Q4" s="3"/>
      <c r="R4" s="13"/>
      <c r="S4" s="22">
        <f>VLOOKUP("Current Week",$B$11:$X$105,match("Ordered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Week",$B$11:$X$110,match("SALES",$B$11:$X$11,0),FALSE)))/K4</f>
        <v>#DIV/0!</v>
      </c>
      <c r="L5" s="13"/>
      <c r="M5" s="13"/>
      <c r="N5" s="27" t="str">
        <f>(N4-(VLOOKUP("Previous Week",$B$11:$X$110,match("Units Sold",$B$11:$X$11,0),FALSE)))/N4</f>
        <v>#DIV/0!</v>
      </c>
      <c r="O5" s="10"/>
      <c r="P5" s="10"/>
      <c r="Q5" s="8"/>
      <c r="R5" s="13"/>
      <c r="S5" s="27" t="str">
        <f>(S4-(VLOOKUP("Previous Week",$B$11:$X$110,match("Ordered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Week",$B$11:$X$105,match("AD SALES",$B$11:$X$11,0),FALSE)</f>
        <v>571</v>
      </c>
      <c r="L8" s="13"/>
      <c r="M8" s="13"/>
      <c r="N8" s="31">
        <f>VLOOKUP("Current Week",$B$11:$X$105,match("SP AD SPEND",$B$11:$X$11,0),FALSE)</f>
        <v>593.32</v>
      </c>
      <c r="O8" s="10"/>
      <c r="P8" s="8"/>
      <c r="Q8" s="3"/>
      <c r="R8" s="13"/>
      <c r="S8" s="32">
        <f>N8/K8</f>
        <v>1.039089317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Week",$B$11:$X$110,match("AD SALES",$B$11:$X$11,0),FALSE)))/K8</f>
        <v>-0.7793345009</v>
      </c>
      <c r="L9" s="13"/>
      <c r="M9" s="13"/>
      <c r="N9" s="37">
        <f>(N8-(VLOOKUP("Previous Week",$B$11:$X$110,match("SP AD SPEND",$B$11:$X$11,0),FALSE)))/N8</f>
        <v>0.122564552</v>
      </c>
      <c r="Q9" s="35"/>
      <c r="R9" s="13"/>
      <c r="S9" s="37">
        <f>(S8-(VLOOKUP("Previous Week",$B$11:$X$110,match("ACOS",$B$11:$X$11,0),FALSE)))/S8</f>
        <v>0.5068743693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96" si="1">E13/F13</f>
        <v>#DIV/0!</v>
      </c>
      <c r="H13" s="79" t="str">
        <f t="shared" ref="H13:H96" si="2">D13/E13</f>
        <v>#DIV/0!</v>
      </c>
      <c r="I13" s="80" t="str">
        <f t="shared" ref="I13:I96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96" si="5">M13/J13</f>
        <v>#DIV/0!</v>
      </c>
      <c r="P13" s="85" t="str">
        <f t="shared" ref="P13:P96" si="6">J13/D13</f>
        <v>#DIV/0!</v>
      </c>
      <c r="Q13" s="87" t="str">
        <f t="shared" ref="Q13:Q96" si="7">M13/D13</f>
        <v>#DIV/0!</v>
      </c>
      <c r="R13" s="88">
        <f t="shared" ref="R13:R16" si="8">D13-M13</f>
        <v>0</v>
      </c>
      <c r="S13" s="89" t="str">
        <f t="shared" ref="S13:S96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 t="shared" ref="A16:A17" si="10"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19" si="13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collapsed="1">
      <c r="A17" s="13" t="str">
        <f t="shared" si="10"/>
        <v/>
      </c>
      <c r="B17" s="103" t="s">
        <v>36</v>
      </c>
      <c r="C17" s="61"/>
      <c r="D17" s="104">
        <f t="shared" ref="D17:F17" si="11">SUM(D13:D16)</f>
        <v>0</v>
      </c>
      <c r="E17" s="105">
        <f t="shared" si="11"/>
        <v>0</v>
      </c>
      <c r="F17" s="105">
        <f t="shared" si="11"/>
        <v>0</v>
      </c>
      <c r="G17" s="106" t="str">
        <f t="shared" si="1"/>
        <v>#DIV/0!</v>
      </c>
      <c r="H17" s="107" t="str">
        <f t="shared" si="2"/>
        <v>#DIV/0!</v>
      </c>
      <c r="I17" s="108" t="str">
        <f t="shared" si="3"/>
        <v>#DIV/0!</v>
      </c>
      <c r="J17" s="104">
        <f t="shared" ref="J17:M17" si="12">SUM(J13:J16)</f>
        <v>0</v>
      </c>
      <c r="K17" s="109">
        <f t="shared" si="12"/>
        <v>0</v>
      </c>
      <c r="L17" s="105">
        <f t="shared" si="12"/>
        <v>0</v>
      </c>
      <c r="M17" s="110">
        <f t="shared" si="12"/>
        <v>0</v>
      </c>
      <c r="N17" s="111" t="str">
        <f t="shared" si="13"/>
        <v>#DIV/0!</v>
      </c>
      <c r="O17" s="112" t="str">
        <f t="shared" si="5"/>
        <v>#DIV/0!</v>
      </c>
      <c r="P17" s="111" t="str">
        <f t="shared" si="6"/>
        <v>#DIV/0!</v>
      </c>
      <c r="Q17" s="113" t="str">
        <f t="shared" si="7"/>
        <v>#DIV/0!</v>
      </c>
      <c r="R17" s="114">
        <f>SUM(R13:R16)</f>
        <v>0</v>
      </c>
      <c r="S17" s="115" t="str">
        <f t="shared" si="9"/>
        <v>#DIV/0!</v>
      </c>
      <c r="T17" s="73" t="str">
        <f t="shared" ref="T17:U17" si="14">IFERROR((D17-#REF!)/D17,)</f>
        <v/>
      </c>
      <c r="U17" s="73" t="str">
        <f t="shared" si="14"/>
        <v/>
      </c>
      <c r="V17" s="73" t="str">
        <f t="shared" ref="V17:W17" si="15">IFERROR((D17-#REF!)/D17, )</f>
        <v/>
      </c>
      <c r="W17" s="73" t="str">
        <f t="shared" si="15"/>
        <v/>
      </c>
      <c r="X17" s="13"/>
      <c r="Y17" s="13"/>
      <c r="Z17" s="13"/>
    </row>
    <row r="18" hidden="1" outlineLevel="1">
      <c r="A18" s="13"/>
      <c r="B18" s="74">
        <v>45928.0</v>
      </c>
      <c r="C18" s="75" t="s">
        <v>31</v>
      </c>
      <c r="D18" s="76"/>
      <c r="E18" s="77"/>
      <c r="F18" s="77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81">
        <v>0.0</v>
      </c>
      <c r="K18" s="82">
        <v>0.0</v>
      </c>
      <c r="L18" s="83">
        <v>0.0</v>
      </c>
      <c r="M18" s="84">
        <v>0.0</v>
      </c>
      <c r="N18" s="85" t="str">
        <f t="shared" si="13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88">
        <f t="shared" ref="R18:R21" si="16">D18-M18</f>
        <v>0</v>
      </c>
      <c r="S18" s="89" t="str">
        <f t="shared" si="9"/>
        <v>#DIV/0!</v>
      </c>
      <c r="T18" s="90"/>
      <c r="U18" s="90"/>
      <c r="V18" s="90"/>
      <c r="W18" s="90"/>
      <c r="X18" s="3"/>
      <c r="Y18" s="13"/>
      <c r="Z18" s="13"/>
    </row>
    <row r="19" hidden="1" outlineLevel="1">
      <c r="A19" s="13"/>
      <c r="B19" s="91"/>
      <c r="C19" s="75" t="s">
        <v>32</v>
      </c>
      <c r="D19" s="92"/>
      <c r="E19" s="77"/>
      <c r="F19" s="77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93">
        <v>0.0</v>
      </c>
      <c r="K19" s="82">
        <v>0.0</v>
      </c>
      <c r="L19" s="83">
        <v>0.0</v>
      </c>
      <c r="M19" s="94">
        <v>0.0</v>
      </c>
      <c r="N19" s="85" t="str">
        <f t="shared" si="13"/>
        <v>#DIV/0!</v>
      </c>
      <c r="O19" s="86" t="str">
        <f t="shared" si="5"/>
        <v>#DIV/0!</v>
      </c>
      <c r="P19" s="85" t="str">
        <f t="shared" si="6"/>
        <v>#DIV/0!</v>
      </c>
      <c r="Q19" s="87" t="str">
        <f t="shared" si="7"/>
        <v>#DIV/0!</v>
      </c>
      <c r="R19" s="95">
        <f t="shared" si="16"/>
        <v>0</v>
      </c>
      <c r="S19" s="89" t="str">
        <f t="shared" si="9"/>
        <v>#DIV/0!</v>
      </c>
      <c r="T19" s="90"/>
      <c r="U19" s="90"/>
      <c r="V19" s="90"/>
      <c r="W19" s="90"/>
      <c r="X19" s="3"/>
      <c r="Y19" s="13"/>
      <c r="Z19" s="13"/>
    </row>
    <row r="20" hidden="1" outlineLevel="1">
      <c r="A20" s="13"/>
      <c r="B20" s="96" t="s">
        <v>33</v>
      </c>
      <c r="C20" s="75" t="s">
        <v>34</v>
      </c>
      <c r="D20" s="97"/>
      <c r="E20" s="77"/>
      <c r="F20" s="77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98">
        <v>0.0</v>
      </c>
      <c r="K20" s="82">
        <v>0.0</v>
      </c>
      <c r="L20" s="83">
        <v>0.0</v>
      </c>
      <c r="M20" s="99">
        <v>0.0</v>
      </c>
      <c r="N20" s="85" t="str">
        <f>(J20/M20)</f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100">
        <f t="shared" si="16"/>
        <v>0</v>
      </c>
      <c r="S20" s="89" t="str">
        <f t="shared" si="9"/>
        <v>#DIV/0!</v>
      </c>
      <c r="T20" s="90"/>
      <c r="U20" s="90"/>
      <c r="V20" s="90"/>
      <c r="W20" s="90"/>
      <c r="X20" s="3"/>
      <c r="Y20" s="13"/>
      <c r="Z20" s="13"/>
    </row>
    <row r="21" hidden="1" outlineLevel="1">
      <c r="A21" s="101" t="str">
        <f t="shared" ref="A21:A22" si="17">iferror(if(B21&gt;0,month(B21)&amp;"-"&amp;year(B21),B21),)</f>
        <v>10-2025</v>
      </c>
      <c r="B21" s="74">
        <v>45934.0</v>
      </c>
      <c r="C21" s="75" t="s">
        <v>35</v>
      </c>
      <c r="D21" s="102"/>
      <c r="E21" s="77"/>
      <c r="F21" s="77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93">
        <v>0.0</v>
      </c>
      <c r="K21" s="82">
        <v>0.0</v>
      </c>
      <c r="L21" s="83">
        <v>0.0</v>
      </c>
      <c r="M21" s="94">
        <v>0.0</v>
      </c>
      <c r="N21" s="85" t="str">
        <f t="shared" ref="N21:N24" si="20">J21/M21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88">
        <f t="shared" si="16"/>
        <v>0</v>
      </c>
      <c r="S21" s="89" t="str">
        <f t="shared" si="9"/>
        <v>#DIV/0!</v>
      </c>
      <c r="T21" s="90"/>
      <c r="U21" s="90"/>
      <c r="V21" s="90"/>
      <c r="W21" s="90"/>
      <c r="X21" s="3"/>
      <c r="Y21" s="13"/>
      <c r="Z21" s="13"/>
    </row>
    <row r="22" collapsed="1">
      <c r="A22" s="13" t="str">
        <f t="shared" si="17"/>
        <v/>
      </c>
      <c r="B22" s="103" t="s">
        <v>37</v>
      </c>
      <c r="C22" s="61"/>
      <c r="D22" s="104">
        <f t="shared" ref="D22:F22" si="18">SUM(D18:D21)</f>
        <v>0</v>
      </c>
      <c r="E22" s="105">
        <f t="shared" si="18"/>
        <v>0</v>
      </c>
      <c r="F22" s="105">
        <f t="shared" si="18"/>
        <v>0</v>
      </c>
      <c r="G22" s="106" t="str">
        <f t="shared" si="1"/>
        <v>#DIV/0!</v>
      </c>
      <c r="H22" s="107" t="str">
        <f t="shared" si="2"/>
        <v>#DIV/0!</v>
      </c>
      <c r="I22" s="108" t="str">
        <f t="shared" si="3"/>
        <v>#DIV/0!</v>
      </c>
      <c r="J22" s="104">
        <f t="shared" ref="J22:M22" si="19">SUM(J18:J21)</f>
        <v>0</v>
      </c>
      <c r="K22" s="109">
        <f t="shared" si="19"/>
        <v>0</v>
      </c>
      <c r="L22" s="105">
        <f t="shared" si="19"/>
        <v>0</v>
      </c>
      <c r="M22" s="110">
        <f t="shared" si="19"/>
        <v>0</v>
      </c>
      <c r="N22" s="111" t="str">
        <f t="shared" si="20"/>
        <v>#DIV/0!</v>
      </c>
      <c r="O22" s="112" t="str">
        <f t="shared" si="5"/>
        <v>#DIV/0!</v>
      </c>
      <c r="P22" s="111" t="str">
        <f t="shared" si="6"/>
        <v>#DIV/0!</v>
      </c>
      <c r="Q22" s="113" t="str">
        <f t="shared" si="7"/>
        <v>#DIV/0!</v>
      </c>
      <c r="R22" s="114">
        <f>SUM(R18:R21)</f>
        <v>0</v>
      </c>
      <c r="S22" s="115" t="str">
        <f t="shared" si="9"/>
        <v>#DIV/0!</v>
      </c>
      <c r="T22" s="73" t="str">
        <f t="shared" ref="T22:U22" si="21">IFERROR((D22-#REF!)/D22,)</f>
        <v/>
      </c>
      <c r="U22" s="73" t="str">
        <f t="shared" si="21"/>
        <v/>
      </c>
      <c r="V22" s="73" t="str">
        <f t="shared" ref="V22:W22" si="22">IFERROR((D22-#REF!)/D22, )</f>
        <v/>
      </c>
      <c r="W22" s="73" t="str">
        <f t="shared" si="22"/>
        <v/>
      </c>
      <c r="X22" s="13"/>
      <c r="Y22" s="13"/>
      <c r="Z22" s="13"/>
    </row>
    <row r="23" hidden="1" outlineLevel="1">
      <c r="A23" s="13"/>
      <c r="B23" s="74">
        <v>45935.0</v>
      </c>
      <c r="C23" s="75" t="s">
        <v>31</v>
      </c>
      <c r="D23" s="76"/>
      <c r="E23" s="77"/>
      <c r="F23" s="77"/>
      <c r="G23" s="78" t="str">
        <f t="shared" si="1"/>
        <v>#DIV/0!</v>
      </c>
      <c r="H23" s="79" t="str">
        <f t="shared" si="2"/>
        <v>#DIV/0!</v>
      </c>
      <c r="I23" s="80" t="str">
        <f t="shared" si="3"/>
        <v>#DIV/0!</v>
      </c>
      <c r="J23" s="81">
        <v>0.0</v>
      </c>
      <c r="K23" s="82">
        <v>0.0</v>
      </c>
      <c r="L23" s="83">
        <v>0.0</v>
      </c>
      <c r="M23" s="84">
        <v>0.0</v>
      </c>
      <c r="N23" s="85" t="str">
        <f t="shared" si="20"/>
        <v>#DIV/0!</v>
      </c>
      <c r="O23" s="86" t="str">
        <f t="shared" si="5"/>
        <v>#DIV/0!</v>
      </c>
      <c r="P23" s="85" t="str">
        <f t="shared" si="6"/>
        <v>#DIV/0!</v>
      </c>
      <c r="Q23" s="87" t="str">
        <f t="shared" si="7"/>
        <v>#DIV/0!</v>
      </c>
      <c r="R23" s="88">
        <f t="shared" ref="R23:R26" si="23">D23-M23</f>
        <v>0</v>
      </c>
      <c r="S23" s="89" t="str">
        <f t="shared" si="9"/>
        <v>#DIV/0!</v>
      </c>
      <c r="T23" s="90"/>
      <c r="U23" s="90"/>
      <c r="V23" s="90"/>
      <c r="W23" s="90"/>
      <c r="X23" s="3"/>
      <c r="Y23" s="13"/>
      <c r="Z23" s="13"/>
    </row>
    <row r="24" hidden="1" outlineLevel="1">
      <c r="A24" s="13"/>
      <c r="B24" s="91"/>
      <c r="C24" s="75" t="s">
        <v>32</v>
      </c>
      <c r="D24" s="92"/>
      <c r="E24" s="77"/>
      <c r="F24" s="77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93">
        <v>0.0</v>
      </c>
      <c r="K24" s="82">
        <v>0.0</v>
      </c>
      <c r="L24" s="83">
        <v>0.0</v>
      </c>
      <c r="M24" s="94">
        <v>0.0</v>
      </c>
      <c r="N24" s="85" t="str">
        <f t="shared" si="20"/>
        <v>#DIV/0!</v>
      </c>
      <c r="O24" s="86" t="str">
        <f t="shared" si="5"/>
        <v>#DIV/0!</v>
      </c>
      <c r="P24" s="85" t="str">
        <f t="shared" si="6"/>
        <v>#DIV/0!</v>
      </c>
      <c r="Q24" s="87" t="str">
        <f t="shared" si="7"/>
        <v>#DIV/0!</v>
      </c>
      <c r="R24" s="95">
        <f t="shared" si="23"/>
        <v>0</v>
      </c>
      <c r="S24" s="89" t="str">
        <f t="shared" si="9"/>
        <v>#DIV/0!</v>
      </c>
      <c r="T24" s="90"/>
      <c r="U24" s="90"/>
      <c r="V24" s="90"/>
      <c r="W24" s="90"/>
      <c r="X24" s="3"/>
      <c r="Y24" s="13"/>
      <c r="Z24" s="13"/>
    </row>
    <row r="25" hidden="1" outlineLevel="1">
      <c r="A25" s="13"/>
      <c r="B25" s="74" t="s">
        <v>33</v>
      </c>
      <c r="C25" s="75" t="s">
        <v>34</v>
      </c>
      <c r="D25" s="97"/>
      <c r="E25" s="77"/>
      <c r="F25" s="77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98">
        <v>0.0</v>
      </c>
      <c r="K25" s="82">
        <v>0.0</v>
      </c>
      <c r="L25" s="83">
        <v>0.0</v>
      </c>
      <c r="M25" s="99">
        <v>0.0</v>
      </c>
      <c r="N25" s="85" t="str">
        <f>(J25/M25)</f>
        <v>#DIV/0!</v>
      </c>
      <c r="O25" s="86" t="str">
        <f t="shared" si="5"/>
        <v>#DIV/0!</v>
      </c>
      <c r="P25" s="85" t="str">
        <f t="shared" si="6"/>
        <v>#DIV/0!</v>
      </c>
      <c r="Q25" s="87" t="str">
        <f t="shared" si="7"/>
        <v>#DIV/0!</v>
      </c>
      <c r="R25" s="100">
        <f t="shared" si="23"/>
        <v>0</v>
      </c>
      <c r="S25" s="89" t="str">
        <f t="shared" si="9"/>
        <v>#DIV/0!</v>
      </c>
      <c r="T25" s="90"/>
      <c r="U25" s="90"/>
      <c r="V25" s="90"/>
      <c r="W25" s="90"/>
      <c r="X25" s="3"/>
      <c r="Y25" s="13"/>
      <c r="Z25" s="13"/>
    </row>
    <row r="26" hidden="1" outlineLevel="1">
      <c r="A26" s="101" t="str">
        <f t="shared" ref="A26:A27" si="24">iferror(if(B26&gt;0,month(B26)&amp;"-"&amp;year(B26),B26),)</f>
        <v>10-2025</v>
      </c>
      <c r="B26" s="74">
        <v>45941.0</v>
      </c>
      <c r="C26" s="75" t="s">
        <v>35</v>
      </c>
      <c r="D26" s="102"/>
      <c r="E26" s="77"/>
      <c r="F26" s="77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93">
        <v>0.0</v>
      </c>
      <c r="K26" s="82">
        <v>0.0</v>
      </c>
      <c r="L26" s="83">
        <v>0.0</v>
      </c>
      <c r="M26" s="94">
        <v>0.0</v>
      </c>
      <c r="N26" s="85" t="str">
        <f t="shared" ref="N26:N29" si="27">J26/M26</f>
        <v>#DIV/0!</v>
      </c>
      <c r="O26" s="86" t="str">
        <f t="shared" si="5"/>
        <v>#DIV/0!</v>
      </c>
      <c r="P26" s="85" t="str">
        <f t="shared" si="6"/>
        <v>#DIV/0!</v>
      </c>
      <c r="Q26" s="87" t="str">
        <f t="shared" si="7"/>
        <v>#DIV/0!</v>
      </c>
      <c r="R26" s="88">
        <f t="shared" si="23"/>
        <v>0</v>
      </c>
      <c r="S26" s="89" t="str">
        <f t="shared" si="9"/>
        <v>#DIV/0!</v>
      </c>
      <c r="T26" s="90"/>
      <c r="U26" s="90"/>
      <c r="V26" s="90"/>
      <c r="W26" s="90"/>
      <c r="X26" s="3"/>
      <c r="Y26" s="13"/>
      <c r="Z26" s="13"/>
    </row>
    <row r="27" collapsed="1">
      <c r="A27" s="13" t="str">
        <f t="shared" si="24"/>
        <v/>
      </c>
      <c r="B27" s="103" t="s">
        <v>38</v>
      </c>
      <c r="C27" s="61"/>
      <c r="D27" s="104">
        <f t="shared" ref="D27:F27" si="25">SUM(D23:D26)</f>
        <v>0</v>
      </c>
      <c r="E27" s="105">
        <f t="shared" si="25"/>
        <v>0</v>
      </c>
      <c r="F27" s="105">
        <f t="shared" si="25"/>
        <v>0</v>
      </c>
      <c r="G27" s="106" t="str">
        <f t="shared" si="1"/>
        <v>#DIV/0!</v>
      </c>
      <c r="H27" s="107" t="str">
        <f t="shared" si="2"/>
        <v>#DIV/0!</v>
      </c>
      <c r="I27" s="108" t="str">
        <f t="shared" si="3"/>
        <v>#DIV/0!</v>
      </c>
      <c r="J27" s="104">
        <f t="shared" ref="J27:M27" si="26">SUM(J23:J26)</f>
        <v>0</v>
      </c>
      <c r="K27" s="109">
        <f t="shared" si="26"/>
        <v>0</v>
      </c>
      <c r="L27" s="105">
        <f t="shared" si="26"/>
        <v>0</v>
      </c>
      <c r="M27" s="110">
        <f t="shared" si="26"/>
        <v>0</v>
      </c>
      <c r="N27" s="111" t="str">
        <f t="shared" si="27"/>
        <v>#DIV/0!</v>
      </c>
      <c r="O27" s="112" t="str">
        <f t="shared" si="5"/>
        <v>#DIV/0!</v>
      </c>
      <c r="P27" s="111" t="str">
        <f t="shared" si="6"/>
        <v>#DIV/0!</v>
      </c>
      <c r="Q27" s="113" t="str">
        <f t="shared" si="7"/>
        <v>#DIV/0!</v>
      </c>
      <c r="R27" s="114">
        <f>SUM(R23:R26)</f>
        <v>0</v>
      </c>
      <c r="S27" s="115" t="str">
        <f t="shared" si="9"/>
        <v>#DIV/0!</v>
      </c>
      <c r="T27" s="73" t="str">
        <f t="shared" ref="T27:U27" si="28">IFERROR((D27-#REF!)/D27,)</f>
        <v/>
      </c>
      <c r="U27" s="73" t="str">
        <f t="shared" si="28"/>
        <v/>
      </c>
      <c r="V27" s="73" t="str">
        <f t="shared" ref="V27:W27" si="29">IFERROR((D27-#REF!)/D27, )</f>
        <v/>
      </c>
      <c r="W27" s="73" t="str">
        <f t="shared" si="29"/>
        <v/>
      </c>
      <c r="X27" s="13"/>
      <c r="Y27" s="13"/>
      <c r="Z27" s="13"/>
    </row>
    <row r="28" hidden="1" outlineLevel="1">
      <c r="A28" s="13"/>
      <c r="B28" s="74">
        <v>45942.0</v>
      </c>
      <c r="C28" s="75" t="s">
        <v>31</v>
      </c>
      <c r="D28" s="76"/>
      <c r="E28" s="77"/>
      <c r="F28" s="77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81">
        <v>0.0</v>
      </c>
      <c r="K28" s="82">
        <v>0.0</v>
      </c>
      <c r="L28" s="83">
        <v>0.0</v>
      </c>
      <c r="M28" s="84">
        <v>0.0</v>
      </c>
      <c r="N28" s="85" t="str">
        <f t="shared" si="27"/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88">
        <f t="shared" ref="R28:R31" si="30">D28-M28</f>
        <v>0</v>
      </c>
      <c r="S28" s="89" t="str">
        <f t="shared" si="9"/>
        <v>#DIV/0!</v>
      </c>
      <c r="T28" s="90"/>
      <c r="U28" s="90"/>
      <c r="V28" s="90"/>
      <c r="W28" s="90"/>
      <c r="X28" s="3"/>
      <c r="Y28" s="13"/>
      <c r="Z28" s="13"/>
    </row>
    <row r="29" hidden="1" outlineLevel="1">
      <c r="A29" s="13"/>
      <c r="B29" s="91"/>
      <c r="C29" s="75" t="s">
        <v>32</v>
      </c>
      <c r="D29" s="92"/>
      <c r="E29" s="77"/>
      <c r="F29" s="77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93">
        <v>0.0</v>
      </c>
      <c r="K29" s="82">
        <v>0.0</v>
      </c>
      <c r="L29" s="83">
        <v>0.0</v>
      </c>
      <c r="M29" s="94">
        <v>0.0</v>
      </c>
      <c r="N29" s="85" t="str">
        <f t="shared" si="27"/>
        <v>#DIV/0!</v>
      </c>
      <c r="O29" s="86" t="str">
        <f t="shared" si="5"/>
        <v>#DIV/0!</v>
      </c>
      <c r="P29" s="85" t="str">
        <f t="shared" si="6"/>
        <v>#DIV/0!</v>
      </c>
      <c r="Q29" s="87" t="str">
        <f t="shared" si="7"/>
        <v>#DIV/0!</v>
      </c>
      <c r="R29" s="95">
        <f t="shared" si="30"/>
        <v>0</v>
      </c>
      <c r="S29" s="89" t="str">
        <f t="shared" si="9"/>
        <v>#DIV/0!</v>
      </c>
      <c r="T29" s="90"/>
      <c r="U29" s="90"/>
      <c r="V29" s="90"/>
      <c r="W29" s="90"/>
      <c r="X29" s="3"/>
      <c r="Y29" s="13"/>
      <c r="Z29" s="13"/>
    </row>
    <row r="30" hidden="1" outlineLevel="1">
      <c r="A30" s="13"/>
      <c r="B30" s="74" t="s">
        <v>33</v>
      </c>
      <c r="C30" s="75" t="s">
        <v>34</v>
      </c>
      <c r="D30" s="97"/>
      <c r="E30" s="77"/>
      <c r="F30" s="77"/>
      <c r="G30" s="78" t="str">
        <f t="shared" si="1"/>
        <v>#DIV/0!</v>
      </c>
      <c r="H30" s="79" t="str">
        <f t="shared" si="2"/>
        <v>#DIV/0!</v>
      </c>
      <c r="I30" s="80" t="str">
        <f t="shared" si="3"/>
        <v>#DIV/0!</v>
      </c>
      <c r="J30" s="98">
        <v>0.0</v>
      </c>
      <c r="K30" s="82">
        <v>0.0</v>
      </c>
      <c r="L30" s="83">
        <v>0.0</v>
      </c>
      <c r="M30" s="99">
        <v>0.0</v>
      </c>
      <c r="N30" s="85" t="str">
        <f>(J30/M30)</f>
        <v>#DIV/0!</v>
      </c>
      <c r="O30" s="86" t="str">
        <f t="shared" si="5"/>
        <v>#DIV/0!</v>
      </c>
      <c r="P30" s="85" t="str">
        <f t="shared" si="6"/>
        <v>#DIV/0!</v>
      </c>
      <c r="Q30" s="87" t="str">
        <f t="shared" si="7"/>
        <v>#DIV/0!</v>
      </c>
      <c r="R30" s="100">
        <f t="shared" si="30"/>
        <v>0</v>
      </c>
      <c r="S30" s="89" t="str">
        <f t="shared" si="9"/>
        <v>#DIV/0!</v>
      </c>
      <c r="T30" s="90"/>
      <c r="U30" s="90"/>
      <c r="V30" s="90"/>
      <c r="W30" s="90"/>
      <c r="X30" s="3"/>
      <c r="Y30" s="13"/>
      <c r="Z30" s="13"/>
    </row>
    <row r="31" hidden="1" outlineLevel="1">
      <c r="A31" s="101" t="str">
        <f t="shared" ref="A31:A32" si="31">iferror(if(B31&gt;0,month(B31)&amp;"-"&amp;year(B31),B31),)</f>
        <v>10-2025</v>
      </c>
      <c r="B31" s="74">
        <v>45948.0</v>
      </c>
      <c r="C31" s="75" t="s">
        <v>35</v>
      </c>
      <c r="D31" s="102"/>
      <c r="E31" s="77"/>
      <c r="F31" s="77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93">
        <v>0.0</v>
      </c>
      <c r="K31" s="82">
        <v>0.0</v>
      </c>
      <c r="L31" s="83">
        <v>0.0</v>
      </c>
      <c r="M31" s="94">
        <v>0.0</v>
      </c>
      <c r="N31" s="85" t="str">
        <f t="shared" ref="N31:N34" si="34">J31/M31</f>
        <v>#DIV/0!</v>
      </c>
      <c r="O31" s="86" t="str">
        <f t="shared" si="5"/>
        <v>#DIV/0!</v>
      </c>
      <c r="P31" s="85" t="str">
        <f t="shared" si="6"/>
        <v>#DIV/0!</v>
      </c>
      <c r="Q31" s="87" t="str">
        <f t="shared" si="7"/>
        <v>#DIV/0!</v>
      </c>
      <c r="R31" s="88">
        <f t="shared" si="30"/>
        <v>0</v>
      </c>
      <c r="S31" s="89" t="str">
        <f t="shared" si="9"/>
        <v>#DIV/0!</v>
      </c>
      <c r="T31" s="90"/>
      <c r="U31" s="90"/>
      <c r="V31" s="90"/>
      <c r="W31" s="90"/>
      <c r="X31" s="3"/>
      <c r="Y31" s="13"/>
      <c r="Z31" s="13"/>
    </row>
    <row r="32" collapsed="1">
      <c r="A32" s="13" t="str">
        <f t="shared" si="31"/>
        <v/>
      </c>
      <c r="B32" s="103" t="s">
        <v>39</v>
      </c>
      <c r="C32" s="61"/>
      <c r="D32" s="104">
        <f t="shared" ref="D32:F32" si="32">SUM(D28:D31)</f>
        <v>0</v>
      </c>
      <c r="E32" s="105">
        <f t="shared" si="32"/>
        <v>0</v>
      </c>
      <c r="F32" s="105">
        <f t="shared" si="32"/>
        <v>0</v>
      </c>
      <c r="G32" s="106" t="str">
        <f t="shared" si="1"/>
        <v>#DIV/0!</v>
      </c>
      <c r="H32" s="107" t="str">
        <f t="shared" si="2"/>
        <v>#DIV/0!</v>
      </c>
      <c r="I32" s="108" t="str">
        <f t="shared" si="3"/>
        <v>#DIV/0!</v>
      </c>
      <c r="J32" s="104">
        <f t="shared" ref="J32:M32" si="33">SUM(J28:J31)</f>
        <v>0</v>
      </c>
      <c r="K32" s="109">
        <f t="shared" si="33"/>
        <v>0</v>
      </c>
      <c r="L32" s="105">
        <f t="shared" si="33"/>
        <v>0</v>
      </c>
      <c r="M32" s="110">
        <f t="shared" si="33"/>
        <v>0</v>
      </c>
      <c r="N32" s="111" t="str">
        <f t="shared" si="34"/>
        <v>#DIV/0!</v>
      </c>
      <c r="O32" s="112" t="str">
        <f t="shared" si="5"/>
        <v>#DIV/0!</v>
      </c>
      <c r="P32" s="111" t="str">
        <f t="shared" si="6"/>
        <v>#DIV/0!</v>
      </c>
      <c r="Q32" s="113" t="str">
        <f t="shared" si="7"/>
        <v>#DIV/0!</v>
      </c>
      <c r="R32" s="114">
        <f>SUM(R28:R31)</f>
        <v>0</v>
      </c>
      <c r="S32" s="115" t="str">
        <f t="shared" si="9"/>
        <v>#DIV/0!</v>
      </c>
      <c r="T32" s="73" t="str">
        <f t="shared" ref="T32:U32" si="35">IFERROR((D32-#REF!)/D32,)</f>
        <v/>
      </c>
      <c r="U32" s="73" t="str">
        <f t="shared" si="35"/>
        <v/>
      </c>
      <c r="V32" s="73" t="str">
        <f t="shared" ref="V32:W32" si="36">IFERROR((D32-#REF!)/D32, )</f>
        <v/>
      </c>
      <c r="W32" s="73" t="str">
        <f t="shared" si="36"/>
        <v/>
      </c>
      <c r="X32" s="13"/>
      <c r="Y32" s="13"/>
      <c r="Z32" s="13"/>
    </row>
    <row r="33" hidden="1" outlineLevel="1">
      <c r="A33" s="116"/>
      <c r="B33" s="74">
        <v>45949.0</v>
      </c>
      <c r="C33" s="117" t="s">
        <v>31</v>
      </c>
      <c r="D33" s="118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0">
        <v>107.11</v>
      </c>
      <c r="K33" s="121">
        <v>4721.0</v>
      </c>
      <c r="L33" s="122">
        <v>0.0</v>
      </c>
      <c r="M33" s="123">
        <v>0.0</v>
      </c>
      <c r="N33" s="85" t="str">
        <f t="shared" si="34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88">
        <f t="shared" ref="R33:R36" si="37">D33-M33</f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17" t="s">
        <v>32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122.23</v>
      </c>
      <c r="K34" s="121">
        <v>19317.0</v>
      </c>
      <c r="L34" s="122">
        <v>0.0</v>
      </c>
      <c r="M34" s="129">
        <v>0.0</v>
      </c>
      <c r="N34" s="85" t="str">
        <f t="shared" si="34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37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22">
        <v>0.0</v>
      </c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37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38">iferror(if(B36&gt;0,month(B36)&amp;"-"&amp;year(B36),B36),)</f>
        <v>10-2025</v>
      </c>
      <c r="B36" s="74">
        <v>45955.0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7"/>
      <c r="K36" s="134"/>
      <c r="L36" s="135"/>
      <c r="M36" s="136"/>
      <c r="N36" s="85" t="str">
        <f t="shared" ref="N36:N39" si="41">J36/M36</f>
        <v>#DIV/0!</v>
      </c>
      <c r="O36" s="86" t="str">
        <f t="shared" si="5"/>
        <v>#DIV/0!</v>
      </c>
      <c r="P36" s="85" t="str">
        <f t="shared" si="6"/>
        <v>#DIV/0!</v>
      </c>
      <c r="Q36" s="87" t="str">
        <f t="shared" si="7"/>
        <v>#DIV/0!</v>
      </c>
      <c r="R36" s="88">
        <f t="shared" si="37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38"/>
        <v/>
      </c>
      <c r="B37" s="137" t="s">
        <v>40</v>
      </c>
      <c r="C37" s="138"/>
      <c r="D37" s="104">
        <f t="shared" ref="D37:F37" si="39">SUM(D33:D36)</f>
        <v>0</v>
      </c>
      <c r="E37" s="105">
        <f t="shared" si="39"/>
        <v>0</v>
      </c>
      <c r="F37" s="105">
        <f t="shared" si="39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40">SUM(J33:J36)</f>
        <v>229.34</v>
      </c>
      <c r="K37" s="109">
        <f t="shared" si="40"/>
        <v>24038</v>
      </c>
      <c r="L37" s="139">
        <f t="shared" si="40"/>
        <v>0</v>
      </c>
      <c r="M37" s="110">
        <f t="shared" si="40"/>
        <v>0</v>
      </c>
      <c r="N37" s="111" t="str">
        <f t="shared" si="41"/>
        <v>#DIV/0!</v>
      </c>
      <c r="O37" s="112">
        <f t="shared" si="5"/>
        <v>0</v>
      </c>
      <c r="P37" s="111" t="str">
        <f t="shared" si="6"/>
        <v>#DIV/0!</v>
      </c>
      <c r="Q37" s="113" t="str">
        <f t="shared" si="7"/>
        <v>#DIV/0!</v>
      </c>
      <c r="R37" s="114">
        <f>SUM(R33:R36)</f>
        <v>0</v>
      </c>
      <c r="S37" s="115" t="str">
        <f t="shared" si="9"/>
        <v>#DIV/0!</v>
      </c>
      <c r="T37" s="140" t="str">
        <f t="shared" ref="T37:U37" si="42">IFERROR((D37-#REF!)/D37,)</f>
        <v/>
      </c>
      <c r="U37" s="140" t="str">
        <f t="shared" si="42"/>
        <v/>
      </c>
      <c r="V37" s="140" t="str">
        <f t="shared" ref="V37:W37" si="43">IFERROR((D37-#REF!)/D37, )</f>
        <v/>
      </c>
      <c r="W37" s="140" t="str">
        <f t="shared" si="43"/>
        <v/>
      </c>
      <c r="X37" s="116"/>
      <c r="Y37" s="116"/>
      <c r="Z37" s="116"/>
    </row>
    <row r="38" hidden="1" outlineLevel="1">
      <c r="A38" s="116"/>
      <c r="B38" s="74">
        <v>45956.0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186.03</v>
      </c>
      <c r="K38" s="121">
        <v>8308.0</v>
      </c>
      <c r="L38" s="122">
        <v>0.0</v>
      </c>
      <c r="M38" s="123">
        <v>0.0</v>
      </c>
      <c r="N38" s="85" t="str">
        <f t="shared" si="41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1" si="44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17" t="s">
        <v>32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28">
        <v>306.48</v>
      </c>
      <c r="K39" s="121">
        <v>36970.0</v>
      </c>
      <c r="L39" s="122">
        <v>0.0</v>
      </c>
      <c r="M39" s="129">
        <v>0.0</v>
      </c>
      <c r="N39" s="85" t="str">
        <f t="shared" si="41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44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74" t="s">
        <v>33</v>
      </c>
      <c r="C40" s="117" t="s">
        <v>34</v>
      </c>
      <c r="D40" s="130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31">
        <v>0.0</v>
      </c>
      <c r="K40" s="121">
        <v>0.0</v>
      </c>
      <c r="L40" s="122">
        <v>0.0</v>
      </c>
      <c r="M40" s="132">
        <v>0.0</v>
      </c>
      <c r="N40" s="85" t="str">
        <f>(J40/M40)</f>
        <v>#DIV/0!</v>
      </c>
      <c r="O40" s="86" t="str">
        <f t="shared" si="5"/>
        <v>#DIV/0!</v>
      </c>
      <c r="P40" s="85" t="str">
        <f t="shared" si="6"/>
        <v>#DIV/0!</v>
      </c>
      <c r="Q40" s="87" t="str">
        <f t="shared" si="7"/>
        <v>#DIV/0!</v>
      </c>
      <c r="R40" s="100">
        <f t="shared" si="44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01" t="str">
        <f t="shared" ref="A41:A42" si="45">iferror(if(B41&gt;0,month(B41)&amp;"-"&amp;year(B41),B41),)</f>
        <v>11-2025</v>
      </c>
      <c r="B41" s="74">
        <v>45962.0</v>
      </c>
      <c r="C41" s="117" t="s">
        <v>35</v>
      </c>
      <c r="D41" s="133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109.38</v>
      </c>
      <c r="K41" s="121">
        <v>15992.0</v>
      </c>
      <c r="L41" s="122">
        <v>0.0</v>
      </c>
      <c r="M41" s="129">
        <v>0.0</v>
      </c>
      <c r="N41" s="85" t="str">
        <f t="shared" ref="N41:N44" si="48">J41/M41</f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88">
        <f t="shared" si="44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collapsed="1">
      <c r="A42" s="116" t="str">
        <f t="shared" si="45"/>
        <v/>
      </c>
      <c r="B42" s="137" t="s">
        <v>41</v>
      </c>
      <c r="C42" s="138"/>
      <c r="D42" s="104">
        <f t="shared" ref="D42:F42" si="46">SUM(D38:D41)</f>
        <v>0</v>
      </c>
      <c r="E42" s="105">
        <f t="shared" si="46"/>
        <v>0</v>
      </c>
      <c r="F42" s="105">
        <f t="shared" si="46"/>
        <v>0</v>
      </c>
      <c r="G42" s="106" t="str">
        <f t="shared" si="1"/>
        <v>#DIV/0!</v>
      </c>
      <c r="H42" s="107" t="str">
        <f t="shared" si="2"/>
        <v>#DIV/0!</v>
      </c>
      <c r="I42" s="108" t="str">
        <f t="shared" si="3"/>
        <v>#DIV/0!</v>
      </c>
      <c r="J42" s="104">
        <f t="shared" ref="J42:M42" si="47">SUM(J38:J41)</f>
        <v>601.89</v>
      </c>
      <c r="K42" s="109">
        <f t="shared" si="47"/>
        <v>61270</v>
      </c>
      <c r="L42" s="139">
        <f t="shared" si="47"/>
        <v>0</v>
      </c>
      <c r="M42" s="110">
        <f t="shared" si="47"/>
        <v>0</v>
      </c>
      <c r="N42" s="111" t="str">
        <f t="shared" si="48"/>
        <v>#DIV/0!</v>
      </c>
      <c r="O42" s="112">
        <f t="shared" si="5"/>
        <v>0</v>
      </c>
      <c r="P42" s="111" t="str">
        <f t="shared" si="6"/>
        <v>#DIV/0!</v>
      </c>
      <c r="Q42" s="113" t="str">
        <f t="shared" si="7"/>
        <v>#DIV/0!</v>
      </c>
      <c r="R42" s="114">
        <f>SUM(R38:R41)</f>
        <v>0</v>
      </c>
      <c r="S42" s="115" t="str">
        <f t="shared" si="9"/>
        <v>#DIV/0!</v>
      </c>
      <c r="T42" s="140" t="str">
        <f t="shared" ref="T42:U42" si="49">IFERROR((D42-#REF!)/D42,)</f>
        <v/>
      </c>
      <c r="U42" s="140" t="str">
        <f t="shared" si="49"/>
        <v/>
      </c>
      <c r="V42" s="140" t="str">
        <f t="shared" ref="V42:W42" si="50">IFERROR((D42-#REF!)/D42, )</f>
        <v/>
      </c>
      <c r="W42" s="140" t="str">
        <f t="shared" si="50"/>
        <v/>
      </c>
      <c r="X42" s="116"/>
      <c r="Y42" s="116"/>
      <c r="Z42" s="116"/>
    </row>
    <row r="43" hidden="1" outlineLevel="1">
      <c r="A43" s="116"/>
      <c r="B43" s="74">
        <v>45963.0</v>
      </c>
      <c r="C43" s="117" t="s">
        <v>31</v>
      </c>
      <c r="D43" s="118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0">
        <v>189.5</v>
      </c>
      <c r="K43" s="121">
        <v>13718.0</v>
      </c>
      <c r="L43" s="135"/>
      <c r="M43" s="123">
        <v>113.0</v>
      </c>
      <c r="N43" s="85">
        <f t="shared" si="48"/>
        <v>1.67699115</v>
      </c>
      <c r="O43" s="86">
        <f t="shared" si="5"/>
        <v>0.5963060686</v>
      </c>
      <c r="P43" s="85" t="str">
        <f t="shared" si="6"/>
        <v>#DIV/0!</v>
      </c>
      <c r="Q43" s="87" t="str">
        <f t="shared" si="7"/>
        <v>#DIV/0!</v>
      </c>
      <c r="R43" s="88">
        <f t="shared" ref="R43:R46" si="51">D43-M43</f>
        <v>-113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hidden="1" outlineLevel="1">
      <c r="A44" s="116"/>
      <c r="B44" s="126"/>
      <c r="C44" s="117" t="s">
        <v>32</v>
      </c>
      <c r="D44" s="127"/>
      <c r="E44" s="119"/>
      <c r="F44" s="119"/>
      <c r="G44" s="78" t="str">
        <f t="shared" si="1"/>
        <v>#DIV/0!</v>
      </c>
      <c r="H44" s="79" t="str">
        <f t="shared" si="2"/>
        <v>#DIV/0!</v>
      </c>
      <c r="I44" s="80" t="str">
        <f t="shared" si="3"/>
        <v>#DIV/0!</v>
      </c>
      <c r="J44" s="128">
        <v>199.08</v>
      </c>
      <c r="K44" s="121">
        <v>9470.0</v>
      </c>
      <c r="L44" s="135"/>
      <c r="M44" s="129">
        <v>126.0</v>
      </c>
      <c r="N44" s="85">
        <f t="shared" si="48"/>
        <v>1.58</v>
      </c>
      <c r="O44" s="86">
        <f t="shared" si="5"/>
        <v>0.6329113924</v>
      </c>
      <c r="P44" s="85" t="str">
        <f t="shared" si="6"/>
        <v>#DIV/0!</v>
      </c>
      <c r="Q44" s="87" t="str">
        <f t="shared" si="7"/>
        <v>#DIV/0!</v>
      </c>
      <c r="R44" s="95">
        <f t="shared" si="51"/>
        <v>-126</v>
      </c>
      <c r="S44" s="89" t="str">
        <f t="shared" si="9"/>
        <v>#DIV/0!</v>
      </c>
      <c r="T44" s="124"/>
      <c r="U44" s="124"/>
      <c r="V44" s="124"/>
      <c r="W44" s="124"/>
      <c r="X44" s="125"/>
      <c r="Y44" s="116"/>
      <c r="Z44" s="116"/>
    </row>
    <row r="45" hidden="1" outlineLevel="1">
      <c r="A45" s="116"/>
      <c r="B45" s="74" t="s">
        <v>33</v>
      </c>
      <c r="C45" s="117" t="s">
        <v>34</v>
      </c>
      <c r="D45" s="130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31">
        <v>0.0</v>
      </c>
      <c r="K45" s="121">
        <v>0.0</v>
      </c>
      <c r="L45" s="135"/>
      <c r="M45" s="132">
        <v>0.0</v>
      </c>
      <c r="N45" s="85" t="str">
        <f>(J45/M45)</f>
        <v>#DIV/0!</v>
      </c>
      <c r="O45" s="86" t="str">
        <f t="shared" si="5"/>
        <v>#DIV/0!</v>
      </c>
      <c r="P45" s="85" t="str">
        <f t="shared" si="6"/>
        <v>#DIV/0!</v>
      </c>
      <c r="Q45" s="87" t="str">
        <f t="shared" si="7"/>
        <v>#DIV/0!</v>
      </c>
      <c r="R45" s="100">
        <f t="shared" si="51"/>
        <v>0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01" t="str">
        <f t="shared" ref="A46:A47" si="52">iferror(if(B46&gt;0,month(B46)&amp;"-"&amp;year(B46),B46),)</f>
        <v>11-2025</v>
      </c>
      <c r="B46" s="74">
        <v>45969.0</v>
      </c>
      <c r="C46" s="117" t="s">
        <v>35</v>
      </c>
      <c r="D46" s="133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28">
        <v>187.8</v>
      </c>
      <c r="K46" s="121">
        <v>7955.0</v>
      </c>
      <c r="L46" s="135"/>
      <c r="M46" s="129">
        <v>0.0</v>
      </c>
      <c r="N46" s="85" t="str">
        <f t="shared" ref="N46:N49" si="55">J46/M46</f>
        <v>#DIV/0!</v>
      </c>
      <c r="O46" s="86">
        <f t="shared" si="5"/>
        <v>0</v>
      </c>
      <c r="P46" s="85" t="str">
        <f t="shared" si="6"/>
        <v>#DIV/0!</v>
      </c>
      <c r="Q46" s="87" t="str">
        <f t="shared" si="7"/>
        <v>#DIV/0!</v>
      </c>
      <c r="R46" s="88">
        <f t="shared" si="51"/>
        <v>0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collapsed="1">
      <c r="A47" s="116" t="str">
        <f t="shared" si="52"/>
        <v/>
      </c>
      <c r="B47" s="137" t="s">
        <v>42</v>
      </c>
      <c r="C47" s="138"/>
      <c r="D47" s="104">
        <f t="shared" ref="D47:F47" si="53">SUM(D43:D46)</f>
        <v>0</v>
      </c>
      <c r="E47" s="105">
        <f t="shared" si="53"/>
        <v>0</v>
      </c>
      <c r="F47" s="105">
        <f t="shared" si="53"/>
        <v>0</v>
      </c>
      <c r="G47" s="106" t="str">
        <f t="shared" si="1"/>
        <v>#DIV/0!</v>
      </c>
      <c r="H47" s="107" t="str">
        <f t="shared" si="2"/>
        <v>#DIV/0!</v>
      </c>
      <c r="I47" s="108" t="str">
        <f t="shared" si="3"/>
        <v>#DIV/0!</v>
      </c>
      <c r="J47" s="104">
        <f t="shared" ref="J47:M47" si="54">SUM(J43:J46)</f>
        <v>576.38</v>
      </c>
      <c r="K47" s="109">
        <f t="shared" si="54"/>
        <v>31143</v>
      </c>
      <c r="L47" s="139">
        <f t="shared" si="54"/>
        <v>0</v>
      </c>
      <c r="M47" s="110">
        <f t="shared" si="54"/>
        <v>239</v>
      </c>
      <c r="N47" s="111">
        <f t="shared" si="55"/>
        <v>2.411631799</v>
      </c>
      <c r="O47" s="112">
        <f t="shared" si="5"/>
        <v>0.4146569971</v>
      </c>
      <c r="P47" s="111" t="str">
        <f t="shared" si="6"/>
        <v>#DIV/0!</v>
      </c>
      <c r="Q47" s="113" t="str">
        <f t="shared" si="7"/>
        <v>#DIV/0!</v>
      </c>
      <c r="R47" s="114">
        <f>SUM(R43:R46)</f>
        <v>-239</v>
      </c>
      <c r="S47" s="115" t="str">
        <f t="shared" si="9"/>
        <v>#DIV/0!</v>
      </c>
      <c r="T47" s="140" t="str">
        <f t="shared" ref="T47:U47" si="56">IFERROR((D47-#REF!)/D47,)</f>
        <v/>
      </c>
      <c r="U47" s="140" t="str">
        <f t="shared" si="56"/>
        <v/>
      </c>
      <c r="V47" s="140" t="str">
        <f t="shared" ref="V47:W47" si="57">IFERROR((D47-#REF!)/D47, )</f>
        <v/>
      </c>
      <c r="W47" s="140" t="str">
        <f t="shared" si="57"/>
        <v/>
      </c>
      <c r="X47" s="116"/>
      <c r="Y47" s="116"/>
      <c r="Z47" s="116"/>
    </row>
    <row r="48" hidden="1" outlineLevel="1">
      <c r="A48" s="116"/>
      <c r="B48" s="74">
        <v>45970.0</v>
      </c>
      <c r="C48" s="117" t="s">
        <v>31</v>
      </c>
      <c r="D48" s="118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0">
        <v>183.78</v>
      </c>
      <c r="K48" s="121">
        <v>6450.0</v>
      </c>
      <c r="L48" s="135"/>
      <c r="M48" s="123">
        <v>1396.4</v>
      </c>
      <c r="N48" s="85">
        <f t="shared" si="55"/>
        <v>0.1316098539</v>
      </c>
      <c r="O48" s="86">
        <f t="shared" si="5"/>
        <v>7.598215257</v>
      </c>
      <c r="P48" s="85" t="str">
        <f t="shared" si="6"/>
        <v>#DIV/0!</v>
      </c>
      <c r="Q48" s="87" t="str">
        <f t="shared" si="7"/>
        <v>#DIV/0!</v>
      </c>
      <c r="R48" s="88">
        <f t="shared" ref="R48:R51" si="58">D48-M48</f>
        <v>-1396.4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126"/>
      <c r="C49" s="117" t="s">
        <v>32</v>
      </c>
      <c r="D49" s="127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28">
        <v>173.08</v>
      </c>
      <c r="K49" s="121">
        <v>10341.0</v>
      </c>
      <c r="L49" s="135"/>
      <c r="M49" s="129">
        <v>460.0</v>
      </c>
      <c r="N49" s="85">
        <f t="shared" si="55"/>
        <v>0.3762608696</v>
      </c>
      <c r="O49" s="86">
        <f t="shared" si="5"/>
        <v>2.657730529</v>
      </c>
      <c r="P49" s="85" t="str">
        <f t="shared" si="6"/>
        <v>#DIV/0!</v>
      </c>
      <c r="Q49" s="87" t="str">
        <f t="shared" si="7"/>
        <v>#DIV/0!</v>
      </c>
      <c r="R49" s="95">
        <f t="shared" si="58"/>
        <v>-460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16"/>
      <c r="B50" s="74" t="s">
        <v>33</v>
      </c>
      <c r="C50" s="117" t="s">
        <v>34</v>
      </c>
      <c r="D50" s="130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31">
        <v>0.0</v>
      </c>
      <c r="K50" s="121">
        <v>0.0</v>
      </c>
      <c r="L50" s="135"/>
      <c r="M50" s="132">
        <v>0.0</v>
      </c>
      <c r="N50" s="85" t="str">
        <f>(J50/M50)</f>
        <v>#DIV/0!</v>
      </c>
      <c r="O50" s="86" t="str">
        <f t="shared" si="5"/>
        <v>#DIV/0!</v>
      </c>
      <c r="P50" s="85" t="str">
        <f t="shared" si="6"/>
        <v>#DIV/0!</v>
      </c>
      <c r="Q50" s="87" t="str">
        <f t="shared" si="7"/>
        <v>#DIV/0!</v>
      </c>
      <c r="R50" s="100">
        <f t="shared" si="5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hidden="1" outlineLevel="1">
      <c r="A51" s="101" t="str">
        <f t="shared" ref="A51:A52" si="59">iferror(if(B51&gt;0,month(B51)&amp;"-"&amp;year(B51),B51),)</f>
        <v>11-2025</v>
      </c>
      <c r="B51" s="74">
        <v>45976.0</v>
      </c>
      <c r="C51" s="117" t="s">
        <v>35</v>
      </c>
      <c r="D51" s="133"/>
      <c r="E51" s="119"/>
      <c r="F51" s="119"/>
      <c r="G51" s="78" t="str">
        <f t="shared" si="1"/>
        <v>#DIV/0!</v>
      </c>
      <c r="H51" s="79" t="str">
        <f t="shared" si="2"/>
        <v>#DIV/0!</v>
      </c>
      <c r="I51" s="80" t="str">
        <f t="shared" si="3"/>
        <v>#DIV/0!</v>
      </c>
      <c r="J51" s="128">
        <v>180.61</v>
      </c>
      <c r="K51" s="121">
        <v>7992.0</v>
      </c>
      <c r="L51" s="135"/>
      <c r="M51" s="129">
        <v>206.0</v>
      </c>
      <c r="N51" s="85">
        <f t="shared" ref="N51:N54" si="62">J51/M51</f>
        <v>0.8767475728</v>
      </c>
      <c r="O51" s="86">
        <f t="shared" si="5"/>
        <v>1.140579148</v>
      </c>
      <c r="P51" s="85" t="str">
        <f t="shared" si="6"/>
        <v>#DIV/0!</v>
      </c>
      <c r="Q51" s="87" t="str">
        <f t="shared" si="7"/>
        <v>#DIV/0!</v>
      </c>
      <c r="R51" s="88">
        <f t="shared" si="58"/>
        <v>-206</v>
      </c>
      <c r="S51" s="89" t="str">
        <f t="shared" si="9"/>
        <v>#DIV/0!</v>
      </c>
      <c r="T51" s="124"/>
      <c r="U51" s="124"/>
      <c r="V51" s="124"/>
      <c r="W51" s="124"/>
      <c r="X51" s="125"/>
      <c r="Y51" s="116"/>
      <c r="Z51" s="116"/>
    </row>
    <row r="52" collapsed="1">
      <c r="A52" s="116" t="str">
        <f t="shared" si="59"/>
        <v/>
      </c>
      <c r="B52" s="137" t="s">
        <v>43</v>
      </c>
      <c r="C52" s="138"/>
      <c r="D52" s="104">
        <f t="shared" ref="D52:F52" si="60">SUM(D48:D51)</f>
        <v>0</v>
      </c>
      <c r="E52" s="105">
        <f t="shared" si="60"/>
        <v>0</v>
      </c>
      <c r="F52" s="105">
        <f t="shared" si="60"/>
        <v>0</v>
      </c>
      <c r="G52" s="106" t="str">
        <f t="shared" si="1"/>
        <v>#DIV/0!</v>
      </c>
      <c r="H52" s="107" t="str">
        <f t="shared" si="2"/>
        <v>#DIV/0!</v>
      </c>
      <c r="I52" s="108" t="str">
        <f t="shared" si="3"/>
        <v>#DIV/0!</v>
      </c>
      <c r="J52" s="104">
        <f t="shared" ref="J52:M52" si="61">SUM(J48:J51)</f>
        <v>537.47</v>
      </c>
      <c r="K52" s="109">
        <f t="shared" si="61"/>
        <v>24783</v>
      </c>
      <c r="L52" s="139">
        <f t="shared" si="61"/>
        <v>0</v>
      </c>
      <c r="M52" s="110">
        <f t="shared" si="61"/>
        <v>2062.4</v>
      </c>
      <c r="N52" s="111">
        <f t="shared" si="62"/>
        <v>0.2606041505</v>
      </c>
      <c r="O52" s="112">
        <f t="shared" si="5"/>
        <v>3.837237427</v>
      </c>
      <c r="P52" s="111" t="str">
        <f t="shared" si="6"/>
        <v>#DIV/0!</v>
      </c>
      <c r="Q52" s="113" t="str">
        <f t="shared" si="7"/>
        <v>#DIV/0!</v>
      </c>
      <c r="R52" s="114">
        <f>SUM(R48:R51)</f>
        <v>-2062.4</v>
      </c>
      <c r="S52" s="115" t="str">
        <f t="shared" si="9"/>
        <v>#DIV/0!</v>
      </c>
      <c r="T52" s="140" t="str">
        <f t="shared" ref="T52:U52" si="63">IFERROR((D52-#REF!)/D52,)</f>
        <v/>
      </c>
      <c r="U52" s="140" t="str">
        <f t="shared" si="63"/>
        <v/>
      </c>
      <c r="V52" s="140" t="str">
        <f t="shared" ref="V52:W52" si="64">IFERROR((D52-#REF!)/D52, )</f>
        <v/>
      </c>
      <c r="W52" s="140" t="str">
        <f t="shared" si="64"/>
        <v/>
      </c>
      <c r="X52" s="116"/>
      <c r="Y52" s="116"/>
      <c r="Z52" s="116"/>
    </row>
    <row r="53" hidden="1" outlineLevel="1">
      <c r="A53" s="116"/>
      <c r="B53" s="74">
        <v>45977.0</v>
      </c>
      <c r="C53" s="117" t="s">
        <v>31</v>
      </c>
      <c r="D53" s="118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20">
        <v>179.32</v>
      </c>
      <c r="K53" s="121">
        <v>12324.0</v>
      </c>
      <c r="L53" s="135"/>
      <c r="M53" s="123">
        <v>1291.0</v>
      </c>
      <c r="N53" s="85">
        <f t="shared" si="62"/>
        <v>0.1389000775</v>
      </c>
      <c r="O53" s="86">
        <f t="shared" si="5"/>
        <v>7.199420031</v>
      </c>
      <c r="P53" s="85" t="str">
        <f t="shared" si="6"/>
        <v>#DIV/0!</v>
      </c>
      <c r="Q53" s="87" t="str">
        <f t="shared" si="7"/>
        <v>#DIV/0!</v>
      </c>
      <c r="R53" s="88">
        <f t="shared" ref="R53:R56" si="65">D53-M53</f>
        <v>-1291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192.29</v>
      </c>
      <c r="K54" s="121">
        <v>17470.0</v>
      </c>
      <c r="L54" s="135"/>
      <c r="M54" s="129">
        <v>0.0</v>
      </c>
      <c r="N54" s="85" t="str">
        <f t="shared" si="62"/>
        <v>#DIV/0!</v>
      </c>
      <c r="O54" s="86">
        <f t="shared" si="5"/>
        <v>0</v>
      </c>
      <c r="P54" s="85" t="str">
        <f t="shared" si="6"/>
        <v>#DIV/0!</v>
      </c>
      <c r="Q54" s="87" t="str">
        <f t="shared" si="7"/>
        <v>#DIV/0!</v>
      </c>
      <c r="R54" s="95">
        <f t="shared" si="6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74" t="s">
        <v>33</v>
      </c>
      <c r="C55" s="117" t="s">
        <v>34</v>
      </c>
      <c r="D55" s="130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31">
        <v>0.0</v>
      </c>
      <c r="K55" s="121">
        <v>0.0</v>
      </c>
      <c r="L55" s="135"/>
      <c r="M55" s="132">
        <v>0.0</v>
      </c>
      <c r="N55" s="85" t="str">
        <f>(J55/M55)</f>
        <v>#DIV/0!</v>
      </c>
      <c r="O55" s="86" t="str">
        <f t="shared" si="5"/>
        <v>#DIV/0!</v>
      </c>
      <c r="P55" s="85" t="str">
        <f t="shared" si="6"/>
        <v>#DIV/0!</v>
      </c>
      <c r="Q55" s="87" t="str">
        <f t="shared" si="7"/>
        <v>#DIV/0!</v>
      </c>
      <c r="R55" s="100">
        <f t="shared" si="6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01" t="str">
        <f t="shared" ref="A56:A57" si="66">iferror(if(B56&gt;0,month(B56)&amp;"-"&amp;year(B56),B56),)</f>
        <v>11-2025</v>
      </c>
      <c r="B56" s="74">
        <v>45983.0</v>
      </c>
      <c r="C56" s="117" t="s">
        <v>35</v>
      </c>
      <c r="D56" s="133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28">
        <v>183.1</v>
      </c>
      <c r="K56" s="121">
        <v>11049.0</v>
      </c>
      <c r="L56" s="135"/>
      <c r="M56" s="129">
        <v>0.0</v>
      </c>
      <c r="N56" s="85" t="str">
        <f t="shared" ref="N56:N59" si="69">J56/M56</f>
        <v>#DIV/0!</v>
      </c>
      <c r="O56" s="86">
        <f t="shared" si="5"/>
        <v>0</v>
      </c>
      <c r="P56" s="85" t="str">
        <f t="shared" si="6"/>
        <v>#DIV/0!</v>
      </c>
      <c r="Q56" s="87" t="str">
        <f t="shared" si="7"/>
        <v>#DIV/0!</v>
      </c>
      <c r="R56" s="88">
        <f t="shared" si="6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collapsed="1">
      <c r="A57" s="116" t="str">
        <f t="shared" si="66"/>
        <v/>
      </c>
      <c r="B57" s="137" t="s">
        <v>44</v>
      </c>
      <c r="C57" s="138"/>
      <c r="D57" s="104">
        <f t="shared" ref="D57:F57" si="67">SUM(D53:D56)</f>
        <v>0</v>
      </c>
      <c r="E57" s="105">
        <f t="shared" si="67"/>
        <v>0</v>
      </c>
      <c r="F57" s="105">
        <f t="shared" si="67"/>
        <v>0</v>
      </c>
      <c r="G57" s="106" t="str">
        <f t="shared" si="1"/>
        <v>#DIV/0!</v>
      </c>
      <c r="H57" s="107" t="str">
        <f t="shared" si="2"/>
        <v>#DIV/0!</v>
      </c>
      <c r="I57" s="108" t="str">
        <f t="shared" si="3"/>
        <v>#DIV/0!</v>
      </c>
      <c r="J57" s="104">
        <f t="shared" ref="J57:M57" si="68">SUM(J53:J56)</f>
        <v>554.71</v>
      </c>
      <c r="K57" s="109">
        <f t="shared" si="68"/>
        <v>40843</v>
      </c>
      <c r="L57" s="139">
        <f t="shared" si="68"/>
        <v>0</v>
      </c>
      <c r="M57" s="110">
        <f t="shared" si="68"/>
        <v>1291</v>
      </c>
      <c r="N57" s="111">
        <f t="shared" si="69"/>
        <v>0.4296746708</v>
      </c>
      <c r="O57" s="112">
        <f t="shared" si="5"/>
        <v>2.327342215</v>
      </c>
      <c r="P57" s="111" t="str">
        <f t="shared" si="6"/>
        <v>#DIV/0!</v>
      </c>
      <c r="Q57" s="113" t="str">
        <f t="shared" si="7"/>
        <v>#DIV/0!</v>
      </c>
      <c r="R57" s="114">
        <f>SUM(R53:R56)</f>
        <v>-1291</v>
      </c>
      <c r="S57" s="115" t="str">
        <f t="shared" si="9"/>
        <v>#DIV/0!</v>
      </c>
      <c r="T57" s="140" t="str">
        <f t="shared" ref="T57:U57" si="70">IFERROR((D57-#REF!)/D57,)</f>
        <v/>
      </c>
      <c r="U57" s="140" t="str">
        <f t="shared" si="70"/>
        <v/>
      </c>
      <c r="V57" s="140" t="str">
        <f t="shared" ref="V57:W57" si="71">IFERROR((D57-#REF!)/D57, )</f>
        <v/>
      </c>
      <c r="W57" s="140" t="str">
        <f t="shared" si="71"/>
        <v/>
      </c>
      <c r="X57" s="116"/>
      <c r="Y57" s="116"/>
      <c r="Z57" s="116"/>
    </row>
    <row r="58" hidden="1" outlineLevel="1">
      <c r="A58" s="116"/>
      <c r="B58" s="74">
        <v>45984.0</v>
      </c>
      <c r="C58" s="117" t="s">
        <v>31</v>
      </c>
      <c r="D58" s="118"/>
      <c r="E58" s="119"/>
      <c r="F58" s="119"/>
      <c r="G58" s="78" t="str">
        <f t="shared" si="1"/>
        <v>#DIV/0!</v>
      </c>
      <c r="H58" s="79" t="str">
        <f t="shared" si="2"/>
        <v>#DIV/0!</v>
      </c>
      <c r="I58" s="80" t="str">
        <f t="shared" si="3"/>
        <v>#DIV/0!</v>
      </c>
      <c r="J58" s="120">
        <v>176.77</v>
      </c>
      <c r="K58" s="121">
        <v>11702.0</v>
      </c>
      <c r="L58" s="135"/>
      <c r="M58" s="123">
        <v>148.0</v>
      </c>
      <c r="N58" s="85">
        <f t="shared" si="69"/>
        <v>1.194391892</v>
      </c>
      <c r="O58" s="86">
        <f t="shared" si="5"/>
        <v>0.8372461391</v>
      </c>
      <c r="P58" s="85" t="str">
        <f t="shared" si="6"/>
        <v>#DIV/0!</v>
      </c>
      <c r="Q58" s="87" t="str">
        <f t="shared" si="7"/>
        <v>#DIV/0!</v>
      </c>
      <c r="R58" s="88">
        <f t="shared" ref="R58:R61" si="72">D58-M58</f>
        <v>-148</v>
      </c>
      <c r="S58" s="89" t="str">
        <f t="shared" si="9"/>
        <v>#DIV/0!</v>
      </c>
      <c r="T58" s="124"/>
      <c r="U58" s="124"/>
      <c r="V58" s="124"/>
      <c r="W58" s="124"/>
      <c r="X58" s="125"/>
      <c r="Y58" s="116"/>
      <c r="Z58" s="116"/>
    </row>
    <row r="59" hidden="1" outlineLevel="1">
      <c r="A59" s="116"/>
      <c r="B59" s="126"/>
      <c r="C59" s="117" t="s">
        <v>32</v>
      </c>
      <c r="D59" s="127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8">
        <v>166.63</v>
      </c>
      <c r="K59" s="121">
        <v>11450.0</v>
      </c>
      <c r="L59" s="135"/>
      <c r="M59" s="129">
        <v>0.0</v>
      </c>
      <c r="N59" s="85" t="str">
        <f t="shared" si="69"/>
        <v>#DIV/0!</v>
      </c>
      <c r="O59" s="86">
        <f t="shared" si="5"/>
        <v>0</v>
      </c>
      <c r="P59" s="85" t="str">
        <f t="shared" si="6"/>
        <v>#DIV/0!</v>
      </c>
      <c r="Q59" s="87" t="str">
        <f t="shared" si="7"/>
        <v>#DIV/0!</v>
      </c>
      <c r="R59" s="95">
        <f t="shared" si="72"/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74" t="s">
        <v>33</v>
      </c>
      <c r="C60" s="117" t="s">
        <v>34</v>
      </c>
      <c r="D60" s="130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31">
        <v>0.0</v>
      </c>
      <c r="K60" s="121">
        <v>0.0</v>
      </c>
      <c r="L60" s="135"/>
      <c r="M60" s="132">
        <v>0.0</v>
      </c>
      <c r="N60" s="85" t="str">
        <f>(J60/M60)</f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100">
        <f t="shared" si="7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01" t="str">
        <f t="shared" ref="A61:A62" si="73">iferror(if(B61&gt;0,month(B61)&amp;"-"&amp;year(B61),B61),)</f>
        <v>11-2025</v>
      </c>
      <c r="B61" s="74">
        <v>45990.0</v>
      </c>
      <c r="C61" s="117" t="s">
        <v>35</v>
      </c>
      <c r="D61" s="133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174.6</v>
      </c>
      <c r="K61" s="121">
        <v>9852.0</v>
      </c>
      <c r="L61" s="135"/>
      <c r="M61" s="129">
        <v>185.0</v>
      </c>
      <c r="N61" s="85">
        <f t="shared" ref="N61:N65" si="76">J61/M61</f>
        <v>0.9437837838</v>
      </c>
      <c r="O61" s="86">
        <f t="shared" si="5"/>
        <v>1.059564719</v>
      </c>
      <c r="P61" s="85" t="str">
        <f t="shared" si="6"/>
        <v>#DIV/0!</v>
      </c>
      <c r="Q61" s="87" t="str">
        <f t="shared" si="7"/>
        <v>#DIV/0!</v>
      </c>
      <c r="R61" s="88">
        <f t="shared" si="72"/>
        <v>-185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collapsed="1">
      <c r="A62" s="116" t="str">
        <f t="shared" si="73"/>
        <v/>
      </c>
      <c r="B62" s="137" t="s">
        <v>45</v>
      </c>
      <c r="C62" s="138"/>
      <c r="D62" s="104">
        <f t="shared" ref="D62:F62" si="74">SUM(D58:D61)</f>
        <v>0</v>
      </c>
      <c r="E62" s="105">
        <f t="shared" si="74"/>
        <v>0</v>
      </c>
      <c r="F62" s="105">
        <f t="shared" si="74"/>
        <v>0</v>
      </c>
      <c r="G62" s="106" t="str">
        <f t="shared" si="1"/>
        <v>#DIV/0!</v>
      </c>
      <c r="H62" s="107" t="str">
        <f t="shared" si="2"/>
        <v>#DIV/0!</v>
      </c>
      <c r="I62" s="108" t="str">
        <f t="shared" si="3"/>
        <v>#DIV/0!</v>
      </c>
      <c r="J62" s="104">
        <f t="shared" ref="J62:M62" si="75">SUM(J58:J61)</f>
        <v>518</v>
      </c>
      <c r="K62" s="109">
        <f t="shared" si="75"/>
        <v>33004</v>
      </c>
      <c r="L62" s="139">
        <f t="shared" si="75"/>
        <v>0</v>
      </c>
      <c r="M62" s="110">
        <f t="shared" si="75"/>
        <v>333</v>
      </c>
      <c r="N62" s="111">
        <f t="shared" si="76"/>
        <v>1.555555556</v>
      </c>
      <c r="O62" s="112">
        <f t="shared" si="5"/>
        <v>0.6428571429</v>
      </c>
      <c r="P62" s="111" t="str">
        <f t="shared" si="6"/>
        <v>#DIV/0!</v>
      </c>
      <c r="Q62" s="113" t="str">
        <f t="shared" si="7"/>
        <v>#DIV/0!</v>
      </c>
      <c r="R62" s="114">
        <f>SUM(R58:R61)</f>
        <v>-333</v>
      </c>
      <c r="S62" s="115" t="str">
        <f t="shared" si="9"/>
        <v>#DIV/0!</v>
      </c>
      <c r="T62" s="140" t="str">
        <f t="shared" ref="T62:U62" si="77">IFERROR((D62-#REF!)/D62,)</f>
        <v/>
      </c>
      <c r="U62" s="140" t="str">
        <f t="shared" si="77"/>
        <v/>
      </c>
      <c r="V62" s="140" t="str">
        <f t="shared" ref="V62:W62" si="78">IFERROR((D62-#REF!)/D62, )</f>
        <v/>
      </c>
      <c r="W62" s="140" t="str">
        <f t="shared" si="78"/>
        <v/>
      </c>
      <c r="X62" s="116"/>
      <c r="Y62" s="116"/>
      <c r="Z62" s="116"/>
    </row>
    <row r="63" hidden="1" outlineLevel="1">
      <c r="A63" s="116"/>
      <c r="B63" s="74">
        <v>45991.0</v>
      </c>
      <c r="C63" s="117" t="s">
        <v>31</v>
      </c>
      <c r="D63" s="118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20">
        <v>178.91</v>
      </c>
      <c r="K63" s="121">
        <v>7098.0</v>
      </c>
      <c r="L63" s="135"/>
      <c r="M63" s="123">
        <v>335.0</v>
      </c>
      <c r="N63" s="85">
        <f t="shared" si="76"/>
        <v>0.5340597015</v>
      </c>
      <c r="O63" s="86">
        <f t="shared" si="5"/>
        <v>1.872449835</v>
      </c>
      <c r="P63" s="85" t="str">
        <f t="shared" si="6"/>
        <v>#DIV/0!</v>
      </c>
      <c r="Q63" s="87" t="str">
        <f t="shared" si="7"/>
        <v>#DIV/0!</v>
      </c>
      <c r="R63" s="88">
        <f t="shared" ref="R63:R67" si="79">D63-M63</f>
        <v>-335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16"/>
      <c r="B64" s="126"/>
      <c r="C64" s="117" t="s">
        <v>32</v>
      </c>
      <c r="D64" s="127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1226.56</v>
      </c>
      <c r="K64" s="121">
        <v>98052.0</v>
      </c>
      <c r="L64" s="135"/>
      <c r="M64" s="129">
        <v>609.0</v>
      </c>
      <c r="N64" s="85">
        <f t="shared" si="76"/>
        <v>2.014055829</v>
      </c>
      <c r="O64" s="86">
        <f t="shared" si="5"/>
        <v>0.4965105661</v>
      </c>
      <c r="P64" s="85" t="str">
        <f t="shared" si="6"/>
        <v>#DIV/0!</v>
      </c>
      <c r="Q64" s="87" t="str">
        <f t="shared" si="7"/>
        <v>#DIV/0!</v>
      </c>
      <c r="R64" s="95">
        <f t="shared" si="79"/>
        <v>-609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hidden="1" outlineLevel="1">
      <c r="A65" s="116"/>
      <c r="B65" s="126"/>
      <c r="C65" s="117" t="s">
        <v>46</v>
      </c>
      <c r="D65" s="127"/>
      <c r="E65" s="119"/>
      <c r="F65" s="119"/>
      <c r="G65" s="78" t="str">
        <f t="shared" si="1"/>
        <v>#DIV/0!</v>
      </c>
      <c r="H65" s="79" t="str">
        <f t="shared" si="2"/>
        <v>#DIV/0!</v>
      </c>
      <c r="I65" s="80" t="str">
        <f t="shared" si="3"/>
        <v>#DIV/0!</v>
      </c>
      <c r="J65" s="128">
        <v>0.0</v>
      </c>
      <c r="K65" s="121">
        <v>0.0</v>
      </c>
      <c r="L65" s="135"/>
      <c r="M65" s="129">
        <v>0.0</v>
      </c>
      <c r="N65" s="85" t="str">
        <f t="shared" si="76"/>
        <v>#DIV/0!</v>
      </c>
      <c r="O65" s="86" t="str">
        <f t="shared" si="5"/>
        <v>#DIV/0!</v>
      </c>
      <c r="P65" s="85" t="str">
        <f t="shared" si="6"/>
        <v>#DIV/0!</v>
      </c>
      <c r="Q65" s="87" t="str">
        <f t="shared" si="7"/>
        <v>#DIV/0!</v>
      </c>
      <c r="R65" s="95">
        <f t="shared" si="79"/>
        <v>0</v>
      </c>
      <c r="S65" s="89" t="str">
        <f t="shared" si="9"/>
        <v>#DIV/0!</v>
      </c>
      <c r="T65" s="124"/>
      <c r="U65" s="124"/>
      <c r="V65" s="124"/>
      <c r="W65" s="124"/>
      <c r="X65" s="125"/>
      <c r="Y65" s="116"/>
      <c r="Z65" s="116"/>
    </row>
    <row r="66" hidden="1" outlineLevel="1">
      <c r="A66" s="116"/>
      <c r="B66" s="74" t="s">
        <v>33</v>
      </c>
      <c r="C66" s="117" t="s">
        <v>34</v>
      </c>
      <c r="D66" s="130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31">
        <v>0.0</v>
      </c>
      <c r="K66" s="121">
        <v>0.0</v>
      </c>
      <c r="L66" s="135"/>
      <c r="M66" s="132">
        <v>0.0</v>
      </c>
      <c r="N66" s="85" t="str">
        <f>(J66/M66)</f>
        <v>#DIV/0!</v>
      </c>
      <c r="O66" s="86" t="str">
        <f t="shared" si="5"/>
        <v>#DIV/0!</v>
      </c>
      <c r="P66" s="85" t="str">
        <f t="shared" si="6"/>
        <v>#DIV/0!</v>
      </c>
      <c r="Q66" s="87" t="str">
        <f t="shared" si="7"/>
        <v>#DIV/0!</v>
      </c>
      <c r="R66" s="100">
        <f t="shared" si="79"/>
        <v>0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hidden="1" outlineLevel="1">
      <c r="A67" s="101" t="str">
        <f t="shared" ref="A67:A68" si="80">iferror(if(B67&gt;0,month(B67)&amp;"-"&amp;year(B67),B67),)</f>
        <v>12-2025</v>
      </c>
      <c r="B67" s="74">
        <v>45997.0</v>
      </c>
      <c r="C67" s="117" t="s">
        <v>35</v>
      </c>
      <c r="D67" s="133"/>
      <c r="E67" s="119"/>
      <c r="F67" s="119"/>
      <c r="G67" s="78" t="str">
        <f t="shared" si="1"/>
        <v>#DIV/0!</v>
      </c>
      <c r="H67" s="79" t="str">
        <f t="shared" si="2"/>
        <v>#DIV/0!</v>
      </c>
      <c r="I67" s="80" t="str">
        <f t="shared" si="3"/>
        <v>#DIV/0!</v>
      </c>
      <c r="J67" s="128">
        <v>1220.18</v>
      </c>
      <c r="K67" s="121">
        <v>75696.0</v>
      </c>
      <c r="L67" s="135"/>
      <c r="M67" s="129">
        <v>391.0</v>
      </c>
      <c r="N67" s="85">
        <f t="shared" ref="N67:N72" si="83">J67/M67</f>
        <v>3.120664962</v>
      </c>
      <c r="O67" s="86">
        <f t="shared" si="5"/>
        <v>0.3204445246</v>
      </c>
      <c r="P67" s="85" t="str">
        <f t="shared" si="6"/>
        <v>#DIV/0!</v>
      </c>
      <c r="Q67" s="87" t="str">
        <f t="shared" si="7"/>
        <v>#DIV/0!</v>
      </c>
      <c r="R67" s="88">
        <f t="shared" si="79"/>
        <v>-391</v>
      </c>
      <c r="S67" s="89" t="str">
        <f t="shared" si="9"/>
        <v>#DIV/0!</v>
      </c>
      <c r="T67" s="124"/>
      <c r="U67" s="124"/>
      <c r="V67" s="124"/>
      <c r="W67" s="124"/>
      <c r="X67" s="125"/>
      <c r="Y67" s="116"/>
      <c r="Z67" s="116"/>
    </row>
    <row r="68" collapsed="1">
      <c r="A68" s="116" t="str">
        <f t="shared" si="80"/>
        <v/>
      </c>
      <c r="B68" s="137" t="s">
        <v>47</v>
      </c>
      <c r="C68" s="138"/>
      <c r="D68" s="104">
        <f t="shared" ref="D68:F68" si="81">SUM(D63:D67)</f>
        <v>0</v>
      </c>
      <c r="E68" s="105">
        <f t="shared" si="81"/>
        <v>0</v>
      </c>
      <c r="F68" s="105">
        <f t="shared" si="81"/>
        <v>0</v>
      </c>
      <c r="G68" s="106" t="str">
        <f t="shared" si="1"/>
        <v>#DIV/0!</v>
      </c>
      <c r="H68" s="107" t="str">
        <f t="shared" si="2"/>
        <v>#DIV/0!</v>
      </c>
      <c r="I68" s="108" t="str">
        <f t="shared" si="3"/>
        <v>#DIV/0!</v>
      </c>
      <c r="J68" s="104">
        <f t="shared" ref="J68:M68" si="82">SUM(J63:J67)</f>
        <v>2625.65</v>
      </c>
      <c r="K68" s="109">
        <f t="shared" si="82"/>
        <v>180846</v>
      </c>
      <c r="L68" s="139">
        <f t="shared" si="82"/>
        <v>0</v>
      </c>
      <c r="M68" s="110">
        <f t="shared" si="82"/>
        <v>1335</v>
      </c>
      <c r="N68" s="111">
        <f t="shared" si="83"/>
        <v>1.966779026</v>
      </c>
      <c r="O68" s="112">
        <f t="shared" si="5"/>
        <v>0.5084455278</v>
      </c>
      <c r="P68" s="111" t="str">
        <f t="shared" si="6"/>
        <v>#DIV/0!</v>
      </c>
      <c r="Q68" s="113" t="str">
        <f t="shared" si="7"/>
        <v>#DIV/0!</v>
      </c>
      <c r="R68" s="114">
        <f>SUM(R63:R67)</f>
        <v>-1335</v>
      </c>
      <c r="S68" s="115" t="str">
        <f t="shared" si="9"/>
        <v>#DIV/0!</v>
      </c>
      <c r="T68" s="140" t="str">
        <f t="shared" ref="T68:U68" si="84">IFERROR((D68-#REF!)/D68,)</f>
        <v/>
      </c>
      <c r="U68" s="140" t="str">
        <f t="shared" si="84"/>
        <v/>
      </c>
      <c r="V68" s="140" t="str">
        <f t="shared" ref="V68:W68" si="85">IFERROR((D68-#REF!)/D68, )</f>
        <v/>
      </c>
      <c r="W68" s="140" t="str">
        <f t="shared" si="85"/>
        <v/>
      </c>
      <c r="X68" s="116"/>
      <c r="Y68" s="116"/>
      <c r="Z68" s="116"/>
    </row>
    <row r="69" hidden="1" outlineLevel="1">
      <c r="A69" s="116"/>
      <c r="B69" s="74">
        <v>45998.0</v>
      </c>
      <c r="C69" s="117" t="s">
        <v>31</v>
      </c>
      <c r="D69" s="118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0">
        <v>167.6</v>
      </c>
      <c r="K69" s="121">
        <v>9254.0</v>
      </c>
      <c r="L69" s="135"/>
      <c r="M69" s="123">
        <v>559.0</v>
      </c>
      <c r="N69" s="85">
        <f t="shared" si="83"/>
        <v>0.2998211091</v>
      </c>
      <c r="O69" s="86">
        <f t="shared" si="5"/>
        <v>3.335322196</v>
      </c>
      <c r="P69" s="85" t="str">
        <f t="shared" si="6"/>
        <v>#DIV/0!</v>
      </c>
      <c r="Q69" s="87" t="str">
        <f t="shared" si="7"/>
        <v>#DIV/0!</v>
      </c>
      <c r="R69" s="88">
        <f t="shared" ref="R69:R74" si="86">D69-M69</f>
        <v>-559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126"/>
      <c r="C70" s="117" t="s">
        <v>48</v>
      </c>
      <c r="D70" s="127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41">
        <v>0.0</v>
      </c>
      <c r="K70" s="121">
        <v>0.0</v>
      </c>
      <c r="L70" s="135"/>
      <c r="M70" s="142">
        <v>0.0</v>
      </c>
      <c r="N70" s="85" t="str">
        <f t="shared" si="83"/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95">
        <f t="shared" si="86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16"/>
      <c r="B71" s="126"/>
      <c r="C71" s="117" t="s">
        <v>32</v>
      </c>
      <c r="D71" s="127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186.66</v>
      </c>
      <c r="K71" s="121">
        <v>18782.0</v>
      </c>
      <c r="L71" s="135"/>
      <c r="M71" s="129">
        <v>0.0</v>
      </c>
      <c r="N71" s="85" t="str">
        <f t="shared" si="83"/>
        <v>#DIV/0!</v>
      </c>
      <c r="O71" s="86">
        <f t="shared" si="5"/>
        <v>0</v>
      </c>
      <c r="P71" s="85" t="str">
        <f t="shared" si="6"/>
        <v>#DIV/0!</v>
      </c>
      <c r="Q71" s="87" t="str">
        <f t="shared" si="7"/>
        <v>#DIV/0!</v>
      </c>
      <c r="R71" s="95">
        <f t="shared" si="86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 hidden="1" outlineLevel="1">
      <c r="A72" s="116"/>
      <c r="B72" s="126"/>
      <c r="C72" s="117" t="s">
        <v>46</v>
      </c>
      <c r="D72" s="127"/>
      <c r="E72" s="119"/>
      <c r="F72" s="119"/>
      <c r="G72" s="78" t="str">
        <f t="shared" si="1"/>
        <v>#DIV/0!</v>
      </c>
      <c r="H72" s="79" t="str">
        <f t="shared" si="2"/>
        <v>#DIV/0!</v>
      </c>
      <c r="I72" s="80" t="str">
        <f t="shared" si="3"/>
        <v>#DIV/0!</v>
      </c>
      <c r="J72" s="128">
        <v>0.0</v>
      </c>
      <c r="K72" s="121">
        <v>0.0</v>
      </c>
      <c r="L72" s="135"/>
      <c r="M72" s="129">
        <v>0.0</v>
      </c>
      <c r="N72" s="85" t="str">
        <f t="shared" si="83"/>
        <v>#DIV/0!</v>
      </c>
      <c r="O72" s="86" t="str">
        <f t="shared" si="5"/>
        <v>#DIV/0!</v>
      </c>
      <c r="P72" s="85" t="str">
        <f t="shared" si="6"/>
        <v>#DIV/0!</v>
      </c>
      <c r="Q72" s="87" t="str">
        <f t="shared" si="7"/>
        <v>#DIV/0!</v>
      </c>
      <c r="R72" s="95">
        <f t="shared" si="86"/>
        <v>0</v>
      </c>
      <c r="S72" s="89" t="str">
        <f t="shared" si="9"/>
        <v>#DIV/0!</v>
      </c>
      <c r="T72" s="124"/>
      <c r="U72" s="124"/>
      <c r="V72" s="124"/>
      <c r="W72" s="124"/>
      <c r="X72" s="125"/>
      <c r="Y72" s="116"/>
      <c r="Z72" s="116"/>
    </row>
    <row r="73" hidden="1" outlineLevel="1">
      <c r="A73" s="116"/>
      <c r="B73" s="74" t="s">
        <v>33</v>
      </c>
      <c r="C73" s="117" t="s">
        <v>34</v>
      </c>
      <c r="D73" s="130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31">
        <v>0.0</v>
      </c>
      <c r="K73" s="121">
        <v>0.0</v>
      </c>
      <c r="L73" s="135"/>
      <c r="M73" s="132">
        <v>0.0</v>
      </c>
      <c r="N73" s="85" t="str">
        <f>(J73/M73)</f>
        <v>#DIV/0!</v>
      </c>
      <c r="O73" s="86" t="str">
        <f t="shared" si="5"/>
        <v>#DIV/0!</v>
      </c>
      <c r="P73" s="85" t="str">
        <f t="shared" si="6"/>
        <v>#DIV/0!</v>
      </c>
      <c r="Q73" s="87" t="str">
        <f t="shared" si="7"/>
        <v>#DIV/0!</v>
      </c>
      <c r="R73" s="100">
        <f t="shared" si="86"/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 hidden="1" outlineLevel="1">
      <c r="A74" s="101" t="str">
        <f t="shared" ref="A74:A75" si="87">iferror(if(B74&gt;0,month(B74)&amp;"-"&amp;year(B74),B74),)</f>
        <v>12-2025</v>
      </c>
      <c r="B74" s="74">
        <v>46004.0</v>
      </c>
      <c r="C74" s="117" t="s">
        <v>35</v>
      </c>
      <c r="D74" s="133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28">
        <v>176.02</v>
      </c>
      <c r="K74" s="121">
        <v>9377.0</v>
      </c>
      <c r="L74" s="135"/>
      <c r="M74" s="129">
        <v>0.0</v>
      </c>
      <c r="N74" s="85" t="str">
        <f t="shared" ref="N74:N79" si="90">J74/M74</f>
        <v>#DIV/0!</v>
      </c>
      <c r="O74" s="86">
        <f t="shared" si="5"/>
        <v>0</v>
      </c>
      <c r="P74" s="85" t="str">
        <f t="shared" si="6"/>
        <v>#DIV/0!</v>
      </c>
      <c r="Q74" s="87" t="str">
        <f t="shared" si="7"/>
        <v>#DIV/0!</v>
      </c>
      <c r="R74" s="88">
        <f t="shared" si="86"/>
        <v>0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 collapsed="1">
      <c r="A75" s="116" t="str">
        <f t="shared" si="87"/>
        <v/>
      </c>
      <c r="B75" s="137" t="s">
        <v>49</v>
      </c>
      <c r="C75" s="138"/>
      <c r="D75" s="104">
        <f t="shared" ref="D75:F75" si="88">SUM(D69:D74)</f>
        <v>0</v>
      </c>
      <c r="E75" s="105">
        <f t="shared" si="88"/>
        <v>0</v>
      </c>
      <c r="F75" s="105">
        <f t="shared" si="88"/>
        <v>0</v>
      </c>
      <c r="G75" s="106" t="str">
        <f t="shared" si="1"/>
        <v>#DIV/0!</v>
      </c>
      <c r="H75" s="107" t="str">
        <f t="shared" si="2"/>
        <v>#DIV/0!</v>
      </c>
      <c r="I75" s="108" t="str">
        <f t="shared" si="3"/>
        <v>#DIV/0!</v>
      </c>
      <c r="J75" s="104">
        <f t="shared" ref="J75:M75" si="89">SUM(J69:J74)</f>
        <v>530.28</v>
      </c>
      <c r="K75" s="109">
        <f t="shared" si="89"/>
        <v>37413</v>
      </c>
      <c r="L75" s="139">
        <f t="shared" si="89"/>
        <v>0</v>
      </c>
      <c r="M75" s="110">
        <f t="shared" si="89"/>
        <v>559</v>
      </c>
      <c r="N75" s="111">
        <f t="shared" si="90"/>
        <v>0.9486225403</v>
      </c>
      <c r="O75" s="112">
        <f t="shared" si="5"/>
        <v>1.054160066</v>
      </c>
      <c r="P75" s="111" t="str">
        <f t="shared" si="6"/>
        <v>#DIV/0!</v>
      </c>
      <c r="Q75" s="113" t="str">
        <f t="shared" si="7"/>
        <v>#DIV/0!</v>
      </c>
      <c r="R75" s="114">
        <f>SUM(R69:R74)</f>
        <v>-559</v>
      </c>
      <c r="S75" s="115" t="str">
        <f t="shared" si="9"/>
        <v>#DIV/0!</v>
      </c>
      <c r="T75" s="140" t="str">
        <f t="shared" ref="T75:U75" si="91">IFERROR((D75-#REF!)/D75,)</f>
        <v/>
      </c>
      <c r="U75" s="140" t="str">
        <f t="shared" si="91"/>
        <v/>
      </c>
      <c r="V75" s="140" t="str">
        <f t="shared" ref="V75:W75" si="92">IFERROR((D75-#REF!)/D75, )</f>
        <v/>
      </c>
      <c r="W75" s="140" t="str">
        <f t="shared" si="92"/>
        <v/>
      </c>
      <c r="X75" s="116"/>
      <c r="Y75" s="116"/>
      <c r="Z75" s="116"/>
    </row>
    <row r="76" hidden="1" outlineLevel="1">
      <c r="A76" s="116"/>
      <c r="B76" s="74">
        <v>46005.0</v>
      </c>
      <c r="C76" s="117" t="s">
        <v>31</v>
      </c>
      <c r="D76" s="118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0">
        <v>184.7</v>
      </c>
      <c r="K76" s="121">
        <v>9908.0</v>
      </c>
      <c r="L76" s="135"/>
      <c r="M76" s="123">
        <v>0.0</v>
      </c>
      <c r="N76" s="85" t="str">
        <f t="shared" si="90"/>
        <v>#DIV/0!</v>
      </c>
      <c r="O76" s="86">
        <f t="shared" si="5"/>
        <v>0</v>
      </c>
      <c r="P76" s="85" t="str">
        <f t="shared" si="6"/>
        <v>#DIV/0!</v>
      </c>
      <c r="Q76" s="87" t="str">
        <f t="shared" si="7"/>
        <v>#DIV/0!</v>
      </c>
      <c r="R76" s="88">
        <f t="shared" ref="R76:R81" si="93">D76-M76</f>
        <v>0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 hidden="1" outlineLevel="1">
      <c r="A77" s="116"/>
      <c r="B77" s="126"/>
      <c r="C77" s="117" t="s">
        <v>48</v>
      </c>
      <c r="D77" s="127"/>
      <c r="E77" s="119"/>
      <c r="F77" s="119"/>
      <c r="G77" s="78" t="str">
        <f t="shared" si="1"/>
        <v>#DIV/0!</v>
      </c>
      <c r="H77" s="79" t="str">
        <f t="shared" si="2"/>
        <v>#DIV/0!</v>
      </c>
      <c r="I77" s="80" t="str">
        <f t="shared" si="3"/>
        <v>#DIV/0!</v>
      </c>
      <c r="J77" s="141">
        <v>0.0</v>
      </c>
      <c r="K77" s="121">
        <v>0.0</v>
      </c>
      <c r="L77" s="135"/>
      <c r="M77" s="142">
        <v>0.0</v>
      </c>
      <c r="N77" s="85" t="str">
        <f t="shared" si="90"/>
        <v>#DIV/0!</v>
      </c>
      <c r="O77" s="86" t="str">
        <f t="shared" si="5"/>
        <v>#DIV/0!</v>
      </c>
      <c r="P77" s="85" t="str">
        <f t="shared" si="6"/>
        <v>#DIV/0!</v>
      </c>
      <c r="Q77" s="87" t="str">
        <f t="shared" si="7"/>
        <v>#DIV/0!</v>
      </c>
      <c r="R77" s="95">
        <f t="shared" si="93"/>
        <v>0</v>
      </c>
      <c r="S77" s="89" t="str">
        <f t="shared" si="9"/>
        <v>#DIV/0!</v>
      </c>
      <c r="T77" s="124"/>
      <c r="U77" s="124"/>
      <c r="V77" s="124"/>
      <c r="W77" s="124"/>
      <c r="X77" s="125"/>
      <c r="Y77" s="116"/>
      <c r="Z77" s="116"/>
    </row>
    <row r="78" hidden="1" outlineLevel="1">
      <c r="A78" s="116"/>
      <c r="B78" s="126"/>
      <c r="C78" s="117" t="s">
        <v>32</v>
      </c>
      <c r="D78" s="127"/>
      <c r="E78" s="119"/>
      <c r="F78" s="119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128">
        <v>161.84</v>
      </c>
      <c r="K78" s="121">
        <v>13094.0</v>
      </c>
      <c r="L78" s="135"/>
      <c r="M78" s="129">
        <v>1106.0</v>
      </c>
      <c r="N78" s="85">
        <f t="shared" si="90"/>
        <v>0.1463291139</v>
      </c>
      <c r="O78" s="86">
        <f t="shared" si="5"/>
        <v>6.833910035</v>
      </c>
      <c r="P78" s="85" t="str">
        <f t="shared" si="6"/>
        <v>#DIV/0!</v>
      </c>
      <c r="Q78" s="87" t="str">
        <f t="shared" si="7"/>
        <v>#DIV/0!</v>
      </c>
      <c r="R78" s="95">
        <f t="shared" si="93"/>
        <v>-1106</v>
      </c>
      <c r="S78" s="89" t="str">
        <f t="shared" si="9"/>
        <v>#DIV/0!</v>
      </c>
      <c r="T78" s="124"/>
      <c r="U78" s="124"/>
      <c r="V78" s="124"/>
      <c r="W78" s="124"/>
      <c r="X78" s="125"/>
      <c r="Y78" s="116"/>
      <c r="Z78" s="116"/>
    </row>
    <row r="79" hidden="1" outlineLevel="1">
      <c r="A79" s="116"/>
      <c r="B79" s="126"/>
      <c r="C79" s="117" t="s">
        <v>46</v>
      </c>
      <c r="D79" s="127"/>
      <c r="E79" s="119"/>
      <c r="F79" s="119"/>
      <c r="G79" s="78" t="str">
        <f t="shared" si="1"/>
        <v>#DIV/0!</v>
      </c>
      <c r="H79" s="79" t="str">
        <f t="shared" si="2"/>
        <v>#DIV/0!</v>
      </c>
      <c r="I79" s="80" t="str">
        <f t="shared" si="3"/>
        <v>#DIV/0!</v>
      </c>
      <c r="J79" s="128">
        <v>0.0</v>
      </c>
      <c r="K79" s="121">
        <v>0.0</v>
      </c>
      <c r="L79" s="135"/>
      <c r="M79" s="129">
        <v>0.0</v>
      </c>
      <c r="N79" s="85" t="str">
        <f t="shared" si="90"/>
        <v>#DIV/0!</v>
      </c>
      <c r="O79" s="86" t="str">
        <f t="shared" si="5"/>
        <v>#DIV/0!</v>
      </c>
      <c r="P79" s="85" t="str">
        <f t="shared" si="6"/>
        <v>#DIV/0!</v>
      </c>
      <c r="Q79" s="87" t="str">
        <f t="shared" si="7"/>
        <v>#DIV/0!</v>
      </c>
      <c r="R79" s="95">
        <f t="shared" si="93"/>
        <v>0</v>
      </c>
      <c r="S79" s="89" t="str">
        <f t="shared" si="9"/>
        <v>#DIV/0!</v>
      </c>
      <c r="T79" s="124"/>
      <c r="U79" s="124"/>
      <c r="V79" s="124"/>
      <c r="W79" s="124"/>
      <c r="X79" s="125"/>
      <c r="Y79" s="116"/>
      <c r="Z79" s="116"/>
    </row>
    <row r="80" hidden="1" outlineLevel="1">
      <c r="A80" s="116"/>
      <c r="B80" s="74" t="s">
        <v>33</v>
      </c>
      <c r="C80" s="117" t="s">
        <v>34</v>
      </c>
      <c r="D80" s="130"/>
      <c r="E80" s="119"/>
      <c r="F80" s="119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131">
        <v>0.0</v>
      </c>
      <c r="K80" s="121">
        <v>0.0</v>
      </c>
      <c r="L80" s="135"/>
      <c r="M80" s="132">
        <v>0.0</v>
      </c>
      <c r="N80" s="85" t="str">
        <f>(J80/M80)</f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100">
        <f t="shared" si="93"/>
        <v>0</v>
      </c>
      <c r="S80" s="89" t="str">
        <f t="shared" si="9"/>
        <v>#DIV/0!</v>
      </c>
      <c r="T80" s="124"/>
      <c r="U80" s="124"/>
      <c r="V80" s="124"/>
      <c r="W80" s="124"/>
      <c r="X80" s="125"/>
      <c r="Y80" s="116"/>
      <c r="Z80" s="116"/>
    </row>
    <row r="81" hidden="1" outlineLevel="1">
      <c r="A81" s="101" t="str">
        <f t="shared" ref="A81:A82" si="94">iferror(if(B81&gt;0,month(B81)&amp;"-"&amp;year(B81),B81),)</f>
        <v>12-2025</v>
      </c>
      <c r="B81" s="74">
        <v>46011.0</v>
      </c>
      <c r="C81" s="117" t="s">
        <v>35</v>
      </c>
      <c r="D81" s="133"/>
      <c r="E81" s="119"/>
      <c r="F81" s="119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128">
        <v>166.95</v>
      </c>
      <c r="K81" s="121">
        <v>5380.0</v>
      </c>
      <c r="L81" s="135"/>
      <c r="M81" s="129">
        <v>0.0</v>
      </c>
      <c r="N81" s="85" t="str">
        <f t="shared" ref="N81:N86" si="97">J81/M81</f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88">
        <f t="shared" si="93"/>
        <v>0</v>
      </c>
      <c r="S81" s="89" t="str">
        <f t="shared" si="9"/>
        <v>#DIV/0!</v>
      </c>
      <c r="T81" s="124"/>
      <c r="U81" s="124"/>
      <c r="V81" s="124"/>
      <c r="W81" s="124"/>
      <c r="X81" s="125"/>
      <c r="Y81" s="116"/>
      <c r="Z81" s="116"/>
    </row>
    <row r="82" collapsed="1">
      <c r="A82" s="116" t="str">
        <f t="shared" si="94"/>
        <v/>
      </c>
      <c r="B82" s="137" t="s">
        <v>50</v>
      </c>
      <c r="C82" s="138"/>
      <c r="D82" s="104">
        <f t="shared" ref="D82:F82" si="95">SUM(D76:D81)</f>
        <v>0</v>
      </c>
      <c r="E82" s="105">
        <f t="shared" si="95"/>
        <v>0</v>
      </c>
      <c r="F82" s="105">
        <f t="shared" si="95"/>
        <v>0</v>
      </c>
      <c r="G82" s="106" t="str">
        <f t="shared" si="1"/>
        <v>#DIV/0!</v>
      </c>
      <c r="H82" s="107" t="str">
        <f t="shared" si="2"/>
        <v>#DIV/0!</v>
      </c>
      <c r="I82" s="108" t="str">
        <f t="shared" si="3"/>
        <v>#DIV/0!</v>
      </c>
      <c r="J82" s="104">
        <f t="shared" ref="J82:M82" si="96">SUM(J76:J81)</f>
        <v>513.49</v>
      </c>
      <c r="K82" s="109">
        <f t="shared" si="96"/>
        <v>28382</v>
      </c>
      <c r="L82" s="139">
        <f t="shared" si="96"/>
        <v>0</v>
      </c>
      <c r="M82" s="110">
        <f t="shared" si="96"/>
        <v>1106</v>
      </c>
      <c r="N82" s="111">
        <f t="shared" si="97"/>
        <v>0.4642766727</v>
      </c>
      <c r="O82" s="112">
        <f t="shared" si="5"/>
        <v>2.153888099</v>
      </c>
      <c r="P82" s="111" t="str">
        <f t="shared" si="6"/>
        <v>#DIV/0!</v>
      </c>
      <c r="Q82" s="113" t="str">
        <f t="shared" si="7"/>
        <v>#DIV/0!</v>
      </c>
      <c r="R82" s="114">
        <f>SUM(R76:R81)</f>
        <v>-1106</v>
      </c>
      <c r="S82" s="115" t="str">
        <f t="shared" si="9"/>
        <v>#DIV/0!</v>
      </c>
      <c r="T82" s="140" t="str">
        <f t="shared" ref="T82:U82" si="98">IFERROR((D82-#REF!)/D82,)</f>
        <v/>
      </c>
      <c r="U82" s="140" t="str">
        <f t="shared" si="98"/>
        <v/>
      </c>
      <c r="V82" s="140" t="str">
        <f t="shared" ref="V82:W82" si="99">IFERROR((D82-#REF!)/D82, )</f>
        <v/>
      </c>
      <c r="W82" s="140" t="str">
        <f t="shared" si="99"/>
        <v/>
      </c>
      <c r="X82" s="116"/>
      <c r="Y82" s="116"/>
      <c r="Z82" s="116"/>
    </row>
    <row r="83">
      <c r="A83" s="13"/>
      <c r="B83" s="143">
        <v>46012.0</v>
      </c>
      <c r="C83" s="75" t="s">
        <v>31</v>
      </c>
      <c r="D83" s="76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81">
        <v>176.83</v>
      </c>
      <c r="K83" s="82">
        <v>10330.0</v>
      </c>
      <c r="L83" s="83"/>
      <c r="M83" s="84">
        <v>839.0</v>
      </c>
      <c r="N83" s="85">
        <f t="shared" si="97"/>
        <v>0.2107628129</v>
      </c>
      <c r="O83" s="86">
        <f t="shared" si="5"/>
        <v>4.744670022</v>
      </c>
      <c r="P83" s="85" t="str">
        <f t="shared" si="6"/>
        <v>#DIV/0!</v>
      </c>
      <c r="Q83" s="87" t="str">
        <f t="shared" si="7"/>
        <v>#DIV/0!</v>
      </c>
      <c r="R83" s="88">
        <f t="shared" ref="R83:R88" si="100">D83-M83</f>
        <v>-839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91"/>
      <c r="C84" s="144" t="s">
        <v>48</v>
      </c>
      <c r="D84" s="92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145">
        <v>0.0</v>
      </c>
      <c r="K84" s="82">
        <v>0.0</v>
      </c>
      <c r="L84" s="146"/>
      <c r="M84" s="147">
        <v>0.0</v>
      </c>
      <c r="N84" s="85" t="str">
        <f t="shared" si="97"/>
        <v>#DIV/0!</v>
      </c>
      <c r="O84" s="86" t="str">
        <f t="shared" si="5"/>
        <v>#DIV/0!</v>
      </c>
      <c r="P84" s="85" t="str">
        <f t="shared" si="6"/>
        <v>#DIV/0!</v>
      </c>
      <c r="Q84" s="87" t="str">
        <f t="shared" si="7"/>
        <v>#DIV/0!</v>
      </c>
      <c r="R84" s="95">
        <f t="shared" si="100"/>
        <v>0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3"/>
      <c r="B85" s="91"/>
      <c r="C85" s="75" t="s">
        <v>32</v>
      </c>
      <c r="D85" s="92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3">
        <v>169.03</v>
      </c>
      <c r="K85" s="82">
        <v>10693.0</v>
      </c>
      <c r="L85" s="83"/>
      <c r="M85" s="94">
        <v>177.0</v>
      </c>
      <c r="N85" s="85">
        <f t="shared" si="97"/>
        <v>0.9549717514</v>
      </c>
      <c r="O85" s="86">
        <f t="shared" si="5"/>
        <v>1.047151393</v>
      </c>
      <c r="P85" s="85" t="str">
        <f t="shared" si="6"/>
        <v>#DIV/0!</v>
      </c>
      <c r="Q85" s="87" t="str">
        <f t="shared" si="7"/>
        <v>#DIV/0!</v>
      </c>
      <c r="R85" s="95">
        <f t="shared" si="100"/>
        <v>-177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3"/>
      <c r="B86" s="91"/>
      <c r="C86" s="144" t="s">
        <v>46</v>
      </c>
      <c r="D86" s="92"/>
      <c r="E86" s="77"/>
      <c r="F86" s="77"/>
      <c r="G86" s="78" t="str">
        <f t="shared" si="1"/>
        <v>#DIV/0!</v>
      </c>
      <c r="H86" s="79" t="str">
        <f t="shared" si="2"/>
        <v>#DIV/0!</v>
      </c>
      <c r="I86" s="80" t="str">
        <f t="shared" si="3"/>
        <v>#DIV/0!</v>
      </c>
      <c r="J86" s="93">
        <v>0.0</v>
      </c>
      <c r="K86" s="82">
        <v>0.0</v>
      </c>
      <c r="L86" s="83"/>
      <c r="M86" s="94">
        <v>0.0</v>
      </c>
      <c r="N86" s="85" t="str">
        <f t="shared" si="97"/>
        <v>#DIV/0!</v>
      </c>
      <c r="O86" s="86" t="str">
        <f t="shared" si="5"/>
        <v>#DIV/0!</v>
      </c>
      <c r="P86" s="85" t="str">
        <f t="shared" si="6"/>
        <v>#DIV/0!</v>
      </c>
      <c r="Q86" s="87" t="str">
        <f t="shared" si="7"/>
        <v>#DIV/0!</v>
      </c>
      <c r="R86" s="95">
        <f t="shared" si="100"/>
        <v>0</v>
      </c>
      <c r="S86" s="89" t="str">
        <f t="shared" si="9"/>
        <v>#DIV/0!</v>
      </c>
      <c r="T86" s="90"/>
      <c r="U86" s="90"/>
      <c r="V86" s="90"/>
      <c r="W86" s="90"/>
      <c r="X86" s="3"/>
      <c r="Y86" s="13"/>
      <c r="Z86" s="13"/>
    </row>
    <row r="87">
      <c r="A87" s="13"/>
      <c r="B87" s="148" t="s">
        <v>33</v>
      </c>
      <c r="C87" s="75" t="s">
        <v>34</v>
      </c>
      <c r="D87" s="97"/>
      <c r="E87" s="77"/>
      <c r="F87" s="77"/>
      <c r="G87" s="78" t="str">
        <f t="shared" si="1"/>
        <v>#DIV/0!</v>
      </c>
      <c r="H87" s="79" t="str">
        <f t="shared" si="2"/>
        <v>#DIV/0!</v>
      </c>
      <c r="I87" s="80" t="str">
        <f t="shared" si="3"/>
        <v>#DIV/0!</v>
      </c>
      <c r="J87" s="98">
        <v>0.0</v>
      </c>
      <c r="K87" s="82">
        <v>0.0</v>
      </c>
      <c r="L87" s="83"/>
      <c r="M87" s="99">
        <v>0.0</v>
      </c>
      <c r="N87" s="85" t="str">
        <f>(J87/M87)</f>
        <v>#DIV/0!</v>
      </c>
      <c r="O87" s="86" t="str">
        <f t="shared" si="5"/>
        <v>#DIV/0!</v>
      </c>
      <c r="P87" s="85" t="str">
        <f t="shared" si="6"/>
        <v>#DIV/0!</v>
      </c>
      <c r="Q87" s="87" t="str">
        <f t="shared" si="7"/>
        <v>#DIV/0!</v>
      </c>
      <c r="R87" s="100">
        <f t="shared" si="100"/>
        <v>0</v>
      </c>
      <c r="S87" s="89" t="str">
        <f t="shared" si="9"/>
        <v>#DIV/0!</v>
      </c>
      <c r="T87" s="90"/>
      <c r="U87" s="90"/>
      <c r="V87" s="90"/>
      <c r="W87" s="90"/>
      <c r="X87" s="3"/>
      <c r="Y87" s="13"/>
      <c r="Z87" s="13"/>
    </row>
    <row r="88">
      <c r="A88" s="101" t="str">
        <f t="shared" ref="A88:A89" si="101">iferror(if(B88&gt;0,month(B88)&amp;"-"&amp;year(B88),B88),)</f>
        <v>12-2025</v>
      </c>
      <c r="B88" s="143">
        <v>46018.0</v>
      </c>
      <c r="C88" s="75" t="s">
        <v>35</v>
      </c>
      <c r="D88" s="102"/>
      <c r="E88" s="77"/>
      <c r="F88" s="77"/>
      <c r="G88" s="78" t="str">
        <f t="shared" si="1"/>
        <v>#DIV/0!</v>
      </c>
      <c r="H88" s="79" t="str">
        <f t="shared" si="2"/>
        <v>#DIV/0!</v>
      </c>
      <c r="I88" s="80" t="str">
        <f t="shared" si="3"/>
        <v>#DIV/0!</v>
      </c>
      <c r="J88" s="93">
        <v>174.74</v>
      </c>
      <c r="K88" s="82">
        <v>5497.0</v>
      </c>
      <c r="L88" s="83"/>
      <c r="M88" s="94">
        <v>0.0</v>
      </c>
      <c r="N88" s="85" t="str">
        <f t="shared" ref="N88:N93" si="104">J88/M88</f>
        <v>#DIV/0!</v>
      </c>
      <c r="O88" s="86">
        <f t="shared" si="5"/>
        <v>0</v>
      </c>
      <c r="P88" s="85" t="str">
        <f t="shared" si="6"/>
        <v>#DIV/0!</v>
      </c>
      <c r="Q88" s="87" t="str">
        <f t="shared" si="7"/>
        <v>#DIV/0!</v>
      </c>
      <c r="R88" s="88">
        <f t="shared" si="100"/>
        <v>0</v>
      </c>
      <c r="S88" s="89" t="str">
        <f t="shared" si="9"/>
        <v>#DIV/0!</v>
      </c>
      <c r="T88" s="90"/>
      <c r="U88" s="90"/>
      <c r="V88" s="90"/>
      <c r="W88" s="90"/>
      <c r="X88" s="3"/>
      <c r="Y88" s="13"/>
      <c r="Z88" s="13"/>
    </row>
    <row r="89">
      <c r="A89" s="13" t="str">
        <f t="shared" si="101"/>
        <v/>
      </c>
      <c r="B89" s="103" t="s">
        <v>51</v>
      </c>
      <c r="C89" s="61"/>
      <c r="D89" s="104">
        <f t="shared" ref="D89:F89" si="102">SUM(D83:D88)</f>
        <v>0</v>
      </c>
      <c r="E89" s="105">
        <f t="shared" si="102"/>
        <v>0</v>
      </c>
      <c r="F89" s="105">
        <f t="shared" si="102"/>
        <v>0</v>
      </c>
      <c r="G89" s="106" t="str">
        <f t="shared" si="1"/>
        <v>#DIV/0!</v>
      </c>
      <c r="H89" s="107" t="str">
        <f t="shared" si="2"/>
        <v>#DIV/0!</v>
      </c>
      <c r="I89" s="108" t="str">
        <f t="shared" si="3"/>
        <v>#DIV/0!</v>
      </c>
      <c r="J89" s="104">
        <f t="shared" ref="J89:M89" si="103">SUM(J83:J88)</f>
        <v>520.6</v>
      </c>
      <c r="K89" s="109">
        <f t="shared" si="103"/>
        <v>26520</v>
      </c>
      <c r="L89" s="105">
        <f t="shared" si="103"/>
        <v>0</v>
      </c>
      <c r="M89" s="110">
        <f t="shared" si="103"/>
        <v>1016</v>
      </c>
      <c r="N89" s="111">
        <f t="shared" si="104"/>
        <v>0.5124015748</v>
      </c>
      <c r="O89" s="112">
        <f t="shared" si="5"/>
        <v>1.951594314</v>
      </c>
      <c r="P89" s="111" t="str">
        <f t="shared" si="6"/>
        <v>#DIV/0!</v>
      </c>
      <c r="Q89" s="113" t="str">
        <f t="shared" si="7"/>
        <v>#DIV/0!</v>
      </c>
      <c r="R89" s="114">
        <f>SUM(R83:R88)</f>
        <v>-1016</v>
      </c>
      <c r="S89" s="115" t="str">
        <f t="shared" si="9"/>
        <v>#DIV/0!</v>
      </c>
      <c r="T89" s="73" t="str">
        <f t="shared" ref="T89:U89" si="105">IFERROR((D89-#REF!)/D89,)</f>
        <v/>
      </c>
      <c r="U89" s="73" t="str">
        <f t="shared" si="105"/>
        <v/>
      </c>
      <c r="V89" s="73" t="str">
        <f t="shared" ref="V89:W89" si="106">IFERROR((D89-#REF!)/D89, )</f>
        <v/>
      </c>
      <c r="W89" s="73" t="str">
        <f t="shared" si="106"/>
        <v/>
      </c>
      <c r="X89" s="13"/>
      <c r="Y89" s="13"/>
      <c r="Z89" s="13"/>
    </row>
    <row r="90">
      <c r="A90" s="13"/>
      <c r="B90" s="143">
        <v>46019.0</v>
      </c>
      <c r="C90" s="75" t="s">
        <v>31</v>
      </c>
      <c r="D90" s="76"/>
      <c r="E90" s="77"/>
      <c r="F90" s="77"/>
      <c r="G90" s="78" t="str">
        <f t="shared" si="1"/>
        <v>#DIV/0!</v>
      </c>
      <c r="H90" s="79" t="str">
        <f t="shared" si="2"/>
        <v>#DIV/0!</v>
      </c>
      <c r="I90" s="80" t="str">
        <f t="shared" si="3"/>
        <v>#DIV/0!</v>
      </c>
      <c r="J90" s="81">
        <v>163.31</v>
      </c>
      <c r="K90" s="82">
        <v>11820.0</v>
      </c>
      <c r="L90" s="83"/>
      <c r="M90" s="84">
        <v>58.0</v>
      </c>
      <c r="N90" s="85">
        <f t="shared" si="104"/>
        <v>2.815689655</v>
      </c>
      <c r="O90" s="86">
        <f t="shared" si="5"/>
        <v>0.3551527769</v>
      </c>
      <c r="P90" s="85" t="str">
        <f t="shared" si="6"/>
        <v>#DIV/0!</v>
      </c>
      <c r="Q90" s="87" t="str">
        <f t="shared" si="7"/>
        <v>#DIV/0!</v>
      </c>
      <c r="R90" s="88">
        <f t="shared" ref="R90:R95" si="107">D90-M90</f>
        <v>-58</v>
      </c>
      <c r="S90" s="89" t="str">
        <f t="shared" si="9"/>
        <v>#DIV/0!</v>
      </c>
      <c r="T90" s="90"/>
      <c r="U90" s="90"/>
      <c r="V90" s="90"/>
      <c r="W90" s="90"/>
      <c r="X90" s="3"/>
      <c r="Y90" s="13"/>
      <c r="Z90" s="13"/>
    </row>
    <row r="91">
      <c r="A91" s="13"/>
      <c r="B91" s="91"/>
      <c r="C91" s="144" t="s">
        <v>48</v>
      </c>
      <c r="D91" s="92"/>
      <c r="E91" s="77"/>
      <c r="F91" s="77"/>
      <c r="G91" s="78" t="str">
        <f t="shared" si="1"/>
        <v>#DIV/0!</v>
      </c>
      <c r="H91" s="79" t="str">
        <f t="shared" si="2"/>
        <v>#DIV/0!</v>
      </c>
      <c r="I91" s="80" t="str">
        <f t="shared" si="3"/>
        <v>#DIV/0!</v>
      </c>
      <c r="J91" s="145">
        <v>106.4</v>
      </c>
      <c r="K91" s="82">
        <v>6630.0</v>
      </c>
      <c r="L91" s="146"/>
      <c r="M91" s="147">
        <v>0.0</v>
      </c>
      <c r="N91" s="85" t="str">
        <f t="shared" si="104"/>
        <v>#DIV/0!</v>
      </c>
      <c r="O91" s="86">
        <f t="shared" si="5"/>
        <v>0</v>
      </c>
      <c r="P91" s="85" t="str">
        <f t="shared" si="6"/>
        <v>#DIV/0!</v>
      </c>
      <c r="Q91" s="87" t="str">
        <f t="shared" si="7"/>
        <v>#DIV/0!</v>
      </c>
      <c r="R91" s="95">
        <f t="shared" si="107"/>
        <v>0</v>
      </c>
      <c r="S91" s="89" t="str">
        <f t="shared" si="9"/>
        <v>#DIV/0!</v>
      </c>
      <c r="T91" s="90"/>
      <c r="U91" s="90"/>
      <c r="V91" s="90"/>
      <c r="W91" s="90"/>
      <c r="X91" s="3"/>
      <c r="Y91" s="13"/>
      <c r="Z91" s="13"/>
    </row>
    <row r="92">
      <c r="A92" s="13"/>
      <c r="B92" s="91"/>
      <c r="C92" s="75" t="s">
        <v>32</v>
      </c>
      <c r="D92" s="92"/>
      <c r="E92" s="77"/>
      <c r="F92" s="77"/>
      <c r="G92" s="78" t="str">
        <f t="shared" si="1"/>
        <v>#DIV/0!</v>
      </c>
      <c r="H92" s="79" t="str">
        <f t="shared" si="2"/>
        <v>#DIV/0!</v>
      </c>
      <c r="I92" s="80" t="str">
        <f t="shared" si="3"/>
        <v>#DIV/0!</v>
      </c>
      <c r="J92" s="93">
        <v>157.13</v>
      </c>
      <c r="K92" s="82">
        <v>10589.0</v>
      </c>
      <c r="L92" s="83"/>
      <c r="M92" s="94">
        <v>359.0</v>
      </c>
      <c r="N92" s="85">
        <f t="shared" si="104"/>
        <v>0.4376880223</v>
      </c>
      <c r="O92" s="86">
        <f t="shared" si="5"/>
        <v>2.284732387</v>
      </c>
      <c r="P92" s="85" t="str">
        <f t="shared" si="6"/>
        <v>#DIV/0!</v>
      </c>
      <c r="Q92" s="87" t="str">
        <f t="shared" si="7"/>
        <v>#DIV/0!</v>
      </c>
      <c r="R92" s="95">
        <f t="shared" si="107"/>
        <v>-359</v>
      </c>
      <c r="S92" s="89" t="str">
        <f t="shared" si="9"/>
        <v>#DIV/0!</v>
      </c>
      <c r="T92" s="90"/>
      <c r="U92" s="90"/>
      <c r="V92" s="90"/>
      <c r="W92" s="90"/>
      <c r="X92" s="3"/>
      <c r="Y92" s="13"/>
      <c r="Z92" s="13"/>
    </row>
    <row r="93">
      <c r="A93" s="13"/>
      <c r="B93" s="91"/>
      <c r="C93" s="144" t="s">
        <v>46</v>
      </c>
      <c r="D93" s="92"/>
      <c r="E93" s="77"/>
      <c r="F93" s="77"/>
      <c r="G93" s="78" t="str">
        <f t="shared" si="1"/>
        <v>#DIV/0!</v>
      </c>
      <c r="H93" s="79" t="str">
        <f t="shared" si="2"/>
        <v>#DIV/0!</v>
      </c>
      <c r="I93" s="80" t="str">
        <f t="shared" si="3"/>
        <v>#DIV/0!</v>
      </c>
      <c r="J93" s="93">
        <v>0.0</v>
      </c>
      <c r="K93" s="82">
        <v>0.0</v>
      </c>
      <c r="L93" s="83"/>
      <c r="M93" s="94">
        <v>0.0</v>
      </c>
      <c r="N93" s="85" t="str">
        <f t="shared" si="104"/>
        <v>#DIV/0!</v>
      </c>
      <c r="O93" s="86" t="str">
        <f t="shared" si="5"/>
        <v>#DIV/0!</v>
      </c>
      <c r="P93" s="85" t="str">
        <f t="shared" si="6"/>
        <v>#DIV/0!</v>
      </c>
      <c r="Q93" s="87" t="str">
        <f t="shared" si="7"/>
        <v>#DIV/0!</v>
      </c>
      <c r="R93" s="95">
        <f t="shared" si="107"/>
        <v>0</v>
      </c>
      <c r="S93" s="89" t="str">
        <f t="shared" si="9"/>
        <v>#DIV/0!</v>
      </c>
      <c r="T93" s="90"/>
      <c r="U93" s="90"/>
      <c r="V93" s="90"/>
      <c r="W93" s="90"/>
      <c r="X93" s="3"/>
      <c r="Y93" s="13"/>
      <c r="Z93" s="13"/>
    </row>
    <row r="94">
      <c r="A94" s="13"/>
      <c r="B94" s="148" t="s">
        <v>33</v>
      </c>
      <c r="C94" s="75" t="s">
        <v>34</v>
      </c>
      <c r="D94" s="97"/>
      <c r="E94" s="77"/>
      <c r="F94" s="77"/>
      <c r="G94" s="78" t="str">
        <f t="shared" si="1"/>
        <v>#DIV/0!</v>
      </c>
      <c r="H94" s="79" t="str">
        <f t="shared" si="2"/>
        <v>#DIV/0!</v>
      </c>
      <c r="I94" s="80" t="str">
        <f t="shared" si="3"/>
        <v>#DIV/0!</v>
      </c>
      <c r="J94" s="98">
        <v>0.0</v>
      </c>
      <c r="K94" s="82">
        <v>0.0</v>
      </c>
      <c r="L94" s="83"/>
      <c r="M94" s="99">
        <v>0.0</v>
      </c>
      <c r="N94" s="85" t="str">
        <f>(J94/M94)</f>
        <v>#DIV/0!</v>
      </c>
      <c r="O94" s="86" t="str">
        <f t="shared" si="5"/>
        <v>#DIV/0!</v>
      </c>
      <c r="P94" s="85" t="str">
        <f t="shared" si="6"/>
        <v>#DIV/0!</v>
      </c>
      <c r="Q94" s="87" t="str">
        <f t="shared" si="7"/>
        <v>#DIV/0!</v>
      </c>
      <c r="R94" s="100">
        <f t="shared" si="107"/>
        <v>0</v>
      </c>
      <c r="S94" s="89" t="str">
        <f t="shared" si="9"/>
        <v>#DIV/0!</v>
      </c>
      <c r="T94" s="90"/>
      <c r="U94" s="90"/>
      <c r="V94" s="90"/>
      <c r="W94" s="90"/>
      <c r="X94" s="3"/>
      <c r="Y94" s="13"/>
      <c r="Z94" s="13"/>
    </row>
    <row r="95">
      <c r="A95" s="101" t="str">
        <f t="shared" ref="A95:A96" si="108">iferror(if(B95&gt;0,month(B95)&amp;"-"&amp;year(B95),B95),)</f>
        <v>1-2026</v>
      </c>
      <c r="B95" s="143">
        <v>46025.0</v>
      </c>
      <c r="C95" s="75" t="s">
        <v>35</v>
      </c>
      <c r="D95" s="102"/>
      <c r="E95" s="77"/>
      <c r="F95" s="77"/>
      <c r="G95" s="78" t="str">
        <f t="shared" si="1"/>
        <v>#DIV/0!</v>
      </c>
      <c r="H95" s="79" t="str">
        <f t="shared" si="2"/>
        <v>#DIV/0!</v>
      </c>
      <c r="I95" s="80" t="str">
        <f t="shared" si="3"/>
        <v>#DIV/0!</v>
      </c>
      <c r="J95" s="93">
        <v>166.48</v>
      </c>
      <c r="K95" s="82">
        <v>5772.0</v>
      </c>
      <c r="L95" s="83"/>
      <c r="M95" s="94">
        <v>154.0</v>
      </c>
      <c r="N95" s="85">
        <f t="shared" ref="N95:N96" si="111">J95/M95</f>
        <v>1.081038961</v>
      </c>
      <c r="O95" s="86">
        <f t="shared" si="5"/>
        <v>0.9250360404</v>
      </c>
      <c r="P95" s="85" t="str">
        <f t="shared" si="6"/>
        <v>#DIV/0!</v>
      </c>
      <c r="Q95" s="87" t="str">
        <f t="shared" si="7"/>
        <v>#DIV/0!</v>
      </c>
      <c r="R95" s="88">
        <f t="shared" si="107"/>
        <v>-154</v>
      </c>
      <c r="S95" s="89" t="str">
        <f t="shared" si="9"/>
        <v>#DIV/0!</v>
      </c>
      <c r="T95" s="90"/>
      <c r="U95" s="90"/>
      <c r="V95" s="90"/>
      <c r="W95" s="90"/>
      <c r="X95" s="3"/>
      <c r="Y95" s="13"/>
      <c r="Z95" s="13"/>
    </row>
    <row r="96">
      <c r="A96" s="13" t="str">
        <f t="shared" si="108"/>
        <v/>
      </c>
      <c r="B96" s="103" t="s">
        <v>52</v>
      </c>
      <c r="C96" s="61"/>
      <c r="D96" s="104">
        <f t="shared" ref="D96:F96" si="109">SUM(D90:D95)</f>
        <v>0</v>
      </c>
      <c r="E96" s="105">
        <f t="shared" si="109"/>
        <v>0</v>
      </c>
      <c r="F96" s="105">
        <f t="shared" si="109"/>
        <v>0</v>
      </c>
      <c r="G96" s="106" t="str">
        <f t="shared" si="1"/>
        <v>#DIV/0!</v>
      </c>
      <c r="H96" s="107" t="str">
        <f t="shared" si="2"/>
        <v>#DIV/0!</v>
      </c>
      <c r="I96" s="108" t="str">
        <f t="shared" si="3"/>
        <v>#DIV/0!</v>
      </c>
      <c r="J96" s="104">
        <f t="shared" ref="J96:M96" si="110">SUM(J90:J95)</f>
        <v>593.32</v>
      </c>
      <c r="K96" s="109">
        <f t="shared" si="110"/>
        <v>34811</v>
      </c>
      <c r="L96" s="105">
        <f t="shared" si="110"/>
        <v>0</v>
      </c>
      <c r="M96" s="110">
        <f t="shared" si="110"/>
        <v>571</v>
      </c>
      <c r="N96" s="111">
        <f t="shared" si="111"/>
        <v>1.039089317</v>
      </c>
      <c r="O96" s="112">
        <f t="shared" si="5"/>
        <v>0.9623811771</v>
      </c>
      <c r="P96" s="111" t="str">
        <f t="shared" si="6"/>
        <v>#DIV/0!</v>
      </c>
      <c r="Q96" s="113" t="str">
        <f t="shared" si="7"/>
        <v>#DIV/0!</v>
      </c>
      <c r="R96" s="114">
        <f>SUM(R90:R95)</f>
        <v>-571</v>
      </c>
      <c r="S96" s="115" t="str">
        <f t="shared" si="9"/>
        <v>#DIV/0!</v>
      </c>
      <c r="T96" s="73" t="str">
        <f t="shared" ref="T96:U96" si="112">IFERROR((D96-D89)/D96,)</f>
        <v/>
      </c>
      <c r="U96" s="73" t="str">
        <f t="shared" si="112"/>
        <v/>
      </c>
      <c r="V96" s="73" t="str">
        <f t="shared" ref="V96:W96" si="113">IFERROR((D96-#REF!)/D96, )</f>
        <v/>
      </c>
      <c r="W96" s="73" t="str">
        <f t="shared" si="113"/>
        <v/>
      </c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17 B22 B27 B32 B37 B42 B47 B52 B57 B62 B68 B75 B82 B89 B96">
      <formula1>"Previous Week,Current Week"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53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Week",$B$11:$X$81,match("SALES",$B$11:$X$11,0),FALSE)</f>
        <v>0</v>
      </c>
      <c r="L4" s="13"/>
      <c r="M4" s="13"/>
      <c r="N4" s="22">
        <f>VLOOKUP("Current Week",$B$11:$X$81,match("Units Sold",$B$11:$X$11,0),FALSE)</f>
        <v>0</v>
      </c>
      <c r="O4" s="10"/>
      <c r="P4" s="8"/>
      <c r="Q4" s="3"/>
      <c r="R4" s="13"/>
      <c r="S4" s="22">
        <f>VLOOKUP("Current Week",$B$11:$X$81,match("Ordered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Week",$B$11:$X$86,match("SALES",$B$11:$X$11,0),FALSE)))/K4</f>
        <v>#DIV/0!</v>
      </c>
      <c r="L5" s="13"/>
      <c r="M5" s="13"/>
      <c r="N5" s="27" t="str">
        <f>(N4-(VLOOKUP("Previous Week",$B$11:$X$86,match("Units Sold",$B$11:$X$11,0),FALSE)))/N4</f>
        <v>#DIV/0!</v>
      </c>
      <c r="O5" s="10"/>
      <c r="P5" s="10"/>
      <c r="Q5" s="8"/>
      <c r="R5" s="13"/>
      <c r="S5" s="27" t="str">
        <f>(S4-(VLOOKUP("Previous Week",$B$11:$X$86,match("Ordered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Week",$B$11:$X$81,match("AD SALES",$B$11:$X$11,0),FALSE)</f>
        <v>1001.28</v>
      </c>
      <c r="L8" s="13"/>
      <c r="M8" s="13"/>
      <c r="N8" s="31">
        <f>VLOOKUP("Current Week",$B$11:$X$81,match("SP AD SPEND",$B$11:$X$11,0),FALSE)</f>
        <v>545.19</v>
      </c>
      <c r="O8" s="10"/>
      <c r="P8" s="8"/>
      <c r="Q8" s="3"/>
      <c r="R8" s="13"/>
      <c r="S8" s="32">
        <f>N8/K8</f>
        <v>0.5444930489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Week",$B$11:$X$86,match("AD SALES",$B$11:$X$11,0),FALSE)))/K8</f>
        <v>1</v>
      </c>
      <c r="L9" s="13"/>
      <c r="M9" s="13"/>
      <c r="N9" s="37">
        <f>(N8-(VLOOKUP("Previous Week",$B$11:$X$86,match("SP AD SPEND",$B$11:$X$11,0),FALSE)))/N8</f>
        <v>0.7997028559</v>
      </c>
      <c r="Q9" s="35"/>
      <c r="R9" s="13"/>
      <c r="S9" s="37" t="str">
        <f>(S8-(VLOOKUP("Previous Week",$B$11:$X$86,match("ACOS",$B$11:$X$11,0),FALSE)))/S8</f>
        <v>#DIV/0!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72" si="1">E13/F13</f>
        <v>#DIV/0!</v>
      </c>
      <c r="H13" s="79" t="str">
        <f t="shared" ref="H13:H72" si="2">D13/E13</f>
        <v>#DIV/0!</v>
      </c>
      <c r="I13" s="80" t="str">
        <f t="shared" ref="I13:I72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72" si="5">M13/J13</f>
        <v>#DIV/0!</v>
      </c>
      <c r="P13" s="85" t="str">
        <f t="shared" ref="P13:P72" si="6">J13/D13</f>
        <v>#DIV/0!</v>
      </c>
      <c r="Q13" s="87" t="str">
        <f t="shared" ref="Q13:Q72" si="7">M13/D13</f>
        <v>#DIV/0!</v>
      </c>
      <c r="R13" s="88">
        <f t="shared" ref="R13:R22" si="8">D13-M13</f>
        <v>0</v>
      </c>
      <c r="S13" s="89" t="str">
        <f t="shared" ref="S13:S72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20" si="10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hidden="1" outlineLevel="1">
      <c r="A17" s="116"/>
      <c r="B17" s="74">
        <v>46012.0</v>
      </c>
      <c r="C17" s="117" t="s">
        <v>31</v>
      </c>
      <c r="D17" s="118"/>
      <c r="E17" s="119"/>
      <c r="F17" s="119"/>
      <c r="G17" s="78" t="str">
        <f t="shared" si="1"/>
        <v>#DIV/0!</v>
      </c>
      <c r="H17" s="79" t="str">
        <f t="shared" si="2"/>
        <v>#DIV/0!</v>
      </c>
      <c r="I17" s="80" t="str">
        <f t="shared" si="3"/>
        <v>#DIV/0!</v>
      </c>
      <c r="J17" s="120">
        <v>176.83</v>
      </c>
      <c r="K17" s="121">
        <v>10330.0</v>
      </c>
      <c r="L17" s="135"/>
      <c r="M17" s="123">
        <v>839.0</v>
      </c>
      <c r="N17" s="85">
        <f t="shared" si="10"/>
        <v>0.2107628129</v>
      </c>
      <c r="O17" s="86">
        <f t="shared" si="5"/>
        <v>4.744670022</v>
      </c>
      <c r="P17" s="85" t="str">
        <f t="shared" si="6"/>
        <v>#DIV/0!</v>
      </c>
      <c r="Q17" s="87" t="str">
        <f t="shared" si="7"/>
        <v>#DIV/0!</v>
      </c>
      <c r="R17" s="88">
        <f t="shared" si="8"/>
        <v>-839</v>
      </c>
      <c r="S17" s="89" t="str">
        <f t="shared" si="9"/>
        <v>#DIV/0!</v>
      </c>
      <c r="T17" s="124"/>
      <c r="U17" s="124"/>
      <c r="V17" s="124"/>
      <c r="W17" s="124"/>
      <c r="X17" s="125"/>
      <c r="Y17" s="116"/>
      <c r="Z17" s="116"/>
    </row>
    <row r="18" hidden="1" outlineLevel="1">
      <c r="A18" s="116"/>
      <c r="B18" s="126"/>
      <c r="C18" s="149" t="s">
        <v>48</v>
      </c>
      <c r="D18" s="127"/>
      <c r="E18" s="119"/>
      <c r="F18" s="119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141">
        <v>0.0</v>
      </c>
      <c r="K18" s="121">
        <v>0.0</v>
      </c>
      <c r="L18" s="135"/>
      <c r="M18" s="142">
        <v>0.0</v>
      </c>
      <c r="N18" s="85" t="str">
        <f t="shared" si="10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95">
        <f t="shared" si="8"/>
        <v>0</v>
      </c>
      <c r="S18" s="89" t="str">
        <f t="shared" si="9"/>
        <v>#DIV/0!</v>
      </c>
      <c r="T18" s="124"/>
      <c r="U18" s="124"/>
      <c r="V18" s="124"/>
      <c r="W18" s="124"/>
      <c r="X18" s="125"/>
      <c r="Y18" s="116"/>
      <c r="Z18" s="116"/>
    </row>
    <row r="19" hidden="1" outlineLevel="1">
      <c r="A19" s="116"/>
      <c r="B19" s="126"/>
      <c r="C19" s="117" t="s">
        <v>32</v>
      </c>
      <c r="D19" s="127"/>
      <c r="E19" s="119"/>
      <c r="F19" s="119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128">
        <v>169.03</v>
      </c>
      <c r="K19" s="121">
        <v>10693.0</v>
      </c>
      <c r="L19" s="135"/>
      <c r="M19" s="129">
        <v>177.0</v>
      </c>
      <c r="N19" s="85">
        <f t="shared" si="10"/>
        <v>0.9549717514</v>
      </c>
      <c r="O19" s="86">
        <f t="shared" si="5"/>
        <v>1.047151393</v>
      </c>
      <c r="P19" s="85" t="str">
        <f t="shared" si="6"/>
        <v>#DIV/0!</v>
      </c>
      <c r="Q19" s="87" t="str">
        <f t="shared" si="7"/>
        <v>#DIV/0!</v>
      </c>
      <c r="R19" s="95">
        <f t="shared" si="8"/>
        <v>-177</v>
      </c>
      <c r="S19" s="89" t="str">
        <f t="shared" si="9"/>
        <v>#DIV/0!</v>
      </c>
      <c r="T19" s="124"/>
      <c r="U19" s="124"/>
      <c r="V19" s="124"/>
      <c r="W19" s="124"/>
      <c r="X19" s="125"/>
      <c r="Y19" s="116"/>
      <c r="Z19" s="116"/>
    </row>
    <row r="20" hidden="1" outlineLevel="1">
      <c r="A20" s="116"/>
      <c r="B20" s="126"/>
      <c r="C20" s="149" t="s">
        <v>46</v>
      </c>
      <c r="D20" s="127"/>
      <c r="E20" s="119"/>
      <c r="F20" s="119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128">
        <v>0.0</v>
      </c>
      <c r="K20" s="121">
        <v>0.0</v>
      </c>
      <c r="L20" s="135"/>
      <c r="M20" s="129">
        <v>0.0</v>
      </c>
      <c r="N20" s="85" t="str">
        <f t="shared" si="10"/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95">
        <f t="shared" si="8"/>
        <v>0</v>
      </c>
      <c r="S20" s="89" t="str">
        <f t="shared" si="9"/>
        <v>#DIV/0!</v>
      </c>
      <c r="T20" s="124"/>
      <c r="U20" s="124"/>
      <c r="V20" s="124"/>
      <c r="W20" s="124"/>
      <c r="X20" s="125"/>
      <c r="Y20" s="116"/>
      <c r="Z20" s="116"/>
    </row>
    <row r="21" hidden="1" outlineLevel="1">
      <c r="A21" s="116"/>
      <c r="B21" s="74" t="s">
        <v>33</v>
      </c>
      <c r="C21" s="117" t="s">
        <v>34</v>
      </c>
      <c r="D21" s="130"/>
      <c r="E21" s="119"/>
      <c r="F21" s="119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131">
        <v>0.0</v>
      </c>
      <c r="K21" s="121">
        <v>0.0</v>
      </c>
      <c r="L21" s="135"/>
      <c r="M21" s="132">
        <v>0.0</v>
      </c>
      <c r="N21" s="85" t="str">
        <f>(J21/M21)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100">
        <f t="shared" si="8"/>
        <v>0</v>
      </c>
      <c r="S21" s="89" t="str">
        <f t="shared" si="9"/>
        <v>#DIV/0!</v>
      </c>
      <c r="T21" s="124"/>
      <c r="U21" s="124"/>
      <c r="V21" s="124"/>
      <c r="W21" s="124"/>
      <c r="X21" s="125"/>
      <c r="Y21" s="116"/>
      <c r="Z21" s="116"/>
    </row>
    <row r="22" hidden="1" outlineLevel="1">
      <c r="A22" s="101" t="str">
        <f t="shared" ref="A22:A23" si="11">iferror(if(B22&gt;0,month(B22)&amp;"-"&amp;year(B22),B22),)</f>
        <v>12-2025</v>
      </c>
      <c r="B22" s="74">
        <v>46018.0</v>
      </c>
      <c r="C22" s="117" t="s">
        <v>35</v>
      </c>
      <c r="D22" s="133"/>
      <c r="E22" s="119"/>
      <c r="F22" s="119"/>
      <c r="G22" s="78" t="str">
        <f t="shared" si="1"/>
        <v>#DIV/0!</v>
      </c>
      <c r="H22" s="79" t="str">
        <f t="shared" si="2"/>
        <v>#DIV/0!</v>
      </c>
      <c r="I22" s="80" t="str">
        <f t="shared" si="3"/>
        <v>#DIV/0!</v>
      </c>
      <c r="J22" s="128">
        <v>174.74</v>
      </c>
      <c r="K22" s="121">
        <v>5497.0</v>
      </c>
      <c r="L22" s="135"/>
      <c r="M22" s="129">
        <v>0.0</v>
      </c>
      <c r="N22" s="85" t="str">
        <f t="shared" ref="N22:N27" si="14">J22/M22</f>
        <v>#DIV/0!</v>
      </c>
      <c r="O22" s="86">
        <f t="shared" si="5"/>
        <v>0</v>
      </c>
      <c r="P22" s="85" t="str">
        <f t="shared" si="6"/>
        <v>#DIV/0!</v>
      </c>
      <c r="Q22" s="87" t="str">
        <f t="shared" si="7"/>
        <v>#DIV/0!</v>
      </c>
      <c r="R22" s="88">
        <f t="shared" si="8"/>
        <v>0</v>
      </c>
      <c r="S22" s="89" t="str">
        <f t="shared" si="9"/>
        <v>#DIV/0!</v>
      </c>
      <c r="T22" s="124"/>
      <c r="U22" s="124"/>
      <c r="V22" s="124"/>
      <c r="W22" s="124"/>
      <c r="X22" s="125"/>
      <c r="Y22" s="116"/>
      <c r="Z22" s="116"/>
    </row>
    <row r="23" collapsed="1">
      <c r="A23" s="116" t="str">
        <f t="shared" si="11"/>
        <v/>
      </c>
      <c r="B23" s="137" t="s">
        <v>54</v>
      </c>
      <c r="C23" s="138"/>
      <c r="D23" s="104">
        <f t="shared" ref="D23:F23" si="12">SUM(D17:D22)</f>
        <v>0</v>
      </c>
      <c r="E23" s="105">
        <f t="shared" si="12"/>
        <v>0</v>
      </c>
      <c r="F23" s="105">
        <f t="shared" si="12"/>
        <v>0</v>
      </c>
      <c r="G23" s="106" t="str">
        <f t="shared" si="1"/>
        <v>#DIV/0!</v>
      </c>
      <c r="H23" s="107" t="str">
        <f t="shared" si="2"/>
        <v>#DIV/0!</v>
      </c>
      <c r="I23" s="108" t="str">
        <f t="shared" si="3"/>
        <v>#DIV/0!</v>
      </c>
      <c r="J23" s="104">
        <f t="shared" ref="J23:M23" si="13">SUM(J17:J22)</f>
        <v>520.6</v>
      </c>
      <c r="K23" s="109">
        <f t="shared" si="13"/>
        <v>26520</v>
      </c>
      <c r="L23" s="139">
        <f t="shared" si="13"/>
        <v>0</v>
      </c>
      <c r="M23" s="110">
        <f t="shared" si="13"/>
        <v>1016</v>
      </c>
      <c r="N23" s="111">
        <f t="shared" si="14"/>
        <v>0.5124015748</v>
      </c>
      <c r="O23" s="112">
        <f t="shared" si="5"/>
        <v>1.951594314</v>
      </c>
      <c r="P23" s="111" t="str">
        <f t="shared" si="6"/>
        <v>#DIV/0!</v>
      </c>
      <c r="Q23" s="113" t="str">
        <f t="shared" si="7"/>
        <v>#DIV/0!</v>
      </c>
      <c r="R23" s="114">
        <f>SUM(R17:R22)</f>
        <v>-1016</v>
      </c>
      <c r="S23" s="115" t="str">
        <f t="shared" si="9"/>
        <v>#DIV/0!</v>
      </c>
      <c r="T23" s="140" t="str">
        <f t="shared" ref="T23:U23" si="15">IFERROR((D23-#REF!)/D23,)</f>
        <v/>
      </c>
      <c r="U23" s="140" t="str">
        <f t="shared" si="15"/>
        <v/>
      </c>
      <c r="V23" s="140" t="str">
        <f t="shared" ref="V23:W23" si="16">IFERROR((D23-#REF!)/D23, )</f>
        <v/>
      </c>
      <c r="W23" s="140" t="str">
        <f t="shared" si="16"/>
        <v/>
      </c>
      <c r="X23" s="116"/>
      <c r="Y23" s="116"/>
      <c r="Z23" s="116"/>
    </row>
    <row r="24" hidden="1" outlineLevel="1">
      <c r="A24" s="116"/>
      <c r="B24" s="74">
        <v>46019.0</v>
      </c>
      <c r="C24" s="117" t="s">
        <v>31</v>
      </c>
      <c r="D24" s="118"/>
      <c r="E24" s="119"/>
      <c r="F24" s="119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120">
        <v>163.31</v>
      </c>
      <c r="K24" s="121">
        <v>11820.0</v>
      </c>
      <c r="L24" s="135"/>
      <c r="M24" s="123">
        <v>58.0</v>
      </c>
      <c r="N24" s="85">
        <f t="shared" si="14"/>
        <v>2.815689655</v>
      </c>
      <c r="O24" s="86">
        <f t="shared" si="5"/>
        <v>0.3551527769</v>
      </c>
      <c r="P24" s="85" t="str">
        <f t="shared" si="6"/>
        <v>#DIV/0!</v>
      </c>
      <c r="Q24" s="87" t="str">
        <f t="shared" si="7"/>
        <v>#DIV/0!</v>
      </c>
      <c r="R24" s="88">
        <f t="shared" ref="R24:R29" si="17">D24-M24</f>
        <v>-58</v>
      </c>
      <c r="S24" s="89" t="str">
        <f t="shared" si="9"/>
        <v>#DIV/0!</v>
      </c>
      <c r="T24" s="124"/>
      <c r="U24" s="124"/>
      <c r="V24" s="124"/>
      <c r="W24" s="124"/>
      <c r="X24" s="125"/>
      <c r="Y24" s="116"/>
      <c r="Z24" s="116"/>
    </row>
    <row r="25" hidden="1" outlineLevel="1">
      <c r="A25" s="116"/>
      <c r="B25" s="126"/>
      <c r="C25" s="149" t="s">
        <v>48</v>
      </c>
      <c r="D25" s="127"/>
      <c r="E25" s="119"/>
      <c r="F25" s="119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141">
        <v>106.4</v>
      </c>
      <c r="K25" s="121">
        <v>6630.0</v>
      </c>
      <c r="L25" s="135"/>
      <c r="M25" s="142">
        <v>0.0</v>
      </c>
      <c r="N25" s="85" t="str">
        <f t="shared" si="14"/>
        <v>#DIV/0!</v>
      </c>
      <c r="O25" s="86">
        <f t="shared" si="5"/>
        <v>0</v>
      </c>
      <c r="P25" s="85" t="str">
        <f t="shared" si="6"/>
        <v>#DIV/0!</v>
      </c>
      <c r="Q25" s="87" t="str">
        <f t="shared" si="7"/>
        <v>#DIV/0!</v>
      </c>
      <c r="R25" s="95">
        <f t="shared" si="17"/>
        <v>0</v>
      </c>
      <c r="S25" s="89" t="str">
        <f t="shared" si="9"/>
        <v>#DIV/0!</v>
      </c>
      <c r="T25" s="124"/>
      <c r="U25" s="124"/>
      <c r="V25" s="124"/>
      <c r="W25" s="124"/>
      <c r="X25" s="125"/>
      <c r="Y25" s="116"/>
      <c r="Z25" s="116"/>
    </row>
    <row r="26" hidden="1" outlineLevel="1">
      <c r="A26" s="116"/>
      <c r="B26" s="126"/>
      <c r="C26" s="117" t="s">
        <v>32</v>
      </c>
      <c r="D26" s="127"/>
      <c r="E26" s="119"/>
      <c r="F26" s="119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128">
        <v>157.13</v>
      </c>
      <c r="K26" s="121">
        <v>10589.0</v>
      </c>
      <c r="L26" s="135"/>
      <c r="M26" s="129">
        <v>359.0</v>
      </c>
      <c r="N26" s="85">
        <f t="shared" si="14"/>
        <v>0.4376880223</v>
      </c>
      <c r="O26" s="86">
        <f t="shared" si="5"/>
        <v>2.284732387</v>
      </c>
      <c r="P26" s="85" t="str">
        <f t="shared" si="6"/>
        <v>#DIV/0!</v>
      </c>
      <c r="Q26" s="87" t="str">
        <f t="shared" si="7"/>
        <v>#DIV/0!</v>
      </c>
      <c r="R26" s="95">
        <f t="shared" si="17"/>
        <v>-359</v>
      </c>
      <c r="S26" s="89" t="str">
        <f t="shared" si="9"/>
        <v>#DIV/0!</v>
      </c>
      <c r="T26" s="124"/>
      <c r="U26" s="124"/>
      <c r="V26" s="124"/>
      <c r="W26" s="124"/>
      <c r="X26" s="125"/>
      <c r="Y26" s="116"/>
      <c r="Z26" s="116"/>
    </row>
    <row r="27" hidden="1" outlineLevel="1">
      <c r="A27" s="116"/>
      <c r="B27" s="126"/>
      <c r="C27" s="149" t="s">
        <v>46</v>
      </c>
      <c r="D27" s="127"/>
      <c r="E27" s="119"/>
      <c r="F27" s="119"/>
      <c r="G27" s="78" t="str">
        <f t="shared" si="1"/>
        <v>#DIV/0!</v>
      </c>
      <c r="H27" s="79" t="str">
        <f t="shared" si="2"/>
        <v>#DIV/0!</v>
      </c>
      <c r="I27" s="80" t="str">
        <f t="shared" si="3"/>
        <v>#DIV/0!</v>
      </c>
      <c r="J27" s="128">
        <v>0.0</v>
      </c>
      <c r="K27" s="121">
        <v>0.0</v>
      </c>
      <c r="L27" s="135"/>
      <c r="M27" s="129">
        <v>0.0</v>
      </c>
      <c r="N27" s="85" t="str">
        <f t="shared" si="14"/>
        <v>#DIV/0!</v>
      </c>
      <c r="O27" s="86" t="str">
        <f t="shared" si="5"/>
        <v>#DIV/0!</v>
      </c>
      <c r="P27" s="85" t="str">
        <f t="shared" si="6"/>
        <v>#DIV/0!</v>
      </c>
      <c r="Q27" s="87" t="str">
        <f t="shared" si="7"/>
        <v>#DIV/0!</v>
      </c>
      <c r="R27" s="95">
        <f t="shared" si="17"/>
        <v>0</v>
      </c>
      <c r="S27" s="89" t="str">
        <f t="shared" si="9"/>
        <v>#DIV/0!</v>
      </c>
      <c r="T27" s="124"/>
      <c r="U27" s="124"/>
      <c r="V27" s="124"/>
      <c r="W27" s="124"/>
      <c r="X27" s="125"/>
      <c r="Y27" s="116"/>
      <c r="Z27" s="116"/>
    </row>
    <row r="28" hidden="1" outlineLevel="1">
      <c r="A28" s="116"/>
      <c r="B28" s="74" t="s">
        <v>33</v>
      </c>
      <c r="C28" s="117" t="s">
        <v>34</v>
      </c>
      <c r="D28" s="130"/>
      <c r="E28" s="119"/>
      <c r="F28" s="119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131">
        <v>0.0</v>
      </c>
      <c r="K28" s="121">
        <v>0.0</v>
      </c>
      <c r="L28" s="135"/>
      <c r="M28" s="132">
        <v>0.0</v>
      </c>
      <c r="N28" s="85" t="str">
        <f>(J28/M28)</f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100">
        <f t="shared" si="17"/>
        <v>0</v>
      </c>
      <c r="S28" s="89" t="str">
        <f t="shared" si="9"/>
        <v>#DIV/0!</v>
      </c>
      <c r="T28" s="124"/>
      <c r="U28" s="124"/>
      <c r="V28" s="124"/>
      <c r="W28" s="124"/>
      <c r="X28" s="125"/>
      <c r="Y28" s="116"/>
      <c r="Z28" s="116"/>
    </row>
    <row r="29" hidden="1" outlineLevel="1">
      <c r="A29" s="101" t="str">
        <f t="shared" ref="A29:A30" si="18">iferror(if(B29&gt;0,month(B29)&amp;"-"&amp;year(B29),B29),)</f>
        <v>1-2026</v>
      </c>
      <c r="B29" s="74">
        <v>46025.0</v>
      </c>
      <c r="C29" s="117" t="s">
        <v>35</v>
      </c>
      <c r="D29" s="133"/>
      <c r="E29" s="119"/>
      <c r="F29" s="119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128">
        <v>166.48</v>
      </c>
      <c r="K29" s="121">
        <v>5772.0</v>
      </c>
      <c r="L29" s="135"/>
      <c r="M29" s="129">
        <v>154.0</v>
      </c>
      <c r="N29" s="85">
        <f t="shared" ref="N29:N34" si="21">J29/M29</f>
        <v>1.081038961</v>
      </c>
      <c r="O29" s="86">
        <f t="shared" si="5"/>
        <v>0.9250360404</v>
      </c>
      <c r="P29" s="85" t="str">
        <f t="shared" si="6"/>
        <v>#DIV/0!</v>
      </c>
      <c r="Q29" s="87" t="str">
        <f t="shared" si="7"/>
        <v>#DIV/0!</v>
      </c>
      <c r="R29" s="88">
        <f t="shared" si="17"/>
        <v>-154</v>
      </c>
      <c r="S29" s="89" t="str">
        <f t="shared" si="9"/>
        <v>#DIV/0!</v>
      </c>
      <c r="T29" s="124"/>
      <c r="U29" s="124"/>
      <c r="V29" s="124"/>
      <c r="W29" s="124"/>
      <c r="X29" s="125"/>
      <c r="Y29" s="116"/>
      <c r="Z29" s="116"/>
    </row>
    <row r="30" collapsed="1">
      <c r="A30" s="116" t="str">
        <f t="shared" si="18"/>
        <v/>
      </c>
      <c r="B30" s="137" t="s">
        <v>55</v>
      </c>
      <c r="C30" s="138"/>
      <c r="D30" s="104">
        <f t="shared" ref="D30:F30" si="19">SUM(D24:D29)</f>
        <v>0</v>
      </c>
      <c r="E30" s="105">
        <f t="shared" si="19"/>
        <v>0</v>
      </c>
      <c r="F30" s="105">
        <f t="shared" si="19"/>
        <v>0</v>
      </c>
      <c r="G30" s="106" t="str">
        <f t="shared" si="1"/>
        <v>#DIV/0!</v>
      </c>
      <c r="H30" s="107" t="str">
        <f t="shared" si="2"/>
        <v>#DIV/0!</v>
      </c>
      <c r="I30" s="108" t="str">
        <f t="shared" si="3"/>
        <v>#DIV/0!</v>
      </c>
      <c r="J30" s="104">
        <f t="shared" ref="J30:M30" si="20">SUM(J24:J29)</f>
        <v>593.32</v>
      </c>
      <c r="K30" s="109">
        <f t="shared" si="20"/>
        <v>34811</v>
      </c>
      <c r="L30" s="139">
        <f t="shared" si="20"/>
        <v>0</v>
      </c>
      <c r="M30" s="110">
        <f t="shared" si="20"/>
        <v>571</v>
      </c>
      <c r="N30" s="111">
        <f t="shared" si="21"/>
        <v>1.039089317</v>
      </c>
      <c r="O30" s="112">
        <f t="shared" si="5"/>
        <v>0.9623811771</v>
      </c>
      <c r="P30" s="111" t="str">
        <f t="shared" si="6"/>
        <v>#DIV/0!</v>
      </c>
      <c r="Q30" s="113" t="str">
        <f t="shared" si="7"/>
        <v>#DIV/0!</v>
      </c>
      <c r="R30" s="114">
        <f>SUM(R24:R29)</f>
        <v>-571</v>
      </c>
      <c r="S30" s="115" t="str">
        <f t="shared" si="9"/>
        <v>#DIV/0!</v>
      </c>
      <c r="T30" s="140" t="str">
        <f t="shared" ref="T30:U30" si="22">IFERROR((D30-#REF!)/D30,)</f>
        <v/>
      </c>
      <c r="U30" s="140" t="str">
        <f t="shared" si="22"/>
        <v/>
      </c>
      <c r="V30" s="140" t="str">
        <f t="shared" ref="V30:W30" si="23">IFERROR((D30-#REF!)/D30, )</f>
        <v/>
      </c>
      <c r="W30" s="140" t="str">
        <f t="shared" si="23"/>
        <v/>
      </c>
      <c r="X30" s="116"/>
      <c r="Y30" s="116"/>
      <c r="Z30" s="116"/>
    </row>
    <row r="31" hidden="1" outlineLevel="1">
      <c r="A31" s="116"/>
      <c r="B31" s="74">
        <v>46026.0</v>
      </c>
      <c r="C31" s="117" t="s">
        <v>31</v>
      </c>
      <c r="D31" s="118"/>
      <c r="E31" s="119"/>
      <c r="F31" s="119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120">
        <v>158.91</v>
      </c>
      <c r="K31" s="121">
        <v>13235.0</v>
      </c>
      <c r="L31" s="135"/>
      <c r="M31" s="123">
        <v>609.0</v>
      </c>
      <c r="N31" s="85">
        <f t="shared" si="21"/>
        <v>0.2609359606</v>
      </c>
      <c r="O31" s="86">
        <f t="shared" si="5"/>
        <v>3.832357938</v>
      </c>
      <c r="P31" s="85" t="str">
        <f t="shared" si="6"/>
        <v>#DIV/0!</v>
      </c>
      <c r="Q31" s="87" t="str">
        <f t="shared" si="7"/>
        <v>#DIV/0!</v>
      </c>
      <c r="R31" s="88">
        <f t="shared" ref="R31:R36" si="24">D31-M31</f>
        <v>-609</v>
      </c>
      <c r="S31" s="89" t="str">
        <f t="shared" si="9"/>
        <v>#DIV/0!</v>
      </c>
      <c r="T31" s="124"/>
      <c r="U31" s="124"/>
      <c r="V31" s="124"/>
      <c r="W31" s="124"/>
      <c r="X31" s="125"/>
      <c r="Y31" s="116"/>
      <c r="Z31" s="116"/>
    </row>
    <row r="32" hidden="1" outlineLevel="1">
      <c r="A32" s="116"/>
      <c r="B32" s="126"/>
      <c r="C32" s="149" t="s">
        <v>48</v>
      </c>
      <c r="D32" s="127"/>
      <c r="E32" s="119"/>
      <c r="F32" s="119"/>
      <c r="G32" s="78" t="str">
        <f t="shared" si="1"/>
        <v>#DIV/0!</v>
      </c>
      <c r="H32" s="79" t="str">
        <f t="shared" si="2"/>
        <v>#DIV/0!</v>
      </c>
      <c r="I32" s="80" t="str">
        <f t="shared" si="3"/>
        <v>#DIV/0!</v>
      </c>
      <c r="J32" s="141">
        <v>295.15</v>
      </c>
      <c r="K32" s="121">
        <v>25738.0</v>
      </c>
      <c r="L32" s="135"/>
      <c r="M32" s="142">
        <v>0.0</v>
      </c>
      <c r="N32" s="85" t="str">
        <f t="shared" si="21"/>
        <v>#DIV/0!</v>
      </c>
      <c r="O32" s="86">
        <f t="shared" si="5"/>
        <v>0</v>
      </c>
      <c r="P32" s="85" t="str">
        <f t="shared" si="6"/>
        <v>#DIV/0!</v>
      </c>
      <c r="Q32" s="87" t="str">
        <f t="shared" si="7"/>
        <v>#DIV/0!</v>
      </c>
      <c r="R32" s="95">
        <f t="shared" si="24"/>
        <v>0</v>
      </c>
      <c r="S32" s="89" t="str">
        <f t="shared" si="9"/>
        <v>#DIV/0!</v>
      </c>
      <c r="T32" s="124"/>
      <c r="U32" s="124"/>
      <c r="V32" s="124"/>
      <c r="W32" s="124"/>
      <c r="X32" s="125"/>
      <c r="Y32" s="116"/>
      <c r="Z32" s="116"/>
    </row>
    <row r="33" hidden="1" outlineLevel="1">
      <c r="A33" s="116"/>
      <c r="B33" s="126"/>
      <c r="C33" s="117" t="s">
        <v>32</v>
      </c>
      <c r="D33" s="127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8">
        <v>156.35</v>
      </c>
      <c r="K33" s="121">
        <v>23049.0</v>
      </c>
      <c r="L33" s="135"/>
      <c r="M33" s="129">
        <v>0.0</v>
      </c>
      <c r="N33" s="85" t="str">
        <f t="shared" si="21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95">
        <f t="shared" si="24"/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49" t="s">
        <v>46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56.72</v>
      </c>
      <c r="K34" s="121">
        <v>6838.0</v>
      </c>
      <c r="L34" s="135"/>
      <c r="M34" s="129">
        <v>0.0</v>
      </c>
      <c r="N34" s="85" t="str">
        <f t="shared" si="21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24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35"/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24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25">iferror(if(B36&gt;0,month(B36)&amp;"-"&amp;year(B36),B36),)</f>
        <v>1-2026</v>
      </c>
      <c r="B36" s="74">
        <v>46032.0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8">
        <v>139.38</v>
      </c>
      <c r="K36" s="121">
        <v>12458.0</v>
      </c>
      <c r="L36" s="135"/>
      <c r="M36" s="129">
        <v>0.0</v>
      </c>
      <c r="N36" s="85" t="str">
        <f t="shared" ref="N36:N41" si="28">J36/M36</f>
        <v>#DIV/0!</v>
      </c>
      <c r="O36" s="86">
        <f t="shared" si="5"/>
        <v>0</v>
      </c>
      <c r="P36" s="85" t="str">
        <f t="shared" si="6"/>
        <v>#DIV/0!</v>
      </c>
      <c r="Q36" s="87" t="str">
        <f t="shared" si="7"/>
        <v>#DIV/0!</v>
      </c>
      <c r="R36" s="88">
        <f t="shared" si="24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25"/>
        <v/>
      </c>
      <c r="B37" s="137" t="s">
        <v>56</v>
      </c>
      <c r="C37" s="138"/>
      <c r="D37" s="104">
        <f t="shared" ref="D37:F37" si="26">SUM(D31:D36)</f>
        <v>0</v>
      </c>
      <c r="E37" s="105">
        <f t="shared" si="26"/>
        <v>0</v>
      </c>
      <c r="F37" s="105">
        <f t="shared" si="26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27">SUM(J31:J36)</f>
        <v>806.51</v>
      </c>
      <c r="K37" s="109">
        <f t="shared" si="27"/>
        <v>81318</v>
      </c>
      <c r="L37" s="139">
        <f t="shared" si="27"/>
        <v>0</v>
      </c>
      <c r="M37" s="110">
        <f t="shared" si="27"/>
        <v>609</v>
      </c>
      <c r="N37" s="111">
        <f t="shared" si="28"/>
        <v>1.324318555</v>
      </c>
      <c r="O37" s="112">
        <f t="shared" si="5"/>
        <v>0.7551053304</v>
      </c>
      <c r="P37" s="111" t="str">
        <f t="shared" si="6"/>
        <v>#DIV/0!</v>
      </c>
      <c r="Q37" s="113" t="str">
        <f t="shared" si="7"/>
        <v>#DIV/0!</v>
      </c>
      <c r="R37" s="114">
        <f>SUM(R31:R36)</f>
        <v>-609</v>
      </c>
      <c r="S37" s="115" t="str">
        <f t="shared" si="9"/>
        <v>#DIV/0!</v>
      </c>
      <c r="T37" s="140" t="str">
        <f t="shared" ref="T37:U37" si="29">IFERROR((D37-#REF!)/D37,)</f>
        <v/>
      </c>
      <c r="U37" s="140" t="str">
        <f t="shared" si="29"/>
        <v/>
      </c>
      <c r="V37" s="140" t="str">
        <f t="shared" ref="V37:W37" si="30">IFERROR((D37-#REF!)/D37, )</f>
        <v/>
      </c>
      <c r="W37" s="140" t="str">
        <f t="shared" si="30"/>
        <v/>
      </c>
      <c r="X37" s="116"/>
      <c r="Y37" s="116"/>
      <c r="Z37" s="116"/>
    </row>
    <row r="38" hidden="1" outlineLevel="1">
      <c r="A38" s="116"/>
      <c r="B38" s="74">
        <v>46033.0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160.36</v>
      </c>
      <c r="K38" s="121">
        <v>7685.0</v>
      </c>
      <c r="L38" s="135"/>
      <c r="M38" s="123">
        <v>0.0</v>
      </c>
      <c r="N38" s="85" t="str">
        <f t="shared" si="28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3" si="31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49" t="s">
        <v>48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41">
        <v>277.4</v>
      </c>
      <c r="K39" s="121">
        <v>25369.0</v>
      </c>
      <c r="L39" s="135"/>
      <c r="M39" s="142">
        <v>0.0</v>
      </c>
      <c r="N39" s="85" t="str">
        <f t="shared" si="28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31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126"/>
      <c r="C40" s="117" t="s">
        <v>32</v>
      </c>
      <c r="D40" s="127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28">
        <v>156.06</v>
      </c>
      <c r="K40" s="121">
        <v>20546.0</v>
      </c>
      <c r="L40" s="135"/>
      <c r="M40" s="129">
        <v>0.0</v>
      </c>
      <c r="N40" s="85" t="str">
        <f t="shared" si="28"/>
        <v>#DIV/0!</v>
      </c>
      <c r="O40" s="86">
        <f t="shared" si="5"/>
        <v>0</v>
      </c>
      <c r="P40" s="85" t="str">
        <f t="shared" si="6"/>
        <v>#DIV/0!</v>
      </c>
      <c r="Q40" s="87" t="str">
        <f t="shared" si="7"/>
        <v>#DIV/0!</v>
      </c>
      <c r="R40" s="95">
        <f t="shared" si="31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16"/>
      <c r="B41" s="126"/>
      <c r="C41" s="149" t="s">
        <v>46</v>
      </c>
      <c r="D41" s="127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284.2</v>
      </c>
      <c r="K41" s="121">
        <v>18011.0</v>
      </c>
      <c r="L41" s="135"/>
      <c r="M41" s="129">
        <v>0.0</v>
      </c>
      <c r="N41" s="85" t="str">
        <f t="shared" si="28"/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95">
        <f t="shared" si="31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hidden="1" outlineLevel="1">
      <c r="A42" s="116"/>
      <c r="B42" s="74" t="s">
        <v>33</v>
      </c>
      <c r="C42" s="117" t="s">
        <v>34</v>
      </c>
      <c r="D42" s="130"/>
      <c r="E42" s="119"/>
      <c r="F42" s="119"/>
      <c r="G42" s="78" t="str">
        <f t="shared" si="1"/>
        <v>#DIV/0!</v>
      </c>
      <c r="H42" s="79" t="str">
        <f t="shared" si="2"/>
        <v>#DIV/0!</v>
      </c>
      <c r="I42" s="80" t="str">
        <f t="shared" si="3"/>
        <v>#DIV/0!</v>
      </c>
      <c r="J42" s="131">
        <v>0.0</v>
      </c>
      <c r="K42" s="121">
        <v>0.0</v>
      </c>
      <c r="L42" s="135"/>
      <c r="M42" s="132">
        <v>0.0</v>
      </c>
      <c r="N42" s="85" t="str">
        <f>(J42/M42)</f>
        <v>#DIV/0!</v>
      </c>
      <c r="O42" s="86" t="str">
        <f t="shared" si="5"/>
        <v>#DIV/0!</v>
      </c>
      <c r="P42" s="85" t="str">
        <f t="shared" si="6"/>
        <v>#DIV/0!</v>
      </c>
      <c r="Q42" s="87" t="str">
        <f t="shared" si="7"/>
        <v>#DIV/0!</v>
      </c>
      <c r="R42" s="100">
        <f t="shared" si="31"/>
        <v>0</v>
      </c>
      <c r="S42" s="89" t="str">
        <f t="shared" si="9"/>
        <v>#DIV/0!</v>
      </c>
      <c r="T42" s="124"/>
      <c r="U42" s="124"/>
      <c r="V42" s="124"/>
      <c r="W42" s="124"/>
      <c r="X42" s="125"/>
      <c r="Y42" s="116"/>
      <c r="Z42" s="116"/>
    </row>
    <row r="43" hidden="1" outlineLevel="1">
      <c r="A43" s="101" t="str">
        <f t="shared" ref="A43:A44" si="32">iferror(if(B43&gt;0,month(B43)&amp;"-"&amp;year(B43),B43),)</f>
        <v>1-2026</v>
      </c>
      <c r="B43" s="74">
        <v>46039.0</v>
      </c>
      <c r="C43" s="117" t="s">
        <v>35</v>
      </c>
      <c r="D43" s="133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8">
        <v>107.29</v>
      </c>
      <c r="K43" s="121">
        <v>16021.0</v>
      </c>
      <c r="L43" s="135"/>
      <c r="M43" s="129">
        <v>0.0</v>
      </c>
      <c r="N43" s="85" t="str">
        <f t="shared" ref="N43:N48" si="35">J43/M43</f>
        <v>#DIV/0!</v>
      </c>
      <c r="O43" s="86">
        <f t="shared" si="5"/>
        <v>0</v>
      </c>
      <c r="P43" s="85" t="str">
        <f t="shared" si="6"/>
        <v>#DIV/0!</v>
      </c>
      <c r="Q43" s="87" t="str">
        <f t="shared" si="7"/>
        <v>#DIV/0!</v>
      </c>
      <c r="R43" s="88">
        <f t="shared" si="31"/>
        <v>0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collapsed="1">
      <c r="A44" s="116" t="str">
        <f t="shared" si="32"/>
        <v/>
      </c>
      <c r="B44" s="137" t="s">
        <v>57</v>
      </c>
      <c r="C44" s="138"/>
      <c r="D44" s="104">
        <f t="shared" ref="D44:F44" si="33">SUM(D38:D43)</f>
        <v>0</v>
      </c>
      <c r="E44" s="105">
        <f t="shared" si="33"/>
        <v>0</v>
      </c>
      <c r="F44" s="105">
        <f t="shared" si="33"/>
        <v>0</v>
      </c>
      <c r="G44" s="106" t="str">
        <f t="shared" si="1"/>
        <v>#DIV/0!</v>
      </c>
      <c r="H44" s="107" t="str">
        <f t="shared" si="2"/>
        <v>#DIV/0!</v>
      </c>
      <c r="I44" s="108" t="str">
        <f t="shared" si="3"/>
        <v>#DIV/0!</v>
      </c>
      <c r="J44" s="104">
        <f t="shared" ref="J44:M44" si="34">SUM(J38:J43)</f>
        <v>985.31</v>
      </c>
      <c r="K44" s="109">
        <f t="shared" si="34"/>
        <v>87632</v>
      </c>
      <c r="L44" s="139">
        <f t="shared" si="34"/>
        <v>0</v>
      </c>
      <c r="M44" s="110">
        <f t="shared" si="34"/>
        <v>0</v>
      </c>
      <c r="N44" s="111" t="str">
        <f t="shared" si="35"/>
        <v>#DIV/0!</v>
      </c>
      <c r="O44" s="112">
        <f t="shared" si="5"/>
        <v>0</v>
      </c>
      <c r="P44" s="111" t="str">
        <f t="shared" si="6"/>
        <v>#DIV/0!</v>
      </c>
      <c r="Q44" s="113" t="str">
        <f t="shared" si="7"/>
        <v>#DIV/0!</v>
      </c>
      <c r="R44" s="114">
        <f>SUM(R38:R43)</f>
        <v>0</v>
      </c>
      <c r="S44" s="115" t="str">
        <f t="shared" si="9"/>
        <v>#DIV/0!</v>
      </c>
      <c r="T44" s="140" t="str">
        <f t="shared" ref="T44:U44" si="36">IFERROR((D44-#REF!)/D44,)</f>
        <v/>
      </c>
      <c r="U44" s="140" t="str">
        <f t="shared" si="36"/>
        <v/>
      </c>
      <c r="V44" s="140" t="str">
        <f t="shared" ref="V44:W44" si="37">IFERROR((D44-#REF!)/D44, )</f>
        <v/>
      </c>
      <c r="W44" s="140" t="str">
        <f t="shared" si="37"/>
        <v/>
      </c>
      <c r="X44" s="116"/>
      <c r="Y44" s="116"/>
      <c r="Z44" s="116"/>
    </row>
    <row r="45" hidden="1" outlineLevel="1">
      <c r="A45" s="116"/>
      <c r="B45" s="74">
        <v>46040.0</v>
      </c>
      <c r="C45" s="117" t="s">
        <v>31</v>
      </c>
      <c r="D45" s="118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20">
        <v>35.15</v>
      </c>
      <c r="K45" s="121">
        <v>1823.0</v>
      </c>
      <c r="L45" s="135"/>
      <c r="M45" s="123">
        <v>658.0</v>
      </c>
      <c r="N45" s="85">
        <f t="shared" si="35"/>
        <v>0.05341945289</v>
      </c>
      <c r="O45" s="86">
        <f t="shared" si="5"/>
        <v>18.7197724</v>
      </c>
      <c r="P45" s="85" t="str">
        <f t="shared" si="6"/>
        <v>#DIV/0!</v>
      </c>
      <c r="Q45" s="87" t="str">
        <f t="shared" si="7"/>
        <v>#DIV/0!</v>
      </c>
      <c r="R45" s="88">
        <f t="shared" ref="R45:R50" si="38">D45-M45</f>
        <v>-658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16"/>
      <c r="B46" s="126"/>
      <c r="C46" s="149" t="s">
        <v>48</v>
      </c>
      <c r="D46" s="127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41">
        <v>0.0</v>
      </c>
      <c r="K46" s="121">
        <v>23684.0</v>
      </c>
      <c r="L46" s="135"/>
      <c r="M46" s="142">
        <v>296.01</v>
      </c>
      <c r="N46" s="85">
        <f t="shared" si="35"/>
        <v>0</v>
      </c>
      <c r="O46" s="86" t="str">
        <f t="shared" si="5"/>
        <v>#DIV/0!</v>
      </c>
      <c r="P46" s="85" t="str">
        <f t="shared" si="6"/>
        <v>#DIV/0!</v>
      </c>
      <c r="Q46" s="87" t="str">
        <f t="shared" si="7"/>
        <v>#DIV/0!</v>
      </c>
      <c r="R46" s="95">
        <f t="shared" si="38"/>
        <v>-296.01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hidden="1" outlineLevel="1">
      <c r="A47" s="116"/>
      <c r="B47" s="126"/>
      <c r="C47" s="117" t="s">
        <v>32</v>
      </c>
      <c r="D47" s="127"/>
      <c r="E47" s="119"/>
      <c r="F47" s="119"/>
      <c r="G47" s="78" t="str">
        <f t="shared" si="1"/>
        <v>#DIV/0!</v>
      </c>
      <c r="H47" s="79" t="str">
        <f t="shared" si="2"/>
        <v>#DIV/0!</v>
      </c>
      <c r="I47" s="80" t="str">
        <f t="shared" si="3"/>
        <v>#DIV/0!</v>
      </c>
      <c r="J47" s="128">
        <v>35.57</v>
      </c>
      <c r="K47" s="121">
        <v>1697.0</v>
      </c>
      <c r="L47" s="135"/>
      <c r="M47" s="129">
        <v>395.0</v>
      </c>
      <c r="N47" s="85">
        <f t="shared" si="35"/>
        <v>0.09005063291</v>
      </c>
      <c r="O47" s="86">
        <f t="shared" si="5"/>
        <v>11.10486365</v>
      </c>
      <c r="P47" s="85" t="str">
        <f t="shared" si="6"/>
        <v>#DIV/0!</v>
      </c>
      <c r="Q47" s="87" t="str">
        <f t="shared" si="7"/>
        <v>#DIV/0!</v>
      </c>
      <c r="R47" s="95">
        <f t="shared" si="38"/>
        <v>-395</v>
      </c>
      <c r="S47" s="89" t="str">
        <f t="shared" si="9"/>
        <v>#DIV/0!</v>
      </c>
      <c r="T47" s="124"/>
      <c r="U47" s="124"/>
      <c r="V47" s="124"/>
      <c r="W47" s="124"/>
      <c r="X47" s="125"/>
      <c r="Y47" s="116"/>
      <c r="Z47" s="116"/>
    </row>
    <row r="48" hidden="1" outlineLevel="1">
      <c r="A48" s="116"/>
      <c r="B48" s="126"/>
      <c r="C48" s="149" t="s">
        <v>46</v>
      </c>
      <c r="D48" s="127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8">
        <v>317.31</v>
      </c>
      <c r="K48" s="121">
        <v>20351.0</v>
      </c>
      <c r="L48" s="135"/>
      <c r="M48" s="129">
        <v>878.18</v>
      </c>
      <c r="N48" s="85">
        <f t="shared" si="35"/>
        <v>0.361326835</v>
      </c>
      <c r="O48" s="86">
        <f t="shared" si="5"/>
        <v>2.767577448</v>
      </c>
      <c r="P48" s="85" t="str">
        <f t="shared" si="6"/>
        <v>#DIV/0!</v>
      </c>
      <c r="Q48" s="87" t="str">
        <f t="shared" si="7"/>
        <v>#DIV/0!</v>
      </c>
      <c r="R48" s="95">
        <f t="shared" si="38"/>
        <v>-878.18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74" t="s">
        <v>33</v>
      </c>
      <c r="C49" s="117" t="s">
        <v>34</v>
      </c>
      <c r="D49" s="130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31">
        <v>0.0</v>
      </c>
      <c r="K49" s="121">
        <v>0.0</v>
      </c>
      <c r="L49" s="135"/>
      <c r="M49" s="132">
        <v>0.0</v>
      </c>
      <c r="N49" s="85" t="str">
        <f>(J49/M49)</f>
        <v>#DIV/0!</v>
      </c>
      <c r="O49" s="86" t="str">
        <f t="shared" si="5"/>
        <v>#DIV/0!</v>
      </c>
      <c r="P49" s="85" t="str">
        <f t="shared" si="6"/>
        <v>#DIV/0!</v>
      </c>
      <c r="Q49" s="87" t="str">
        <f t="shared" si="7"/>
        <v>#DIV/0!</v>
      </c>
      <c r="R49" s="100">
        <f t="shared" si="38"/>
        <v>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01" t="str">
        <f t="shared" ref="A50:A51" si="39">iferror(if(B50&gt;0,month(B50)&amp;"-"&amp;year(B50),B50),)</f>
        <v>1-2026</v>
      </c>
      <c r="B50" s="74">
        <v>46046.0</v>
      </c>
      <c r="C50" s="117" t="s">
        <v>35</v>
      </c>
      <c r="D50" s="133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28">
        <v>28.97</v>
      </c>
      <c r="K50" s="121">
        <v>2157.0</v>
      </c>
      <c r="L50" s="135"/>
      <c r="M50" s="129">
        <v>0.0</v>
      </c>
      <c r="N50" s="85" t="str">
        <f t="shared" ref="N50:N55" si="42">J50/M50</f>
        <v>#DIV/0!</v>
      </c>
      <c r="O50" s="86">
        <f t="shared" si="5"/>
        <v>0</v>
      </c>
      <c r="P50" s="85" t="str">
        <f t="shared" si="6"/>
        <v>#DIV/0!</v>
      </c>
      <c r="Q50" s="87" t="str">
        <f t="shared" si="7"/>
        <v>#DIV/0!</v>
      </c>
      <c r="R50" s="88">
        <f t="shared" si="3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collapsed="1">
      <c r="A51" s="116" t="str">
        <f t="shared" si="39"/>
        <v/>
      </c>
      <c r="B51" s="137" t="s">
        <v>58</v>
      </c>
      <c r="C51" s="138"/>
      <c r="D51" s="104">
        <f t="shared" ref="D51:F51" si="40">SUM(D45:D50)</f>
        <v>0</v>
      </c>
      <c r="E51" s="105">
        <f t="shared" si="40"/>
        <v>0</v>
      </c>
      <c r="F51" s="105">
        <f t="shared" si="40"/>
        <v>0</v>
      </c>
      <c r="G51" s="106" t="str">
        <f t="shared" si="1"/>
        <v>#DIV/0!</v>
      </c>
      <c r="H51" s="107" t="str">
        <f t="shared" si="2"/>
        <v>#DIV/0!</v>
      </c>
      <c r="I51" s="108" t="str">
        <f t="shared" si="3"/>
        <v>#DIV/0!</v>
      </c>
      <c r="J51" s="104">
        <f t="shared" ref="J51:M51" si="41">SUM(J45:J50)</f>
        <v>417</v>
      </c>
      <c r="K51" s="109">
        <f t="shared" si="41"/>
        <v>49712</v>
      </c>
      <c r="L51" s="139">
        <f t="shared" si="41"/>
        <v>0</v>
      </c>
      <c r="M51" s="110">
        <f t="shared" si="41"/>
        <v>2227.19</v>
      </c>
      <c r="N51" s="111">
        <f t="shared" si="42"/>
        <v>0.1872314441</v>
      </c>
      <c r="O51" s="112">
        <f t="shared" si="5"/>
        <v>5.340983213</v>
      </c>
      <c r="P51" s="111" t="str">
        <f t="shared" si="6"/>
        <v>#DIV/0!</v>
      </c>
      <c r="Q51" s="113" t="str">
        <f t="shared" si="7"/>
        <v>#DIV/0!</v>
      </c>
      <c r="R51" s="114">
        <f>SUM(R45:R50)</f>
        <v>-2227.19</v>
      </c>
      <c r="S51" s="115" t="str">
        <f t="shared" si="9"/>
        <v>#DIV/0!</v>
      </c>
      <c r="T51" s="140" t="str">
        <f t="shared" ref="T51:U51" si="43">IFERROR((D51-#REF!)/D51,)</f>
        <v/>
      </c>
      <c r="U51" s="140" t="str">
        <f t="shared" si="43"/>
        <v/>
      </c>
      <c r="V51" s="140" t="str">
        <f t="shared" ref="V51:W51" si="44">IFERROR((D51-#REF!)/D51, )</f>
        <v/>
      </c>
      <c r="W51" s="140" t="str">
        <f t="shared" si="44"/>
        <v/>
      </c>
      <c r="X51" s="116"/>
      <c r="Y51" s="116"/>
      <c r="Z51" s="116"/>
    </row>
    <row r="52" hidden="1" outlineLevel="1">
      <c r="A52" s="116"/>
      <c r="B52" s="74">
        <v>46047.0</v>
      </c>
      <c r="C52" s="117" t="s">
        <v>31</v>
      </c>
      <c r="D52" s="118"/>
      <c r="E52" s="119"/>
      <c r="F52" s="119"/>
      <c r="G52" s="78" t="str">
        <f t="shared" si="1"/>
        <v>#DIV/0!</v>
      </c>
      <c r="H52" s="79" t="str">
        <f t="shared" si="2"/>
        <v>#DIV/0!</v>
      </c>
      <c r="I52" s="80" t="str">
        <f t="shared" si="3"/>
        <v>#DIV/0!</v>
      </c>
      <c r="J52" s="120">
        <v>0.0</v>
      </c>
      <c r="K52" s="121">
        <v>0.0</v>
      </c>
      <c r="L52" s="135"/>
      <c r="M52" s="123">
        <v>0.0</v>
      </c>
      <c r="N52" s="85" t="str">
        <f t="shared" si="42"/>
        <v>#DIV/0!</v>
      </c>
      <c r="O52" s="86" t="str">
        <f t="shared" si="5"/>
        <v>#DIV/0!</v>
      </c>
      <c r="P52" s="85" t="str">
        <f t="shared" si="6"/>
        <v>#DIV/0!</v>
      </c>
      <c r="Q52" s="87" t="str">
        <f t="shared" si="7"/>
        <v>#DIV/0!</v>
      </c>
      <c r="R52" s="88">
        <f t="shared" ref="R52:R57" si="45">D52-M52</f>
        <v>0</v>
      </c>
      <c r="S52" s="89" t="str">
        <f t="shared" si="9"/>
        <v>#DIV/0!</v>
      </c>
      <c r="T52" s="124"/>
      <c r="U52" s="124"/>
      <c r="V52" s="124"/>
      <c r="W52" s="124"/>
      <c r="X52" s="125"/>
      <c r="Y52" s="116"/>
      <c r="Z52" s="116"/>
    </row>
    <row r="53" hidden="1" outlineLevel="1">
      <c r="A53" s="116"/>
      <c r="B53" s="126"/>
      <c r="C53" s="149" t="s">
        <v>48</v>
      </c>
      <c r="D53" s="127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41">
        <v>164.1</v>
      </c>
      <c r="K53" s="121">
        <v>17840.0</v>
      </c>
      <c r="L53" s="135"/>
      <c r="M53" s="142">
        <v>0.0</v>
      </c>
      <c r="N53" s="85" t="str">
        <f t="shared" si="42"/>
        <v>#DIV/0!</v>
      </c>
      <c r="O53" s="86">
        <f t="shared" si="5"/>
        <v>0</v>
      </c>
      <c r="P53" s="85" t="str">
        <f t="shared" si="6"/>
        <v>#DIV/0!</v>
      </c>
      <c r="Q53" s="87" t="str">
        <f t="shared" si="7"/>
        <v>#DIV/0!</v>
      </c>
      <c r="R53" s="95">
        <f t="shared" si="45"/>
        <v>0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0.0</v>
      </c>
      <c r="K54" s="121">
        <v>0.0</v>
      </c>
      <c r="L54" s="135"/>
      <c r="M54" s="129">
        <v>0.0</v>
      </c>
      <c r="N54" s="85" t="str">
        <f t="shared" si="42"/>
        <v>#DIV/0!</v>
      </c>
      <c r="O54" s="86" t="str">
        <f t="shared" si="5"/>
        <v>#DIV/0!</v>
      </c>
      <c r="P54" s="85" t="str">
        <f t="shared" si="6"/>
        <v>#DIV/0!</v>
      </c>
      <c r="Q54" s="87" t="str">
        <f t="shared" si="7"/>
        <v>#DIV/0!</v>
      </c>
      <c r="R54" s="95">
        <f t="shared" si="4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126"/>
      <c r="C55" s="149" t="s">
        <v>46</v>
      </c>
      <c r="D55" s="127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28">
        <v>241.85</v>
      </c>
      <c r="K55" s="121">
        <v>17267.0</v>
      </c>
      <c r="L55" s="135"/>
      <c r="M55" s="129">
        <v>0.0</v>
      </c>
      <c r="N55" s="85" t="str">
        <f t="shared" si="42"/>
        <v>#DIV/0!</v>
      </c>
      <c r="O55" s="86">
        <f t="shared" si="5"/>
        <v>0</v>
      </c>
      <c r="P55" s="85" t="str">
        <f t="shared" si="6"/>
        <v>#DIV/0!</v>
      </c>
      <c r="Q55" s="87" t="str">
        <f t="shared" si="7"/>
        <v>#DIV/0!</v>
      </c>
      <c r="R55" s="95">
        <f t="shared" si="4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16"/>
      <c r="B56" s="74" t="s">
        <v>33</v>
      </c>
      <c r="C56" s="117" t="s">
        <v>34</v>
      </c>
      <c r="D56" s="130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31">
        <v>0.0</v>
      </c>
      <c r="K56" s="121">
        <v>0.0</v>
      </c>
      <c r="L56" s="135"/>
      <c r="M56" s="132">
        <v>0.0</v>
      </c>
      <c r="N56" s="85" t="str">
        <f>(J56/M56)</f>
        <v>#DIV/0!</v>
      </c>
      <c r="O56" s="86" t="str">
        <f t="shared" si="5"/>
        <v>#DIV/0!</v>
      </c>
      <c r="P56" s="85" t="str">
        <f t="shared" si="6"/>
        <v>#DIV/0!</v>
      </c>
      <c r="Q56" s="87" t="str">
        <f t="shared" si="7"/>
        <v>#DIV/0!</v>
      </c>
      <c r="R56" s="100">
        <f t="shared" si="4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hidden="1" outlineLevel="1">
      <c r="A57" s="101" t="str">
        <f t="shared" ref="A57:A58" si="46">iferror(if(B57&gt;0,month(B57)&amp;"-"&amp;year(B57),B57),)</f>
        <v>1-2026</v>
      </c>
      <c r="B57" s="74">
        <v>46053.0</v>
      </c>
      <c r="C57" s="117" t="s">
        <v>35</v>
      </c>
      <c r="D57" s="133"/>
      <c r="E57" s="119"/>
      <c r="F57" s="119"/>
      <c r="G57" s="78" t="str">
        <f t="shared" si="1"/>
        <v>#DIV/0!</v>
      </c>
      <c r="H57" s="79" t="str">
        <f t="shared" si="2"/>
        <v>#DIV/0!</v>
      </c>
      <c r="I57" s="80" t="str">
        <f t="shared" si="3"/>
        <v>#DIV/0!</v>
      </c>
      <c r="J57" s="128">
        <v>0.0</v>
      </c>
      <c r="K57" s="121">
        <v>0.0</v>
      </c>
      <c r="L57" s="135"/>
      <c r="M57" s="129">
        <v>0.0</v>
      </c>
      <c r="N57" s="85" t="str">
        <f t="shared" ref="N57:N62" si="49">J57/M57</f>
        <v>#DIV/0!</v>
      </c>
      <c r="O57" s="86" t="str">
        <f t="shared" si="5"/>
        <v>#DIV/0!</v>
      </c>
      <c r="P57" s="85" t="str">
        <f t="shared" si="6"/>
        <v>#DIV/0!</v>
      </c>
      <c r="Q57" s="87" t="str">
        <f t="shared" si="7"/>
        <v>#DIV/0!</v>
      </c>
      <c r="R57" s="88">
        <f t="shared" si="45"/>
        <v>0</v>
      </c>
      <c r="S57" s="89" t="str">
        <f t="shared" si="9"/>
        <v>#DIV/0!</v>
      </c>
      <c r="T57" s="124"/>
      <c r="U57" s="124"/>
      <c r="V57" s="124"/>
      <c r="W57" s="124"/>
      <c r="X57" s="125"/>
      <c r="Y57" s="116"/>
      <c r="Z57" s="116"/>
    </row>
    <row r="58" collapsed="1">
      <c r="A58" s="116" t="str">
        <f t="shared" si="46"/>
        <v/>
      </c>
      <c r="B58" s="137" t="s">
        <v>59</v>
      </c>
      <c r="C58" s="138"/>
      <c r="D58" s="104">
        <f t="shared" ref="D58:F58" si="47">SUM(D52:D57)</f>
        <v>0</v>
      </c>
      <c r="E58" s="105">
        <f t="shared" si="47"/>
        <v>0</v>
      </c>
      <c r="F58" s="105">
        <f t="shared" si="47"/>
        <v>0</v>
      </c>
      <c r="G58" s="106" t="str">
        <f t="shared" si="1"/>
        <v>#DIV/0!</v>
      </c>
      <c r="H58" s="107" t="str">
        <f t="shared" si="2"/>
        <v>#DIV/0!</v>
      </c>
      <c r="I58" s="108" t="str">
        <f t="shared" si="3"/>
        <v>#DIV/0!</v>
      </c>
      <c r="J58" s="104">
        <f t="shared" ref="J58:M58" si="48">SUM(J52:J57)</f>
        <v>405.95</v>
      </c>
      <c r="K58" s="109">
        <f t="shared" si="48"/>
        <v>35107</v>
      </c>
      <c r="L58" s="139">
        <f t="shared" si="48"/>
        <v>0</v>
      </c>
      <c r="M58" s="110">
        <f t="shared" si="48"/>
        <v>0</v>
      </c>
      <c r="N58" s="111" t="str">
        <f t="shared" si="49"/>
        <v>#DIV/0!</v>
      </c>
      <c r="O58" s="112">
        <f t="shared" si="5"/>
        <v>0</v>
      </c>
      <c r="P58" s="111" t="str">
        <f t="shared" si="6"/>
        <v>#DIV/0!</v>
      </c>
      <c r="Q58" s="113" t="str">
        <f t="shared" si="7"/>
        <v>#DIV/0!</v>
      </c>
      <c r="R58" s="114">
        <f>SUM(R52:R57)</f>
        <v>0</v>
      </c>
      <c r="S58" s="115" t="str">
        <f t="shared" si="9"/>
        <v>#DIV/0!</v>
      </c>
      <c r="T58" s="140" t="str">
        <f t="shared" ref="T58:U58" si="50">IFERROR((D58-#REF!)/D58,)</f>
        <v/>
      </c>
      <c r="U58" s="140" t="str">
        <f t="shared" si="50"/>
        <v/>
      </c>
      <c r="V58" s="140" t="str">
        <f t="shared" ref="V58:W58" si="51">IFERROR((D58-#REF!)/D58, )</f>
        <v/>
      </c>
      <c r="W58" s="140" t="str">
        <f t="shared" si="51"/>
        <v/>
      </c>
      <c r="X58" s="116"/>
      <c r="Y58" s="116"/>
      <c r="Z58" s="116"/>
    </row>
    <row r="59">
      <c r="A59" s="13"/>
      <c r="B59" s="143">
        <v>46054.0</v>
      </c>
      <c r="C59" s="75" t="s">
        <v>31</v>
      </c>
      <c r="D59" s="76"/>
      <c r="E59" s="77"/>
      <c r="F59" s="77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81">
        <v>0.0</v>
      </c>
      <c r="K59" s="82">
        <v>0.0</v>
      </c>
      <c r="L59" s="83"/>
      <c r="M59" s="84">
        <v>0.0</v>
      </c>
      <c r="N59" s="85" t="str">
        <f t="shared" si="49"/>
        <v>#DIV/0!</v>
      </c>
      <c r="O59" s="86" t="str">
        <f t="shared" si="5"/>
        <v>#DIV/0!</v>
      </c>
      <c r="P59" s="85" t="str">
        <f t="shared" si="6"/>
        <v>#DIV/0!</v>
      </c>
      <c r="Q59" s="87" t="str">
        <f t="shared" si="7"/>
        <v>#DIV/0!</v>
      </c>
      <c r="R59" s="88">
        <f t="shared" ref="R59:R64" si="52">D59-M59</f>
        <v>0</v>
      </c>
      <c r="S59" s="89" t="str">
        <f t="shared" si="9"/>
        <v>#DIV/0!</v>
      </c>
      <c r="T59" s="90"/>
      <c r="U59" s="90"/>
      <c r="V59" s="90"/>
      <c r="W59" s="90"/>
      <c r="X59" s="3"/>
      <c r="Y59" s="13"/>
      <c r="Z59" s="13"/>
    </row>
    <row r="60">
      <c r="A60" s="13"/>
      <c r="B60" s="91"/>
      <c r="C60" s="144" t="s">
        <v>48</v>
      </c>
      <c r="D60" s="92"/>
      <c r="E60" s="77"/>
      <c r="F60" s="77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45">
        <v>0.0</v>
      </c>
      <c r="K60" s="82">
        <v>0.0</v>
      </c>
      <c r="L60" s="150"/>
      <c r="M60" s="147">
        <v>0.0</v>
      </c>
      <c r="N60" s="85" t="str">
        <f t="shared" si="49"/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95">
        <f t="shared" si="52"/>
        <v>0</v>
      </c>
      <c r="S60" s="89" t="str">
        <f t="shared" si="9"/>
        <v>#DIV/0!</v>
      </c>
      <c r="T60" s="90"/>
      <c r="U60" s="90"/>
      <c r="V60" s="90"/>
      <c r="W60" s="90"/>
      <c r="X60" s="3"/>
      <c r="Y60" s="13"/>
      <c r="Z60" s="13"/>
    </row>
    <row r="61">
      <c r="A61" s="13"/>
      <c r="B61" s="91"/>
      <c r="C61" s="75" t="s">
        <v>32</v>
      </c>
      <c r="D61" s="92"/>
      <c r="E61" s="77"/>
      <c r="F61" s="77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93">
        <v>0.0</v>
      </c>
      <c r="K61" s="82">
        <v>0.0</v>
      </c>
      <c r="L61" s="83"/>
      <c r="M61" s="94">
        <v>0.0</v>
      </c>
      <c r="N61" s="85" t="str">
        <f t="shared" si="49"/>
        <v>#DIV/0!</v>
      </c>
      <c r="O61" s="86" t="str">
        <f t="shared" si="5"/>
        <v>#DIV/0!</v>
      </c>
      <c r="P61" s="85" t="str">
        <f t="shared" si="6"/>
        <v>#DIV/0!</v>
      </c>
      <c r="Q61" s="87" t="str">
        <f t="shared" si="7"/>
        <v>#DIV/0!</v>
      </c>
      <c r="R61" s="95">
        <f t="shared" si="52"/>
        <v>0</v>
      </c>
      <c r="S61" s="89" t="str">
        <f t="shared" si="9"/>
        <v>#DIV/0!</v>
      </c>
      <c r="T61" s="90"/>
      <c r="U61" s="90"/>
      <c r="V61" s="90"/>
      <c r="W61" s="90"/>
      <c r="X61" s="3"/>
      <c r="Y61" s="13"/>
      <c r="Z61" s="13"/>
    </row>
    <row r="62">
      <c r="A62" s="13"/>
      <c r="B62" s="91"/>
      <c r="C62" s="144" t="s">
        <v>46</v>
      </c>
      <c r="D62" s="92"/>
      <c r="E62" s="77"/>
      <c r="F62" s="77"/>
      <c r="G62" s="78" t="str">
        <f t="shared" si="1"/>
        <v>#DIV/0!</v>
      </c>
      <c r="H62" s="79" t="str">
        <f t="shared" si="2"/>
        <v>#DIV/0!</v>
      </c>
      <c r="I62" s="80" t="str">
        <f t="shared" si="3"/>
        <v>#DIV/0!</v>
      </c>
      <c r="J62" s="93">
        <v>109.2</v>
      </c>
      <c r="K62" s="82">
        <v>813.0</v>
      </c>
      <c r="L62" s="83"/>
      <c r="M62" s="94">
        <v>0.0</v>
      </c>
      <c r="N62" s="85" t="str">
        <f t="shared" si="49"/>
        <v>#DIV/0!</v>
      </c>
      <c r="O62" s="86">
        <f t="shared" si="5"/>
        <v>0</v>
      </c>
      <c r="P62" s="85" t="str">
        <f t="shared" si="6"/>
        <v>#DIV/0!</v>
      </c>
      <c r="Q62" s="87" t="str">
        <f t="shared" si="7"/>
        <v>#DIV/0!</v>
      </c>
      <c r="R62" s="95">
        <f t="shared" si="52"/>
        <v>0</v>
      </c>
      <c r="S62" s="89" t="str">
        <f t="shared" si="9"/>
        <v>#DIV/0!</v>
      </c>
      <c r="T62" s="90"/>
      <c r="U62" s="90"/>
      <c r="V62" s="90"/>
      <c r="W62" s="90"/>
      <c r="X62" s="3"/>
      <c r="Y62" s="13"/>
      <c r="Z62" s="13"/>
    </row>
    <row r="63">
      <c r="A63" s="13"/>
      <c r="B63" s="148" t="s">
        <v>33</v>
      </c>
      <c r="C63" s="75" t="s">
        <v>34</v>
      </c>
      <c r="D63" s="97"/>
      <c r="E63" s="77"/>
      <c r="F63" s="77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98">
        <v>0.0</v>
      </c>
      <c r="K63" s="82">
        <v>0.0</v>
      </c>
      <c r="L63" s="83"/>
      <c r="M63" s="99">
        <v>0.0</v>
      </c>
      <c r="N63" s="85" t="str">
        <f>(J63/M63)</f>
        <v>#DIV/0!</v>
      </c>
      <c r="O63" s="86" t="str">
        <f t="shared" si="5"/>
        <v>#DIV/0!</v>
      </c>
      <c r="P63" s="85" t="str">
        <f t="shared" si="6"/>
        <v>#DIV/0!</v>
      </c>
      <c r="Q63" s="87" t="str">
        <f t="shared" si="7"/>
        <v>#DIV/0!</v>
      </c>
      <c r="R63" s="100">
        <f t="shared" si="52"/>
        <v>0</v>
      </c>
      <c r="S63" s="89" t="str">
        <f t="shared" si="9"/>
        <v>#DIV/0!</v>
      </c>
      <c r="T63" s="90"/>
      <c r="U63" s="90"/>
      <c r="V63" s="90"/>
      <c r="W63" s="90"/>
      <c r="X63" s="3"/>
      <c r="Y63" s="13"/>
      <c r="Z63" s="13"/>
    </row>
    <row r="64">
      <c r="A64" s="101" t="str">
        <f t="shared" ref="A64:A65" si="53">iferror(if(B64&gt;0,month(B64)&amp;"-"&amp;year(B64),B64),)</f>
        <v>2-2026</v>
      </c>
      <c r="B64" s="143">
        <v>46060.0</v>
      </c>
      <c r="C64" s="75" t="s">
        <v>35</v>
      </c>
      <c r="D64" s="102"/>
      <c r="E64" s="77"/>
      <c r="F64" s="77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93">
        <v>0.0</v>
      </c>
      <c r="K64" s="82">
        <v>0.0</v>
      </c>
      <c r="L64" s="83"/>
      <c r="M64" s="94">
        <v>0.0</v>
      </c>
      <c r="N64" s="85" t="str">
        <f t="shared" ref="N64:N69" si="56">J64/M64</f>
        <v>#DIV/0!</v>
      </c>
      <c r="O64" s="86" t="str">
        <f t="shared" si="5"/>
        <v>#DIV/0!</v>
      </c>
      <c r="P64" s="85" t="str">
        <f t="shared" si="6"/>
        <v>#DIV/0!</v>
      </c>
      <c r="Q64" s="87" t="str">
        <f t="shared" si="7"/>
        <v>#DIV/0!</v>
      </c>
      <c r="R64" s="88">
        <f t="shared" si="52"/>
        <v>0</v>
      </c>
      <c r="S64" s="89" t="str">
        <f t="shared" si="9"/>
        <v>#DIV/0!</v>
      </c>
      <c r="T64" s="90"/>
      <c r="U64" s="90"/>
      <c r="V64" s="90"/>
      <c r="W64" s="90"/>
      <c r="X64" s="3"/>
      <c r="Y64" s="13"/>
      <c r="Z64" s="13"/>
    </row>
    <row r="65">
      <c r="A65" s="13" t="str">
        <f t="shared" si="53"/>
        <v/>
      </c>
      <c r="B65" s="103" t="s">
        <v>51</v>
      </c>
      <c r="C65" s="61"/>
      <c r="D65" s="104">
        <f t="shared" ref="D65:F65" si="54">SUM(D59:D64)</f>
        <v>0</v>
      </c>
      <c r="E65" s="105">
        <f t="shared" si="54"/>
        <v>0</v>
      </c>
      <c r="F65" s="105">
        <f t="shared" si="54"/>
        <v>0</v>
      </c>
      <c r="G65" s="106" t="str">
        <f t="shared" si="1"/>
        <v>#DIV/0!</v>
      </c>
      <c r="H65" s="107" t="str">
        <f t="shared" si="2"/>
        <v>#DIV/0!</v>
      </c>
      <c r="I65" s="108" t="str">
        <f t="shared" si="3"/>
        <v>#DIV/0!</v>
      </c>
      <c r="J65" s="104">
        <f t="shared" ref="J65:M65" si="55">SUM(J59:J64)</f>
        <v>109.2</v>
      </c>
      <c r="K65" s="109">
        <f t="shared" si="55"/>
        <v>813</v>
      </c>
      <c r="L65" s="105">
        <f t="shared" si="55"/>
        <v>0</v>
      </c>
      <c r="M65" s="110">
        <f t="shared" si="55"/>
        <v>0</v>
      </c>
      <c r="N65" s="111" t="str">
        <f t="shared" si="56"/>
        <v>#DIV/0!</v>
      </c>
      <c r="O65" s="112">
        <f t="shared" si="5"/>
        <v>0</v>
      </c>
      <c r="P65" s="111" t="str">
        <f t="shared" si="6"/>
        <v>#DIV/0!</v>
      </c>
      <c r="Q65" s="113" t="str">
        <f t="shared" si="7"/>
        <v>#DIV/0!</v>
      </c>
      <c r="R65" s="114">
        <f>SUM(R59:R64)</f>
        <v>0</v>
      </c>
      <c r="S65" s="115" t="str">
        <f t="shared" si="9"/>
        <v>#DIV/0!</v>
      </c>
      <c r="T65" s="73" t="str">
        <f t="shared" ref="T65:U65" si="57">IFERROR((D65-#REF!)/D65,)</f>
        <v/>
      </c>
      <c r="U65" s="73" t="str">
        <f t="shared" si="57"/>
        <v/>
      </c>
      <c r="V65" s="73" t="str">
        <f t="shared" ref="V65:W65" si="58">IFERROR((D65-#REF!)/D65, )</f>
        <v/>
      </c>
      <c r="W65" s="73" t="str">
        <f t="shared" si="58"/>
        <v/>
      </c>
      <c r="X65" s="13"/>
      <c r="Y65" s="13"/>
      <c r="Z65" s="13"/>
    </row>
    <row r="66">
      <c r="A66" s="13"/>
      <c r="B66" s="143">
        <v>46061.0</v>
      </c>
      <c r="C66" s="75" t="s">
        <v>31</v>
      </c>
      <c r="D66" s="76"/>
      <c r="E66" s="77"/>
      <c r="F66" s="77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81">
        <v>0.0</v>
      </c>
      <c r="K66" s="82">
        <v>0.0</v>
      </c>
      <c r="L66" s="83"/>
      <c r="M66" s="84">
        <v>0.0</v>
      </c>
      <c r="N66" s="85" t="str">
        <f t="shared" si="56"/>
        <v>#DIV/0!</v>
      </c>
      <c r="O66" s="86" t="str">
        <f t="shared" si="5"/>
        <v>#DIV/0!</v>
      </c>
      <c r="P66" s="85" t="str">
        <f t="shared" si="6"/>
        <v>#DIV/0!</v>
      </c>
      <c r="Q66" s="87" t="str">
        <f t="shared" si="7"/>
        <v>#DIV/0!</v>
      </c>
      <c r="R66" s="88">
        <f t="shared" ref="R66:R71" si="59">D66-M66</f>
        <v>0</v>
      </c>
      <c r="S66" s="89" t="str">
        <f t="shared" si="9"/>
        <v>#DIV/0!</v>
      </c>
      <c r="T66" s="90"/>
      <c r="U66" s="90"/>
      <c r="V66" s="90"/>
      <c r="W66" s="90"/>
      <c r="X66" s="3"/>
      <c r="Y66" s="13"/>
      <c r="Z66" s="13"/>
    </row>
    <row r="67">
      <c r="A67" s="13"/>
      <c r="B67" s="91"/>
      <c r="C67" s="144" t="s">
        <v>48</v>
      </c>
      <c r="D67" s="92"/>
      <c r="E67" s="77"/>
      <c r="F67" s="77"/>
      <c r="G67" s="78" t="str">
        <f t="shared" si="1"/>
        <v>#DIV/0!</v>
      </c>
      <c r="H67" s="79" t="str">
        <f t="shared" si="2"/>
        <v>#DIV/0!</v>
      </c>
      <c r="I67" s="80" t="str">
        <f t="shared" si="3"/>
        <v>#DIV/0!</v>
      </c>
      <c r="J67" s="145">
        <v>313.92</v>
      </c>
      <c r="K67" s="82">
        <v>10464.0</v>
      </c>
      <c r="L67" s="150"/>
      <c r="M67" s="147">
        <v>0.0</v>
      </c>
      <c r="N67" s="85" t="str">
        <f t="shared" si="56"/>
        <v>#DIV/0!</v>
      </c>
      <c r="O67" s="86">
        <f t="shared" si="5"/>
        <v>0</v>
      </c>
      <c r="P67" s="85" t="str">
        <f t="shared" si="6"/>
        <v>#DIV/0!</v>
      </c>
      <c r="Q67" s="87" t="str">
        <f t="shared" si="7"/>
        <v>#DIV/0!</v>
      </c>
      <c r="R67" s="95">
        <f t="shared" si="59"/>
        <v>0</v>
      </c>
      <c r="S67" s="89" t="str">
        <f t="shared" si="9"/>
        <v>#DIV/0!</v>
      </c>
      <c r="T67" s="90"/>
      <c r="U67" s="90"/>
      <c r="V67" s="90"/>
      <c r="W67" s="90"/>
      <c r="X67" s="3"/>
      <c r="Y67" s="13"/>
      <c r="Z67" s="13"/>
    </row>
    <row r="68">
      <c r="A68" s="13"/>
      <c r="B68" s="91"/>
      <c r="C68" s="75" t="s">
        <v>32</v>
      </c>
      <c r="D68" s="92"/>
      <c r="E68" s="77"/>
      <c r="F68" s="77"/>
      <c r="G68" s="78" t="str">
        <f t="shared" si="1"/>
        <v>#DIV/0!</v>
      </c>
      <c r="H68" s="79" t="str">
        <f t="shared" si="2"/>
        <v>#DIV/0!</v>
      </c>
      <c r="I68" s="80" t="str">
        <f t="shared" si="3"/>
        <v>#DIV/0!</v>
      </c>
      <c r="J68" s="93">
        <v>0.0</v>
      </c>
      <c r="K68" s="82">
        <v>0.0</v>
      </c>
      <c r="L68" s="83"/>
      <c r="M68" s="94">
        <v>0.0</v>
      </c>
      <c r="N68" s="85" t="str">
        <f t="shared" si="56"/>
        <v>#DIV/0!</v>
      </c>
      <c r="O68" s="86" t="str">
        <f t="shared" si="5"/>
        <v>#DIV/0!</v>
      </c>
      <c r="P68" s="85" t="str">
        <f t="shared" si="6"/>
        <v>#DIV/0!</v>
      </c>
      <c r="Q68" s="87" t="str">
        <f t="shared" si="7"/>
        <v>#DIV/0!</v>
      </c>
      <c r="R68" s="95">
        <f t="shared" si="59"/>
        <v>0</v>
      </c>
      <c r="S68" s="89" t="str">
        <f t="shared" si="9"/>
        <v>#DIV/0!</v>
      </c>
      <c r="T68" s="90"/>
      <c r="U68" s="90"/>
      <c r="V68" s="90"/>
      <c r="W68" s="90"/>
      <c r="X68" s="3"/>
      <c r="Y68" s="13"/>
      <c r="Z68" s="13"/>
    </row>
    <row r="69">
      <c r="A69" s="13"/>
      <c r="B69" s="91"/>
      <c r="C69" s="144" t="s">
        <v>46</v>
      </c>
      <c r="D69" s="92"/>
      <c r="E69" s="77"/>
      <c r="F69" s="77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93">
        <v>231.27</v>
      </c>
      <c r="K69" s="82">
        <v>12927.0</v>
      </c>
      <c r="L69" s="83"/>
      <c r="M69" s="94">
        <v>1001.28</v>
      </c>
      <c r="N69" s="85">
        <f t="shared" si="56"/>
        <v>0.2309743528</v>
      </c>
      <c r="O69" s="86">
        <f t="shared" si="5"/>
        <v>4.329485018</v>
      </c>
      <c r="P69" s="85" t="str">
        <f t="shared" si="6"/>
        <v>#DIV/0!</v>
      </c>
      <c r="Q69" s="87" t="str">
        <f t="shared" si="7"/>
        <v>#DIV/0!</v>
      </c>
      <c r="R69" s="95">
        <f t="shared" si="59"/>
        <v>-1001.28</v>
      </c>
      <c r="S69" s="89" t="str">
        <f t="shared" si="9"/>
        <v>#DIV/0!</v>
      </c>
      <c r="T69" s="90"/>
      <c r="U69" s="90"/>
      <c r="V69" s="90"/>
      <c r="W69" s="90"/>
      <c r="X69" s="3"/>
      <c r="Y69" s="13"/>
      <c r="Z69" s="13"/>
    </row>
    <row r="70">
      <c r="A70" s="13"/>
      <c r="B70" s="148" t="s">
        <v>33</v>
      </c>
      <c r="C70" s="75" t="s">
        <v>34</v>
      </c>
      <c r="D70" s="97"/>
      <c r="E70" s="77"/>
      <c r="F70" s="77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98">
        <v>0.0</v>
      </c>
      <c r="K70" s="82">
        <v>0.0</v>
      </c>
      <c r="L70" s="83"/>
      <c r="M70" s="99">
        <v>0.0</v>
      </c>
      <c r="N70" s="85" t="str">
        <f>(J70/M70)</f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100">
        <f t="shared" si="59"/>
        <v>0</v>
      </c>
      <c r="S70" s="89" t="str">
        <f t="shared" si="9"/>
        <v>#DIV/0!</v>
      </c>
      <c r="T70" s="90"/>
      <c r="U70" s="90"/>
      <c r="V70" s="90"/>
      <c r="W70" s="90"/>
      <c r="X70" s="3"/>
      <c r="Y70" s="13"/>
      <c r="Z70" s="13"/>
    </row>
    <row r="71">
      <c r="A71" s="101" t="str">
        <f t="shared" ref="A71:A72" si="60">iferror(if(B71&gt;0,month(B71)&amp;"-"&amp;year(B71),B71),)</f>
        <v>2-2026</v>
      </c>
      <c r="B71" s="143">
        <v>46067.0</v>
      </c>
      <c r="C71" s="75" t="s">
        <v>35</v>
      </c>
      <c r="D71" s="102"/>
      <c r="E71" s="77"/>
      <c r="F71" s="77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93">
        <v>0.0</v>
      </c>
      <c r="K71" s="82">
        <v>0.0</v>
      </c>
      <c r="L71" s="83"/>
      <c r="M71" s="94">
        <v>0.0</v>
      </c>
      <c r="N71" s="85" t="str">
        <f t="shared" ref="N71:N72" si="63">J71/M71</f>
        <v>#DIV/0!</v>
      </c>
      <c r="O71" s="86" t="str">
        <f t="shared" si="5"/>
        <v>#DIV/0!</v>
      </c>
      <c r="P71" s="85" t="str">
        <f t="shared" si="6"/>
        <v>#DIV/0!</v>
      </c>
      <c r="Q71" s="87" t="str">
        <f t="shared" si="7"/>
        <v>#DIV/0!</v>
      </c>
      <c r="R71" s="88">
        <f t="shared" si="59"/>
        <v>0</v>
      </c>
      <c r="S71" s="89" t="str">
        <f t="shared" si="9"/>
        <v>#DIV/0!</v>
      </c>
      <c r="T71" s="90"/>
      <c r="U71" s="90"/>
      <c r="V71" s="90"/>
      <c r="W71" s="90"/>
      <c r="X71" s="3"/>
      <c r="Y71" s="13"/>
      <c r="Z71" s="13"/>
    </row>
    <row r="72">
      <c r="A72" s="13" t="str">
        <f t="shared" si="60"/>
        <v/>
      </c>
      <c r="B72" s="103" t="s">
        <v>52</v>
      </c>
      <c r="C72" s="61"/>
      <c r="D72" s="104">
        <f t="shared" ref="D72:F72" si="61">SUM(D66:D71)</f>
        <v>0</v>
      </c>
      <c r="E72" s="105">
        <f t="shared" si="61"/>
        <v>0</v>
      </c>
      <c r="F72" s="105">
        <f t="shared" si="61"/>
        <v>0</v>
      </c>
      <c r="G72" s="106" t="str">
        <f t="shared" si="1"/>
        <v>#DIV/0!</v>
      </c>
      <c r="H72" s="107" t="str">
        <f t="shared" si="2"/>
        <v>#DIV/0!</v>
      </c>
      <c r="I72" s="108" t="str">
        <f t="shared" si="3"/>
        <v>#DIV/0!</v>
      </c>
      <c r="J72" s="104">
        <f t="shared" ref="J72:M72" si="62">SUM(J66:J71)</f>
        <v>545.19</v>
      </c>
      <c r="K72" s="109">
        <f t="shared" si="62"/>
        <v>23391</v>
      </c>
      <c r="L72" s="105">
        <f t="shared" si="62"/>
        <v>0</v>
      </c>
      <c r="M72" s="110">
        <f t="shared" si="62"/>
        <v>1001.28</v>
      </c>
      <c r="N72" s="111">
        <f t="shared" si="63"/>
        <v>0.5444930489</v>
      </c>
      <c r="O72" s="112">
        <f t="shared" si="5"/>
        <v>1.836570737</v>
      </c>
      <c r="P72" s="111" t="str">
        <f t="shared" si="6"/>
        <v>#DIV/0!</v>
      </c>
      <c r="Q72" s="113" t="str">
        <f t="shared" si="7"/>
        <v>#DIV/0!</v>
      </c>
      <c r="R72" s="114">
        <f>SUM(R66:R71)</f>
        <v>-1001.28</v>
      </c>
      <c r="S72" s="115" t="str">
        <f t="shared" si="9"/>
        <v>#DIV/0!</v>
      </c>
      <c r="T72" s="73" t="str">
        <f t="shared" ref="T72:U72" si="64">IFERROR((D72-D65)/D72,)</f>
        <v/>
      </c>
      <c r="U72" s="73" t="str">
        <f t="shared" si="64"/>
        <v/>
      </c>
      <c r="V72" s="73" t="str">
        <f t="shared" ref="V72:W72" si="65">IFERROR((D72-#REF!)/D72, )</f>
        <v/>
      </c>
      <c r="W72" s="73" t="str">
        <f t="shared" si="65"/>
        <v/>
      </c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23 B30 B37 B44 B51 B58 B65 B72">
      <formula1>"Previous Week,Current Week"</formula1>
    </dataValidation>
  </dataValidation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60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Week",$B$11:$Z$52,match("SALES",$B$11:$Z$11,0),FALSE)</f>
        <v>0.2162351278</v>
      </c>
      <c r="D4" s="116"/>
      <c r="E4" s="116"/>
      <c r="F4" s="161">
        <f>VLOOKUP("Current Week",$B$11:$Z$52,match("Units Sold",$B$11:$Z$11,0),FALSE)</f>
        <v>74</v>
      </c>
      <c r="G4" s="10"/>
      <c r="H4" s="8"/>
      <c r="I4" s="125"/>
      <c r="J4" s="161">
        <f>VLOOKUP("Current Week",$B$11:$Z$52,match("Ordered Items",$B$11:$Z$11,0),FALSE)</f>
        <v>47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Week",$B$11:$Z$56,match("SALES",$B$11:$Z$11,0),FALSE)))/C4</f>
        <v>1</v>
      </c>
      <c r="D5" s="116"/>
      <c r="E5" s="116"/>
      <c r="F5" s="165">
        <f>(F4-(VLOOKUP("Previous Week",$B$11:$Z$66,match("Units Sold",$B$11:$Z$11,0),FALSE)))/F4</f>
        <v>0.1351351351</v>
      </c>
      <c r="G5" s="10"/>
      <c r="H5" s="10"/>
      <c r="I5" s="8"/>
      <c r="J5" s="165">
        <f>(J4-(VLOOKUP("Previous Week",$B$11:$Z$66,match("Ordered Items",$B$11:$Z$11,0),FALSE)))/J4</f>
        <v>-0.1914893617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Week",$B$11:$Z$52,match("AD SALES",$B$11:$Z$11,0),FALSE)</f>
        <v>#N/A</v>
      </c>
      <c r="D8" s="116"/>
      <c r="E8" s="116"/>
      <c r="F8" s="167" t="str">
        <f>VLOOKUP("Current Week",$B$11:$Z$52,match("SP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Week",$B$11:$Z$66,match("AD SALES",$B$11:$Z$11,0),FALSE)))/C8</f>
        <v>#N/A</v>
      </c>
      <c r="D9" s="116"/>
      <c r="E9" s="116"/>
      <c r="F9" s="170" t="str">
        <f>(F8-(VLOOKUP("Previous Week",$B$11:$Z$66,match("SP AD SPEND",$B$11:$Z$11,0),FALSE)))/F8</f>
        <v>#N/A</v>
      </c>
      <c r="I9" s="35"/>
      <c r="J9" s="170" t="str">
        <f>(J8-(VLOOKUP("Previous Week",$B$11:$Z$66,match("ACOS",$B$11:$Z$11,0),FALSE)))/J8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61</v>
      </c>
      <c r="D11" s="52" t="s">
        <v>62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outlineLevel="1">
      <c r="A13" s="101" t="str">
        <f>iferror(if(B13&gt;0,month(B13)&amp;"-"&amp;year(B13),B13),)</f>
        <v>12-2025</v>
      </c>
      <c r="B13" s="74">
        <v>46019.0</v>
      </c>
      <c r="C13" s="75" t="s">
        <v>63</v>
      </c>
      <c r="D13" s="93">
        <v>1574.86</v>
      </c>
      <c r="E13" s="150">
        <v>23.0</v>
      </c>
      <c r="F13" s="150">
        <v>20.0</v>
      </c>
      <c r="G13" s="78">
        <f t="shared" ref="G13:G52" si="1">E13/F13</f>
        <v>1.15</v>
      </c>
      <c r="H13" s="79">
        <f t="shared" ref="H13:H52" si="2">D13/E13</f>
        <v>68.47217391</v>
      </c>
      <c r="I13" s="79">
        <f t="shared" ref="I13:I52" si="3">H13/G13</f>
        <v>59.54102079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outlineLevel="1">
      <c r="A14" s="116"/>
      <c r="B14" s="126"/>
      <c r="C14" s="75" t="s">
        <v>64</v>
      </c>
      <c r="D14" s="202">
        <v>601.76</v>
      </c>
      <c r="E14" s="150">
        <v>12.0</v>
      </c>
      <c r="F14" s="150">
        <v>12.0</v>
      </c>
      <c r="G14" s="78">
        <f t="shared" si="1"/>
        <v>1</v>
      </c>
      <c r="H14" s="79">
        <f t="shared" si="2"/>
        <v>50.14666667</v>
      </c>
      <c r="I14" s="79">
        <f t="shared" si="3"/>
        <v>50.14666667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outlineLevel="1">
      <c r="A15" s="116" t="str">
        <f t="shared" ref="A15:A18" si="4">iferror(if(B15&gt;0,month(B15)&amp;"-"&amp;year(B15),B15),)</f>
        <v/>
      </c>
      <c r="B15" s="126"/>
      <c r="C15" s="75" t="s">
        <v>65</v>
      </c>
      <c r="D15" s="202">
        <v>346.5</v>
      </c>
      <c r="E15" s="150">
        <v>3.0</v>
      </c>
      <c r="F15" s="150">
        <v>3.0</v>
      </c>
      <c r="G15" s="78">
        <f t="shared" si="1"/>
        <v>1</v>
      </c>
      <c r="H15" s="79">
        <f t="shared" si="2"/>
        <v>115.5</v>
      </c>
      <c r="I15" s="79">
        <f t="shared" si="3"/>
        <v>115.5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outlineLevel="1">
      <c r="A16" s="101" t="str">
        <f t="shared" si="4"/>
        <v>1-2026</v>
      </c>
      <c r="B16" s="143">
        <v>46025.0</v>
      </c>
      <c r="C16" s="75" t="s">
        <v>66</v>
      </c>
      <c r="D16" s="203">
        <v>6158.92</v>
      </c>
      <c r="E16" s="150">
        <v>43.0</v>
      </c>
      <c r="F16" s="150">
        <v>37.0</v>
      </c>
      <c r="G16" s="78">
        <f t="shared" si="1"/>
        <v>1.162162162</v>
      </c>
      <c r="H16" s="79">
        <f t="shared" si="2"/>
        <v>143.2306977</v>
      </c>
      <c r="I16" s="79">
        <f t="shared" si="3"/>
        <v>123.2450189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>
      <c r="A17" s="116" t="str">
        <f t="shared" si="4"/>
        <v/>
      </c>
      <c r="B17" s="204" t="s">
        <v>55</v>
      </c>
      <c r="C17" s="185"/>
      <c r="D17" s="104">
        <f t="shared" ref="D17:F17" si="5">SUM(D13:D16)</f>
        <v>8682.04</v>
      </c>
      <c r="E17" s="105">
        <f t="shared" si="5"/>
        <v>81</v>
      </c>
      <c r="F17" s="105">
        <f t="shared" si="5"/>
        <v>72</v>
      </c>
      <c r="G17" s="106">
        <f t="shared" si="1"/>
        <v>1.125</v>
      </c>
      <c r="H17" s="107">
        <f t="shared" si="2"/>
        <v>107.185679</v>
      </c>
      <c r="I17" s="107">
        <f t="shared" si="3"/>
        <v>95.27615912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outlineLevel="1">
      <c r="A18" s="101" t="str">
        <f t="shared" si="4"/>
        <v>1-2026</v>
      </c>
      <c r="B18" s="74">
        <v>46026.0</v>
      </c>
      <c r="C18" s="75" t="s">
        <v>63</v>
      </c>
      <c r="D18" s="93">
        <v>2770.72</v>
      </c>
      <c r="E18" s="150">
        <v>26.0</v>
      </c>
      <c r="F18" s="150">
        <v>25.0</v>
      </c>
      <c r="G18" s="78">
        <f t="shared" si="1"/>
        <v>1.04</v>
      </c>
      <c r="H18" s="79">
        <f t="shared" si="2"/>
        <v>106.5661538</v>
      </c>
      <c r="I18" s="79">
        <f t="shared" si="3"/>
        <v>102.4674556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outlineLevel="1">
      <c r="A19" s="116"/>
      <c r="B19" s="126"/>
      <c r="C19" s="75" t="s">
        <v>64</v>
      </c>
      <c r="D19" s="202">
        <v>307.79</v>
      </c>
      <c r="E19" s="150">
        <v>8.0</v>
      </c>
      <c r="F19" s="150">
        <v>8.0</v>
      </c>
      <c r="G19" s="78">
        <f t="shared" si="1"/>
        <v>1</v>
      </c>
      <c r="H19" s="79">
        <f t="shared" si="2"/>
        <v>38.47375</v>
      </c>
      <c r="I19" s="79">
        <f t="shared" si="3"/>
        <v>38.47375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outlineLevel="1">
      <c r="A20" s="116" t="str">
        <f t="shared" ref="A20:A23" si="8">iferror(if(B20&gt;0,month(B20)&amp;"-"&amp;year(B20),B20),)</f>
        <v/>
      </c>
      <c r="B20" s="126"/>
      <c r="C20" s="75" t="s">
        <v>65</v>
      </c>
      <c r="D20" s="202">
        <v>1976.1</v>
      </c>
      <c r="E20" s="150">
        <v>8.0</v>
      </c>
      <c r="F20" s="150">
        <v>8.0</v>
      </c>
      <c r="G20" s="78">
        <f t="shared" si="1"/>
        <v>1</v>
      </c>
      <c r="H20" s="79">
        <f t="shared" si="2"/>
        <v>247.0125</v>
      </c>
      <c r="I20" s="79">
        <f t="shared" si="3"/>
        <v>247.0125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outlineLevel="1">
      <c r="A21" s="101" t="str">
        <f t="shared" si="8"/>
        <v>1-2026</v>
      </c>
      <c r="B21" s="74">
        <v>46032.0</v>
      </c>
      <c r="C21" s="75" t="s">
        <v>66</v>
      </c>
      <c r="D21" s="203">
        <v>5262.31</v>
      </c>
      <c r="E21" s="150">
        <v>55.0</v>
      </c>
      <c r="F21" s="150">
        <v>49.0</v>
      </c>
      <c r="G21" s="78">
        <f t="shared" si="1"/>
        <v>1.12244898</v>
      </c>
      <c r="H21" s="79">
        <f t="shared" si="2"/>
        <v>95.67836364</v>
      </c>
      <c r="I21" s="79">
        <f t="shared" si="3"/>
        <v>85.24072397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>
      <c r="A22" s="116" t="str">
        <f t="shared" si="8"/>
        <v/>
      </c>
      <c r="B22" s="204" t="s">
        <v>56</v>
      </c>
      <c r="C22" s="185"/>
      <c r="D22" s="104">
        <f t="shared" ref="D22:F22" si="9">SUM(D18:D21)</f>
        <v>10316.92</v>
      </c>
      <c r="E22" s="105">
        <f t="shared" si="9"/>
        <v>97</v>
      </c>
      <c r="F22" s="105">
        <f t="shared" si="9"/>
        <v>90</v>
      </c>
      <c r="G22" s="106">
        <f t="shared" si="1"/>
        <v>1.077777778</v>
      </c>
      <c r="H22" s="107">
        <f t="shared" si="2"/>
        <v>106.36</v>
      </c>
      <c r="I22" s="107">
        <f t="shared" si="3"/>
        <v>98.68453608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outlineLevel="1">
      <c r="A23" s="101" t="str">
        <f t="shared" si="8"/>
        <v>1-2026</v>
      </c>
      <c r="B23" s="74">
        <v>46033.0</v>
      </c>
      <c r="C23" s="75" t="s">
        <v>63</v>
      </c>
      <c r="D23" s="93">
        <v>3805.0</v>
      </c>
      <c r="E23" s="150">
        <v>47.0</v>
      </c>
      <c r="F23" s="150">
        <v>45.0</v>
      </c>
      <c r="G23" s="78">
        <f t="shared" si="1"/>
        <v>1.044444444</v>
      </c>
      <c r="H23" s="79">
        <f t="shared" si="2"/>
        <v>80.95744681</v>
      </c>
      <c r="I23" s="79">
        <f t="shared" si="3"/>
        <v>77.51244907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outlineLevel="1">
      <c r="A24" s="116"/>
      <c r="B24" s="126"/>
      <c r="C24" s="75" t="s">
        <v>64</v>
      </c>
      <c r="D24" s="202">
        <v>531.91</v>
      </c>
      <c r="E24" s="150">
        <v>8.0</v>
      </c>
      <c r="F24" s="150">
        <v>7.0</v>
      </c>
      <c r="G24" s="78">
        <f t="shared" si="1"/>
        <v>1.142857143</v>
      </c>
      <c r="H24" s="79">
        <f t="shared" si="2"/>
        <v>66.48875</v>
      </c>
      <c r="I24" s="79">
        <f t="shared" si="3"/>
        <v>58.17765625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outlineLevel="1">
      <c r="A25" s="116" t="str">
        <f t="shared" ref="A25:A29" si="12">iferror(if(B25&gt;0,month(B25)&amp;"-"&amp;year(B25),B25),)</f>
        <v/>
      </c>
      <c r="B25" s="126"/>
      <c r="C25" s="75" t="s">
        <v>65</v>
      </c>
      <c r="D25" s="202">
        <v>812.7</v>
      </c>
      <c r="E25" s="150">
        <v>4.0</v>
      </c>
      <c r="F25" s="150">
        <v>4.0</v>
      </c>
      <c r="G25" s="78">
        <f t="shared" si="1"/>
        <v>1</v>
      </c>
      <c r="H25" s="79">
        <f t="shared" si="2"/>
        <v>203.175</v>
      </c>
      <c r="I25" s="79">
        <f t="shared" si="3"/>
        <v>203.175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outlineLevel="1">
      <c r="A26" s="101" t="str">
        <f t="shared" si="12"/>
        <v>1-2026</v>
      </c>
      <c r="B26" s="74">
        <v>46039.0</v>
      </c>
      <c r="C26" s="75" t="s">
        <v>66</v>
      </c>
      <c r="D26" s="203">
        <v>6169.85</v>
      </c>
      <c r="E26" s="150">
        <v>59.0</v>
      </c>
      <c r="F26" s="150">
        <v>52.0</v>
      </c>
      <c r="G26" s="78">
        <f t="shared" si="1"/>
        <v>1.134615385</v>
      </c>
      <c r="H26" s="79">
        <f t="shared" si="2"/>
        <v>104.5737288</v>
      </c>
      <c r="I26" s="79">
        <f t="shared" si="3"/>
        <v>92.16667624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>
      <c r="A27" s="116" t="str">
        <f t="shared" si="12"/>
        <v/>
      </c>
      <c r="B27" s="204" t="s">
        <v>57</v>
      </c>
      <c r="C27" s="185"/>
      <c r="D27" s="104">
        <f t="shared" ref="D27:F27" si="13">SUM(D23:D26)</f>
        <v>11319.46</v>
      </c>
      <c r="E27" s="105">
        <f t="shared" si="13"/>
        <v>118</v>
      </c>
      <c r="F27" s="105">
        <f t="shared" si="13"/>
        <v>108</v>
      </c>
      <c r="G27" s="106">
        <f t="shared" si="1"/>
        <v>1.092592593</v>
      </c>
      <c r="H27" s="107">
        <f t="shared" si="2"/>
        <v>95.92762712</v>
      </c>
      <c r="I27" s="107">
        <f t="shared" si="3"/>
        <v>87.79816719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outlineLevel="1">
      <c r="A28" s="101" t="str">
        <f t="shared" si="12"/>
        <v>1-2026</v>
      </c>
      <c r="B28" s="74">
        <v>46040.0</v>
      </c>
      <c r="C28" s="75" t="s">
        <v>63</v>
      </c>
      <c r="D28" s="93">
        <v>3082.79</v>
      </c>
      <c r="E28" s="150">
        <v>37.0</v>
      </c>
      <c r="F28" s="150">
        <v>36.0</v>
      </c>
      <c r="G28" s="78">
        <f t="shared" si="1"/>
        <v>1.027777778</v>
      </c>
      <c r="H28" s="79">
        <f t="shared" si="2"/>
        <v>83.31864865</v>
      </c>
      <c r="I28" s="79">
        <f t="shared" si="3"/>
        <v>81.06679328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outlineLevel="1">
      <c r="A29" s="116" t="str">
        <f t="shared" si="12"/>
        <v/>
      </c>
      <c r="B29" s="126"/>
      <c r="C29" s="75" t="s">
        <v>64</v>
      </c>
      <c r="D29" s="202">
        <v>356.91</v>
      </c>
      <c r="E29" s="150">
        <v>6.0</v>
      </c>
      <c r="F29" s="150">
        <v>6.0</v>
      </c>
      <c r="G29" s="78">
        <f t="shared" si="1"/>
        <v>1</v>
      </c>
      <c r="H29" s="79">
        <f t="shared" si="2"/>
        <v>59.485</v>
      </c>
      <c r="I29" s="79">
        <f t="shared" si="3"/>
        <v>59.485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outlineLevel="1">
      <c r="A30" s="116"/>
      <c r="B30" s="126"/>
      <c r="C30" s="75" t="s">
        <v>65</v>
      </c>
      <c r="D30" s="202">
        <v>346.5</v>
      </c>
      <c r="E30" s="150">
        <v>3.0</v>
      </c>
      <c r="F30" s="150">
        <v>3.0</v>
      </c>
      <c r="G30" s="78">
        <f t="shared" si="1"/>
        <v>1</v>
      </c>
      <c r="H30" s="79">
        <f t="shared" si="2"/>
        <v>115.5</v>
      </c>
      <c r="I30" s="79">
        <f t="shared" si="3"/>
        <v>115.5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66</v>
      </c>
      <c r="D31" s="203">
        <v>5731.65</v>
      </c>
      <c r="E31" s="150">
        <v>66.0</v>
      </c>
      <c r="F31" s="150">
        <v>53.0</v>
      </c>
      <c r="G31" s="78">
        <f t="shared" si="1"/>
        <v>1.245283019</v>
      </c>
      <c r="H31" s="79">
        <f t="shared" si="2"/>
        <v>86.84318182</v>
      </c>
      <c r="I31" s="79">
        <f t="shared" si="3"/>
        <v>69.73770661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>
      <c r="A32" s="116" t="str">
        <f t="shared" si="16"/>
        <v/>
      </c>
      <c r="B32" s="204" t="s">
        <v>58</v>
      </c>
      <c r="C32" s="185"/>
      <c r="D32" s="104">
        <f t="shared" ref="D32:F32" si="17">SUM(D28:D31)</f>
        <v>9517.85</v>
      </c>
      <c r="E32" s="105">
        <f t="shared" si="17"/>
        <v>112</v>
      </c>
      <c r="F32" s="105">
        <f t="shared" si="17"/>
        <v>98</v>
      </c>
      <c r="G32" s="106">
        <f t="shared" si="1"/>
        <v>1.142857143</v>
      </c>
      <c r="H32" s="107">
        <f t="shared" si="2"/>
        <v>84.98080357</v>
      </c>
      <c r="I32" s="107">
        <f t="shared" si="3"/>
        <v>74.35820313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outlineLevel="1">
      <c r="A33" s="101" t="str">
        <f t="shared" si="16"/>
        <v>1-2026</v>
      </c>
      <c r="B33" s="74">
        <v>46047.0</v>
      </c>
      <c r="C33" s="75" t="s">
        <v>63</v>
      </c>
      <c r="D33" s="93">
        <v>3268.72</v>
      </c>
      <c r="E33" s="150">
        <v>20.0</v>
      </c>
      <c r="F33" s="150">
        <v>20.0</v>
      </c>
      <c r="G33" s="78">
        <f t="shared" si="1"/>
        <v>1</v>
      </c>
      <c r="H33" s="79">
        <f t="shared" si="2"/>
        <v>163.436</v>
      </c>
      <c r="I33" s="79">
        <f t="shared" si="3"/>
        <v>163.436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outlineLevel="1">
      <c r="A34" s="116"/>
      <c r="B34" s="126"/>
      <c r="C34" s="75" t="s">
        <v>64</v>
      </c>
      <c r="D34" s="202">
        <v>206.47</v>
      </c>
      <c r="E34" s="150">
        <v>3.0</v>
      </c>
      <c r="F34" s="150">
        <v>3.0</v>
      </c>
      <c r="G34" s="78">
        <f t="shared" si="1"/>
        <v>1</v>
      </c>
      <c r="H34" s="79">
        <f t="shared" si="2"/>
        <v>68.82333333</v>
      </c>
      <c r="I34" s="79">
        <f t="shared" si="3"/>
        <v>68.82333333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outlineLevel="1">
      <c r="A35" s="116" t="str">
        <f t="shared" ref="A35:A38" si="20">iferror(if(B35&gt;0,month(B35)&amp;"-"&amp;year(B35),B35),)</f>
        <v/>
      </c>
      <c r="B35" s="126"/>
      <c r="C35" s="75" t="s">
        <v>65</v>
      </c>
      <c r="D35" s="202">
        <v>115.5</v>
      </c>
      <c r="E35" s="150">
        <v>1.0</v>
      </c>
      <c r="F35" s="150">
        <v>1.0</v>
      </c>
      <c r="G35" s="78">
        <f t="shared" si="1"/>
        <v>1</v>
      </c>
      <c r="H35" s="79">
        <f t="shared" si="2"/>
        <v>115.5</v>
      </c>
      <c r="I35" s="79">
        <f t="shared" si="3"/>
        <v>115.5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outlineLevel="1">
      <c r="A36" s="101" t="str">
        <f t="shared" si="20"/>
        <v>1-2026</v>
      </c>
      <c r="B36" s="74">
        <v>46053.0</v>
      </c>
      <c r="C36" s="75" t="s">
        <v>66</v>
      </c>
      <c r="D36" s="203">
        <v>4103.57</v>
      </c>
      <c r="E36" s="150">
        <v>48.0</v>
      </c>
      <c r="F36" s="150">
        <v>42.0</v>
      </c>
      <c r="G36" s="78">
        <f t="shared" si="1"/>
        <v>1.142857143</v>
      </c>
      <c r="H36" s="79">
        <f t="shared" si="2"/>
        <v>85.49104167</v>
      </c>
      <c r="I36" s="79">
        <f t="shared" si="3"/>
        <v>74.80466146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>
      <c r="A37" s="116" t="str">
        <f t="shared" si="20"/>
        <v/>
      </c>
      <c r="B37" s="204" t="s">
        <v>59</v>
      </c>
      <c r="C37" s="185"/>
      <c r="D37" s="104">
        <f t="shared" ref="D37:F37" si="21">SUM(D33:D36)</f>
        <v>7694.26</v>
      </c>
      <c r="E37" s="105">
        <f t="shared" si="21"/>
        <v>72</v>
      </c>
      <c r="F37" s="105">
        <f t="shared" si="21"/>
        <v>66</v>
      </c>
      <c r="G37" s="106">
        <f t="shared" si="1"/>
        <v>1.090909091</v>
      </c>
      <c r="H37" s="107">
        <f t="shared" si="2"/>
        <v>106.8647222</v>
      </c>
      <c r="I37" s="107">
        <f t="shared" si="3"/>
        <v>97.9593287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outlineLevel="1">
      <c r="A38" s="101" t="str">
        <f t="shared" si="20"/>
        <v>2-2026</v>
      </c>
      <c r="B38" s="74">
        <v>46054.0</v>
      </c>
      <c r="C38" s="117" t="s">
        <v>63</v>
      </c>
      <c r="D38" s="128">
        <v>2739.51</v>
      </c>
      <c r="E38" s="146">
        <v>21.0</v>
      </c>
      <c r="F38" s="146">
        <v>19.0</v>
      </c>
      <c r="G38" s="78">
        <f t="shared" si="1"/>
        <v>1.105263158</v>
      </c>
      <c r="H38" s="79">
        <f t="shared" si="2"/>
        <v>130.4528571</v>
      </c>
      <c r="I38" s="79">
        <f t="shared" si="3"/>
        <v>118.0287755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outlineLevel="1">
      <c r="A39" s="116"/>
      <c r="B39" s="126"/>
      <c r="C39" s="117" t="s">
        <v>64</v>
      </c>
      <c r="D39" s="213">
        <v>437.5</v>
      </c>
      <c r="E39" s="146">
        <v>5.0</v>
      </c>
      <c r="F39" s="146">
        <v>5.0</v>
      </c>
      <c r="G39" s="78">
        <f t="shared" si="1"/>
        <v>1</v>
      </c>
      <c r="H39" s="79">
        <f t="shared" si="2"/>
        <v>87.5</v>
      </c>
      <c r="I39" s="79">
        <f t="shared" si="3"/>
        <v>87.5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outlineLevel="1">
      <c r="A40" s="116" t="str">
        <f t="shared" ref="A40:A43" si="24">iferror(if(B40&gt;0,month(B40)&amp;"-"&amp;year(B40),B40),)</f>
        <v/>
      </c>
      <c r="B40" s="126"/>
      <c r="C40" s="117" t="s">
        <v>65</v>
      </c>
      <c r="D40" s="213">
        <v>812.7</v>
      </c>
      <c r="E40" s="146">
        <v>4.0</v>
      </c>
      <c r="F40" s="146">
        <v>4.0</v>
      </c>
      <c r="G40" s="78">
        <f t="shared" si="1"/>
        <v>1</v>
      </c>
      <c r="H40" s="79">
        <f t="shared" si="2"/>
        <v>203.175</v>
      </c>
      <c r="I40" s="79">
        <f t="shared" si="3"/>
        <v>203.175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outlineLevel="1">
      <c r="A41" s="101" t="str">
        <f t="shared" si="24"/>
        <v>2-2026</v>
      </c>
      <c r="B41" s="74">
        <v>46060.0</v>
      </c>
      <c r="C41" s="117" t="s">
        <v>66</v>
      </c>
      <c r="D41" s="214">
        <v>4086.6</v>
      </c>
      <c r="E41" s="146">
        <v>68.0</v>
      </c>
      <c r="F41" s="146">
        <v>43.0</v>
      </c>
      <c r="G41" s="78">
        <f t="shared" si="1"/>
        <v>1.581395349</v>
      </c>
      <c r="H41" s="79">
        <f t="shared" si="2"/>
        <v>60.09705882</v>
      </c>
      <c r="I41" s="79">
        <f t="shared" si="3"/>
        <v>38.0025519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>
      <c r="A42" s="116" t="str">
        <f t="shared" si="24"/>
        <v/>
      </c>
      <c r="B42" s="215" t="s">
        <v>67</v>
      </c>
      <c r="C42" s="138"/>
      <c r="D42" s="104">
        <f t="shared" ref="D42:F42" si="25">SUM(D38:D41)</f>
        <v>8076.31</v>
      </c>
      <c r="E42" s="139">
        <f t="shared" si="25"/>
        <v>98</v>
      </c>
      <c r="F42" s="139">
        <f t="shared" si="25"/>
        <v>71</v>
      </c>
      <c r="G42" s="106">
        <f t="shared" si="1"/>
        <v>1.38028169</v>
      </c>
      <c r="H42" s="107">
        <f t="shared" si="2"/>
        <v>82.41132653</v>
      </c>
      <c r="I42" s="107">
        <f t="shared" si="3"/>
        <v>59.70616514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>
      <c r="A43" s="101" t="str">
        <f t="shared" si="24"/>
        <v>2-2026</v>
      </c>
      <c r="B43" s="74">
        <v>46061.0</v>
      </c>
      <c r="C43" s="75" t="s">
        <v>63</v>
      </c>
      <c r="D43" s="93">
        <v>2619.58</v>
      </c>
      <c r="E43" s="150">
        <v>17.0</v>
      </c>
      <c r="F43" s="150">
        <v>17.0</v>
      </c>
      <c r="G43" s="78">
        <f t="shared" si="1"/>
        <v>1</v>
      </c>
      <c r="H43" s="79">
        <f t="shared" si="2"/>
        <v>154.0929412</v>
      </c>
      <c r="I43" s="79">
        <f t="shared" si="3"/>
        <v>154.0929412</v>
      </c>
      <c r="J43" s="195"/>
      <c r="K43" s="195"/>
      <c r="L43" s="195"/>
      <c r="M43" s="196"/>
      <c r="N43" s="197"/>
      <c r="O43" s="195"/>
      <c r="P43" s="198"/>
      <c r="Q43" s="199"/>
      <c r="R43" s="198"/>
      <c r="S43" s="198"/>
      <c r="T43" s="200"/>
      <c r="U43" s="201"/>
      <c r="V43" s="124"/>
      <c r="W43" s="124"/>
      <c r="X43" s="124"/>
      <c r="Y43" s="124"/>
      <c r="Z43" s="125"/>
    </row>
    <row r="44">
      <c r="A44" s="116"/>
      <c r="B44" s="126"/>
      <c r="C44" s="75" t="s">
        <v>64</v>
      </c>
      <c r="D44" s="202">
        <v>482.79</v>
      </c>
      <c r="E44" s="150">
        <v>10.0</v>
      </c>
      <c r="F44" s="150">
        <v>5.0</v>
      </c>
      <c r="G44" s="78">
        <f t="shared" si="1"/>
        <v>2</v>
      </c>
      <c r="H44" s="79">
        <f t="shared" si="2"/>
        <v>48.279</v>
      </c>
      <c r="I44" s="79">
        <f t="shared" si="3"/>
        <v>24.1395</v>
      </c>
      <c r="J44" s="195"/>
      <c r="K44" s="195"/>
      <c r="L44" s="195"/>
      <c r="M44" s="196"/>
      <c r="N44" s="197"/>
      <c r="O44" s="195"/>
      <c r="P44" s="198"/>
      <c r="Q44" s="199"/>
      <c r="R44" s="198"/>
      <c r="S44" s="198"/>
      <c r="T44" s="200"/>
      <c r="U44" s="201"/>
      <c r="V44" s="124"/>
      <c r="W44" s="124"/>
      <c r="X44" s="124"/>
      <c r="Y44" s="124"/>
      <c r="Z44" s="125"/>
    </row>
    <row r="45">
      <c r="A45" s="116" t="str">
        <f t="shared" ref="A45:A48" si="28">iferror(if(B45&gt;0,month(B45)&amp;"-"&amp;year(B45),B45),)</f>
        <v/>
      </c>
      <c r="B45" s="126"/>
      <c r="C45" s="75" t="s">
        <v>65</v>
      </c>
      <c r="D45" s="202">
        <v>0.0</v>
      </c>
      <c r="E45" s="150">
        <v>0.0</v>
      </c>
      <c r="F45" s="150">
        <v>0.0</v>
      </c>
      <c r="G45" s="78" t="str">
        <f t="shared" si="1"/>
        <v>#DIV/0!</v>
      </c>
      <c r="H45" s="79" t="str">
        <f t="shared" si="2"/>
        <v>#DIV/0!</v>
      </c>
      <c r="I45" s="79" t="str">
        <f t="shared" si="3"/>
        <v>#DIV/0!</v>
      </c>
      <c r="J45" s="195"/>
      <c r="K45" s="195"/>
      <c r="L45" s="195"/>
      <c r="M45" s="196"/>
      <c r="N45" s="197"/>
      <c r="O45" s="195"/>
      <c r="P45" s="198"/>
      <c r="Q45" s="199"/>
      <c r="R45" s="198"/>
      <c r="S45" s="198"/>
      <c r="T45" s="200"/>
      <c r="U45" s="201"/>
      <c r="V45" s="124"/>
      <c r="W45" s="124"/>
      <c r="X45" s="124"/>
      <c r="Y45" s="124"/>
      <c r="Z45" s="125"/>
    </row>
    <row r="46">
      <c r="A46" s="101" t="str">
        <f t="shared" si="28"/>
        <v>2-2026</v>
      </c>
      <c r="B46" s="143">
        <v>46067.0</v>
      </c>
      <c r="C46" s="75" t="s">
        <v>66</v>
      </c>
      <c r="D46" s="203">
        <v>3640.61</v>
      </c>
      <c r="E46" s="150">
        <v>37.0</v>
      </c>
      <c r="F46" s="150">
        <v>34.0</v>
      </c>
      <c r="G46" s="78">
        <f t="shared" si="1"/>
        <v>1.088235294</v>
      </c>
      <c r="H46" s="79">
        <f t="shared" si="2"/>
        <v>98.39486486</v>
      </c>
      <c r="I46" s="79">
        <f t="shared" si="3"/>
        <v>90.41690285</v>
      </c>
      <c r="J46" s="195"/>
      <c r="K46" s="195"/>
      <c r="L46" s="195"/>
      <c r="M46" s="196"/>
      <c r="N46" s="197"/>
      <c r="O46" s="195"/>
      <c r="P46" s="198"/>
      <c r="Q46" s="199"/>
      <c r="R46" s="198"/>
      <c r="S46" s="198"/>
      <c r="T46" s="200"/>
      <c r="U46" s="201"/>
      <c r="V46" s="124"/>
      <c r="W46" s="124"/>
      <c r="X46" s="124"/>
      <c r="Y46" s="124"/>
      <c r="Z46" s="125"/>
    </row>
    <row r="47">
      <c r="A47" s="116" t="str">
        <f t="shared" si="28"/>
        <v/>
      </c>
      <c r="B47" s="103" t="s">
        <v>51</v>
      </c>
      <c r="C47" s="185"/>
      <c r="D47" s="104">
        <f t="shared" ref="D47:F47" si="29">SUM(D43:D46)</f>
        <v>6742.98</v>
      </c>
      <c r="E47" s="105">
        <f t="shared" si="29"/>
        <v>64</v>
      </c>
      <c r="F47" s="105">
        <f t="shared" si="29"/>
        <v>56</v>
      </c>
      <c r="G47" s="106">
        <f t="shared" si="1"/>
        <v>1.142857143</v>
      </c>
      <c r="H47" s="107">
        <f t="shared" si="2"/>
        <v>105.3590625</v>
      </c>
      <c r="I47" s="107">
        <f t="shared" si="3"/>
        <v>92.18917969</v>
      </c>
      <c r="J47" s="205"/>
      <c r="K47" s="205"/>
      <c r="L47" s="205"/>
      <c r="M47" s="206"/>
      <c r="N47" s="207"/>
      <c r="O47" s="205"/>
      <c r="P47" s="208"/>
      <c r="Q47" s="209"/>
      <c r="R47" s="208"/>
      <c r="S47" s="208"/>
      <c r="T47" s="210"/>
      <c r="U47" s="211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63</v>
      </c>
      <c r="D48" s="93">
        <v>4089.37</v>
      </c>
      <c r="E48" s="150">
        <v>17.0</v>
      </c>
      <c r="F48" s="150">
        <v>17.0</v>
      </c>
      <c r="G48" s="78">
        <f t="shared" si="1"/>
        <v>1</v>
      </c>
      <c r="H48" s="79">
        <f t="shared" si="2"/>
        <v>240.5511765</v>
      </c>
      <c r="I48" s="79">
        <f t="shared" si="3"/>
        <v>240.5511765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64</v>
      </c>
      <c r="D49" s="202">
        <v>118.97</v>
      </c>
      <c r="E49" s="150">
        <v>2.0</v>
      </c>
      <c r="F49" s="150">
        <v>2.0</v>
      </c>
      <c r="G49" s="78">
        <f t="shared" si="1"/>
        <v>1</v>
      </c>
      <c r="H49" s="79">
        <f t="shared" si="2"/>
        <v>59.485</v>
      </c>
      <c r="I49" s="79">
        <f t="shared" si="3"/>
        <v>59.485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2" si="32">iferror(if(B50&gt;0,month(B50)&amp;"-"&amp;year(B50),B50),)</f>
        <v/>
      </c>
      <c r="B50" s="126"/>
      <c r="C50" s="75" t="s">
        <v>65</v>
      </c>
      <c r="D50" s="202">
        <v>466.2</v>
      </c>
      <c r="E50" s="150">
        <v>1.0</v>
      </c>
      <c r="F50" s="150">
        <v>1.0</v>
      </c>
      <c r="G50" s="78">
        <f t="shared" si="1"/>
        <v>1</v>
      </c>
      <c r="H50" s="79">
        <f t="shared" si="2"/>
        <v>466.2</v>
      </c>
      <c r="I50" s="79">
        <f t="shared" si="3"/>
        <v>466.2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66</v>
      </c>
      <c r="D51" s="203">
        <v>3928.78</v>
      </c>
      <c r="E51" s="150">
        <v>54.0</v>
      </c>
      <c r="F51" s="150">
        <v>27.0</v>
      </c>
      <c r="G51" s="78">
        <f t="shared" si="1"/>
        <v>2</v>
      </c>
      <c r="H51" s="79">
        <f t="shared" si="2"/>
        <v>72.75518519</v>
      </c>
      <c r="I51" s="79">
        <f t="shared" si="3"/>
        <v>36.37759259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216" t="s">
        <v>52</v>
      </c>
      <c r="C52" s="185"/>
      <c r="D52" s="104">
        <f t="shared" ref="D52:F52" si="33">SUM(D48:D51)</f>
        <v>8603.32</v>
      </c>
      <c r="E52" s="105">
        <f t="shared" si="33"/>
        <v>74</v>
      </c>
      <c r="F52" s="105">
        <f t="shared" si="33"/>
        <v>47</v>
      </c>
      <c r="G52" s="106">
        <f t="shared" si="1"/>
        <v>1.574468085</v>
      </c>
      <c r="H52" s="107">
        <f t="shared" si="2"/>
        <v>116.2610811</v>
      </c>
      <c r="I52" s="107">
        <f t="shared" si="3"/>
        <v>73.84149744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217">
        <f t="shared" ref="V52:W52" si="34">IFERROR((D52-D47)/D52,)</f>
        <v>0.2162351278</v>
      </c>
      <c r="W52" s="217">
        <f t="shared" si="34"/>
        <v>0.1351351351</v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16"/>
      <c r="B53" s="116"/>
      <c r="C53" s="116"/>
      <c r="D53" s="218"/>
      <c r="E53" s="116"/>
      <c r="F53" s="116"/>
      <c r="G53" s="219"/>
      <c r="H53" s="220"/>
      <c r="I53" s="220"/>
      <c r="J53" s="190"/>
      <c r="K53" s="190"/>
      <c r="L53" s="190"/>
      <c r="M53" s="191"/>
      <c r="N53" s="191"/>
      <c r="O53" s="190"/>
      <c r="P53" s="192"/>
      <c r="Q53" s="221"/>
      <c r="R53" s="192"/>
      <c r="S53" s="222"/>
      <c r="T53" s="179"/>
      <c r="U53" s="192"/>
      <c r="V53" s="223"/>
      <c r="W53" s="223"/>
      <c r="X53" s="223"/>
      <c r="Y53" s="223"/>
      <c r="Z53" s="116"/>
    </row>
    <row r="54">
      <c r="A54" s="116"/>
      <c r="B54" s="116"/>
      <c r="C54" s="116"/>
      <c r="D54" s="218"/>
      <c r="E54" s="116"/>
      <c r="F54" s="116"/>
      <c r="G54" s="219"/>
      <c r="H54" s="220"/>
      <c r="I54" s="220"/>
      <c r="J54" s="190"/>
      <c r="K54" s="190"/>
      <c r="L54" s="190"/>
      <c r="M54" s="191"/>
      <c r="N54" s="191"/>
      <c r="O54" s="190"/>
      <c r="P54" s="192"/>
      <c r="Q54" s="221"/>
      <c r="R54" s="192"/>
      <c r="S54" s="222"/>
      <c r="T54" s="179"/>
      <c r="U54" s="192"/>
      <c r="V54" s="223"/>
      <c r="W54" s="223"/>
      <c r="X54" s="223"/>
      <c r="Y54" s="223"/>
      <c r="Z54" s="116"/>
    </row>
    <row r="55">
      <c r="A55" s="116"/>
      <c r="B55" s="116"/>
      <c r="C55" s="116"/>
      <c r="D55" s="218"/>
      <c r="E55" s="116"/>
      <c r="F55" s="116"/>
      <c r="G55" s="219"/>
      <c r="H55" s="220"/>
      <c r="I55" s="220"/>
      <c r="J55" s="190"/>
      <c r="K55" s="190"/>
      <c r="L55" s="190"/>
      <c r="M55" s="191"/>
      <c r="N55" s="191"/>
      <c r="O55" s="190"/>
      <c r="P55" s="192"/>
      <c r="Q55" s="221"/>
      <c r="R55" s="192"/>
      <c r="S55" s="222"/>
      <c r="T55" s="179"/>
      <c r="U55" s="192"/>
      <c r="V55" s="223"/>
      <c r="W55" s="223"/>
      <c r="X55" s="223"/>
      <c r="Y55" s="223"/>
      <c r="Z55" s="116"/>
    </row>
    <row r="56">
      <c r="A56" s="116"/>
      <c r="B56" s="116"/>
      <c r="C56" s="116"/>
      <c r="D56" s="218"/>
      <c r="E56" s="116"/>
      <c r="F56" s="116"/>
      <c r="G56" s="219"/>
      <c r="H56" s="220"/>
      <c r="I56" s="220"/>
      <c r="J56" s="190"/>
      <c r="K56" s="190"/>
      <c r="L56" s="190"/>
      <c r="M56" s="191"/>
      <c r="N56" s="191"/>
      <c r="O56" s="190"/>
      <c r="P56" s="192"/>
      <c r="Q56" s="221"/>
      <c r="R56" s="192"/>
      <c r="S56" s="222"/>
      <c r="T56" s="179"/>
      <c r="U56" s="192"/>
      <c r="V56" s="223"/>
      <c r="W56" s="223"/>
      <c r="X56" s="223"/>
      <c r="Y56" s="223"/>
      <c r="Z56" s="116"/>
    </row>
    <row r="57">
      <c r="A57" s="116"/>
      <c r="B57" s="116"/>
      <c r="C57" s="116"/>
      <c r="D57" s="218"/>
      <c r="E57" s="116"/>
      <c r="F57" s="116"/>
      <c r="G57" s="219"/>
      <c r="H57" s="220"/>
      <c r="I57" s="220"/>
      <c r="J57" s="190"/>
      <c r="K57" s="190"/>
      <c r="L57" s="190"/>
      <c r="M57" s="191"/>
      <c r="N57" s="191"/>
      <c r="O57" s="190"/>
      <c r="P57" s="192"/>
      <c r="Q57" s="221"/>
      <c r="R57" s="192"/>
      <c r="S57" s="222"/>
      <c r="T57" s="179"/>
      <c r="U57" s="192"/>
      <c r="V57" s="223"/>
      <c r="W57" s="223"/>
      <c r="X57" s="223"/>
      <c r="Y57" s="223"/>
      <c r="Z57" s="116"/>
    </row>
    <row r="58">
      <c r="A58" s="116"/>
      <c r="B58" s="116"/>
      <c r="C58" s="116"/>
      <c r="D58" s="218"/>
      <c r="E58" s="116"/>
      <c r="F58" s="116"/>
      <c r="G58" s="219"/>
      <c r="H58" s="220"/>
      <c r="I58" s="220"/>
      <c r="J58" s="190"/>
      <c r="K58" s="190"/>
      <c r="L58" s="190"/>
      <c r="M58" s="191"/>
      <c r="N58" s="191"/>
      <c r="O58" s="190"/>
      <c r="P58" s="192"/>
      <c r="Q58" s="221"/>
      <c r="R58" s="192"/>
      <c r="S58" s="222"/>
      <c r="T58" s="179"/>
      <c r="U58" s="192"/>
      <c r="V58" s="223"/>
      <c r="W58" s="223"/>
      <c r="X58" s="223"/>
      <c r="Y58" s="223"/>
      <c r="Z58" s="116"/>
    </row>
    <row r="59">
      <c r="A59" s="116"/>
      <c r="B59" s="116"/>
      <c r="C59" s="116"/>
      <c r="D59" s="218"/>
      <c r="E59" s="116"/>
      <c r="F59" s="116"/>
      <c r="G59" s="219"/>
      <c r="H59" s="220"/>
      <c r="I59" s="220"/>
      <c r="J59" s="190"/>
      <c r="K59" s="190"/>
      <c r="L59" s="190"/>
      <c r="M59" s="191"/>
      <c r="N59" s="191"/>
      <c r="O59" s="190"/>
      <c r="P59" s="192"/>
      <c r="Q59" s="221"/>
      <c r="R59" s="192"/>
      <c r="S59" s="222"/>
      <c r="T59" s="179"/>
      <c r="U59" s="192"/>
      <c r="V59" s="223"/>
      <c r="W59" s="223"/>
      <c r="X59" s="223"/>
      <c r="Y59" s="223"/>
      <c r="Z59" s="116"/>
    </row>
    <row r="60">
      <c r="A60" s="116"/>
      <c r="B60" s="116"/>
      <c r="C60" s="116"/>
      <c r="D60" s="218"/>
      <c r="E60" s="116"/>
      <c r="F60" s="116"/>
      <c r="G60" s="219"/>
      <c r="H60" s="220"/>
      <c r="I60" s="220"/>
      <c r="J60" s="190"/>
      <c r="K60" s="190"/>
      <c r="L60" s="190"/>
      <c r="M60" s="191"/>
      <c r="N60" s="191"/>
      <c r="O60" s="190"/>
      <c r="P60" s="192"/>
      <c r="Q60" s="221"/>
      <c r="R60" s="192"/>
      <c r="S60" s="222"/>
      <c r="T60" s="179"/>
      <c r="U60" s="192"/>
      <c r="V60" s="223"/>
      <c r="W60" s="223"/>
      <c r="X60" s="223"/>
      <c r="Y60" s="223"/>
      <c r="Z60" s="116"/>
    </row>
    <row r="61">
      <c r="A61" s="116"/>
      <c r="B61" s="116"/>
      <c r="C61" s="116"/>
      <c r="D61" s="218"/>
      <c r="E61" s="116"/>
      <c r="F61" s="116"/>
      <c r="G61" s="219"/>
      <c r="H61" s="220"/>
      <c r="I61" s="220"/>
      <c r="J61" s="190"/>
      <c r="K61" s="190"/>
      <c r="L61" s="190"/>
      <c r="M61" s="191"/>
      <c r="N61" s="191"/>
      <c r="O61" s="190"/>
      <c r="P61" s="192"/>
      <c r="Q61" s="221"/>
      <c r="R61" s="192"/>
      <c r="S61" s="222"/>
      <c r="T61" s="179"/>
      <c r="U61" s="192"/>
      <c r="V61" s="223"/>
      <c r="W61" s="223"/>
      <c r="X61" s="223"/>
      <c r="Y61" s="223"/>
      <c r="Z61" s="116"/>
    </row>
    <row r="62">
      <c r="A62" s="116"/>
      <c r="B62" s="116"/>
      <c r="C62" s="116"/>
      <c r="D62" s="218"/>
      <c r="E62" s="116"/>
      <c r="F62" s="116"/>
      <c r="G62" s="219"/>
      <c r="H62" s="220"/>
      <c r="I62" s="220"/>
      <c r="J62" s="190"/>
      <c r="K62" s="190"/>
      <c r="L62" s="190"/>
      <c r="M62" s="191"/>
      <c r="N62" s="191"/>
      <c r="O62" s="190"/>
      <c r="P62" s="192"/>
      <c r="Q62" s="221"/>
      <c r="R62" s="192"/>
      <c r="S62" s="222"/>
      <c r="T62" s="179"/>
      <c r="U62" s="192"/>
      <c r="V62" s="223"/>
      <c r="W62" s="223"/>
      <c r="X62" s="223"/>
      <c r="Y62" s="223"/>
      <c r="Z62" s="116"/>
    </row>
    <row r="63">
      <c r="A63" s="116"/>
      <c r="B63" s="116"/>
      <c r="C63" s="116"/>
      <c r="D63" s="218"/>
      <c r="E63" s="116"/>
      <c r="F63" s="116"/>
      <c r="G63" s="219"/>
      <c r="H63" s="220"/>
      <c r="I63" s="220"/>
      <c r="J63" s="190"/>
      <c r="K63" s="190"/>
      <c r="L63" s="190"/>
      <c r="M63" s="191"/>
      <c r="N63" s="191"/>
      <c r="O63" s="190"/>
      <c r="P63" s="192"/>
      <c r="Q63" s="221"/>
      <c r="R63" s="192"/>
      <c r="S63" s="222"/>
      <c r="T63" s="179"/>
      <c r="U63" s="192"/>
      <c r="V63" s="223"/>
      <c r="W63" s="223"/>
      <c r="X63" s="223"/>
      <c r="Y63" s="223"/>
      <c r="Z63" s="116"/>
    </row>
    <row r="64">
      <c r="A64" s="116"/>
      <c r="B64" s="116"/>
      <c r="C64" s="116"/>
      <c r="D64" s="218"/>
      <c r="E64" s="116"/>
      <c r="F64" s="116"/>
      <c r="G64" s="219"/>
      <c r="H64" s="220"/>
      <c r="I64" s="220"/>
      <c r="J64" s="190"/>
      <c r="K64" s="190"/>
      <c r="L64" s="190"/>
      <c r="M64" s="191"/>
      <c r="N64" s="191"/>
      <c r="O64" s="190"/>
      <c r="P64" s="192"/>
      <c r="Q64" s="221"/>
      <c r="R64" s="192"/>
      <c r="S64" s="222"/>
      <c r="T64" s="179"/>
      <c r="U64" s="192"/>
      <c r="V64" s="223"/>
      <c r="W64" s="223"/>
      <c r="X64" s="223"/>
      <c r="Y64" s="223"/>
      <c r="Z64" s="116"/>
    </row>
    <row r="65">
      <c r="A65" s="116"/>
      <c r="B65" s="116"/>
      <c r="C65" s="116"/>
      <c r="D65" s="218"/>
      <c r="E65" s="116"/>
      <c r="F65" s="116"/>
      <c r="G65" s="219"/>
      <c r="H65" s="220"/>
      <c r="I65" s="220"/>
      <c r="J65" s="224"/>
      <c r="K65" s="224"/>
      <c r="L65" s="224"/>
      <c r="M65" s="225"/>
      <c r="N65" s="225"/>
      <c r="O65" s="224"/>
      <c r="P65" s="226"/>
      <c r="Q65" s="227"/>
      <c r="R65" s="226"/>
      <c r="S65" s="228"/>
      <c r="T65" s="229"/>
      <c r="U65" s="226"/>
      <c r="V65" s="223"/>
      <c r="W65" s="223"/>
      <c r="X65" s="223"/>
      <c r="Y65" s="223"/>
      <c r="Z65" s="116"/>
    </row>
    <row r="66">
      <c r="A66" s="116"/>
      <c r="B66" s="116"/>
      <c r="C66" s="116"/>
      <c r="D66" s="218"/>
      <c r="E66" s="116"/>
      <c r="F66" s="116"/>
      <c r="G66" s="219"/>
      <c r="H66" s="220"/>
      <c r="I66" s="116"/>
      <c r="J66" s="224"/>
      <c r="K66" s="224"/>
      <c r="L66" s="224"/>
      <c r="M66" s="225"/>
      <c r="N66" s="225"/>
      <c r="O66" s="224"/>
      <c r="P66" s="226"/>
      <c r="Q66" s="227"/>
      <c r="R66" s="226"/>
      <c r="S66" s="228"/>
      <c r="T66" s="229"/>
      <c r="U66" s="226"/>
      <c r="V66" s="223"/>
      <c r="W66" s="223"/>
      <c r="X66" s="223"/>
      <c r="Y66" s="223"/>
      <c r="Z66" s="116"/>
    </row>
    <row r="67"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</row>
    <row r="68"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</row>
    <row r="69"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</row>
    <row r="70"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</row>
    <row r="71"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</row>
    <row r="72"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</row>
    <row r="73"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</row>
    <row r="74"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</row>
    <row r="76"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  <row r="77"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</row>
    <row r="78"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</row>
    <row r="79"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</row>
    <row r="80"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</row>
    <row r="81"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</row>
    <row r="82"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</row>
    <row r="83"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</row>
    <row r="84"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</row>
    <row r="85"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</row>
    <row r="86"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">
      <formula1>"Previous Week,Current Week"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68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Week",$B$11:$Z$52,match("SALES",$B$11:$Z$11,0),FALSE)</f>
        <v>0.6003250234</v>
      </c>
      <c r="D4" s="116"/>
      <c r="E4" s="116"/>
      <c r="F4" s="161">
        <f>VLOOKUP("Current Week",$B$11:$Z$52,match("Units Sold",$B$11:$Z$11,0),FALSE)</f>
        <v>32</v>
      </c>
      <c r="G4" s="10"/>
      <c r="H4" s="8"/>
      <c r="I4" s="125"/>
      <c r="J4" s="161">
        <f>VLOOKUP("Current Week",$B$11:$Z$52,match("Ordered Items",$B$11:$Z$11,0),FALSE)</f>
        <v>25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Week",$B$11:$Z$56,match("SALES",$B$11:$Z$11,0),FALSE)))/C4</f>
        <v>1</v>
      </c>
      <c r="D5" s="116"/>
      <c r="E5" s="116"/>
      <c r="F5" s="165">
        <f>(F4-(VLOOKUP("Previous Week",$B$11:$Z$66,match("Units Sold",$B$11:$Z$11,0),FALSE)))/F4</f>
        <v>0.15625</v>
      </c>
      <c r="G5" s="10"/>
      <c r="H5" s="10"/>
      <c r="I5" s="8"/>
      <c r="J5" s="165">
        <f>(J4-(VLOOKUP("Previous Week",$B$11:$Z$66,match("Ordered Items",$B$11:$Z$11,0),FALSE)))/J4</f>
        <v>0.04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Week",$B$11:$Z$52,match("AD SALES",$B$11:$Z$11,0),FALSE)</f>
        <v>#N/A</v>
      </c>
      <c r="D8" s="116"/>
      <c r="E8" s="116"/>
      <c r="F8" s="167" t="str">
        <f>VLOOKUP("Current Week",$B$11:$Z$52,match("SP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Week",$B$11:$Z$66,match("AD SALES",$B$11:$Z$11,0),FALSE)))/C8</f>
        <v>#N/A</v>
      </c>
      <c r="D9" s="116"/>
      <c r="E9" s="116"/>
      <c r="F9" s="170" t="str">
        <f>(F8-(VLOOKUP("Previous Week",$B$11:$Z$66,match("SP AD SPEND",$B$11:$Z$11,0),FALSE)))/F8</f>
        <v>#N/A</v>
      </c>
      <c r="I9" s="35"/>
      <c r="J9" s="170" t="str">
        <f>(J8-(VLOOKUP("Previous Week",$B$11:$Z$66,match("ACOS",$B$11:$Z$11,0),FALSE)))/J8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61</v>
      </c>
      <c r="D11" s="52" t="s">
        <v>62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outlineLevel="1">
      <c r="A13" s="101" t="str">
        <f>iferror(if(B13&gt;0,month(B13)&amp;"-"&amp;year(B13),B13),)</f>
        <v>12-2025</v>
      </c>
      <c r="B13" s="74">
        <v>46019.0</v>
      </c>
      <c r="C13" s="75" t="s">
        <v>63</v>
      </c>
      <c r="D13" s="93">
        <v>2763.33</v>
      </c>
      <c r="E13" s="150">
        <v>12.0</v>
      </c>
      <c r="F13" s="150">
        <v>12.0</v>
      </c>
      <c r="G13" s="78">
        <f t="shared" ref="G13:G52" si="1">E13/F13</f>
        <v>1</v>
      </c>
      <c r="H13" s="79">
        <f t="shared" ref="H13:H52" si="2">D13/E13</f>
        <v>230.2775</v>
      </c>
      <c r="I13" s="79">
        <f t="shared" ref="I13:I52" si="3">H13/G13</f>
        <v>230.2775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outlineLevel="1">
      <c r="A14" s="116"/>
      <c r="B14" s="126"/>
      <c r="C14" s="75" t="s">
        <v>64</v>
      </c>
      <c r="D14" s="202">
        <v>0.0</v>
      </c>
      <c r="E14" s="150">
        <v>0.0</v>
      </c>
      <c r="F14" s="150">
        <v>0.0</v>
      </c>
      <c r="G14" s="78" t="str">
        <f t="shared" si="1"/>
        <v>#DIV/0!</v>
      </c>
      <c r="H14" s="79" t="str">
        <f t="shared" si="2"/>
        <v>#DIV/0!</v>
      </c>
      <c r="I14" s="79" t="str">
        <f t="shared" si="3"/>
        <v>#DIV/0!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outlineLevel="1">
      <c r="A15" s="116" t="str">
        <f t="shared" ref="A15:A18" si="4">iferror(if(B15&gt;0,month(B15)&amp;"-"&amp;year(B15),B15),)</f>
        <v/>
      </c>
      <c r="B15" s="126"/>
      <c r="C15" s="75" t="s">
        <v>65</v>
      </c>
      <c r="D15" s="202">
        <v>0.0</v>
      </c>
      <c r="E15" s="150">
        <v>0.0</v>
      </c>
      <c r="F15" s="150">
        <v>0.0</v>
      </c>
      <c r="G15" s="78" t="str">
        <f t="shared" si="1"/>
        <v>#DIV/0!</v>
      </c>
      <c r="H15" s="79" t="str">
        <f t="shared" si="2"/>
        <v>#DIV/0!</v>
      </c>
      <c r="I15" s="79" t="str">
        <f t="shared" si="3"/>
        <v>#DIV/0!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outlineLevel="1">
      <c r="A16" s="101" t="str">
        <f t="shared" si="4"/>
        <v>1-2026</v>
      </c>
      <c r="B16" s="143">
        <v>46025.0</v>
      </c>
      <c r="C16" s="75" t="s">
        <v>66</v>
      </c>
      <c r="D16" s="203">
        <v>4244.94</v>
      </c>
      <c r="E16" s="150">
        <v>33.0</v>
      </c>
      <c r="F16" s="150">
        <v>31.0</v>
      </c>
      <c r="G16" s="78">
        <f t="shared" si="1"/>
        <v>1.064516129</v>
      </c>
      <c r="H16" s="79">
        <f t="shared" si="2"/>
        <v>128.6345455</v>
      </c>
      <c r="I16" s="79">
        <f t="shared" si="3"/>
        <v>120.8385124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outlineLevel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7008.27</v>
      </c>
      <c r="E17" s="105">
        <f t="shared" si="5"/>
        <v>45</v>
      </c>
      <c r="F17" s="105">
        <f t="shared" si="5"/>
        <v>43</v>
      </c>
      <c r="G17" s="106">
        <f t="shared" si="1"/>
        <v>1.046511628</v>
      </c>
      <c r="H17" s="107">
        <f t="shared" si="2"/>
        <v>155.7393333</v>
      </c>
      <c r="I17" s="107">
        <f t="shared" si="3"/>
        <v>148.8175852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outlineLevel="1">
      <c r="A18" s="101" t="str">
        <f t="shared" si="4"/>
        <v>1-2026</v>
      </c>
      <c r="B18" s="74">
        <v>46026.0</v>
      </c>
      <c r="C18" s="75" t="s">
        <v>63</v>
      </c>
      <c r="D18" s="93">
        <v>3338.3</v>
      </c>
      <c r="E18" s="150">
        <v>16.0</v>
      </c>
      <c r="F18" s="150">
        <v>16.0</v>
      </c>
      <c r="G18" s="78">
        <f t="shared" si="1"/>
        <v>1</v>
      </c>
      <c r="H18" s="79">
        <f t="shared" si="2"/>
        <v>208.64375</v>
      </c>
      <c r="I18" s="79">
        <f t="shared" si="3"/>
        <v>208.64375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outlineLevel="1">
      <c r="A19" s="116"/>
      <c r="B19" s="126"/>
      <c r="C19" s="75" t="s">
        <v>64</v>
      </c>
      <c r="D19" s="202">
        <v>0.0</v>
      </c>
      <c r="E19" s="150">
        <v>0.0</v>
      </c>
      <c r="F19" s="150">
        <v>0.0</v>
      </c>
      <c r="G19" s="78" t="str">
        <f t="shared" si="1"/>
        <v>#DIV/0!</v>
      </c>
      <c r="H19" s="79" t="str">
        <f t="shared" si="2"/>
        <v>#DIV/0!</v>
      </c>
      <c r="I19" s="79" t="str">
        <f t="shared" si="3"/>
        <v>#DIV/0!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outlineLevel="1">
      <c r="A20" s="116" t="str">
        <f t="shared" ref="A20:A23" si="8">iferror(if(B20&gt;0,month(B20)&amp;"-"&amp;year(B20),B20),)</f>
        <v/>
      </c>
      <c r="B20" s="126"/>
      <c r="C20" s="75" t="s">
        <v>65</v>
      </c>
      <c r="D20" s="202">
        <v>0.0</v>
      </c>
      <c r="E20" s="150">
        <v>0.0</v>
      </c>
      <c r="F20" s="150">
        <v>0.0</v>
      </c>
      <c r="G20" s="78" t="str">
        <f t="shared" si="1"/>
        <v>#DIV/0!</v>
      </c>
      <c r="H20" s="79" t="str">
        <f t="shared" si="2"/>
        <v>#DIV/0!</v>
      </c>
      <c r="I20" s="79" t="str">
        <f t="shared" si="3"/>
        <v>#DIV/0!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outlineLevel="1">
      <c r="A21" s="101" t="str">
        <f t="shared" si="8"/>
        <v>1-2026</v>
      </c>
      <c r="B21" s="74">
        <v>46032.0</v>
      </c>
      <c r="C21" s="75" t="s">
        <v>66</v>
      </c>
      <c r="D21" s="203">
        <v>3186.28</v>
      </c>
      <c r="E21" s="150">
        <v>29.0</v>
      </c>
      <c r="F21" s="150">
        <v>29.0</v>
      </c>
      <c r="G21" s="78">
        <f t="shared" si="1"/>
        <v>1</v>
      </c>
      <c r="H21" s="79">
        <f t="shared" si="2"/>
        <v>109.8717241</v>
      </c>
      <c r="I21" s="79">
        <f t="shared" si="3"/>
        <v>109.8717241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outlineLevel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6524.58</v>
      </c>
      <c r="E22" s="105">
        <f t="shared" si="9"/>
        <v>45</v>
      </c>
      <c r="F22" s="105">
        <f t="shared" si="9"/>
        <v>45</v>
      </c>
      <c r="G22" s="106">
        <f t="shared" si="1"/>
        <v>1</v>
      </c>
      <c r="H22" s="107">
        <f t="shared" si="2"/>
        <v>144.9906667</v>
      </c>
      <c r="I22" s="107">
        <f t="shared" si="3"/>
        <v>144.9906667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outlineLevel="1">
      <c r="A23" s="101" t="str">
        <f t="shared" si="8"/>
        <v>1-2026</v>
      </c>
      <c r="B23" s="74">
        <v>46033.0</v>
      </c>
      <c r="C23" s="75" t="s">
        <v>63</v>
      </c>
      <c r="D23" s="93">
        <v>2185.96</v>
      </c>
      <c r="E23" s="150">
        <v>12.0</v>
      </c>
      <c r="F23" s="150">
        <v>12.0</v>
      </c>
      <c r="G23" s="78">
        <f t="shared" si="1"/>
        <v>1</v>
      </c>
      <c r="H23" s="79">
        <f t="shared" si="2"/>
        <v>182.1633333</v>
      </c>
      <c r="I23" s="79">
        <f t="shared" si="3"/>
        <v>182.1633333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outlineLevel="1">
      <c r="A24" s="116"/>
      <c r="B24" s="126"/>
      <c r="C24" s="75" t="s">
        <v>64</v>
      </c>
      <c r="D24" s="202">
        <v>0.0</v>
      </c>
      <c r="E24" s="150">
        <v>0.0</v>
      </c>
      <c r="F24" s="150">
        <v>0.0</v>
      </c>
      <c r="G24" s="78" t="str">
        <f t="shared" si="1"/>
        <v>#DIV/0!</v>
      </c>
      <c r="H24" s="79" t="str">
        <f t="shared" si="2"/>
        <v>#DIV/0!</v>
      </c>
      <c r="I24" s="79" t="str">
        <f t="shared" si="3"/>
        <v>#DIV/0!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outlineLevel="1">
      <c r="A25" s="116" t="str">
        <f t="shared" ref="A25:A29" si="12">iferror(if(B25&gt;0,month(B25)&amp;"-"&amp;year(B25),B25),)</f>
        <v/>
      </c>
      <c r="B25" s="126"/>
      <c r="C25" s="75" t="s">
        <v>65</v>
      </c>
      <c r="D25" s="202">
        <v>0.0</v>
      </c>
      <c r="E25" s="150">
        <v>0.0</v>
      </c>
      <c r="F25" s="150">
        <v>0.0</v>
      </c>
      <c r="G25" s="78" t="str">
        <f t="shared" si="1"/>
        <v>#DIV/0!</v>
      </c>
      <c r="H25" s="79" t="str">
        <f t="shared" si="2"/>
        <v>#DIV/0!</v>
      </c>
      <c r="I25" s="79" t="str">
        <f t="shared" si="3"/>
        <v>#DIV/0!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outlineLevel="1">
      <c r="A26" s="101" t="str">
        <f t="shared" si="12"/>
        <v>1-2026</v>
      </c>
      <c r="B26" s="74">
        <v>46039.0</v>
      </c>
      <c r="C26" s="75" t="s">
        <v>66</v>
      </c>
      <c r="D26" s="203">
        <v>2836.15</v>
      </c>
      <c r="E26" s="150">
        <v>28.0</v>
      </c>
      <c r="F26" s="150">
        <v>28.0</v>
      </c>
      <c r="G26" s="78">
        <f t="shared" si="1"/>
        <v>1</v>
      </c>
      <c r="H26" s="79">
        <f t="shared" si="2"/>
        <v>101.2910714</v>
      </c>
      <c r="I26" s="79">
        <f t="shared" si="3"/>
        <v>101.2910714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outlineLevel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5022.11</v>
      </c>
      <c r="E27" s="105">
        <f t="shared" si="13"/>
        <v>40</v>
      </c>
      <c r="F27" s="105">
        <f t="shared" si="13"/>
        <v>40</v>
      </c>
      <c r="G27" s="106">
        <f t="shared" si="1"/>
        <v>1</v>
      </c>
      <c r="H27" s="107">
        <f t="shared" si="2"/>
        <v>125.55275</v>
      </c>
      <c r="I27" s="107">
        <f t="shared" si="3"/>
        <v>125.55275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outlineLevel="1">
      <c r="A28" s="101" t="str">
        <f t="shared" si="12"/>
        <v>1-2026</v>
      </c>
      <c r="B28" s="74">
        <v>46040.0</v>
      </c>
      <c r="C28" s="75" t="s">
        <v>63</v>
      </c>
      <c r="D28" s="93">
        <v>2044.96</v>
      </c>
      <c r="E28" s="150">
        <v>13.0</v>
      </c>
      <c r="F28" s="150">
        <v>13.0</v>
      </c>
      <c r="G28" s="78">
        <f t="shared" si="1"/>
        <v>1</v>
      </c>
      <c r="H28" s="79">
        <f t="shared" si="2"/>
        <v>157.3046154</v>
      </c>
      <c r="I28" s="79">
        <f t="shared" si="3"/>
        <v>157.3046154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outlineLevel="1">
      <c r="A29" s="116" t="str">
        <f t="shared" si="12"/>
        <v/>
      </c>
      <c r="B29" s="126"/>
      <c r="C29" s="75" t="s">
        <v>64</v>
      </c>
      <c r="D29" s="202">
        <v>0.0</v>
      </c>
      <c r="E29" s="150">
        <v>0.0</v>
      </c>
      <c r="F29" s="150">
        <v>0.0</v>
      </c>
      <c r="G29" s="78" t="str">
        <f t="shared" si="1"/>
        <v>#DIV/0!</v>
      </c>
      <c r="H29" s="79" t="str">
        <f t="shared" si="2"/>
        <v>#DIV/0!</v>
      </c>
      <c r="I29" s="79" t="str">
        <f t="shared" si="3"/>
        <v>#DIV/0!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outlineLevel="1">
      <c r="A30" s="116"/>
      <c r="B30" s="126"/>
      <c r="C30" s="75" t="s">
        <v>65</v>
      </c>
      <c r="D30" s="202">
        <v>0.0</v>
      </c>
      <c r="E30" s="150">
        <v>0.0</v>
      </c>
      <c r="F30" s="150">
        <v>0.0</v>
      </c>
      <c r="G30" s="78" t="str">
        <f t="shared" si="1"/>
        <v>#DIV/0!</v>
      </c>
      <c r="H30" s="79" t="str">
        <f t="shared" si="2"/>
        <v>#DIV/0!</v>
      </c>
      <c r="I30" s="79" t="str">
        <f t="shared" si="3"/>
        <v>#DIV/0!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66</v>
      </c>
      <c r="D31" s="203">
        <v>5306.23</v>
      </c>
      <c r="E31" s="150">
        <v>28.0</v>
      </c>
      <c r="F31" s="150">
        <v>27.0</v>
      </c>
      <c r="G31" s="78">
        <f t="shared" si="1"/>
        <v>1.037037037</v>
      </c>
      <c r="H31" s="79">
        <f t="shared" si="2"/>
        <v>189.5082143</v>
      </c>
      <c r="I31" s="79">
        <f t="shared" si="3"/>
        <v>182.7400638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>
      <c r="A32" s="116" t="str">
        <f t="shared" si="16"/>
        <v/>
      </c>
      <c r="B32" s="204" t="s">
        <v>58</v>
      </c>
      <c r="C32" s="185"/>
      <c r="D32" s="104">
        <f t="shared" ref="D32:F32" si="17">SUM(D28:D31)</f>
        <v>7351.19</v>
      </c>
      <c r="E32" s="105">
        <f t="shared" si="17"/>
        <v>41</v>
      </c>
      <c r="F32" s="105">
        <f t="shared" si="17"/>
        <v>40</v>
      </c>
      <c r="G32" s="106">
        <f t="shared" si="1"/>
        <v>1.025</v>
      </c>
      <c r="H32" s="107">
        <f t="shared" si="2"/>
        <v>179.2973171</v>
      </c>
      <c r="I32" s="107">
        <f t="shared" si="3"/>
        <v>174.9242118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outlineLevel="1">
      <c r="A33" s="101" t="str">
        <f t="shared" si="16"/>
        <v>1-2026</v>
      </c>
      <c r="B33" s="74">
        <v>46047.0</v>
      </c>
      <c r="C33" s="75" t="s">
        <v>63</v>
      </c>
      <c r="D33" s="93">
        <v>1520.0</v>
      </c>
      <c r="E33" s="150">
        <v>10.0</v>
      </c>
      <c r="F33" s="150">
        <v>10.0</v>
      </c>
      <c r="G33" s="78">
        <f t="shared" si="1"/>
        <v>1</v>
      </c>
      <c r="H33" s="79">
        <f t="shared" si="2"/>
        <v>152</v>
      </c>
      <c r="I33" s="79">
        <f t="shared" si="3"/>
        <v>152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outlineLevel="1">
      <c r="A34" s="116"/>
      <c r="B34" s="126"/>
      <c r="C34" s="75" t="s">
        <v>64</v>
      </c>
      <c r="D34" s="202">
        <v>0.0</v>
      </c>
      <c r="E34" s="150">
        <v>0.0</v>
      </c>
      <c r="F34" s="150">
        <v>0.0</v>
      </c>
      <c r="G34" s="78" t="str">
        <f t="shared" si="1"/>
        <v>#DIV/0!</v>
      </c>
      <c r="H34" s="79" t="str">
        <f t="shared" si="2"/>
        <v>#DIV/0!</v>
      </c>
      <c r="I34" s="79" t="str">
        <f t="shared" si="3"/>
        <v>#DIV/0!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outlineLevel="1">
      <c r="A35" s="116" t="str">
        <f t="shared" ref="A35:A38" si="20">iferror(if(B35&gt;0,month(B35)&amp;"-"&amp;year(B35),B35),)</f>
        <v/>
      </c>
      <c r="B35" s="126"/>
      <c r="C35" s="75" t="s">
        <v>65</v>
      </c>
      <c r="D35" s="202">
        <v>0.0</v>
      </c>
      <c r="E35" s="150">
        <v>0.0</v>
      </c>
      <c r="F35" s="150">
        <v>0.0</v>
      </c>
      <c r="G35" s="78" t="str">
        <f t="shared" si="1"/>
        <v>#DIV/0!</v>
      </c>
      <c r="H35" s="79" t="str">
        <f t="shared" si="2"/>
        <v>#DIV/0!</v>
      </c>
      <c r="I35" s="79" t="str">
        <f t="shared" si="3"/>
        <v>#DIV/0!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outlineLevel="1">
      <c r="A36" s="101" t="str">
        <f t="shared" si="20"/>
        <v>1-2026</v>
      </c>
      <c r="B36" s="74">
        <v>46053.0</v>
      </c>
      <c r="C36" s="75" t="s">
        <v>66</v>
      </c>
      <c r="D36" s="203">
        <v>2199.91</v>
      </c>
      <c r="E36" s="150">
        <v>22.0</v>
      </c>
      <c r="F36" s="150">
        <v>20.0</v>
      </c>
      <c r="G36" s="78">
        <f t="shared" si="1"/>
        <v>1.1</v>
      </c>
      <c r="H36" s="79">
        <f t="shared" si="2"/>
        <v>99.99590909</v>
      </c>
      <c r="I36" s="79">
        <f t="shared" si="3"/>
        <v>90.9053719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>
      <c r="A37" s="116" t="str">
        <f t="shared" si="20"/>
        <v/>
      </c>
      <c r="B37" s="204" t="s">
        <v>59</v>
      </c>
      <c r="C37" s="185"/>
      <c r="D37" s="104">
        <f t="shared" ref="D37:F37" si="21">SUM(D33:D36)</f>
        <v>3719.91</v>
      </c>
      <c r="E37" s="105">
        <f t="shared" si="21"/>
        <v>32</v>
      </c>
      <c r="F37" s="105">
        <f t="shared" si="21"/>
        <v>30</v>
      </c>
      <c r="G37" s="106">
        <f t="shared" si="1"/>
        <v>1.066666667</v>
      </c>
      <c r="H37" s="107">
        <f t="shared" si="2"/>
        <v>116.2471875</v>
      </c>
      <c r="I37" s="107">
        <f t="shared" si="3"/>
        <v>108.9817383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outlineLevel="1">
      <c r="A38" s="101" t="str">
        <f t="shared" si="20"/>
        <v>2-2026</v>
      </c>
      <c r="B38" s="74">
        <v>46054.0</v>
      </c>
      <c r="C38" s="117" t="s">
        <v>63</v>
      </c>
      <c r="D38" s="128">
        <v>1362.33</v>
      </c>
      <c r="E38" s="146">
        <v>7.0</v>
      </c>
      <c r="F38" s="146">
        <v>7.0</v>
      </c>
      <c r="G38" s="78">
        <f t="shared" si="1"/>
        <v>1</v>
      </c>
      <c r="H38" s="79">
        <f t="shared" si="2"/>
        <v>194.6185714</v>
      </c>
      <c r="I38" s="79">
        <f t="shared" si="3"/>
        <v>194.6185714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outlineLevel="1">
      <c r="A39" s="116"/>
      <c r="B39" s="126"/>
      <c r="C39" s="117" t="s">
        <v>64</v>
      </c>
      <c r="D39" s="213">
        <v>0.0</v>
      </c>
      <c r="E39" s="146">
        <v>0.0</v>
      </c>
      <c r="F39" s="146">
        <v>0.0</v>
      </c>
      <c r="G39" s="78" t="str">
        <f t="shared" si="1"/>
        <v>#DIV/0!</v>
      </c>
      <c r="H39" s="79" t="str">
        <f t="shared" si="2"/>
        <v>#DIV/0!</v>
      </c>
      <c r="I39" s="79" t="str">
        <f t="shared" si="3"/>
        <v>#DIV/0!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outlineLevel="1">
      <c r="A40" s="116" t="str">
        <f t="shared" ref="A40:A43" si="24">iferror(if(B40&gt;0,month(B40)&amp;"-"&amp;year(B40),B40),)</f>
        <v/>
      </c>
      <c r="B40" s="126"/>
      <c r="C40" s="117" t="s">
        <v>65</v>
      </c>
      <c r="D40" s="213">
        <v>0.0</v>
      </c>
      <c r="E40" s="146">
        <v>0.0</v>
      </c>
      <c r="F40" s="146">
        <v>0.0</v>
      </c>
      <c r="G40" s="78" t="str">
        <f t="shared" si="1"/>
        <v>#DIV/0!</v>
      </c>
      <c r="H40" s="79" t="str">
        <f t="shared" si="2"/>
        <v>#DIV/0!</v>
      </c>
      <c r="I40" s="79" t="str">
        <f t="shared" si="3"/>
        <v>#DIV/0!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outlineLevel="1">
      <c r="A41" s="101" t="str">
        <f t="shared" si="24"/>
        <v>2-2026</v>
      </c>
      <c r="B41" s="74">
        <v>46060.0</v>
      </c>
      <c r="C41" s="117" t="s">
        <v>66</v>
      </c>
      <c r="D41" s="214">
        <v>2419.12</v>
      </c>
      <c r="E41" s="146">
        <v>22.0</v>
      </c>
      <c r="F41" s="146">
        <v>16.0</v>
      </c>
      <c r="G41" s="78">
        <f t="shared" si="1"/>
        <v>1.375</v>
      </c>
      <c r="H41" s="79">
        <f t="shared" si="2"/>
        <v>109.96</v>
      </c>
      <c r="I41" s="79">
        <f t="shared" si="3"/>
        <v>79.97090909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>
      <c r="A42" s="116" t="str">
        <f t="shared" si="24"/>
        <v/>
      </c>
      <c r="B42" s="215" t="s">
        <v>67</v>
      </c>
      <c r="C42" s="138"/>
      <c r="D42" s="104">
        <f t="shared" ref="D42:F42" si="25">SUM(D38:D41)</f>
        <v>3781.45</v>
      </c>
      <c r="E42" s="139">
        <f t="shared" si="25"/>
        <v>29</v>
      </c>
      <c r="F42" s="139">
        <f t="shared" si="25"/>
        <v>23</v>
      </c>
      <c r="G42" s="106">
        <f t="shared" si="1"/>
        <v>1.260869565</v>
      </c>
      <c r="H42" s="107">
        <f t="shared" si="2"/>
        <v>130.3948276</v>
      </c>
      <c r="I42" s="107">
        <f t="shared" si="3"/>
        <v>103.4165874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>
      <c r="A43" s="101" t="str">
        <f t="shared" si="24"/>
        <v>2-2026</v>
      </c>
      <c r="B43" s="143">
        <v>46061.0</v>
      </c>
      <c r="C43" s="75" t="s">
        <v>63</v>
      </c>
      <c r="D43" s="93">
        <v>1642.0</v>
      </c>
      <c r="E43" s="150">
        <v>15.0</v>
      </c>
      <c r="F43" s="150">
        <v>13.0</v>
      </c>
      <c r="G43" s="78">
        <f t="shared" si="1"/>
        <v>1.153846154</v>
      </c>
      <c r="H43" s="79">
        <f t="shared" si="2"/>
        <v>109.4666667</v>
      </c>
      <c r="I43" s="79">
        <f t="shared" si="3"/>
        <v>94.87111111</v>
      </c>
      <c r="J43" s="195"/>
      <c r="K43" s="195"/>
      <c r="L43" s="195"/>
      <c r="M43" s="196"/>
      <c r="N43" s="197"/>
      <c r="O43" s="195"/>
      <c r="P43" s="198"/>
      <c r="Q43" s="199"/>
      <c r="R43" s="198"/>
      <c r="S43" s="198"/>
      <c r="T43" s="200"/>
      <c r="U43" s="201"/>
      <c r="V43" s="124"/>
      <c r="W43" s="124"/>
      <c r="X43" s="124"/>
      <c r="Y43" s="124"/>
      <c r="Z43" s="125"/>
    </row>
    <row r="44">
      <c r="A44" s="116"/>
      <c r="B44" s="126"/>
      <c r="C44" s="75" t="s">
        <v>64</v>
      </c>
      <c r="D44" s="202">
        <v>0.0</v>
      </c>
      <c r="E44" s="150">
        <v>0.0</v>
      </c>
      <c r="F44" s="150">
        <v>0.0</v>
      </c>
      <c r="G44" s="78" t="str">
        <f t="shared" si="1"/>
        <v>#DIV/0!</v>
      </c>
      <c r="H44" s="79" t="str">
        <f t="shared" si="2"/>
        <v>#DIV/0!</v>
      </c>
      <c r="I44" s="79" t="str">
        <f t="shared" si="3"/>
        <v>#DIV/0!</v>
      </c>
      <c r="J44" s="195"/>
      <c r="K44" s="195"/>
      <c r="L44" s="195"/>
      <c r="M44" s="196"/>
      <c r="N44" s="197"/>
      <c r="O44" s="195"/>
      <c r="P44" s="198"/>
      <c r="Q44" s="199"/>
      <c r="R44" s="198"/>
      <c r="S44" s="198"/>
      <c r="T44" s="200"/>
      <c r="U44" s="201"/>
      <c r="V44" s="124"/>
      <c r="W44" s="124"/>
      <c r="X44" s="124"/>
      <c r="Y44" s="124"/>
      <c r="Z44" s="125"/>
    </row>
    <row r="45">
      <c r="A45" s="116" t="str">
        <f t="shared" ref="A45:A48" si="28">iferror(if(B45&gt;0,month(B45)&amp;"-"&amp;year(B45),B45),)</f>
        <v/>
      </c>
      <c r="B45" s="126"/>
      <c r="C45" s="75" t="s">
        <v>65</v>
      </c>
      <c r="D45" s="202">
        <v>0.0</v>
      </c>
      <c r="E45" s="150">
        <v>0.0</v>
      </c>
      <c r="F45" s="150">
        <v>0.0</v>
      </c>
      <c r="G45" s="78" t="str">
        <f t="shared" si="1"/>
        <v>#DIV/0!</v>
      </c>
      <c r="H45" s="79" t="str">
        <f t="shared" si="2"/>
        <v>#DIV/0!</v>
      </c>
      <c r="I45" s="79" t="str">
        <f t="shared" si="3"/>
        <v>#DIV/0!</v>
      </c>
      <c r="J45" s="195"/>
      <c r="K45" s="195"/>
      <c r="L45" s="195"/>
      <c r="M45" s="196"/>
      <c r="N45" s="197"/>
      <c r="O45" s="195"/>
      <c r="P45" s="198"/>
      <c r="Q45" s="199"/>
      <c r="R45" s="198"/>
      <c r="S45" s="198"/>
      <c r="T45" s="200"/>
      <c r="U45" s="201"/>
      <c r="V45" s="124"/>
      <c r="W45" s="124"/>
      <c r="X45" s="124"/>
      <c r="Y45" s="124"/>
      <c r="Z45" s="125"/>
    </row>
    <row r="46">
      <c r="A46" s="101" t="str">
        <f t="shared" si="28"/>
        <v>2-2026</v>
      </c>
      <c r="B46" s="143">
        <v>46067.0</v>
      </c>
      <c r="C46" s="75" t="s">
        <v>66</v>
      </c>
      <c r="D46" s="203">
        <v>591.1</v>
      </c>
      <c r="E46" s="150">
        <v>12.0</v>
      </c>
      <c r="F46" s="150">
        <v>11.0</v>
      </c>
      <c r="G46" s="78">
        <f t="shared" si="1"/>
        <v>1.090909091</v>
      </c>
      <c r="H46" s="79">
        <f t="shared" si="2"/>
        <v>49.25833333</v>
      </c>
      <c r="I46" s="79">
        <f t="shared" si="3"/>
        <v>45.15347222</v>
      </c>
      <c r="J46" s="195"/>
      <c r="K46" s="195"/>
      <c r="L46" s="195"/>
      <c r="M46" s="196"/>
      <c r="N46" s="197"/>
      <c r="O46" s="195"/>
      <c r="P46" s="198"/>
      <c r="Q46" s="199"/>
      <c r="R46" s="198"/>
      <c r="S46" s="198"/>
      <c r="T46" s="200"/>
      <c r="U46" s="201"/>
      <c r="V46" s="124"/>
      <c r="W46" s="124"/>
      <c r="X46" s="124"/>
      <c r="Y46" s="124"/>
      <c r="Z46" s="125"/>
    </row>
    <row r="47">
      <c r="A47" s="116" t="str">
        <f t="shared" si="28"/>
        <v/>
      </c>
      <c r="B47" s="103" t="s">
        <v>51</v>
      </c>
      <c r="C47" s="185"/>
      <c r="D47" s="104">
        <f t="shared" ref="D47:F47" si="29">SUM(D43:D46)</f>
        <v>2233.1</v>
      </c>
      <c r="E47" s="105">
        <f t="shared" si="29"/>
        <v>27</v>
      </c>
      <c r="F47" s="105">
        <f t="shared" si="29"/>
        <v>24</v>
      </c>
      <c r="G47" s="106">
        <f t="shared" si="1"/>
        <v>1.125</v>
      </c>
      <c r="H47" s="107">
        <f t="shared" si="2"/>
        <v>82.70740741</v>
      </c>
      <c r="I47" s="107">
        <f t="shared" si="3"/>
        <v>73.51769547</v>
      </c>
      <c r="J47" s="205"/>
      <c r="K47" s="205"/>
      <c r="L47" s="205"/>
      <c r="M47" s="206"/>
      <c r="N47" s="207"/>
      <c r="O47" s="205"/>
      <c r="P47" s="208"/>
      <c r="Q47" s="209"/>
      <c r="R47" s="208"/>
      <c r="S47" s="208"/>
      <c r="T47" s="210"/>
      <c r="U47" s="211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63</v>
      </c>
      <c r="D48" s="93">
        <v>2048.33</v>
      </c>
      <c r="E48" s="150">
        <v>14.0</v>
      </c>
      <c r="F48" s="150">
        <v>14.0</v>
      </c>
      <c r="G48" s="78">
        <f t="shared" si="1"/>
        <v>1</v>
      </c>
      <c r="H48" s="79">
        <f t="shared" si="2"/>
        <v>146.3092857</v>
      </c>
      <c r="I48" s="79">
        <f t="shared" si="3"/>
        <v>146.3092857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64</v>
      </c>
      <c r="D49" s="202">
        <v>0.0</v>
      </c>
      <c r="E49" s="150">
        <v>0.0</v>
      </c>
      <c r="F49" s="150">
        <v>0.0</v>
      </c>
      <c r="G49" s="78" t="str">
        <f t="shared" si="1"/>
        <v>#DIV/0!</v>
      </c>
      <c r="H49" s="79" t="str">
        <f t="shared" si="2"/>
        <v>#DIV/0!</v>
      </c>
      <c r="I49" s="79" t="str">
        <f t="shared" si="3"/>
        <v>#DIV/0!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2" si="32">iferror(if(B50&gt;0,month(B50)&amp;"-"&amp;year(B50),B50),)</f>
        <v/>
      </c>
      <c r="B50" s="126"/>
      <c r="C50" s="75" t="s">
        <v>65</v>
      </c>
      <c r="D50" s="202">
        <v>0.0</v>
      </c>
      <c r="E50" s="150">
        <v>0.0</v>
      </c>
      <c r="F50" s="150">
        <v>0.0</v>
      </c>
      <c r="G50" s="78" t="str">
        <f t="shared" si="1"/>
        <v>#DIV/0!</v>
      </c>
      <c r="H50" s="79" t="str">
        <f t="shared" si="2"/>
        <v>#DIV/0!</v>
      </c>
      <c r="I50" s="79" t="str">
        <f t="shared" si="3"/>
        <v>#DIV/0!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66</v>
      </c>
      <c r="D51" s="203">
        <v>3538.96</v>
      </c>
      <c r="E51" s="150">
        <v>18.0</v>
      </c>
      <c r="F51" s="150">
        <v>11.0</v>
      </c>
      <c r="G51" s="78">
        <f t="shared" si="1"/>
        <v>1.636363636</v>
      </c>
      <c r="H51" s="79">
        <f t="shared" si="2"/>
        <v>196.6088889</v>
      </c>
      <c r="I51" s="79">
        <f t="shared" si="3"/>
        <v>120.1498765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216" t="s">
        <v>52</v>
      </c>
      <c r="C52" s="185"/>
      <c r="D52" s="104">
        <f t="shared" ref="D52:F52" si="33">SUM(D48:D51)</f>
        <v>5587.29</v>
      </c>
      <c r="E52" s="105">
        <f t="shared" si="33"/>
        <v>32</v>
      </c>
      <c r="F52" s="105">
        <f t="shared" si="33"/>
        <v>25</v>
      </c>
      <c r="G52" s="106">
        <f t="shared" si="1"/>
        <v>1.28</v>
      </c>
      <c r="H52" s="107">
        <f t="shared" si="2"/>
        <v>174.6028125</v>
      </c>
      <c r="I52" s="107">
        <f t="shared" si="3"/>
        <v>136.4084473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217">
        <f t="shared" ref="V52:W52" si="34">IFERROR((D52-D47)/D52,)</f>
        <v>0.6003250234</v>
      </c>
      <c r="W52" s="217">
        <f t="shared" si="34"/>
        <v>0.15625</v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16"/>
      <c r="B53" s="116"/>
      <c r="C53" s="116"/>
      <c r="D53" s="218"/>
      <c r="E53" s="116"/>
      <c r="F53" s="116"/>
      <c r="G53" s="219"/>
      <c r="H53" s="220"/>
      <c r="I53" s="220"/>
      <c r="J53" s="190"/>
      <c r="K53" s="190"/>
      <c r="L53" s="190"/>
      <c r="M53" s="191"/>
      <c r="N53" s="191"/>
      <c r="O53" s="190"/>
      <c r="P53" s="192"/>
      <c r="Q53" s="221"/>
      <c r="R53" s="192"/>
      <c r="S53" s="222"/>
      <c r="T53" s="179"/>
      <c r="U53" s="192"/>
      <c r="V53" s="223"/>
      <c r="W53" s="223"/>
      <c r="X53" s="223"/>
      <c r="Y53" s="223"/>
      <c r="Z53" s="116"/>
    </row>
    <row r="54">
      <c r="A54" s="116"/>
      <c r="B54" s="116"/>
      <c r="C54" s="116"/>
      <c r="D54" s="218"/>
      <c r="E54" s="116"/>
      <c r="F54" s="116"/>
      <c r="G54" s="219"/>
      <c r="H54" s="220"/>
      <c r="I54" s="220"/>
      <c r="J54" s="190"/>
      <c r="K54" s="190"/>
      <c r="L54" s="190"/>
      <c r="M54" s="191"/>
      <c r="N54" s="191"/>
      <c r="O54" s="190"/>
      <c r="P54" s="192"/>
      <c r="Q54" s="221"/>
      <c r="R54" s="192"/>
      <c r="S54" s="222"/>
      <c r="T54" s="179"/>
      <c r="U54" s="192"/>
      <c r="V54" s="223"/>
      <c r="W54" s="223"/>
      <c r="X54" s="223"/>
      <c r="Y54" s="223"/>
      <c r="Z54" s="116"/>
    </row>
    <row r="55">
      <c r="A55" s="116"/>
      <c r="B55" s="116"/>
      <c r="C55" s="116"/>
      <c r="D55" s="218"/>
      <c r="E55" s="116"/>
      <c r="F55" s="116"/>
      <c r="G55" s="219"/>
      <c r="H55" s="220"/>
      <c r="I55" s="220"/>
      <c r="J55" s="190"/>
      <c r="K55" s="190"/>
      <c r="L55" s="190"/>
      <c r="M55" s="191"/>
      <c r="N55" s="191"/>
      <c r="O55" s="190"/>
      <c r="P55" s="192"/>
      <c r="Q55" s="221"/>
      <c r="R55" s="192"/>
      <c r="S55" s="222"/>
      <c r="T55" s="179"/>
      <c r="U55" s="192"/>
      <c r="V55" s="223"/>
      <c r="W55" s="223"/>
      <c r="X55" s="223"/>
      <c r="Y55" s="223"/>
      <c r="Z55" s="116"/>
    </row>
    <row r="56">
      <c r="A56" s="116"/>
      <c r="B56" s="116"/>
      <c r="C56" s="116"/>
      <c r="D56" s="218"/>
      <c r="E56" s="116"/>
      <c r="F56" s="116"/>
      <c r="G56" s="219"/>
      <c r="H56" s="220"/>
      <c r="I56" s="220"/>
      <c r="J56" s="190"/>
      <c r="K56" s="190"/>
      <c r="L56" s="190"/>
      <c r="M56" s="191"/>
      <c r="N56" s="191"/>
      <c r="O56" s="190"/>
      <c r="P56" s="192"/>
      <c r="Q56" s="221"/>
      <c r="R56" s="192"/>
      <c r="S56" s="222"/>
      <c r="T56" s="179"/>
      <c r="U56" s="192"/>
      <c r="V56" s="223"/>
      <c r="W56" s="223"/>
      <c r="X56" s="223"/>
      <c r="Y56" s="223"/>
      <c r="Z56" s="116"/>
    </row>
    <row r="57">
      <c r="A57" s="116"/>
      <c r="B57" s="116"/>
      <c r="C57" s="116"/>
      <c r="D57" s="218"/>
      <c r="E57" s="116"/>
      <c r="F57" s="116"/>
      <c r="G57" s="219"/>
      <c r="H57" s="220"/>
      <c r="I57" s="220"/>
      <c r="J57" s="190"/>
      <c r="K57" s="190"/>
      <c r="L57" s="190"/>
      <c r="M57" s="191"/>
      <c r="N57" s="191"/>
      <c r="O57" s="190"/>
      <c r="P57" s="192"/>
      <c r="Q57" s="221"/>
      <c r="R57" s="192"/>
      <c r="S57" s="222"/>
      <c r="T57" s="179"/>
      <c r="U57" s="192"/>
      <c r="V57" s="223"/>
      <c r="W57" s="223"/>
      <c r="X57" s="223"/>
      <c r="Y57" s="223"/>
      <c r="Z57" s="116"/>
    </row>
    <row r="58">
      <c r="A58" s="116"/>
      <c r="B58" s="116"/>
      <c r="C58" s="116"/>
      <c r="D58" s="218"/>
      <c r="E58" s="116"/>
      <c r="F58" s="116"/>
      <c r="G58" s="219"/>
      <c r="H58" s="220"/>
      <c r="I58" s="220"/>
      <c r="J58" s="190"/>
      <c r="K58" s="190"/>
      <c r="L58" s="190"/>
      <c r="M58" s="191"/>
      <c r="N58" s="191"/>
      <c r="O58" s="190"/>
      <c r="P58" s="192"/>
      <c r="Q58" s="221"/>
      <c r="R58" s="192"/>
      <c r="S58" s="222"/>
      <c r="T58" s="179"/>
      <c r="U58" s="192"/>
      <c r="V58" s="223"/>
      <c r="W58" s="223"/>
      <c r="X58" s="223"/>
      <c r="Y58" s="223"/>
      <c r="Z58" s="116"/>
    </row>
    <row r="59">
      <c r="A59" s="116"/>
      <c r="B59" s="116"/>
      <c r="C59" s="116"/>
      <c r="D59" s="218"/>
      <c r="E59" s="116"/>
      <c r="F59" s="116"/>
      <c r="G59" s="219"/>
      <c r="H59" s="220"/>
      <c r="I59" s="220"/>
      <c r="J59" s="190"/>
      <c r="K59" s="190"/>
      <c r="L59" s="190"/>
      <c r="M59" s="191"/>
      <c r="N59" s="191"/>
      <c r="O59" s="190"/>
      <c r="P59" s="192"/>
      <c r="Q59" s="221"/>
      <c r="R59" s="192"/>
      <c r="S59" s="222"/>
      <c r="T59" s="179"/>
      <c r="U59" s="192"/>
      <c r="V59" s="223"/>
      <c r="W59" s="223"/>
      <c r="X59" s="223"/>
      <c r="Y59" s="223"/>
      <c r="Z59" s="116"/>
    </row>
    <row r="60">
      <c r="A60" s="116"/>
      <c r="B60" s="116"/>
      <c r="C60" s="116"/>
      <c r="D60" s="218"/>
      <c r="E60" s="116"/>
      <c r="F60" s="116"/>
      <c r="G60" s="219"/>
      <c r="H60" s="220"/>
      <c r="I60" s="220"/>
      <c r="J60" s="190"/>
      <c r="K60" s="190"/>
      <c r="L60" s="190"/>
      <c r="M60" s="191"/>
      <c r="N60" s="191"/>
      <c r="O60" s="190"/>
      <c r="P60" s="192"/>
      <c r="Q60" s="221"/>
      <c r="R60" s="192"/>
      <c r="S60" s="222"/>
      <c r="T60" s="179"/>
      <c r="U60" s="192"/>
      <c r="V60" s="223"/>
      <c r="W60" s="223"/>
      <c r="X60" s="223"/>
      <c r="Y60" s="223"/>
      <c r="Z60" s="116"/>
    </row>
    <row r="61">
      <c r="A61" s="116"/>
      <c r="B61" s="116"/>
      <c r="C61" s="116"/>
      <c r="D61" s="218"/>
      <c r="E61" s="116"/>
      <c r="F61" s="116"/>
      <c r="G61" s="219"/>
      <c r="H61" s="220"/>
      <c r="I61" s="220"/>
      <c r="J61" s="190"/>
      <c r="K61" s="190"/>
      <c r="L61" s="190"/>
      <c r="M61" s="191"/>
      <c r="N61" s="191"/>
      <c r="O61" s="190"/>
      <c r="P61" s="192"/>
      <c r="Q61" s="221"/>
      <c r="R61" s="192"/>
      <c r="S61" s="222"/>
      <c r="T61" s="179"/>
      <c r="U61" s="192"/>
      <c r="V61" s="223"/>
      <c r="W61" s="223"/>
      <c r="X61" s="223"/>
      <c r="Y61" s="223"/>
      <c r="Z61" s="116"/>
    </row>
    <row r="62">
      <c r="A62" s="116"/>
      <c r="B62" s="116"/>
      <c r="C62" s="116"/>
      <c r="D62" s="218"/>
      <c r="E62" s="116"/>
      <c r="F62" s="116"/>
      <c r="G62" s="219"/>
      <c r="H62" s="220"/>
      <c r="I62" s="220"/>
      <c r="J62" s="190"/>
      <c r="K62" s="190"/>
      <c r="L62" s="190"/>
      <c r="M62" s="191"/>
      <c r="N62" s="191"/>
      <c r="O62" s="190"/>
      <c r="P62" s="192"/>
      <c r="Q62" s="221"/>
      <c r="R62" s="192"/>
      <c r="S62" s="222"/>
      <c r="T62" s="179"/>
      <c r="U62" s="192"/>
      <c r="V62" s="223"/>
      <c r="W62" s="223"/>
      <c r="X62" s="223"/>
      <c r="Y62" s="223"/>
      <c r="Z62" s="116"/>
    </row>
    <row r="63">
      <c r="A63" s="116"/>
      <c r="B63" s="116"/>
      <c r="C63" s="116"/>
      <c r="D63" s="218"/>
      <c r="E63" s="116"/>
      <c r="F63" s="116"/>
      <c r="G63" s="219"/>
      <c r="H63" s="220"/>
      <c r="I63" s="220"/>
      <c r="J63" s="190"/>
      <c r="K63" s="190"/>
      <c r="L63" s="190"/>
      <c r="M63" s="191"/>
      <c r="N63" s="191"/>
      <c r="O63" s="190"/>
      <c r="P63" s="192"/>
      <c r="Q63" s="221"/>
      <c r="R63" s="192"/>
      <c r="S63" s="222"/>
      <c r="T63" s="179"/>
      <c r="U63" s="192"/>
      <c r="V63" s="223"/>
      <c r="W63" s="223"/>
      <c r="X63" s="223"/>
      <c r="Y63" s="223"/>
      <c r="Z63" s="116"/>
    </row>
    <row r="64">
      <c r="A64" s="116"/>
      <c r="B64" s="116"/>
      <c r="C64" s="116"/>
      <c r="D64" s="218"/>
      <c r="E64" s="116"/>
      <c r="F64" s="116"/>
      <c r="G64" s="219"/>
      <c r="H64" s="220"/>
      <c r="I64" s="220"/>
      <c r="J64" s="190"/>
      <c r="K64" s="190"/>
      <c r="L64" s="190"/>
      <c r="M64" s="191"/>
      <c r="N64" s="191"/>
      <c r="O64" s="190"/>
      <c r="P64" s="192"/>
      <c r="Q64" s="221"/>
      <c r="R64" s="192"/>
      <c r="S64" s="222"/>
      <c r="T64" s="179"/>
      <c r="U64" s="192"/>
      <c r="V64" s="223"/>
      <c r="W64" s="223"/>
      <c r="X64" s="223"/>
      <c r="Y64" s="223"/>
      <c r="Z64" s="116"/>
    </row>
    <row r="65">
      <c r="A65" s="116"/>
      <c r="B65" s="116"/>
      <c r="C65" s="116"/>
      <c r="D65" s="218"/>
      <c r="E65" s="116"/>
      <c r="F65" s="116"/>
      <c r="G65" s="219"/>
      <c r="H65" s="220"/>
      <c r="I65" s="220"/>
      <c r="J65" s="224"/>
      <c r="K65" s="224"/>
      <c r="L65" s="224"/>
      <c r="M65" s="225"/>
      <c r="N65" s="225"/>
      <c r="O65" s="224"/>
      <c r="P65" s="226"/>
      <c r="Q65" s="227"/>
      <c r="R65" s="226"/>
      <c r="S65" s="228"/>
      <c r="T65" s="229"/>
      <c r="U65" s="226"/>
      <c r="V65" s="223"/>
      <c r="W65" s="223"/>
      <c r="X65" s="223"/>
      <c r="Y65" s="223"/>
      <c r="Z65" s="116"/>
    </row>
    <row r="66">
      <c r="A66" s="116"/>
      <c r="B66" s="116"/>
      <c r="C66" s="116"/>
      <c r="D66" s="218"/>
      <c r="E66" s="116"/>
      <c r="F66" s="116"/>
      <c r="G66" s="219"/>
      <c r="H66" s="220"/>
      <c r="I66" s="116"/>
      <c r="J66" s="224"/>
      <c r="K66" s="224"/>
      <c r="L66" s="224"/>
      <c r="M66" s="225"/>
      <c r="N66" s="225"/>
      <c r="O66" s="224"/>
      <c r="P66" s="226"/>
      <c r="Q66" s="227"/>
      <c r="R66" s="226"/>
      <c r="S66" s="228"/>
      <c r="T66" s="229"/>
      <c r="U66" s="226"/>
      <c r="V66" s="223"/>
      <c r="W66" s="223"/>
      <c r="X66" s="223"/>
      <c r="Y66" s="223"/>
      <c r="Z66" s="116"/>
    </row>
    <row r="67"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</row>
    <row r="68"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</row>
    <row r="69"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</row>
    <row r="70"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</row>
    <row r="71"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</row>
    <row r="72"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</row>
    <row r="73"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</row>
    <row r="74"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</row>
    <row r="76"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  <row r="77"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</row>
    <row r="78"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</row>
    <row r="79"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</row>
    <row r="80"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</row>
    <row r="81"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</row>
    <row r="82"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</row>
    <row r="83"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</row>
    <row r="84"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</row>
    <row r="85"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</row>
    <row r="86"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">
      <formula1>"Previous Week,Current Week"</formula1>
    </dataValidation>
  </dataValidation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69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Week",$B$11:$Z$52,match("SALES",$B$11:$Z$11,0),FALSE)</f>
        <v>-1.105031845</v>
      </c>
      <c r="D4" s="116"/>
      <c r="E4" s="116"/>
      <c r="F4" s="161">
        <f>VLOOKUP("Current Week",$B$11:$Z$52,match("Units Sold",$B$11:$Z$11,0),FALSE)</f>
        <v>10</v>
      </c>
      <c r="G4" s="10"/>
      <c r="H4" s="8"/>
      <c r="I4" s="125"/>
      <c r="J4" s="161">
        <f>VLOOKUP("Current Week",$B$11:$Z$52,match("Ordered Items",$B$11:$Z$11,0),FALSE)</f>
        <v>10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Week",$B$11:$Z$56,match("SALES",$B$11:$Z$11,0),FALSE)))/C4</f>
        <v>1</v>
      </c>
      <c r="D5" s="116"/>
      <c r="E5" s="116"/>
      <c r="F5" s="165">
        <f>(F4-(VLOOKUP("Previous Week",$B$11:$Z$66,match("Units Sold",$B$11:$Z$11,0),FALSE)))/F4</f>
        <v>-1</v>
      </c>
      <c r="G5" s="10"/>
      <c r="H5" s="10"/>
      <c r="I5" s="8"/>
      <c r="J5" s="165">
        <f>(J4-(VLOOKUP("Previous Week",$B$11:$Z$66,match("Ordered Items",$B$11:$Z$11,0),FALSE)))/J4</f>
        <v>-0.6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Week",$B$11:$Z$52,match("AD SALES",$B$11:$Z$11,0),FALSE)</f>
        <v>#N/A</v>
      </c>
      <c r="D8" s="116"/>
      <c r="E8" s="116"/>
      <c r="F8" s="167" t="str">
        <f>VLOOKUP("Current Week",$B$11:$Z$52,match("SP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Week",$B$11:$Z$66,match("AD SALES",$B$11:$Z$11,0),FALSE)))/C8</f>
        <v>#N/A</v>
      </c>
      <c r="D9" s="116"/>
      <c r="E9" s="116"/>
      <c r="F9" s="170" t="str">
        <f>(F8-(VLOOKUP("Previous Week",$B$11:$Z$66,match("SP AD SPEND",$B$11:$Z$11,0),FALSE)))/F8</f>
        <v>#N/A</v>
      </c>
      <c r="I9" s="35"/>
      <c r="J9" s="170" t="str">
        <f>(J8-(VLOOKUP("Previous Week",$B$11:$Z$66,match("ACOS",$B$11:$Z$11,0),FALSE)))/J8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61</v>
      </c>
      <c r="D11" s="52" t="s">
        <v>62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outlineLevel="1">
      <c r="A13" s="101" t="str">
        <f>iferror(if(B13&gt;0,month(B13)&amp;"-"&amp;year(B13),B13),)</f>
        <v>12-2025</v>
      </c>
      <c r="B13" s="74">
        <v>46019.0</v>
      </c>
      <c r="C13" s="75" t="s">
        <v>63</v>
      </c>
      <c r="D13" s="93">
        <v>1271.58</v>
      </c>
      <c r="E13" s="150">
        <v>12.0</v>
      </c>
      <c r="F13" s="150">
        <v>9.0</v>
      </c>
      <c r="G13" s="78">
        <f t="shared" ref="G13:G52" si="1">E13/F13</f>
        <v>1.333333333</v>
      </c>
      <c r="H13" s="79">
        <f t="shared" ref="H13:H52" si="2">D13/E13</f>
        <v>105.965</v>
      </c>
      <c r="I13" s="79">
        <f t="shared" ref="I13:I52" si="3">H13/G13</f>
        <v>79.47375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outlineLevel="1">
      <c r="A14" s="116"/>
      <c r="B14" s="126"/>
      <c r="C14" s="75" t="s">
        <v>64</v>
      </c>
      <c r="D14" s="202">
        <v>149.75</v>
      </c>
      <c r="E14" s="150">
        <v>5.0</v>
      </c>
      <c r="F14" s="150">
        <v>3.0</v>
      </c>
      <c r="G14" s="78">
        <f t="shared" si="1"/>
        <v>1.666666667</v>
      </c>
      <c r="H14" s="79">
        <f t="shared" si="2"/>
        <v>29.95</v>
      </c>
      <c r="I14" s="79">
        <f t="shared" si="3"/>
        <v>17.97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outlineLevel="1">
      <c r="A15" s="116" t="str">
        <f t="shared" ref="A15:A18" si="4">iferror(if(B15&gt;0,month(B15)&amp;"-"&amp;year(B15),B15),)</f>
        <v/>
      </c>
      <c r="B15" s="126"/>
      <c r="C15" s="75" t="s">
        <v>65</v>
      </c>
      <c r="D15" s="202">
        <v>0.0</v>
      </c>
      <c r="E15" s="150">
        <v>0.0</v>
      </c>
      <c r="F15" s="150">
        <v>0.0</v>
      </c>
      <c r="G15" s="78" t="str">
        <f t="shared" si="1"/>
        <v>#DIV/0!</v>
      </c>
      <c r="H15" s="79" t="str">
        <f t="shared" si="2"/>
        <v>#DIV/0!</v>
      </c>
      <c r="I15" s="79" t="str">
        <f t="shared" si="3"/>
        <v>#DIV/0!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outlineLevel="1">
      <c r="A16" s="101" t="str">
        <f t="shared" si="4"/>
        <v>1-2026</v>
      </c>
      <c r="B16" s="143">
        <v>46025.0</v>
      </c>
      <c r="C16" s="75" t="s">
        <v>66</v>
      </c>
      <c r="D16" s="203">
        <v>843.66</v>
      </c>
      <c r="E16" s="150">
        <v>6.0</v>
      </c>
      <c r="F16" s="150">
        <v>6.0</v>
      </c>
      <c r="G16" s="78">
        <f t="shared" si="1"/>
        <v>1</v>
      </c>
      <c r="H16" s="79">
        <f t="shared" si="2"/>
        <v>140.61</v>
      </c>
      <c r="I16" s="79">
        <f t="shared" si="3"/>
        <v>140.61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outlineLevel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2264.99</v>
      </c>
      <c r="E17" s="105">
        <f t="shared" si="5"/>
        <v>23</v>
      </c>
      <c r="F17" s="105">
        <f t="shared" si="5"/>
        <v>18</v>
      </c>
      <c r="G17" s="106">
        <f t="shared" si="1"/>
        <v>1.277777778</v>
      </c>
      <c r="H17" s="107">
        <f t="shared" si="2"/>
        <v>98.47782609</v>
      </c>
      <c r="I17" s="107">
        <f t="shared" si="3"/>
        <v>77.06960302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outlineLevel="1">
      <c r="A18" s="101" t="str">
        <f t="shared" si="4"/>
        <v>1-2026</v>
      </c>
      <c r="B18" s="74">
        <v>46026.0</v>
      </c>
      <c r="C18" s="75" t="s">
        <v>63</v>
      </c>
      <c r="D18" s="93">
        <v>1400.79</v>
      </c>
      <c r="E18" s="150">
        <v>9.0</v>
      </c>
      <c r="F18" s="150">
        <v>9.0</v>
      </c>
      <c r="G18" s="78">
        <f t="shared" si="1"/>
        <v>1</v>
      </c>
      <c r="H18" s="79">
        <f t="shared" si="2"/>
        <v>155.6433333</v>
      </c>
      <c r="I18" s="79">
        <f t="shared" si="3"/>
        <v>155.6433333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outlineLevel="1">
      <c r="A19" s="116"/>
      <c r="B19" s="126"/>
      <c r="C19" s="75" t="s">
        <v>64</v>
      </c>
      <c r="D19" s="202">
        <v>175.0</v>
      </c>
      <c r="E19" s="150">
        <v>2.0</v>
      </c>
      <c r="F19" s="150">
        <v>1.0</v>
      </c>
      <c r="G19" s="78">
        <f t="shared" si="1"/>
        <v>2</v>
      </c>
      <c r="H19" s="79">
        <f t="shared" si="2"/>
        <v>87.5</v>
      </c>
      <c r="I19" s="79">
        <f t="shared" si="3"/>
        <v>43.75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outlineLevel="1">
      <c r="A20" s="116" t="str">
        <f t="shared" ref="A20:A23" si="8">iferror(if(B20&gt;0,month(B20)&amp;"-"&amp;year(B20),B20),)</f>
        <v/>
      </c>
      <c r="B20" s="126"/>
      <c r="C20" s="75" t="s">
        <v>65</v>
      </c>
      <c r="D20" s="202">
        <v>0.0</v>
      </c>
      <c r="E20" s="150">
        <v>0.0</v>
      </c>
      <c r="F20" s="150">
        <v>0.0</v>
      </c>
      <c r="G20" s="78" t="str">
        <f t="shared" si="1"/>
        <v>#DIV/0!</v>
      </c>
      <c r="H20" s="79" t="str">
        <f t="shared" si="2"/>
        <v>#DIV/0!</v>
      </c>
      <c r="I20" s="79" t="str">
        <f t="shared" si="3"/>
        <v>#DIV/0!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outlineLevel="1">
      <c r="A21" s="101" t="str">
        <f t="shared" si="8"/>
        <v>1-2026</v>
      </c>
      <c r="B21" s="74">
        <v>46032.0</v>
      </c>
      <c r="C21" s="75" t="s">
        <v>66</v>
      </c>
      <c r="D21" s="203">
        <v>1895.16</v>
      </c>
      <c r="E21" s="150">
        <v>11.0</v>
      </c>
      <c r="F21" s="150">
        <v>9.0</v>
      </c>
      <c r="G21" s="78">
        <f t="shared" si="1"/>
        <v>1.222222222</v>
      </c>
      <c r="H21" s="79">
        <f t="shared" si="2"/>
        <v>172.2872727</v>
      </c>
      <c r="I21" s="79">
        <f t="shared" si="3"/>
        <v>140.962314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outlineLevel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3470.95</v>
      </c>
      <c r="E22" s="105">
        <f t="shared" si="9"/>
        <v>22</v>
      </c>
      <c r="F22" s="105">
        <f t="shared" si="9"/>
        <v>19</v>
      </c>
      <c r="G22" s="106">
        <f t="shared" si="1"/>
        <v>1.157894737</v>
      </c>
      <c r="H22" s="107">
        <f t="shared" si="2"/>
        <v>157.7704545</v>
      </c>
      <c r="I22" s="107">
        <f t="shared" si="3"/>
        <v>136.2563017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outlineLevel="1">
      <c r="A23" s="101" t="str">
        <f t="shared" si="8"/>
        <v>1-2026</v>
      </c>
      <c r="B23" s="74">
        <v>46033.0</v>
      </c>
      <c r="C23" s="75" t="s">
        <v>63</v>
      </c>
      <c r="D23" s="93">
        <v>730.86</v>
      </c>
      <c r="E23" s="150">
        <v>9.0</v>
      </c>
      <c r="F23" s="150">
        <v>8.0</v>
      </c>
      <c r="G23" s="78">
        <f t="shared" si="1"/>
        <v>1.125</v>
      </c>
      <c r="H23" s="79">
        <f t="shared" si="2"/>
        <v>81.20666667</v>
      </c>
      <c r="I23" s="79">
        <f t="shared" si="3"/>
        <v>72.1837037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outlineLevel="1">
      <c r="A24" s="116"/>
      <c r="B24" s="126"/>
      <c r="C24" s="75" t="s">
        <v>64</v>
      </c>
      <c r="D24" s="202">
        <v>0.0</v>
      </c>
      <c r="E24" s="150">
        <v>0.0</v>
      </c>
      <c r="F24" s="150">
        <v>0.0</v>
      </c>
      <c r="G24" s="78" t="str">
        <f t="shared" si="1"/>
        <v>#DIV/0!</v>
      </c>
      <c r="H24" s="79" t="str">
        <f t="shared" si="2"/>
        <v>#DIV/0!</v>
      </c>
      <c r="I24" s="79" t="str">
        <f t="shared" si="3"/>
        <v>#DIV/0!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outlineLevel="1">
      <c r="A25" s="116" t="str">
        <f t="shared" ref="A25:A29" si="12">iferror(if(B25&gt;0,month(B25)&amp;"-"&amp;year(B25),B25),)</f>
        <v/>
      </c>
      <c r="B25" s="126"/>
      <c r="C25" s="75" t="s">
        <v>65</v>
      </c>
      <c r="D25" s="202">
        <v>310.0</v>
      </c>
      <c r="E25" s="150">
        <v>3.0</v>
      </c>
      <c r="F25" s="150">
        <v>3.0</v>
      </c>
      <c r="G25" s="78">
        <f t="shared" si="1"/>
        <v>1</v>
      </c>
      <c r="H25" s="79">
        <f t="shared" si="2"/>
        <v>103.3333333</v>
      </c>
      <c r="I25" s="79">
        <f t="shared" si="3"/>
        <v>103.3333333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outlineLevel="1">
      <c r="A26" s="101" t="str">
        <f t="shared" si="12"/>
        <v>1-2026</v>
      </c>
      <c r="B26" s="74">
        <v>46039.0</v>
      </c>
      <c r="C26" s="75" t="s">
        <v>66</v>
      </c>
      <c r="D26" s="203">
        <v>2643.26</v>
      </c>
      <c r="E26" s="150">
        <v>13.0</v>
      </c>
      <c r="F26" s="150">
        <v>13.0</v>
      </c>
      <c r="G26" s="78">
        <f t="shared" si="1"/>
        <v>1</v>
      </c>
      <c r="H26" s="79">
        <f t="shared" si="2"/>
        <v>203.3276923</v>
      </c>
      <c r="I26" s="79">
        <f t="shared" si="3"/>
        <v>203.3276923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outlineLevel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3684.12</v>
      </c>
      <c r="E27" s="105">
        <f t="shared" si="13"/>
        <v>25</v>
      </c>
      <c r="F27" s="105">
        <f t="shared" si="13"/>
        <v>24</v>
      </c>
      <c r="G27" s="106">
        <f t="shared" si="1"/>
        <v>1.041666667</v>
      </c>
      <c r="H27" s="107">
        <f t="shared" si="2"/>
        <v>147.3648</v>
      </c>
      <c r="I27" s="107">
        <f t="shared" si="3"/>
        <v>141.470208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outlineLevel="1">
      <c r="A28" s="101" t="str">
        <f t="shared" si="12"/>
        <v>1-2026</v>
      </c>
      <c r="B28" s="74">
        <v>46040.0</v>
      </c>
      <c r="C28" s="75" t="s">
        <v>63</v>
      </c>
      <c r="D28" s="93">
        <v>224.93</v>
      </c>
      <c r="E28" s="150">
        <v>3.0</v>
      </c>
      <c r="F28" s="150">
        <v>3.0</v>
      </c>
      <c r="G28" s="78">
        <f t="shared" si="1"/>
        <v>1</v>
      </c>
      <c r="H28" s="79">
        <f t="shared" si="2"/>
        <v>74.97666667</v>
      </c>
      <c r="I28" s="79">
        <f t="shared" si="3"/>
        <v>74.97666667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outlineLevel="1">
      <c r="A29" s="116" t="str">
        <f t="shared" si="12"/>
        <v/>
      </c>
      <c r="B29" s="126"/>
      <c r="C29" s="75" t="s">
        <v>64</v>
      </c>
      <c r="D29" s="202">
        <v>0.0</v>
      </c>
      <c r="E29" s="150">
        <v>0.0</v>
      </c>
      <c r="F29" s="150">
        <v>0.0</v>
      </c>
      <c r="G29" s="78" t="str">
        <f t="shared" si="1"/>
        <v>#DIV/0!</v>
      </c>
      <c r="H29" s="79" t="str">
        <f t="shared" si="2"/>
        <v>#DIV/0!</v>
      </c>
      <c r="I29" s="79" t="str">
        <f t="shared" si="3"/>
        <v>#DIV/0!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outlineLevel="1">
      <c r="A30" s="116"/>
      <c r="B30" s="126"/>
      <c r="C30" s="75" t="s">
        <v>65</v>
      </c>
      <c r="D30" s="202">
        <v>110.0</v>
      </c>
      <c r="E30" s="150">
        <v>1.0</v>
      </c>
      <c r="F30" s="150">
        <v>1.0</v>
      </c>
      <c r="G30" s="78">
        <f t="shared" si="1"/>
        <v>1</v>
      </c>
      <c r="H30" s="79">
        <f t="shared" si="2"/>
        <v>110</v>
      </c>
      <c r="I30" s="79">
        <f t="shared" si="3"/>
        <v>110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66</v>
      </c>
      <c r="D31" s="203">
        <v>2233.15</v>
      </c>
      <c r="E31" s="150">
        <v>11.0</v>
      </c>
      <c r="F31" s="150">
        <v>10.0</v>
      </c>
      <c r="G31" s="78">
        <f t="shared" si="1"/>
        <v>1.1</v>
      </c>
      <c r="H31" s="79">
        <f t="shared" si="2"/>
        <v>203.0136364</v>
      </c>
      <c r="I31" s="79">
        <f t="shared" si="3"/>
        <v>184.5578512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>
      <c r="A32" s="116" t="str">
        <f t="shared" si="16"/>
        <v/>
      </c>
      <c r="B32" s="204" t="s">
        <v>58</v>
      </c>
      <c r="C32" s="185"/>
      <c r="D32" s="104">
        <f t="shared" ref="D32:F32" si="17">SUM(D28:D31)</f>
        <v>2568.08</v>
      </c>
      <c r="E32" s="105">
        <f t="shared" si="17"/>
        <v>15</v>
      </c>
      <c r="F32" s="105">
        <f t="shared" si="17"/>
        <v>14</v>
      </c>
      <c r="G32" s="106">
        <f t="shared" si="1"/>
        <v>1.071428571</v>
      </c>
      <c r="H32" s="107">
        <f t="shared" si="2"/>
        <v>171.2053333</v>
      </c>
      <c r="I32" s="107">
        <f t="shared" si="3"/>
        <v>159.7916444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outlineLevel="1">
      <c r="A33" s="101" t="str">
        <f t="shared" si="16"/>
        <v>1-2026</v>
      </c>
      <c r="B33" s="74">
        <v>46047.0</v>
      </c>
      <c r="C33" s="75" t="s">
        <v>63</v>
      </c>
      <c r="D33" s="93">
        <v>609.79</v>
      </c>
      <c r="E33" s="150">
        <v>4.0</v>
      </c>
      <c r="F33" s="150">
        <v>4.0</v>
      </c>
      <c r="G33" s="78">
        <f t="shared" si="1"/>
        <v>1</v>
      </c>
      <c r="H33" s="79">
        <f t="shared" si="2"/>
        <v>152.4475</v>
      </c>
      <c r="I33" s="79">
        <f t="shared" si="3"/>
        <v>152.4475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outlineLevel="1">
      <c r="A34" s="116"/>
      <c r="B34" s="126"/>
      <c r="C34" s="75" t="s">
        <v>64</v>
      </c>
      <c r="D34" s="202">
        <v>0.0</v>
      </c>
      <c r="E34" s="150">
        <v>0.0</v>
      </c>
      <c r="F34" s="150">
        <v>0.0</v>
      </c>
      <c r="G34" s="78" t="str">
        <f t="shared" si="1"/>
        <v>#DIV/0!</v>
      </c>
      <c r="H34" s="79" t="str">
        <f t="shared" si="2"/>
        <v>#DIV/0!</v>
      </c>
      <c r="I34" s="79" t="str">
        <f t="shared" si="3"/>
        <v>#DIV/0!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outlineLevel="1">
      <c r="A35" s="116" t="str">
        <f t="shared" ref="A35:A38" si="20">iferror(if(B35&gt;0,month(B35)&amp;"-"&amp;year(B35),B35),)</f>
        <v/>
      </c>
      <c r="B35" s="126"/>
      <c r="C35" s="75" t="s">
        <v>65</v>
      </c>
      <c r="D35" s="202">
        <v>90.0</v>
      </c>
      <c r="E35" s="150">
        <v>1.0</v>
      </c>
      <c r="F35" s="150">
        <v>1.0</v>
      </c>
      <c r="G35" s="78">
        <f t="shared" si="1"/>
        <v>1</v>
      </c>
      <c r="H35" s="79">
        <f t="shared" si="2"/>
        <v>90</v>
      </c>
      <c r="I35" s="79">
        <f t="shared" si="3"/>
        <v>90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outlineLevel="1">
      <c r="A36" s="101" t="str">
        <f t="shared" si="20"/>
        <v>1-2026</v>
      </c>
      <c r="B36" s="74">
        <v>46053.0</v>
      </c>
      <c r="C36" s="75" t="s">
        <v>66</v>
      </c>
      <c r="D36" s="203">
        <v>1666.99</v>
      </c>
      <c r="E36" s="150">
        <v>8.0</v>
      </c>
      <c r="F36" s="150">
        <v>8.0</v>
      </c>
      <c r="G36" s="78">
        <f t="shared" si="1"/>
        <v>1</v>
      </c>
      <c r="H36" s="79">
        <f t="shared" si="2"/>
        <v>208.37375</v>
      </c>
      <c r="I36" s="79">
        <f t="shared" si="3"/>
        <v>208.37375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>
      <c r="A37" s="116" t="str">
        <f t="shared" si="20"/>
        <v/>
      </c>
      <c r="B37" s="204" t="s">
        <v>59</v>
      </c>
      <c r="C37" s="185"/>
      <c r="D37" s="104">
        <f t="shared" ref="D37:F37" si="21">SUM(D33:D36)</f>
        <v>2366.78</v>
      </c>
      <c r="E37" s="105">
        <f t="shared" si="21"/>
        <v>13</v>
      </c>
      <c r="F37" s="105">
        <f t="shared" si="21"/>
        <v>13</v>
      </c>
      <c r="G37" s="106">
        <f t="shared" si="1"/>
        <v>1</v>
      </c>
      <c r="H37" s="107">
        <f t="shared" si="2"/>
        <v>182.06</v>
      </c>
      <c r="I37" s="107">
        <f t="shared" si="3"/>
        <v>182.06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outlineLevel="1">
      <c r="A38" s="101" t="str">
        <f t="shared" si="20"/>
        <v>2-2026</v>
      </c>
      <c r="B38" s="74">
        <v>46054.0</v>
      </c>
      <c r="C38" s="117" t="s">
        <v>63</v>
      </c>
      <c r="D38" s="128">
        <v>1175.86</v>
      </c>
      <c r="E38" s="146">
        <v>6.0</v>
      </c>
      <c r="F38" s="146">
        <v>6.0</v>
      </c>
      <c r="G38" s="78">
        <f t="shared" si="1"/>
        <v>1</v>
      </c>
      <c r="H38" s="79">
        <f t="shared" si="2"/>
        <v>195.9766667</v>
      </c>
      <c r="I38" s="79">
        <f t="shared" si="3"/>
        <v>195.9766667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outlineLevel="1">
      <c r="A39" s="116"/>
      <c r="B39" s="126"/>
      <c r="C39" s="117" t="s">
        <v>64</v>
      </c>
      <c r="D39" s="213">
        <v>0.0</v>
      </c>
      <c r="E39" s="146">
        <v>0.0</v>
      </c>
      <c r="F39" s="146">
        <v>0.0</v>
      </c>
      <c r="G39" s="78" t="str">
        <f t="shared" si="1"/>
        <v>#DIV/0!</v>
      </c>
      <c r="H39" s="79" t="str">
        <f t="shared" si="2"/>
        <v>#DIV/0!</v>
      </c>
      <c r="I39" s="79" t="str">
        <f t="shared" si="3"/>
        <v>#DIV/0!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outlineLevel="1">
      <c r="A40" s="116" t="str">
        <f t="shared" ref="A40:A43" si="24">iferror(if(B40&gt;0,month(B40)&amp;"-"&amp;year(B40),B40),)</f>
        <v/>
      </c>
      <c r="B40" s="126"/>
      <c r="C40" s="117" t="s">
        <v>65</v>
      </c>
      <c r="D40" s="213">
        <v>0.0</v>
      </c>
      <c r="E40" s="146">
        <v>0.0</v>
      </c>
      <c r="F40" s="146">
        <v>0.0</v>
      </c>
      <c r="G40" s="78" t="str">
        <f t="shared" si="1"/>
        <v>#DIV/0!</v>
      </c>
      <c r="H40" s="79" t="str">
        <f t="shared" si="2"/>
        <v>#DIV/0!</v>
      </c>
      <c r="I40" s="79" t="str">
        <f t="shared" si="3"/>
        <v>#DIV/0!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outlineLevel="1">
      <c r="A41" s="101" t="str">
        <f t="shared" si="24"/>
        <v>2-2026</v>
      </c>
      <c r="B41" s="74">
        <v>46060.0</v>
      </c>
      <c r="C41" s="117" t="s">
        <v>66</v>
      </c>
      <c r="D41" s="214">
        <v>1957.76</v>
      </c>
      <c r="E41" s="146">
        <v>14.0</v>
      </c>
      <c r="F41" s="146">
        <v>10.0</v>
      </c>
      <c r="G41" s="78">
        <f t="shared" si="1"/>
        <v>1.4</v>
      </c>
      <c r="H41" s="79">
        <f t="shared" si="2"/>
        <v>139.84</v>
      </c>
      <c r="I41" s="79">
        <f t="shared" si="3"/>
        <v>99.88571429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>
      <c r="A42" s="116" t="str">
        <f t="shared" si="24"/>
        <v/>
      </c>
      <c r="B42" s="216" t="s">
        <v>51</v>
      </c>
      <c r="C42" s="138"/>
      <c r="D42" s="104">
        <f t="shared" ref="D42:F42" si="25">SUM(D38:D41)</f>
        <v>3133.62</v>
      </c>
      <c r="E42" s="139">
        <f t="shared" si="25"/>
        <v>20</v>
      </c>
      <c r="F42" s="139">
        <f t="shared" si="25"/>
        <v>16</v>
      </c>
      <c r="G42" s="106">
        <f t="shared" si="1"/>
        <v>1.25</v>
      </c>
      <c r="H42" s="107">
        <f t="shared" si="2"/>
        <v>156.681</v>
      </c>
      <c r="I42" s="107">
        <f t="shared" si="3"/>
        <v>125.3448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>
      <c r="A43" s="101" t="str">
        <f t="shared" si="24"/>
        <v>2-2026</v>
      </c>
      <c r="B43" s="74">
        <v>46061.0</v>
      </c>
      <c r="C43" s="75" t="s">
        <v>63</v>
      </c>
      <c r="D43" s="93">
        <v>1231.26</v>
      </c>
      <c r="E43" s="150">
        <v>5.0</v>
      </c>
      <c r="F43" s="150">
        <v>5.0</v>
      </c>
      <c r="G43" s="78">
        <f t="shared" si="1"/>
        <v>1</v>
      </c>
      <c r="H43" s="79">
        <f t="shared" si="2"/>
        <v>246.252</v>
      </c>
      <c r="I43" s="79">
        <f t="shared" si="3"/>
        <v>246.252</v>
      </c>
      <c r="J43" s="195"/>
      <c r="K43" s="195"/>
      <c r="L43" s="195"/>
      <c r="M43" s="196"/>
      <c r="N43" s="197"/>
      <c r="O43" s="195"/>
      <c r="P43" s="198"/>
      <c r="Q43" s="199"/>
      <c r="R43" s="198"/>
      <c r="S43" s="198"/>
      <c r="T43" s="200"/>
      <c r="U43" s="201"/>
      <c r="V43" s="124"/>
      <c r="W43" s="124"/>
      <c r="X43" s="124"/>
      <c r="Y43" s="124"/>
      <c r="Z43" s="125"/>
    </row>
    <row r="44">
      <c r="A44" s="116"/>
      <c r="B44" s="126"/>
      <c r="C44" s="75" t="s">
        <v>64</v>
      </c>
      <c r="D44" s="202">
        <v>87.5</v>
      </c>
      <c r="E44" s="150">
        <v>1.0</v>
      </c>
      <c r="F44" s="150">
        <v>1.0</v>
      </c>
      <c r="G44" s="78">
        <f t="shared" si="1"/>
        <v>1</v>
      </c>
      <c r="H44" s="79">
        <f t="shared" si="2"/>
        <v>87.5</v>
      </c>
      <c r="I44" s="79">
        <f t="shared" si="3"/>
        <v>87.5</v>
      </c>
      <c r="J44" s="195"/>
      <c r="K44" s="195"/>
      <c r="L44" s="195"/>
      <c r="M44" s="196"/>
      <c r="N44" s="197"/>
      <c r="O44" s="195"/>
      <c r="P44" s="198"/>
      <c r="Q44" s="199"/>
      <c r="R44" s="198"/>
      <c r="S44" s="198"/>
      <c r="T44" s="200"/>
      <c r="U44" s="201"/>
      <c r="V44" s="124"/>
      <c r="W44" s="124"/>
      <c r="X44" s="124"/>
      <c r="Y44" s="124"/>
      <c r="Z44" s="125"/>
    </row>
    <row r="45">
      <c r="A45" s="116" t="str">
        <f t="shared" ref="A45:A48" si="28">iferror(if(B45&gt;0,month(B45)&amp;"-"&amp;year(B45),B45),)</f>
        <v/>
      </c>
      <c r="B45" s="126"/>
      <c r="C45" s="75" t="s">
        <v>65</v>
      </c>
      <c r="D45" s="202">
        <v>200.0</v>
      </c>
      <c r="E45" s="150">
        <v>2.0</v>
      </c>
      <c r="F45" s="150">
        <v>2.0</v>
      </c>
      <c r="G45" s="78">
        <f t="shared" si="1"/>
        <v>1</v>
      </c>
      <c r="H45" s="79">
        <f t="shared" si="2"/>
        <v>100</v>
      </c>
      <c r="I45" s="79">
        <f t="shared" si="3"/>
        <v>100</v>
      </c>
      <c r="J45" s="195"/>
      <c r="K45" s="195"/>
      <c r="L45" s="195"/>
      <c r="M45" s="196"/>
      <c r="N45" s="197"/>
      <c r="O45" s="195"/>
      <c r="P45" s="198"/>
      <c r="Q45" s="199"/>
      <c r="R45" s="198"/>
      <c r="S45" s="198"/>
      <c r="T45" s="200"/>
      <c r="U45" s="201"/>
      <c r="V45" s="124"/>
      <c r="W45" s="124"/>
      <c r="X45" s="124"/>
      <c r="Y45" s="124"/>
      <c r="Z45" s="125"/>
    </row>
    <row r="46">
      <c r="A46" s="101" t="str">
        <f t="shared" si="28"/>
        <v>2-2026</v>
      </c>
      <c r="B46" s="74">
        <v>46067.0</v>
      </c>
      <c r="C46" s="75" t="s">
        <v>66</v>
      </c>
      <c r="D46" s="203">
        <v>1872.32</v>
      </c>
      <c r="E46" s="150">
        <v>11.0</v>
      </c>
      <c r="F46" s="150">
        <v>10.0</v>
      </c>
      <c r="G46" s="78">
        <f t="shared" si="1"/>
        <v>1.1</v>
      </c>
      <c r="H46" s="79">
        <f t="shared" si="2"/>
        <v>170.2109091</v>
      </c>
      <c r="I46" s="79">
        <f t="shared" si="3"/>
        <v>154.7371901</v>
      </c>
      <c r="J46" s="195"/>
      <c r="K46" s="195"/>
      <c r="L46" s="195"/>
      <c r="M46" s="196"/>
      <c r="N46" s="197"/>
      <c r="O46" s="195"/>
      <c r="P46" s="198"/>
      <c r="Q46" s="199"/>
      <c r="R46" s="198"/>
      <c r="S46" s="198"/>
      <c r="T46" s="200"/>
      <c r="U46" s="201"/>
      <c r="V46" s="124"/>
      <c r="W46" s="124"/>
      <c r="X46" s="124"/>
      <c r="Y46" s="124"/>
      <c r="Z46" s="125"/>
    </row>
    <row r="47">
      <c r="A47" s="116" t="str">
        <f t="shared" si="28"/>
        <v/>
      </c>
      <c r="B47" s="103" t="s">
        <v>51</v>
      </c>
      <c r="C47" s="185"/>
      <c r="D47" s="104">
        <f t="shared" ref="D47:F47" si="29">SUM(D43:D46)</f>
        <v>3391.08</v>
      </c>
      <c r="E47" s="105">
        <f t="shared" si="29"/>
        <v>19</v>
      </c>
      <c r="F47" s="105">
        <f t="shared" si="29"/>
        <v>18</v>
      </c>
      <c r="G47" s="106">
        <f t="shared" si="1"/>
        <v>1.055555556</v>
      </c>
      <c r="H47" s="107">
        <f t="shared" si="2"/>
        <v>178.4778947</v>
      </c>
      <c r="I47" s="107">
        <f t="shared" si="3"/>
        <v>169.0843213</v>
      </c>
      <c r="J47" s="205"/>
      <c r="K47" s="205"/>
      <c r="L47" s="205"/>
      <c r="M47" s="206"/>
      <c r="N47" s="207"/>
      <c r="O47" s="205"/>
      <c r="P47" s="208"/>
      <c r="Q47" s="209"/>
      <c r="R47" s="208"/>
      <c r="S47" s="208"/>
      <c r="T47" s="210"/>
      <c r="U47" s="211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63</v>
      </c>
      <c r="D48" s="93">
        <v>211.93</v>
      </c>
      <c r="E48" s="150">
        <v>2.0</v>
      </c>
      <c r="F48" s="150">
        <v>2.0</v>
      </c>
      <c r="G48" s="78">
        <f t="shared" si="1"/>
        <v>1</v>
      </c>
      <c r="H48" s="79">
        <f t="shared" si="2"/>
        <v>105.965</v>
      </c>
      <c r="I48" s="79">
        <f t="shared" si="3"/>
        <v>105.965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64</v>
      </c>
      <c r="D49" s="202">
        <v>89.85</v>
      </c>
      <c r="E49" s="150">
        <v>3.0</v>
      </c>
      <c r="F49" s="150">
        <v>3.0</v>
      </c>
      <c r="G49" s="78">
        <f t="shared" si="1"/>
        <v>1</v>
      </c>
      <c r="H49" s="79">
        <f t="shared" si="2"/>
        <v>29.95</v>
      </c>
      <c r="I49" s="79">
        <f t="shared" si="3"/>
        <v>29.95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2" si="32">iferror(if(B50&gt;0,month(B50)&amp;"-"&amp;year(B50),B50),)</f>
        <v/>
      </c>
      <c r="B50" s="126"/>
      <c r="C50" s="75" t="s">
        <v>65</v>
      </c>
      <c r="D50" s="202">
        <v>0.0</v>
      </c>
      <c r="E50" s="150">
        <v>0.0</v>
      </c>
      <c r="F50" s="150">
        <v>0.0</v>
      </c>
      <c r="G50" s="78" t="str">
        <f t="shared" si="1"/>
        <v>#DIV/0!</v>
      </c>
      <c r="H50" s="79" t="str">
        <f t="shared" si="2"/>
        <v>#DIV/0!</v>
      </c>
      <c r="I50" s="79" t="str">
        <f t="shared" si="3"/>
        <v>#DIV/0!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66</v>
      </c>
      <c r="D51" s="203">
        <v>1309.16</v>
      </c>
      <c r="E51" s="150">
        <v>5.0</v>
      </c>
      <c r="F51" s="150">
        <v>5.0</v>
      </c>
      <c r="G51" s="78">
        <f t="shared" si="1"/>
        <v>1</v>
      </c>
      <c r="H51" s="79">
        <f t="shared" si="2"/>
        <v>261.832</v>
      </c>
      <c r="I51" s="79">
        <f t="shared" si="3"/>
        <v>261.832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216" t="s">
        <v>52</v>
      </c>
      <c r="C52" s="185"/>
      <c r="D52" s="104">
        <f t="shared" ref="D52:F52" si="33">SUM(D48:D51)</f>
        <v>1610.94</v>
      </c>
      <c r="E52" s="105">
        <f t="shared" si="33"/>
        <v>10</v>
      </c>
      <c r="F52" s="105">
        <f t="shared" si="33"/>
        <v>10</v>
      </c>
      <c r="G52" s="106">
        <f t="shared" si="1"/>
        <v>1</v>
      </c>
      <c r="H52" s="107">
        <f t="shared" si="2"/>
        <v>161.094</v>
      </c>
      <c r="I52" s="107">
        <f t="shared" si="3"/>
        <v>161.094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217">
        <f t="shared" ref="V52:W52" si="34">IFERROR((D52-D47)/D52,)</f>
        <v>-1.105031845</v>
      </c>
      <c r="W52" s="217">
        <f t="shared" si="34"/>
        <v>-0.9</v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16"/>
      <c r="B53" s="116"/>
      <c r="C53" s="116"/>
      <c r="D53" s="218"/>
      <c r="E53" s="116"/>
      <c r="F53" s="116"/>
      <c r="G53" s="219"/>
      <c r="H53" s="220"/>
      <c r="I53" s="220"/>
      <c r="J53" s="190"/>
      <c r="K53" s="190"/>
      <c r="L53" s="190"/>
      <c r="M53" s="191"/>
      <c r="N53" s="191"/>
      <c r="O53" s="190"/>
      <c r="P53" s="192"/>
      <c r="Q53" s="221"/>
      <c r="R53" s="192"/>
      <c r="S53" s="222"/>
      <c r="T53" s="179"/>
      <c r="U53" s="192"/>
      <c r="V53" s="223"/>
      <c r="W53" s="223"/>
      <c r="X53" s="223"/>
      <c r="Y53" s="223"/>
      <c r="Z53" s="116"/>
    </row>
    <row r="54">
      <c r="A54" s="116"/>
      <c r="B54" s="116"/>
      <c r="C54" s="116"/>
      <c r="D54" s="218"/>
      <c r="E54" s="116"/>
      <c r="F54" s="116"/>
      <c r="G54" s="219"/>
      <c r="H54" s="220"/>
      <c r="I54" s="220"/>
      <c r="J54" s="190"/>
      <c r="K54" s="190"/>
      <c r="L54" s="190"/>
      <c r="M54" s="191"/>
      <c r="N54" s="191"/>
      <c r="O54" s="190"/>
      <c r="P54" s="192"/>
      <c r="Q54" s="221"/>
      <c r="R54" s="192"/>
      <c r="S54" s="222"/>
      <c r="T54" s="179"/>
      <c r="U54" s="192"/>
      <c r="V54" s="223"/>
      <c r="W54" s="223"/>
      <c r="X54" s="223"/>
      <c r="Y54" s="223"/>
      <c r="Z54" s="116"/>
    </row>
    <row r="55">
      <c r="A55" s="116"/>
      <c r="B55" s="116"/>
      <c r="C55" s="116"/>
      <c r="D55" s="218"/>
      <c r="E55" s="116"/>
      <c r="F55" s="116"/>
      <c r="G55" s="219"/>
      <c r="H55" s="220"/>
      <c r="I55" s="220"/>
      <c r="J55" s="190"/>
      <c r="K55" s="190"/>
      <c r="L55" s="190"/>
      <c r="M55" s="191"/>
      <c r="N55" s="191"/>
      <c r="O55" s="190"/>
      <c r="P55" s="192"/>
      <c r="Q55" s="221"/>
      <c r="R55" s="192"/>
      <c r="S55" s="222"/>
      <c r="T55" s="179"/>
      <c r="U55" s="192"/>
      <c r="V55" s="223"/>
      <c r="W55" s="223"/>
      <c r="X55" s="223"/>
      <c r="Y55" s="223"/>
      <c r="Z55" s="116"/>
    </row>
    <row r="56">
      <c r="A56" s="116"/>
      <c r="B56" s="116"/>
      <c r="C56" s="116"/>
      <c r="D56" s="218"/>
      <c r="E56" s="116"/>
      <c r="F56" s="116"/>
      <c r="G56" s="219"/>
      <c r="H56" s="220"/>
      <c r="I56" s="220"/>
      <c r="J56" s="190"/>
      <c r="K56" s="190"/>
      <c r="L56" s="190"/>
      <c r="M56" s="191"/>
      <c r="N56" s="191"/>
      <c r="O56" s="190"/>
      <c r="P56" s="192"/>
      <c r="Q56" s="221"/>
      <c r="R56" s="192"/>
      <c r="S56" s="222"/>
      <c r="T56" s="179"/>
      <c r="U56" s="192"/>
      <c r="V56" s="223"/>
      <c r="W56" s="223"/>
      <c r="X56" s="223"/>
      <c r="Y56" s="223"/>
      <c r="Z56" s="116"/>
    </row>
    <row r="57">
      <c r="A57" s="116"/>
      <c r="B57" s="116"/>
      <c r="C57" s="116"/>
      <c r="D57" s="218"/>
      <c r="E57" s="116"/>
      <c r="F57" s="116"/>
      <c r="G57" s="219"/>
      <c r="H57" s="220"/>
      <c r="I57" s="220"/>
      <c r="J57" s="190"/>
      <c r="K57" s="190"/>
      <c r="L57" s="190"/>
      <c r="M57" s="191"/>
      <c r="N57" s="191"/>
      <c r="O57" s="190"/>
      <c r="P57" s="192"/>
      <c r="Q57" s="221"/>
      <c r="R57" s="192"/>
      <c r="S57" s="222"/>
      <c r="T57" s="179"/>
      <c r="U57" s="192"/>
      <c r="V57" s="223"/>
      <c r="W57" s="223"/>
      <c r="X57" s="223"/>
      <c r="Y57" s="223"/>
      <c r="Z57" s="116"/>
    </row>
    <row r="58">
      <c r="A58" s="116"/>
      <c r="B58" s="116"/>
      <c r="C58" s="116"/>
      <c r="D58" s="218"/>
      <c r="E58" s="116"/>
      <c r="F58" s="116"/>
      <c r="G58" s="219"/>
      <c r="H58" s="220"/>
      <c r="I58" s="220"/>
      <c r="J58" s="190"/>
      <c r="K58" s="190"/>
      <c r="L58" s="190"/>
      <c r="M58" s="191"/>
      <c r="N58" s="191"/>
      <c r="O58" s="190"/>
      <c r="P58" s="192"/>
      <c r="Q58" s="221"/>
      <c r="R58" s="192"/>
      <c r="S58" s="222"/>
      <c r="T58" s="179"/>
      <c r="U58" s="192"/>
      <c r="V58" s="223"/>
      <c r="W58" s="223"/>
      <c r="X58" s="223"/>
      <c r="Y58" s="223"/>
      <c r="Z58" s="116"/>
    </row>
    <row r="59">
      <c r="A59" s="116"/>
      <c r="B59" s="116"/>
      <c r="C59" s="116"/>
      <c r="D59" s="218"/>
      <c r="E59" s="116"/>
      <c r="F59" s="116"/>
      <c r="G59" s="219"/>
      <c r="H59" s="220"/>
      <c r="I59" s="220"/>
      <c r="J59" s="190"/>
      <c r="K59" s="190"/>
      <c r="L59" s="190"/>
      <c r="M59" s="191"/>
      <c r="N59" s="191"/>
      <c r="O59" s="190"/>
      <c r="P59" s="192"/>
      <c r="Q59" s="221"/>
      <c r="R59" s="192"/>
      <c r="S59" s="222"/>
      <c r="T59" s="179"/>
      <c r="U59" s="192"/>
      <c r="V59" s="223"/>
      <c r="W59" s="223"/>
      <c r="X59" s="223"/>
      <c r="Y59" s="223"/>
      <c r="Z59" s="116"/>
    </row>
    <row r="60">
      <c r="A60" s="116"/>
      <c r="B60" s="116"/>
      <c r="C60" s="116"/>
      <c r="D60" s="218"/>
      <c r="E60" s="116"/>
      <c r="F60" s="116"/>
      <c r="G60" s="219"/>
      <c r="H60" s="220"/>
      <c r="I60" s="220"/>
      <c r="J60" s="190"/>
      <c r="K60" s="190"/>
      <c r="L60" s="190"/>
      <c r="M60" s="191"/>
      <c r="N60" s="191"/>
      <c r="O60" s="190"/>
      <c r="P60" s="192"/>
      <c r="Q60" s="221"/>
      <c r="R60" s="192"/>
      <c r="S60" s="222"/>
      <c r="T60" s="179"/>
      <c r="U60" s="192"/>
      <c r="V60" s="223"/>
      <c r="W60" s="223"/>
      <c r="X60" s="223"/>
      <c r="Y60" s="223"/>
      <c r="Z60" s="116"/>
    </row>
    <row r="61">
      <c r="A61" s="116"/>
      <c r="B61" s="116"/>
      <c r="C61" s="116"/>
      <c r="D61" s="218"/>
      <c r="E61" s="116"/>
      <c r="F61" s="116"/>
      <c r="G61" s="219"/>
      <c r="H61" s="220"/>
      <c r="I61" s="220"/>
      <c r="J61" s="190"/>
      <c r="K61" s="190"/>
      <c r="L61" s="190"/>
      <c r="M61" s="191"/>
      <c r="N61" s="191"/>
      <c r="O61" s="190"/>
      <c r="P61" s="192"/>
      <c r="Q61" s="221"/>
      <c r="R61" s="192"/>
      <c r="S61" s="222"/>
      <c r="T61" s="179"/>
      <c r="U61" s="192"/>
      <c r="V61" s="223"/>
      <c r="W61" s="223"/>
      <c r="X61" s="223"/>
      <c r="Y61" s="223"/>
      <c r="Z61" s="116"/>
    </row>
    <row r="62">
      <c r="A62" s="116"/>
      <c r="B62" s="116"/>
      <c r="C62" s="116"/>
      <c r="D62" s="218"/>
      <c r="E62" s="116"/>
      <c r="F62" s="116"/>
      <c r="G62" s="219"/>
      <c r="H62" s="220"/>
      <c r="I62" s="220"/>
      <c r="J62" s="190"/>
      <c r="K62" s="190"/>
      <c r="L62" s="190"/>
      <c r="M62" s="191"/>
      <c r="N62" s="191"/>
      <c r="O62" s="190"/>
      <c r="P62" s="192"/>
      <c r="Q62" s="221"/>
      <c r="R62" s="192"/>
      <c r="S62" s="222"/>
      <c r="T62" s="179"/>
      <c r="U62" s="192"/>
      <c r="V62" s="223"/>
      <c r="W62" s="223"/>
      <c r="X62" s="223"/>
      <c r="Y62" s="223"/>
      <c r="Z62" s="116"/>
    </row>
    <row r="63">
      <c r="A63" s="116"/>
      <c r="B63" s="116"/>
      <c r="C63" s="116"/>
      <c r="D63" s="218"/>
      <c r="E63" s="116"/>
      <c r="F63" s="116"/>
      <c r="G63" s="219"/>
      <c r="H63" s="220"/>
      <c r="I63" s="220"/>
      <c r="J63" s="190"/>
      <c r="K63" s="190"/>
      <c r="L63" s="190"/>
      <c r="M63" s="191"/>
      <c r="N63" s="191"/>
      <c r="O63" s="190"/>
      <c r="P63" s="192"/>
      <c r="Q63" s="221"/>
      <c r="R63" s="192"/>
      <c r="S63" s="222"/>
      <c r="T63" s="179"/>
      <c r="U63" s="192"/>
      <c r="V63" s="223"/>
      <c r="W63" s="223"/>
      <c r="X63" s="223"/>
      <c r="Y63" s="223"/>
      <c r="Z63" s="116"/>
    </row>
    <row r="64">
      <c r="A64" s="116"/>
      <c r="B64" s="116"/>
      <c r="C64" s="116"/>
      <c r="D64" s="218"/>
      <c r="E64" s="116"/>
      <c r="F64" s="116"/>
      <c r="G64" s="219"/>
      <c r="H64" s="220"/>
      <c r="I64" s="220"/>
      <c r="J64" s="190"/>
      <c r="K64" s="190"/>
      <c r="L64" s="190"/>
      <c r="M64" s="191"/>
      <c r="N64" s="191"/>
      <c r="O64" s="190"/>
      <c r="P64" s="192"/>
      <c r="Q64" s="221"/>
      <c r="R64" s="192"/>
      <c r="S64" s="222"/>
      <c r="T64" s="179"/>
      <c r="U64" s="192"/>
      <c r="V64" s="223"/>
      <c r="W64" s="223"/>
      <c r="X64" s="223"/>
      <c r="Y64" s="223"/>
      <c r="Z64" s="116"/>
    </row>
    <row r="65">
      <c r="A65" s="116"/>
      <c r="B65" s="116"/>
      <c r="C65" s="116"/>
      <c r="D65" s="218"/>
      <c r="E65" s="116"/>
      <c r="F65" s="116"/>
      <c r="G65" s="219"/>
      <c r="H65" s="220"/>
      <c r="I65" s="220"/>
      <c r="J65" s="224"/>
      <c r="K65" s="224"/>
      <c r="L65" s="224"/>
      <c r="M65" s="225"/>
      <c r="N65" s="225"/>
      <c r="O65" s="224"/>
      <c r="P65" s="226"/>
      <c r="Q65" s="227"/>
      <c r="R65" s="226"/>
      <c r="S65" s="228"/>
      <c r="T65" s="229"/>
      <c r="U65" s="226"/>
      <c r="V65" s="223"/>
      <c r="W65" s="223"/>
      <c r="X65" s="223"/>
      <c r="Y65" s="223"/>
      <c r="Z65" s="116"/>
    </row>
    <row r="66">
      <c r="A66" s="116"/>
      <c r="B66" s="116"/>
      <c r="C66" s="116"/>
      <c r="D66" s="218"/>
      <c r="E66" s="116"/>
      <c r="F66" s="116"/>
      <c r="G66" s="219"/>
      <c r="H66" s="220"/>
      <c r="I66" s="116"/>
      <c r="J66" s="224"/>
      <c r="K66" s="224"/>
      <c r="L66" s="224"/>
      <c r="M66" s="225"/>
      <c r="N66" s="225"/>
      <c r="O66" s="224"/>
      <c r="P66" s="226"/>
      <c r="Q66" s="227"/>
      <c r="R66" s="226"/>
      <c r="S66" s="228"/>
      <c r="T66" s="229"/>
      <c r="U66" s="226"/>
      <c r="V66" s="223"/>
      <c r="W66" s="223"/>
      <c r="X66" s="223"/>
      <c r="Y66" s="223"/>
      <c r="Z66" s="116"/>
    </row>
    <row r="67"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</row>
    <row r="68"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</row>
    <row r="69"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</row>
    <row r="70"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</row>
    <row r="71"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</row>
    <row r="72"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</row>
    <row r="73"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</row>
    <row r="74"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</row>
    <row r="76"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  <row r="77"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</row>
    <row r="78"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</row>
    <row r="79"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</row>
    <row r="80"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</row>
    <row r="81"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</row>
    <row r="82"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</row>
    <row r="83"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</row>
    <row r="84"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</row>
    <row r="85"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</row>
    <row r="86"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">
      <formula1>"Previous Week,Current Week"</formula1>
    </dataValidation>
  </dataValidation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70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Week",$B$11:$X$96,match("SALES",$B$11:$X$11,0),FALSE)</f>
        <v>0</v>
      </c>
      <c r="L4" s="13"/>
      <c r="M4" s="13"/>
      <c r="N4" s="22">
        <f>VLOOKUP("Current Week",$B$11:$X$96,match("Units Sold",$B$11:$X$11,0),FALSE)</f>
        <v>0</v>
      </c>
      <c r="O4" s="10"/>
      <c r="P4" s="8"/>
      <c r="Q4" s="3"/>
      <c r="R4" s="13"/>
      <c r="S4" s="22">
        <f>VLOOKUP("Current Week",$B$11:$X$96,match("Ordered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Week",$B$11:$X$101,match("SALES",$B$11:$X$11,0),FALSE)))/K4</f>
        <v>#DIV/0!</v>
      </c>
      <c r="L5" s="13"/>
      <c r="M5" s="13"/>
      <c r="N5" s="27" t="str">
        <f>(N4-(VLOOKUP("Previous Week",$B$11:$X$101,match("Units Sold",$B$11:$X$11,0),FALSE)))/N4</f>
        <v>#DIV/0!</v>
      </c>
      <c r="O5" s="10"/>
      <c r="P5" s="10"/>
      <c r="Q5" s="8"/>
      <c r="R5" s="13"/>
      <c r="S5" s="27" t="str">
        <f>(S4-(VLOOKUP("Previous Week",$B$11:$X$101,match("Ordered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Week",$B$11:$X$96,match("AD SALES",$B$11:$X$11,0),FALSE)</f>
        <v>571</v>
      </c>
      <c r="L8" s="13"/>
      <c r="M8" s="13"/>
      <c r="N8" s="31">
        <f>VLOOKUP("Current Week",$B$11:$X$96,match("SP AD SPEND",$B$11:$X$11,0),FALSE)</f>
        <v>486.92</v>
      </c>
      <c r="O8" s="10"/>
      <c r="P8" s="8"/>
      <c r="Q8" s="3"/>
      <c r="R8" s="13"/>
      <c r="S8" s="32">
        <f>N8/K8</f>
        <v>0.8527495622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Week",$B$11:$X$101,match("AD SALES",$B$11:$X$11,0),FALSE)))/K8</f>
        <v>-0.9369527145</v>
      </c>
      <c r="L9" s="13"/>
      <c r="M9" s="13"/>
      <c r="N9" s="37">
        <f>(N8-(VLOOKUP("Previous Week",$B$11:$X$101,match("SP AD SPEND",$B$11:$X$11,0),FALSE)))/N8</f>
        <v>-0.05456748542</v>
      </c>
      <c r="Q9" s="35"/>
      <c r="R9" s="13"/>
      <c r="S9" s="37">
        <f>(S8-(VLOOKUP("Previous Week",$B$11:$X$101,match("ACOS",$B$11:$X$11,0),FALSE)))/S8</f>
        <v>0.4555533145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87" si="1">E13/F13</f>
        <v>#DIV/0!</v>
      </c>
      <c r="H13" s="79" t="str">
        <f t="shared" ref="H13:H87" si="2">D13/E13</f>
        <v>#DIV/0!</v>
      </c>
      <c r="I13" s="80" t="str">
        <f t="shared" ref="I13:I87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87" si="5">M13/J13</f>
        <v>#DIV/0!</v>
      </c>
      <c r="P13" s="85" t="str">
        <f t="shared" ref="P13:P87" si="6">J13/D13</f>
        <v>#DIV/0!</v>
      </c>
      <c r="Q13" s="87" t="str">
        <f t="shared" ref="Q13:Q87" si="7">M13/D13</f>
        <v>#DIV/0!</v>
      </c>
      <c r="R13" s="88">
        <f t="shared" ref="R13:R16" si="8">D13-M13</f>
        <v>0</v>
      </c>
      <c r="S13" s="89" t="str">
        <f t="shared" ref="S13:S87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 t="shared" ref="A16:A17" si="10"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19" si="13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collapsed="1">
      <c r="A17" s="13" t="str">
        <f t="shared" si="10"/>
        <v/>
      </c>
      <c r="B17" s="103" t="s">
        <v>36</v>
      </c>
      <c r="C17" s="61"/>
      <c r="D17" s="104">
        <f t="shared" ref="D17:F17" si="11">SUM(D13:D16)</f>
        <v>0</v>
      </c>
      <c r="E17" s="105">
        <f t="shared" si="11"/>
        <v>0</v>
      </c>
      <c r="F17" s="105">
        <f t="shared" si="11"/>
        <v>0</v>
      </c>
      <c r="G17" s="106" t="str">
        <f t="shared" si="1"/>
        <v>#DIV/0!</v>
      </c>
      <c r="H17" s="107" t="str">
        <f t="shared" si="2"/>
        <v>#DIV/0!</v>
      </c>
      <c r="I17" s="108" t="str">
        <f t="shared" si="3"/>
        <v>#DIV/0!</v>
      </c>
      <c r="J17" s="104">
        <f t="shared" ref="J17:M17" si="12">SUM(J13:J16)</f>
        <v>0</v>
      </c>
      <c r="K17" s="109">
        <f t="shared" si="12"/>
        <v>0</v>
      </c>
      <c r="L17" s="105">
        <f t="shared" si="12"/>
        <v>0</v>
      </c>
      <c r="M17" s="110">
        <f t="shared" si="12"/>
        <v>0</v>
      </c>
      <c r="N17" s="111" t="str">
        <f t="shared" si="13"/>
        <v>#DIV/0!</v>
      </c>
      <c r="O17" s="112" t="str">
        <f t="shared" si="5"/>
        <v>#DIV/0!</v>
      </c>
      <c r="P17" s="111" t="str">
        <f t="shared" si="6"/>
        <v>#DIV/0!</v>
      </c>
      <c r="Q17" s="113" t="str">
        <f t="shared" si="7"/>
        <v>#DIV/0!</v>
      </c>
      <c r="R17" s="114">
        <f>SUM(R13:R16)</f>
        <v>0</v>
      </c>
      <c r="S17" s="115" t="str">
        <f t="shared" si="9"/>
        <v>#DIV/0!</v>
      </c>
      <c r="T17" s="73" t="str">
        <f t="shared" ref="T17:U17" si="14">IFERROR((D17-#REF!)/D17,)</f>
        <v/>
      </c>
      <c r="U17" s="73" t="str">
        <f t="shared" si="14"/>
        <v/>
      </c>
      <c r="V17" s="73" t="str">
        <f t="shared" ref="V17:W17" si="15">IFERROR((D17-#REF!)/D17, )</f>
        <v/>
      </c>
      <c r="W17" s="73" t="str">
        <f t="shared" si="15"/>
        <v/>
      </c>
      <c r="X17" s="13"/>
      <c r="Y17" s="13"/>
      <c r="Z17" s="13"/>
    </row>
    <row r="18" hidden="1" outlineLevel="1">
      <c r="A18" s="13"/>
      <c r="B18" s="74">
        <v>45928.0</v>
      </c>
      <c r="C18" s="75" t="s">
        <v>31</v>
      </c>
      <c r="D18" s="76"/>
      <c r="E18" s="77"/>
      <c r="F18" s="77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81">
        <v>0.0</v>
      </c>
      <c r="K18" s="82">
        <v>0.0</v>
      </c>
      <c r="L18" s="83">
        <v>0.0</v>
      </c>
      <c r="M18" s="84">
        <v>0.0</v>
      </c>
      <c r="N18" s="85" t="str">
        <f t="shared" si="13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88">
        <f t="shared" ref="R18:R21" si="16">D18-M18</f>
        <v>0</v>
      </c>
      <c r="S18" s="89" t="str">
        <f t="shared" si="9"/>
        <v>#DIV/0!</v>
      </c>
      <c r="T18" s="90"/>
      <c r="U18" s="90"/>
      <c r="V18" s="90"/>
      <c r="W18" s="90"/>
      <c r="X18" s="3"/>
      <c r="Y18" s="13"/>
      <c r="Z18" s="13"/>
    </row>
    <row r="19" hidden="1" outlineLevel="1">
      <c r="A19" s="13"/>
      <c r="B19" s="91"/>
      <c r="C19" s="75" t="s">
        <v>32</v>
      </c>
      <c r="D19" s="92"/>
      <c r="E19" s="77"/>
      <c r="F19" s="77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93">
        <v>0.0</v>
      </c>
      <c r="K19" s="82">
        <v>0.0</v>
      </c>
      <c r="L19" s="83">
        <v>0.0</v>
      </c>
      <c r="M19" s="94">
        <v>0.0</v>
      </c>
      <c r="N19" s="85" t="str">
        <f t="shared" si="13"/>
        <v>#DIV/0!</v>
      </c>
      <c r="O19" s="86" t="str">
        <f t="shared" si="5"/>
        <v>#DIV/0!</v>
      </c>
      <c r="P19" s="85" t="str">
        <f t="shared" si="6"/>
        <v>#DIV/0!</v>
      </c>
      <c r="Q19" s="87" t="str">
        <f t="shared" si="7"/>
        <v>#DIV/0!</v>
      </c>
      <c r="R19" s="95">
        <f t="shared" si="16"/>
        <v>0</v>
      </c>
      <c r="S19" s="89" t="str">
        <f t="shared" si="9"/>
        <v>#DIV/0!</v>
      </c>
      <c r="T19" s="90"/>
      <c r="U19" s="90"/>
      <c r="V19" s="90"/>
      <c r="W19" s="90"/>
      <c r="X19" s="3"/>
      <c r="Y19" s="13"/>
      <c r="Z19" s="13"/>
    </row>
    <row r="20" hidden="1" outlineLevel="1">
      <c r="A20" s="13"/>
      <c r="B20" s="96" t="s">
        <v>33</v>
      </c>
      <c r="C20" s="75" t="s">
        <v>34</v>
      </c>
      <c r="D20" s="97"/>
      <c r="E20" s="77"/>
      <c r="F20" s="77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98">
        <v>0.0</v>
      </c>
      <c r="K20" s="82">
        <v>0.0</v>
      </c>
      <c r="L20" s="83">
        <v>0.0</v>
      </c>
      <c r="M20" s="99">
        <v>0.0</v>
      </c>
      <c r="N20" s="85" t="str">
        <f>(J20/M20)</f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100">
        <f t="shared" si="16"/>
        <v>0</v>
      </c>
      <c r="S20" s="89" t="str">
        <f t="shared" si="9"/>
        <v>#DIV/0!</v>
      </c>
      <c r="T20" s="90"/>
      <c r="U20" s="90"/>
      <c r="V20" s="90"/>
      <c r="W20" s="90"/>
      <c r="X20" s="3"/>
      <c r="Y20" s="13"/>
      <c r="Z20" s="13"/>
    </row>
    <row r="21" hidden="1" outlineLevel="1">
      <c r="A21" s="101" t="str">
        <f t="shared" ref="A21:A22" si="17">iferror(if(B21&gt;0,month(B21)&amp;"-"&amp;year(B21),B21),)</f>
        <v>10-2025</v>
      </c>
      <c r="B21" s="74">
        <v>45934.0</v>
      </c>
      <c r="C21" s="75" t="s">
        <v>35</v>
      </c>
      <c r="D21" s="102"/>
      <c r="E21" s="77"/>
      <c r="F21" s="77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93">
        <v>0.0</v>
      </c>
      <c r="K21" s="82">
        <v>0.0</v>
      </c>
      <c r="L21" s="83">
        <v>0.0</v>
      </c>
      <c r="M21" s="94">
        <v>0.0</v>
      </c>
      <c r="N21" s="85" t="str">
        <f t="shared" ref="N21:N24" si="20">J21/M21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88">
        <f t="shared" si="16"/>
        <v>0</v>
      </c>
      <c r="S21" s="89" t="str">
        <f t="shared" si="9"/>
        <v>#DIV/0!</v>
      </c>
      <c r="T21" s="90"/>
      <c r="U21" s="90"/>
      <c r="V21" s="90"/>
      <c r="W21" s="90"/>
      <c r="X21" s="3"/>
      <c r="Y21" s="13"/>
      <c r="Z21" s="13"/>
    </row>
    <row r="22" collapsed="1">
      <c r="A22" s="13" t="str">
        <f t="shared" si="17"/>
        <v/>
      </c>
      <c r="B22" s="103" t="s">
        <v>37</v>
      </c>
      <c r="C22" s="61"/>
      <c r="D22" s="104">
        <f t="shared" ref="D22:F22" si="18">SUM(D18:D21)</f>
        <v>0</v>
      </c>
      <c r="E22" s="105">
        <f t="shared" si="18"/>
        <v>0</v>
      </c>
      <c r="F22" s="105">
        <f t="shared" si="18"/>
        <v>0</v>
      </c>
      <c r="G22" s="106" t="str">
        <f t="shared" si="1"/>
        <v>#DIV/0!</v>
      </c>
      <c r="H22" s="107" t="str">
        <f t="shared" si="2"/>
        <v>#DIV/0!</v>
      </c>
      <c r="I22" s="108" t="str">
        <f t="shared" si="3"/>
        <v>#DIV/0!</v>
      </c>
      <c r="J22" s="104">
        <f t="shared" ref="J22:M22" si="19">SUM(J18:J21)</f>
        <v>0</v>
      </c>
      <c r="K22" s="109">
        <f t="shared" si="19"/>
        <v>0</v>
      </c>
      <c r="L22" s="105">
        <f t="shared" si="19"/>
        <v>0</v>
      </c>
      <c r="M22" s="110">
        <f t="shared" si="19"/>
        <v>0</v>
      </c>
      <c r="N22" s="111" t="str">
        <f t="shared" si="20"/>
        <v>#DIV/0!</v>
      </c>
      <c r="O22" s="112" t="str">
        <f t="shared" si="5"/>
        <v>#DIV/0!</v>
      </c>
      <c r="P22" s="111" t="str">
        <f t="shared" si="6"/>
        <v>#DIV/0!</v>
      </c>
      <c r="Q22" s="113" t="str">
        <f t="shared" si="7"/>
        <v>#DIV/0!</v>
      </c>
      <c r="R22" s="114">
        <f>SUM(R18:R21)</f>
        <v>0</v>
      </c>
      <c r="S22" s="115" t="str">
        <f t="shared" si="9"/>
        <v>#DIV/0!</v>
      </c>
      <c r="T22" s="73" t="str">
        <f t="shared" ref="T22:U22" si="21">IFERROR((D22-#REF!)/D22,)</f>
        <v/>
      </c>
      <c r="U22" s="73" t="str">
        <f t="shared" si="21"/>
        <v/>
      </c>
      <c r="V22" s="73" t="str">
        <f t="shared" ref="V22:W22" si="22">IFERROR((D22-#REF!)/D22, )</f>
        <v/>
      </c>
      <c r="W22" s="73" t="str">
        <f t="shared" si="22"/>
        <v/>
      </c>
      <c r="X22" s="13"/>
      <c r="Y22" s="13"/>
      <c r="Z22" s="13"/>
    </row>
    <row r="23" hidden="1" outlineLevel="1">
      <c r="A23" s="13"/>
      <c r="B23" s="74">
        <v>45935.0</v>
      </c>
      <c r="C23" s="75" t="s">
        <v>31</v>
      </c>
      <c r="D23" s="76"/>
      <c r="E23" s="77"/>
      <c r="F23" s="77"/>
      <c r="G23" s="78" t="str">
        <f t="shared" si="1"/>
        <v>#DIV/0!</v>
      </c>
      <c r="H23" s="79" t="str">
        <f t="shared" si="2"/>
        <v>#DIV/0!</v>
      </c>
      <c r="I23" s="80" t="str">
        <f t="shared" si="3"/>
        <v>#DIV/0!</v>
      </c>
      <c r="J23" s="81">
        <v>0.0</v>
      </c>
      <c r="K23" s="82">
        <v>0.0</v>
      </c>
      <c r="L23" s="83">
        <v>0.0</v>
      </c>
      <c r="M23" s="84">
        <v>0.0</v>
      </c>
      <c r="N23" s="85" t="str">
        <f t="shared" si="20"/>
        <v>#DIV/0!</v>
      </c>
      <c r="O23" s="86" t="str">
        <f t="shared" si="5"/>
        <v>#DIV/0!</v>
      </c>
      <c r="P23" s="85" t="str">
        <f t="shared" si="6"/>
        <v>#DIV/0!</v>
      </c>
      <c r="Q23" s="87" t="str">
        <f t="shared" si="7"/>
        <v>#DIV/0!</v>
      </c>
      <c r="R23" s="88">
        <f t="shared" ref="R23:R26" si="23">D23-M23</f>
        <v>0</v>
      </c>
      <c r="S23" s="89" t="str">
        <f t="shared" si="9"/>
        <v>#DIV/0!</v>
      </c>
      <c r="T23" s="90"/>
      <c r="U23" s="90"/>
      <c r="V23" s="90"/>
      <c r="W23" s="90"/>
      <c r="X23" s="3"/>
      <c r="Y23" s="13"/>
      <c r="Z23" s="13"/>
    </row>
    <row r="24" hidden="1" outlineLevel="1">
      <c r="A24" s="13"/>
      <c r="B24" s="91"/>
      <c r="C24" s="75" t="s">
        <v>32</v>
      </c>
      <c r="D24" s="92"/>
      <c r="E24" s="77"/>
      <c r="F24" s="77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93">
        <v>0.0</v>
      </c>
      <c r="K24" s="82">
        <v>0.0</v>
      </c>
      <c r="L24" s="83">
        <v>0.0</v>
      </c>
      <c r="M24" s="94">
        <v>0.0</v>
      </c>
      <c r="N24" s="85" t="str">
        <f t="shared" si="20"/>
        <v>#DIV/0!</v>
      </c>
      <c r="O24" s="86" t="str">
        <f t="shared" si="5"/>
        <v>#DIV/0!</v>
      </c>
      <c r="P24" s="85" t="str">
        <f t="shared" si="6"/>
        <v>#DIV/0!</v>
      </c>
      <c r="Q24" s="87" t="str">
        <f t="shared" si="7"/>
        <v>#DIV/0!</v>
      </c>
      <c r="R24" s="95">
        <f t="shared" si="23"/>
        <v>0</v>
      </c>
      <c r="S24" s="89" t="str">
        <f t="shared" si="9"/>
        <v>#DIV/0!</v>
      </c>
      <c r="T24" s="90"/>
      <c r="U24" s="90"/>
      <c r="V24" s="90"/>
      <c r="W24" s="90"/>
      <c r="X24" s="3"/>
      <c r="Y24" s="13"/>
      <c r="Z24" s="13"/>
    </row>
    <row r="25" hidden="1" outlineLevel="1">
      <c r="A25" s="13"/>
      <c r="B25" s="74" t="s">
        <v>33</v>
      </c>
      <c r="C25" s="75" t="s">
        <v>34</v>
      </c>
      <c r="D25" s="97"/>
      <c r="E25" s="77"/>
      <c r="F25" s="77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98">
        <v>0.0</v>
      </c>
      <c r="K25" s="82">
        <v>0.0</v>
      </c>
      <c r="L25" s="83">
        <v>0.0</v>
      </c>
      <c r="M25" s="99">
        <v>0.0</v>
      </c>
      <c r="N25" s="85" t="str">
        <f>(J25/M25)</f>
        <v>#DIV/0!</v>
      </c>
      <c r="O25" s="86" t="str">
        <f t="shared" si="5"/>
        <v>#DIV/0!</v>
      </c>
      <c r="P25" s="85" t="str">
        <f t="shared" si="6"/>
        <v>#DIV/0!</v>
      </c>
      <c r="Q25" s="87" t="str">
        <f t="shared" si="7"/>
        <v>#DIV/0!</v>
      </c>
      <c r="R25" s="100">
        <f t="shared" si="23"/>
        <v>0</v>
      </c>
      <c r="S25" s="89" t="str">
        <f t="shared" si="9"/>
        <v>#DIV/0!</v>
      </c>
      <c r="T25" s="90"/>
      <c r="U25" s="90"/>
      <c r="V25" s="90"/>
      <c r="W25" s="90"/>
      <c r="X25" s="3"/>
      <c r="Y25" s="13"/>
      <c r="Z25" s="13"/>
    </row>
    <row r="26" hidden="1" outlineLevel="1">
      <c r="A26" s="101" t="str">
        <f t="shared" ref="A26:A27" si="24">iferror(if(B26&gt;0,month(B26)&amp;"-"&amp;year(B26),B26),)</f>
        <v>10-2025</v>
      </c>
      <c r="B26" s="74">
        <v>45941.0</v>
      </c>
      <c r="C26" s="75" t="s">
        <v>35</v>
      </c>
      <c r="D26" s="102"/>
      <c r="E26" s="77"/>
      <c r="F26" s="77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93">
        <v>0.0</v>
      </c>
      <c r="K26" s="82">
        <v>0.0</v>
      </c>
      <c r="L26" s="83">
        <v>0.0</v>
      </c>
      <c r="M26" s="94">
        <v>0.0</v>
      </c>
      <c r="N26" s="85" t="str">
        <f t="shared" ref="N26:N29" si="27">J26/M26</f>
        <v>#DIV/0!</v>
      </c>
      <c r="O26" s="86" t="str">
        <f t="shared" si="5"/>
        <v>#DIV/0!</v>
      </c>
      <c r="P26" s="85" t="str">
        <f t="shared" si="6"/>
        <v>#DIV/0!</v>
      </c>
      <c r="Q26" s="87" t="str">
        <f t="shared" si="7"/>
        <v>#DIV/0!</v>
      </c>
      <c r="R26" s="88">
        <f t="shared" si="23"/>
        <v>0</v>
      </c>
      <c r="S26" s="89" t="str">
        <f t="shared" si="9"/>
        <v>#DIV/0!</v>
      </c>
      <c r="T26" s="90"/>
      <c r="U26" s="90"/>
      <c r="V26" s="90"/>
      <c r="W26" s="90"/>
      <c r="X26" s="3"/>
      <c r="Y26" s="13"/>
      <c r="Z26" s="13"/>
    </row>
    <row r="27" collapsed="1">
      <c r="A27" s="13" t="str">
        <f t="shared" si="24"/>
        <v/>
      </c>
      <c r="B27" s="103" t="s">
        <v>38</v>
      </c>
      <c r="C27" s="61"/>
      <c r="D27" s="104">
        <f t="shared" ref="D27:F27" si="25">SUM(D23:D26)</f>
        <v>0</v>
      </c>
      <c r="E27" s="105">
        <f t="shared" si="25"/>
        <v>0</v>
      </c>
      <c r="F27" s="105">
        <f t="shared" si="25"/>
        <v>0</v>
      </c>
      <c r="G27" s="106" t="str">
        <f t="shared" si="1"/>
        <v>#DIV/0!</v>
      </c>
      <c r="H27" s="107" t="str">
        <f t="shared" si="2"/>
        <v>#DIV/0!</v>
      </c>
      <c r="I27" s="108" t="str">
        <f t="shared" si="3"/>
        <v>#DIV/0!</v>
      </c>
      <c r="J27" s="104">
        <f t="shared" ref="J27:M27" si="26">SUM(J23:J26)</f>
        <v>0</v>
      </c>
      <c r="K27" s="109">
        <f t="shared" si="26"/>
        <v>0</v>
      </c>
      <c r="L27" s="105">
        <f t="shared" si="26"/>
        <v>0</v>
      </c>
      <c r="M27" s="110">
        <f t="shared" si="26"/>
        <v>0</v>
      </c>
      <c r="N27" s="111" t="str">
        <f t="shared" si="27"/>
        <v>#DIV/0!</v>
      </c>
      <c r="O27" s="112" t="str">
        <f t="shared" si="5"/>
        <v>#DIV/0!</v>
      </c>
      <c r="P27" s="111" t="str">
        <f t="shared" si="6"/>
        <v>#DIV/0!</v>
      </c>
      <c r="Q27" s="113" t="str">
        <f t="shared" si="7"/>
        <v>#DIV/0!</v>
      </c>
      <c r="R27" s="114">
        <f>SUM(R23:R26)</f>
        <v>0</v>
      </c>
      <c r="S27" s="115" t="str">
        <f t="shared" si="9"/>
        <v>#DIV/0!</v>
      </c>
      <c r="T27" s="73" t="str">
        <f t="shared" ref="T27:U27" si="28">IFERROR((D27-#REF!)/D27,)</f>
        <v/>
      </c>
      <c r="U27" s="73" t="str">
        <f t="shared" si="28"/>
        <v/>
      </c>
      <c r="V27" s="73" t="str">
        <f t="shared" ref="V27:W27" si="29">IFERROR((D27-#REF!)/D27, )</f>
        <v/>
      </c>
      <c r="W27" s="73" t="str">
        <f t="shared" si="29"/>
        <v/>
      </c>
      <c r="X27" s="13"/>
      <c r="Y27" s="13"/>
      <c r="Z27" s="13"/>
    </row>
    <row r="28" hidden="1" outlineLevel="1">
      <c r="A28" s="13"/>
      <c r="B28" s="74">
        <v>45942.0</v>
      </c>
      <c r="C28" s="75" t="s">
        <v>31</v>
      </c>
      <c r="D28" s="76"/>
      <c r="E28" s="77"/>
      <c r="F28" s="77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81">
        <v>0.0</v>
      </c>
      <c r="K28" s="82">
        <v>0.0</v>
      </c>
      <c r="L28" s="83">
        <v>0.0</v>
      </c>
      <c r="M28" s="84">
        <v>0.0</v>
      </c>
      <c r="N28" s="85" t="str">
        <f t="shared" si="27"/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88">
        <f t="shared" ref="R28:R31" si="30">D28-M28</f>
        <v>0</v>
      </c>
      <c r="S28" s="89" t="str">
        <f t="shared" si="9"/>
        <v>#DIV/0!</v>
      </c>
      <c r="T28" s="90"/>
      <c r="U28" s="90"/>
      <c r="V28" s="90"/>
      <c r="W28" s="90"/>
      <c r="X28" s="3"/>
      <c r="Y28" s="13"/>
      <c r="Z28" s="13"/>
    </row>
    <row r="29" hidden="1" outlineLevel="1">
      <c r="A29" s="13"/>
      <c r="B29" s="91"/>
      <c r="C29" s="75" t="s">
        <v>32</v>
      </c>
      <c r="D29" s="92"/>
      <c r="E29" s="77"/>
      <c r="F29" s="77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93">
        <v>0.0</v>
      </c>
      <c r="K29" s="82">
        <v>0.0</v>
      </c>
      <c r="L29" s="83">
        <v>0.0</v>
      </c>
      <c r="M29" s="94">
        <v>0.0</v>
      </c>
      <c r="N29" s="85" t="str">
        <f t="shared" si="27"/>
        <v>#DIV/0!</v>
      </c>
      <c r="O29" s="86" t="str">
        <f t="shared" si="5"/>
        <v>#DIV/0!</v>
      </c>
      <c r="P29" s="85" t="str">
        <f t="shared" si="6"/>
        <v>#DIV/0!</v>
      </c>
      <c r="Q29" s="87" t="str">
        <f t="shared" si="7"/>
        <v>#DIV/0!</v>
      </c>
      <c r="R29" s="95">
        <f t="shared" si="30"/>
        <v>0</v>
      </c>
      <c r="S29" s="89" t="str">
        <f t="shared" si="9"/>
        <v>#DIV/0!</v>
      </c>
      <c r="T29" s="90"/>
      <c r="U29" s="90"/>
      <c r="V29" s="90"/>
      <c r="W29" s="90"/>
      <c r="X29" s="3"/>
      <c r="Y29" s="13"/>
      <c r="Z29" s="13"/>
    </row>
    <row r="30" hidden="1" outlineLevel="1">
      <c r="A30" s="13"/>
      <c r="B30" s="74" t="s">
        <v>33</v>
      </c>
      <c r="C30" s="75" t="s">
        <v>34</v>
      </c>
      <c r="D30" s="97"/>
      <c r="E30" s="77"/>
      <c r="F30" s="77"/>
      <c r="G30" s="78" t="str">
        <f t="shared" si="1"/>
        <v>#DIV/0!</v>
      </c>
      <c r="H30" s="79" t="str">
        <f t="shared" si="2"/>
        <v>#DIV/0!</v>
      </c>
      <c r="I30" s="80" t="str">
        <f t="shared" si="3"/>
        <v>#DIV/0!</v>
      </c>
      <c r="J30" s="98">
        <v>0.0</v>
      </c>
      <c r="K30" s="82">
        <v>0.0</v>
      </c>
      <c r="L30" s="83">
        <v>0.0</v>
      </c>
      <c r="M30" s="99">
        <v>0.0</v>
      </c>
      <c r="N30" s="85" t="str">
        <f>(J30/M30)</f>
        <v>#DIV/0!</v>
      </c>
      <c r="O30" s="86" t="str">
        <f t="shared" si="5"/>
        <v>#DIV/0!</v>
      </c>
      <c r="P30" s="85" t="str">
        <f t="shared" si="6"/>
        <v>#DIV/0!</v>
      </c>
      <c r="Q30" s="87" t="str">
        <f t="shared" si="7"/>
        <v>#DIV/0!</v>
      </c>
      <c r="R30" s="100">
        <f t="shared" si="30"/>
        <v>0</v>
      </c>
      <c r="S30" s="89" t="str">
        <f t="shared" si="9"/>
        <v>#DIV/0!</v>
      </c>
      <c r="T30" s="90"/>
      <c r="U30" s="90"/>
      <c r="V30" s="90"/>
      <c r="W30" s="90"/>
      <c r="X30" s="3"/>
      <c r="Y30" s="13"/>
      <c r="Z30" s="13"/>
    </row>
    <row r="31" hidden="1" outlineLevel="1">
      <c r="A31" s="101" t="str">
        <f t="shared" ref="A31:A32" si="31">iferror(if(B31&gt;0,month(B31)&amp;"-"&amp;year(B31),B31),)</f>
        <v>10-2025</v>
      </c>
      <c r="B31" s="74">
        <v>45948.0</v>
      </c>
      <c r="C31" s="75" t="s">
        <v>35</v>
      </c>
      <c r="D31" s="102"/>
      <c r="E31" s="77"/>
      <c r="F31" s="77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93">
        <v>0.0</v>
      </c>
      <c r="K31" s="82">
        <v>0.0</v>
      </c>
      <c r="L31" s="83">
        <v>0.0</v>
      </c>
      <c r="M31" s="94">
        <v>0.0</v>
      </c>
      <c r="N31" s="85" t="str">
        <f t="shared" ref="N31:N34" si="34">J31/M31</f>
        <v>#DIV/0!</v>
      </c>
      <c r="O31" s="86" t="str">
        <f t="shared" si="5"/>
        <v>#DIV/0!</v>
      </c>
      <c r="P31" s="85" t="str">
        <f t="shared" si="6"/>
        <v>#DIV/0!</v>
      </c>
      <c r="Q31" s="87" t="str">
        <f t="shared" si="7"/>
        <v>#DIV/0!</v>
      </c>
      <c r="R31" s="88">
        <f t="shared" si="30"/>
        <v>0</v>
      </c>
      <c r="S31" s="89" t="str">
        <f t="shared" si="9"/>
        <v>#DIV/0!</v>
      </c>
      <c r="T31" s="90"/>
      <c r="U31" s="90"/>
      <c r="V31" s="90"/>
      <c r="W31" s="90"/>
      <c r="X31" s="3"/>
      <c r="Y31" s="13"/>
      <c r="Z31" s="13"/>
    </row>
    <row r="32" collapsed="1">
      <c r="A32" s="13" t="str">
        <f t="shared" si="31"/>
        <v/>
      </c>
      <c r="B32" s="103" t="s">
        <v>39</v>
      </c>
      <c r="C32" s="61"/>
      <c r="D32" s="104">
        <f t="shared" ref="D32:F32" si="32">SUM(D28:D31)</f>
        <v>0</v>
      </c>
      <c r="E32" s="105">
        <f t="shared" si="32"/>
        <v>0</v>
      </c>
      <c r="F32" s="105">
        <f t="shared" si="32"/>
        <v>0</v>
      </c>
      <c r="G32" s="106" t="str">
        <f t="shared" si="1"/>
        <v>#DIV/0!</v>
      </c>
      <c r="H32" s="107" t="str">
        <f t="shared" si="2"/>
        <v>#DIV/0!</v>
      </c>
      <c r="I32" s="108" t="str">
        <f t="shared" si="3"/>
        <v>#DIV/0!</v>
      </c>
      <c r="J32" s="104">
        <f t="shared" ref="J32:M32" si="33">SUM(J28:J31)</f>
        <v>0</v>
      </c>
      <c r="K32" s="109">
        <f t="shared" si="33"/>
        <v>0</v>
      </c>
      <c r="L32" s="105">
        <f t="shared" si="33"/>
        <v>0</v>
      </c>
      <c r="M32" s="110">
        <f t="shared" si="33"/>
        <v>0</v>
      </c>
      <c r="N32" s="111" t="str">
        <f t="shared" si="34"/>
        <v>#DIV/0!</v>
      </c>
      <c r="O32" s="112" t="str">
        <f t="shared" si="5"/>
        <v>#DIV/0!</v>
      </c>
      <c r="P32" s="111" t="str">
        <f t="shared" si="6"/>
        <v>#DIV/0!</v>
      </c>
      <c r="Q32" s="113" t="str">
        <f t="shared" si="7"/>
        <v>#DIV/0!</v>
      </c>
      <c r="R32" s="114">
        <f>SUM(R28:R31)</f>
        <v>0</v>
      </c>
      <c r="S32" s="115" t="str">
        <f t="shared" si="9"/>
        <v>#DIV/0!</v>
      </c>
      <c r="T32" s="73" t="str">
        <f t="shared" ref="T32:U32" si="35">IFERROR((D32-#REF!)/D32,)</f>
        <v/>
      </c>
      <c r="U32" s="73" t="str">
        <f t="shared" si="35"/>
        <v/>
      </c>
      <c r="V32" s="73" t="str">
        <f t="shared" ref="V32:W32" si="36">IFERROR((D32-#REF!)/D32, )</f>
        <v/>
      </c>
      <c r="W32" s="73" t="str">
        <f t="shared" si="36"/>
        <v/>
      </c>
      <c r="X32" s="13"/>
      <c r="Y32" s="13"/>
      <c r="Z32" s="13"/>
    </row>
    <row r="33" hidden="1" outlineLevel="1">
      <c r="A33" s="116"/>
      <c r="B33" s="74">
        <v>45949.0</v>
      </c>
      <c r="C33" s="117" t="s">
        <v>31</v>
      </c>
      <c r="D33" s="118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0">
        <v>107.11</v>
      </c>
      <c r="K33" s="121">
        <v>4721.0</v>
      </c>
      <c r="L33" s="122">
        <v>0.0</v>
      </c>
      <c r="M33" s="123">
        <v>0.0</v>
      </c>
      <c r="N33" s="85" t="str">
        <f t="shared" si="34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88">
        <f t="shared" ref="R33:R36" si="37">D33-M33</f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17" t="s">
        <v>32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122.23</v>
      </c>
      <c r="K34" s="121">
        <v>19317.0</v>
      </c>
      <c r="L34" s="122">
        <v>0.0</v>
      </c>
      <c r="M34" s="129">
        <v>0.0</v>
      </c>
      <c r="N34" s="85" t="str">
        <f t="shared" si="34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37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22">
        <v>0.0</v>
      </c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37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38">iferror(if(B36&gt;0,month(B36)&amp;"-"&amp;year(B36),B36),)</f>
        <v>10-2025</v>
      </c>
      <c r="B36" s="74">
        <v>45955.0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7"/>
      <c r="K36" s="134"/>
      <c r="L36" s="135"/>
      <c r="M36" s="136"/>
      <c r="N36" s="85" t="str">
        <f t="shared" ref="N36:N39" si="41">J36/M36</f>
        <v>#DIV/0!</v>
      </c>
      <c r="O36" s="86" t="str">
        <f t="shared" si="5"/>
        <v>#DIV/0!</v>
      </c>
      <c r="P36" s="85" t="str">
        <f t="shared" si="6"/>
        <v>#DIV/0!</v>
      </c>
      <c r="Q36" s="87" t="str">
        <f t="shared" si="7"/>
        <v>#DIV/0!</v>
      </c>
      <c r="R36" s="88">
        <f t="shared" si="37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38"/>
        <v/>
      </c>
      <c r="B37" s="137" t="s">
        <v>40</v>
      </c>
      <c r="C37" s="138"/>
      <c r="D37" s="104">
        <f t="shared" ref="D37:F37" si="39">SUM(D33:D36)</f>
        <v>0</v>
      </c>
      <c r="E37" s="105">
        <f t="shared" si="39"/>
        <v>0</v>
      </c>
      <c r="F37" s="105">
        <f t="shared" si="39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40">SUM(J33:J36)</f>
        <v>229.34</v>
      </c>
      <c r="K37" s="109">
        <f t="shared" si="40"/>
        <v>24038</v>
      </c>
      <c r="L37" s="139">
        <f t="shared" si="40"/>
        <v>0</v>
      </c>
      <c r="M37" s="110">
        <f t="shared" si="40"/>
        <v>0</v>
      </c>
      <c r="N37" s="111" t="str">
        <f t="shared" si="41"/>
        <v>#DIV/0!</v>
      </c>
      <c r="O37" s="112">
        <f t="shared" si="5"/>
        <v>0</v>
      </c>
      <c r="P37" s="111" t="str">
        <f t="shared" si="6"/>
        <v>#DIV/0!</v>
      </c>
      <c r="Q37" s="113" t="str">
        <f t="shared" si="7"/>
        <v>#DIV/0!</v>
      </c>
      <c r="R37" s="114">
        <f>SUM(R33:R36)</f>
        <v>0</v>
      </c>
      <c r="S37" s="115" t="str">
        <f t="shared" si="9"/>
        <v>#DIV/0!</v>
      </c>
      <c r="T37" s="140" t="str">
        <f t="shared" ref="T37:U37" si="42">IFERROR((D37-#REF!)/D37,)</f>
        <v/>
      </c>
      <c r="U37" s="140" t="str">
        <f t="shared" si="42"/>
        <v/>
      </c>
      <c r="V37" s="140" t="str">
        <f t="shared" ref="V37:W37" si="43">IFERROR((D37-#REF!)/D37, )</f>
        <v/>
      </c>
      <c r="W37" s="140" t="str">
        <f t="shared" si="43"/>
        <v/>
      </c>
      <c r="X37" s="116"/>
      <c r="Y37" s="116"/>
      <c r="Z37" s="116"/>
    </row>
    <row r="38" hidden="1" outlineLevel="1">
      <c r="A38" s="116"/>
      <c r="B38" s="74">
        <v>45956.0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186.03</v>
      </c>
      <c r="K38" s="121">
        <v>8308.0</v>
      </c>
      <c r="L38" s="122">
        <v>0.0</v>
      </c>
      <c r="M38" s="123">
        <v>0.0</v>
      </c>
      <c r="N38" s="85" t="str">
        <f t="shared" si="41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1" si="44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17" t="s">
        <v>32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28">
        <v>306.48</v>
      </c>
      <c r="K39" s="121">
        <v>36970.0</v>
      </c>
      <c r="L39" s="122">
        <v>0.0</v>
      </c>
      <c r="M39" s="129">
        <v>0.0</v>
      </c>
      <c r="N39" s="85" t="str">
        <f t="shared" si="41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44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74" t="s">
        <v>33</v>
      </c>
      <c r="C40" s="117" t="s">
        <v>34</v>
      </c>
      <c r="D40" s="130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31">
        <v>0.0</v>
      </c>
      <c r="K40" s="121">
        <v>0.0</v>
      </c>
      <c r="L40" s="122">
        <v>0.0</v>
      </c>
      <c r="M40" s="132">
        <v>0.0</v>
      </c>
      <c r="N40" s="85" t="str">
        <f>(J40/M40)</f>
        <v>#DIV/0!</v>
      </c>
      <c r="O40" s="86" t="str">
        <f t="shared" si="5"/>
        <v>#DIV/0!</v>
      </c>
      <c r="P40" s="85" t="str">
        <f t="shared" si="6"/>
        <v>#DIV/0!</v>
      </c>
      <c r="Q40" s="87" t="str">
        <f t="shared" si="7"/>
        <v>#DIV/0!</v>
      </c>
      <c r="R40" s="100">
        <f t="shared" si="44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01" t="str">
        <f t="shared" ref="A41:A42" si="45">iferror(if(B41&gt;0,month(B41)&amp;"-"&amp;year(B41),B41),)</f>
        <v>11-2025</v>
      </c>
      <c r="B41" s="74">
        <v>45962.0</v>
      </c>
      <c r="C41" s="117" t="s">
        <v>35</v>
      </c>
      <c r="D41" s="133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109.38</v>
      </c>
      <c r="K41" s="121">
        <v>15992.0</v>
      </c>
      <c r="L41" s="122">
        <v>0.0</v>
      </c>
      <c r="M41" s="129">
        <v>0.0</v>
      </c>
      <c r="N41" s="85" t="str">
        <f t="shared" ref="N41:N44" si="48">J41/M41</f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88">
        <f t="shared" si="44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collapsed="1">
      <c r="A42" s="116" t="str">
        <f t="shared" si="45"/>
        <v/>
      </c>
      <c r="B42" s="137" t="s">
        <v>41</v>
      </c>
      <c r="C42" s="138"/>
      <c r="D42" s="104">
        <f t="shared" ref="D42:F42" si="46">SUM(D38:D41)</f>
        <v>0</v>
      </c>
      <c r="E42" s="105">
        <f t="shared" si="46"/>
        <v>0</v>
      </c>
      <c r="F42" s="105">
        <f t="shared" si="46"/>
        <v>0</v>
      </c>
      <c r="G42" s="106" t="str">
        <f t="shared" si="1"/>
        <v>#DIV/0!</v>
      </c>
      <c r="H42" s="107" t="str">
        <f t="shared" si="2"/>
        <v>#DIV/0!</v>
      </c>
      <c r="I42" s="108" t="str">
        <f t="shared" si="3"/>
        <v>#DIV/0!</v>
      </c>
      <c r="J42" s="104">
        <f t="shared" ref="J42:M42" si="47">SUM(J38:J41)</f>
        <v>601.89</v>
      </c>
      <c r="K42" s="109">
        <f t="shared" si="47"/>
        <v>61270</v>
      </c>
      <c r="L42" s="139">
        <f t="shared" si="47"/>
        <v>0</v>
      </c>
      <c r="M42" s="110">
        <f t="shared" si="47"/>
        <v>0</v>
      </c>
      <c r="N42" s="111" t="str">
        <f t="shared" si="48"/>
        <v>#DIV/0!</v>
      </c>
      <c r="O42" s="112">
        <f t="shared" si="5"/>
        <v>0</v>
      </c>
      <c r="P42" s="111" t="str">
        <f t="shared" si="6"/>
        <v>#DIV/0!</v>
      </c>
      <c r="Q42" s="113" t="str">
        <f t="shared" si="7"/>
        <v>#DIV/0!</v>
      </c>
      <c r="R42" s="114">
        <f>SUM(R38:R41)</f>
        <v>0</v>
      </c>
      <c r="S42" s="115" t="str">
        <f t="shared" si="9"/>
        <v>#DIV/0!</v>
      </c>
      <c r="T42" s="140" t="str">
        <f t="shared" ref="T42:U42" si="49">IFERROR((D42-#REF!)/D42,)</f>
        <v/>
      </c>
      <c r="U42" s="140" t="str">
        <f t="shared" si="49"/>
        <v/>
      </c>
      <c r="V42" s="140" t="str">
        <f t="shared" ref="V42:W42" si="50">IFERROR((D42-#REF!)/D42, )</f>
        <v/>
      </c>
      <c r="W42" s="140" t="str">
        <f t="shared" si="50"/>
        <v/>
      </c>
      <c r="X42" s="116"/>
      <c r="Y42" s="116"/>
      <c r="Z42" s="116"/>
    </row>
    <row r="43" hidden="1" outlineLevel="1">
      <c r="A43" s="116"/>
      <c r="B43" s="74">
        <v>45963.0</v>
      </c>
      <c r="C43" s="117" t="s">
        <v>31</v>
      </c>
      <c r="D43" s="118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0">
        <v>189.5</v>
      </c>
      <c r="K43" s="121">
        <v>13718.0</v>
      </c>
      <c r="L43" s="135"/>
      <c r="M43" s="123">
        <v>113.0</v>
      </c>
      <c r="N43" s="85">
        <f t="shared" si="48"/>
        <v>1.67699115</v>
      </c>
      <c r="O43" s="86">
        <f t="shared" si="5"/>
        <v>0.5963060686</v>
      </c>
      <c r="P43" s="85" t="str">
        <f t="shared" si="6"/>
        <v>#DIV/0!</v>
      </c>
      <c r="Q43" s="87" t="str">
        <f t="shared" si="7"/>
        <v>#DIV/0!</v>
      </c>
      <c r="R43" s="88">
        <f t="shared" ref="R43:R46" si="51">D43-M43</f>
        <v>-113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hidden="1" outlineLevel="1">
      <c r="A44" s="116"/>
      <c r="B44" s="126"/>
      <c r="C44" s="117" t="s">
        <v>32</v>
      </c>
      <c r="D44" s="127"/>
      <c r="E44" s="119"/>
      <c r="F44" s="119"/>
      <c r="G44" s="78" t="str">
        <f t="shared" si="1"/>
        <v>#DIV/0!</v>
      </c>
      <c r="H44" s="79" t="str">
        <f t="shared" si="2"/>
        <v>#DIV/0!</v>
      </c>
      <c r="I44" s="80" t="str">
        <f t="shared" si="3"/>
        <v>#DIV/0!</v>
      </c>
      <c r="J44" s="128">
        <v>199.08</v>
      </c>
      <c r="K44" s="121">
        <v>9470.0</v>
      </c>
      <c r="L44" s="135"/>
      <c r="M44" s="129">
        <v>126.0</v>
      </c>
      <c r="N44" s="85">
        <f t="shared" si="48"/>
        <v>1.58</v>
      </c>
      <c r="O44" s="86">
        <f t="shared" si="5"/>
        <v>0.6329113924</v>
      </c>
      <c r="P44" s="85" t="str">
        <f t="shared" si="6"/>
        <v>#DIV/0!</v>
      </c>
      <c r="Q44" s="87" t="str">
        <f t="shared" si="7"/>
        <v>#DIV/0!</v>
      </c>
      <c r="R44" s="95">
        <f t="shared" si="51"/>
        <v>-126</v>
      </c>
      <c r="S44" s="89" t="str">
        <f t="shared" si="9"/>
        <v>#DIV/0!</v>
      </c>
      <c r="T44" s="124"/>
      <c r="U44" s="124"/>
      <c r="V44" s="124"/>
      <c r="W44" s="124"/>
      <c r="X44" s="125"/>
      <c r="Y44" s="116"/>
      <c r="Z44" s="116"/>
    </row>
    <row r="45" hidden="1" outlineLevel="1">
      <c r="A45" s="116"/>
      <c r="B45" s="74" t="s">
        <v>33</v>
      </c>
      <c r="C45" s="117" t="s">
        <v>34</v>
      </c>
      <c r="D45" s="130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31">
        <v>0.0</v>
      </c>
      <c r="K45" s="121">
        <v>0.0</v>
      </c>
      <c r="L45" s="135"/>
      <c r="M45" s="132">
        <v>0.0</v>
      </c>
      <c r="N45" s="85" t="str">
        <f>(J45/M45)</f>
        <v>#DIV/0!</v>
      </c>
      <c r="O45" s="86" t="str">
        <f t="shared" si="5"/>
        <v>#DIV/0!</v>
      </c>
      <c r="P45" s="85" t="str">
        <f t="shared" si="6"/>
        <v>#DIV/0!</v>
      </c>
      <c r="Q45" s="87" t="str">
        <f t="shared" si="7"/>
        <v>#DIV/0!</v>
      </c>
      <c r="R45" s="100">
        <f t="shared" si="51"/>
        <v>0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01" t="str">
        <f t="shared" ref="A46:A47" si="52">iferror(if(B46&gt;0,month(B46)&amp;"-"&amp;year(B46),B46),)</f>
        <v>11-2025</v>
      </c>
      <c r="B46" s="74">
        <v>45969.0</v>
      </c>
      <c r="C46" s="117" t="s">
        <v>35</v>
      </c>
      <c r="D46" s="133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28">
        <v>187.8</v>
      </c>
      <c r="K46" s="121">
        <v>7955.0</v>
      </c>
      <c r="L46" s="135"/>
      <c r="M46" s="129">
        <v>0.0</v>
      </c>
      <c r="N46" s="85" t="str">
        <f t="shared" ref="N46:N49" si="55">J46/M46</f>
        <v>#DIV/0!</v>
      </c>
      <c r="O46" s="86">
        <f t="shared" si="5"/>
        <v>0</v>
      </c>
      <c r="P46" s="85" t="str">
        <f t="shared" si="6"/>
        <v>#DIV/0!</v>
      </c>
      <c r="Q46" s="87" t="str">
        <f t="shared" si="7"/>
        <v>#DIV/0!</v>
      </c>
      <c r="R46" s="88">
        <f t="shared" si="51"/>
        <v>0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collapsed="1">
      <c r="A47" s="116" t="str">
        <f t="shared" si="52"/>
        <v/>
      </c>
      <c r="B47" s="137" t="s">
        <v>42</v>
      </c>
      <c r="C47" s="138"/>
      <c r="D47" s="104">
        <f t="shared" ref="D47:F47" si="53">SUM(D43:D46)</f>
        <v>0</v>
      </c>
      <c r="E47" s="105">
        <f t="shared" si="53"/>
        <v>0</v>
      </c>
      <c r="F47" s="105">
        <f t="shared" si="53"/>
        <v>0</v>
      </c>
      <c r="G47" s="106" t="str">
        <f t="shared" si="1"/>
        <v>#DIV/0!</v>
      </c>
      <c r="H47" s="107" t="str">
        <f t="shared" si="2"/>
        <v>#DIV/0!</v>
      </c>
      <c r="I47" s="108" t="str">
        <f t="shared" si="3"/>
        <v>#DIV/0!</v>
      </c>
      <c r="J47" s="104">
        <f t="shared" ref="J47:M47" si="54">SUM(J43:J46)</f>
        <v>576.38</v>
      </c>
      <c r="K47" s="109">
        <f t="shared" si="54"/>
        <v>31143</v>
      </c>
      <c r="L47" s="139">
        <f t="shared" si="54"/>
        <v>0</v>
      </c>
      <c r="M47" s="110">
        <f t="shared" si="54"/>
        <v>239</v>
      </c>
      <c r="N47" s="111">
        <f t="shared" si="55"/>
        <v>2.411631799</v>
      </c>
      <c r="O47" s="112">
        <f t="shared" si="5"/>
        <v>0.4146569971</v>
      </c>
      <c r="P47" s="111" t="str">
        <f t="shared" si="6"/>
        <v>#DIV/0!</v>
      </c>
      <c r="Q47" s="113" t="str">
        <f t="shared" si="7"/>
        <v>#DIV/0!</v>
      </c>
      <c r="R47" s="114">
        <f>SUM(R43:R46)</f>
        <v>-239</v>
      </c>
      <c r="S47" s="115" t="str">
        <f t="shared" si="9"/>
        <v>#DIV/0!</v>
      </c>
      <c r="T47" s="140" t="str">
        <f t="shared" ref="T47:U47" si="56">IFERROR((D47-#REF!)/D47,)</f>
        <v/>
      </c>
      <c r="U47" s="140" t="str">
        <f t="shared" si="56"/>
        <v/>
      </c>
      <c r="V47" s="140" t="str">
        <f t="shared" ref="V47:W47" si="57">IFERROR((D47-#REF!)/D47, )</f>
        <v/>
      </c>
      <c r="W47" s="140" t="str">
        <f t="shared" si="57"/>
        <v/>
      </c>
      <c r="X47" s="116"/>
      <c r="Y47" s="116"/>
      <c r="Z47" s="116"/>
    </row>
    <row r="48" hidden="1" outlineLevel="1">
      <c r="A48" s="116"/>
      <c r="B48" s="74">
        <v>45970.0</v>
      </c>
      <c r="C48" s="117" t="s">
        <v>31</v>
      </c>
      <c r="D48" s="118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0">
        <v>183.78</v>
      </c>
      <c r="K48" s="121">
        <v>6450.0</v>
      </c>
      <c r="L48" s="135"/>
      <c r="M48" s="123">
        <v>1396.4</v>
      </c>
      <c r="N48" s="85">
        <f t="shared" si="55"/>
        <v>0.1316098539</v>
      </c>
      <c r="O48" s="86">
        <f t="shared" si="5"/>
        <v>7.598215257</v>
      </c>
      <c r="P48" s="85" t="str">
        <f t="shared" si="6"/>
        <v>#DIV/0!</v>
      </c>
      <c r="Q48" s="87" t="str">
        <f t="shared" si="7"/>
        <v>#DIV/0!</v>
      </c>
      <c r="R48" s="88">
        <f t="shared" ref="R48:R51" si="58">D48-M48</f>
        <v>-1396.4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126"/>
      <c r="C49" s="117" t="s">
        <v>32</v>
      </c>
      <c r="D49" s="127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28">
        <v>173.08</v>
      </c>
      <c r="K49" s="121">
        <v>10341.0</v>
      </c>
      <c r="L49" s="135"/>
      <c r="M49" s="129">
        <v>460.0</v>
      </c>
      <c r="N49" s="85">
        <f t="shared" si="55"/>
        <v>0.3762608696</v>
      </c>
      <c r="O49" s="86">
        <f t="shared" si="5"/>
        <v>2.657730529</v>
      </c>
      <c r="P49" s="85" t="str">
        <f t="shared" si="6"/>
        <v>#DIV/0!</v>
      </c>
      <c r="Q49" s="87" t="str">
        <f t="shared" si="7"/>
        <v>#DIV/0!</v>
      </c>
      <c r="R49" s="95">
        <f t="shared" si="58"/>
        <v>-460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16"/>
      <c r="B50" s="74" t="s">
        <v>33</v>
      </c>
      <c r="C50" s="117" t="s">
        <v>34</v>
      </c>
      <c r="D50" s="130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31">
        <v>0.0</v>
      </c>
      <c r="K50" s="121">
        <v>0.0</v>
      </c>
      <c r="L50" s="135"/>
      <c r="M50" s="132">
        <v>0.0</v>
      </c>
      <c r="N50" s="85" t="str">
        <f>(J50/M50)</f>
        <v>#DIV/0!</v>
      </c>
      <c r="O50" s="86" t="str">
        <f t="shared" si="5"/>
        <v>#DIV/0!</v>
      </c>
      <c r="P50" s="85" t="str">
        <f t="shared" si="6"/>
        <v>#DIV/0!</v>
      </c>
      <c r="Q50" s="87" t="str">
        <f t="shared" si="7"/>
        <v>#DIV/0!</v>
      </c>
      <c r="R50" s="100">
        <f t="shared" si="5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hidden="1" outlineLevel="1">
      <c r="A51" s="101" t="str">
        <f t="shared" ref="A51:A52" si="59">iferror(if(B51&gt;0,month(B51)&amp;"-"&amp;year(B51),B51),)</f>
        <v>11-2025</v>
      </c>
      <c r="B51" s="74">
        <v>45976.0</v>
      </c>
      <c r="C51" s="117" t="s">
        <v>35</v>
      </c>
      <c r="D51" s="133"/>
      <c r="E51" s="119"/>
      <c r="F51" s="119"/>
      <c r="G51" s="78" t="str">
        <f t="shared" si="1"/>
        <v>#DIV/0!</v>
      </c>
      <c r="H51" s="79" t="str">
        <f t="shared" si="2"/>
        <v>#DIV/0!</v>
      </c>
      <c r="I51" s="80" t="str">
        <f t="shared" si="3"/>
        <v>#DIV/0!</v>
      </c>
      <c r="J51" s="128">
        <v>180.61</v>
      </c>
      <c r="K51" s="121">
        <v>7992.0</v>
      </c>
      <c r="L51" s="135"/>
      <c r="M51" s="129">
        <v>206.0</v>
      </c>
      <c r="N51" s="85">
        <f t="shared" ref="N51:N54" si="62">J51/M51</f>
        <v>0.8767475728</v>
      </c>
      <c r="O51" s="86">
        <f t="shared" si="5"/>
        <v>1.140579148</v>
      </c>
      <c r="P51" s="85" t="str">
        <f t="shared" si="6"/>
        <v>#DIV/0!</v>
      </c>
      <c r="Q51" s="87" t="str">
        <f t="shared" si="7"/>
        <v>#DIV/0!</v>
      </c>
      <c r="R51" s="88">
        <f t="shared" si="58"/>
        <v>-206</v>
      </c>
      <c r="S51" s="89" t="str">
        <f t="shared" si="9"/>
        <v>#DIV/0!</v>
      </c>
      <c r="T51" s="124"/>
      <c r="U51" s="124"/>
      <c r="V51" s="124"/>
      <c r="W51" s="124"/>
      <c r="X51" s="125"/>
      <c r="Y51" s="116"/>
      <c r="Z51" s="116"/>
    </row>
    <row r="52" collapsed="1">
      <c r="A52" s="116" t="str">
        <f t="shared" si="59"/>
        <v/>
      </c>
      <c r="B52" s="137" t="s">
        <v>43</v>
      </c>
      <c r="C52" s="138"/>
      <c r="D52" s="104">
        <f t="shared" ref="D52:F52" si="60">SUM(D48:D51)</f>
        <v>0</v>
      </c>
      <c r="E52" s="105">
        <f t="shared" si="60"/>
        <v>0</v>
      </c>
      <c r="F52" s="105">
        <f t="shared" si="60"/>
        <v>0</v>
      </c>
      <c r="G52" s="106" t="str">
        <f t="shared" si="1"/>
        <v>#DIV/0!</v>
      </c>
      <c r="H52" s="107" t="str">
        <f t="shared" si="2"/>
        <v>#DIV/0!</v>
      </c>
      <c r="I52" s="108" t="str">
        <f t="shared" si="3"/>
        <v>#DIV/0!</v>
      </c>
      <c r="J52" s="104">
        <f t="shared" ref="J52:M52" si="61">SUM(J48:J51)</f>
        <v>537.47</v>
      </c>
      <c r="K52" s="109">
        <f t="shared" si="61"/>
        <v>24783</v>
      </c>
      <c r="L52" s="139">
        <f t="shared" si="61"/>
        <v>0</v>
      </c>
      <c r="M52" s="110">
        <f t="shared" si="61"/>
        <v>2062.4</v>
      </c>
      <c r="N52" s="111">
        <f t="shared" si="62"/>
        <v>0.2606041505</v>
      </c>
      <c r="O52" s="112">
        <f t="shared" si="5"/>
        <v>3.837237427</v>
      </c>
      <c r="P52" s="111" t="str">
        <f t="shared" si="6"/>
        <v>#DIV/0!</v>
      </c>
      <c r="Q52" s="113" t="str">
        <f t="shared" si="7"/>
        <v>#DIV/0!</v>
      </c>
      <c r="R52" s="114">
        <f>SUM(R48:R51)</f>
        <v>-2062.4</v>
      </c>
      <c r="S52" s="115" t="str">
        <f t="shared" si="9"/>
        <v>#DIV/0!</v>
      </c>
      <c r="T52" s="140" t="str">
        <f t="shared" ref="T52:U52" si="63">IFERROR((D52-#REF!)/D52,)</f>
        <v/>
      </c>
      <c r="U52" s="140" t="str">
        <f t="shared" si="63"/>
        <v/>
      </c>
      <c r="V52" s="140" t="str">
        <f t="shared" ref="V52:W52" si="64">IFERROR((D52-#REF!)/D52, )</f>
        <v/>
      </c>
      <c r="W52" s="140" t="str">
        <f t="shared" si="64"/>
        <v/>
      </c>
      <c r="X52" s="116"/>
      <c r="Y52" s="116"/>
      <c r="Z52" s="116"/>
    </row>
    <row r="53" hidden="1" outlineLevel="1">
      <c r="A53" s="116"/>
      <c r="B53" s="74">
        <v>45977.0</v>
      </c>
      <c r="C53" s="117" t="s">
        <v>31</v>
      </c>
      <c r="D53" s="118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20">
        <v>179.32</v>
      </c>
      <c r="K53" s="121">
        <v>12324.0</v>
      </c>
      <c r="L53" s="135"/>
      <c r="M53" s="123">
        <v>1291.0</v>
      </c>
      <c r="N53" s="85">
        <f t="shared" si="62"/>
        <v>0.1389000775</v>
      </c>
      <c r="O53" s="86">
        <f t="shared" si="5"/>
        <v>7.199420031</v>
      </c>
      <c r="P53" s="85" t="str">
        <f t="shared" si="6"/>
        <v>#DIV/0!</v>
      </c>
      <c r="Q53" s="87" t="str">
        <f t="shared" si="7"/>
        <v>#DIV/0!</v>
      </c>
      <c r="R53" s="88">
        <f t="shared" ref="R53:R56" si="65">D53-M53</f>
        <v>-1291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192.29</v>
      </c>
      <c r="K54" s="121">
        <v>17470.0</v>
      </c>
      <c r="L54" s="135"/>
      <c r="M54" s="129">
        <v>0.0</v>
      </c>
      <c r="N54" s="85" t="str">
        <f t="shared" si="62"/>
        <v>#DIV/0!</v>
      </c>
      <c r="O54" s="86">
        <f t="shared" si="5"/>
        <v>0</v>
      </c>
      <c r="P54" s="85" t="str">
        <f t="shared" si="6"/>
        <v>#DIV/0!</v>
      </c>
      <c r="Q54" s="87" t="str">
        <f t="shared" si="7"/>
        <v>#DIV/0!</v>
      </c>
      <c r="R54" s="95">
        <f t="shared" si="6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74" t="s">
        <v>33</v>
      </c>
      <c r="C55" s="117" t="s">
        <v>34</v>
      </c>
      <c r="D55" s="130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31">
        <v>0.0</v>
      </c>
      <c r="K55" s="121">
        <v>0.0</v>
      </c>
      <c r="L55" s="135"/>
      <c r="M55" s="132">
        <v>0.0</v>
      </c>
      <c r="N55" s="85" t="str">
        <f>(J55/M55)</f>
        <v>#DIV/0!</v>
      </c>
      <c r="O55" s="86" t="str">
        <f t="shared" si="5"/>
        <v>#DIV/0!</v>
      </c>
      <c r="P55" s="85" t="str">
        <f t="shared" si="6"/>
        <v>#DIV/0!</v>
      </c>
      <c r="Q55" s="87" t="str">
        <f t="shared" si="7"/>
        <v>#DIV/0!</v>
      </c>
      <c r="R55" s="100">
        <f t="shared" si="6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01" t="str">
        <f t="shared" ref="A56:A57" si="66">iferror(if(B56&gt;0,month(B56)&amp;"-"&amp;year(B56),B56),)</f>
        <v>11-2025</v>
      </c>
      <c r="B56" s="74">
        <v>45983.0</v>
      </c>
      <c r="C56" s="117" t="s">
        <v>35</v>
      </c>
      <c r="D56" s="133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28">
        <v>183.1</v>
      </c>
      <c r="K56" s="121">
        <v>11049.0</v>
      </c>
      <c r="L56" s="135"/>
      <c r="M56" s="129">
        <v>0.0</v>
      </c>
      <c r="N56" s="85" t="str">
        <f t="shared" ref="N56:N59" si="69">J56/M56</f>
        <v>#DIV/0!</v>
      </c>
      <c r="O56" s="86">
        <f t="shared" si="5"/>
        <v>0</v>
      </c>
      <c r="P56" s="85" t="str">
        <f t="shared" si="6"/>
        <v>#DIV/0!</v>
      </c>
      <c r="Q56" s="87" t="str">
        <f t="shared" si="7"/>
        <v>#DIV/0!</v>
      </c>
      <c r="R56" s="88">
        <f t="shared" si="6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collapsed="1">
      <c r="A57" s="116" t="str">
        <f t="shared" si="66"/>
        <v/>
      </c>
      <c r="B57" s="137" t="s">
        <v>44</v>
      </c>
      <c r="C57" s="138"/>
      <c r="D57" s="104">
        <f t="shared" ref="D57:F57" si="67">SUM(D53:D56)</f>
        <v>0</v>
      </c>
      <c r="E57" s="105">
        <f t="shared" si="67"/>
        <v>0</v>
      </c>
      <c r="F57" s="105">
        <f t="shared" si="67"/>
        <v>0</v>
      </c>
      <c r="G57" s="106" t="str">
        <f t="shared" si="1"/>
        <v>#DIV/0!</v>
      </c>
      <c r="H57" s="107" t="str">
        <f t="shared" si="2"/>
        <v>#DIV/0!</v>
      </c>
      <c r="I57" s="108" t="str">
        <f t="shared" si="3"/>
        <v>#DIV/0!</v>
      </c>
      <c r="J57" s="104">
        <f t="shared" ref="J57:M57" si="68">SUM(J53:J56)</f>
        <v>554.71</v>
      </c>
      <c r="K57" s="109">
        <f t="shared" si="68"/>
        <v>40843</v>
      </c>
      <c r="L57" s="139">
        <f t="shared" si="68"/>
        <v>0</v>
      </c>
      <c r="M57" s="110">
        <f t="shared" si="68"/>
        <v>1291</v>
      </c>
      <c r="N57" s="111">
        <f t="shared" si="69"/>
        <v>0.4296746708</v>
      </c>
      <c r="O57" s="112">
        <f t="shared" si="5"/>
        <v>2.327342215</v>
      </c>
      <c r="P57" s="111" t="str">
        <f t="shared" si="6"/>
        <v>#DIV/0!</v>
      </c>
      <c r="Q57" s="113" t="str">
        <f t="shared" si="7"/>
        <v>#DIV/0!</v>
      </c>
      <c r="R57" s="114">
        <f>SUM(R53:R56)</f>
        <v>-1291</v>
      </c>
      <c r="S57" s="115" t="str">
        <f t="shared" si="9"/>
        <v>#DIV/0!</v>
      </c>
      <c r="T57" s="140" t="str">
        <f t="shared" ref="T57:U57" si="70">IFERROR((D57-#REF!)/D57,)</f>
        <v/>
      </c>
      <c r="U57" s="140" t="str">
        <f t="shared" si="70"/>
        <v/>
      </c>
      <c r="V57" s="140" t="str">
        <f t="shared" ref="V57:W57" si="71">IFERROR((D57-#REF!)/D57, )</f>
        <v/>
      </c>
      <c r="W57" s="140" t="str">
        <f t="shared" si="71"/>
        <v/>
      </c>
      <c r="X57" s="116"/>
      <c r="Y57" s="116"/>
      <c r="Z57" s="116"/>
    </row>
    <row r="58" hidden="1" outlineLevel="1">
      <c r="A58" s="116"/>
      <c r="B58" s="74">
        <v>45984.0</v>
      </c>
      <c r="C58" s="117" t="s">
        <v>31</v>
      </c>
      <c r="D58" s="118"/>
      <c r="E58" s="119"/>
      <c r="F58" s="119"/>
      <c r="G58" s="78" t="str">
        <f t="shared" si="1"/>
        <v>#DIV/0!</v>
      </c>
      <c r="H58" s="79" t="str">
        <f t="shared" si="2"/>
        <v>#DIV/0!</v>
      </c>
      <c r="I58" s="80" t="str">
        <f t="shared" si="3"/>
        <v>#DIV/0!</v>
      </c>
      <c r="J58" s="120">
        <v>176.77</v>
      </c>
      <c r="K58" s="121">
        <v>11702.0</v>
      </c>
      <c r="L58" s="135"/>
      <c r="M58" s="123">
        <v>148.0</v>
      </c>
      <c r="N58" s="85">
        <f t="shared" si="69"/>
        <v>1.194391892</v>
      </c>
      <c r="O58" s="86">
        <f t="shared" si="5"/>
        <v>0.8372461391</v>
      </c>
      <c r="P58" s="85" t="str">
        <f t="shared" si="6"/>
        <v>#DIV/0!</v>
      </c>
      <c r="Q58" s="87" t="str">
        <f t="shared" si="7"/>
        <v>#DIV/0!</v>
      </c>
      <c r="R58" s="88">
        <f t="shared" ref="R58:R61" si="72">D58-M58</f>
        <v>-148</v>
      </c>
      <c r="S58" s="89" t="str">
        <f t="shared" si="9"/>
        <v>#DIV/0!</v>
      </c>
      <c r="T58" s="124"/>
      <c r="U58" s="124"/>
      <c r="V58" s="124"/>
      <c r="W58" s="124"/>
      <c r="X58" s="125"/>
      <c r="Y58" s="116"/>
      <c r="Z58" s="116"/>
    </row>
    <row r="59" hidden="1" outlineLevel="1">
      <c r="A59" s="116"/>
      <c r="B59" s="126"/>
      <c r="C59" s="117" t="s">
        <v>32</v>
      </c>
      <c r="D59" s="127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8">
        <v>166.63</v>
      </c>
      <c r="K59" s="121">
        <v>11450.0</v>
      </c>
      <c r="L59" s="135"/>
      <c r="M59" s="129">
        <v>0.0</v>
      </c>
      <c r="N59" s="85" t="str">
        <f t="shared" si="69"/>
        <v>#DIV/0!</v>
      </c>
      <c r="O59" s="86">
        <f t="shared" si="5"/>
        <v>0</v>
      </c>
      <c r="P59" s="85" t="str">
        <f t="shared" si="6"/>
        <v>#DIV/0!</v>
      </c>
      <c r="Q59" s="87" t="str">
        <f t="shared" si="7"/>
        <v>#DIV/0!</v>
      </c>
      <c r="R59" s="95">
        <f t="shared" si="72"/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74" t="s">
        <v>33</v>
      </c>
      <c r="C60" s="117" t="s">
        <v>34</v>
      </c>
      <c r="D60" s="130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31">
        <v>0.0</v>
      </c>
      <c r="K60" s="121">
        <v>0.0</v>
      </c>
      <c r="L60" s="135"/>
      <c r="M60" s="132">
        <v>0.0</v>
      </c>
      <c r="N60" s="85" t="str">
        <f>(J60/M60)</f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100">
        <f t="shared" si="7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01" t="str">
        <f t="shared" ref="A61:A62" si="73">iferror(if(B61&gt;0,month(B61)&amp;"-"&amp;year(B61),B61),)</f>
        <v>11-2025</v>
      </c>
      <c r="B61" s="74">
        <v>45990.0</v>
      </c>
      <c r="C61" s="117" t="s">
        <v>35</v>
      </c>
      <c r="D61" s="133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174.6</v>
      </c>
      <c r="K61" s="121">
        <v>9852.0</v>
      </c>
      <c r="L61" s="135"/>
      <c r="M61" s="129">
        <v>185.0</v>
      </c>
      <c r="N61" s="85">
        <f t="shared" ref="N61:N64" si="76">J61/M61</f>
        <v>0.9437837838</v>
      </c>
      <c r="O61" s="86">
        <f t="shared" si="5"/>
        <v>1.059564719</v>
      </c>
      <c r="P61" s="85" t="str">
        <f t="shared" si="6"/>
        <v>#DIV/0!</v>
      </c>
      <c r="Q61" s="87" t="str">
        <f t="shared" si="7"/>
        <v>#DIV/0!</v>
      </c>
      <c r="R61" s="88">
        <f t="shared" si="72"/>
        <v>-185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collapsed="1">
      <c r="A62" s="116" t="str">
        <f t="shared" si="73"/>
        <v/>
      </c>
      <c r="B62" s="137" t="s">
        <v>45</v>
      </c>
      <c r="C62" s="138"/>
      <c r="D62" s="104">
        <f t="shared" ref="D62:F62" si="74">SUM(D58:D61)</f>
        <v>0</v>
      </c>
      <c r="E62" s="105">
        <f t="shared" si="74"/>
        <v>0</v>
      </c>
      <c r="F62" s="105">
        <f t="shared" si="74"/>
        <v>0</v>
      </c>
      <c r="G62" s="106" t="str">
        <f t="shared" si="1"/>
        <v>#DIV/0!</v>
      </c>
      <c r="H62" s="107" t="str">
        <f t="shared" si="2"/>
        <v>#DIV/0!</v>
      </c>
      <c r="I62" s="108" t="str">
        <f t="shared" si="3"/>
        <v>#DIV/0!</v>
      </c>
      <c r="J62" s="104">
        <f t="shared" ref="J62:M62" si="75">SUM(J58:J61)</f>
        <v>518</v>
      </c>
      <c r="K62" s="109">
        <f t="shared" si="75"/>
        <v>33004</v>
      </c>
      <c r="L62" s="139">
        <f t="shared" si="75"/>
        <v>0</v>
      </c>
      <c r="M62" s="110">
        <f t="shared" si="75"/>
        <v>333</v>
      </c>
      <c r="N62" s="111">
        <f t="shared" si="76"/>
        <v>1.555555556</v>
      </c>
      <c r="O62" s="112">
        <f t="shared" si="5"/>
        <v>0.6428571429</v>
      </c>
      <c r="P62" s="111" t="str">
        <f t="shared" si="6"/>
        <v>#DIV/0!</v>
      </c>
      <c r="Q62" s="113" t="str">
        <f t="shared" si="7"/>
        <v>#DIV/0!</v>
      </c>
      <c r="R62" s="114">
        <f>SUM(R58:R61)</f>
        <v>-333</v>
      </c>
      <c r="S62" s="115" t="str">
        <f t="shared" si="9"/>
        <v>#DIV/0!</v>
      </c>
      <c r="T62" s="140" t="str">
        <f t="shared" ref="T62:U62" si="77">IFERROR((D62-#REF!)/D62,)</f>
        <v/>
      </c>
      <c r="U62" s="140" t="str">
        <f t="shared" si="77"/>
        <v/>
      </c>
      <c r="V62" s="140" t="str">
        <f t="shared" ref="V62:W62" si="78">IFERROR((D62-#REF!)/D62, )</f>
        <v/>
      </c>
      <c r="W62" s="140" t="str">
        <f t="shared" si="78"/>
        <v/>
      </c>
      <c r="X62" s="116"/>
      <c r="Y62" s="116"/>
      <c r="Z62" s="116"/>
    </row>
    <row r="63" hidden="1" outlineLevel="1">
      <c r="A63" s="116"/>
      <c r="B63" s="74">
        <v>45991.0</v>
      </c>
      <c r="C63" s="117" t="s">
        <v>31</v>
      </c>
      <c r="D63" s="118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20">
        <v>178.91</v>
      </c>
      <c r="K63" s="121">
        <v>7098.0</v>
      </c>
      <c r="L63" s="135"/>
      <c r="M63" s="123">
        <v>335.0</v>
      </c>
      <c r="N63" s="85">
        <f t="shared" si="76"/>
        <v>0.5340597015</v>
      </c>
      <c r="O63" s="86">
        <f t="shared" si="5"/>
        <v>1.872449835</v>
      </c>
      <c r="P63" s="85" t="str">
        <f t="shared" si="6"/>
        <v>#DIV/0!</v>
      </c>
      <c r="Q63" s="87" t="str">
        <f t="shared" si="7"/>
        <v>#DIV/0!</v>
      </c>
      <c r="R63" s="88">
        <f t="shared" ref="R63:R66" si="79">D63-M63</f>
        <v>-335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16"/>
      <c r="B64" s="126"/>
      <c r="C64" s="117" t="s">
        <v>32</v>
      </c>
      <c r="D64" s="127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1226.56</v>
      </c>
      <c r="K64" s="121">
        <v>98052.0</v>
      </c>
      <c r="L64" s="135"/>
      <c r="M64" s="129">
        <v>609.0</v>
      </c>
      <c r="N64" s="85">
        <f t="shared" si="76"/>
        <v>2.014055829</v>
      </c>
      <c r="O64" s="86">
        <f t="shared" si="5"/>
        <v>0.4965105661</v>
      </c>
      <c r="P64" s="85" t="str">
        <f t="shared" si="6"/>
        <v>#DIV/0!</v>
      </c>
      <c r="Q64" s="87" t="str">
        <f t="shared" si="7"/>
        <v>#DIV/0!</v>
      </c>
      <c r="R64" s="95">
        <f t="shared" si="79"/>
        <v>-609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hidden="1" outlineLevel="1">
      <c r="A65" s="116"/>
      <c r="B65" s="74" t="s">
        <v>33</v>
      </c>
      <c r="C65" s="117" t="s">
        <v>34</v>
      </c>
      <c r="D65" s="130"/>
      <c r="E65" s="119"/>
      <c r="F65" s="119"/>
      <c r="G65" s="78" t="str">
        <f t="shared" si="1"/>
        <v>#DIV/0!</v>
      </c>
      <c r="H65" s="79" t="str">
        <f t="shared" si="2"/>
        <v>#DIV/0!</v>
      </c>
      <c r="I65" s="80" t="str">
        <f t="shared" si="3"/>
        <v>#DIV/0!</v>
      </c>
      <c r="J65" s="131">
        <v>0.0</v>
      </c>
      <c r="K65" s="121">
        <v>0.0</v>
      </c>
      <c r="L65" s="135"/>
      <c r="M65" s="132">
        <v>0.0</v>
      </c>
      <c r="N65" s="85" t="str">
        <f>(J65/M65)</f>
        <v>#DIV/0!</v>
      </c>
      <c r="O65" s="86" t="str">
        <f t="shared" si="5"/>
        <v>#DIV/0!</v>
      </c>
      <c r="P65" s="85" t="str">
        <f t="shared" si="6"/>
        <v>#DIV/0!</v>
      </c>
      <c r="Q65" s="87" t="str">
        <f t="shared" si="7"/>
        <v>#DIV/0!</v>
      </c>
      <c r="R65" s="100">
        <f t="shared" si="79"/>
        <v>0</v>
      </c>
      <c r="S65" s="89" t="str">
        <f t="shared" si="9"/>
        <v>#DIV/0!</v>
      </c>
      <c r="T65" s="124"/>
      <c r="U65" s="124"/>
      <c r="V65" s="124"/>
      <c r="W65" s="124"/>
      <c r="X65" s="125"/>
      <c r="Y65" s="116"/>
      <c r="Z65" s="116"/>
    </row>
    <row r="66" hidden="1" outlineLevel="1">
      <c r="A66" s="101" t="str">
        <f t="shared" ref="A66:A67" si="80">iferror(if(B66&gt;0,month(B66)&amp;"-"&amp;year(B66),B66),)</f>
        <v>12-2025</v>
      </c>
      <c r="B66" s="74">
        <v>45997.0</v>
      </c>
      <c r="C66" s="117" t="s">
        <v>35</v>
      </c>
      <c r="D66" s="133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28">
        <v>1220.18</v>
      </c>
      <c r="K66" s="121">
        <v>75696.0</v>
      </c>
      <c r="L66" s="135"/>
      <c r="M66" s="129">
        <v>391.0</v>
      </c>
      <c r="N66" s="85">
        <f t="shared" ref="N66:N69" si="83">J66/M66</f>
        <v>3.120664962</v>
      </c>
      <c r="O66" s="86">
        <f t="shared" si="5"/>
        <v>0.3204445246</v>
      </c>
      <c r="P66" s="85" t="str">
        <f t="shared" si="6"/>
        <v>#DIV/0!</v>
      </c>
      <c r="Q66" s="87" t="str">
        <f t="shared" si="7"/>
        <v>#DIV/0!</v>
      </c>
      <c r="R66" s="88">
        <f t="shared" si="79"/>
        <v>-391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collapsed="1">
      <c r="A67" s="116" t="str">
        <f t="shared" si="80"/>
        <v/>
      </c>
      <c r="B67" s="137" t="s">
        <v>47</v>
      </c>
      <c r="C67" s="138"/>
      <c r="D67" s="104">
        <f t="shared" ref="D67:F67" si="81">SUM(D63:D66)</f>
        <v>0</v>
      </c>
      <c r="E67" s="105">
        <f t="shared" si="81"/>
        <v>0</v>
      </c>
      <c r="F67" s="105">
        <f t="shared" si="81"/>
        <v>0</v>
      </c>
      <c r="G67" s="106" t="str">
        <f t="shared" si="1"/>
        <v>#DIV/0!</v>
      </c>
      <c r="H67" s="107" t="str">
        <f t="shared" si="2"/>
        <v>#DIV/0!</v>
      </c>
      <c r="I67" s="108" t="str">
        <f t="shared" si="3"/>
        <v>#DIV/0!</v>
      </c>
      <c r="J67" s="104">
        <f t="shared" ref="J67:M67" si="82">SUM(J63:J66)</f>
        <v>2625.65</v>
      </c>
      <c r="K67" s="109">
        <f t="shared" si="82"/>
        <v>180846</v>
      </c>
      <c r="L67" s="139">
        <f t="shared" si="82"/>
        <v>0</v>
      </c>
      <c r="M67" s="110">
        <f t="shared" si="82"/>
        <v>1335</v>
      </c>
      <c r="N67" s="111">
        <f t="shared" si="83"/>
        <v>1.966779026</v>
      </c>
      <c r="O67" s="112">
        <f t="shared" si="5"/>
        <v>0.5084455278</v>
      </c>
      <c r="P67" s="111" t="str">
        <f t="shared" si="6"/>
        <v>#DIV/0!</v>
      </c>
      <c r="Q67" s="113" t="str">
        <f t="shared" si="7"/>
        <v>#DIV/0!</v>
      </c>
      <c r="R67" s="114">
        <f>SUM(R63:R66)</f>
        <v>-1335</v>
      </c>
      <c r="S67" s="115" t="str">
        <f t="shared" si="9"/>
        <v>#DIV/0!</v>
      </c>
      <c r="T67" s="140" t="str">
        <f t="shared" ref="T67:U67" si="84">IFERROR((D67-#REF!)/D67,)</f>
        <v/>
      </c>
      <c r="U67" s="140" t="str">
        <f t="shared" si="84"/>
        <v/>
      </c>
      <c r="V67" s="140" t="str">
        <f t="shared" ref="V67:W67" si="85">IFERROR((D67-#REF!)/D67, )</f>
        <v/>
      </c>
      <c r="W67" s="140" t="str">
        <f t="shared" si="85"/>
        <v/>
      </c>
      <c r="X67" s="116"/>
      <c r="Y67" s="116"/>
      <c r="Z67" s="116"/>
    </row>
    <row r="68" hidden="1" outlineLevel="1">
      <c r="A68" s="116"/>
      <c r="B68" s="74">
        <v>45998.0</v>
      </c>
      <c r="C68" s="117" t="s">
        <v>31</v>
      </c>
      <c r="D68" s="118"/>
      <c r="E68" s="119"/>
      <c r="F68" s="119"/>
      <c r="G68" s="78" t="str">
        <f t="shared" si="1"/>
        <v>#DIV/0!</v>
      </c>
      <c r="H68" s="79" t="str">
        <f t="shared" si="2"/>
        <v>#DIV/0!</v>
      </c>
      <c r="I68" s="80" t="str">
        <f t="shared" si="3"/>
        <v>#DIV/0!</v>
      </c>
      <c r="J68" s="120">
        <v>167.6</v>
      </c>
      <c r="K68" s="121">
        <v>9254.0</v>
      </c>
      <c r="L68" s="135"/>
      <c r="M68" s="123">
        <v>559.0</v>
      </c>
      <c r="N68" s="85">
        <f t="shared" si="83"/>
        <v>0.2998211091</v>
      </c>
      <c r="O68" s="86">
        <f t="shared" si="5"/>
        <v>3.335322196</v>
      </c>
      <c r="P68" s="85" t="str">
        <f t="shared" si="6"/>
        <v>#DIV/0!</v>
      </c>
      <c r="Q68" s="87" t="str">
        <f t="shared" si="7"/>
        <v>#DIV/0!</v>
      </c>
      <c r="R68" s="88">
        <f t="shared" ref="R68:R71" si="86">D68-M68</f>
        <v>-559</v>
      </c>
      <c r="S68" s="89" t="str">
        <f t="shared" si="9"/>
        <v>#DIV/0!</v>
      </c>
      <c r="T68" s="124"/>
      <c r="U68" s="124"/>
      <c r="V68" s="124"/>
      <c r="W68" s="124"/>
      <c r="X68" s="125"/>
      <c r="Y68" s="116"/>
      <c r="Z68" s="116"/>
    </row>
    <row r="69" hidden="1" outlineLevel="1">
      <c r="A69" s="116"/>
      <c r="B69" s="126"/>
      <c r="C69" s="117" t="s">
        <v>32</v>
      </c>
      <c r="D69" s="127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8">
        <v>186.66</v>
      </c>
      <c r="K69" s="121">
        <v>18782.0</v>
      </c>
      <c r="L69" s="135"/>
      <c r="M69" s="129">
        <v>0.0</v>
      </c>
      <c r="N69" s="85" t="str">
        <f t="shared" si="83"/>
        <v>#DIV/0!</v>
      </c>
      <c r="O69" s="86">
        <f t="shared" si="5"/>
        <v>0</v>
      </c>
      <c r="P69" s="85" t="str">
        <f t="shared" si="6"/>
        <v>#DIV/0!</v>
      </c>
      <c r="Q69" s="87" t="str">
        <f t="shared" si="7"/>
        <v>#DIV/0!</v>
      </c>
      <c r="R69" s="95">
        <f t="shared" si="86"/>
        <v>0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74" t="s">
        <v>33</v>
      </c>
      <c r="C70" s="117" t="s">
        <v>34</v>
      </c>
      <c r="D70" s="130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31">
        <v>0.0</v>
      </c>
      <c r="K70" s="121">
        <v>0.0</v>
      </c>
      <c r="L70" s="135"/>
      <c r="M70" s="132">
        <v>0.0</v>
      </c>
      <c r="N70" s="85" t="str">
        <f>(J70/M70)</f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100">
        <f t="shared" si="86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01" t="str">
        <f t="shared" ref="A71:A72" si="87">iferror(if(B71&gt;0,month(B71)&amp;"-"&amp;year(B71),B71),)</f>
        <v>12-2025</v>
      </c>
      <c r="B71" s="74">
        <v>46004.0</v>
      </c>
      <c r="C71" s="117" t="s">
        <v>35</v>
      </c>
      <c r="D71" s="133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176.02</v>
      </c>
      <c r="K71" s="121">
        <v>9377.0</v>
      </c>
      <c r="L71" s="135"/>
      <c r="M71" s="129">
        <v>0.0</v>
      </c>
      <c r="N71" s="85" t="str">
        <f t="shared" ref="N71:N74" si="90">J71/M71</f>
        <v>#DIV/0!</v>
      </c>
      <c r="O71" s="86">
        <f t="shared" si="5"/>
        <v>0</v>
      </c>
      <c r="P71" s="85" t="str">
        <f t="shared" si="6"/>
        <v>#DIV/0!</v>
      </c>
      <c r="Q71" s="87" t="str">
        <f t="shared" si="7"/>
        <v>#DIV/0!</v>
      </c>
      <c r="R71" s="88">
        <f t="shared" si="86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>
      <c r="A72" s="116" t="str">
        <f t="shared" si="87"/>
        <v/>
      </c>
      <c r="B72" s="137" t="s">
        <v>49</v>
      </c>
      <c r="C72" s="138"/>
      <c r="D72" s="104">
        <f t="shared" ref="D72:F72" si="88">SUM(D68:D71)</f>
        <v>0</v>
      </c>
      <c r="E72" s="105">
        <f t="shared" si="88"/>
        <v>0</v>
      </c>
      <c r="F72" s="105">
        <f t="shared" si="88"/>
        <v>0</v>
      </c>
      <c r="G72" s="106" t="str">
        <f t="shared" si="1"/>
        <v>#DIV/0!</v>
      </c>
      <c r="H72" s="107" t="str">
        <f t="shared" si="2"/>
        <v>#DIV/0!</v>
      </c>
      <c r="I72" s="108" t="str">
        <f t="shared" si="3"/>
        <v>#DIV/0!</v>
      </c>
      <c r="J72" s="104">
        <f t="shared" ref="J72:M72" si="89">SUM(J68:J71)</f>
        <v>530.28</v>
      </c>
      <c r="K72" s="109">
        <f t="shared" si="89"/>
        <v>37413</v>
      </c>
      <c r="L72" s="139">
        <f t="shared" si="89"/>
        <v>0</v>
      </c>
      <c r="M72" s="110">
        <f t="shared" si="89"/>
        <v>559</v>
      </c>
      <c r="N72" s="111">
        <f t="shared" si="90"/>
        <v>0.9486225403</v>
      </c>
      <c r="O72" s="112">
        <f t="shared" si="5"/>
        <v>1.054160066</v>
      </c>
      <c r="P72" s="111" t="str">
        <f t="shared" si="6"/>
        <v>#DIV/0!</v>
      </c>
      <c r="Q72" s="113" t="str">
        <f t="shared" si="7"/>
        <v>#DIV/0!</v>
      </c>
      <c r="R72" s="114">
        <f>SUM(R68:R71)</f>
        <v>-559</v>
      </c>
      <c r="S72" s="115" t="str">
        <f t="shared" si="9"/>
        <v>#DIV/0!</v>
      </c>
      <c r="T72" s="140" t="str">
        <f t="shared" ref="T72:U72" si="91">IFERROR((D72-#REF!)/D72,)</f>
        <v/>
      </c>
      <c r="U72" s="140" t="str">
        <f t="shared" si="91"/>
        <v/>
      </c>
      <c r="V72" s="140" t="str">
        <f t="shared" ref="V72:W72" si="92">IFERROR((D72-#REF!)/D72, )</f>
        <v/>
      </c>
      <c r="W72" s="140" t="str">
        <f t="shared" si="92"/>
        <v/>
      </c>
      <c r="X72" s="116"/>
      <c r="Y72" s="116"/>
      <c r="Z72" s="116"/>
    </row>
    <row r="73">
      <c r="A73" s="116"/>
      <c r="B73" s="74">
        <v>46005.0</v>
      </c>
      <c r="C73" s="117" t="s">
        <v>31</v>
      </c>
      <c r="D73" s="118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20">
        <v>184.7</v>
      </c>
      <c r="K73" s="121">
        <v>9908.0</v>
      </c>
      <c r="L73" s="135"/>
      <c r="M73" s="123">
        <v>0.0</v>
      </c>
      <c r="N73" s="85" t="str">
        <f t="shared" si="90"/>
        <v>#DIV/0!</v>
      </c>
      <c r="O73" s="86">
        <f t="shared" si="5"/>
        <v>0</v>
      </c>
      <c r="P73" s="85" t="str">
        <f t="shared" si="6"/>
        <v>#DIV/0!</v>
      </c>
      <c r="Q73" s="87" t="str">
        <f t="shared" si="7"/>
        <v>#DIV/0!</v>
      </c>
      <c r="R73" s="88">
        <f t="shared" ref="R73:R76" si="93">D73-M73</f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>
      <c r="A74" s="116"/>
      <c r="B74" s="126"/>
      <c r="C74" s="117" t="s">
        <v>32</v>
      </c>
      <c r="D74" s="127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28">
        <v>161.84</v>
      </c>
      <c r="K74" s="121">
        <v>13094.0</v>
      </c>
      <c r="L74" s="135"/>
      <c r="M74" s="129">
        <v>1106.0</v>
      </c>
      <c r="N74" s="85">
        <f t="shared" si="90"/>
        <v>0.1463291139</v>
      </c>
      <c r="O74" s="86">
        <f t="shared" si="5"/>
        <v>6.833910035</v>
      </c>
      <c r="P74" s="85" t="str">
        <f t="shared" si="6"/>
        <v>#DIV/0!</v>
      </c>
      <c r="Q74" s="87" t="str">
        <f t="shared" si="7"/>
        <v>#DIV/0!</v>
      </c>
      <c r="R74" s="95">
        <f t="shared" si="93"/>
        <v>-1106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>
      <c r="A75" s="116"/>
      <c r="B75" s="74" t="s">
        <v>33</v>
      </c>
      <c r="C75" s="117" t="s">
        <v>34</v>
      </c>
      <c r="D75" s="130"/>
      <c r="E75" s="119"/>
      <c r="F75" s="119"/>
      <c r="G75" s="78" t="str">
        <f t="shared" si="1"/>
        <v>#DIV/0!</v>
      </c>
      <c r="H75" s="79" t="str">
        <f t="shared" si="2"/>
        <v>#DIV/0!</v>
      </c>
      <c r="I75" s="80" t="str">
        <f t="shared" si="3"/>
        <v>#DIV/0!</v>
      </c>
      <c r="J75" s="131">
        <v>0.0</v>
      </c>
      <c r="K75" s="121">
        <v>0.0</v>
      </c>
      <c r="L75" s="135"/>
      <c r="M75" s="132">
        <v>0.0</v>
      </c>
      <c r="N75" s="85" t="str">
        <f>(J75/M75)</f>
        <v>#DIV/0!</v>
      </c>
      <c r="O75" s="86" t="str">
        <f t="shared" si="5"/>
        <v>#DIV/0!</v>
      </c>
      <c r="P75" s="85" t="str">
        <f t="shared" si="6"/>
        <v>#DIV/0!</v>
      </c>
      <c r="Q75" s="87" t="str">
        <f t="shared" si="7"/>
        <v>#DIV/0!</v>
      </c>
      <c r="R75" s="100">
        <f t="shared" si="93"/>
        <v>0</v>
      </c>
      <c r="S75" s="89" t="str">
        <f t="shared" si="9"/>
        <v>#DIV/0!</v>
      </c>
      <c r="T75" s="124"/>
      <c r="U75" s="124"/>
      <c r="V75" s="124"/>
      <c r="W75" s="124"/>
      <c r="X75" s="125"/>
      <c r="Y75" s="116"/>
      <c r="Z75" s="116"/>
    </row>
    <row r="76">
      <c r="A76" s="101" t="str">
        <f t="shared" ref="A76:A77" si="94">iferror(if(B76&gt;0,month(B76)&amp;"-"&amp;year(B76),B76),)</f>
        <v>12-2025</v>
      </c>
      <c r="B76" s="74">
        <v>46011.0</v>
      </c>
      <c r="C76" s="117" t="s">
        <v>35</v>
      </c>
      <c r="D76" s="133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8">
        <v>166.95</v>
      </c>
      <c r="K76" s="121">
        <v>5380.0</v>
      </c>
      <c r="L76" s="135"/>
      <c r="M76" s="129">
        <v>0.0</v>
      </c>
      <c r="N76" s="85" t="str">
        <f t="shared" ref="N76:N79" si="97">J76/M76</f>
        <v>#DIV/0!</v>
      </c>
      <c r="O76" s="86">
        <f t="shared" si="5"/>
        <v>0</v>
      </c>
      <c r="P76" s="85" t="str">
        <f t="shared" si="6"/>
        <v>#DIV/0!</v>
      </c>
      <c r="Q76" s="87" t="str">
        <f t="shared" si="7"/>
        <v>#DIV/0!</v>
      </c>
      <c r="R76" s="88">
        <f t="shared" si="93"/>
        <v>0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>
      <c r="A77" s="116" t="str">
        <f t="shared" si="94"/>
        <v/>
      </c>
      <c r="B77" s="216" t="s">
        <v>51</v>
      </c>
      <c r="C77" s="138"/>
      <c r="D77" s="104">
        <f t="shared" ref="D77:F77" si="95">SUM(D73:D76)</f>
        <v>0</v>
      </c>
      <c r="E77" s="105">
        <f t="shared" si="95"/>
        <v>0</v>
      </c>
      <c r="F77" s="105">
        <f t="shared" si="95"/>
        <v>0</v>
      </c>
      <c r="G77" s="106" t="str">
        <f t="shared" si="1"/>
        <v>#DIV/0!</v>
      </c>
      <c r="H77" s="107" t="str">
        <f t="shared" si="2"/>
        <v>#DIV/0!</v>
      </c>
      <c r="I77" s="108" t="str">
        <f t="shared" si="3"/>
        <v>#DIV/0!</v>
      </c>
      <c r="J77" s="104">
        <f t="shared" ref="J77:M77" si="96">SUM(J73:J76)</f>
        <v>513.49</v>
      </c>
      <c r="K77" s="109">
        <f t="shared" si="96"/>
        <v>28382</v>
      </c>
      <c r="L77" s="139">
        <f t="shared" si="96"/>
        <v>0</v>
      </c>
      <c r="M77" s="110">
        <f t="shared" si="96"/>
        <v>1106</v>
      </c>
      <c r="N77" s="111">
        <f t="shared" si="97"/>
        <v>0.4642766727</v>
      </c>
      <c r="O77" s="112">
        <f t="shared" si="5"/>
        <v>2.153888099</v>
      </c>
      <c r="P77" s="111" t="str">
        <f t="shared" si="6"/>
        <v>#DIV/0!</v>
      </c>
      <c r="Q77" s="113" t="str">
        <f t="shared" si="7"/>
        <v>#DIV/0!</v>
      </c>
      <c r="R77" s="114">
        <f>SUM(R73:R76)</f>
        <v>-1106</v>
      </c>
      <c r="S77" s="115" t="str">
        <f t="shared" si="9"/>
        <v>#DIV/0!</v>
      </c>
      <c r="T77" s="140" t="str">
        <f t="shared" ref="T77:U77" si="98">IFERROR((D77-#REF!)/D77,)</f>
        <v/>
      </c>
      <c r="U77" s="140" t="str">
        <f t="shared" si="98"/>
        <v/>
      </c>
      <c r="V77" s="140" t="str">
        <f t="shared" ref="V77:W77" si="99">IFERROR((D77-#REF!)/D77, )</f>
        <v/>
      </c>
      <c r="W77" s="140" t="str">
        <f t="shared" si="99"/>
        <v/>
      </c>
      <c r="X77" s="116"/>
      <c r="Y77" s="116"/>
      <c r="Z77" s="116"/>
    </row>
    <row r="78">
      <c r="A78" s="13"/>
      <c r="B78" s="143">
        <v>46012.0</v>
      </c>
      <c r="C78" s="75" t="s">
        <v>31</v>
      </c>
      <c r="D78" s="76"/>
      <c r="E78" s="77"/>
      <c r="F78" s="77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81">
        <v>176.83</v>
      </c>
      <c r="K78" s="82">
        <v>10330.0</v>
      </c>
      <c r="L78" s="83"/>
      <c r="M78" s="84">
        <v>839.0</v>
      </c>
      <c r="N78" s="85">
        <f t="shared" si="97"/>
        <v>0.2107628129</v>
      </c>
      <c r="O78" s="86">
        <f t="shared" si="5"/>
        <v>4.744670022</v>
      </c>
      <c r="P78" s="85" t="str">
        <f t="shared" si="6"/>
        <v>#DIV/0!</v>
      </c>
      <c r="Q78" s="87" t="str">
        <f t="shared" si="7"/>
        <v>#DIV/0!</v>
      </c>
      <c r="R78" s="88">
        <f t="shared" ref="R78:R81" si="100">D78-M78</f>
        <v>-839</v>
      </c>
      <c r="S78" s="89" t="str">
        <f t="shared" si="9"/>
        <v>#DIV/0!</v>
      </c>
      <c r="T78" s="90"/>
      <c r="U78" s="90"/>
      <c r="V78" s="90"/>
      <c r="W78" s="90"/>
      <c r="X78" s="3"/>
      <c r="Y78" s="13"/>
      <c r="Z78" s="13"/>
    </row>
    <row r="79">
      <c r="A79" s="13"/>
      <c r="B79" s="91"/>
      <c r="C79" s="75" t="s">
        <v>32</v>
      </c>
      <c r="D79" s="92"/>
      <c r="E79" s="77"/>
      <c r="F79" s="77"/>
      <c r="G79" s="78" t="str">
        <f t="shared" si="1"/>
        <v>#DIV/0!</v>
      </c>
      <c r="H79" s="79" t="str">
        <f t="shared" si="2"/>
        <v>#DIV/0!</v>
      </c>
      <c r="I79" s="80" t="str">
        <f t="shared" si="3"/>
        <v>#DIV/0!</v>
      </c>
      <c r="J79" s="93">
        <v>169.03</v>
      </c>
      <c r="K79" s="82">
        <v>10693.0</v>
      </c>
      <c r="L79" s="83"/>
      <c r="M79" s="94">
        <v>177.0</v>
      </c>
      <c r="N79" s="85">
        <f t="shared" si="97"/>
        <v>0.9549717514</v>
      </c>
      <c r="O79" s="86">
        <f t="shared" si="5"/>
        <v>1.047151393</v>
      </c>
      <c r="P79" s="85" t="str">
        <f t="shared" si="6"/>
        <v>#DIV/0!</v>
      </c>
      <c r="Q79" s="87" t="str">
        <f t="shared" si="7"/>
        <v>#DIV/0!</v>
      </c>
      <c r="R79" s="95">
        <f t="shared" si="100"/>
        <v>-177</v>
      </c>
      <c r="S79" s="89" t="str">
        <f t="shared" si="9"/>
        <v>#DIV/0!</v>
      </c>
      <c r="T79" s="90"/>
      <c r="U79" s="90"/>
      <c r="V79" s="90"/>
      <c r="W79" s="90"/>
      <c r="X79" s="3"/>
      <c r="Y79" s="13"/>
      <c r="Z79" s="13"/>
    </row>
    <row r="80">
      <c r="A80" s="13"/>
      <c r="B80" s="148" t="s">
        <v>33</v>
      </c>
      <c r="C80" s="75" t="s">
        <v>34</v>
      </c>
      <c r="D80" s="97"/>
      <c r="E80" s="77"/>
      <c r="F80" s="77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98">
        <v>0.0</v>
      </c>
      <c r="K80" s="82">
        <v>0.0</v>
      </c>
      <c r="L80" s="83"/>
      <c r="M80" s="99">
        <v>0.0</v>
      </c>
      <c r="N80" s="85" t="str">
        <f>(J80/M80)</f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100">
        <f t="shared" si="100"/>
        <v>0</v>
      </c>
      <c r="S80" s="89" t="str">
        <f t="shared" si="9"/>
        <v>#DIV/0!</v>
      </c>
      <c r="T80" s="90"/>
      <c r="U80" s="90"/>
      <c r="V80" s="90"/>
      <c r="W80" s="90"/>
      <c r="X80" s="3"/>
      <c r="Y80" s="13"/>
      <c r="Z80" s="13"/>
    </row>
    <row r="81">
      <c r="A81" s="101" t="str">
        <f t="shared" ref="A81:A82" si="101">iferror(if(B81&gt;0,month(B81)&amp;"-"&amp;year(B81),B81),)</f>
        <v>12-2025</v>
      </c>
      <c r="B81" s="143">
        <v>46018.0</v>
      </c>
      <c r="C81" s="75" t="s">
        <v>35</v>
      </c>
      <c r="D81" s="102"/>
      <c r="E81" s="77"/>
      <c r="F81" s="77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93">
        <v>174.74</v>
      </c>
      <c r="K81" s="82">
        <v>5497.0</v>
      </c>
      <c r="L81" s="83"/>
      <c r="M81" s="94">
        <v>0.0</v>
      </c>
      <c r="N81" s="85" t="str">
        <f t="shared" ref="N81:N84" si="104">J81/M81</f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88">
        <f t="shared" si="100"/>
        <v>0</v>
      </c>
      <c r="S81" s="89" t="str">
        <f t="shared" si="9"/>
        <v>#DIV/0!</v>
      </c>
      <c r="T81" s="90"/>
      <c r="U81" s="90"/>
      <c r="V81" s="90"/>
      <c r="W81" s="90"/>
      <c r="X81" s="3"/>
      <c r="Y81" s="13"/>
      <c r="Z81" s="13"/>
    </row>
    <row r="82">
      <c r="A82" s="13" t="str">
        <f t="shared" si="101"/>
        <v/>
      </c>
      <c r="B82" s="103" t="s">
        <v>51</v>
      </c>
      <c r="C82" s="61"/>
      <c r="D82" s="104">
        <f t="shared" ref="D82:F82" si="102">SUM(D78:D81)</f>
        <v>0</v>
      </c>
      <c r="E82" s="105">
        <f t="shared" si="102"/>
        <v>0</v>
      </c>
      <c r="F82" s="105">
        <f t="shared" si="102"/>
        <v>0</v>
      </c>
      <c r="G82" s="106" t="str">
        <f t="shared" si="1"/>
        <v>#DIV/0!</v>
      </c>
      <c r="H82" s="107" t="str">
        <f t="shared" si="2"/>
        <v>#DIV/0!</v>
      </c>
      <c r="I82" s="108" t="str">
        <f t="shared" si="3"/>
        <v>#DIV/0!</v>
      </c>
      <c r="J82" s="104">
        <f t="shared" ref="J82:M82" si="103">SUM(J78:J81)</f>
        <v>520.6</v>
      </c>
      <c r="K82" s="109">
        <f t="shared" si="103"/>
        <v>26520</v>
      </c>
      <c r="L82" s="105">
        <f t="shared" si="103"/>
        <v>0</v>
      </c>
      <c r="M82" s="110">
        <f t="shared" si="103"/>
        <v>1016</v>
      </c>
      <c r="N82" s="111">
        <f t="shared" si="104"/>
        <v>0.5124015748</v>
      </c>
      <c r="O82" s="112">
        <f t="shared" si="5"/>
        <v>1.951594314</v>
      </c>
      <c r="P82" s="111" t="str">
        <f t="shared" si="6"/>
        <v>#DIV/0!</v>
      </c>
      <c r="Q82" s="113" t="str">
        <f t="shared" si="7"/>
        <v>#DIV/0!</v>
      </c>
      <c r="R82" s="114">
        <f>SUM(R78:R81)</f>
        <v>-1016</v>
      </c>
      <c r="S82" s="115" t="str">
        <f t="shared" si="9"/>
        <v>#DIV/0!</v>
      </c>
      <c r="T82" s="73" t="str">
        <f t="shared" ref="T82:U82" si="105">IFERROR((D82-#REF!)/D82,)</f>
        <v/>
      </c>
      <c r="U82" s="73" t="str">
        <f t="shared" si="105"/>
        <v/>
      </c>
      <c r="V82" s="73" t="str">
        <f t="shared" ref="V82:W82" si="106">IFERROR((D82-#REF!)/D82, )</f>
        <v/>
      </c>
      <c r="W82" s="73" t="str">
        <f t="shared" si="106"/>
        <v/>
      </c>
      <c r="X82" s="13"/>
      <c r="Y82" s="13"/>
      <c r="Z82" s="13"/>
    </row>
    <row r="83">
      <c r="A83" s="13"/>
      <c r="B83" s="143">
        <v>46019.0</v>
      </c>
      <c r="C83" s="75" t="s">
        <v>31</v>
      </c>
      <c r="D83" s="76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81">
        <v>163.31</v>
      </c>
      <c r="K83" s="82">
        <v>11820.0</v>
      </c>
      <c r="L83" s="83"/>
      <c r="M83" s="84">
        <v>58.0</v>
      </c>
      <c r="N83" s="85">
        <f t="shared" si="104"/>
        <v>2.815689655</v>
      </c>
      <c r="O83" s="86">
        <f t="shared" si="5"/>
        <v>0.3551527769</v>
      </c>
      <c r="P83" s="85" t="str">
        <f t="shared" si="6"/>
        <v>#DIV/0!</v>
      </c>
      <c r="Q83" s="87" t="str">
        <f t="shared" si="7"/>
        <v>#DIV/0!</v>
      </c>
      <c r="R83" s="88">
        <f t="shared" ref="R83:R86" si="107">D83-M83</f>
        <v>-58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91"/>
      <c r="C84" s="75" t="s">
        <v>32</v>
      </c>
      <c r="D84" s="92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93">
        <v>157.13</v>
      </c>
      <c r="K84" s="82">
        <v>10589.0</v>
      </c>
      <c r="L84" s="83"/>
      <c r="M84" s="94">
        <v>359.0</v>
      </c>
      <c r="N84" s="85">
        <f t="shared" si="104"/>
        <v>0.4376880223</v>
      </c>
      <c r="O84" s="86">
        <f t="shared" si="5"/>
        <v>2.284732387</v>
      </c>
      <c r="P84" s="85" t="str">
        <f t="shared" si="6"/>
        <v>#DIV/0!</v>
      </c>
      <c r="Q84" s="87" t="str">
        <f t="shared" si="7"/>
        <v>#DIV/0!</v>
      </c>
      <c r="R84" s="95">
        <f t="shared" si="107"/>
        <v>-359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3"/>
      <c r="B85" s="148" t="s">
        <v>33</v>
      </c>
      <c r="C85" s="75" t="s">
        <v>34</v>
      </c>
      <c r="D85" s="97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8">
        <v>0.0</v>
      </c>
      <c r="K85" s="82">
        <v>0.0</v>
      </c>
      <c r="L85" s="83"/>
      <c r="M85" s="99">
        <v>0.0</v>
      </c>
      <c r="N85" s="85" t="str">
        <f>(J85/M85)</f>
        <v>#DIV/0!</v>
      </c>
      <c r="O85" s="86" t="str">
        <f t="shared" si="5"/>
        <v>#DIV/0!</v>
      </c>
      <c r="P85" s="85" t="str">
        <f t="shared" si="6"/>
        <v>#DIV/0!</v>
      </c>
      <c r="Q85" s="87" t="str">
        <f t="shared" si="7"/>
        <v>#DIV/0!</v>
      </c>
      <c r="R85" s="100">
        <f t="shared" si="107"/>
        <v>0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01" t="str">
        <f t="shared" ref="A86:A87" si="108">iferror(if(B86&gt;0,month(B86)&amp;"-"&amp;year(B86),B86),)</f>
        <v>1-2026</v>
      </c>
      <c r="B86" s="143">
        <v>46025.0</v>
      </c>
      <c r="C86" s="75" t="s">
        <v>35</v>
      </c>
      <c r="D86" s="102"/>
      <c r="E86" s="77"/>
      <c r="F86" s="77"/>
      <c r="G86" s="78" t="str">
        <f t="shared" si="1"/>
        <v>#DIV/0!</v>
      </c>
      <c r="H86" s="79" t="str">
        <f t="shared" si="2"/>
        <v>#DIV/0!</v>
      </c>
      <c r="I86" s="80" t="str">
        <f t="shared" si="3"/>
        <v>#DIV/0!</v>
      </c>
      <c r="J86" s="93">
        <v>166.48</v>
      </c>
      <c r="K86" s="82">
        <v>5772.0</v>
      </c>
      <c r="L86" s="83"/>
      <c r="M86" s="94">
        <v>154.0</v>
      </c>
      <c r="N86" s="85">
        <f t="shared" ref="N86:N87" si="111">J86/M86</f>
        <v>1.081038961</v>
      </c>
      <c r="O86" s="86">
        <f t="shared" si="5"/>
        <v>0.9250360404</v>
      </c>
      <c r="P86" s="85" t="str">
        <f t="shared" si="6"/>
        <v>#DIV/0!</v>
      </c>
      <c r="Q86" s="87" t="str">
        <f t="shared" si="7"/>
        <v>#DIV/0!</v>
      </c>
      <c r="R86" s="88">
        <f t="shared" si="107"/>
        <v>-154</v>
      </c>
      <c r="S86" s="89" t="str">
        <f t="shared" si="9"/>
        <v>#DIV/0!</v>
      </c>
      <c r="T86" s="90"/>
      <c r="U86" s="90"/>
      <c r="V86" s="90"/>
      <c r="W86" s="90"/>
      <c r="X86" s="3"/>
      <c r="Y86" s="13"/>
      <c r="Z86" s="13"/>
    </row>
    <row r="87">
      <c r="A87" s="13" t="str">
        <f t="shared" si="108"/>
        <v/>
      </c>
      <c r="B87" s="103" t="s">
        <v>52</v>
      </c>
      <c r="C87" s="61"/>
      <c r="D87" s="104">
        <f t="shared" ref="D87:F87" si="109">SUM(D83:D86)</f>
        <v>0</v>
      </c>
      <c r="E87" s="105">
        <f t="shared" si="109"/>
        <v>0</v>
      </c>
      <c r="F87" s="105">
        <f t="shared" si="109"/>
        <v>0</v>
      </c>
      <c r="G87" s="106" t="str">
        <f t="shared" si="1"/>
        <v>#DIV/0!</v>
      </c>
      <c r="H87" s="107" t="str">
        <f t="shared" si="2"/>
        <v>#DIV/0!</v>
      </c>
      <c r="I87" s="108" t="str">
        <f t="shared" si="3"/>
        <v>#DIV/0!</v>
      </c>
      <c r="J87" s="104">
        <f t="shared" ref="J87:M87" si="110">SUM(J83:J86)</f>
        <v>486.92</v>
      </c>
      <c r="K87" s="109">
        <f t="shared" si="110"/>
        <v>28181</v>
      </c>
      <c r="L87" s="105">
        <f t="shared" si="110"/>
        <v>0</v>
      </c>
      <c r="M87" s="110">
        <f t="shared" si="110"/>
        <v>571</v>
      </c>
      <c r="N87" s="111">
        <f t="shared" si="111"/>
        <v>0.8527495622</v>
      </c>
      <c r="O87" s="112">
        <f t="shared" si="5"/>
        <v>1.172677237</v>
      </c>
      <c r="P87" s="111" t="str">
        <f t="shared" si="6"/>
        <v>#DIV/0!</v>
      </c>
      <c r="Q87" s="113" t="str">
        <f t="shared" si="7"/>
        <v>#DIV/0!</v>
      </c>
      <c r="R87" s="114">
        <f>SUM(R83:R86)</f>
        <v>-571</v>
      </c>
      <c r="S87" s="115" t="str">
        <f t="shared" si="9"/>
        <v>#DIV/0!</v>
      </c>
      <c r="T87" s="73" t="str">
        <f t="shared" ref="T87:U87" si="112">IFERROR((D87-D82)/D87,)</f>
        <v/>
      </c>
      <c r="U87" s="73" t="str">
        <f t="shared" si="112"/>
        <v/>
      </c>
      <c r="V87" s="73" t="str">
        <f t="shared" ref="V87:W87" si="113">IFERROR((D87-#REF!)/D87, )</f>
        <v/>
      </c>
      <c r="W87" s="73" t="str">
        <f t="shared" si="113"/>
        <v/>
      </c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17 B22 B27 B32 B37 B42 B47 B52 B57 B62 B67 B72 B77 B82 B87">
      <formula1>"Previous Week,Current Week"</formula1>
    </dataValidation>
  </dataValidation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4" width="37.13"/>
    <col hidden="1" min="5" max="10" width="12.63"/>
  </cols>
  <sheetData>
    <row r="1">
      <c r="A1" s="1" t="s">
        <v>71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6"/>
      <c r="V1" s="6"/>
      <c r="W1" s="4"/>
      <c r="X1" s="4"/>
      <c r="Y1" s="4"/>
      <c r="Z1" s="4"/>
      <c r="AA1" s="4"/>
    </row>
    <row r="2">
      <c r="A2" s="7"/>
      <c r="B2" s="8"/>
      <c r="C2" s="231"/>
      <c r="D2" s="9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8"/>
      <c r="Y2" s="11" t="str">
        <f>(#REF!+#REF!+#REF!+#REF!)-(monthly_reporting_2021!E17+monthly_reporting_2021!E23+monthly_reporting_2021!E29+monthly_reporting_2021!E35)</f>
        <v>#REF!</v>
      </c>
      <c r="Z2" s="12" t="str">
        <f>((#REF!+#REF!+#REF!+#REF!)-(monthly_reporting_2021!F17+monthly_reporting_2021!F23+monthly_reporting_2021!F29+monthly_reporting_2021!F35))/(#REF!+#REF!+#REF!+#REF!)</f>
        <v>#REF!</v>
      </c>
      <c r="AA2" s="3"/>
    </row>
    <row r="3">
      <c r="A3" s="13"/>
      <c r="B3" s="14"/>
      <c r="C3" s="3"/>
      <c r="D3" s="3"/>
      <c r="E3" s="13"/>
      <c r="F3" s="13"/>
      <c r="G3" s="15"/>
      <c r="H3" s="10"/>
      <c r="I3" s="10"/>
      <c r="J3" s="8"/>
      <c r="K3" s="13"/>
      <c r="L3" s="16" t="s">
        <v>2</v>
      </c>
      <c r="M3" s="13"/>
      <c r="N3" s="13"/>
      <c r="O3" s="17" t="s">
        <v>3</v>
      </c>
      <c r="P3" s="10"/>
      <c r="Q3" s="10"/>
      <c r="R3" s="8"/>
      <c r="S3" s="13"/>
      <c r="T3" s="18" t="s">
        <v>4</v>
      </c>
      <c r="U3" s="10"/>
      <c r="V3" s="10"/>
      <c r="W3" s="8"/>
      <c r="X3" s="3"/>
      <c r="Y3" s="3"/>
      <c r="Z3" s="3"/>
      <c r="AA3" s="3"/>
    </row>
    <row r="4">
      <c r="A4" s="13"/>
      <c r="B4" s="14"/>
      <c r="C4" s="19"/>
      <c r="D4" s="19"/>
      <c r="E4" s="13"/>
      <c r="F4" s="13"/>
      <c r="G4" s="20"/>
      <c r="H4" s="10"/>
      <c r="I4" s="8"/>
      <c r="J4" s="3"/>
      <c r="K4" s="13"/>
      <c r="L4" s="21">
        <f>VLOOKUP("Current Week",$B$11:$Y$61,match("SALES",$B$11:$Y$11,0),FALSE)</f>
        <v>0</v>
      </c>
      <c r="M4" s="13"/>
      <c r="N4" s="13"/>
      <c r="O4" s="22">
        <f>VLOOKUP("Current Week",$B$11:$Y$61,match("Units Sold",$B$11:$Y$11,0),FALSE)</f>
        <v>0</v>
      </c>
      <c r="P4" s="10"/>
      <c r="Q4" s="8"/>
      <c r="R4" s="3"/>
      <c r="S4" s="13"/>
      <c r="T4" s="22">
        <f>VLOOKUP("Current Week",$B$11:$Y$61,match("Ordered Items",$B$11:$Y$11,0),FALSE)</f>
        <v>0</v>
      </c>
      <c r="U4" s="10"/>
      <c r="V4" s="8"/>
      <c r="W4" s="3"/>
      <c r="X4" s="3"/>
      <c r="Y4" s="3"/>
      <c r="Z4" s="3"/>
      <c r="AA4" s="3"/>
    </row>
    <row r="5">
      <c r="A5" s="23"/>
      <c r="B5" s="24"/>
      <c r="C5" s="25"/>
      <c r="D5" s="25"/>
      <c r="E5" s="13"/>
      <c r="F5" s="13"/>
      <c r="G5" s="15"/>
      <c r="H5" s="10"/>
      <c r="I5" s="10"/>
      <c r="J5" s="8"/>
      <c r="K5" s="13"/>
      <c r="L5" s="26" t="str">
        <f>(L4-(VLOOKUP("Previous Week",$B$11:$Y$66,match("SALES",$B$11:$Y$11,0),FALSE)))/L4</f>
        <v>#DIV/0!</v>
      </c>
      <c r="M5" s="13"/>
      <c r="N5" s="13"/>
      <c r="O5" s="27" t="str">
        <f>(O4-(VLOOKUP("Previous Week",$B$11:$Y$66,match("Units Sold",$B$11:$Y$11,0),FALSE)))/O4</f>
        <v>#DIV/0!</v>
      </c>
      <c r="P5" s="10"/>
      <c r="Q5" s="10"/>
      <c r="R5" s="8"/>
      <c r="S5" s="13"/>
      <c r="T5" s="27" t="str">
        <f>(T4-(VLOOKUP("Previous Week",$B$11:$Y$66,match("Ordered Items",$B$11:$Y$11,0),FALSE)))/T4</f>
        <v>#DIV/0!</v>
      </c>
      <c r="U5" s="10"/>
      <c r="V5" s="10"/>
      <c r="W5" s="8"/>
      <c r="X5" s="28"/>
      <c r="Y5" s="28"/>
      <c r="Z5" s="28"/>
      <c r="AA5" s="28"/>
    </row>
    <row r="6">
      <c r="A6" s="13"/>
      <c r="B6" s="14"/>
      <c r="C6" s="3"/>
      <c r="D6" s="3"/>
      <c r="E6" s="13"/>
      <c r="F6" s="13"/>
      <c r="G6" s="3"/>
      <c r="H6" s="3"/>
      <c r="I6" s="3"/>
      <c r="J6" s="3"/>
      <c r="K6" s="13"/>
      <c r="L6" s="3"/>
      <c r="M6" s="13"/>
      <c r="N6" s="13"/>
      <c r="O6" s="3"/>
      <c r="P6" s="3"/>
      <c r="Q6" s="3"/>
      <c r="R6" s="3"/>
      <c r="S6" s="13"/>
      <c r="T6" s="3"/>
      <c r="U6" s="3"/>
      <c r="V6" s="3"/>
      <c r="W6" s="3"/>
      <c r="X6" s="3"/>
      <c r="Y6" s="3"/>
      <c r="Z6" s="3"/>
      <c r="AA6" s="3"/>
    </row>
    <row r="7">
      <c r="A7" s="13"/>
      <c r="B7" s="14"/>
      <c r="C7" s="3"/>
      <c r="D7" s="3"/>
      <c r="E7" s="13"/>
      <c r="F7" s="13"/>
      <c r="G7" s="29"/>
      <c r="H7" s="10"/>
      <c r="I7" s="10"/>
      <c r="J7" s="8"/>
      <c r="K7" s="13"/>
      <c r="L7" s="16" t="s">
        <v>5</v>
      </c>
      <c r="M7" s="13"/>
      <c r="N7" s="13"/>
      <c r="O7" s="18" t="s">
        <v>6</v>
      </c>
      <c r="P7" s="10"/>
      <c r="Q7" s="10"/>
      <c r="R7" s="8"/>
      <c r="S7" s="13"/>
      <c r="T7" s="18" t="s">
        <v>7</v>
      </c>
      <c r="U7" s="10"/>
      <c r="V7" s="10"/>
      <c r="W7" s="8"/>
      <c r="X7" s="3"/>
      <c r="Y7" s="3"/>
      <c r="Z7" s="3"/>
      <c r="AA7" s="3"/>
    </row>
    <row r="8">
      <c r="A8" s="13"/>
      <c r="B8" s="14"/>
      <c r="C8" s="19"/>
      <c r="D8" s="19"/>
      <c r="E8" s="13"/>
      <c r="F8" s="13"/>
      <c r="G8" s="30"/>
      <c r="H8" s="10"/>
      <c r="I8" s="8"/>
      <c r="J8" s="3"/>
      <c r="K8" s="13"/>
      <c r="L8" s="21">
        <f>VLOOKUP("Current Week",$B$11:$Y$61,match("AD SALES",$B$11:$Y$11,0),FALSE)</f>
        <v>0</v>
      </c>
      <c r="M8" s="13"/>
      <c r="N8" s="13"/>
      <c r="O8" s="31">
        <f>VLOOKUP("Current Week",$B$11:$Y$61,match("SP AD SPEND",$B$11:$Y$11,0),FALSE)</f>
        <v>106.4</v>
      </c>
      <c r="P8" s="10"/>
      <c r="Q8" s="8"/>
      <c r="R8" s="3"/>
      <c r="S8" s="13"/>
      <c r="T8" s="32" t="str">
        <f>O8/L8</f>
        <v>#DIV/0!</v>
      </c>
      <c r="U8" s="10"/>
      <c r="V8" s="8"/>
      <c r="W8" s="3"/>
      <c r="X8" s="3"/>
      <c r="Y8" s="3"/>
      <c r="Z8" s="3"/>
      <c r="AA8" s="3"/>
    </row>
    <row r="9">
      <c r="A9" s="13"/>
      <c r="B9" s="14"/>
      <c r="C9" s="33"/>
      <c r="D9" s="33"/>
      <c r="E9" s="13"/>
      <c r="F9" s="13"/>
      <c r="G9" s="34"/>
      <c r="J9" s="35"/>
      <c r="K9" s="13"/>
      <c r="L9" s="36" t="str">
        <f>(L8-(VLOOKUP("Previous Week",$B$11:$Y$66,match("AD SALES",$B$11:$Y$11,0),FALSE)))/L8</f>
        <v>#DIV/0!</v>
      </c>
      <c r="M9" s="13"/>
      <c r="N9" s="13"/>
      <c r="O9" s="37">
        <f>(O8-(VLOOKUP("Previous Week",$B$11:$Y$66,match("SP AD SPEND",$B$11:$Y$11,0),FALSE)))/O8</f>
        <v>1</v>
      </c>
      <c r="R9" s="35"/>
      <c r="S9" s="13"/>
      <c r="T9" s="37" t="str">
        <f>(T8-(VLOOKUP("Previous Week",$B$11:$Y$66,match("ACOS",$B$11:$Y$11,0),FALSE)))/T8</f>
        <v>#DIV/0!</v>
      </c>
      <c r="W9" s="35"/>
      <c r="X9" s="38"/>
      <c r="Y9" s="38"/>
      <c r="Z9" s="38"/>
      <c r="AA9" s="3"/>
    </row>
    <row r="10">
      <c r="A10" s="13"/>
      <c r="B10" s="39"/>
      <c r="C10" s="29"/>
      <c r="D10" s="40"/>
      <c r="E10" s="41" t="s">
        <v>8</v>
      </c>
      <c r="F10" s="42"/>
      <c r="G10" s="42"/>
      <c r="H10" s="42"/>
      <c r="I10" s="42"/>
      <c r="J10" s="43"/>
      <c r="K10" s="44"/>
      <c r="L10" s="45"/>
      <c r="M10" s="46" t="s">
        <v>9</v>
      </c>
      <c r="N10" s="42"/>
      <c r="O10" s="42"/>
      <c r="P10" s="42"/>
      <c r="Q10" s="42"/>
      <c r="R10" s="42"/>
      <c r="S10" s="42"/>
      <c r="T10" s="43"/>
      <c r="U10" s="47"/>
      <c r="V10" s="48"/>
      <c r="W10" s="49" t="s">
        <v>10</v>
      </c>
      <c r="X10" s="43"/>
      <c r="Y10" s="41" t="s">
        <v>11</v>
      </c>
      <c r="Z10" s="43"/>
      <c r="AA10" s="3"/>
    </row>
    <row r="11">
      <c r="A11" s="50" t="s">
        <v>12</v>
      </c>
      <c r="B11" s="51" t="s">
        <v>13</v>
      </c>
      <c r="C11" s="232" t="s">
        <v>14</v>
      </c>
      <c r="D11" s="53" t="s">
        <v>72</v>
      </c>
      <c r="E11" s="53" t="s">
        <v>15</v>
      </c>
      <c r="F11" s="54" t="s">
        <v>16</v>
      </c>
      <c r="G11" s="54" t="s">
        <v>17</v>
      </c>
      <c r="H11" s="54" t="s">
        <v>18</v>
      </c>
      <c r="I11" s="54" t="s">
        <v>19</v>
      </c>
      <c r="J11" s="50" t="s">
        <v>20</v>
      </c>
      <c r="K11" s="55" t="s">
        <v>21</v>
      </c>
      <c r="L11" s="54" t="s">
        <v>22</v>
      </c>
      <c r="M11" s="54" t="s">
        <v>23</v>
      </c>
      <c r="N11" s="54" t="s">
        <v>24</v>
      </c>
      <c r="O11" s="54" t="s">
        <v>7</v>
      </c>
      <c r="P11" s="54" t="s">
        <v>25</v>
      </c>
      <c r="Q11" s="50" t="s">
        <v>26</v>
      </c>
      <c r="R11" s="56" t="s">
        <v>27</v>
      </c>
      <c r="S11" s="57" t="s">
        <v>28</v>
      </c>
      <c r="T11" s="50" t="s">
        <v>29</v>
      </c>
      <c r="U11" s="58" t="s">
        <v>15</v>
      </c>
      <c r="V11" s="56" t="s">
        <v>30</v>
      </c>
      <c r="W11" s="58" t="s">
        <v>15</v>
      </c>
      <c r="X11" s="56" t="s">
        <v>30</v>
      </c>
      <c r="Y11" s="38"/>
      <c r="Z11" s="13"/>
      <c r="AA11" s="13"/>
    </row>
    <row r="12" collapsed="1">
      <c r="A12" s="59"/>
      <c r="B12" s="60"/>
      <c r="C12" s="233"/>
      <c r="D12" s="61"/>
      <c r="E12" s="62"/>
      <c r="F12" s="63"/>
      <c r="G12" s="63"/>
      <c r="H12" s="64"/>
      <c r="I12" s="65"/>
      <c r="J12" s="66"/>
      <c r="K12" s="62"/>
      <c r="L12" s="63"/>
      <c r="M12" s="63"/>
      <c r="N12" s="67"/>
      <c r="O12" s="68"/>
      <c r="P12" s="69"/>
      <c r="Q12" s="68"/>
      <c r="R12" s="70"/>
      <c r="S12" s="71"/>
      <c r="T12" s="72"/>
      <c r="U12" s="73"/>
      <c r="V12" s="73"/>
      <c r="W12" s="73"/>
      <c r="X12" s="73"/>
      <c r="Y12" s="13"/>
      <c r="Z12" s="13"/>
      <c r="AA12" s="13"/>
    </row>
    <row r="13" hidden="1" outlineLevel="1">
      <c r="A13" s="13"/>
      <c r="B13" s="74">
        <v>45921.0</v>
      </c>
      <c r="C13" s="234"/>
      <c r="D13" s="75" t="s">
        <v>31</v>
      </c>
      <c r="E13" s="76"/>
      <c r="F13" s="77"/>
      <c r="G13" s="77"/>
      <c r="H13" s="78" t="str">
        <f t="shared" ref="H13:H52" si="1">F13/G13</f>
        <v>#DIV/0!</v>
      </c>
      <c r="I13" s="79" t="str">
        <f t="shared" ref="I13:I52" si="2">E13/F13</f>
        <v>#DIV/0!</v>
      </c>
      <c r="J13" s="80" t="str">
        <f t="shared" ref="J13:J52" si="3">I13/H13</f>
        <v>#DIV/0!</v>
      </c>
      <c r="K13" s="81">
        <v>0.0</v>
      </c>
      <c r="L13" s="82">
        <v>0.0</v>
      </c>
      <c r="M13" s="83">
        <v>0.0</v>
      </c>
      <c r="N13" s="84">
        <v>0.0</v>
      </c>
      <c r="O13" s="85" t="str">
        <f t="shared" ref="O13:O14" si="4">K13/N13</f>
        <v>#DIV/0!</v>
      </c>
      <c r="P13" s="86" t="str">
        <f t="shared" ref="P13:P52" si="5">N13/K13</f>
        <v>#DIV/0!</v>
      </c>
      <c r="Q13" s="85" t="str">
        <f t="shared" ref="Q13:Q52" si="6">K13/E13</f>
        <v>#DIV/0!</v>
      </c>
      <c r="R13" s="87" t="str">
        <f t="shared" ref="R13:R52" si="7">N13/E13</f>
        <v>#DIV/0!</v>
      </c>
      <c r="S13" s="88">
        <f t="shared" ref="S13:S24" si="8">E13-N13</f>
        <v>0</v>
      </c>
      <c r="T13" s="89" t="str">
        <f t="shared" ref="T13:T52" si="9">K13/M13</f>
        <v>#DIV/0!</v>
      </c>
      <c r="U13" s="90"/>
      <c r="V13" s="90"/>
      <c r="W13" s="90"/>
      <c r="X13" s="90"/>
      <c r="Y13" s="3"/>
      <c r="Z13" s="13"/>
      <c r="AA13" s="13"/>
    </row>
    <row r="14" hidden="1" outlineLevel="1">
      <c r="A14" s="13"/>
      <c r="B14" s="91"/>
      <c r="C14" s="234"/>
      <c r="D14" s="75" t="s">
        <v>32</v>
      </c>
      <c r="E14" s="92"/>
      <c r="F14" s="77"/>
      <c r="G14" s="77"/>
      <c r="H14" s="78" t="str">
        <f t="shared" si="1"/>
        <v>#DIV/0!</v>
      </c>
      <c r="I14" s="79" t="str">
        <f t="shared" si="2"/>
        <v>#DIV/0!</v>
      </c>
      <c r="J14" s="80" t="str">
        <f t="shared" si="3"/>
        <v>#DIV/0!</v>
      </c>
      <c r="K14" s="93">
        <v>0.0</v>
      </c>
      <c r="L14" s="82">
        <v>0.0</v>
      </c>
      <c r="M14" s="83">
        <v>0.0</v>
      </c>
      <c r="N14" s="94">
        <v>0.0</v>
      </c>
      <c r="O14" s="85" t="str">
        <f t="shared" si="4"/>
        <v>#DIV/0!</v>
      </c>
      <c r="P14" s="86" t="str">
        <f t="shared" si="5"/>
        <v>#DIV/0!</v>
      </c>
      <c r="Q14" s="85" t="str">
        <f t="shared" si="6"/>
        <v>#DIV/0!</v>
      </c>
      <c r="R14" s="87" t="str">
        <f t="shared" si="7"/>
        <v>#DIV/0!</v>
      </c>
      <c r="S14" s="95">
        <f t="shared" si="8"/>
        <v>0</v>
      </c>
      <c r="T14" s="89" t="str">
        <f t="shared" si="9"/>
        <v>#DIV/0!</v>
      </c>
      <c r="U14" s="90"/>
      <c r="V14" s="90"/>
      <c r="W14" s="90"/>
      <c r="X14" s="90"/>
      <c r="Y14" s="3"/>
      <c r="Z14" s="13"/>
      <c r="AA14" s="13"/>
    </row>
    <row r="15" hidden="1" outlineLevel="1">
      <c r="A15" s="13"/>
      <c r="B15" s="96" t="s">
        <v>33</v>
      </c>
      <c r="C15" s="234"/>
      <c r="D15" s="75" t="s">
        <v>34</v>
      </c>
      <c r="E15" s="97"/>
      <c r="F15" s="77"/>
      <c r="G15" s="77"/>
      <c r="H15" s="78" t="str">
        <f t="shared" si="1"/>
        <v>#DIV/0!</v>
      </c>
      <c r="I15" s="79" t="str">
        <f t="shared" si="2"/>
        <v>#DIV/0!</v>
      </c>
      <c r="J15" s="80" t="str">
        <f t="shared" si="3"/>
        <v>#DIV/0!</v>
      </c>
      <c r="K15" s="98">
        <v>0.0</v>
      </c>
      <c r="L15" s="82">
        <v>0.0</v>
      </c>
      <c r="M15" s="83">
        <v>0.0</v>
      </c>
      <c r="N15" s="99">
        <v>0.0</v>
      </c>
      <c r="O15" s="85" t="str">
        <f>(K15/N15)</f>
        <v>#DIV/0!</v>
      </c>
      <c r="P15" s="86" t="str">
        <f t="shared" si="5"/>
        <v>#DIV/0!</v>
      </c>
      <c r="Q15" s="85" t="str">
        <f t="shared" si="6"/>
        <v>#DIV/0!</v>
      </c>
      <c r="R15" s="87" t="str">
        <f t="shared" si="7"/>
        <v>#DIV/0!</v>
      </c>
      <c r="S15" s="100">
        <f t="shared" si="8"/>
        <v>0</v>
      </c>
      <c r="T15" s="89" t="str">
        <f t="shared" si="9"/>
        <v>#DIV/0!</v>
      </c>
      <c r="U15" s="90"/>
      <c r="V15" s="90"/>
      <c r="W15" s="90"/>
      <c r="X15" s="90"/>
      <c r="Y15" s="3"/>
      <c r="Z15" s="13"/>
      <c r="AA15" s="13"/>
    </row>
    <row r="16" hidden="1" outlineLevel="1">
      <c r="A16" s="101" t="str">
        <f>iferror(if(B16&gt;0,month(B16)&amp;"-"&amp;year(B16),B16),)</f>
        <v>9-2025</v>
      </c>
      <c r="B16" s="74">
        <v>45927.0</v>
      </c>
      <c r="C16" s="234"/>
      <c r="D16" s="75" t="s">
        <v>35</v>
      </c>
      <c r="E16" s="102"/>
      <c r="F16" s="77"/>
      <c r="G16" s="77"/>
      <c r="H16" s="78" t="str">
        <f t="shared" si="1"/>
        <v>#DIV/0!</v>
      </c>
      <c r="I16" s="79" t="str">
        <f t="shared" si="2"/>
        <v>#DIV/0!</v>
      </c>
      <c r="J16" s="80" t="str">
        <f t="shared" si="3"/>
        <v>#DIV/0!</v>
      </c>
      <c r="K16" s="93">
        <v>0.0</v>
      </c>
      <c r="L16" s="82">
        <v>0.0</v>
      </c>
      <c r="M16" s="83">
        <v>0.0</v>
      </c>
      <c r="N16" s="94">
        <v>0.0</v>
      </c>
      <c r="O16" s="85" t="str">
        <f t="shared" ref="O16:O22" si="10">K16/N16</f>
        <v>#DIV/0!</v>
      </c>
      <c r="P16" s="86" t="str">
        <f t="shared" si="5"/>
        <v>#DIV/0!</v>
      </c>
      <c r="Q16" s="85" t="str">
        <f t="shared" si="6"/>
        <v>#DIV/0!</v>
      </c>
      <c r="R16" s="87" t="str">
        <f t="shared" si="7"/>
        <v>#DIV/0!</v>
      </c>
      <c r="S16" s="88">
        <f t="shared" si="8"/>
        <v>0</v>
      </c>
      <c r="T16" s="89" t="str">
        <f t="shared" si="9"/>
        <v>#DIV/0!</v>
      </c>
      <c r="U16" s="90"/>
      <c r="V16" s="90"/>
      <c r="W16" s="90"/>
      <c r="X16" s="90"/>
      <c r="Y16" s="3"/>
      <c r="Z16" s="13"/>
      <c r="AA16" s="13"/>
    </row>
    <row r="17" hidden="1" outlineLevel="1">
      <c r="A17" s="13"/>
      <c r="B17" s="143">
        <v>46005.0</v>
      </c>
      <c r="C17" s="235" t="s">
        <v>48</v>
      </c>
      <c r="D17" s="236" t="s">
        <v>73</v>
      </c>
      <c r="E17" s="76"/>
      <c r="F17" s="77"/>
      <c r="G17" s="77"/>
      <c r="H17" s="78" t="str">
        <f t="shared" si="1"/>
        <v>#DIV/0!</v>
      </c>
      <c r="I17" s="79" t="str">
        <f t="shared" si="2"/>
        <v>#DIV/0!</v>
      </c>
      <c r="J17" s="80" t="str">
        <f t="shared" si="3"/>
        <v>#DIV/0!</v>
      </c>
      <c r="K17" s="93">
        <v>0.0</v>
      </c>
      <c r="L17" s="82">
        <v>0.0</v>
      </c>
      <c r="M17" s="83"/>
      <c r="N17" s="93">
        <v>0.0</v>
      </c>
      <c r="O17" s="85" t="str">
        <f t="shared" si="10"/>
        <v>#DIV/0!</v>
      </c>
      <c r="P17" s="86" t="str">
        <f t="shared" si="5"/>
        <v>#DIV/0!</v>
      </c>
      <c r="Q17" s="85" t="str">
        <f t="shared" si="6"/>
        <v>#DIV/0!</v>
      </c>
      <c r="R17" s="87" t="str">
        <f t="shared" si="7"/>
        <v>#DIV/0!</v>
      </c>
      <c r="S17" s="95">
        <f t="shared" si="8"/>
        <v>0</v>
      </c>
      <c r="T17" s="89" t="str">
        <f t="shared" si="9"/>
        <v>#DIV/0!</v>
      </c>
      <c r="U17" s="90"/>
      <c r="V17" s="90"/>
      <c r="W17" s="90"/>
      <c r="X17" s="90"/>
      <c r="Y17" s="3"/>
      <c r="Z17" s="13"/>
      <c r="AA17" s="13"/>
    </row>
    <row r="18" hidden="1" outlineLevel="1">
      <c r="A18" s="13"/>
      <c r="B18" s="91"/>
      <c r="C18" s="237"/>
      <c r="D18" s="236" t="s">
        <v>74</v>
      </c>
      <c r="E18" s="92"/>
      <c r="F18" s="77"/>
      <c r="G18" s="77"/>
      <c r="H18" s="78" t="str">
        <f t="shared" si="1"/>
        <v>#DIV/0!</v>
      </c>
      <c r="I18" s="79" t="str">
        <f t="shared" si="2"/>
        <v>#DIV/0!</v>
      </c>
      <c r="J18" s="80" t="str">
        <f t="shared" si="3"/>
        <v>#DIV/0!</v>
      </c>
      <c r="K18" s="93">
        <v>0.0</v>
      </c>
      <c r="L18" s="82">
        <v>0.0</v>
      </c>
      <c r="M18" s="146"/>
      <c r="N18" s="93">
        <v>0.0</v>
      </c>
      <c r="O18" s="85" t="str">
        <f t="shared" si="10"/>
        <v>#DIV/0!</v>
      </c>
      <c r="P18" s="86" t="str">
        <f t="shared" si="5"/>
        <v>#DIV/0!</v>
      </c>
      <c r="Q18" s="85" t="str">
        <f t="shared" si="6"/>
        <v>#DIV/0!</v>
      </c>
      <c r="R18" s="87" t="str">
        <f t="shared" si="7"/>
        <v>#DIV/0!</v>
      </c>
      <c r="S18" s="95">
        <f t="shared" si="8"/>
        <v>0</v>
      </c>
      <c r="T18" s="89" t="str">
        <f t="shared" si="9"/>
        <v>#DIV/0!</v>
      </c>
      <c r="U18" s="90"/>
      <c r="V18" s="90"/>
      <c r="W18" s="90"/>
      <c r="X18" s="90"/>
      <c r="Y18" s="3"/>
      <c r="Z18" s="13"/>
      <c r="AA18" s="13"/>
    </row>
    <row r="19" hidden="1" outlineLevel="1">
      <c r="A19" s="13"/>
      <c r="B19" s="91"/>
      <c r="C19" s="238"/>
      <c r="D19" s="236" t="s">
        <v>75</v>
      </c>
      <c r="E19" s="92"/>
      <c r="F19" s="77"/>
      <c r="G19" s="77"/>
      <c r="H19" s="78" t="str">
        <f t="shared" si="1"/>
        <v>#DIV/0!</v>
      </c>
      <c r="I19" s="79" t="str">
        <f t="shared" si="2"/>
        <v>#DIV/0!</v>
      </c>
      <c r="J19" s="80" t="str">
        <f t="shared" si="3"/>
        <v>#DIV/0!</v>
      </c>
      <c r="K19" s="93">
        <v>0.0</v>
      </c>
      <c r="L19" s="82">
        <v>0.0</v>
      </c>
      <c r="M19" s="83"/>
      <c r="N19" s="93">
        <v>0.0</v>
      </c>
      <c r="O19" s="85" t="str">
        <f t="shared" si="10"/>
        <v>#DIV/0!</v>
      </c>
      <c r="P19" s="86" t="str">
        <f t="shared" si="5"/>
        <v>#DIV/0!</v>
      </c>
      <c r="Q19" s="85" t="str">
        <f t="shared" si="6"/>
        <v>#DIV/0!</v>
      </c>
      <c r="R19" s="87" t="str">
        <f t="shared" si="7"/>
        <v>#DIV/0!</v>
      </c>
      <c r="S19" s="95">
        <f t="shared" si="8"/>
        <v>0</v>
      </c>
      <c r="T19" s="89" t="str">
        <f t="shared" si="9"/>
        <v>#DIV/0!</v>
      </c>
      <c r="U19" s="90"/>
      <c r="V19" s="90"/>
      <c r="W19" s="90"/>
      <c r="X19" s="90"/>
      <c r="Y19" s="3"/>
      <c r="Z19" s="13"/>
      <c r="AA19" s="13"/>
    </row>
    <row r="20" hidden="1" outlineLevel="1">
      <c r="A20" s="13"/>
      <c r="B20" s="91"/>
      <c r="C20" s="239" t="s">
        <v>46</v>
      </c>
      <c r="D20" s="236" t="s">
        <v>76</v>
      </c>
      <c r="E20" s="92"/>
      <c r="F20" s="77"/>
      <c r="G20" s="77"/>
      <c r="H20" s="78" t="str">
        <f t="shared" si="1"/>
        <v>#DIV/0!</v>
      </c>
      <c r="I20" s="79" t="str">
        <f t="shared" si="2"/>
        <v>#DIV/0!</v>
      </c>
      <c r="J20" s="80" t="str">
        <f t="shared" si="3"/>
        <v>#DIV/0!</v>
      </c>
      <c r="K20" s="98">
        <v>0.0</v>
      </c>
      <c r="L20" s="82">
        <v>0.0</v>
      </c>
      <c r="M20" s="83"/>
      <c r="N20" s="98">
        <v>0.0</v>
      </c>
      <c r="O20" s="85" t="str">
        <f t="shared" si="10"/>
        <v>#DIV/0!</v>
      </c>
      <c r="P20" s="86" t="str">
        <f t="shared" si="5"/>
        <v>#DIV/0!</v>
      </c>
      <c r="Q20" s="85" t="str">
        <f t="shared" si="6"/>
        <v>#DIV/0!</v>
      </c>
      <c r="R20" s="87" t="str">
        <f t="shared" si="7"/>
        <v>#DIV/0!</v>
      </c>
      <c r="S20" s="100">
        <f t="shared" si="8"/>
        <v>0</v>
      </c>
      <c r="T20" s="89" t="str">
        <f t="shared" si="9"/>
        <v>#DIV/0!</v>
      </c>
      <c r="U20" s="90"/>
      <c r="V20" s="90"/>
      <c r="W20" s="90"/>
      <c r="X20" s="90"/>
      <c r="Y20" s="3"/>
      <c r="Z20" s="13"/>
      <c r="AA20" s="13"/>
    </row>
    <row r="21" hidden="1" outlineLevel="1">
      <c r="A21" s="13"/>
      <c r="B21" s="91"/>
      <c r="C21" s="237"/>
      <c r="D21" s="236" t="s">
        <v>77</v>
      </c>
      <c r="E21" s="92"/>
      <c r="F21" s="77"/>
      <c r="G21" s="77"/>
      <c r="H21" s="78" t="str">
        <f t="shared" si="1"/>
        <v>#DIV/0!</v>
      </c>
      <c r="I21" s="79" t="str">
        <f t="shared" si="2"/>
        <v>#DIV/0!</v>
      </c>
      <c r="J21" s="80" t="str">
        <f t="shared" si="3"/>
        <v>#DIV/0!</v>
      </c>
      <c r="K21" s="98">
        <v>0.0</v>
      </c>
      <c r="L21" s="82">
        <v>0.0</v>
      </c>
      <c r="M21" s="83"/>
      <c r="N21" s="99">
        <v>0.0</v>
      </c>
      <c r="O21" s="85" t="str">
        <f t="shared" si="10"/>
        <v>#DIV/0!</v>
      </c>
      <c r="P21" s="86" t="str">
        <f t="shared" si="5"/>
        <v>#DIV/0!</v>
      </c>
      <c r="Q21" s="85" t="str">
        <f t="shared" si="6"/>
        <v>#DIV/0!</v>
      </c>
      <c r="R21" s="87" t="str">
        <f t="shared" si="7"/>
        <v>#DIV/0!</v>
      </c>
      <c r="S21" s="100">
        <f t="shared" si="8"/>
        <v>0</v>
      </c>
      <c r="T21" s="89" t="str">
        <f t="shared" si="9"/>
        <v>#DIV/0!</v>
      </c>
      <c r="U21" s="90"/>
      <c r="V21" s="90"/>
      <c r="W21" s="90"/>
      <c r="X21" s="90"/>
      <c r="Y21" s="3"/>
      <c r="Z21" s="13"/>
      <c r="AA21" s="13"/>
    </row>
    <row r="22" hidden="1" outlineLevel="1">
      <c r="A22" s="13"/>
      <c r="B22" s="91"/>
      <c r="C22" s="237"/>
      <c r="D22" s="236" t="s">
        <v>78</v>
      </c>
      <c r="E22" s="92"/>
      <c r="F22" s="77"/>
      <c r="G22" s="77"/>
      <c r="H22" s="78" t="str">
        <f t="shared" si="1"/>
        <v>#DIV/0!</v>
      </c>
      <c r="I22" s="79" t="str">
        <f t="shared" si="2"/>
        <v>#DIV/0!</v>
      </c>
      <c r="J22" s="80" t="str">
        <f t="shared" si="3"/>
        <v>#DIV/0!</v>
      </c>
      <c r="K22" s="98">
        <v>0.0</v>
      </c>
      <c r="L22" s="82">
        <v>0.0</v>
      </c>
      <c r="M22" s="83"/>
      <c r="N22" s="99">
        <v>0.0</v>
      </c>
      <c r="O22" s="85" t="str">
        <f t="shared" si="10"/>
        <v>#DIV/0!</v>
      </c>
      <c r="P22" s="86" t="str">
        <f t="shared" si="5"/>
        <v>#DIV/0!</v>
      </c>
      <c r="Q22" s="85" t="str">
        <f t="shared" si="6"/>
        <v>#DIV/0!</v>
      </c>
      <c r="R22" s="87" t="str">
        <f t="shared" si="7"/>
        <v>#DIV/0!</v>
      </c>
      <c r="S22" s="100">
        <f t="shared" si="8"/>
        <v>0</v>
      </c>
      <c r="T22" s="89" t="str">
        <f t="shared" si="9"/>
        <v>#DIV/0!</v>
      </c>
      <c r="U22" s="90"/>
      <c r="V22" s="90"/>
      <c r="W22" s="90"/>
      <c r="X22" s="90"/>
      <c r="Y22" s="3"/>
      <c r="Z22" s="13"/>
      <c r="AA22" s="13"/>
    </row>
    <row r="23" hidden="1" outlineLevel="1">
      <c r="A23" s="13"/>
      <c r="B23" s="148" t="s">
        <v>33</v>
      </c>
      <c r="C23" s="237"/>
      <c r="D23" s="236" t="s">
        <v>79</v>
      </c>
      <c r="E23" s="97"/>
      <c r="F23" s="77"/>
      <c r="G23" s="77"/>
      <c r="H23" s="78" t="str">
        <f t="shared" si="1"/>
        <v>#DIV/0!</v>
      </c>
      <c r="I23" s="79" t="str">
        <f t="shared" si="2"/>
        <v>#DIV/0!</v>
      </c>
      <c r="J23" s="80" t="str">
        <f t="shared" si="3"/>
        <v>#DIV/0!</v>
      </c>
      <c r="K23" s="98">
        <v>0.0</v>
      </c>
      <c r="L23" s="82">
        <v>0.0</v>
      </c>
      <c r="M23" s="83"/>
      <c r="N23" s="99">
        <v>0.0</v>
      </c>
      <c r="O23" s="85" t="str">
        <f>(K23/N23)</f>
        <v>#DIV/0!</v>
      </c>
      <c r="P23" s="86" t="str">
        <f t="shared" si="5"/>
        <v>#DIV/0!</v>
      </c>
      <c r="Q23" s="85" t="str">
        <f t="shared" si="6"/>
        <v>#DIV/0!</v>
      </c>
      <c r="R23" s="87" t="str">
        <f t="shared" si="7"/>
        <v>#DIV/0!</v>
      </c>
      <c r="S23" s="100">
        <f t="shared" si="8"/>
        <v>0</v>
      </c>
      <c r="T23" s="89" t="str">
        <f t="shared" si="9"/>
        <v>#DIV/0!</v>
      </c>
      <c r="U23" s="90"/>
      <c r="V23" s="90"/>
      <c r="W23" s="90"/>
      <c r="X23" s="90"/>
      <c r="Y23" s="3"/>
      <c r="Z23" s="13"/>
      <c r="AA23" s="13"/>
    </row>
    <row r="24" hidden="1" outlineLevel="1">
      <c r="A24" s="101" t="str">
        <f t="shared" ref="A24:A25" si="11">iferror(if(B24&gt;0,month(B24)&amp;"-"&amp;year(B24),B24),)</f>
        <v>12-2025</v>
      </c>
      <c r="B24" s="143">
        <v>46011.0</v>
      </c>
      <c r="C24" s="238"/>
      <c r="D24" s="236" t="s">
        <v>80</v>
      </c>
      <c r="E24" s="102"/>
      <c r="F24" s="77"/>
      <c r="G24" s="77"/>
      <c r="H24" s="78" t="str">
        <f t="shared" si="1"/>
        <v>#DIV/0!</v>
      </c>
      <c r="I24" s="79" t="str">
        <f t="shared" si="2"/>
        <v>#DIV/0!</v>
      </c>
      <c r="J24" s="80" t="str">
        <f t="shared" si="3"/>
        <v>#DIV/0!</v>
      </c>
      <c r="K24" s="98">
        <v>0.0</v>
      </c>
      <c r="L24" s="82">
        <v>0.0</v>
      </c>
      <c r="M24" s="83"/>
      <c r="N24" s="99">
        <v>0.0</v>
      </c>
      <c r="O24" s="85" t="str">
        <f t="shared" ref="O24:O31" si="14">K24/N24</f>
        <v>#DIV/0!</v>
      </c>
      <c r="P24" s="86" t="str">
        <f t="shared" si="5"/>
        <v>#DIV/0!</v>
      </c>
      <c r="Q24" s="85" t="str">
        <f t="shared" si="6"/>
        <v>#DIV/0!</v>
      </c>
      <c r="R24" s="87" t="str">
        <f t="shared" si="7"/>
        <v>#DIV/0!</v>
      </c>
      <c r="S24" s="100">
        <f t="shared" si="8"/>
        <v>0</v>
      </c>
      <c r="T24" s="89" t="str">
        <f t="shared" si="9"/>
        <v>#DIV/0!</v>
      </c>
      <c r="U24" s="90"/>
      <c r="V24" s="90"/>
      <c r="W24" s="90"/>
      <c r="X24" s="90"/>
      <c r="Y24" s="3"/>
      <c r="Z24" s="13"/>
      <c r="AA24" s="13"/>
    </row>
    <row r="25" collapsed="1">
      <c r="A25" s="116" t="str">
        <f t="shared" si="11"/>
        <v/>
      </c>
      <c r="B25" s="137" t="s">
        <v>49</v>
      </c>
      <c r="C25" s="240"/>
      <c r="D25" s="138"/>
      <c r="E25" s="104">
        <f t="shared" ref="E25:G25" si="12">SUM(E17:E24)</f>
        <v>0</v>
      </c>
      <c r="F25" s="105">
        <f t="shared" si="12"/>
        <v>0</v>
      </c>
      <c r="G25" s="105">
        <f t="shared" si="12"/>
        <v>0</v>
      </c>
      <c r="H25" s="106" t="str">
        <f t="shared" si="1"/>
        <v>#DIV/0!</v>
      </c>
      <c r="I25" s="107" t="str">
        <f t="shared" si="2"/>
        <v>#DIV/0!</v>
      </c>
      <c r="J25" s="108" t="str">
        <f t="shared" si="3"/>
        <v>#DIV/0!</v>
      </c>
      <c r="K25" s="104">
        <f t="shared" ref="K25:N25" si="13">SUM(K17:K24)</f>
        <v>0</v>
      </c>
      <c r="L25" s="109">
        <f t="shared" si="13"/>
        <v>0</v>
      </c>
      <c r="M25" s="139">
        <f t="shared" si="13"/>
        <v>0</v>
      </c>
      <c r="N25" s="110">
        <f t="shared" si="13"/>
        <v>0</v>
      </c>
      <c r="O25" s="111" t="str">
        <f t="shared" si="14"/>
        <v>#DIV/0!</v>
      </c>
      <c r="P25" s="112" t="str">
        <f t="shared" si="5"/>
        <v>#DIV/0!</v>
      </c>
      <c r="Q25" s="111" t="str">
        <f t="shared" si="6"/>
        <v>#DIV/0!</v>
      </c>
      <c r="R25" s="113" t="str">
        <f t="shared" si="7"/>
        <v>#DIV/0!</v>
      </c>
      <c r="S25" s="114">
        <f>SUM(S17:S24)</f>
        <v>0</v>
      </c>
      <c r="T25" s="115" t="str">
        <f t="shared" si="9"/>
        <v>#DIV/0!</v>
      </c>
      <c r="U25" s="140" t="str">
        <f t="shared" ref="U25:V25" si="15">IFERROR((E25-#REF!)/E25,)</f>
        <v/>
      </c>
      <c r="V25" s="140" t="str">
        <f t="shared" si="15"/>
        <v/>
      </c>
      <c r="W25" s="140" t="str">
        <f t="shared" ref="W25:X25" si="16">IFERROR((E25-#REF!)/E25, )</f>
        <v/>
      </c>
      <c r="X25" s="140" t="str">
        <f t="shared" si="16"/>
        <v/>
      </c>
      <c r="Y25" s="116"/>
      <c r="Z25" s="116"/>
      <c r="AA25" s="116"/>
    </row>
    <row r="26" hidden="1" outlineLevel="1">
      <c r="A26" s="116"/>
      <c r="B26" s="74">
        <v>46005.0</v>
      </c>
      <c r="C26" s="241" t="s">
        <v>48</v>
      </c>
      <c r="D26" s="242" t="s">
        <v>73</v>
      </c>
      <c r="E26" s="118"/>
      <c r="F26" s="119"/>
      <c r="G26" s="119"/>
      <c r="H26" s="78" t="str">
        <f t="shared" si="1"/>
        <v>#DIV/0!</v>
      </c>
      <c r="I26" s="79" t="str">
        <f t="shared" si="2"/>
        <v>#DIV/0!</v>
      </c>
      <c r="J26" s="80" t="str">
        <f t="shared" si="3"/>
        <v>#DIV/0!</v>
      </c>
      <c r="K26" s="128">
        <v>0.0</v>
      </c>
      <c r="L26" s="121">
        <v>0.0</v>
      </c>
      <c r="M26" s="135"/>
      <c r="N26" s="128">
        <v>0.0</v>
      </c>
      <c r="O26" s="85" t="str">
        <f t="shared" si="14"/>
        <v>#DIV/0!</v>
      </c>
      <c r="P26" s="86" t="str">
        <f t="shared" si="5"/>
        <v>#DIV/0!</v>
      </c>
      <c r="Q26" s="85" t="str">
        <f t="shared" si="6"/>
        <v>#DIV/0!</v>
      </c>
      <c r="R26" s="87" t="str">
        <f t="shared" si="7"/>
        <v>#DIV/0!</v>
      </c>
      <c r="S26" s="95">
        <f t="shared" ref="S26:S33" si="17">E26-N26</f>
        <v>0</v>
      </c>
      <c r="T26" s="89" t="str">
        <f t="shared" si="9"/>
        <v>#DIV/0!</v>
      </c>
      <c r="U26" s="124"/>
      <c r="V26" s="124"/>
      <c r="W26" s="124"/>
      <c r="X26" s="124"/>
      <c r="Y26" s="125"/>
      <c r="Z26" s="116"/>
      <c r="AA26" s="116"/>
    </row>
    <row r="27" hidden="1" outlineLevel="1">
      <c r="A27" s="116"/>
      <c r="B27" s="126"/>
      <c r="C27" s="237"/>
      <c r="D27" s="242" t="s">
        <v>74</v>
      </c>
      <c r="E27" s="127"/>
      <c r="F27" s="119"/>
      <c r="G27" s="119"/>
      <c r="H27" s="78" t="str">
        <f t="shared" si="1"/>
        <v>#DIV/0!</v>
      </c>
      <c r="I27" s="79" t="str">
        <f t="shared" si="2"/>
        <v>#DIV/0!</v>
      </c>
      <c r="J27" s="80" t="str">
        <f t="shared" si="3"/>
        <v>#DIV/0!</v>
      </c>
      <c r="K27" s="128">
        <v>0.0</v>
      </c>
      <c r="L27" s="121">
        <v>0.0</v>
      </c>
      <c r="M27" s="135"/>
      <c r="N27" s="128">
        <v>0.0</v>
      </c>
      <c r="O27" s="85" t="str">
        <f t="shared" si="14"/>
        <v>#DIV/0!</v>
      </c>
      <c r="P27" s="86" t="str">
        <f t="shared" si="5"/>
        <v>#DIV/0!</v>
      </c>
      <c r="Q27" s="85" t="str">
        <f t="shared" si="6"/>
        <v>#DIV/0!</v>
      </c>
      <c r="R27" s="87" t="str">
        <f t="shared" si="7"/>
        <v>#DIV/0!</v>
      </c>
      <c r="S27" s="95">
        <f t="shared" si="17"/>
        <v>0</v>
      </c>
      <c r="T27" s="89" t="str">
        <f t="shared" si="9"/>
        <v>#DIV/0!</v>
      </c>
      <c r="U27" s="124"/>
      <c r="V27" s="124"/>
      <c r="W27" s="124"/>
      <c r="X27" s="124"/>
      <c r="Y27" s="125"/>
      <c r="Z27" s="116"/>
      <c r="AA27" s="116"/>
    </row>
    <row r="28" hidden="1" outlineLevel="1">
      <c r="A28" s="116"/>
      <c r="B28" s="126"/>
      <c r="C28" s="238"/>
      <c r="D28" s="242" t="s">
        <v>75</v>
      </c>
      <c r="E28" s="127"/>
      <c r="F28" s="119"/>
      <c r="G28" s="119"/>
      <c r="H28" s="78" t="str">
        <f t="shared" si="1"/>
        <v>#DIV/0!</v>
      </c>
      <c r="I28" s="79" t="str">
        <f t="shared" si="2"/>
        <v>#DIV/0!</v>
      </c>
      <c r="J28" s="80" t="str">
        <f t="shared" si="3"/>
        <v>#DIV/0!</v>
      </c>
      <c r="K28" s="128">
        <v>0.0</v>
      </c>
      <c r="L28" s="121">
        <v>0.0</v>
      </c>
      <c r="M28" s="135"/>
      <c r="N28" s="128">
        <v>0.0</v>
      </c>
      <c r="O28" s="85" t="str">
        <f t="shared" si="14"/>
        <v>#DIV/0!</v>
      </c>
      <c r="P28" s="86" t="str">
        <f t="shared" si="5"/>
        <v>#DIV/0!</v>
      </c>
      <c r="Q28" s="85" t="str">
        <f t="shared" si="6"/>
        <v>#DIV/0!</v>
      </c>
      <c r="R28" s="87" t="str">
        <f t="shared" si="7"/>
        <v>#DIV/0!</v>
      </c>
      <c r="S28" s="95">
        <f t="shared" si="17"/>
        <v>0</v>
      </c>
      <c r="T28" s="89" t="str">
        <f t="shared" si="9"/>
        <v>#DIV/0!</v>
      </c>
      <c r="U28" s="124"/>
      <c r="V28" s="124"/>
      <c r="W28" s="124"/>
      <c r="X28" s="124"/>
      <c r="Y28" s="125"/>
      <c r="Z28" s="116"/>
      <c r="AA28" s="116"/>
    </row>
    <row r="29" hidden="1" outlineLevel="1">
      <c r="A29" s="116"/>
      <c r="B29" s="126"/>
      <c r="C29" s="243" t="s">
        <v>46</v>
      </c>
      <c r="D29" s="242" t="s">
        <v>76</v>
      </c>
      <c r="E29" s="127"/>
      <c r="F29" s="119"/>
      <c r="G29" s="119"/>
      <c r="H29" s="78" t="str">
        <f t="shared" si="1"/>
        <v>#DIV/0!</v>
      </c>
      <c r="I29" s="79" t="str">
        <f t="shared" si="2"/>
        <v>#DIV/0!</v>
      </c>
      <c r="J29" s="80" t="str">
        <f t="shared" si="3"/>
        <v>#DIV/0!</v>
      </c>
      <c r="K29" s="131">
        <v>0.0</v>
      </c>
      <c r="L29" s="121">
        <v>0.0</v>
      </c>
      <c r="M29" s="135"/>
      <c r="N29" s="131">
        <v>0.0</v>
      </c>
      <c r="O29" s="85" t="str">
        <f t="shared" si="14"/>
        <v>#DIV/0!</v>
      </c>
      <c r="P29" s="86" t="str">
        <f t="shared" si="5"/>
        <v>#DIV/0!</v>
      </c>
      <c r="Q29" s="85" t="str">
        <f t="shared" si="6"/>
        <v>#DIV/0!</v>
      </c>
      <c r="R29" s="87" t="str">
        <f t="shared" si="7"/>
        <v>#DIV/0!</v>
      </c>
      <c r="S29" s="100">
        <f t="shared" si="17"/>
        <v>0</v>
      </c>
      <c r="T29" s="89" t="str">
        <f t="shared" si="9"/>
        <v>#DIV/0!</v>
      </c>
      <c r="U29" s="124"/>
      <c r="V29" s="124"/>
      <c r="W29" s="124"/>
      <c r="X29" s="124"/>
      <c r="Y29" s="125"/>
      <c r="Z29" s="116"/>
      <c r="AA29" s="116"/>
    </row>
    <row r="30" hidden="1" outlineLevel="1">
      <c r="A30" s="116"/>
      <c r="B30" s="126"/>
      <c r="C30" s="237"/>
      <c r="D30" s="242" t="s">
        <v>77</v>
      </c>
      <c r="E30" s="127"/>
      <c r="F30" s="119"/>
      <c r="G30" s="119"/>
      <c r="H30" s="78" t="str">
        <f t="shared" si="1"/>
        <v>#DIV/0!</v>
      </c>
      <c r="I30" s="79" t="str">
        <f t="shared" si="2"/>
        <v>#DIV/0!</v>
      </c>
      <c r="J30" s="80" t="str">
        <f t="shared" si="3"/>
        <v>#DIV/0!</v>
      </c>
      <c r="K30" s="131">
        <v>0.0</v>
      </c>
      <c r="L30" s="121">
        <v>0.0</v>
      </c>
      <c r="M30" s="135"/>
      <c r="N30" s="132">
        <v>0.0</v>
      </c>
      <c r="O30" s="85" t="str">
        <f t="shared" si="14"/>
        <v>#DIV/0!</v>
      </c>
      <c r="P30" s="86" t="str">
        <f t="shared" si="5"/>
        <v>#DIV/0!</v>
      </c>
      <c r="Q30" s="85" t="str">
        <f t="shared" si="6"/>
        <v>#DIV/0!</v>
      </c>
      <c r="R30" s="87" t="str">
        <f t="shared" si="7"/>
        <v>#DIV/0!</v>
      </c>
      <c r="S30" s="100">
        <f t="shared" si="17"/>
        <v>0</v>
      </c>
      <c r="T30" s="89" t="str">
        <f t="shared" si="9"/>
        <v>#DIV/0!</v>
      </c>
      <c r="U30" s="124"/>
      <c r="V30" s="124"/>
      <c r="W30" s="124"/>
      <c r="X30" s="124"/>
      <c r="Y30" s="125"/>
      <c r="Z30" s="116"/>
      <c r="AA30" s="116"/>
    </row>
    <row r="31" hidden="1" outlineLevel="1">
      <c r="A31" s="116"/>
      <c r="B31" s="126"/>
      <c r="C31" s="237"/>
      <c r="D31" s="242" t="s">
        <v>78</v>
      </c>
      <c r="E31" s="127"/>
      <c r="F31" s="119"/>
      <c r="G31" s="119"/>
      <c r="H31" s="78" t="str">
        <f t="shared" si="1"/>
        <v>#DIV/0!</v>
      </c>
      <c r="I31" s="79" t="str">
        <f t="shared" si="2"/>
        <v>#DIV/0!</v>
      </c>
      <c r="J31" s="80" t="str">
        <f t="shared" si="3"/>
        <v>#DIV/0!</v>
      </c>
      <c r="K31" s="131">
        <v>0.0</v>
      </c>
      <c r="L31" s="121">
        <v>0.0</v>
      </c>
      <c r="M31" s="135"/>
      <c r="N31" s="132">
        <v>0.0</v>
      </c>
      <c r="O31" s="85" t="str">
        <f t="shared" si="14"/>
        <v>#DIV/0!</v>
      </c>
      <c r="P31" s="86" t="str">
        <f t="shared" si="5"/>
        <v>#DIV/0!</v>
      </c>
      <c r="Q31" s="85" t="str">
        <f t="shared" si="6"/>
        <v>#DIV/0!</v>
      </c>
      <c r="R31" s="87" t="str">
        <f t="shared" si="7"/>
        <v>#DIV/0!</v>
      </c>
      <c r="S31" s="100">
        <f t="shared" si="17"/>
        <v>0</v>
      </c>
      <c r="T31" s="89" t="str">
        <f t="shared" si="9"/>
        <v>#DIV/0!</v>
      </c>
      <c r="U31" s="124"/>
      <c r="V31" s="124"/>
      <c r="W31" s="124"/>
      <c r="X31" s="124"/>
      <c r="Y31" s="125"/>
      <c r="Z31" s="116"/>
      <c r="AA31" s="116"/>
    </row>
    <row r="32" hidden="1" outlineLevel="1">
      <c r="A32" s="116"/>
      <c r="B32" s="74" t="s">
        <v>33</v>
      </c>
      <c r="C32" s="237"/>
      <c r="D32" s="242" t="s">
        <v>79</v>
      </c>
      <c r="E32" s="130"/>
      <c r="F32" s="119"/>
      <c r="G32" s="119"/>
      <c r="H32" s="78" t="str">
        <f t="shared" si="1"/>
        <v>#DIV/0!</v>
      </c>
      <c r="I32" s="79" t="str">
        <f t="shared" si="2"/>
        <v>#DIV/0!</v>
      </c>
      <c r="J32" s="80" t="str">
        <f t="shared" si="3"/>
        <v>#DIV/0!</v>
      </c>
      <c r="K32" s="131">
        <v>0.0</v>
      </c>
      <c r="L32" s="121">
        <v>0.0</v>
      </c>
      <c r="M32" s="135"/>
      <c r="N32" s="132">
        <v>0.0</v>
      </c>
      <c r="O32" s="85" t="str">
        <f>(K32/N32)</f>
        <v>#DIV/0!</v>
      </c>
      <c r="P32" s="86" t="str">
        <f t="shared" si="5"/>
        <v>#DIV/0!</v>
      </c>
      <c r="Q32" s="85" t="str">
        <f t="shared" si="6"/>
        <v>#DIV/0!</v>
      </c>
      <c r="R32" s="87" t="str">
        <f t="shared" si="7"/>
        <v>#DIV/0!</v>
      </c>
      <c r="S32" s="100">
        <f t="shared" si="17"/>
        <v>0</v>
      </c>
      <c r="T32" s="89" t="str">
        <f t="shared" si="9"/>
        <v>#DIV/0!</v>
      </c>
      <c r="U32" s="124"/>
      <c r="V32" s="124"/>
      <c r="W32" s="124"/>
      <c r="X32" s="124"/>
      <c r="Y32" s="125"/>
      <c r="Z32" s="116"/>
      <c r="AA32" s="116"/>
    </row>
    <row r="33" hidden="1" outlineLevel="1">
      <c r="A33" s="101" t="str">
        <f t="shared" ref="A33:A34" si="18">iferror(if(B33&gt;0,month(B33)&amp;"-"&amp;year(B33),B33),)</f>
        <v>12-2025</v>
      </c>
      <c r="B33" s="74">
        <v>46011.0</v>
      </c>
      <c r="C33" s="238"/>
      <c r="D33" s="242" t="s">
        <v>80</v>
      </c>
      <c r="E33" s="133"/>
      <c r="F33" s="119"/>
      <c r="G33" s="119"/>
      <c r="H33" s="78" t="str">
        <f t="shared" si="1"/>
        <v>#DIV/0!</v>
      </c>
      <c r="I33" s="79" t="str">
        <f t="shared" si="2"/>
        <v>#DIV/0!</v>
      </c>
      <c r="J33" s="80" t="str">
        <f t="shared" si="3"/>
        <v>#DIV/0!</v>
      </c>
      <c r="K33" s="131">
        <v>0.0</v>
      </c>
      <c r="L33" s="121">
        <v>0.0</v>
      </c>
      <c r="M33" s="135"/>
      <c r="N33" s="132">
        <v>0.0</v>
      </c>
      <c r="O33" s="85" t="str">
        <f t="shared" ref="O33:O38" si="21">K33/N33</f>
        <v>#DIV/0!</v>
      </c>
      <c r="P33" s="86" t="str">
        <f t="shared" si="5"/>
        <v>#DIV/0!</v>
      </c>
      <c r="Q33" s="85" t="str">
        <f t="shared" si="6"/>
        <v>#DIV/0!</v>
      </c>
      <c r="R33" s="87" t="str">
        <f t="shared" si="7"/>
        <v>#DIV/0!</v>
      </c>
      <c r="S33" s="100">
        <f t="shared" si="17"/>
        <v>0</v>
      </c>
      <c r="T33" s="89" t="str">
        <f t="shared" si="9"/>
        <v>#DIV/0!</v>
      </c>
      <c r="U33" s="124"/>
      <c r="V33" s="124"/>
      <c r="W33" s="124"/>
      <c r="X33" s="124"/>
      <c r="Y33" s="125"/>
      <c r="Z33" s="116"/>
      <c r="AA33" s="116"/>
    </row>
    <row r="34">
      <c r="A34" s="116" t="str">
        <f t="shared" si="18"/>
        <v/>
      </c>
      <c r="B34" s="137" t="s">
        <v>50</v>
      </c>
      <c r="C34" s="240"/>
      <c r="D34" s="138"/>
      <c r="E34" s="104">
        <f t="shared" ref="E34:G34" si="19">SUM(E26:E33)</f>
        <v>0</v>
      </c>
      <c r="F34" s="105">
        <f t="shared" si="19"/>
        <v>0</v>
      </c>
      <c r="G34" s="105">
        <f t="shared" si="19"/>
        <v>0</v>
      </c>
      <c r="H34" s="106" t="str">
        <f t="shared" si="1"/>
        <v>#DIV/0!</v>
      </c>
      <c r="I34" s="107" t="str">
        <f t="shared" si="2"/>
        <v>#DIV/0!</v>
      </c>
      <c r="J34" s="108" t="str">
        <f t="shared" si="3"/>
        <v>#DIV/0!</v>
      </c>
      <c r="K34" s="104">
        <f t="shared" ref="K34:N34" si="20">SUM(K26:K33)</f>
        <v>0</v>
      </c>
      <c r="L34" s="109">
        <f t="shared" si="20"/>
        <v>0</v>
      </c>
      <c r="M34" s="139">
        <f t="shared" si="20"/>
        <v>0</v>
      </c>
      <c r="N34" s="110">
        <f t="shared" si="20"/>
        <v>0</v>
      </c>
      <c r="O34" s="111" t="str">
        <f t="shared" si="21"/>
        <v>#DIV/0!</v>
      </c>
      <c r="P34" s="112" t="str">
        <f t="shared" si="5"/>
        <v>#DIV/0!</v>
      </c>
      <c r="Q34" s="111" t="str">
        <f t="shared" si="6"/>
        <v>#DIV/0!</v>
      </c>
      <c r="R34" s="113" t="str">
        <f t="shared" si="7"/>
        <v>#DIV/0!</v>
      </c>
      <c r="S34" s="114">
        <f>SUM(S26:S33)</f>
        <v>0</v>
      </c>
      <c r="T34" s="115" t="str">
        <f t="shared" si="9"/>
        <v>#DIV/0!</v>
      </c>
      <c r="U34" s="140" t="str">
        <f t="shared" ref="U34:V34" si="22">IFERROR((E34-#REF!)/E34,)</f>
        <v/>
      </c>
      <c r="V34" s="140" t="str">
        <f t="shared" si="22"/>
        <v/>
      </c>
      <c r="W34" s="140" t="str">
        <f t="shared" ref="W34:X34" si="23">IFERROR((E34-#REF!)/E34, )</f>
        <v/>
      </c>
      <c r="X34" s="140" t="str">
        <f t="shared" si="23"/>
        <v/>
      </c>
      <c r="Y34" s="116"/>
      <c r="Z34" s="116"/>
      <c r="AA34" s="116"/>
    </row>
    <row r="35">
      <c r="A35" s="13"/>
      <c r="B35" s="143">
        <v>46012.0</v>
      </c>
      <c r="C35" s="235" t="s">
        <v>48</v>
      </c>
      <c r="D35" s="236" t="s">
        <v>73</v>
      </c>
      <c r="E35" s="76"/>
      <c r="F35" s="77"/>
      <c r="G35" s="77"/>
      <c r="H35" s="78" t="str">
        <f t="shared" si="1"/>
        <v>#DIV/0!</v>
      </c>
      <c r="I35" s="79" t="str">
        <f t="shared" si="2"/>
        <v>#DIV/0!</v>
      </c>
      <c r="J35" s="80" t="str">
        <f t="shared" si="3"/>
        <v>#DIV/0!</v>
      </c>
      <c r="K35" s="93">
        <v>0.0</v>
      </c>
      <c r="L35" s="82">
        <v>0.0</v>
      </c>
      <c r="M35" s="83"/>
      <c r="N35" s="93">
        <v>0.0</v>
      </c>
      <c r="O35" s="85" t="str">
        <f t="shared" si="21"/>
        <v>#DIV/0!</v>
      </c>
      <c r="P35" s="86" t="str">
        <f t="shared" si="5"/>
        <v>#DIV/0!</v>
      </c>
      <c r="Q35" s="85" t="str">
        <f t="shared" si="6"/>
        <v>#DIV/0!</v>
      </c>
      <c r="R35" s="87" t="str">
        <f t="shared" si="7"/>
        <v>#DIV/0!</v>
      </c>
      <c r="S35" s="95">
        <f t="shared" ref="S35:S42" si="24">E35-N35</f>
        <v>0</v>
      </c>
      <c r="T35" s="89" t="str">
        <f t="shared" si="9"/>
        <v>#DIV/0!</v>
      </c>
      <c r="U35" s="90"/>
      <c r="V35" s="90"/>
      <c r="W35" s="90"/>
      <c r="X35" s="90"/>
      <c r="Y35" s="3"/>
      <c r="Z35" s="13"/>
      <c r="AA35" s="13"/>
    </row>
    <row r="36">
      <c r="A36" s="13"/>
      <c r="B36" s="91"/>
      <c r="C36" s="237"/>
      <c r="D36" s="236" t="s">
        <v>74</v>
      </c>
      <c r="E36" s="92"/>
      <c r="F36" s="77"/>
      <c r="G36" s="77"/>
      <c r="H36" s="78" t="str">
        <f t="shared" si="1"/>
        <v>#DIV/0!</v>
      </c>
      <c r="I36" s="79" t="str">
        <f t="shared" si="2"/>
        <v>#DIV/0!</v>
      </c>
      <c r="J36" s="80" t="str">
        <f t="shared" si="3"/>
        <v>#DIV/0!</v>
      </c>
      <c r="K36" s="93">
        <v>0.0</v>
      </c>
      <c r="L36" s="82">
        <v>0.0</v>
      </c>
      <c r="M36" s="146"/>
      <c r="N36" s="93">
        <v>0.0</v>
      </c>
      <c r="O36" s="85" t="str">
        <f t="shared" si="21"/>
        <v>#DIV/0!</v>
      </c>
      <c r="P36" s="86" t="str">
        <f t="shared" si="5"/>
        <v>#DIV/0!</v>
      </c>
      <c r="Q36" s="85" t="str">
        <f t="shared" si="6"/>
        <v>#DIV/0!</v>
      </c>
      <c r="R36" s="87" t="str">
        <f t="shared" si="7"/>
        <v>#DIV/0!</v>
      </c>
      <c r="S36" s="95">
        <f t="shared" si="24"/>
        <v>0</v>
      </c>
      <c r="T36" s="89" t="str">
        <f t="shared" si="9"/>
        <v>#DIV/0!</v>
      </c>
      <c r="U36" s="90"/>
      <c r="V36" s="90"/>
      <c r="W36" s="90"/>
      <c r="X36" s="90"/>
      <c r="Y36" s="3"/>
      <c r="Z36" s="13"/>
      <c r="AA36" s="13"/>
    </row>
    <row r="37">
      <c r="A37" s="13"/>
      <c r="B37" s="91"/>
      <c r="C37" s="238"/>
      <c r="D37" s="236" t="s">
        <v>75</v>
      </c>
      <c r="E37" s="92"/>
      <c r="F37" s="77"/>
      <c r="G37" s="77"/>
      <c r="H37" s="78" t="str">
        <f t="shared" si="1"/>
        <v>#DIV/0!</v>
      </c>
      <c r="I37" s="79" t="str">
        <f t="shared" si="2"/>
        <v>#DIV/0!</v>
      </c>
      <c r="J37" s="80" t="str">
        <f t="shared" si="3"/>
        <v>#DIV/0!</v>
      </c>
      <c r="K37" s="93">
        <v>0.0</v>
      </c>
      <c r="L37" s="82">
        <v>0.0</v>
      </c>
      <c r="M37" s="83"/>
      <c r="N37" s="93">
        <v>0.0</v>
      </c>
      <c r="O37" s="85" t="str">
        <f t="shared" si="21"/>
        <v>#DIV/0!</v>
      </c>
      <c r="P37" s="86" t="str">
        <f t="shared" si="5"/>
        <v>#DIV/0!</v>
      </c>
      <c r="Q37" s="85" t="str">
        <f t="shared" si="6"/>
        <v>#DIV/0!</v>
      </c>
      <c r="R37" s="87" t="str">
        <f t="shared" si="7"/>
        <v>#DIV/0!</v>
      </c>
      <c r="S37" s="95">
        <f t="shared" si="24"/>
        <v>0</v>
      </c>
      <c r="T37" s="89" t="str">
        <f t="shared" si="9"/>
        <v>#DIV/0!</v>
      </c>
      <c r="U37" s="90"/>
      <c r="V37" s="90"/>
      <c r="W37" s="90"/>
      <c r="X37" s="90"/>
      <c r="Y37" s="3"/>
      <c r="Z37" s="13"/>
      <c r="AA37" s="13"/>
    </row>
    <row r="38">
      <c r="A38" s="13"/>
      <c r="B38" s="91"/>
      <c r="C38" s="239" t="s">
        <v>46</v>
      </c>
      <c r="D38" s="236" t="s">
        <v>76</v>
      </c>
      <c r="E38" s="92"/>
      <c r="F38" s="77"/>
      <c r="G38" s="77"/>
      <c r="H38" s="78" t="str">
        <f t="shared" si="1"/>
        <v>#DIV/0!</v>
      </c>
      <c r="I38" s="79" t="str">
        <f t="shared" si="2"/>
        <v>#DIV/0!</v>
      </c>
      <c r="J38" s="80" t="str">
        <f t="shared" si="3"/>
        <v>#DIV/0!</v>
      </c>
      <c r="K38" s="98">
        <v>0.0</v>
      </c>
      <c r="L38" s="82">
        <v>0.0</v>
      </c>
      <c r="M38" s="83"/>
      <c r="N38" s="98">
        <v>0.0</v>
      </c>
      <c r="O38" s="85" t="str">
        <f t="shared" si="21"/>
        <v>#DIV/0!</v>
      </c>
      <c r="P38" s="86" t="str">
        <f t="shared" si="5"/>
        <v>#DIV/0!</v>
      </c>
      <c r="Q38" s="85" t="str">
        <f t="shared" si="6"/>
        <v>#DIV/0!</v>
      </c>
      <c r="R38" s="87" t="str">
        <f t="shared" si="7"/>
        <v>#DIV/0!</v>
      </c>
      <c r="S38" s="100">
        <f t="shared" si="24"/>
        <v>0</v>
      </c>
      <c r="T38" s="89" t="str">
        <f t="shared" si="9"/>
        <v>#DIV/0!</v>
      </c>
      <c r="U38" s="90"/>
      <c r="V38" s="90"/>
      <c r="W38" s="90"/>
      <c r="X38" s="90"/>
      <c r="Y38" s="3"/>
      <c r="Z38" s="13"/>
      <c r="AA38" s="13"/>
    </row>
    <row r="39">
      <c r="A39" s="13"/>
      <c r="B39" s="148" t="s">
        <v>33</v>
      </c>
      <c r="C39" s="237"/>
      <c r="D39" s="236" t="s">
        <v>77</v>
      </c>
      <c r="E39" s="97"/>
      <c r="F39" s="77"/>
      <c r="G39" s="77"/>
      <c r="H39" s="78" t="str">
        <f t="shared" si="1"/>
        <v>#DIV/0!</v>
      </c>
      <c r="I39" s="79" t="str">
        <f t="shared" si="2"/>
        <v>#DIV/0!</v>
      </c>
      <c r="J39" s="80" t="str">
        <f t="shared" si="3"/>
        <v>#DIV/0!</v>
      </c>
      <c r="K39" s="98">
        <v>0.0</v>
      </c>
      <c r="L39" s="82">
        <v>0.0</v>
      </c>
      <c r="M39" s="83"/>
      <c r="N39" s="99">
        <v>0.0</v>
      </c>
      <c r="O39" s="85" t="str">
        <f t="shared" ref="O39:O41" si="25">(K39/N39)</f>
        <v>#DIV/0!</v>
      </c>
      <c r="P39" s="86" t="str">
        <f t="shared" si="5"/>
        <v>#DIV/0!</v>
      </c>
      <c r="Q39" s="85" t="str">
        <f t="shared" si="6"/>
        <v>#DIV/0!</v>
      </c>
      <c r="R39" s="87" t="str">
        <f t="shared" si="7"/>
        <v>#DIV/0!</v>
      </c>
      <c r="S39" s="100">
        <f t="shared" si="24"/>
        <v>0</v>
      </c>
      <c r="T39" s="89" t="str">
        <f t="shared" si="9"/>
        <v>#DIV/0!</v>
      </c>
      <c r="U39" s="90"/>
      <c r="V39" s="90"/>
      <c r="W39" s="90"/>
      <c r="X39" s="90"/>
      <c r="Y39" s="3"/>
      <c r="Z39" s="13"/>
      <c r="AA39" s="13"/>
    </row>
    <row r="40">
      <c r="A40" s="13"/>
      <c r="B40" s="148"/>
      <c r="C40" s="237"/>
      <c r="D40" s="236" t="s">
        <v>78</v>
      </c>
      <c r="E40" s="97"/>
      <c r="F40" s="77"/>
      <c r="G40" s="77"/>
      <c r="H40" s="78" t="str">
        <f t="shared" si="1"/>
        <v>#DIV/0!</v>
      </c>
      <c r="I40" s="79" t="str">
        <f t="shared" si="2"/>
        <v>#DIV/0!</v>
      </c>
      <c r="J40" s="80" t="str">
        <f t="shared" si="3"/>
        <v>#DIV/0!</v>
      </c>
      <c r="K40" s="98">
        <v>0.0</v>
      </c>
      <c r="L40" s="82">
        <v>0.0</v>
      </c>
      <c r="M40" s="83"/>
      <c r="N40" s="99">
        <v>0.0</v>
      </c>
      <c r="O40" s="85" t="str">
        <f t="shared" si="25"/>
        <v>#DIV/0!</v>
      </c>
      <c r="P40" s="86" t="str">
        <f t="shared" si="5"/>
        <v>#DIV/0!</v>
      </c>
      <c r="Q40" s="85" t="str">
        <f t="shared" si="6"/>
        <v>#DIV/0!</v>
      </c>
      <c r="R40" s="87" t="str">
        <f t="shared" si="7"/>
        <v>#DIV/0!</v>
      </c>
      <c r="S40" s="100">
        <f t="shared" si="24"/>
        <v>0</v>
      </c>
      <c r="T40" s="89" t="str">
        <f t="shared" si="9"/>
        <v>#DIV/0!</v>
      </c>
      <c r="U40" s="90"/>
      <c r="V40" s="90"/>
      <c r="W40" s="90"/>
      <c r="X40" s="90"/>
      <c r="Y40" s="3"/>
      <c r="Z40" s="13"/>
      <c r="AA40" s="13"/>
    </row>
    <row r="41">
      <c r="A41" s="13"/>
      <c r="B41" s="148"/>
      <c r="C41" s="237"/>
      <c r="D41" s="236" t="s">
        <v>79</v>
      </c>
      <c r="E41" s="97"/>
      <c r="F41" s="77"/>
      <c r="G41" s="77"/>
      <c r="H41" s="78" t="str">
        <f t="shared" si="1"/>
        <v>#DIV/0!</v>
      </c>
      <c r="I41" s="79" t="str">
        <f t="shared" si="2"/>
        <v>#DIV/0!</v>
      </c>
      <c r="J41" s="80" t="str">
        <f t="shared" si="3"/>
        <v>#DIV/0!</v>
      </c>
      <c r="K41" s="98">
        <v>0.0</v>
      </c>
      <c r="L41" s="82">
        <v>0.0</v>
      </c>
      <c r="M41" s="83"/>
      <c r="N41" s="99">
        <v>0.0</v>
      </c>
      <c r="O41" s="85" t="str">
        <f t="shared" si="25"/>
        <v>#DIV/0!</v>
      </c>
      <c r="P41" s="86" t="str">
        <f t="shared" si="5"/>
        <v>#DIV/0!</v>
      </c>
      <c r="Q41" s="85" t="str">
        <f t="shared" si="6"/>
        <v>#DIV/0!</v>
      </c>
      <c r="R41" s="87" t="str">
        <f t="shared" si="7"/>
        <v>#DIV/0!</v>
      </c>
      <c r="S41" s="100">
        <f t="shared" si="24"/>
        <v>0</v>
      </c>
      <c r="T41" s="89" t="str">
        <f t="shared" si="9"/>
        <v>#DIV/0!</v>
      </c>
      <c r="U41" s="90"/>
      <c r="V41" s="90"/>
      <c r="W41" s="90"/>
      <c r="X41" s="90"/>
      <c r="Y41" s="3"/>
      <c r="Z41" s="13"/>
      <c r="AA41" s="13"/>
    </row>
    <row r="42">
      <c r="A42" s="101" t="str">
        <f t="shared" ref="A42:A43" si="26">iferror(if(B42&gt;0,month(B42)&amp;"-"&amp;year(B42),B42),)</f>
        <v>12-2025</v>
      </c>
      <c r="B42" s="143">
        <v>46018.0</v>
      </c>
      <c r="C42" s="238"/>
      <c r="D42" s="236" t="s">
        <v>80</v>
      </c>
      <c r="E42" s="102"/>
      <c r="F42" s="77"/>
      <c r="G42" s="77"/>
      <c r="H42" s="78" t="str">
        <f t="shared" si="1"/>
        <v>#DIV/0!</v>
      </c>
      <c r="I42" s="79" t="str">
        <f t="shared" si="2"/>
        <v>#DIV/0!</v>
      </c>
      <c r="J42" s="80" t="str">
        <f t="shared" si="3"/>
        <v>#DIV/0!</v>
      </c>
      <c r="K42" s="98">
        <v>0.0</v>
      </c>
      <c r="L42" s="82">
        <v>0.0</v>
      </c>
      <c r="M42" s="83"/>
      <c r="N42" s="99">
        <v>0.0</v>
      </c>
      <c r="O42" s="85" t="str">
        <f t="shared" ref="O42:O47" si="29">K42/N42</f>
        <v>#DIV/0!</v>
      </c>
      <c r="P42" s="86" t="str">
        <f t="shared" si="5"/>
        <v>#DIV/0!</v>
      </c>
      <c r="Q42" s="85" t="str">
        <f t="shared" si="6"/>
        <v>#DIV/0!</v>
      </c>
      <c r="R42" s="87" t="str">
        <f t="shared" si="7"/>
        <v>#DIV/0!</v>
      </c>
      <c r="S42" s="100">
        <f t="shared" si="24"/>
        <v>0</v>
      </c>
      <c r="T42" s="89" t="str">
        <f t="shared" si="9"/>
        <v>#DIV/0!</v>
      </c>
      <c r="U42" s="90"/>
      <c r="V42" s="90"/>
      <c r="W42" s="90"/>
      <c r="X42" s="90"/>
      <c r="Y42" s="3"/>
      <c r="Z42" s="13"/>
      <c r="AA42" s="13"/>
    </row>
    <row r="43">
      <c r="A43" s="13" t="str">
        <f t="shared" si="26"/>
        <v/>
      </c>
      <c r="B43" s="103" t="s">
        <v>51</v>
      </c>
      <c r="C43" s="233"/>
      <c r="D43" s="61"/>
      <c r="E43" s="104">
        <f t="shared" ref="E43:G43" si="27">SUM(E35:E42)</f>
        <v>0</v>
      </c>
      <c r="F43" s="105">
        <f t="shared" si="27"/>
        <v>0</v>
      </c>
      <c r="G43" s="105">
        <f t="shared" si="27"/>
        <v>0</v>
      </c>
      <c r="H43" s="106" t="str">
        <f t="shared" si="1"/>
        <v>#DIV/0!</v>
      </c>
      <c r="I43" s="107" t="str">
        <f t="shared" si="2"/>
        <v>#DIV/0!</v>
      </c>
      <c r="J43" s="108" t="str">
        <f t="shared" si="3"/>
        <v>#DIV/0!</v>
      </c>
      <c r="K43" s="104">
        <f t="shared" ref="K43:N43" si="28">SUM(K35:K42)</f>
        <v>0</v>
      </c>
      <c r="L43" s="109">
        <f t="shared" si="28"/>
        <v>0</v>
      </c>
      <c r="M43" s="105">
        <f t="shared" si="28"/>
        <v>0</v>
      </c>
      <c r="N43" s="110">
        <f t="shared" si="28"/>
        <v>0</v>
      </c>
      <c r="O43" s="111" t="str">
        <f t="shared" si="29"/>
        <v>#DIV/0!</v>
      </c>
      <c r="P43" s="112" t="str">
        <f t="shared" si="5"/>
        <v>#DIV/0!</v>
      </c>
      <c r="Q43" s="111" t="str">
        <f t="shared" si="6"/>
        <v>#DIV/0!</v>
      </c>
      <c r="R43" s="113" t="str">
        <f t="shared" si="7"/>
        <v>#DIV/0!</v>
      </c>
      <c r="S43" s="114">
        <f>SUM(S35:S42)</f>
        <v>0</v>
      </c>
      <c r="T43" s="115" t="str">
        <f t="shared" si="9"/>
        <v>#DIV/0!</v>
      </c>
      <c r="U43" s="73" t="str">
        <f t="shared" ref="U43:V43" si="30">IFERROR((E43-#REF!)/E43,)</f>
        <v/>
      </c>
      <c r="V43" s="73" t="str">
        <f t="shared" si="30"/>
        <v/>
      </c>
      <c r="W43" s="73" t="str">
        <f t="shared" ref="W43:X43" si="31">IFERROR((E43-#REF!)/E43, )</f>
        <v/>
      </c>
      <c r="X43" s="73" t="str">
        <f t="shared" si="31"/>
        <v/>
      </c>
      <c r="Y43" s="13"/>
      <c r="Z43" s="13"/>
      <c r="AA43" s="13"/>
    </row>
    <row r="44">
      <c r="A44" s="13"/>
      <c r="B44" s="143">
        <v>46019.0</v>
      </c>
      <c r="C44" s="235" t="s">
        <v>48</v>
      </c>
      <c r="D44" s="236" t="s">
        <v>73</v>
      </c>
      <c r="E44" s="76"/>
      <c r="F44" s="77"/>
      <c r="G44" s="77"/>
      <c r="H44" s="78" t="str">
        <f t="shared" si="1"/>
        <v>#DIV/0!</v>
      </c>
      <c r="I44" s="79" t="str">
        <f t="shared" si="2"/>
        <v>#DIV/0!</v>
      </c>
      <c r="J44" s="80" t="str">
        <f t="shared" si="3"/>
        <v>#DIV/0!</v>
      </c>
      <c r="K44" s="93">
        <v>106.4</v>
      </c>
      <c r="L44" s="82">
        <v>6630.0</v>
      </c>
      <c r="M44" s="83"/>
      <c r="N44" s="93">
        <v>0.0</v>
      </c>
      <c r="O44" s="85" t="str">
        <f t="shared" si="29"/>
        <v>#DIV/0!</v>
      </c>
      <c r="P44" s="86">
        <f t="shared" si="5"/>
        <v>0</v>
      </c>
      <c r="Q44" s="85" t="str">
        <f t="shared" si="6"/>
        <v>#DIV/0!</v>
      </c>
      <c r="R44" s="87" t="str">
        <f t="shared" si="7"/>
        <v>#DIV/0!</v>
      </c>
      <c r="S44" s="95">
        <f t="shared" ref="S44:S51" si="32">E44-N44</f>
        <v>0</v>
      </c>
      <c r="T44" s="89" t="str">
        <f t="shared" si="9"/>
        <v>#DIV/0!</v>
      </c>
      <c r="U44" s="90"/>
      <c r="V44" s="90"/>
      <c r="W44" s="90"/>
      <c r="X44" s="90"/>
      <c r="Y44" s="3"/>
      <c r="Z44" s="13"/>
      <c r="AA44" s="13"/>
    </row>
    <row r="45">
      <c r="A45" s="13"/>
      <c r="B45" s="91"/>
      <c r="C45" s="237"/>
      <c r="D45" s="236" t="s">
        <v>74</v>
      </c>
      <c r="E45" s="92"/>
      <c r="F45" s="77"/>
      <c r="G45" s="77"/>
      <c r="H45" s="78" t="str">
        <f t="shared" si="1"/>
        <v>#DIV/0!</v>
      </c>
      <c r="I45" s="79" t="str">
        <f t="shared" si="2"/>
        <v>#DIV/0!</v>
      </c>
      <c r="J45" s="80" t="str">
        <f t="shared" si="3"/>
        <v>#DIV/0!</v>
      </c>
      <c r="K45" s="93">
        <v>0.0</v>
      </c>
      <c r="L45" s="82">
        <v>0.0</v>
      </c>
      <c r="M45" s="146"/>
      <c r="N45" s="93">
        <v>0.0</v>
      </c>
      <c r="O45" s="85" t="str">
        <f t="shared" si="29"/>
        <v>#DIV/0!</v>
      </c>
      <c r="P45" s="86" t="str">
        <f t="shared" si="5"/>
        <v>#DIV/0!</v>
      </c>
      <c r="Q45" s="85" t="str">
        <f t="shared" si="6"/>
        <v>#DIV/0!</v>
      </c>
      <c r="R45" s="87" t="str">
        <f t="shared" si="7"/>
        <v>#DIV/0!</v>
      </c>
      <c r="S45" s="95">
        <f t="shared" si="32"/>
        <v>0</v>
      </c>
      <c r="T45" s="89" t="str">
        <f t="shared" si="9"/>
        <v>#DIV/0!</v>
      </c>
      <c r="U45" s="90"/>
      <c r="V45" s="90"/>
      <c r="W45" s="90"/>
      <c r="X45" s="90"/>
      <c r="Y45" s="3"/>
      <c r="Z45" s="13"/>
      <c r="AA45" s="13"/>
    </row>
    <row r="46">
      <c r="A46" s="13"/>
      <c r="B46" s="91"/>
      <c r="C46" s="238"/>
      <c r="D46" s="236" t="s">
        <v>75</v>
      </c>
      <c r="E46" s="92"/>
      <c r="F46" s="77"/>
      <c r="G46" s="77"/>
      <c r="H46" s="78" t="str">
        <f t="shared" si="1"/>
        <v>#DIV/0!</v>
      </c>
      <c r="I46" s="79" t="str">
        <f t="shared" si="2"/>
        <v>#DIV/0!</v>
      </c>
      <c r="J46" s="80" t="str">
        <f t="shared" si="3"/>
        <v>#DIV/0!</v>
      </c>
      <c r="K46" s="93">
        <v>0.0</v>
      </c>
      <c r="L46" s="82">
        <v>0.0</v>
      </c>
      <c r="M46" s="83"/>
      <c r="N46" s="93">
        <v>0.0</v>
      </c>
      <c r="O46" s="85" t="str">
        <f t="shared" si="29"/>
        <v>#DIV/0!</v>
      </c>
      <c r="P46" s="86" t="str">
        <f t="shared" si="5"/>
        <v>#DIV/0!</v>
      </c>
      <c r="Q46" s="85" t="str">
        <f t="shared" si="6"/>
        <v>#DIV/0!</v>
      </c>
      <c r="R46" s="87" t="str">
        <f t="shared" si="7"/>
        <v>#DIV/0!</v>
      </c>
      <c r="S46" s="95">
        <f t="shared" si="32"/>
        <v>0</v>
      </c>
      <c r="T46" s="89" t="str">
        <f t="shared" si="9"/>
        <v>#DIV/0!</v>
      </c>
      <c r="U46" s="90"/>
      <c r="V46" s="90"/>
      <c r="W46" s="90"/>
      <c r="X46" s="90"/>
      <c r="Y46" s="3"/>
      <c r="Z46" s="13"/>
      <c r="AA46" s="13"/>
    </row>
    <row r="47">
      <c r="A47" s="13"/>
      <c r="B47" s="91"/>
      <c r="C47" s="239" t="s">
        <v>46</v>
      </c>
      <c r="D47" s="236" t="s">
        <v>76</v>
      </c>
      <c r="E47" s="92"/>
      <c r="F47" s="77"/>
      <c r="G47" s="77"/>
      <c r="H47" s="78" t="str">
        <f t="shared" si="1"/>
        <v>#DIV/0!</v>
      </c>
      <c r="I47" s="79" t="str">
        <f t="shared" si="2"/>
        <v>#DIV/0!</v>
      </c>
      <c r="J47" s="80" t="str">
        <f t="shared" si="3"/>
        <v>#DIV/0!</v>
      </c>
      <c r="K47" s="98">
        <v>0.0</v>
      </c>
      <c r="L47" s="82">
        <v>0.0</v>
      </c>
      <c r="M47" s="83"/>
      <c r="N47" s="98">
        <v>0.0</v>
      </c>
      <c r="O47" s="85" t="str">
        <f t="shared" si="29"/>
        <v>#DIV/0!</v>
      </c>
      <c r="P47" s="86" t="str">
        <f t="shared" si="5"/>
        <v>#DIV/0!</v>
      </c>
      <c r="Q47" s="85" t="str">
        <f t="shared" si="6"/>
        <v>#DIV/0!</v>
      </c>
      <c r="R47" s="87" t="str">
        <f t="shared" si="7"/>
        <v>#DIV/0!</v>
      </c>
      <c r="S47" s="100">
        <f t="shared" si="32"/>
        <v>0</v>
      </c>
      <c r="T47" s="89" t="str">
        <f t="shared" si="9"/>
        <v>#DIV/0!</v>
      </c>
      <c r="U47" s="90"/>
      <c r="V47" s="90"/>
      <c r="W47" s="90"/>
      <c r="X47" s="90"/>
      <c r="Y47" s="3"/>
      <c r="Z47" s="13"/>
      <c r="AA47" s="13"/>
    </row>
    <row r="48">
      <c r="A48" s="13"/>
      <c r="B48" s="148" t="s">
        <v>33</v>
      </c>
      <c r="C48" s="237"/>
      <c r="D48" s="236" t="s">
        <v>77</v>
      </c>
      <c r="E48" s="97"/>
      <c r="F48" s="77"/>
      <c r="G48" s="77"/>
      <c r="H48" s="78" t="str">
        <f t="shared" si="1"/>
        <v>#DIV/0!</v>
      </c>
      <c r="I48" s="79" t="str">
        <f t="shared" si="2"/>
        <v>#DIV/0!</v>
      </c>
      <c r="J48" s="80" t="str">
        <f t="shared" si="3"/>
        <v>#DIV/0!</v>
      </c>
      <c r="K48" s="98">
        <v>0.0</v>
      </c>
      <c r="L48" s="82">
        <v>0.0</v>
      </c>
      <c r="M48" s="83"/>
      <c r="N48" s="99">
        <v>0.0</v>
      </c>
      <c r="O48" s="85" t="str">
        <f t="shared" ref="O48:O50" si="33">(K48/N48)</f>
        <v>#DIV/0!</v>
      </c>
      <c r="P48" s="86" t="str">
        <f t="shared" si="5"/>
        <v>#DIV/0!</v>
      </c>
      <c r="Q48" s="85" t="str">
        <f t="shared" si="6"/>
        <v>#DIV/0!</v>
      </c>
      <c r="R48" s="87" t="str">
        <f t="shared" si="7"/>
        <v>#DIV/0!</v>
      </c>
      <c r="S48" s="100">
        <f t="shared" si="32"/>
        <v>0</v>
      </c>
      <c r="T48" s="89" t="str">
        <f t="shared" si="9"/>
        <v>#DIV/0!</v>
      </c>
      <c r="U48" s="90"/>
      <c r="V48" s="90"/>
      <c r="W48" s="90"/>
      <c r="X48" s="90"/>
      <c r="Y48" s="3"/>
      <c r="Z48" s="13"/>
      <c r="AA48" s="13"/>
    </row>
    <row r="49">
      <c r="A49" s="13"/>
      <c r="B49" s="148"/>
      <c r="C49" s="237"/>
      <c r="D49" s="236" t="s">
        <v>78</v>
      </c>
      <c r="E49" s="97"/>
      <c r="F49" s="77"/>
      <c r="G49" s="77"/>
      <c r="H49" s="78" t="str">
        <f t="shared" si="1"/>
        <v>#DIV/0!</v>
      </c>
      <c r="I49" s="79" t="str">
        <f t="shared" si="2"/>
        <v>#DIV/0!</v>
      </c>
      <c r="J49" s="80" t="str">
        <f t="shared" si="3"/>
        <v>#DIV/0!</v>
      </c>
      <c r="K49" s="98">
        <v>0.0</v>
      </c>
      <c r="L49" s="82">
        <v>0.0</v>
      </c>
      <c r="M49" s="83"/>
      <c r="N49" s="99">
        <v>0.0</v>
      </c>
      <c r="O49" s="85" t="str">
        <f t="shared" si="33"/>
        <v>#DIV/0!</v>
      </c>
      <c r="P49" s="86" t="str">
        <f t="shared" si="5"/>
        <v>#DIV/0!</v>
      </c>
      <c r="Q49" s="85" t="str">
        <f t="shared" si="6"/>
        <v>#DIV/0!</v>
      </c>
      <c r="R49" s="87" t="str">
        <f t="shared" si="7"/>
        <v>#DIV/0!</v>
      </c>
      <c r="S49" s="100">
        <f t="shared" si="32"/>
        <v>0</v>
      </c>
      <c r="T49" s="89" t="str">
        <f t="shared" si="9"/>
        <v>#DIV/0!</v>
      </c>
      <c r="U49" s="90"/>
      <c r="V49" s="90"/>
      <c r="W49" s="90"/>
      <c r="X49" s="90"/>
      <c r="Y49" s="3"/>
      <c r="Z49" s="13"/>
      <c r="AA49" s="13"/>
    </row>
    <row r="50">
      <c r="A50" s="13"/>
      <c r="B50" s="148"/>
      <c r="C50" s="237"/>
      <c r="D50" s="236" t="s">
        <v>79</v>
      </c>
      <c r="E50" s="97"/>
      <c r="F50" s="77"/>
      <c r="G50" s="77"/>
      <c r="H50" s="78" t="str">
        <f t="shared" si="1"/>
        <v>#DIV/0!</v>
      </c>
      <c r="I50" s="79" t="str">
        <f t="shared" si="2"/>
        <v>#DIV/0!</v>
      </c>
      <c r="J50" s="80" t="str">
        <f t="shared" si="3"/>
        <v>#DIV/0!</v>
      </c>
      <c r="K50" s="98">
        <v>0.0</v>
      </c>
      <c r="L50" s="82">
        <v>0.0</v>
      </c>
      <c r="M50" s="83"/>
      <c r="N50" s="99">
        <v>0.0</v>
      </c>
      <c r="O50" s="85" t="str">
        <f t="shared" si="33"/>
        <v>#DIV/0!</v>
      </c>
      <c r="P50" s="86" t="str">
        <f t="shared" si="5"/>
        <v>#DIV/0!</v>
      </c>
      <c r="Q50" s="85" t="str">
        <f t="shared" si="6"/>
        <v>#DIV/0!</v>
      </c>
      <c r="R50" s="87" t="str">
        <f t="shared" si="7"/>
        <v>#DIV/0!</v>
      </c>
      <c r="S50" s="100">
        <f t="shared" si="32"/>
        <v>0</v>
      </c>
      <c r="T50" s="89" t="str">
        <f t="shared" si="9"/>
        <v>#DIV/0!</v>
      </c>
      <c r="U50" s="90"/>
      <c r="V50" s="90"/>
      <c r="W50" s="90"/>
      <c r="X50" s="90"/>
      <c r="Y50" s="3"/>
      <c r="Z50" s="13"/>
      <c r="AA50" s="13"/>
    </row>
    <row r="51">
      <c r="A51" s="101" t="str">
        <f t="shared" ref="A51:A52" si="34">iferror(if(B51&gt;0,month(B51)&amp;"-"&amp;year(B51),B51),)</f>
        <v>1-2026</v>
      </c>
      <c r="B51" s="143">
        <v>46025.0</v>
      </c>
      <c r="C51" s="238"/>
      <c r="D51" s="236" t="s">
        <v>80</v>
      </c>
      <c r="E51" s="102"/>
      <c r="F51" s="77"/>
      <c r="G51" s="77"/>
      <c r="H51" s="78" t="str">
        <f t="shared" si="1"/>
        <v>#DIV/0!</v>
      </c>
      <c r="I51" s="79" t="str">
        <f t="shared" si="2"/>
        <v>#DIV/0!</v>
      </c>
      <c r="J51" s="80" t="str">
        <f t="shared" si="3"/>
        <v>#DIV/0!</v>
      </c>
      <c r="K51" s="98">
        <v>0.0</v>
      </c>
      <c r="L51" s="82">
        <v>0.0</v>
      </c>
      <c r="M51" s="83"/>
      <c r="N51" s="99">
        <v>0.0</v>
      </c>
      <c r="O51" s="85" t="str">
        <f t="shared" ref="O51:O52" si="37">K51/N51</f>
        <v>#DIV/0!</v>
      </c>
      <c r="P51" s="86" t="str">
        <f t="shared" si="5"/>
        <v>#DIV/0!</v>
      </c>
      <c r="Q51" s="85" t="str">
        <f t="shared" si="6"/>
        <v>#DIV/0!</v>
      </c>
      <c r="R51" s="87" t="str">
        <f t="shared" si="7"/>
        <v>#DIV/0!</v>
      </c>
      <c r="S51" s="100">
        <f t="shared" si="32"/>
        <v>0</v>
      </c>
      <c r="T51" s="89" t="str">
        <f t="shared" si="9"/>
        <v>#DIV/0!</v>
      </c>
      <c r="U51" s="90"/>
      <c r="V51" s="90"/>
      <c r="W51" s="90"/>
      <c r="X51" s="90"/>
      <c r="Y51" s="3"/>
      <c r="Z51" s="13"/>
      <c r="AA51" s="13"/>
    </row>
    <row r="52">
      <c r="A52" s="13" t="str">
        <f t="shared" si="34"/>
        <v/>
      </c>
      <c r="B52" s="103" t="s">
        <v>52</v>
      </c>
      <c r="C52" s="233"/>
      <c r="D52" s="61"/>
      <c r="E52" s="104">
        <f t="shared" ref="E52:G52" si="35">SUM(E44:E51)</f>
        <v>0</v>
      </c>
      <c r="F52" s="105">
        <f t="shared" si="35"/>
        <v>0</v>
      </c>
      <c r="G52" s="105">
        <f t="shared" si="35"/>
        <v>0</v>
      </c>
      <c r="H52" s="106" t="str">
        <f t="shared" si="1"/>
        <v>#DIV/0!</v>
      </c>
      <c r="I52" s="107" t="str">
        <f t="shared" si="2"/>
        <v>#DIV/0!</v>
      </c>
      <c r="J52" s="108" t="str">
        <f t="shared" si="3"/>
        <v>#DIV/0!</v>
      </c>
      <c r="K52" s="104">
        <f t="shared" ref="K52:N52" si="36">SUM(K44:K51)</f>
        <v>106.4</v>
      </c>
      <c r="L52" s="109">
        <f t="shared" si="36"/>
        <v>6630</v>
      </c>
      <c r="M52" s="105">
        <f t="shared" si="36"/>
        <v>0</v>
      </c>
      <c r="N52" s="110">
        <f t="shared" si="36"/>
        <v>0</v>
      </c>
      <c r="O52" s="111" t="str">
        <f t="shared" si="37"/>
        <v>#DIV/0!</v>
      </c>
      <c r="P52" s="112">
        <f t="shared" si="5"/>
        <v>0</v>
      </c>
      <c r="Q52" s="111" t="str">
        <f t="shared" si="6"/>
        <v>#DIV/0!</v>
      </c>
      <c r="R52" s="113" t="str">
        <f t="shared" si="7"/>
        <v>#DIV/0!</v>
      </c>
      <c r="S52" s="114">
        <f>SUM(S44:S51)</f>
        <v>0</v>
      </c>
      <c r="T52" s="115" t="str">
        <f t="shared" si="9"/>
        <v>#DIV/0!</v>
      </c>
      <c r="U52" s="73" t="str">
        <f t="shared" ref="U52:V52" si="38">IFERROR((E52-E43)/E52,)</f>
        <v/>
      </c>
      <c r="V52" s="73" t="str">
        <f t="shared" si="38"/>
        <v/>
      </c>
      <c r="W52" s="73" t="str">
        <f t="shared" ref="W52:X52" si="39">IFERROR((E52-#REF!)/E52, )</f>
        <v/>
      </c>
      <c r="X52" s="73" t="str">
        <f t="shared" si="39"/>
        <v/>
      </c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</sheetData>
  <mergeCells count="33">
    <mergeCell ref="T3:W3"/>
    <mergeCell ref="T4:V4"/>
    <mergeCell ref="T7:W7"/>
    <mergeCell ref="T8:V8"/>
    <mergeCell ref="T9:W9"/>
    <mergeCell ref="A1:B1"/>
    <mergeCell ref="A2:B2"/>
    <mergeCell ref="D2:X2"/>
    <mergeCell ref="G3:J3"/>
    <mergeCell ref="O3:R3"/>
    <mergeCell ref="G4:I4"/>
    <mergeCell ref="G5:J5"/>
    <mergeCell ref="T5:W5"/>
    <mergeCell ref="G9:J9"/>
    <mergeCell ref="E10:J10"/>
    <mergeCell ref="M10:T10"/>
    <mergeCell ref="W10:X10"/>
    <mergeCell ref="Y10:Z10"/>
    <mergeCell ref="C17:C19"/>
    <mergeCell ref="C20:C24"/>
    <mergeCell ref="C26:C28"/>
    <mergeCell ref="C29:C33"/>
    <mergeCell ref="C35:C37"/>
    <mergeCell ref="C38:C42"/>
    <mergeCell ref="C44:C46"/>
    <mergeCell ref="C47:C51"/>
    <mergeCell ref="O4:Q4"/>
    <mergeCell ref="O5:R5"/>
    <mergeCell ref="G7:J7"/>
    <mergeCell ref="O7:R7"/>
    <mergeCell ref="G8:I8"/>
    <mergeCell ref="O8:Q8"/>
    <mergeCell ref="O9:R9"/>
  </mergeCells>
  <dataValidations>
    <dataValidation type="list" allowBlank="1" sqref="B12 B25 B34 B43 B52">
      <formula1>"Previous Week,Current Week"</formula1>
    </dataValidation>
  </dataValidations>
  <hyperlinks>
    <hyperlink r:id="rId1" ref="A1"/>
  </hyperlinks>
  <drawing r:id="rId2"/>
</worksheet>
</file>